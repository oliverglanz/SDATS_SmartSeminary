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oliverglanz/Desktop/sharisheetsfy26/"/>
    </mc:Choice>
  </mc:AlternateContent>
  <xr:revisionPtr revIDLastSave="0" documentId="13_ncr:1_{D8E116D5-5171-E740-9543-0AE25A3B1FEE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141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3" hidden="1">AutoFill_classes!$A$1:$B$52779</definedName>
    <definedName name="_xlnm._FilterDatabase" localSheetId="2" hidden="1">AutoFill_names!$A$1:$L$262</definedName>
    <definedName name="_xlnm._FilterDatabase" localSheetId="0" hidden="1">'contract-load_courses'!$A$1:$FT$755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55" i="1" l="1"/>
  <c r="BE456" i="1"/>
  <c r="BE457" i="1"/>
  <c r="BE458" i="1"/>
  <c r="BE459" i="1"/>
  <c r="BE460" i="1"/>
  <c r="BE461" i="1"/>
  <c r="BE462" i="1"/>
  <c r="BE463" i="1"/>
  <c r="BE464" i="1"/>
  <c r="AV455" i="1"/>
  <c r="AV456" i="1"/>
  <c r="AV457" i="1"/>
  <c r="AV458" i="1"/>
  <c r="AV459" i="1"/>
  <c r="AV460" i="1"/>
  <c r="AV461" i="1"/>
  <c r="AV462" i="1"/>
  <c r="AV463" i="1"/>
  <c r="Z455" i="1"/>
  <c r="Z456" i="1"/>
  <c r="Z457" i="1"/>
  <c r="Z458" i="1"/>
  <c r="N455" i="1"/>
  <c r="N456" i="1"/>
  <c r="N457" i="1"/>
  <c r="CY625" i="1"/>
  <c r="CZ625" i="1" s="1"/>
  <c r="CT625" i="1"/>
  <c r="CV625" i="1" s="1"/>
  <c r="CO625" i="1"/>
  <c r="CJ625" i="1"/>
  <c r="CA625" i="1"/>
  <c r="BT625" i="1"/>
  <c r="BU625" i="1" s="1"/>
  <c r="BO625" i="1"/>
  <c r="BQ625" i="1" s="1"/>
  <c r="BJ625" i="1"/>
  <c r="BL625" i="1" s="1"/>
  <c r="BE625" i="1"/>
  <c r="AV625" i="1"/>
  <c r="AO625" i="1"/>
  <c r="AP625" i="1" s="1"/>
  <c r="AJ625" i="1"/>
  <c r="AR625" i="1" s="1"/>
  <c r="AG625" i="1"/>
  <c r="AE625" i="1"/>
  <c r="Z625" i="1"/>
  <c r="N625" i="1"/>
  <c r="K625" i="1"/>
  <c r="J625" i="1"/>
  <c r="E625" i="1"/>
  <c r="D625" i="1"/>
  <c r="C625" i="1"/>
  <c r="B625" i="1"/>
  <c r="CY624" i="1"/>
  <c r="CZ624" i="1" s="1"/>
  <c r="CV624" i="1"/>
  <c r="CT624" i="1"/>
  <c r="CO624" i="1"/>
  <c r="CQ624" i="1" s="1"/>
  <c r="DA624" i="1" s="1"/>
  <c r="CJ624" i="1"/>
  <c r="CA624" i="1"/>
  <c r="BT624" i="1"/>
  <c r="BU624" i="1" s="1"/>
  <c r="BO624" i="1"/>
  <c r="BQ624" i="1" s="1"/>
  <c r="BJ624" i="1"/>
  <c r="BE624" i="1"/>
  <c r="AV624" i="1"/>
  <c r="AO624" i="1"/>
  <c r="AP624" i="1" s="1"/>
  <c r="AJ624" i="1"/>
  <c r="AL624" i="1" s="1"/>
  <c r="AE624" i="1"/>
  <c r="Z624" i="1"/>
  <c r="N624" i="1"/>
  <c r="K624" i="1"/>
  <c r="J624" i="1"/>
  <c r="E624" i="1"/>
  <c r="D624" i="1"/>
  <c r="C624" i="1"/>
  <c r="B624" i="1"/>
  <c r="CY623" i="1"/>
  <c r="CZ623" i="1" s="1"/>
  <c r="CV623" i="1"/>
  <c r="CT623" i="1"/>
  <c r="CO623" i="1"/>
  <c r="CJ623" i="1"/>
  <c r="CA623" i="1"/>
  <c r="BT623" i="1"/>
  <c r="BU623" i="1" s="1"/>
  <c r="BO623" i="1"/>
  <c r="BQ623" i="1" s="1"/>
  <c r="BJ623" i="1"/>
  <c r="BE623" i="1"/>
  <c r="AV623" i="1"/>
  <c r="AO623" i="1"/>
  <c r="AP623" i="1" s="1"/>
  <c r="AJ623" i="1"/>
  <c r="AE623" i="1"/>
  <c r="AG623" i="1" s="1"/>
  <c r="Z623" i="1"/>
  <c r="N623" i="1"/>
  <c r="K623" i="1"/>
  <c r="J623" i="1"/>
  <c r="E623" i="1"/>
  <c r="D623" i="1"/>
  <c r="C623" i="1"/>
  <c r="B623" i="1"/>
  <c r="CY622" i="1"/>
  <c r="CZ622" i="1" s="1"/>
  <c r="CT622" i="1"/>
  <c r="CV622" i="1" s="1"/>
  <c r="CO622" i="1"/>
  <c r="CJ622" i="1"/>
  <c r="CA622" i="1"/>
  <c r="BT622" i="1"/>
  <c r="BU622" i="1" s="1"/>
  <c r="BO622" i="1"/>
  <c r="BQ622" i="1" s="1"/>
  <c r="BJ622" i="1"/>
  <c r="BE622" i="1"/>
  <c r="AV622" i="1"/>
  <c r="AO622" i="1"/>
  <c r="AP622" i="1" s="1"/>
  <c r="AJ622" i="1"/>
  <c r="AL622" i="1" s="1"/>
  <c r="AE622" i="1"/>
  <c r="AR622" i="1" s="1"/>
  <c r="Z622" i="1"/>
  <c r="N622" i="1"/>
  <c r="K622" i="1"/>
  <c r="J622" i="1"/>
  <c r="E622" i="1"/>
  <c r="D622" i="1"/>
  <c r="C622" i="1"/>
  <c r="B622" i="1"/>
  <c r="CZ621" i="1"/>
  <c r="CY621" i="1"/>
  <c r="CT621" i="1"/>
  <c r="CV621" i="1" s="1"/>
  <c r="CO621" i="1"/>
  <c r="CJ621" i="1"/>
  <c r="CA621" i="1"/>
  <c r="BT621" i="1"/>
  <c r="BU621" i="1" s="1"/>
  <c r="BO621" i="1"/>
  <c r="BQ621" i="1" s="1"/>
  <c r="BL621" i="1"/>
  <c r="BV621" i="1" s="1"/>
  <c r="BJ621" i="1"/>
  <c r="BE621" i="1"/>
  <c r="AV621" i="1"/>
  <c r="AO621" i="1"/>
  <c r="AR621" i="1" s="1"/>
  <c r="AJ621" i="1"/>
  <c r="AL621" i="1" s="1"/>
  <c r="AE621" i="1"/>
  <c r="AG621" i="1" s="1"/>
  <c r="Z621" i="1"/>
  <c r="N621" i="1"/>
  <c r="K621" i="1"/>
  <c r="J621" i="1"/>
  <c r="E621" i="1"/>
  <c r="D621" i="1"/>
  <c r="C621" i="1"/>
  <c r="B621" i="1"/>
  <c r="CY620" i="1"/>
  <c r="CZ620" i="1" s="1"/>
  <c r="CT620" i="1"/>
  <c r="CV620" i="1" s="1"/>
  <c r="CO620" i="1"/>
  <c r="CQ620" i="1" s="1"/>
  <c r="CJ620" i="1"/>
  <c r="CA620" i="1"/>
  <c r="BU620" i="1"/>
  <c r="BT620" i="1"/>
  <c r="BO620" i="1"/>
  <c r="BQ620" i="1" s="1"/>
  <c r="BJ620" i="1"/>
  <c r="BL620" i="1" s="1"/>
  <c r="BE620" i="1"/>
  <c r="AV620" i="1"/>
  <c r="AO620" i="1"/>
  <c r="AP620" i="1" s="1"/>
  <c r="AJ620" i="1"/>
  <c r="AL620" i="1" s="1"/>
  <c r="AE620" i="1"/>
  <c r="Z620" i="1"/>
  <c r="N620" i="1"/>
  <c r="K620" i="1"/>
  <c r="J620" i="1"/>
  <c r="E620" i="1"/>
  <c r="D620" i="1"/>
  <c r="C620" i="1"/>
  <c r="B620" i="1"/>
  <c r="CY619" i="1"/>
  <c r="CZ619" i="1" s="1"/>
  <c r="CV619" i="1"/>
  <c r="CT619" i="1"/>
  <c r="CO619" i="1"/>
  <c r="CJ619" i="1"/>
  <c r="CA619" i="1"/>
  <c r="BT619" i="1"/>
  <c r="BU619" i="1" s="1"/>
  <c r="BO619" i="1"/>
  <c r="BQ619" i="1" s="1"/>
  <c r="BJ619" i="1"/>
  <c r="BL619" i="1" s="1"/>
  <c r="BV619" i="1" s="1"/>
  <c r="BE619" i="1"/>
  <c r="AV619" i="1"/>
  <c r="AO619" i="1"/>
  <c r="AP619" i="1" s="1"/>
  <c r="AL619" i="1"/>
  <c r="AJ619" i="1"/>
  <c r="AE619" i="1"/>
  <c r="AG619" i="1" s="1"/>
  <c r="Z619" i="1"/>
  <c r="N619" i="1"/>
  <c r="K619" i="1"/>
  <c r="J619" i="1"/>
  <c r="E619" i="1"/>
  <c r="D619" i="1"/>
  <c r="C619" i="1"/>
  <c r="B619" i="1"/>
  <c r="CY618" i="1"/>
  <c r="CZ618" i="1" s="1"/>
  <c r="CT618" i="1"/>
  <c r="CV618" i="1" s="1"/>
  <c r="CO618" i="1"/>
  <c r="CQ618" i="1" s="1"/>
  <c r="DA618" i="1" s="1"/>
  <c r="CJ618" i="1"/>
  <c r="CA618" i="1"/>
  <c r="BT618" i="1"/>
  <c r="BU618" i="1" s="1"/>
  <c r="BO618" i="1"/>
  <c r="BQ618" i="1" s="1"/>
  <c r="BL618" i="1"/>
  <c r="BJ618" i="1"/>
  <c r="BE618" i="1"/>
  <c r="AV618" i="1"/>
  <c r="AO618" i="1"/>
  <c r="AP618" i="1" s="1"/>
  <c r="AJ618" i="1"/>
  <c r="AL618" i="1" s="1"/>
  <c r="AE618" i="1"/>
  <c r="Z618" i="1"/>
  <c r="N618" i="1"/>
  <c r="K618" i="1"/>
  <c r="J618" i="1"/>
  <c r="E618" i="1"/>
  <c r="D618" i="1"/>
  <c r="C618" i="1"/>
  <c r="B618" i="1"/>
  <c r="CY617" i="1"/>
  <c r="CZ617" i="1" s="1"/>
  <c r="CT617" i="1"/>
  <c r="CV617" i="1" s="1"/>
  <c r="CO617" i="1"/>
  <c r="CQ617" i="1" s="1"/>
  <c r="CJ617" i="1"/>
  <c r="CA617" i="1"/>
  <c r="BU617" i="1"/>
  <c r="BT617" i="1"/>
  <c r="BO617" i="1"/>
  <c r="BQ617" i="1" s="1"/>
  <c r="BJ617" i="1"/>
  <c r="BE617" i="1"/>
  <c r="AV617" i="1"/>
  <c r="AO617" i="1"/>
  <c r="AP617" i="1" s="1"/>
  <c r="AJ617" i="1"/>
  <c r="AL617" i="1" s="1"/>
  <c r="AG617" i="1"/>
  <c r="AE617" i="1"/>
  <c r="Z617" i="1"/>
  <c r="N617" i="1"/>
  <c r="K617" i="1"/>
  <c r="J617" i="1"/>
  <c r="E617" i="1"/>
  <c r="D617" i="1"/>
  <c r="C617" i="1"/>
  <c r="B617" i="1"/>
  <c r="CY616" i="1"/>
  <c r="CZ616" i="1" s="1"/>
  <c r="CT616" i="1"/>
  <c r="CO616" i="1"/>
  <c r="CQ616" i="1" s="1"/>
  <c r="CJ616" i="1"/>
  <c r="CA616" i="1"/>
  <c r="BT616" i="1"/>
  <c r="BU616" i="1" s="1"/>
  <c r="BO616" i="1"/>
  <c r="BQ616" i="1" s="1"/>
  <c r="BJ616" i="1"/>
  <c r="BL616" i="1" s="1"/>
  <c r="BE616" i="1"/>
  <c r="AV616" i="1"/>
  <c r="AP616" i="1"/>
  <c r="AO616" i="1"/>
  <c r="AJ616" i="1"/>
  <c r="AL616" i="1" s="1"/>
  <c r="AE616" i="1"/>
  <c r="AG616" i="1" s="1"/>
  <c r="Z616" i="1"/>
  <c r="N616" i="1"/>
  <c r="K616" i="1"/>
  <c r="J616" i="1"/>
  <c r="E616" i="1"/>
  <c r="D616" i="1"/>
  <c r="C616" i="1"/>
  <c r="B616" i="1"/>
  <c r="CY615" i="1"/>
  <c r="CZ615" i="1" s="1"/>
  <c r="CT615" i="1"/>
  <c r="CV615" i="1" s="1"/>
  <c r="CO615" i="1"/>
  <c r="CQ615" i="1" s="1"/>
  <c r="CJ615" i="1"/>
  <c r="CA615" i="1"/>
  <c r="BT615" i="1"/>
  <c r="BU615" i="1" s="1"/>
  <c r="BO615" i="1"/>
  <c r="BQ615" i="1" s="1"/>
  <c r="BJ615" i="1"/>
  <c r="BE615" i="1"/>
  <c r="AV615" i="1"/>
  <c r="AO615" i="1"/>
  <c r="AP615" i="1" s="1"/>
  <c r="AJ615" i="1"/>
  <c r="AL615" i="1" s="1"/>
  <c r="AE615" i="1"/>
  <c r="Z615" i="1"/>
  <c r="N615" i="1"/>
  <c r="K615" i="1"/>
  <c r="J615" i="1"/>
  <c r="E615" i="1"/>
  <c r="D615" i="1"/>
  <c r="C615" i="1"/>
  <c r="B615" i="1"/>
  <c r="CY614" i="1"/>
  <c r="CZ614" i="1" s="1"/>
  <c r="CT614" i="1"/>
  <c r="CV614" i="1" s="1"/>
  <c r="CO614" i="1"/>
  <c r="CJ614" i="1"/>
  <c r="CA614" i="1"/>
  <c r="BT614" i="1"/>
  <c r="BU614" i="1" s="1"/>
  <c r="BO614" i="1"/>
  <c r="BQ614" i="1" s="1"/>
  <c r="BJ614" i="1"/>
  <c r="BE614" i="1"/>
  <c r="AV614" i="1"/>
  <c r="AO614" i="1"/>
  <c r="AP614" i="1" s="1"/>
  <c r="AJ614" i="1"/>
  <c r="AL614" i="1" s="1"/>
  <c r="AE614" i="1"/>
  <c r="AG614" i="1" s="1"/>
  <c r="Z614" i="1"/>
  <c r="N614" i="1"/>
  <c r="K614" i="1"/>
  <c r="J614" i="1"/>
  <c r="E614" i="1"/>
  <c r="D614" i="1"/>
  <c r="C614" i="1"/>
  <c r="B614" i="1"/>
  <c r="CY613" i="1"/>
  <c r="CZ613" i="1" s="1"/>
  <c r="CT613" i="1"/>
  <c r="CV613" i="1" s="1"/>
  <c r="CO613" i="1"/>
  <c r="CJ613" i="1"/>
  <c r="CA613" i="1"/>
  <c r="BT613" i="1"/>
  <c r="BU613" i="1" s="1"/>
  <c r="BO613" i="1"/>
  <c r="BQ613" i="1" s="1"/>
  <c r="BJ613" i="1"/>
  <c r="BL613" i="1" s="1"/>
  <c r="BE613" i="1"/>
  <c r="AV613" i="1"/>
  <c r="AO613" i="1"/>
  <c r="AP613" i="1" s="1"/>
  <c r="AJ613" i="1"/>
  <c r="AL613" i="1" s="1"/>
  <c r="AE613" i="1"/>
  <c r="Z613" i="1"/>
  <c r="N613" i="1"/>
  <c r="K613" i="1"/>
  <c r="J613" i="1"/>
  <c r="E613" i="1"/>
  <c r="D613" i="1"/>
  <c r="C613" i="1"/>
  <c r="B613" i="1"/>
  <c r="CY612" i="1"/>
  <c r="CZ612" i="1" s="1"/>
  <c r="CV612" i="1"/>
  <c r="CT612" i="1"/>
  <c r="CO612" i="1"/>
  <c r="CJ612" i="1"/>
  <c r="CA612" i="1"/>
  <c r="BT612" i="1"/>
  <c r="BU612" i="1" s="1"/>
  <c r="BO612" i="1"/>
  <c r="BQ612" i="1" s="1"/>
  <c r="BJ612" i="1"/>
  <c r="BE612" i="1"/>
  <c r="AV612" i="1"/>
  <c r="AO612" i="1"/>
  <c r="AP612" i="1" s="1"/>
  <c r="AJ612" i="1"/>
  <c r="AL612" i="1" s="1"/>
  <c r="AE612" i="1"/>
  <c r="Z612" i="1"/>
  <c r="N612" i="1"/>
  <c r="K612" i="1"/>
  <c r="J612" i="1"/>
  <c r="E612" i="1"/>
  <c r="D612" i="1"/>
  <c r="C612" i="1"/>
  <c r="B612" i="1"/>
  <c r="CY611" i="1"/>
  <c r="CZ611" i="1" s="1"/>
  <c r="CT611" i="1"/>
  <c r="CV611" i="1" s="1"/>
  <c r="CO611" i="1"/>
  <c r="CJ611" i="1"/>
  <c r="CA611" i="1"/>
  <c r="BT611" i="1"/>
  <c r="BU611" i="1" s="1"/>
  <c r="BO611" i="1"/>
  <c r="BQ611" i="1" s="1"/>
  <c r="BJ611" i="1"/>
  <c r="BL611" i="1" s="1"/>
  <c r="BE611" i="1"/>
  <c r="AV611" i="1"/>
  <c r="AO611" i="1"/>
  <c r="AP611" i="1" s="1"/>
  <c r="AJ611" i="1"/>
  <c r="AL611" i="1" s="1"/>
  <c r="AE611" i="1"/>
  <c r="Z611" i="1"/>
  <c r="N611" i="1"/>
  <c r="K611" i="1"/>
  <c r="J611" i="1"/>
  <c r="E611" i="1"/>
  <c r="D611" i="1"/>
  <c r="C611" i="1"/>
  <c r="B611" i="1"/>
  <c r="CZ610" i="1"/>
  <c r="CY610" i="1"/>
  <c r="CT610" i="1"/>
  <c r="CV610" i="1" s="1"/>
  <c r="CO610" i="1"/>
  <c r="CQ610" i="1" s="1"/>
  <c r="CJ610" i="1"/>
  <c r="CA610" i="1"/>
  <c r="BT610" i="1"/>
  <c r="BU610" i="1" s="1"/>
  <c r="BO610" i="1"/>
  <c r="BQ610" i="1" s="1"/>
  <c r="BJ610" i="1"/>
  <c r="BL610" i="1" s="1"/>
  <c r="BE610" i="1"/>
  <c r="AV610" i="1"/>
  <c r="AO610" i="1"/>
  <c r="AP610" i="1" s="1"/>
  <c r="AL610" i="1"/>
  <c r="AJ610" i="1"/>
  <c r="AE610" i="1"/>
  <c r="Z610" i="1"/>
  <c r="N610" i="1"/>
  <c r="K610" i="1"/>
  <c r="J610" i="1"/>
  <c r="E610" i="1"/>
  <c r="D610" i="1"/>
  <c r="C610" i="1"/>
  <c r="B610" i="1"/>
  <c r="CY609" i="1"/>
  <c r="CZ609" i="1" s="1"/>
  <c r="CT609" i="1"/>
  <c r="CV609" i="1" s="1"/>
  <c r="CO609" i="1"/>
  <c r="CJ609" i="1"/>
  <c r="CA609" i="1"/>
  <c r="BT609" i="1"/>
  <c r="BU609" i="1" s="1"/>
  <c r="BO609" i="1"/>
  <c r="BQ609" i="1" s="1"/>
  <c r="BJ609" i="1"/>
  <c r="BE609" i="1"/>
  <c r="AV609" i="1"/>
  <c r="AO609" i="1"/>
  <c r="AP609" i="1" s="1"/>
  <c r="AJ609" i="1"/>
  <c r="AL609" i="1" s="1"/>
  <c r="AE609" i="1"/>
  <c r="Z609" i="1"/>
  <c r="N609" i="1"/>
  <c r="K609" i="1"/>
  <c r="J609" i="1"/>
  <c r="E609" i="1"/>
  <c r="D609" i="1"/>
  <c r="C609" i="1"/>
  <c r="B609" i="1"/>
  <c r="CY608" i="1"/>
  <c r="CZ608" i="1" s="1"/>
  <c r="CT608" i="1"/>
  <c r="CV608" i="1" s="1"/>
  <c r="CO608" i="1"/>
  <c r="CQ608" i="1" s="1"/>
  <c r="CJ608" i="1"/>
  <c r="CA608" i="1"/>
  <c r="BT608" i="1"/>
  <c r="BU608" i="1" s="1"/>
  <c r="BO608" i="1"/>
  <c r="BJ608" i="1"/>
  <c r="BL608" i="1" s="1"/>
  <c r="BE608" i="1"/>
  <c r="AV608" i="1"/>
  <c r="AO608" i="1"/>
  <c r="AP608" i="1" s="1"/>
  <c r="AJ608" i="1"/>
  <c r="AL608" i="1" s="1"/>
  <c r="AE608" i="1"/>
  <c r="Z608" i="1"/>
  <c r="N608" i="1"/>
  <c r="K608" i="1"/>
  <c r="J608" i="1"/>
  <c r="E608" i="1"/>
  <c r="D608" i="1"/>
  <c r="C608" i="1"/>
  <c r="B608" i="1"/>
  <c r="CY607" i="1"/>
  <c r="CZ607" i="1" s="1"/>
  <c r="CT607" i="1"/>
  <c r="CV607" i="1" s="1"/>
  <c r="CO607" i="1"/>
  <c r="DB607" i="1" s="1"/>
  <c r="CJ607" i="1"/>
  <c r="CA607" i="1"/>
  <c r="BT607" i="1"/>
  <c r="BU607" i="1" s="1"/>
  <c r="BQ607" i="1"/>
  <c r="BO607" i="1"/>
  <c r="BJ607" i="1"/>
  <c r="BE607" i="1"/>
  <c r="AV607" i="1"/>
  <c r="AO607" i="1"/>
  <c r="AP607" i="1" s="1"/>
  <c r="AJ607" i="1"/>
  <c r="AL607" i="1" s="1"/>
  <c r="AE607" i="1"/>
  <c r="AG607" i="1" s="1"/>
  <c r="Z607" i="1"/>
  <c r="N607" i="1"/>
  <c r="K607" i="1"/>
  <c r="J607" i="1"/>
  <c r="E607" i="1"/>
  <c r="D607" i="1"/>
  <c r="C607" i="1"/>
  <c r="B607" i="1"/>
  <c r="CY606" i="1"/>
  <c r="CZ606" i="1" s="1"/>
  <c r="CT606" i="1"/>
  <c r="CV606" i="1" s="1"/>
  <c r="CO606" i="1"/>
  <c r="CJ606" i="1"/>
  <c r="CA606" i="1"/>
  <c r="BT606" i="1"/>
  <c r="BU606" i="1" s="1"/>
  <c r="BO606" i="1"/>
  <c r="BQ606" i="1" s="1"/>
  <c r="BJ606" i="1"/>
  <c r="BE606" i="1"/>
  <c r="AV606" i="1"/>
  <c r="AO606" i="1"/>
  <c r="AP606" i="1" s="1"/>
  <c r="AJ606" i="1"/>
  <c r="AL606" i="1" s="1"/>
  <c r="AE606" i="1"/>
  <c r="Z606" i="1"/>
  <c r="N606" i="1"/>
  <c r="K606" i="1"/>
  <c r="J606" i="1"/>
  <c r="E606" i="1"/>
  <c r="D606" i="1"/>
  <c r="C606" i="1"/>
  <c r="B606" i="1"/>
  <c r="CY605" i="1"/>
  <c r="CZ605" i="1" s="1"/>
  <c r="CT605" i="1"/>
  <c r="CV605" i="1" s="1"/>
  <c r="DA605" i="1" s="1"/>
  <c r="CO605" i="1"/>
  <c r="CQ605" i="1" s="1"/>
  <c r="CJ605" i="1"/>
  <c r="CA605" i="1"/>
  <c r="BT605" i="1"/>
  <c r="BU605" i="1" s="1"/>
  <c r="BO605" i="1"/>
  <c r="BQ605" i="1" s="1"/>
  <c r="BJ605" i="1"/>
  <c r="BE605" i="1"/>
  <c r="AV605" i="1"/>
  <c r="AO605" i="1"/>
  <c r="AP605" i="1" s="1"/>
  <c r="AJ605" i="1"/>
  <c r="AL605" i="1" s="1"/>
  <c r="AE605" i="1"/>
  <c r="AG605" i="1" s="1"/>
  <c r="AQ605" i="1" s="1"/>
  <c r="Z605" i="1"/>
  <c r="N605" i="1"/>
  <c r="K605" i="1"/>
  <c r="J605" i="1"/>
  <c r="E605" i="1"/>
  <c r="D605" i="1"/>
  <c r="C605" i="1"/>
  <c r="B605" i="1"/>
  <c r="CY604" i="1"/>
  <c r="CZ604" i="1" s="1"/>
  <c r="CT604" i="1"/>
  <c r="CV604" i="1" s="1"/>
  <c r="CO604" i="1"/>
  <c r="CQ604" i="1" s="1"/>
  <c r="CJ604" i="1"/>
  <c r="CA604" i="1"/>
  <c r="BT604" i="1"/>
  <c r="BU604" i="1" s="1"/>
  <c r="BO604" i="1"/>
  <c r="BQ604" i="1" s="1"/>
  <c r="BJ604" i="1"/>
  <c r="BL604" i="1" s="1"/>
  <c r="BE604" i="1"/>
  <c r="AV604" i="1"/>
  <c r="AO604" i="1"/>
  <c r="AP604" i="1" s="1"/>
  <c r="AJ604" i="1"/>
  <c r="AL604" i="1" s="1"/>
  <c r="AE604" i="1"/>
  <c r="AG604" i="1" s="1"/>
  <c r="Z604" i="1"/>
  <c r="N604" i="1"/>
  <c r="K604" i="1"/>
  <c r="J604" i="1"/>
  <c r="E604" i="1"/>
  <c r="D604" i="1"/>
  <c r="C604" i="1"/>
  <c r="B604" i="1"/>
  <c r="CY603" i="1"/>
  <c r="CZ603" i="1" s="1"/>
  <c r="CT603" i="1"/>
  <c r="CV603" i="1" s="1"/>
  <c r="CO603" i="1"/>
  <c r="CJ603" i="1"/>
  <c r="CA603" i="1"/>
  <c r="BT603" i="1"/>
  <c r="BU603" i="1" s="1"/>
  <c r="BO603" i="1"/>
  <c r="BQ603" i="1" s="1"/>
  <c r="BJ603" i="1"/>
  <c r="BL603" i="1" s="1"/>
  <c r="BE603" i="1"/>
  <c r="AV603" i="1"/>
  <c r="AO603" i="1"/>
  <c r="AP603" i="1" s="1"/>
  <c r="AL603" i="1"/>
  <c r="AJ603" i="1"/>
  <c r="AE603" i="1"/>
  <c r="Z603" i="1"/>
  <c r="N603" i="1"/>
  <c r="K603" i="1"/>
  <c r="J603" i="1"/>
  <c r="E603" i="1"/>
  <c r="D603" i="1"/>
  <c r="C603" i="1"/>
  <c r="B603" i="1"/>
  <c r="CY602" i="1"/>
  <c r="CZ602" i="1" s="1"/>
  <c r="CT602" i="1"/>
  <c r="CV602" i="1" s="1"/>
  <c r="CO602" i="1"/>
  <c r="CJ602" i="1"/>
  <c r="CA602" i="1"/>
  <c r="BT602" i="1"/>
  <c r="BU602" i="1" s="1"/>
  <c r="BO602" i="1"/>
  <c r="BQ602" i="1" s="1"/>
  <c r="BJ602" i="1"/>
  <c r="BE602" i="1"/>
  <c r="AV602" i="1"/>
  <c r="AO602" i="1"/>
  <c r="AP602" i="1" s="1"/>
  <c r="AJ602" i="1"/>
  <c r="AL602" i="1" s="1"/>
  <c r="AE602" i="1"/>
  <c r="Z602" i="1"/>
  <c r="N602" i="1"/>
  <c r="K602" i="1"/>
  <c r="J602" i="1"/>
  <c r="E602" i="1"/>
  <c r="D602" i="1"/>
  <c r="C602" i="1"/>
  <c r="B602" i="1"/>
  <c r="CY601" i="1"/>
  <c r="CZ601" i="1" s="1"/>
  <c r="CT601" i="1"/>
  <c r="CV601" i="1" s="1"/>
  <c r="CO601" i="1"/>
  <c r="CQ601" i="1" s="1"/>
  <c r="DA601" i="1" s="1"/>
  <c r="CJ601" i="1"/>
  <c r="CA601" i="1"/>
  <c r="BT601" i="1"/>
  <c r="BU601" i="1" s="1"/>
  <c r="BO601" i="1"/>
  <c r="BQ601" i="1" s="1"/>
  <c r="BJ601" i="1"/>
  <c r="BE601" i="1"/>
  <c r="AV601" i="1"/>
  <c r="AO601" i="1"/>
  <c r="AP601" i="1" s="1"/>
  <c r="AJ601" i="1"/>
  <c r="AL601" i="1" s="1"/>
  <c r="AE601" i="1"/>
  <c r="Z601" i="1"/>
  <c r="N601" i="1"/>
  <c r="K601" i="1"/>
  <c r="J601" i="1"/>
  <c r="E601" i="1"/>
  <c r="D601" i="1"/>
  <c r="C601" i="1"/>
  <c r="B601" i="1"/>
  <c r="CY600" i="1"/>
  <c r="CZ600" i="1" s="1"/>
  <c r="CT600" i="1"/>
  <c r="CV600" i="1" s="1"/>
  <c r="CQ600" i="1"/>
  <c r="CO600" i="1"/>
  <c r="CJ600" i="1"/>
  <c r="CA600" i="1"/>
  <c r="BT600" i="1"/>
  <c r="BU600" i="1" s="1"/>
  <c r="BO600" i="1"/>
  <c r="BQ600" i="1" s="1"/>
  <c r="BJ600" i="1"/>
  <c r="BE600" i="1"/>
  <c r="AV600" i="1"/>
  <c r="AP600" i="1"/>
  <c r="AO600" i="1"/>
  <c r="AJ600" i="1"/>
  <c r="AL600" i="1" s="1"/>
  <c r="AE600" i="1"/>
  <c r="AG600" i="1" s="1"/>
  <c r="AQ600" i="1" s="1"/>
  <c r="Z600" i="1"/>
  <c r="N600" i="1"/>
  <c r="K600" i="1"/>
  <c r="J600" i="1"/>
  <c r="E600" i="1"/>
  <c r="D600" i="1"/>
  <c r="C600" i="1"/>
  <c r="B600" i="1"/>
  <c r="CY599" i="1"/>
  <c r="CZ599" i="1" s="1"/>
  <c r="CT599" i="1"/>
  <c r="CV599" i="1" s="1"/>
  <c r="CO599" i="1"/>
  <c r="CQ599" i="1" s="1"/>
  <c r="CJ599" i="1"/>
  <c r="CA599" i="1"/>
  <c r="BT599" i="1"/>
  <c r="BU599" i="1" s="1"/>
  <c r="BO599" i="1"/>
  <c r="BQ599" i="1" s="1"/>
  <c r="BJ599" i="1"/>
  <c r="BE599" i="1"/>
  <c r="AV599" i="1"/>
  <c r="AO599" i="1"/>
  <c r="AP599" i="1" s="1"/>
  <c r="AJ599" i="1"/>
  <c r="AL599" i="1" s="1"/>
  <c r="AE599" i="1"/>
  <c r="AG599" i="1" s="1"/>
  <c r="Z599" i="1"/>
  <c r="N599" i="1"/>
  <c r="K599" i="1"/>
  <c r="J599" i="1"/>
  <c r="E599" i="1"/>
  <c r="D599" i="1"/>
  <c r="C599" i="1"/>
  <c r="B599" i="1"/>
  <c r="CY598" i="1"/>
  <c r="CZ598" i="1" s="1"/>
  <c r="CT598" i="1"/>
  <c r="CV598" i="1" s="1"/>
  <c r="CQ598" i="1"/>
  <c r="CO598" i="1"/>
  <c r="CJ598" i="1"/>
  <c r="CA598" i="1"/>
  <c r="BU598" i="1"/>
  <c r="BT598" i="1"/>
  <c r="BO598" i="1"/>
  <c r="BQ598" i="1" s="1"/>
  <c r="BJ598" i="1"/>
  <c r="BE598" i="1"/>
  <c r="AV598" i="1"/>
  <c r="AO598" i="1"/>
  <c r="AP598" i="1" s="1"/>
  <c r="AJ598" i="1"/>
  <c r="AL598" i="1" s="1"/>
  <c r="AE598" i="1"/>
  <c r="Z598" i="1"/>
  <c r="N598" i="1"/>
  <c r="K598" i="1"/>
  <c r="J598" i="1"/>
  <c r="E598" i="1"/>
  <c r="D598" i="1"/>
  <c r="C598" i="1"/>
  <c r="B598" i="1"/>
  <c r="CY597" i="1"/>
  <c r="CZ597" i="1" s="1"/>
  <c r="CT597" i="1"/>
  <c r="CV597" i="1" s="1"/>
  <c r="CO597" i="1"/>
  <c r="CJ597" i="1"/>
  <c r="CA597" i="1"/>
  <c r="BT597" i="1"/>
  <c r="BU597" i="1" s="1"/>
  <c r="BO597" i="1"/>
  <c r="BQ597" i="1" s="1"/>
  <c r="BJ597" i="1"/>
  <c r="BL597" i="1" s="1"/>
  <c r="BE597" i="1"/>
  <c r="AV597" i="1"/>
  <c r="AO597" i="1"/>
  <c r="AP597" i="1" s="1"/>
  <c r="AJ597" i="1"/>
  <c r="AL597" i="1" s="1"/>
  <c r="AE597" i="1"/>
  <c r="AR597" i="1" s="1"/>
  <c r="Z597" i="1"/>
  <c r="N597" i="1"/>
  <c r="K597" i="1"/>
  <c r="J597" i="1"/>
  <c r="E597" i="1"/>
  <c r="D597" i="1"/>
  <c r="C597" i="1"/>
  <c r="B597" i="1"/>
  <c r="CY596" i="1"/>
  <c r="CZ596" i="1" s="1"/>
  <c r="CT596" i="1"/>
  <c r="CV596" i="1" s="1"/>
  <c r="CO596" i="1"/>
  <c r="CJ596" i="1"/>
  <c r="CA596" i="1"/>
  <c r="BT596" i="1"/>
  <c r="BU596" i="1" s="1"/>
  <c r="BO596" i="1"/>
  <c r="BQ596" i="1" s="1"/>
  <c r="BJ596" i="1"/>
  <c r="BL596" i="1" s="1"/>
  <c r="BV596" i="1" s="1"/>
  <c r="BE596" i="1"/>
  <c r="AV596" i="1"/>
  <c r="AO596" i="1"/>
  <c r="AP596" i="1" s="1"/>
  <c r="AJ596" i="1"/>
  <c r="AL596" i="1" s="1"/>
  <c r="AG596" i="1"/>
  <c r="AE596" i="1"/>
  <c r="Z596" i="1"/>
  <c r="N596" i="1"/>
  <c r="K596" i="1"/>
  <c r="J596" i="1"/>
  <c r="E596" i="1"/>
  <c r="D596" i="1"/>
  <c r="C596" i="1"/>
  <c r="B596" i="1"/>
  <c r="CY595" i="1"/>
  <c r="CZ595" i="1" s="1"/>
  <c r="CT595" i="1"/>
  <c r="CV595" i="1" s="1"/>
  <c r="CO595" i="1"/>
  <c r="CJ595" i="1"/>
  <c r="CA595" i="1"/>
  <c r="BT595" i="1"/>
  <c r="BU595" i="1" s="1"/>
  <c r="BO595" i="1"/>
  <c r="BQ595" i="1" s="1"/>
  <c r="BJ595" i="1"/>
  <c r="BE595" i="1"/>
  <c r="AV595" i="1"/>
  <c r="AO595" i="1"/>
  <c r="AP595" i="1" s="1"/>
  <c r="AJ595" i="1"/>
  <c r="AL595" i="1" s="1"/>
  <c r="AE595" i="1"/>
  <c r="Z595" i="1"/>
  <c r="N595" i="1"/>
  <c r="K595" i="1"/>
  <c r="J595" i="1"/>
  <c r="E595" i="1"/>
  <c r="D595" i="1"/>
  <c r="C595" i="1"/>
  <c r="B595" i="1"/>
  <c r="CY594" i="1"/>
  <c r="CZ594" i="1" s="1"/>
  <c r="CT594" i="1"/>
  <c r="CV594" i="1" s="1"/>
  <c r="CO594" i="1"/>
  <c r="CQ594" i="1" s="1"/>
  <c r="CJ594" i="1"/>
  <c r="CA594" i="1"/>
  <c r="BT594" i="1"/>
  <c r="BU594" i="1" s="1"/>
  <c r="BO594" i="1"/>
  <c r="BJ594" i="1"/>
  <c r="BL594" i="1" s="1"/>
  <c r="BE594" i="1"/>
  <c r="AV594" i="1"/>
  <c r="AO594" i="1"/>
  <c r="AP594" i="1" s="1"/>
  <c r="AJ594" i="1"/>
  <c r="AL594" i="1" s="1"/>
  <c r="AE594" i="1"/>
  <c r="Z594" i="1"/>
  <c r="N594" i="1"/>
  <c r="K594" i="1"/>
  <c r="J594" i="1"/>
  <c r="E594" i="1"/>
  <c r="D594" i="1"/>
  <c r="C594" i="1"/>
  <c r="B594" i="1"/>
  <c r="CY593" i="1"/>
  <c r="CZ593" i="1" s="1"/>
  <c r="CT593" i="1"/>
  <c r="CV593" i="1" s="1"/>
  <c r="CO593" i="1"/>
  <c r="DB593" i="1" s="1"/>
  <c r="CJ593" i="1"/>
  <c r="CA593" i="1"/>
  <c r="BT593" i="1"/>
  <c r="BU593" i="1" s="1"/>
  <c r="BO593" i="1"/>
  <c r="BQ593" i="1" s="1"/>
  <c r="BJ593" i="1"/>
  <c r="BL593" i="1" s="1"/>
  <c r="BE593" i="1"/>
  <c r="AV593" i="1"/>
  <c r="AO593" i="1"/>
  <c r="AP593" i="1" s="1"/>
  <c r="AJ593" i="1"/>
  <c r="AL593" i="1" s="1"/>
  <c r="AE593" i="1"/>
  <c r="AG593" i="1" s="1"/>
  <c r="Z593" i="1"/>
  <c r="N593" i="1"/>
  <c r="K593" i="1"/>
  <c r="J593" i="1"/>
  <c r="E593" i="1"/>
  <c r="D593" i="1"/>
  <c r="C593" i="1"/>
  <c r="B593" i="1"/>
  <c r="CY592" i="1"/>
  <c r="CZ592" i="1" s="1"/>
  <c r="CT592" i="1"/>
  <c r="CV592" i="1" s="1"/>
  <c r="CO592" i="1"/>
  <c r="DB592" i="1" s="1"/>
  <c r="CJ592" i="1"/>
  <c r="CA592" i="1"/>
  <c r="BT592" i="1"/>
  <c r="BU592" i="1" s="1"/>
  <c r="BQ592" i="1"/>
  <c r="BO592" i="1"/>
  <c r="BJ592" i="1"/>
  <c r="BE592" i="1"/>
  <c r="AV592" i="1"/>
  <c r="AO592" i="1"/>
  <c r="AJ592" i="1"/>
  <c r="AL592" i="1" s="1"/>
  <c r="AE592" i="1"/>
  <c r="AG592" i="1" s="1"/>
  <c r="AQ592" i="1" s="1"/>
  <c r="Z592" i="1"/>
  <c r="N592" i="1"/>
  <c r="K592" i="1"/>
  <c r="J592" i="1"/>
  <c r="E592" i="1"/>
  <c r="D592" i="1"/>
  <c r="C592" i="1"/>
  <c r="B592" i="1"/>
  <c r="CY591" i="1"/>
  <c r="CZ591" i="1" s="1"/>
  <c r="CT591" i="1"/>
  <c r="CV591" i="1" s="1"/>
  <c r="CO591" i="1"/>
  <c r="CJ591" i="1"/>
  <c r="CA591" i="1"/>
  <c r="BT591" i="1"/>
  <c r="BU591" i="1" s="1"/>
  <c r="BO591" i="1"/>
  <c r="BQ591" i="1" s="1"/>
  <c r="BJ591" i="1"/>
  <c r="BE591" i="1"/>
  <c r="AV591" i="1"/>
  <c r="AO591" i="1"/>
  <c r="AP591" i="1" s="1"/>
  <c r="AJ591" i="1"/>
  <c r="AL591" i="1" s="1"/>
  <c r="AE591" i="1"/>
  <c r="Z591" i="1"/>
  <c r="N591" i="1"/>
  <c r="K591" i="1"/>
  <c r="J591" i="1"/>
  <c r="E591" i="1"/>
  <c r="D591" i="1"/>
  <c r="C591" i="1"/>
  <c r="B591" i="1"/>
  <c r="CY590" i="1"/>
  <c r="CZ590" i="1" s="1"/>
  <c r="CT590" i="1"/>
  <c r="CV590" i="1" s="1"/>
  <c r="CO590" i="1"/>
  <c r="CJ590" i="1"/>
  <c r="CA590" i="1"/>
  <c r="BT590" i="1"/>
  <c r="BU590" i="1" s="1"/>
  <c r="BO590" i="1"/>
  <c r="BQ590" i="1" s="1"/>
  <c r="BJ590" i="1"/>
  <c r="BL590" i="1" s="1"/>
  <c r="BE590" i="1"/>
  <c r="AV590" i="1"/>
  <c r="AO590" i="1"/>
  <c r="AP590" i="1" s="1"/>
  <c r="AJ590" i="1"/>
  <c r="AL590" i="1" s="1"/>
  <c r="AE590" i="1"/>
  <c r="AG590" i="1" s="1"/>
  <c r="Z590" i="1"/>
  <c r="N590" i="1"/>
  <c r="K590" i="1"/>
  <c r="J590" i="1"/>
  <c r="E590" i="1"/>
  <c r="D590" i="1"/>
  <c r="C590" i="1"/>
  <c r="B590" i="1"/>
  <c r="CY589" i="1"/>
  <c r="CZ589" i="1" s="1"/>
  <c r="CV589" i="1"/>
  <c r="CT589" i="1"/>
  <c r="CO589" i="1"/>
  <c r="CJ589" i="1"/>
  <c r="CA589" i="1"/>
  <c r="BT589" i="1"/>
  <c r="BU589" i="1" s="1"/>
  <c r="BO589" i="1"/>
  <c r="BQ589" i="1" s="1"/>
  <c r="BJ589" i="1"/>
  <c r="BL589" i="1" s="1"/>
  <c r="BE589" i="1"/>
  <c r="AV589" i="1"/>
  <c r="AO589" i="1"/>
  <c r="AP589" i="1" s="1"/>
  <c r="AJ589" i="1"/>
  <c r="AL589" i="1" s="1"/>
  <c r="AE589" i="1"/>
  <c r="AG589" i="1" s="1"/>
  <c r="Z589" i="1"/>
  <c r="N589" i="1"/>
  <c r="K589" i="1"/>
  <c r="J589" i="1"/>
  <c r="E589" i="1"/>
  <c r="D589" i="1"/>
  <c r="C589" i="1"/>
  <c r="B589" i="1"/>
  <c r="CY588" i="1"/>
  <c r="CZ588" i="1" s="1"/>
  <c r="CT588" i="1"/>
  <c r="CV588" i="1" s="1"/>
  <c r="CO588" i="1"/>
  <c r="CJ588" i="1"/>
  <c r="CA588" i="1"/>
  <c r="BT588" i="1"/>
  <c r="BU588" i="1" s="1"/>
  <c r="BO588" i="1"/>
  <c r="BQ588" i="1" s="1"/>
  <c r="BJ588" i="1"/>
  <c r="BE588" i="1"/>
  <c r="AV588" i="1"/>
  <c r="AO588" i="1"/>
  <c r="AP588" i="1" s="1"/>
  <c r="AJ588" i="1"/>
  <c r="AL588" i="1" s="1"/>
  <c r="AE588" i="1"/>
  <c r="Z588" i="1"/>
  <c r="N588" i="1"/>
  <c r="K588" i="1"/>
  <c r="J588" i="1"/>
  <c r="E588" i="1"/>
  <c r="D588" i="1"/>
  <c r="C588" i="1"/>
  <c r="B588" i="1"/>
  <c r="CY587" i="1"/>
  <c r="CZ587" i="1" s="1"/>
  <c r="CT587" i="1"/>
  <c r="CV587" i="1" s="1"/>
  <c r="CO587" i="1"/>
  <c r="CQ587" i="1" s="1"/>
  <c r="CJ587" i="1"/>
  <c r="CA587" i="1"/>
  <c r="BT587" i="1"/>
  <c r="BU587" i="1" s="1"/>
  <c r="BO587" i="1"/>
  <c r="BQ587" i="1" s="1"/>
  <c r="BJ587" i="1"/>
  <c r="BE587" i="1"/>
  <c r="AV587" i="1"/>
  <c r="AO587" i="1"/>
  <c r="AP587" i="1" s="1"/>
  <c r="AJ587" i="1"/>
  <c r="AL587" i="1" s="1"/>
  <c r="AE587" i="1"/>
  <c r="Z587" i="1"/>
  <c r="N587" i="1"/>
  <c r="K587" i="1"/>
  <c r="J587" i="1"/>
  <c r="E587" i="1"/>
  <c r="D587" i="1"/>
  <c r="C587" i="1"/>
  <c r="B587" i="1"/>
  <c r="CY586" i="1"/>
  <c r="CZ586" i="1" s="1"/>
  <c r="CT586" i="1"/>
  <c r="CV586" i="1" s="1"/>
  <c r="CO586" i="1"/>
  <c r="CQ586" i="1" s="1"/>
  <c r="CJ586" i="1"/>
  <c r="CA586" i="1"/>
  <c r="BT586" i="1"/>
  <c r="BU586" i="1" s="1"/>
  <c r="BO586" i="1"/>
  <c r="BQ586" i="1" s="1"/>
  <c r="BJ586" i="1"/>
  <c r="BL586" i="1" s="1"/>
  <c r="BE586" i="1"/>
  <c r="AV586" i="1"/>
  <c r="AO586" i="1"/>
  <c r="AP586" i="1" s="1"/>
  <c r="AJ586" i="1"/>
  <c r="AL586" i="1" s="1"/>
  <c r="AE586" i="1"/>
  <c r="AG586" i="1" s="1"/>
  <c r="Z586" i="1"/>
  <c r="N586" i="1"/>
  <c r="K586" i="1"/>
  <c r="J586" i="1"/>
  <c r="E586" i="1"/>
  <c r="D586" i="1"/>
  <c r="C586" i="1"/>
  <c r="B586" i="1"/>
  <c r="CY585" i="1"/>
  <c r="CZ585" i="1" s="1"/>
  <c r="CT585" i="1"/>
  <c r="CV585" i="1" s="1"/>
  <c r="CO585" i="1"/>
  <c r="CQ585" i="1" s="1"/>
  <c r="CJ585" i="1"/>
  <c r="CA585" i="1"/>
  <c r="BT585" i="1"/>
  <c r="BU585" i="1" s="1"/>
  <c r="BO585" i="1"/>
  <c r="BQ585" i="1" s="1"/>
  <c r="BJ585" i="1"/>
  <c r="BE585" i="1"/>
  <c r="AV585" i="1"/>
  <c r="AO585" i="1"/>
  <c r="AP585" i="1" s="1"/>
  <c r="AJ585" i="1"/>
  <c r="AL585" i="1" s="1"/>
  <c r="AE585" i="1"/>
  <c r="Z585" i="1"/>
  <c r="N585" i="1"/>
  <c r="K585" i="1"/>
  <c r="J585" i="1"/>
  <c r="E585" i="1"/>
  <c r="D585" i="1"/>
  <c r="C585" i="1"/>
  <c r="B585" i="1"/>
  <c r="CY584" i="1"/>
  <c r="CZ584" i="1" s="1"/>
  <c r="CT584" i="1"/>
  <c r="CV584" i="1" s="1"/>
  <c r="CO584" i="1"/>
  <c r="CQ584" i="1" s="1"/>
  <c r="CJ584" i="1"/>
  <c r="CA584" i="1"/>
  <c r="BU584" i="1"/>
  <c r="BT584" i="1"/>
  <c r="BO584" i="1"/>
  <c r="BQ584" i="1" s="1"/>
  <c r="BJ584" i="1"/>
  <c r="BE584" i="1"/>
  <c r="AV584" i="1"/>
  <c r="AO584" i="1"/>
  <c r="AP584" i="1" s="1"/>
  <c r="AJ584" i="1"/>
  <c r="AL584" i="1" s="1"/>
  <c r="AE584" i="1"/>
  <c r="AG584" i="1" s="1"/>
  <c r="Z584" i="1"/>
  <c r="N584" i="1"/>
  <c r="K584" i="1"/>
  <c r="J584" i="1"/>
  <c r="E584" i="1"/>
  <c r="D584" i="1"/>
  <c r="C584" i="1"/>
  <c r="B584" i="1"/>
  <c r="CY583" i="1"/>
  <c r="CZ583" i="1" s="1"/>
  <c r="CT583" i="1"/>
  <c r="CV583" i="1" s="1"/>
  <c r="CO583" i="1"/>
  <c r="CQ583" i="1" s="1"/>
  <c r="CJ583" i="1"/>
  <c r="CA583" i="1"/>
  <c r="BT583" i="1"/>
  <c r="BU583" i="1" s="1"/>
  <c r="BO583" i="1"/>
  <c r="BQ583" i="1" s="1"/>
  <c r="BJ583" i="1"/>
  <c r="BL583" i="1" s="1"/>
  <c r="BE583" i="1"/>
  <c r="AV583" i="1"/>
  <c r="AO583" i="1"/>
  <c r="AP583" i="1" s="1"/>
  <c r="AJ583" i="1"/>
  <c r="AG583" i="1"/>
  <c r="AE583" i="1"/>
  <c r="Z583" i="1"/>
  <c r="N583" i="1"/>
  <c r="K583" i="1"/>
  <c r="J583" i="1"/>
  <c r="E583" i="1"/>
  <c r="D583" i="1"/>
  <c r="C583" i="1"/>
  <c r="B583" i="1"/>
  <c r="CY582" i="1"/>
  <c r="CZ582" i="1" s="1"/>
  <c r="CT582" i="1"/>
  <c r="CV582" i="1" s="1"/>
  <c r="CO582" i="1"/>
  <c r="CJ582" i="1"/>
  <c r="CA582" i="1"/>
  <c r="BT582" i="1"/>
  <c r="BU582" i="1" s="1"/>
  <c r="BO582" i="1"/>
  <c r="BQ582" i="1" s="1"/>
  <c r="BJ582" i="1"/>
  <c r="BL582" i="1" s="1"/>
  <c r="BE582" i="1"/>
  <c r="AV582" i="1"/>
  <c r="AO582" i="1"/>
  <c r="AP582" i="1" s="1"/>
  <c r="AJ582" i="1"/>
  <c r="AL582" i="1" s="1"/>
  <c r="AE582" i="1"/>
  <c r="Z582" i="1"/>
  <c r="N582" i="1"/>
  <c r="K582" i="1"/>
  <c r="J582" i="1"/>
  <c r="E582" i="1"/>
  <c r="D582" i="1"/>
  <c r="C582" i="1"/>
  <c r="B582" i="1"/>
  <c r="CY581" i="1"/>
  <c r="CZ581" i="1" s="1"/>
  <c r="CT581" i="1"/>
  <c r="CV581" i="1" s="1"/>
  <c r="CO581" i="1"/>
  <c r="CJ581" i="1"/>
  <c r="CA581" i="1"/>
  <c r="BT581" i="1"/>
  <c r="BU581" i="1" s="1"/>
  <c r="BO581" i="1"/>
  <c r="BQ581" i="1" s="1"/>
  <c r="BJ581" i="1"/>
  <c r="BL581" i="1" s="1"/>
  <c r="BE581" i="1"/>
  <c r="AV581" i="1"/>
  <c r="AO581" i="1"/>
  <c r="AP581" i="1" s="1"/>
  <c r="AJ581" i="1"/>
  <c r="AL581" i="1" s="1"/>
  <c r="AE581" i="1"/>
  <c r="Z581" i="1"/>
  <c r="N581" i="1"/>
  <c r="K581" i="1"/>
  <c r="J581" i="1"/>
  <c r="E581" i="1"/>
  <c r="D581" i="1"/>
  <c r="C581" i="1"/>
  <c r="B581" i="1"/>
  <c r="CY580" i="1"/>
  <c r="CZ580" i="1" s="1"/>
  <c r="CT580" i="1"/>
  <c r="CV580" i="1" s="1"/>
  <c r="CO580" i="1"/>
  <c r="CQ580" i="1" s="1"/>
  <c r="CJ580" i="1"/>
  <c r="CA580" i="1"/>
  <c r="BT580" i="1"/>
  <c r="BO580" i="1"/>
  <c r="BQ580" i="1" s="1"/>
  <c r="BJ580" i="1"/>
  <c r="BL580" i="1" s="1"/>
  <c r="BE580" i="1"/>
  <c r="AV580" i="1"/>
  <c r="AO580" i="1"/>
  <c r="AP580" i="1" s="1"/>
  <c r="AJ580" i="1"/>
  <c r="AL580" i="1" s="1"/>
  <c r="AE580" i="1"/>
  <c r="Z580" i="1"/>
  <c r="N580" i="1"/>
  <c r="K580" i="1"/>
  <c r="J580" i="1"/>
  <c r="E580" i="1"/>
  <c r="D580" i="1"/>
  <c r="C580" i="1"/>
  <c r="B580" i="1"/>
  <c r="CY579" i="1"/>
  <c r="CZ579" i="1" s="1"/>
  <c r="CT579" i="1"/>
  <c r="CV579" i="1" s="1"/>
  <c r="CO579" i="1"/>
  <c r="CQ579" i="1" s="1"/>
  <c r="DA579" i="1" s="1"/>
  <c r="CJ579" i="1"/>
  <c r="CA579" i="1"/>
  <c r="BT579" i="1"/>
  <c r="BU579" i="1" s="1"/>
  <c r="BO579" i="1"/>
  <c r="BQ579" i="1" s="1"/>
  <c r="BJ579" i="1"/>
  <c r="BE579" i="1"/>
  <c r="AV579" i="1"/>
  <c r="AO579" i="1"/>
  <c r="AP579" i="1" s="1"/>
  <c r="AJ579" i="1"/>
  <c r="AL579" i="1" s="1"/>
  <c r="AE579" i="1"/>
  <c r="Z579" i="1"/>
  <c r="N579" i="1"/>
  <c r="K579" i="1"/>
  <c r="J579" i="1"/>
  <c r="E579" i="1"/>
  <c r="D579" i="1"/>
  <c r="C579" i="1"/>
  <c r="B579" i="1"/>
  <c r="CY578" i="1"/>
  <c r="CT578" i="1"/>
  <c r="CV578" i="1" s="1"/>
  <c r="CO578" i="1"/>
  <c r="CQ578" i="1" s="1"/>
  <c r="CJ578" i="1"/>
  <c r="CA578" i="1"/>
  <c r="BT578" i="1"/>
  <c r="BU578" i="1" s="1"/>
  <c r="BO578" i="1"/>
  <c r="BQ578" i="1" s="1"/>
  <c r="BJ578" i="1"/>
  <c r="BE578" i="1"/>
  <c r="AV578" i="1"/>
  <c r="AO578" i="1"/>
  <c r="AP578" i="1" s="1"/>
  <c r="AJ578" i="1"/>
  <c r="AL578" i="1" s="1"/>
  <c r="AE578" i="1"/>
  <c r="AG578" i="1" s="1"/>
  <c r="Z578" i="1"/>
  <c r="N578" i="1"/>
  <c r="K578" i="1"/>
  <c r="J578" i="1"/>
  <c r="E578" i="1"/>
  <c r="D578" i="1"/>
  <c r="C578" i="1"/>
  <c r="B578" i="1"/>
  <c r="CY577" i="1"/>
  <c r="CZ577" i="1" s="1"/>
  <c r="CT577" i="1"/>
  <c r="CV577" i="1" s="1"/>
  <c r="CO577" i="1"/>
  <c r="CQ577" i="1" s="1"/>
  <c r="CJ577" i="1"/>
  <c r="CA577" i="1"/>
  <c r="BT577" i="1"/>
  <c r="BU577" i="1" s="1"/>
  <c r="BO577" i="1"/>
  <c r="BQ577" i="1" s="1"/>
  <c r="BL577" i="1"/>
  <c r="BJ577" i="1"/>
  <c r="BE577" i="1"/>
  <c r="AV577" i="1"/>
  <c r="AP577" i="1"/>
  <c r="AO577" i="1"/>
  <c r="AJ577" i="1"/>
  <c r="AG577" i="1"/>
  <c r="AE577" i="1"/>
  <c r="Z577" i="1"/>
  <c r="N577" i="1"/>
  <c r="K577" i="1"/>
  <c r="J577" i="1"/>
  <c r="E577" i="1"/>
  <c r="D577" i="1"/>
  <c r="C577" i="1"/>
  <c r="B577" i="1"/>
  <c r="CY576" i="1"/>
  <c r="CZ576" i="1" s="1"/>
  <c r="CT576" i="1"/>
  <c r="CV576" i="1" s="1"/>
  <c r="CO576" i="1"/>
  <c r="CJ576" i="1"/>
  <c r="CA576" i="1"/>
  <c r="BT576" i="1"/>
  <c r="BU576" i="1" s="1"/>
  <c r="BO576" i="1"/>
  <c r="BQ576" i="1" s="1"/>
  <c r="BJ576" i="1"/>
  <c r="BL576" i="1" s="1"/>
  <c r="BE576" i="1"/>
  <c r="AV576" i="1"/>
  <c r="AP576" i="1"/>
  <c r="AO576" i="1"/>
  <c r="AJ576" i="1"/>
  <c r="AL576" i="1" s="1"/>
  <c r="AE576" i="1"/>
  <c r="Z576" i="1"/>
  <c r="N576" i="1"/>
  <c r="K576" i="1"/>
  <c r="J576" i="1"/>
  <c r="E576" i="1"/>
  <c r="D576" i="1"/>
  <c r="C576" i="1"/>
  <c r="B576" i="1"/>
  <c r="CY575" i="1"/>
  <c r="CZ575" i="1" s="1"/>
  <c r="CT575" i="1"/>
  <c r="CV575" i="1" s="1"/>
  <c r="CO575" i="1"/>
  <c r="CJ575" i="1"/>
  <c r="CA575" i="1"/>
  <c r="BT575" i="1"/>
  <c r="BU575" i="1" s="1"/>
  <c r="BO575" i="1"/>
  <c r="BQ575" i="1" s="1"/>
  <c r="BJ575" i="1"/>
  <c r="BE575" i="1"/>
  <c r="AV575" i="1"/>
  <c r="AO575" i="1"/>
  <c r="AP575" i="1" s="1"/>
  <c r="AJ575" i="1"/>
  <c r="AE575" i="1"/>
  <c r="AG575" i="1" s="1"/>
  <c r="Z575" i="1"/>
  <c r="N575" i="1"/>
  <c r="K575" i="1"/>
  <c r="J575" i="1"/>
  <c r="E575" i="1"/>
  <c r="D575" i="1"/>
  <c r="C575" i="1"/>
  <c r="B575" i="1"/>
  <c r="CY574" i="1"/>
  <c r="CZ574" i="1" s="1"/>
  <c r="CT574" i="1"/>
  <c r="CV574" i="1" s="1"/>
  <c r="CO574" i="1"/>
  <c r="CQ574" i="1" s="1"/>
  <c r="CJ574" i="1"/>
  <c r="CA574" i="1"/>
  <c r="BT574" i="1"/>
  <c r="BU574" i="1" s="1"/>
  <c r="BO574" i="1"/>
  <c r="BQ574" i="1" s="1"/>
  <c r="BL574" i="1"/>
  <c r="BJ574" i="1"/>
  <c r="BE574" i="1"/>
  <c r="AV574" i="1"/>
  <c r="AO574" i="1"/>
  <c r="AP574" i="1" s="1"/>
  <c r="AJ574" i="1"/>
  <c r="AL574" i="1" s="1"/>
  <c r="AE574" i="1"/>
  <c r="Z574" i="1"/>
  <c r="N574" i="1"/>
  <c r="K574" i="1"/>
  <c r="J574" i="1"/>
  <c r="E574" i="1"/>
  <c r="D574" i="1"/>
  <c r="C574" i="1"/>
  <c r="B574" i="1"/>
  <c r="CY573" i="1"/>
  <c r="CZ573" i="1" s="1"/>
  <c r="CT573" i="1"/>
  <c r="CV573" i="1" s="1"/>
  <c r="CO573" i="1"/>
  <c r="CJ573" i="1"/>
  <c r="CA573" i="1"/>
  <c r="BT573" i="1"/>
  <c r="BU573" i="1" s="1"/>
  <c r="BO573" i="1"/>
  <c r="BQ573" i="1" s="1"/>
  <c r="BJ573" i="1"/>
  <c r="BL573" i="1" s="1"/>
  <c r="BV573" i="1" s="1"/>
  <c r="BE573" i="1"/>
  <c r="AV573" i="1"/>
  <c r="AO573" i="1"/>
  <c r="AP573" i="1" s="1"/>
  <c r="AJ573" i="1"/>
  <c r="AL573" i="1" s="1"/>
  <c r="AE573" i="1"/>
  <c r="Z573" i="1"/>
  <c r="N573" i="1"/>
  <c r="K573" i="1"/>
  <c r="J573" i="1"/>
  <c r="E573" i="1"/>
  <c r="D573" i="1"/>
  <c r="C573" i="1"/>
  <c r="B573" i="1"/>
  <c r="CY572" i="1"/>
  <c r="CZ572" i="1" s="1"/>
  <c r="CT572" i="1"/>
  <c r="CV572" i="1" s="1"/>
  <c r="CO572" i="1"/>
  <c r="CJ572" i="1"/>
  <c r="CA572" i="1"/>
  <c r="BT572" i="1"/>
  <c r="BU572" i="1" s="1"/>
  <c r="BO572" i="1"/>
  <c r="BJ572" i="1"/>
  <c r="BL572" i="1" s="1"/>
  <c r="BE572" i="1"/>
  <c r="AV572" i="1"/>
  <c r="AO572" i="1"/>
  <c r="AP572" i="1" s="1"/>
  <c r="AL572" i="1"/>
  <c r="AJ572" i="1"/>
  <c r="AE572" i="1"/>
  <c r="Z572" i="1"/>
  <c r="N572" i="1"/>
  <c r="K572" i="1"/>
  <c r="J572" i="1"/>
  <c r="E572" i="1"/>
  <c r="D572" i="1"/>
  <c r="C572" i="1"/>
  <c r="B572" i="1"/>
  <c r="CY571" i="1"/>
  <c r="CZ571" i="1" s="1"/>
  <c r="CT571" i="1"/>
  <c r="CV571" i="1" s="1"/>
  <c r="CO571" i="1"/>
  <c r="CJ571" i="1"/>
  <c r="CA571" i="1"/>
  <c r="BT571" i="1"/>
  <c r="BU571" i="1" s="1"/>
  <c r="BO571" i="1"/>
  <c r="BJ571" i="1"/>
  <c r="BL571" i="1" s="1"/>
  <c r="BE571" i="1"/>
  <c r="AV571" i="1"/>
  <c r="AO571" i="1"/>
  <c r="AP571" i="1" s="1"/>
  <c r="AJ571" i="1"/>
  <c r="AL571" i="1" s="1"/>
  <c r="AE571" i="1"/>
  <c r="AG571" i="1" s="1"/>
  <c r="Z571" i="1"/>
  <c r="N571" i="1"/>
  <c r="K571" i="1"/>
  <c r="J571" i="1"/>
  <c r="E571" i="1"/>
  <c r="D571" i="1"/>
  <c r="C571" i="1"/>
  <c r="B571" i="1"/>
  <c r="CY570" i="1"/>
  <c r="CZ570" i="1" s="1"/>
  <c r="CT570" i="1"/>
  <c r="CV570" i="1" s="1"/>
  <c r="CO570" i="1"/>
  <c r="CJ570" i="1"/>
  <c r="CA570" i="1"/>
  <c r="BT570" i="1"/>
  <c r="BU570" i="1" s="1"/>
  <c r="BO570" i="1"/>
  <c r="BQ570" i="1" s="1"/>
  <c r="BJ570" i="1"/>
  <c r="BL570" i="1" s="1"/>
  <c r="BV570" i="1" s="1"/>
  <c r="BE570" i="1"/>
  <c r="AV570" i="1"/>
  <c r="AO570" i="1"/>
  <c r="AP570" i="1" s="1"/>
  <c r="AJ570" i="1"/>
  <c r="AL570" i="1" s="1"/>
  <c r="AE570" i="1"/>
  <c r="Z570" i="1"/>
  <c r="N570" i="1"/>
  <c r="K570" i="1"/>
  <c r="J570" i="1"/>
  <c r="E570" i="1"/>
  <c r="D570" i="1"/>
  <c r="C570" i="1"/>
  <c r="B570" i="1"/>
  <c r="CY569" i="1"/>
  <c r="CZ569" i="1" s="1"/>
  <c r="CT569" i="1"/>
  <c r="CV569" i="1" s="1"/>
  <c r="CO569" i="1"/>
  <c r="CJ569" i="1"/>
  <c r="CA569" i="1"/>
  <c r="BT569" i="1"/>
  <c r="BU569" i="1" s="1"/>
  <c r="BO569" i="1"/>
  <c r="BQ569" i="1" s="1"/>
  <c r="BJ569" i="1"/>
  <c r="BE569" i="1"/>
  <c r="AV569" i="1"/>
  <c r="AO569" i="1"/>
  <c r="AP569" i="1" s="1"/>
  <c r="AJ569" i="1"/>
  <c r="AL569" i="1" s="1"/>
  <c r="AE569" i="1"/>
  <c r="Z569" i="1"/>
  <c r="N569" i="1"/>
  <c r="K569" i="1"/>
  <c r="J569" i="1"/>
  <c r="E569" i="1"/>
  <c r="D569" i="1"/>
  <c r="C569" i="1"/>
  <c r="B569" i="1"/>
  <c r="CY568" i="1"/>
  <c r="CZ568" i="1" s="1"/>
  <c r="CT568" i="1"/>
  <c r="CO568" i="1"/>
  <c r="CQ568" i="1" s="1"/>
  <c r="CJ568" i="1"/>
  <c r="CA568" i="1"/>
  <c r="BT568" i="1"/>
  <c r="BU568" i="1" s="1"/>
  <c r="BO568" i="1"/>
  <c r="BQ568" i="1" s="1"/>
  <c r="BV568" i="1" s="1"/>
  <c r="BJ568" i="1"/>
  <c r="BL568" i="1" s="1"/>
  <c r="BE568" i="1"/>
  <c r="AV568" i="1"/>
  <c r="AP568" i="1"/>
  <c r="AO568" i="1"/>
  <c r="AJ568" i="1"/>
  <c r="AL568" i="1" s="1"/>
  <c r="AE568" i="1"/>
  <c r="Z568" i="1"/>
  <c r="N568" i="1"/>
  <c r="K568" i="1"/>
  <c r="J568" i="1"/>
  <c r="E568" i="1"/>
  <c r="D568" i="1"/>
  <c r="C568" i="1"/>
  <c r="B568" i="1"/>
  <c r="CY567" i="1"/>
  <c r="CZ567" i="1" s="1"/>
  <c r="CT567" i="1"/>
  <c r="CV567" i="1" s="1"/>
  <c r="CO567" i="1"/>
  <c r="CQ567" i="1" s="1"/>
  <c r="CJ567" i="1"/>
  <c r="CA567" i="1"/>
  <c r="BT567" i="1"/>
  <c r="BU567" i="1" s="1"/>
  <c r="BO567" i="1"/>
  <c r="BQ567" i="1" s="1"/>
  <c r="BJ567" i="1"/>
  <c r="BE567" i="1"/>
  <c r="AV567" i="1"/>
  <c r="AO567" i="1"/>
  <c r="AP567" i="1" s="1"/>
  <c r="AJ567" i="1"/>
  <c r="AE567" i="1"/>
  <c r="AG567" i="1" s="1"/>
  <c r="Z567" i="1"/>
  <c r="N567" i="1"/>
  <c r="K567" i="1"/>
  <c r="J567" i="1"/>
  <c r="E567" i="1"/>
  <c r="D567" i="1"/>
  <c r="C567" i="1"/>
  <c r="B567" i="1"/>
  <c r="CY566" i="1"/>
  <c r="CZ566" i="1" s="1"/>
  <c r="CT566" i="1"/>
  <c r="CV566" i="1" s="1"/>
  <c r="CO566" i="1"/>
  <c r="CQ566" i="1" s="1"/>
  <c r="DA566" i="1" s="1"/>
  <c r="CJ566" i="1"/>
  <c r="CA566" i="1"/>
  <c r="BT566" i="1"/>
  <c r="BU566" i="1" s="1"/>
  <c r="BO566" i="1"/>
  <c r="BQ566" i="1" s="1"/>
  <c r="BJ566" i="1"/>
  <c r="BE566" i="1"/>
  <c r="AV566" i="1"/>
  <c r="AO566" i="1"/>
  <c r="AP566" i="1" s="1"/>
  <c r="AJ566" i="1"/>
  <c r="AL566" i="1" s="1"/>
  <c r="AE566" i="1"/>
  <c r="AG566" i="1" s="1"/>
  <c r="AQ566" i="1" s="1"/>
  <c r="Z566" i="1"/>
  <c r="N566" i="1"/>
  <c r="K566" i="1"/>
  <c r="J566" i="1"/>
  <c r="E566" i="1"/>
  <c r="D566" i="1"/>
  <c r="C566" i="1"/>
  <c r="B566" i="1"/>
  <c r="CY565" i="1"/>
  <c r="CZ565" i="1" s="1"/>
  <c r="CT565" i="1"/>
  <c r="CV565" i="1" s="1"/>
  <c r="CO565" i="1"/>
  <c r="CJ565" i="1"/>
  <c r="CA565" i="1"/>
  <c r="BT565" i="1"/>
  <c r="BU565" i="1" s="1"/>
  <c r="BO565" i="1"/>
  <c r="BQ565" i="1" s="1"/>
  <c r="BJ565" i="1"/>
  <c r="BL565" i="1" s="1"/>
  <c r="BE565" i="1"/>
  <c r="AV565" i="1"/>
  <c r="AO565" i="1"/>
  <c r="AP565" i="1" s="1"/>
  <c r="AJ565" i="1"/>
  <c r="AL565" i="1" s="1"/>
  <c r="AE565" i="1"/>
  <c r="Z565" i="1"/>
  <c r="N565" i="1"/>
  <c r="K565" i="1"/>
  <c r="J565" i="1"/>
  <c r="E565" i="1"/>
  <c r="D565" i="1"/>
  <c r="C565" i="1"/>
  <c r="B565" i="1"/>
  <c r="CY564" i="1"/>
  <c r="CZ564" i="1" s="1"/>
  <c r="CT564" i="1"/>
  <c r="CV564" i="1" s="1"/>
  <c r="CO564" i="1"/>
  <c r="CJ564" i="1"/>
  <c r="CA564" i="1"/>
  <c r="BT564" i="1"/>
  <c r="BU564" i="1" s="1"/>
  <c r="BO564" i="1"/>
  <c r="BQ564" i="1" s="1"/>
  <c r="BJ564" i="1"/>
  <c r="BL564" i="1" s="1"/>
  <c r="BV564" i="1" s="1"/>
  <c r="BE564" i="1"/>
  <c r="AV564" i="1"/>
  <c r="AO564" i="1"/>
  <c r="AP564" i="1" s="1"/>
  <c r="AJ564" i="1"/>
  <c r="AL564" i="1" s="1"/>
  <c r="AE564" i="1"/>
  <c r="Z564" i="1"/>
  <c r="N564" i="1"/>
  <c r="K564" i="1"/>
  <c r="J564" i="1"/>
  <c r="E564" i="1"/>
  <c r="D564" i="1"/>
  <c r="C564" i="1"/>
  <c r="B564" i="1"/>
  <c r="CY563" i="1"/>
  <c r="CZ563" i="1" s="1"/>
  <c r="CT563" i="1"/>
  <c r="CV563" i="1" s="1"/>
  <c r="CO563" i="1"/>
  <c r="CJ563" i="1"/>
  <c r="CA563" i="1"/>
  <c r="BT563" i="1"/>
  <c r="BU563" i="1" s="1"/>
  <c r="BO563" i="1"/>
  <c r="BQ563" i="1" s="1"/>
  <c r="BL563" i="1"/>
  <c r="BV563" i="1" s="1"/>
  <c r="BJ563" i="1"/>
  <c r="BE563" i="1"/>
  <c r="AV563" i="1"/>
  <c r="AP563" i="1"/>
  <c r="AO563" i="1"/>
  <c r="AJ563" i="1"/>
  <c r="AL563" i="1" s="1"/>
  <c r="AE563" i="1"/>
  <c r="Z563" i="1"/>
  <c r="N563" i="1"/>
  <c r="K563" i="1"/>
  <c r="J563" i="1"/>
  <c r="E563" i="1"/>
  <c r="D563" i="1"/>
  <c r="C563" i="1"/>
  <c r="B563" i="1"/>
  <c r="CY562" i="1"/>
  <c r="CZ562" i="1" s="1"/>
  <c r="CT562" i="1"/>
  <c r="CV562" i="1" s="1"/>
  <c r="CO562" i="1"/>
  <c r="CQ562" i="1" s="1"/>
  <c r="CJ562" i="1"/>
  <c r="CA562" i="1"/>
  <c r="BT562" i="1"/>
  <c r="BU562" i="1" s="1"/>
  <c r="BO562" i="1"/>
  <c r="BQ562" i="1" s="1"/>
  <c r="BJ562" i="1"/>
  <c r="BL562" i="1" s="1"/>
  <c r="BE562" i="1"/>
  <c r="AV562" i="1"/>
  <c r="AO562" i="1"/>
  <c r="AP562" i="1" s="1"/>
  <c r="AJ562" i="1"/>
  <c r="AL562" i="1" s="1"/>
  <c r="AE562" i="1"/>
  <c r="Z562" i="1"/>
  <c r="N562" i="1"/>
  <c r="K562" i="1"/>
  <c r="J562" i="1"/>
  <c r="E562" i="1"/>
  <c r="D562" i="1"/>
  <c r="C562" i="1"/>
  <c r="B562" i="1"/>
  <c r="CY561" i="1"/>
  <c r="CZ561" i="1" s="1"/>
  <c r="CT561" i="1"/>
  <c r="CV561" i="1" s="1"/>
  <c r="CO561" i="1"/>
  <c r="CQ561" i="1" s="1"/>
  <c r="CJ561" i="1"/>
  <c r="CA561" i="1"/>
  <c r="BT561" i="1"/>
  <c r="BU561" i="1" s="1"/>
  <c r="BO561" i="1"/>
  <c r="BQ561" i="1" s="1"/>
  <c r="BJ561" i="1"/>
  <c r="BE561" i="1"/>
  <c r="AV561" i="1"/>
  <c r="AO561" i="1"/>
  <c r="AP561" i="1" s="1"/>
  <c r="AJ561" i="1"/>
  <c r="AL561" i="1" s="1"/>
  <c r="AE561" i="1"/>
  <c r="AG561" i="1" s="1"/>
  <c r="AQ561" i="1" s="1"/>
  <c r="Z561" i="1"/>
  <c r="N561" i="1"/>
  <c r="K561" i="1"/>
  <c r="J561" i="1"/>
  <c r="E561" i="1"/>
  <c r="D561" i="1"/>
  <c r="C561" i="1"/>
  <c r="B561" i="1"/>
  <c r="CY560" i="1"/>
  <c r="CZ560" i="1" s="1"/>
  <c r="CT560" i="1"/>
  <c r="CV560" i="1" s="1"/>
  <c r="CO560" i="1"/>
  <c r="CJ560" i="1"/>
  <c r="CA560" i="1"/>
  <c r="BT560" i="1"/>
  <c r="BU560" i="1" s="1"/>
  <c r="BQ560" i="1"/>
  <c r="BO560" i="1"/>
  <c r="BJ560" i="1"/>
  <c r="BE560" i="1"/>
  <c r="AV560" i="1"/>
  <c r="AO560" i="1"/>
  <c r="AP560" i="1" s="1"/>
  <c r="AJ560" i="1"/>
  <c r="AE560" i="1"/>
  <c r="AG560" i="1" s="1"/>
  <c r="Z560" i="1"/>
  <c r="N560" i="1"/>
  <c r="K560" i="1"/>
  <c r="J560" i="1"/>
  <c r="E560" i="1"/>
  <c r="D560" i="1"/>
  <c r="C560" i="1"/>
  <c r="B560" i="1"/>
  <c r="CY559" i="1"/>
  <c r="CZ559" i="1" s="1"/>
  <c r="CT559" i="1"/>
  <c r="CV559" i="1" s="1"/>
  <c r="CO559" i="1"/>
  <c r="CQ559" i="1" s="1"/>
  <c r="CJ559" i="1"/>
  <c r="CA559" i="1"/>
  <c r="BT559" i="1"/>
  <c r="BU559" i="1" s="1"/>
  <c r="BO559" i="1"/>
  <c r="BQ559" i="1" s="1"/>
  <c r="BJ559" i="1"/>
  <c r="BE559" i="1"/>
  <c r="AV559" i="1"/>
  <c r="AO559" i="1"/>
  <c r="AJ559" i="1"/>
  <c r="AL559" i="1" s="1"/>
  <c r="AE559" i="1"/>
  <c r="AG559" i="1" s="1"/>
  <c r="AQ559" i="1" s="1"/>
  <c r="Z559" i="1"/>
  <c r="N559" i="1"/>
  <c r="K559" i="1"/>
  <c r="J559" i="1"/>
  <c r="E559" i="1"/>
  <c r="D559" i="1"/>
  <c r="C559" i="1"/>
  <c r="B559" i="1"/>
  <c r="CY558" i="1"/>
  <c r="CZ558" i="1" s="1"/>
  <c r="CT558" i="1"/>
  <c r="CV558" i="1" s="1"/>
  <c r="CO558" i="1"/>
  <c r="CJ558" i="1"/>
  <c r="CA558" i="1"/>
  <c r="BT558" i="1"/>
  <c r="BU558" i="1" s="1"/>
  <c r="BO558" i="1"/>
  <c r="BJ558" i="1"/>
  <c r="BL558" i="1" s="1"/>
  <c r="BE558" i="1"/>
  <c r="AV558" i="1"/>
  <c r="AO558" i="1"/>
  <c r="AP558" i="1" s="1"/>
  <c r="AJ558" i="1"/>
  <c r="AL558" i="1" s="1"/>
  <c r="AE558" i="1"/>
  <c r="AG558" i="1" s="1"/>
  <c r="AQ558" i="1" s="1"/>
  <c r="Z558" i="1"/>
  <c r="N558" i="1"/>
  <c r="K558" i="1"/>
  <c r="J558" i="1"/>
  <c r="E558" i="1"/>
  <c r="D558" i="1"/>
  <c r="C558" i="1"/>
  <c r="B558" i="1"/>
  <c r="CY557" i="1"/>
  <c r="CZ557" i="1" s="1"/>
  <c r="CT557" i="1"/>
  <c r="CV557" i="1" s="1"/>
  <c r="CO557" i="1"/>
  <c r="CQ557" i="1" s="1"/>
  <c r="CJ557" i="1"/>
  <c r="CA557" i="1"/>
  <c r="BT557" i="1"/>
  <c r="BU557" i="1" s="1"/>
  <c r="BO557" i="1"/>
  <c r="BQ557" i="1" s="1"/>
  <c r="BJ557" i="1"/>
  <c r="BL557" i="1" s="1"/>
  <c r="BV557" i="1" s="1"/>
  <c r="BE557" i="1"/>
  <c r="AV557" i="1"/>
  <c r="AO557" i="1"/>
  <c r="AP557" i="1" s="1"/>
  <c r="AJ557" i="1"/>
  <c r="AL557" i="1" s="1"/>
  <c r="AE557" i="1"/>
  <c r="Z557" i="1"/>
  <c r="N557" i="1"/>
  <c r="K557" i="1"/>
  <c r="J557" i="1"/>
  <c r="E557" i="1"/>
  <c r="D557" i="1"/>
  <c r="C557" i="1"/>
  <c r="B557" i="1"/>
  <c r="CY556" i="1"/>
  <c r="CZ556" i="1" s="1"/>
  <c r="CT556" i="1"/>
  <c r="CV556" i="1" s="1"/>
  <c r="CO556" i="1"/>
  <c r="CJ556" i="1"/>
  <c r="CA556" i="1"/>
  <c r="BT556" i="1"/>
  <c r="BU556" i="1" s="1"/>
  <c r="BO556" i="1"/>
  <c r="BQ556" i="1" s="1"/>
  <c r="BJ556" i="1"/>
  <c r="BL556" i="1" s="1"/>
  <c r="BE556" i="1"/>
  <c r="AV556" i="1"/>
  <c r="AO556" i="1"/>
  <c r="AP556" i="1" s="1"/>
  <c r="AJ556" i="1"/>
  <c r="AL556" i="1" s="1"/>
  <c r="AE556" i="1"/>
  <c r="AG556" i="1" s="1"/>
  <c r="Z556" i="1"/>
  <c r="N556" i="1"/>
  <c r="K556" i="1"/>
  <c r="J556" i="1"/>
  <c r="E556" i="1"/>
  <c r="D556" i="1"/>
  <c r="C556" i="1"/>
  <c r="B556" i="1"/>
  <c r="DA555" i="1"/>
  <c r="CY555" i="1"/>
  <c r="CT555" i="1"/>
  <c r="CV555" i="1" s="1"/>
  <c r="CO555" i="1"/>
  <c r="CQ555" i="1" s="1"/>
  <c r="CJ555" i="1"/>
  <c r="CA555" i="1"/>
  <c r="BT555" i="1"/>
  <c r="BU555" i="1" s="1"/>
  <c r="BQ555" i="1"/>
  <c r="BO555" i="1"/>
  <c r="BJ555" i="1"/>
  <c r="BE555" i="1"/>
  <c r="AV555" i="1"/>
  <c r="AO555" i="1"/>
  <c r="AP555" i="1" s="1"/>
  <c r="AJ555" i="1"/>
  <c r="AL555" i="1" s="1"/>
  <c r="AE555" i="1"/>
  <c r="AG555" i="1" s="1"/>
  <c r="AQ555" i="1" s="1"/>
  <c r="Z555" i="1"/>
  <c r="N555" i="1"/>
  <c r="K555" i="1"/>
  <c r="J555" i="1"/>
  <c r="E555" i="1"/>
  <c r="D555" i="1"/>
  <c r="C555" i="1"/>
  <c r="B555" i="1"/>
  <c r="CY554" i="1"/>
  <c r="CZ554" i="1" s="1"/>
  <c r="CT554" i="1"/>
  <c r="CO554" i="1"/>
  <c r="CQ554" i="1" s="1"/>
  <c r="CJ554" i="1"/>
  <c r="CA554" i="1"/>
  <c r="BT554" i="1"/>
  <c r="BU554" i="1" s="1"/>
  <c r="BO554" i="1"/>
  <c r="BQ554" i="1" s="1"/>
  <c r="BJ554" i="1"/>
  <c r="BE554" i="1"/>
  <c r="AV554" i="1"/>
  <c r="AO554" i="1"/>
  <c r="AP554" i="1" s="1"/>
  <c r="AJ554" i="1"/>
  <c r="AE554" i="1"/>
  <c r="AG554" i="1" s="1"/>
  <c r="Z554" i="1"/>
  <c r="N554" i="1"/>
  <c r="K554" i="1"/>
  <c r="J554" i="1"/>
  <c r="E554" i="1"/>
  <c r="D554" i="1"/>
  <c r="C554" i="1"/>
  <c r="B554" i="1"/>
  <c r="CY553" i="1"/>
  <c r="CZ553" i="1" s="1"/>
  <c r="CT553" i="1"/>
  <c r="CV553" i="1" s="1"/>
  <c r="CO553" i="1"/>
  <c r="CQ553" i="1" s="1"/>
  <c r="DA553" i="1" s="1"/>
  <c r="CJ553" i="1"/>
  <c r="CA553" i="1"/>
  <c r="BT553" i="1"/>
  <c r="BU553" i="1" s="1"/>
  <c r="BO553" i="1"/>
  <c r="BQ553" i="1" s="1"/>
  <c r="BJ553" i="1"/>
  <c r="BL553" i="1" s="1"/>
  <c r="BE553" i="1"/>
  <c r="AV553" i="1"/>
  <c r="AO553" i="1"/>
  <c r="AP553" i="1" s="1"/>
  <c r="AL553" i="1"/>
  <c r="AJ553" i="1"/>
  <c r="AE553" i="1"/>
  <c r="Z553" i="1"/>
  <c r="N553" i="1"/>
  <c r="K553" i="1"/>
  <c r="J553" i="1"/>
  <c r="E553" i="1"/>
  <c r="D553" i="1"/>
  <c r="C553" i="1"/>
  <c r="B553" i="1"/>
  <c r="CY552" i="1"/>
  <c r="CZ552" i="1" s="1"/>
  <c r="CT552" i="1"/>
  <c r="CV552" i="1" s="1"/>
  <c r="CQ552" i="1"/>
  <c r="CO552" i="1"/>
  <c r="CJ552" i="1"/>
  <c r="CA552" i="1"/>
  <c r="BT552" i="1"/>
  <c r="BU552" i="1" s="1"/>
  <c r="BO552" i="1"/>
  <c r="BQ552" i="1" s="1"/>
  <c r="BJ552" i="1"/>
  <c r="BE552" i="1"/>
  <c r="AV552" i="1"/>
  <c r="AO552" i="1"/>
  <c r="AP552" i="1" s="1"/>
  <c r="AJ552" i="1"/>
  <c r="AL552" i="1" s="1"/>
  <c r="AE552" i="1"/>
  <c r="Z552" i="1"/>
  <c r="N552" i="1"/>
  <c r="K552" i="1"/>
  <c r="J552" i="1"/>
  <c r="E552" i="1"/>
  <c r="D552" i="1"/>
  <c r="C552" i="1"/>
  <c r="B552" i="1"/>
  <c r="CY551" i="1"/>
  <c r="CZ551" i="1" s="1"/>
  <c r="CT551" i="1"/>
  <c r="CV551" i="1" s="1"/>
  <c r="CO551" i="1"/>
  <c r="CJ551" i="1"/>
  <c r="CA551" i="1"/>
  <c r="BT551" i="1"/>
  <c r="BU551" i="1" s="1"/>
  <c r="BO551" i="1"/>
  <c r="BJ551" i="1"/>
  <c r="BL551" i="1" s="1"/>
  <c r="BE551" i="1"/>
  <c r="AV551" i="1"/>
  <c r="AO551" i="1"/>
  <c r="AP551" i="1" s="1"/>
  <c r="AJ551" i="1"/>
  <c r="AL551" i="1" s="1"/>
  <c r="AE551" i="1"/>
  <c r="AG551" i="1" s="1"/>
  <c r="Z551" i="1"/>
  <c r="N551" i="1"/>
  <c r="K551" i="1"/>
  <c r="J551" i="1"/>
  <c r="E551" i="1"/>
  <c r="D551" i="1"/>
  <c r="C551" i="1"/>
  <c r="B551" i="1"/>
  <c r="CY550" i="1"/>
  <c r="CZ550" i="1" s="1"/>
  <c r="CV550" i="1"/>
  <c r="CT550" i="1"/>
  <c r="CO550" i="1"/>
  <c r="CQ550" i="1" s="1"/>
  <c r="CJ550" i="1"/>
  <c r="CA550" i="1"/>
  <c r="BT550" i="1"/>
  <c r="BU550" i="1" s="1"/>
  <c r="BO550" i="1"/>
  <c r="BJ550" i="1"/>
  <c r="BL550" i="1" s="1"/>
  <c r="BE550" i="1"/>
  <c r="AV550" i="1"/>
  <c r="AO550" i="1"/>
  <c r="AP550" i="1" s="1"/>
  <c r="AJ550" i="1"/>
  <c r="AL550" i="1" s="1"/>
  <c r="AE550" i="1"/>
  <c r="Z550" i="1"/>
  <c r="N550" i="1"/>
  <c r="K550" i="1"/>
  <c r="J550" i="1"/>
  <c r="E550" i="1"/>
  <c r="D550" i="1"/>
  <c r="C550" i="1"/>
  <c r="B550" i="1"/>
  <c r="CY549" i="1"/>
  <c r="CZ549" i="1" s="1"/>
  <c r="CT549" i="1"/>
  <c r="CV549" i="1" s="1"/>
  <c r="CO549" i="1"/>
  <c r="CJ549" i="1"/>
  <c r="CA549" i="1"/>
  <c r="BT549" i="1"/>
  <c r="BU549" i="1" s="1"/>
  <c r="BO549" i="1"/>
  <c r="BQ549" i="1" s="1"/>
  <c r="BJ549" i="1"/>
  <c r="BL549" i="1" s="1"/>
  <c r="BE549" i="1"/>
  <c r="AV549" i="1"/>
  <c r="AO549" i="1"/>
  <c r="AP549" i="1" s="1"/>
  <c r="AJ549" i="1"/>
  <c r="AL549" i="1" s="1"/>
  <c r="AE549" i="1"/>
  <c r="Z549" i="1"/>
  <c r="N549" i="1"/>
  <c r="K549" i="1"/>
  <c r="J549" i="1"/>
  <c r="E549" i="1"/>
  <c r="D549" i="1"/>
  <c r="C549" i="1"/>
  <c r="B549" i="1"/>
  <c r="CY548" i="1"/>
  <c r="CZ548" i="1" s="1"/>
  <c r="CT548" i="1"/>
  <c r="CV548" i="1" s="1"/>
  <c r="CO548" i="1"/>
  <c r="CJ548" i="1"/>
  <c r="CA548" i="1"/>
  <c r="BT548" i="1"/>
  <c r="BU548" i="1" s="1"/>
  <c r="BO548" i="1"/>
  <c r="BQ548" i="1" s="1"/>
  <c r="BJ548" i="1"/>
  <c r="BE548" i="1"/>
  <c r="AV548" i="1"/>
  <c r="AO548" i="1"/>
  <c r="AP548" i="1" s="1"/>
  <c r="AJ548" i="1"/>
  <c r="AL548" i="1" s="1"/>
  <c r="AE548" i="1"/>
  <c r="Z548" i="1"/>
  <c r="N548" i="1"/>
  <c r="K548" i="1"/>
  <c r="J548" i="1"/>
  <c r="E548" i="1"/>
  <c r="D548" i="1"/>
  <c r="C548" i="1"/>
  <c r="B548" i="1"/>
  <c r="CY547" i="1"/>
  <c r="CZ547" i="1" s="1"/>
  <c r="CT547" i="1"/>
  <c r="CV547" i="1" s="1"/>
  <c r="CO547" i="1"/>
  <c r="CJ547" i="1"/>
  <c r="CA547" i="1"/>
  <c r="BT547" i="1"/>
  <c r="BU547" i="1" s="1"/>
  <c r="BQ547" i="1"/>
  <c r="BO547" i="1"/>
  <c r="BJ547" i="1"/>
  <c r="BE547" i="1"/>
  <c r="AV547" i="1"/>
  <c r="AO547" i="1"/>
  <c r="AP547" i="1" s="1"/>
  <c r="AJ547" i="1"/>
  <c r="AL547" i="1" s="1"/>
  <c r="AE547" i="1"/>
  <c r="Z547" i="1"/>
  <c r="N547" i="1"/>
  <c r="K547" i="1"/>
  <c r="J547" i="1"/>
  <c r="E547" i="1"/>
  <c r="D547" i="1"/>
  <c r="C547" i="1"/>
  <c r="B547" i="1"/>
  <c r="CY546" i="1"/>
  <c r="CZ546" i="1" s="1"/>
  <c r="CT546" i="1"/>
  <c r="CV546" i="1" s="1"/>
  <c r="CO546" i="1"/>
  <c r="CQ546" i="1" s="1"/>
  <c r="CJ546" i="1"/>
  <c r="CA546" i="1"/>
  <c r="BT546" i="1"/>
  <c r="BU546" i="1" s="1"/>
  <c r="BO546" i="1"/>
  <c r="BQ546" i="1" s="1"/>
  <c r="BJ546" i="1"/>
  <c r="BE546" i="1"/>
  <c r="AV546" i="1"/>
  <c r="AO546" i="1"/>
  <c r="AP546" i="1" s="1"/>
  <c r="AJ546" i="1"/>
  <c r="AL546" i="1" s="1"/>
  <c r="AE546" i="1"/>
  <c r="Z546" i="1"/>
  <c r="N546" i="1"/>
  <c r="K546" i="1"/>
  <c r="J546" i="1"/>
  <c r="E546" i="1"/>
  <c r="D546" i="1"/>
  <c r="C546" i="1"/>
  <c r="B546" i="1"/>
  <c r="CY545" i="1"/>
  <c r="CZ545" i="1" s="1"/>
  <c r="CT545" i="1"/>
  <c r="CV545" i="1" s="1"/>
  <c r="CQ545" i="1"/>
  <c r="CO545" i="1"/>
  <c r="CJ545" i="1"/>
  <c r="CA545" i="1"/>
  <c r="BT545" i="1"/>
  <c r="BU545" i="1" s="1"/>
  <c r="BO545" i="1"/>
  <c r="BQ545" i="1" s="1"/>
  <c r="BJ545" i="1"/>
  <c r="BL545" i="1" s="1"/>
  <c r="BE545" i="1"/>
  <c r="AV545" i="1"/>
  <c r="AO545" i="1"/>
  <c r="AP545" i="1" s="1"/>
  <c r="AJ545" i="1"/>
  <c r="AL545" i="1" s="1"/>
  <c r="AE545" i="1"/>
  <c r="AG545" i="1" s="1"/>
  <c r="Z545" i="1"/>
  <c r="N545" i="1"/>
  <c r="K545" i="1"/>
  <c r="J545" i="1"/>
  <c r="E545" i="1"/>
  <c r="D545" i="1"/>
  <c r="C545" i="1"/>
  <c r="B545" i="1"/>
  <c r="CY544" i="1"/>
  <c r="CZ544" i="1" s="1"/>
  <c r="CT544" i="1"/>
  <c r="CV544" i="1" s="1"/>
  <c r="CO544" i="1"/>
  <c r="CJ544" i="1"/>
  <c r="CA544" i="1"/>
  <c r="BT544" i="1"/>
  <c r="BU544" i="1" s="1"/>
  <c r="BO544" i="1"/>
  <c r="BQ544" i="1" s="1"/>
  <c r="BL544" i="1"/>
  <c r="BV544" i="1" s="1"/>
  <c r="BJ544" i="1"/>
  <c r="BE544" i="1"/>
  <c r="AV544" i="1"/>
  <c r="AO544" i="1"/>
  <c r="AP544" i="1" s="1"/>
  <c r="AJ544" i="1"/>
  <c r="AL544" i="1" s="1"/>
  <c r="AE544" i="1"/>
  <c r="AG544" i="1" s="1"/>
  <c r="AQ544" i="1" s="1"/>
  <c r="Z544" i="1"/>
  <c r="N544" i="1"/>
  <c r="K544" i="1"/>
  <c r="J544" i="1"/>
  <c r="E544" i="1"/>
  <c r="D544" i="1"/>
  <c r="C544" i="1"/>
  <c r="B544" i="1"/>
  <c r="CY543" i="1"/>
  <c r="CZ543" i="1" s="1"/>
  <c r="CT543" i="1"/>
  <c r="CV543" i="1" s="1"/>
  <c r="CO543" i="1"/>
  <c r="CJ543" i="1"/>
  <c r="CA543" i="1"/>
  <c r="BT543" i="1"/>
  <c r="BU543" i="1" s="1"/>
  <c r="BO543" i="1"/>
  <c r="BQ543" i="1" s="1"/>
  <c r="BJ543" i="1"/>
  <c r="BE543" i="1"/>
  <c r="AV543" i="1"/>
  <c r="AO543" i="1"/>
  <c r="AP543" i="1" s="1"/>
  <c r="AJ543" i="1"/>
  <c r="AL543" i="1" s="1"/>
  <c r="AE543" i="1"/>
  <c r="Z543" i="1"/>
  <c r="N543" i="1"/>
  <c r="K543" i="1"/>
  <c r="J543" i="1"/>
  <c r="E543" i="1"/>
  <c r="D543" i="1"/>
  <c r="C543" i="1"/>
  <c r="B543" i="1"/>
  <c r="CY542" i="1"/>
  <c r="CZ542" i="1" s="1"/>
  <c r="CT542" i="1"/>
  <c r="CV542" i="1" s="1"/>
  <c r="CO542" i="1"/>
  <c r="CQ542" i="1" s="1"/>
  <c r="DA542" i="1" s="1"/>
  <c r="CJ542" i="1"/>
  <c r="CA542" i="1"/>
  <c r="BT542" i="1"/>
  <c r="BU542" i="1" s="1"/>
  <c r="BO542" i="1"/>
  <c r="BQ542" i="1" s="1"/>
  <c r="BJ542" i="1"/>
  <c r="BE542" i="1"/>
  <c r="AV542" i="1"/>
  <c r="AP542" i="1"/>
  <c r="AO542" i="1"/>
  <c r="AJ542" i="1"/>
  <c r="AL542" i="1" s="1"/>
  <c r="AE542" i="1"/>
  <c r="AG542" i="1" s="1"/>
  <c r="Z542" i="1"/>
  <c r="N542" i="1"/>
  <c r="K542" i="1"/>
  <c r="J542" i="1"/>
  <c r="E542" i="1"/>
  <c r="D542" i="1"/>
  <c r="C542" i="1"/>
  <c r="B542" i="1"/>
  <c r="CY541" i="1"/>
  <c r="CZ541" i="1" s="1"/>
  <c r="CT541" i="1"/>
  <c r="CV541" i="1" s="1"/>
  <c r="CO541" i="1"/>
  <c r="CQ541" i="1" s="1"/>
  <c r="DA541" i="1" s="1"/>
  <c r="CJ541" i="1"/>
  <c r="CA541" i="1"/>
  <c r="BT541" i="1"/>
  <c r="BU541" i="1" s="1"/>
  <c r="BO541" i="1"/>
  <c r="BQ541" i="1" s="1"/>
  <c r="BJ541" i="1"/>
  <c r="BL541" i="1" s="1"/>
  <c r="BE541" i="1"/>
  <c r="AV541" i="1"/>
  <c r="AO541" i="1"/>
  <c r="AP541" i="1" s="1"/>
  <c r="AJ541" i="1"/>
  <c r="AL541" i="1" s="1"/>
  <c r="AE541" i="1"/>
  <c r="Z541" i="1"/>
  <c r="N541" i="1"/>
  <c r="K541" i="1"/>
  <c r="J541" i="1"/>
  <c r="E541" i="1"/>
  <c r="D541" i="1"/>
  <c r="C541" i="1"/>
  <c r="B541" i="1"/>
  <c r="CY540" i="1"/>
  <c r="CZ540" i="1" s="1"/>
  <c r="CT540" i="1"/>
  <c r="CV540" i="1" s="1"/>
  <c r="CO540" i="1"/>
  <c r="CQ540" i="1" s="1"/>
  <c r="CJ540" i="1"/>
  <c r="CA540" i="1"/>
  <c r="BT540" i="1"/>
  <c r="BU540" i="1" s="1"/>
  <c r="BO540" i="1"/>
  <c r="BQ540" i="1" s="1"/>
  <c r="BJ540" i="1"/>
  <c r="BE540" i="1"/>
  <c r="AV540" i="1"/>
  <c r="AO540" i="1"/>
  <c r="AP540" i="1" s="1"/>
  <c r="AJ540" i="1"/>
  <c r="AL540" i="1" s="1"/>
  <c r="AE540" i="1"/>
  <c r="Z540" i="1"/>
  <c r="N540" i="1"/>
  <c r="K540" i="1"/>
  <c r="J540" i="1"/>
  <c r="E540" i="1"/>
  <c r="D540" i="1"/>
  <c r="C540" i="1"/>
  <c r="B540" i="1"/>
  <c r="CY539" i="1"/>
  <c r="CZ539" i="1" s="1"/>
  <c r="CT539" i="1"/>
  <c r="CO539" i="1"/>
  <c r="CQ539" i="1" s="1"/>
  <c r="CJ539" i="1"/>
  <c r="CA539" i="1"/>
  <c r="BT539" i="1"/>
  <c r="BU539" i="1" s="1"/>
  <c r="BO539" i="1"/>
  <c r="BQ539" i="1" s="1"/>
  <c r="BJ539" i="1"/>
  <c r="BL539" i="1" s="1"/>
  <c r="BE539" i="1"/>
  <c r="AV539" i="1"/>
  <c r="AO539" i="1"/>
  <c r="AP539" i="1" s="1"/>
  <c r="AJ539" i="1"/>
  <c r="AE539" i="1"/>
  <c r="AG539" i="1" s="1"/>
  <c r="Z539" i="1"/>
  <c r="N539" i="1"/>
  <c r="K539" i="1"/>
  <c r="J539" i="1"/>
  <c r="E539" i="1"/>
  <c r="D539" i="1"/>
  <c r="C539" i="1"/>
  <c r="B539" i="1"/>
  <c r="CZ538" i="1"/>
  <c r="CY538" i="1"/>
  <c r="CT538" i="1"/>
  <c r="CV538" i="1" s="1"/>
  <c r="CO538" i="1"/>
  <c r="CJ538" i="1"/>
  <c r="CA538" i="1"/>
  <c r="BT538" i="1"/>
  <c r="BU538" i="1" s="1"/>
  <c r="BO538" i="1"/>
  <c r="BQ538" i="1" s="1"/>
  <c r="BJ538" i="1"/>
  <c r="BE538" i="1"/>
  <c r="AV538" i="1"/>
  <c r="AO538" i="1"/>
  <c r="AP538" i="1" s="1"/>
  <c r="AJ538" i="1"/>
  <c r="AL538" i="1" s="1"/>
  <c r="AE538" i="1"/>
  <c r="AG538" i="1" s="1"/>
  <c r="Z538" i="1"/>
  <c r="N538" i="1"/>
  <c r="K538" i="1"/>
  <c r="J538" i="1"/>
  <c r="E538" i="1"/>
  <c r="D538" i="1"/>
  <c r="C538" i="1"/>
  <c r="B538" i="1"/>
  <c r="CZ537" i="1"/>
  <c r="CY537" i="1"/>
  <c r="CT537" i="1"/>
  <c r="CV537" i="1" s="1"/>
  <c r="CO537" i="1"/>
  <c r="CJ537" i="1"/>
  <c r="CA537" i="1"/>
  <c r="BT537" i="1"/>
  <c r="BU537" i="1" s="1"/>
  <c r="BO537" i="1"/>
  <c r="BQ537" i="1" s="1"/>
  <c r="BJ537" i="1"/>
  <c r="BL537" i="1" s="1"/>
  <c r="BE537" i="1"/>
  <c r="AV537" i="1"/>
  <c r="AO537" i="1"/>
  <c r="AP537" i="1" s="1"/>
  <c r="AJ537" i="1"/>
  <c r="AL537" i="1" s="1"/>
  <c r="AE537" i="1"/>
  <c r="AR537" i="1" s="1"/>
  <c r="Z537" i="1"/>
  <c r="N537" i="1"/>
  <c r="K537" i="1"/>
  <c r="J537" i="1"/>
  <c r="E537" i="1"/>
  <c r="D537" i="1"/>
  <c r="C537" i="1"/>
  <c r="B537" i="1"/>
  <c r="CY536" i="1"/>
  <c r="CZ536" i="1" s="1"/>
  <c r="CT536" i="1"/>
  <c r="CV536" i="1" s="1"/>
  <c r="CO536" i="1"/>
  <c r="CQ536" i="1" s="1"/>
  <c r="CJ536" i="1"/>
  <c r="CA536" i="1"/>
  <c r="BT536" i="1"/>
  <c r="BU536" i="1" s="1"/>
  <c r="BQ536" i="1"/>
  <c r="BO536" i="1"/>
  <c r="BJ536" i="1"/>
  <c r="BE536" i="1"/>
  <c r="AV536" i="1"/>
  <c r="AQ536" i="1"/>
  <c r="AO536" i="1"/>
  <c r="AP536" i="1" s="1"/>
  <c r="AJ536" i="1"/>
  <c r="AL536" i="1" s="1"/>
  <c r="AE536" i="1"/>
  <c r="AG536" i="1" s="1"/>
  <c r="Z536" i="1"/>
  <c r="N536" i="1"/>
  <c r="K536" i="1"/>
  <c r="J536" i="1"/>
  <c r="E536" i="1"/>
  <c r="D536" i="1"/>
  <c r="C536" i="1"/>
  <c r="B536" i="1"/>
  <c r="CY535" i="1"/>
  <c r="CZ535" i="1" s="1"/>
  <c r="CT535" i="1"/>
  <c r="CV535" i="1" s="1"/>
  <c r="CO535" i="1"/>
  <c r="CQ535" i="1" s="1"/>
  <c r="CJ535" i="1"/>
  <c r="CA535" i="1"/>
  <c r="BT535" i="1"/>
  <c r="BU535" i="1" s="1"/>
  <c r="BO535" i="1"/>
  <c r="BQ535" i="1" s="1"/>
  <c r="BJ535" i="1"/>
  <c r="BE535" i="1"/>
  <c r="AV535" i="1"/>
  <c r="AO535" i="1"/>
  <c r="AP535" i="1" s="1"/>
  <c r="AJ535" i="1"/>
  <c r="AL535" i="1" s="1"/>
  <c r="AE535" i="1"/>
  <c r="AG535" i="1" s="1"/>
  <c r="Z535" i="1"/>
  <c r="N535" i="1"/>
  <c r="K535" i="1"/>
  <c r="J535" i="1"/>
  <c r="E535" i="1"/>
  <c r="D535" i="1"/>
  <c r="C535" i="1"/>
  <c r="B535" i="1"/>
  <c r="CY534" i="1"/>
  <c r="CZ534" i="1" s="1"/>
  <c r="CT534" i="1"/>
  <c r="CV534" i="1" s="1"/>
  <c r="CO534" i="1"/>
  <c r="CQ534" i="1" s="1"/>
  <c r="CJ534" i="1"/>
  <c r="CA534" i="1"/>
  <c r="BU534" i="1"/>
  <c r="BT534" i="1"/>
  <c r="BO534" i="1"/>
  <c r="BQ534" i="1" s="1"/>
  <c r="BJ534" i="1"/>
  <c r="BL534" i="1" s="1"/>
  <c r="BE534" i="1"/>
  <c r="AV534" i="1"/>
  <c r="AO534" i="1"/>
  <c r="AP534" i="1" s="1"/>
  <c r="AJ534" i="1"/>
  <c r="AL534" i="1" s="1"/>
  <c r="AE534" i="1"/>
  <c r="AG534" i="1" s="1"/>
  <c r="Z534" i="1"/>
  <c r="N534" i="1"/>
  <c r="K534" i="1"/>
  <c r="J534" i="1"/>
  <c r="E534" i="1"/>
  <c r="D534" i="1"/>
  <c r="C534" i="1"/>
  <c r="B534" i="1"/>
  <c r="CY533" i="1"/>
  <c r="CZ533" i="1" s="1"/>
  <c r="CT533" i="1"/>
  <c r="CV533" i="1" s="1"/>
  <c r="CO533" i="1"/>
  <c r="CQ533" i="1" s="1"/>
  <c r="CJ533" i="1"/>
  <c r="CA533" i="1"/>
  <c r="BT533" i="1"/>
  <c r="BU533" i="1" s="1"/>
  <c r="BO533" i="1"/>
  <c r="BQ533" i="1" s="1"/>
  <c r="BJ533" i="1"/>
  <c r="BL533" i="1" s="1"/>
  <c r="BE533" i="1"/>
  <c r="AV533" i="1"/>
  <c r="AO533" i="1"/>
  <c r="AP533" i="1" s="1"/>
  <c r="AJ533" i="1"/>
  <c r="AL533" i="1" s="1"/>
  <c r="AE533" i="1"/>
  <c r="AG533" i="1" s="1"/>
  <c r="Z533" i="1"/>
  <c r="N533" i="1"/>
  <c r="K533" i="1"/>
  <c r="J533" i="1"/>
  <c r="E533" i="1"/>
  <c r="D533" i="1"/>
  <c r="C533" i="1"/>
  <c r="B533" i="1"/>
  <c r="CY532" i="1"/>
  <c r="CZ532" i="1" s="1"/>
  <c r="CT532" i="1"/>
  <c r="CV532" i="1" s="1"/>
  <c r="CO532" i="1"/>
  <c r="CJ532" i="1"/>
  <c r="CA532" i="1"/>
  <c r="BT532" i="1"/>
  <c r="BU532" i="1" s="1"/>
  <c r="BO532" i="1"/>
  <c r="BQ532" i="1" s="1"/>
  <c r="BJ532" i="1"/>
  <c r="BE532" i="1"/>
  <c r="AV532" i="1"/>
  <c r="AO532" i="1"/>
  <c r="AP532" i="1" s="1"/>
  <c r="AJ532" i="1"/>
  <c r="AL532" i="1" s="1"/>
  <c r="AE532" i="1"/>
  <c r="AG532" i="1" s="1"/>
  <c r="Z532" i="1"/>
  <c r="N532" i="1"/>
  <c r="K532" i="1"/>
  <c r="J532" i="1"/>
  <c r="E532" i="1"/>
  <c r="D532" i="1"/>
  <c r="C532" i="1"/>
  <c r="B532" i="1"/>
  <c r="CY531" i="1"/>
  <c r="CZ531" i="1" s="1"/>
  <c r="CT531" i="1"/>
  <c r="CV531" i="1" s="1"/>
  <c r="CO531" i="1"/>
  <c r="CQ531" i="1" s="1"/>
  <c r="CJ531" i="1"/>
  <c r="CA531" i="1"/>
  <c r="BT531" i="1"/>
  <c r="BU531" i="1" s="1"/>
  <c r="BO531" i="1"/>
  <c r="BQ531" i="1" s="1"/>
  <c r="BJ531" i="1"/>
  <c r="BL531" i="1" s="1"/>
  <c r="BE531" i="1"/>
  <c r="AV531" i="1"/>
  <c r="AO531" i="1"/>
  <c r="AP531" i="1" s="1"/>
  <c r="AJ531" i="1"/>
  <c r="AL531" i="1" s="1"/>
  <c r="AE531" i="1"/>
  <c r="AG531" i="1" s="1"/>
  <c r="Z531" i="1"/>
  <c r="N531" i="1"/>
  <c r="K531" i="1"/>
  <c r="J531" i="1"/>
  <c r="E531" i="1"/>
  <c r="D531" i="1"/>
  <c r="C531" i="1"/>
  <c r="B531" i="1"/>
  <c r="CY530" i="1"/>
  <c r="CZ530" i="1" s="1"/>
  <c r="CT530" i="1"/>
  <c r="CV530" i="1" s="1"/>
  <c r="CO530" i="1"/>
  <c r="CJ530" i="1"/>
  <c r="CA530" i="1"/>
  <c r="BT530" i="1"/>
  <c r="BU530" i="1" s="1"/>
  <c r="BO530" i="1"/>
  <c r="BQ530" i="1" s="1"/>
  <c r="BJ530" i="1"/>
  <c r="BL530" i="1" s="1"/>
  <c r="BE530" i="1"/>
  <c r="AV530" i="1"/>
  <c r="AO530" i="1"/>
  <c r="AP530" i="1" s="1"/>
  <c r="AJ530" i="1"/>
  <c r="AL530" i="1" s="1"/>
  <c r="AE530" i="1"/>
  <c r="Z530" i="1"/>
  <c r="N530" i="1"/>
  <c r="K530" i="1"/>
  <c r="J530" i="1"/>
  <c r="E530" i="1"/>
  <c r="D530" i="1"/>
  <c r="C530" i="1"/>
  <c r="B530" i="1"/>
  <c r="CY529" i="1"/>
  <c r="CZ529" i="1" s="1"/>
  <c r="CT529" i="1"/>
  <c r="CV529" i="1" s="1"/>
  <c r="CO529" i="1"/>
  <c r="CQ529" i="1" s="1"/>
  <c r="DA529" i="1" s="1"/>
  <c r="CJ529" i="1"/>
  <c r="CA529" i="1"/>
  <c r="BT529" i="1"/>
  <c r="BU529" i="1" s="1"/>
  <c r="BO529" i="1"/>
  <c r="BQ529" i="1" s="1"/>
  <c r="BJ529" i="1"/>
  <c r="BL529" i="1" s="1"/>
  <c r="BE529" i="1"/>
  <c r="AV529" i="1"/>
  <c r="AO529" i="1"/>
  <c r="AP529" i="1" s="1"/>
  <c r="AJ529" i="1"/>
  <c r="AL529" i="1" s="1"/>
  <c r="AE529" i="1"/>
  <c r="Z529" i="1"/>
  <c r="N529" i="1"/>
  <c r="K529" i="1"/>
  <c r="J529" i="1"/>
  <c r="E529" i="1"/>
  <c r="D529" i="1"/>
  <c r="C529" i="1"/>
  <c r="B529" i="1"/>
  <c r="CY528" i="1"/>
  <c r="CT528" i="1"/>
  <c r="CV528" i="1" s="1"/>
  <c r="CO528" i="1"/>
  <c r="CQ528" i="1" s="1"/>
  <c r="CJ528" i="1"/>
  <c r="CA528" i="1"/>
  <c r="BT528" i="1"/>
  <c r="BU528" i="1" s="1"/>
  <c r="BO528" i="1"/>
  <c r="BQ528" i="1" s="1"/>
  <c r="BJ528" i="1"/>
  <c r="BE528" i="1"/>
  <c r="AV528" i="1"/>
  <c r="AO528" i="1"/>
  <c r="AP528" i="1" s="1"/>
  <c r="AJ528" i="1"/>
  <c r="AL528" i="1" s="1"/>
  <c r="AE528" i="1"/>
  <c r="Z528" i="1"/>
  <c r="N528" i="1"/>
  <c r="K528" i="1"/>
  <c r="J528" i="1"/>
  <c r="E528" i="1"/>
  <c r="D528" i="1"/>
  <c r="C528" i="1"/>
  <c r="B528" i="1"/>
  <c r="CY527" i="1"/>
  <c r="CZ527" i="1" s="1"/>
  <c r="CT527" i="1"/>
  <c r="CV527" i="1" s="1"/>
  <c r="CO527" i="1"/>
  <c r="CJ527" i="1"/>
  <c r="CA527" i="1"/>
  <c r="BT527" i="1"/>
  <c r="BU527" i="1" s="1"/>
  <c r="BO527" i="1"/>
  <c r="BQ527" i="1" s="1"/>
  <c r="BJ527" i="1"/>
  <c r="BL527" i="1" s="1"/>
  <c r="BV527" i="1" s="1"/>
  <c r="BE527" i="1"/>
  <c r="AV527" i="1"/>
  <c r="AO527" i="1"/>
  <c r="AP527" i="1" s="1"/>
  <c r="AJ527" i="1"/>
  <c r="AL527" i="1" s="1"/>
  <c r="AE527" i="1"/>
  <c r="Z527" i="1"/>
  <c r="N527" i="1"/>
  <c r="K527" i="1"/>
  <c r="J527" i="1"/>
  <c r="E527" i="1"/>
  <c r="D527" i="1"/>
  <c r="C527" i="1"/>
  <c r="B527" i="1"/>
  <c r="CY526" i="1"/>
  <c r="CZ526" i="1" s="1"/>
  <c r="CT526" i="1"/>
  <c r="CV526" i="1" s="1"/>
  <c r="CO526" i="1"/>
  <c r="CQ526" i="1" s="1"/>
  <c r="DA526" i="1" s="1"/>
  <c r="CJ526" i="1"/>
  <c r="CA526" i="1"/>
  <c r="BT526" i="1"/>
  <c r="BU526" i="1" s="1"/>
  <c r="BO526" i="1"/>
  <c r="BQ526" i="1" s="1"/>
  <c r="BJ526" i="1"/>
  <c r="BL526" i="1" s="1"/>
  <c r="BE526" i="1"/>
  <c r="AV526" i="1"/>
  <c r="AO526" i="1"/>
  <c r="AP526" i="1" s="1"/>
  <c r="AJ526" i="1"/>
  <c r="AL526" i="1" s="1"/>
  <c r="AE526" i="1"/>
  <c r="AG526" i="1" s="1"/>
  <c r="AQ526" i="1" s="1"/>
  <c r="Z526" i="1"/>
  <c r="N526" i="1"/>
  <c r="K526" i="1"/>
  <c r="J526" i="1"/>
  <c r="E526" i="1"/>
  <c r="D526" i="1"/>
  <c r="C526" i="1"/>
  <c r="B526" i="1"/>
  <c r="CY525" i="1"/>
  <c r="CT525" i="1"/>
  <c r="CV525" i="1" s="1"/>
  <c r="CO525" i="1"/>
  <c r="CQ525" i="1" s="1"/>
  <c r="CJ525" i="1"/>
  <c r="CA525" i="1"/>
  <c r="BT525" i="1"/>
  <c r="BU525" i="1" s="1"/>
  <c r="BO525" i="1"/>
  <c r="BQ525" i="1" s="1"/>
  <c r="BJ525" i="1"/>
  <c r="BL525" i="1" s="1"/>
  <c r="BV525" i="1" s="1"/>
  <c r="BE525" i="1"/>
  <c r="AV525" i="1"/>
  <c r="AO525" i="1"/>
  <c r="AP525" i="1" s="1"/>
  <c r="AJ525" i="1"/>
  <c r="AL525" i="1" s="1"/>
  <c r="AE525" i="1"/>
  <c r="AG525" i="1" s="1"/>
  <c r="AQ525" i="1" s="1"/>
  <c r="Z525" i="1"/>
  <c r="N525" i="1"/>
  <c r="K525" i="1"/>
  <c r="J525" i="1"/>
  <c r="E525" i="1"/>
  <c r="D525" i="1"/>
  <c r="C525" i="1"/>
  <c r="B525" i="1"/>
  <c r="CY524" i="1"/>
  <c r="CZ524" i="1" s="1"/>
  <c r="CT524" i="1"/>
  <c r="CV524" i="1" s="1"/>
  <c r="CO524" i="1"/>
  <c r="CJ524" i="1"/>
  <c r="CA524" i="1"/>
  <c r="BT524" i="1"/>
  <c r="BO524" i="1"/>
  <c r="BQ524" i="1" s="1"/>
  <c r="BV524" i="1" s="1"/>
  <c r="BJ524" i="1"/>
  <c r="BL524" i="1" s="1"/>
  <c r="BE524" i="1"/>
  <c r="AV524" i="1"/>
  <c r="AO524" i="1"/>
  <c r="AP524" i="1" s="1"/>
  <c r="AJ524" i="1"/>
  <c r="AL524" i="1" s="1"/>
  <c r="AE524" i="1"/>
  <c r="Z524" i="1"/>
  <c r="N524" i="1"/>
  <c r="K524" i="1"/>
  <c r="J524" i="1"/>
  <c r="E524" i="1"/>
  <c r="D524" i="1"/>
  <c r="C524" i="1"/>
  <c r="B524" i="1"/>
  <c r="CY523" i="1"/>
  <c r="CZ523" i="1" s="1"/>
  <c r="CT523" i="1"/>
  <c r="CO523" i="1"/>
  <c r="CQ523" i="1" s="1"/>
  <c r="CJ523" i="1"/>
  <c r="CA523" i="1"/>
  <c r="BT523" i="1"/>
  <c r="BU523" i="1" s="1"/>
  <c r="BO523" i="1"/>
  <c r="BW523" i="1" s="1"/>
  <c r="BJ523" i="1"/>
  <c r="BL523" i="1" s="1"/>
  <c r="BE523" i="1"/>
  <c r="AV523" i="1"/>
  <c r="AO523" i="1"/>
  <c r="AP523" i="1" s="1"/>
  <c r="AJ523" i="1"/>
  <c r="AL523" i="1" s="1"/>
  <c r="AE523" i="1"/>
  <c r="AG523" i="1" s="1"/>
  <c r="Z523" i="1"/>
  <c r="N523" i="1"/>
  <c r="K523" i="1"/>
  <c r="J523" i="1"/>
  <c r="E523" i="1"/>
  <c r="D523" i="1"/>
  <c r="C523" i="1"/>
  <c r="B523" i="1"/>
  <c r="CY522" i="1"/>
  <c r="CZ522" i="1" s="1"/>
  <c r="CT522" i="1"/>
  <c r="CV522" i="1" s="1"/>
  <c r="CO522" i="1"/>
  <c r="CJ522" i="1"/>
  <c r="CA522" i="1"/>
  <c r="BT522" i="1"/>
  <c r="BU522" i="1" s="1"/>
  <c r="BO522" i="1"/>
  <c r="BQ522" i="1" s="1"/>
  <c r="BL522" i="1"/>
  <c r="BJ522" i="1"/>
  <c r="BE522" i="1"/>
  <c r="AV522" i="1"/>
  <c r="AO522" i="1"/>
  <c r="AP522" i="1" s="1"/>
  <c r="AJ522" i="1"/>
  <c r="AL522" i="1" s="1"/>
  <c r="AE522" i="1"/>
  <c r="Z522" i="1"/>
  <c r="N522" i="1"/>
  <c r="K522" i="1"/>
  <c r="J522" i="1"/>
  <c r="E522" i="1"/>
  <c r="D522" i="1"/>
  <c r="C522" i="1"/>
  <c r="B522" i="1"/>
  <c r="CY521" i="1"/>
  <c r="CZ521" i="1" s="1"/>
  <c r="CT521" i="1"/>
  <c r="CV521" i="1" s="1"/>
  <c r="CO521" i="1"/>
  <c r="CQ521" i="1" s="1"/>
  <c r="CJ521" i="1"/>
  <c r="CA521" i="1"/>
  <c r="BT521" i="1"/>
  <c r="BU521" i="1" s="1"/>
  <c r="BO521" i="1"/>
  <c r="BQ521" i="1" s="1"/>
  <c r="BJ521" i="1"/>
  <c r="BE521" i="1"/>
  <c r="AV521" i="1"/>
  <c r="AO521" i="1"/>
  <c r="AP521" i="1" s="1"/>
  <c r="AL521" i="1"/>
  <c r="AJ521" i="1"/>
  <c r="AE521" i="1"/>
  <c r="Z521" i="1"/>
  <c r="N521" i="1"/>
  <c r="K521" i="1"/>
  <c r="J521" i="1"/>
  <c r="E521" i="1"/>
  <c r="D521" i="1"/>
  <c r="C521" i="1"/>
  <c r="B521" i="1"/>
  <c r="CY520" i="1"/>
  <c r="CZ520" i="1" s="1"/>
  <c r="CT520" i="1"/>
  <c r="CV520" i="1" s="1"/>
  <c r="CO520" i="1"/>
  <c r="CQ520" i="1" s="1"/>
  <c r="CJ520" i="1"/>
  <c r="CA520" i="1"/>
  <c r="BT520" i="1"/>
  <c r="BU520" i="1" s="1"/>
  <c r="BO520" i="1"/>
  <c r="BW520" i="1" s="1"/>
  <c r="BJ520" i="1"/>
  <c r="BL520" i="1" s="1"/>
  <c r="BE520" i="1"/>
  <c r="AV520" i="1"/>
  <c r="AO520" i="1"/>
  <c r="AP520" i="1" s="1"/>
  <c r="AJ520" i="1"/>
  <c r="AL520" i="1" s="1"/>
  <c r="AE520" i="1"/>
  <c r="Z520" i="1"/>
  <c r="N520" i="1"/>
  <c r="K520" i="1"/>
  <c r="J520" i="1"/>
  <c r="E520" i="1"/>
  <c r="D520" i="1"/>
  <c r="C520" i="1"/>
  <c r="B520" i="1"/>
  <c r="CY519" i="1"/>
  <c r="CZ519" i="1" s="1"/>
  <c r="CT519" i="1"/>
  <c r="CV519" i="1" s="1"/>
  <c r="CO519" i="1"/>
  <c r="CJ519" i="1"/>
  <c r="CA519" i="1"/>
  <c r="BT519" i="1"/>
  <c r="BU519" i="1" s="1"/>
  <c r="BQ519" i="1"/>
  <c r="BO519" i="1"/>
  <c r="BJ519" i="1"/>
  <c r="BL519" i="1" s="1"/>
  <c r="BV519" i="1" s="1"/>
  <c r="BE519" i="1"/>
  <c r="AV519" i="1"/>
  <c r="AO519" i="1"/>
  <c r="AJ519" i="1"/>
  <c r="AL519" i="1" s="1"/>
  <c r="AE519" i="1"/>
  <c r="AG519" i="1" s="1"/>
  <c r="Z519" i="1"/>
  <c r="N519" i="1"/>
  <c r="K519" i="1"/>
  <c r="J519" i="1"/>
  <c r="E519" i="1"/>
  <c r="D519" i="1"/>
  <c r="C519" i="1"/>
  <c r="B519" i="1"/>
  <c r="CY518" i="1"/>
  <c r="CZ518" i="1" s="1"/>
  <c r="CT518" i="1"/>
  <c r="CV518" i="1" s="1"/>
  <c r="CO518" i="1"/>
  <c r="CJ518" i="1"/>
  <c r="CA518" i="1"/>
  <c r="BT518" i="1"/>
  <c r="BU518" i="1" s="1"/>
  <c r="BO518" i="1"/>
  <c r="BQ518" i="1" s="1"/>
  <c r="BJ518" i="1"/>
  <c r="BL518" i="1" s="1"/>
  <c r="BE518" i="1"/>
  <c r="AV518" i="1"/>
  <c r="AO518" i="1"/>
  <c r="AP518" i="1" s="1"/>
  <c r="AJ518" i="1"/>
  <c r="AL518" i="1" s="1"/>
  <c r="AE518" i="1"/>
  <c r="Z518" i="1"/>
  <c r="N518" i="1"/>
  <c r="K518" i="1"/>
  <c r="J518" i="1"/>
  <c r="E518" i="1"/>
  <c r="D518" i="1"/>
  <c r="C518" i="1"/>
  <c r="B518" i="1"/>
  <c r="CY517" i="1"/>
  <c r="CZ517" i="1" s="1"/>
  <c r="CT517" i="1"/>
  <c r="CO517" i="1"/>
  <c r="CQ517" i="1" s="1"/>
  <c r="CJ517" i="1"/>
  <c r="CA517" i="1"/>
  <c r="BT517" i="1"/>
  <c r="BU517" i="1" s="1"/>
  <c r="BO517" i="1"/>
  <c r="BQ517" i="1" s="1"/>
  <c r="BJ517" i="1"/>
  <c r="BE517" i="1"/>
  <c r="AV517" i="1"/>
  <c r="AP517" i="1"/>
  <c r="AO517" i="1"/>
  <c r="AJ517" i="1"/>
  <c r="AL517" i="1" s="1"/>
  <c r="AE517" i="1"/>
  <c r="Z517" i="1"/>
  <c r="N517" i="1"/>
  <c r="K517" i="1"/>
  <c r="J517" i="1"/>
  <c r="E517" i="1"/>
  <c r="D517" i="1"/>
  <c r="C517" i="1"/>
  <c r="B517" i="1"/>
  <c r="CY516" i="1"/>
  <c r="CT516" i="1"/>
  <c r="CV516" i="1" s="1"/>
  <c r="CQ516" i="1"/>
  <c r="CO516" i="1"/>
  <c r="CJ516" i="1"/>
  <c r="CA516" i="1"/>
  <c r="BU516" i="1"/>
  <c r="BT516" i="1"/>
  <c r="BO516" i="1"/>
  <c r="BQ516" i="1" s="1"/>
  <c r="BJ516" i="1"/>
  <c r="BE516" i="1"/>
  <c r="AV516" i="1"/>
  <c r="AO516" i="1"/>
  <c r="AP516" i="1" s="1"/>
  <c r="AJ516" i="1"/>
  <c r="AL516" i="1" s="1"/>
  <c r="AE516" i="1"/>
  <c r="Z516" i="1"/>
  <c r="N516" i="1"/>
  <c r="K516" i="1"/>
  <c r="J516" i="1"/>
  <c r="E516" i="1"/>
  <c r="D516" i="1"/>
  <c r="C516" i="1"/>
  <c r="B516" i="1"/>
  <c r="CY515" i="1"/>
  <c r="CZ515" i="1" s="1"/>
  <c r="CT515" i="1"/>
  <c r="CV515" i="1" s="1"/>
  <c r="CO515" i="1"/>
  <c r="CQ515" i="1" s="1"/>
  <c r="CJ515" i="1"/>
  <c r="CA515" i="1"/>
  <c r="BT515" i="1"/>
  <c r="BU515" i="1" s="1"/>
  <c r="BO515" i="1"/>
  <c r="BQ515" i="1" s="1"/>
  <c r="BJ515" i="1"/>
  <c r="BL515" i="1" s="1"/>
  <c r="BV515" i="1" s="1"/>
  <c r="BE515" i="1"/>
  <c r="AV515" i="1"/>
  <c r="AO515" i="1"/>
  <c r="AP515" i="1" s="1"/>
  <c r="AJ515" i="1"/>
  <c r="AL515" i="1" s="1"/>
  <c r="AE515" i="1"/>
  <c r="Z515" i="1"/>
  <c r="N515" i="1"/>
  <c r="K515" i="1"/>
  <c r="J515" i="1"/>
  <c r="E515" i="1"/>
  <c r="D515" i="1"/>
  <c r="C515" i="1"/>
  <c r="B515" i="1"/>
  <c r="CY514" i="1"/>
  <c r="CZ514" i="1" s="1"/>
  <c r="CT514" i="1"/>
  <c r="CV514" i="1" s="1"/>
  <c r="CO514" i="1"/>
  <c r="CQ514" i="1" s="1"/>
  <c r="CJ514" i="1"/>
  <c r="CA514" i="1"/>
  <c r="BT514" i="1"/>
  <c r="BU514" i="1" s="1"/>
  <c r="BO514" i="1"/>
  <c r="BQ514" i="1" s="1"/>
  <c r="BJ514" i="1"/>
  <c r="BE514" i="1"/>
  <c r="AV514" i="1"/>
  <c r="AO514" i="1"/>
  <c r="AP514" i="1" s="1"/>
  <c r="AJ514" i="1"/>
  <c r="AL514" i="1" s="1"/>
  <c r="AE514" i="1"/>
  <c r="Z514" i="1"/>
  <c r="N514" i="1"/>
  <c r="K514" i="1"/>
  <c r="J514" i="1"/>
  <c r="E514" i="1"/>
  <c r="D514" i="1"/>
  <c r="C514" i="1"/>
  <c r="B514" i="1"/>
  <c r="CY513" i="1"/>
  <c r="CZ513" i="1" s="1"/>
  <c r="CT513" i="1"/>
  <c r="CV513" i="1" s="1"/>
  <c r="CO513" i="1"/>
  <c r="CJ513" i="1"/>
  <c r="CA513" i="1"/>
  <c r="BT513" i="1"/>
  <c r="BU513" i="1" s="1"/>
  <c r="BO513" i="1"/>
  <c r="BQ513" i="1" s="1"/>
  <c r="BJ513" i="1"/>
  <c r="BL513" i="1" s="1"/>
  <c r="BE513" i="1"/>
  <c r="AV513" i="1"/>
  <c r="AO513" i="1"/>
  <c r="AP513" i="1" s="1"/>
  <c r="AJ513" i="1"/>
  <c r="AL513" i="1" s="1"/>
  <c r="AE513" i="1"/>
  <c r="AG513" i="1" s="1"/>
  <c r="Z513" i="1"/>
  <c r="N513" i="1"/>
  <c r="K513" i="1"/>
  <c r="J513" i="1"/>
  <c r="E513" i="1"/>
  <c r="D513" i="1"/>
  <c r="C513" i="1"/>
  <c r="B513" i="1"/>
  <c r="CY512" i="1"/>
  <c r="CZ512" i="1" s="1"/>
  <c r="CT512" i="1"/>
  <c r="CV512" i="1" s="1"/>
  <c r="CO512" i="1"/>
  <c r="DB512" i="1" s="1"/>
  <c r="CJ512" i="1"/>
  <c r="CA512" i="1"/>
  <c r="BT512" i="1"/>
  <c r="BU512" i="1" s="1"/>
  <c r="BO512" i="1"/>
  <c r="BQ512" i="1" s="1"/>
  <c r="BJ512" i="1"/>
  <c r="BW512" i="1" s="1"/>
  <c r="BE512" i="1"/>
  <c r="AV512" i="1"/>
  <c r="AO512" i="1"/>
  <c r="AP512" i="1" s="1"/>
  <c r="AJ512" i="1"/>
  <c r="AE512" i="1"/>
  <c r="AG512" i="1" s="1"/>
  <c r="Z512" i="1"/>
  <c r="N512" i="1"/>
  <c r="K512" i="1"/>
  <c r="J512" i="1"/>
  <c r="E512" i="1"/>
  <c r="D512" i="1"/>
  <c r="C512" i="1"/>
  <c r="B512" i="1"/>
  <c r="CY511" i="1"/>
  <c r="CZ511" i="1" s="1"/>
  <c r="CT511" i="1"/>
  <c r="CV511" i="1" s="1"/>
  <c r="CO511" i="1"/>
  <c r="CQ511" i="1" s="1"/>
  <c r="CJ511" i="1"/>
  <c r="CA511" i="1"/>
  <c r="BT511" i="1"/>
  <c r="BU511" i="1" s="1"/>
  <c r="BO511" i="1"/>
  <c r="BQ511" i="1" s="1"/>
  <c r="BJ511" i="1"/>
  <c r="BE511" i="1"/>
  <c r="AV511" i="1"/>
  <c r="AO511" i="1"/>
  <c r="AP511" i="1" s="1"/>
  <c r="AJ511" i="1"/>
  <c r="AL511" i="1" s="1"/>
  <c r="AG511" i="1"/>
  <c r="AQ511" i="1" s="1"/>
  <c r="AE511" i="1"/>
  <c r="Z511" i="1"/>
  <c r="N511" i="1"/>
  <c r="K511" i="1"/>
  <c r="J511" i="1"/>
  <c r="E511" i="1"/>
  <c r="D511" i="1"/>
  <c r="C511" i="1"/>
  <c r="B511" i="1"/>
  <c r="CY510" i="1"/>
  <c r="CZ510" i="1" s="1"/>
  <c r="CT510" i="1"/>
  <c r="CV510" i="1" s="1"/>
  <c r="CO510" i="1"/>
  <c r="DB510" i="1" s="1"/>
  <c r="CJ510" i="1"/>
  <c r="CA510" i="1"/>
  <c r="BT510" i="1"/>
  <c r="BU510" i="1" s="1"/>
  <c r="BO510" i="1"/>
  <c r="BQ510" i="1" s="1"/>
  <c r="BV510" i="1" s="1"/>
  <c r="BJ510" i="1"/>
  <c r="BL510" i="1" s="1"/>
  <c r="BE510" i="1"/>
  <c r="AV510" i="1"/>
  <c r="AO510" i="1"/>
  <c r="AR510" i="1" s="1"/>
  <c r="AJ510" i="1"/>
  <c r="AL510" i="1" s="1"/>
  <c r="AE510" i="1"/>
  <c r="AG510" i="1" s="1"/>
  <c r="AQ510" i="1" s="1"/>
  <c r="Z510" i="1"/>
  <c r="N510" i="1"/>
  <c r="K510" i="1"/>
  <c r="J510" i="1"/>
  <c r="E510" i="1"/>
  <c r="D510" i="1"/>
  <c r="C510" i="1"/>
  <c r="B510" i="1"/>
  <c r="CY509" i="1"/>
  <c r="CZ509" i="1" s="1"/>
  <c r="CT509" i="1"/>
  <c r="CV509" i="1" s="1"/>
  <c r="CO509" i="1"/>
  <c r="CQ509" i="1" s="1"/>
  <c r="CJ509" i="1"/>
  <c r="CA509" i="1"/>
  <c r="BT509" i="1"/>
  <c r="BU509" i="1" s="1"/>
  <c r="BO509" i="1"/>
  <c r="BQ509" i="1" s="1"/>
  <c r="BJ509" i="1"/>
  <c r="BE509" i="1"/>
  <c r="AV509" i="1"/>
  <c r="AO509" i="1"/>
  <c r="AP509" i="1" s="1"/>
  <c r="AJ509" i="1"/>
  <c r="AE509" i="1"/>
  <c r="AG509" i="1" s="1"/>
  <c r="Z509" i="1"/>
  <c r="N509" i="1"/>
  <c r="K509" i="1"/>
  <c r="J509" i="1"/>
  <c r="E509" i="1"/>
  <c r="D509" i="1"/>
  <c r="C509" i="1"/>
  <c r="B509" i="1"/>
  <c r="CY508" i="1"/>
  <c r="CZ508" i="1" s="1"/>
  <c r="CT508" i="1"/>
  <c r="CV508" i="1" s="1"/>
  <c r="CO508" i="1"/>
  <c r="CQ508" i="1" s="1"/>
  <c r="DA508" i="1" s="1"/>
  <c r="CJ508" i="1"/>
  <c r="CA508" i="1"/>
  <c r="BT508" i="1"/>
  <c r="BU508" i="1" s="1"/>
  <c r="BO508" i="1"/>
  <c r="BQ508" i="1" s="1"/>
  <c r="BJ508" i="1"/>
  <c r="BL508" i="1" s="1"/>
  <c r="BE508" i="1"/>
  <c r="AV508" i="1"/>
  <c r="AO508" i="1"/>
  <c r="AP508" i="1" s="1"/>
  <c r="AJ508" i="1"/>
  <c r="AL508" i="1" s="1"/>
  <c r="AE508" i="1"/>
  <c r="Z508" i="1"/>
  <c r="N508" i="1"/>
  <c r="K508" i="1"/>
  <c r="J508" i="1"/>
  <c r="E508" i="1"/>
  <c r="D508" i="1"/>
  <c r="C508" i="1"/>
  <c r="B508" i="1"/>
  <c r="CY507" i="1"/>
  <c r="CZ507" i="1" s="1"/>
  <c r="CT507" i="1"/>
  <c r="CO507" i="1"/>
  <c r="CQ507" i="1" s="1"/>
  <c r="CJ507" i="1"/>
  <c r="CA507" i="1"/>
  <c r="BT507" i="1"/>
  <c r="BU507" i="1" s="1"/>
  <c r="BO507" i="1"/>
  <c r="BQ507" i="1" s="1"/>
  <c r="BJ507" i="1"/>
  <c r="BE507" i="1"/>
  <c r="AV507" i="1"/>
  <c r="AO507" i="1"/>
  <c r="AP507" i="1" s="1"/>
  <c r="AJ507" i="1"/>
  <c r="AL507" i="1" s="1"/>
  <c r="AE507" i="1"/>
  <c r="Z507" i="1"/>
  <c r="N507" i="1"/>
  <c r="K507" i="1"/>
  <c r="J507" i="1"/>
  <c r="E507" i="1"/>
  <c r="D507" i="1"/>
  <c r="C507" i="1"/>
  <c r="B507" i="1"/>
  <c r="CY506" i="1"/>
  <c r="CZ506" i="1" s="1"/>
  <c r="CT506" i="1"/>
  <c r="CV506" i="1" s="1"/>
  <c r="CO506" i="1"/>
  <c r="CJ506" i="1"/>
  <c r="CA506" i="1"/>
  <c r="BT506" i="1"/>
  <c r="BU506" i="1" s="1"/>
  <c r="BQ506" i="1"/>
  <c r="BO506" i="1"/>
  <c r="BJ506" i="1"/>
  <c r="BE506" i="1"/>
  <c r="AV506" i="1"/>
  <c r="AO506" i="1"/>
  <c r="AP506" i="1" s="1"/>
  <c r="AJ506" i="1"/>
  <c r="AL506" i="1" s="1"/>
  <c r="AE506" i="1"/>
  <c r="Z506" i="1"/>
  <c r="N506" i="1"/>
  <c r="K506" i="1"/>
  <c r="J506" i="1"/>
  <c r="E506" i="1"/>
  <c r="D506" i="1"/>
  <c r="C506" i="1"/>
  <c r="B506" i="1"/>
  <c r="CY505" i="1"/>
  <c r="CZ505" i="1" s="1"/>
  <c r="CT505" i="1"/>
  <c r="CV505" i="1" s="1"/>
  <c r="CO505" i="1"/>
  <c r="CQ505" i="1" s="1"/>
  <c r="DA505" i="1" s="1"/>
  <c r="CJ505" i="1"/>
  <c r="CA505" i="1"/>
  <c r="BT505" i="1"/>
  <c r="BO505" i="1"/>
  <c r="BQ505" i="1" s="1"/>
  <c r="BL505" i="1"/>
  <c r="BJ505" i="1"/>
  <c r="BE505" i="1"/>
  <c r="AV505" i="1"/>
  <c r="AP505" i="1"/>
  <c r="AO505" i="1"/>
  <c r="AJ505" i="1"/>
  <c r="AL505" i="1" s="1"/>
  <c r="AE505" i="1"/>
  <c r="Z505" i="1"/>
  <c r="N505" i="1"/>
  <c r="K505" i="1"/>
  <c r="J505" i="1"/>
  <c r="E505" i="1"/>
  <c r="D505" i="1"/>
  <c r="C505" i="1"/>
  <c r="B505" i="1"/>
  <c r="CY504" i="1"/>
  <c r="CZ504" i="1" s="1"/>
  <c r="CT504" i="1"/>
  <c r="CO504" i="1"/>
  <c r="CQ504" i="1" s="1"/>
  <c r="CJ504" i="1"/>
  <c r="CA504" i="1"/>
  <c r="BT504" i="1"/>
  <c r="BU504" i="1" s="1"/>
  <c r="BO504" i="1"/>
  <c r="BQ504" i="1" s="1"/>
  <c r="BJ504" i="1"/>
  <c r="BE504" i="1"/>
  <c r="AV504" i="1"/>
  <c r="AQ504" i="1"/>
  <c r="AO504" i="1"/>
  <c r="AP504" i="1" s="1"/>
  <c r="AJ504" i="1"/>
  <c r="AL504" i="1" s="1"/>
  <c r="AE504" i="1"/>
  <c r="AG504" i="1" s="1"/>
  <c r="Z504" i="1"/>
  <c r="N504" i="1"/>
  <c r="K504" i="1"/>
  <c r="J504" i="1"/>
  <c r="E504" i="1"/>
  <c r="D504" i="1"/>
  <c r="C504" i="1"/>
  <c r="B504" i="1"/>
  <c r="CZ503" i="1"/>
  <c r="CY503" i="1"/>
  <c r="CT503" i="1"/>
  <c r="CV503" i="1" s="1"/>
  <c r="CO503" i="1"/>
  <c r="DB503" i="1" s="1"/>
  <c r="CJ503" i="1"/>
  <c r="CA503" i="1"/>
  <c r="BT503" i="1"/>
  <c r="BO503" i="1"/>
  <c r="BQ503" i="1" s="1"/>
  <c r="BJ503" i="1"/>
  <c r="BL503" i="1" s="1"/>
  <c r="BE503" i="1"/>
  <c r="AV503" i="1"/>
  <c r="AO503" i="1"/>
  <c r="AP503" i="1" s="1"/>
  <c r="AJ503" i="1"/>
  <c r="AL503" i="1" s="1"/>
  <c r="AE503" i="1"/>
  <c r="Z503" i="1"/>
  <c r="N503" i="1"/>
  <c r="K503" i="1"/>
  <c r="J503" i="1"/>
  <c r="E503" i="1"/>
  <c r="D503" i="1"/>
  <c r="C503" i="1"/>
  <c r="B503" i="1"/>
  <c r="CY502" i="1"/>
  <c r="CZ502" i="1" s="1"/>
  <c r="CT502" i="1"/>
  <c r="CO502" i="1"/>
  <c r="CQ502" i="1" s="1"/>
  <c r="CJ502" i="1"/>
  <c r="CA502" i="1"/>
  <c r="BT502" i="1"/>
  <c r="BU502" i="1" s="1"/>
  <c r="BO502" i="1"/>
  <c r="BQ502" i="1" s="1"/>
  <c r="BJ502" i="1"/>
  <c r="BE502" i="1"/>
  <c r="AV502" i="1"/>
  <c r="AP502" i="1"/>
  <c r="AO502" i="1"/>
  <c r="AJ502" i="1"/>
  <c r="AL502" i="1" s="1"/>
  <c r="AE502" i="1"/>
  <c r="Z502" i="1"/>
  <c r="N502" i="1"/>
  <c r="K502" i="1"/>
  <c r="J502" i="1"/>
  <c r="E502" i="1"/>
  <c r="D502" i="1"/>
  <c r="C502" i="1"/>
  <c r="B502" i="1"/>
  <c r="CY501" i="1"/>
  <c r="CT501" i="1"/>
  <c r="CV501" i="1" s="1"/>
  <c r="CQ501" i="1"/>
  <c r="CO501" i="1"/>
  <c r="CJ501" i="1"/>
  <c r="CA501" i="1"/>
  <c r="BU501" i="1"/>
  <c r="BT501" i="1"/>
  <c r="BO501" i="1"/>
  <c r="BQ501" i="1" s="1"/>
  <c r="BJ501" i="1"/>
  <c r="BE501" i="1"/>
  <c r="AV501" i="1"/>
  <c r="AO501" i="1"/>
  <c r="AP501" i="1" s="1"/>
  <c r="AJ501" i="1"/>
  <c r="AE501" i="1"/>
  <c r="AG501" i="1" s="1"/>
  <c r="Z501" i="1"/>
  <c r="N501" i="1"/>
  <c r="K501" i="1"/>
  <c r="J501" i="1"/>
  <c r="E501" i="1"/>
  <c r="D501" i="1"/>
  <c r="C501" i="1"/>
  <c r="B501" i="1"/>
  <c r="CY500" i="1"/>
  <c r="CT500" i="1"/>
  <c r="CV500" i="1" s="1"/>
  <c r="CO500" i="1"/>
  <c r="CQ500" i="1" s="1"/>
  <c r="CJ500" i="1"/>
  <c r="CA500" i="1"/>
  <c r="BT500" i="1"/>
  <c r="BU500" i="1" s="1"/>
  <c r="BO500" i="1"/>
  <c r="BQ500" i="1" s="1"/>
  <c r="BJ500" i="1"/>
  <c r="BE500" i="1"/>
  <c r="AV500" i="1"/>
  <c r="AO500" i="1"/>
  <c r="AL500" i="1"/>
  <c r="AJ500" i="1"/>
  <c r="AE500" i="1"/>
  <c r="AG500" i="1" s="1"/>
  <c r="Z500" i="1"/>
  <c r="N500" i="1"/>
  <c r="K500" i="1"/>
  <c r="J500" i="1"/>
  <c r="E500" i="1"/>
  <c r="D500" i="1"/>
  <c r="C500" i="1"/>
  <c r="B500" i="1"/>
  <c r="CZ499" i="1"/>
  <c r="CY499" i="1"/>
  <c r="CT499" i="1"/>
  <c r="CV499" i="1" s="1"/>
  <c r="CO499" i="1"/>
  <c r="CJ499" i="1"/>
  <c r="CA499" i="1"/>
  <c r="BT499" i="1"/>
  <c r="BU499" i="1" s="1"/>
  <c r="BO499" i="1"/>
  <c r="BQ499" i="1" s="1"/>
  <c r="BL499" i="1"/>
  <c r="BJ499" i="1"/>
  <c r="BW499" i="1" s="1"/>
  <c r="BE499" i="1"/>
  <c r="AV499" i="1"/>
  <c r="AO499" i="1"/>
  <c r="AJ499" i="1"/>
  <c r="AL499" i="1" s="1"/>
  <c r="AE499" i="1"/>
  <c r="AG499" i="1" s="1"/>
  <c r="Z499" i="1"/>
  <c r="N499" i="1"/>
  <c r="K499" i="1"/>
  <c r="J499" i="1"/>
  <c r="E499" i="1"/>
  <c r="D499" i="1"/>
  <c r="C499" i="1"/>
  <c r="B499" i="1"/>
  <c r="CY498" i="1"/>
  <c r="CZ498" i="1" s="1"/>
  <c r="CV498" i="1"/>
  <c r="CT498" i="1"/>
  <c r="CO498" i="1"/>
  <c r="CJ498" i="1"/>
  <c r="CA498" i="1"/>
  <c r="BT498" i="1"/>
  <c r="BU498" i="1" s="1"/>
  <c r="BO498" i="1"/>
  <c r="BL498" i="1"/>
  <c r="BJ498" i="1"/>
  <c r="BE498" i="1"/>
  <c r="AV498" i="1"/>
  <c r="AP498" i="1"/>
  <c r="AO498" i="1"/>
  <c r="AJ498" i="1"/>
  <c r="AL498" i="1" s="1"/>
  <c r="AE498" i="1"/>
  <c r="AG498" i="1" s="1"/>
  <c r="Z498" i="1"/>
  <c r="N498" i="1"/>
  <c r="K498" i="1"/>
  <c r="J498" i="1"/>
  <c r="E498" i="1"/>
  <c r="D498" i="1"/>
  <c r="C498" i="1"/>
  <c r="B498" i="1"/>
  <c r="CY497" i="1"/>
  <c r="CZ497" i="1" s="1"/>
  <c r="CV497" i="1"/>
  <c r="CT497" i="1"/>
  <c r="CO497" i="1"/>
  <c r="CJ497" i="1"/>
  <c r="CA497" i="1"/>
  <c r="BT497" i="1"/>
  <c r="BO497" i="1"/>
  <c r="BQ497" i="1" s="1"/>
  <c r="BL497" i="1"/>
  <c r="BJ497" i="1"/>
  <c r="BE497" i="1"/>
  <c r="AV497" i="1"/>
  <c r="AP497" i="1"/>
  <c r="AO497" i="1"/>
  <c r="AJ497" i="1"/>
  <c r="AL497" i="1" s="1"/>
  <c r="AE497" i="1"/>
  <c r="Z497" i="1"/>
  <c r="N497" i="1"/>
  <c r="K497" i="1"/>
  <c r="J497" i="1"/>
  <c r="E497" i="1"/>
  <c r="D497" i="1"/>
  <c r="C497" i="1"/>
  <c r="B497" i="1"/>
  <c r="CY496" i="1"/>
  <c r="CZ496" i="1" s="1"/>
  <c r="CT496" i="1"/>
  <c r="CV496" i="1" s="1"/>
  <c r="CO496" i="1"/>
  <c r="CJ496" i="1"/>
  <c r="CA496" i="1"/>
  <c r="BT496" i="1"/>
  <c r="BO496" i="1"/>
  <c r="BQ496" i="1" s="1"/>
  <c r="BJ496" i="1"/>
  <c r="BL496" i="1" s="1"/>
  <c r="BV496" i="1" s="1"/>
  <c r="BE496" i="1"/>
  <c r="AV496" i="1"/>
  <c r="AO496" i="1"/>
  <c r="AP496" i="1" s="1"/>
  <c r="AJ496" i="1"/>
  <c r="AL496" i="1" s="1"/>
  <c r="AE496" i="1"/>
  <c r="Z496" i="1"/>
  <c r="N496" i="1"/>
  <c r="K496" i="1"/>
  <c r="J496" i="1"/>
  <c r="E496" i="1"/>
  <c r="D496" i="1"/>
  <c r="C496" i="1"/>
  <c r="B496" i="1"/>
  <c r="CY495" i="1"/>
  <c r="CZ495" i="1" s="1"/>
  <c r="CT495" i="1"/>
  <c r="CQ495" i="1"/>
  <c r="CO495" i="1"/>
  <c r="CJ495" i="1"/>
  <c r="CA495" i="1"/>
  <c r="BT495" i="1"/>
  <c r="BU495" i="1" s="1"/>
  <c r="BO495" i="1"/>
  <c r="BQ495" i="1" s="1"/>
  <c r="BJ495" i="1"/>
  <c r="BL495" i="1" s="1"/>
  <c r="BE495" i="1"/>
  <c r="AV495" i="1"/>
  <c r="AO495" i="1"/>
  <c r="AP495" i="1" s="1"/>
  <c r="AJ495" i="1"/>
  <c r="AL495" i="1" s="1"/>
  <c r="AE495" i="1"/>
  <c r="Z495" i="1"/>
  <c r="N495" i="1"/>
  <c r="K495" i="1"/>
  <c r="J495" i="1"/>
  <c r="E495" i="1"/>
  <c r="D495" i="1"/>
  <c r="C495" i="1"/>
  <c r="B495" i="1"/>
  <c r="CY494" i="1"/>
  <c r="CT494" i="1"/>
  <c r="CV494" i="1" s="1"/>
  <c r="CQ494" i="1"/>
  <c r="CO494" i="1"/>
  <c r="CJ494" i="1"/>
  <c r="CA494" i="1"/>
  <c r="BU494" i="1"/>
  <c r="BT494" i="1"/>
  <c r="BO494" i="1"/>
  <c r="BQ494" i="1" s="1"/>
  <c r="BJ494" i="1"/>
  <c r="BW494" i="1" s="1"/>
  <c r="BE494" i="1"/>
  <c r="AV494" i="1"/>
  <c r="AO494" i="1"/>
  <c r="AP494" i="1" s="1"/>
  <c r="AJ494" i="1"/>
  <c r="AE494" i="1"/>
  <c r="AG494" i="1" s="1"/>
  <c r="Z494" i="1"/>
  <c r="N494" i="1"/>
  <c r="K494" i="1"/>
  <c r="J494" i="1"/>
  <c r="E494" i="1"/>
  <c r="D494" i="1"/>
  <c r="C494" i="1"/>
  <c r="B494" i="1"/>
  <c r="CY493" i="1"/>
  <c r="CV493" i="1"/>
  <c r="CT493" i="1"/>
  <c r="CO493" i="1"/>
  <c r="CQ493" i="1" s="1"/>
  <c r="CJ493" i="1"/>
  <c r="CA493" i="1"/>
  <c r="BT493" i="1"/>
  <c r="BU493" i="1" s="1"/>
  <c r="BO493" i="1"/>
  <c r="BQ493" i="1" s="1"/>
  <c r="BJ493" i="1"/>
  <c r="BE493" i="1"/>
  <c r="AV493" i="1"/>
  <c r="AO493" i="1"/>
  <c r="AJ493" i="1"/>
  <c r="AL493" i="1" s="1"/>
  <c r="AE493" i="1"/>
  <c r="AG493" i="1" s="1"/>
  <c r="AQ493" i="1" s="1"/>
  <c r="Z493" i="1"/>
  <c r="N493" i="1"/>
  <c r="K493" i="1"/>
  <c r="J493" i="1"/>
  <c r="E493" i="1"/>
  <c r="D493" i="1"/>
  <c r="C493" i="1"/>
  <c r="B493" i="1"/>
  <c r="CY492" i="1"/>
  <c r="CZ492" i="1" s="1"/>
  <c r="CT492" i="1"/>
  <c r="CV492" i="1" s="1"/>
  <c r="CO492" i="1"/>
  <c r="CJ492" i="1"/>
  <c r="CA492" i="1"/>
  <c r="BT492" i="1"/>
  <c r="BU492" i="1" s="1"/>
  <c r="BO492" i="1"/>
  <c r="BQ492" i="1" s="1"/>
  <c r="BJ492" i="1"/>
  <c r="BE492" i="1"/>
  <c r="AV492" i="1"/>
  <c r="AO492" i="1"/>
  <c r="AL492" i="1"/>
  <c r="AJ492" i="1"/>
  <c r="AE492" i="1"/>
  <c r="AG492" i="1" s="1"/>
  <c r="Z492" i="1"/>
  <c r="N492" i="1"/>
  <c r="K492" i="1"/>
  <c r="J492" i="1"/>
  <c r="E492" i="1"/>
  <c r="D492" i="1"/>
  <c r="C492" i="1"/>
  <c r="B492" i="1"/>
  <c r="CY491" i="1"/>
  <c r="CZ491" i="1" s="1"/>
  <c r="CT491" i="1"/>
  <c r="CV491" i="1" s="1"/>
  <c r="CO491" i="1"/>
  <c r="CJ491" i="1"/>
  <c r="CA491" i="1"/>
  <c r="BT491" i="1"/>
  <c r="BU491" i="1" s="1"/>
  <c r="BO491" i="1"/>
  <c r="BJ491" i="1"/>
  <c r="BL491" i="1" s="1"/>
  <c r="BE491" i="1"/>
  <c r="AV491" i="1"/>
  <c r="AO491" i="1"/>
  <c r="AP491" i="1" s="1"/>
  <c r="AJ491" i="1"/>
  <c r="AE491" i="1"/>
  <c r="AG491" i="1" s="1"/>
  <c r="Z491" i="1"/>
  <c r="N491" i="1"/>
  <c r="K491" i="1"/>
  <c r="J491" i="1"/>
  <c r="E491" i="1"/>
  <c r="D491" i="1"/>
  <c r="C491" i="1"/>
  <c r="B491" i="1"/>
  <c r="CY490" i="1"/>
  <c r="CZ490" i="1" s="1"/>
  <c r="CV490" i="1"/>
  <c r="CT490" i="1"/>
  <c r="CO490" i="1"/>
  <c r="CJ490" i="1"/>
  <c r="CA490" i="1"/>
  <c r="BT490" i="1"/>
  <c r="BO490" i="1"/>
  <c r="BQ490" i="1" s="1"/>
  <c r="BJ490" i="1"/>
  <c r="BL490" i="1" s="1"/>
  <c r="BE490" i="1"/>
  <c r="AV490" i="1"/>
  <c r="AO490" i="1"/>
  <c r="AP490" i="1" s="1"/>
  <c r="AJ490" i="1"/>
  <c r="AL490" i="1" s="1"/>
  <c r="AE490" i="1"/>
  <c r="Z490" i="1"/>
  <c r="N490" i="1"/>
  <c r="K490" i="1"/>
  <c r="J490" i="1"/>
  <c r="E490" i="1"/>
  <c r="D490" i="1"/>
  <c r="C490" i="1"/>
  <c r="B490" i="1"/>
  <c r="CY489" i="1"/>
  <c r="CZ489" i="1" s="1"/>
  <c r="CT489" i="1"/>
  <c r="CV489" i="1" s="1"/>
  <c r="CO489" i="1"/>
  <c r="CJ489" i="1"/>
  <c r="CA489" i="1"/>
  <c r="BT489" i="1"/>
  <c r="BO489" i="1"/>
  <c r="BQ489" i="1" s="1"/>
  <c r="BJ489" i="1"/>
  <c r="BL489" i="1" s="1"/>
  <c r="BE489" i="1"/>
  <c r="AV489" i="1"/>
  <c r="AO489" i="1"/>
  <c r="AP489" i="1" s="1"/>
  <c r="AJ489" i="1"/>
  <c r="AL489" i="1" s="1"/>
  <c r="AE489" i="1"/>
  <c r="Z489" i="1"/>
  <c r="N489" i="1"/>
  <c r="K489" i="1"/>
  <c r="J489" i="1"/>
  <c r="E489" i="1"/>
  <c r="D489" i="1"/>
  <c r="C489" i="1"/>
  <c r="B489" i="1"/>
  <c r="CY488" i="1"/>
  <c r="CZ488" i="1" s="1"/>
  <c r="CT488" i="1"/>
  <c r="CO488" i="1"/>
  <c r="CQ488" i="1" s="1"/>
  <c r="CJ488" i="1"/>
  <c r="CA488" i="1"/>
  <c r="BT488" i="1"/>
  <c r="BU488" i="1" s="1"/>
  <c r="BO488" i="1"/>
  <c r="BQ488" i="1" s="1"/>
  <c r="BJ488" i="1"/>
  <c r="BL488" i="1" s="1"/>
  <c r="BE488" i="1"/>
  <c r="AV488" i="1"/>
  <c r="AO488" i="1"/>
  <c r="AP488" i="1" s="1"/>
  <c r="AJ488" i="1"/>
  <c r="AL488" i="1" s="1"/>
  <c r="AE488" i="1"/>
  <c r="Z488" i="1"/>
  <c r="N488" i="1"/>
  <c r="K488" i="1"/>
  <c r="J488" i="1"/>
  <c r="E488" i="1"/>
  <c r="D488" i="1"/>
  <c r="C488" i="1"/>
  <c r="B488" i="1"/>
  <c r="CY487" i="1"/>
  <c r="CV487" i="1"/>
  <c r="CT487" i="1"/>
  <c r="CO487" i="1"/>
  <c r="CQ487" i="1" s="1"/>
  <c r="CJ487" i="1"/>
  <c r="CA487" i="1"/>
  <c r="BT487" i="1"/>
  <c r="BU487" i="1" s="1"/>
  <c r="BO487" i="1"/>
  <c r="BQ487" i="1" s="1"/>
  <c r="BJ487" i="1"/>
  <c r="BE487" i="1"/>
  <c r="AV487" i="1"/>
  <c r="AO487" i="1"/>
  <c r="AP487" i="1" s="1"/>
  <c r="AJ487" i="1"/>
  <c r="AE487" i="1"/>
  <c r="AG487" i="1" s="1"/>
  <c r="Z487" i="1"/>
  <c r="N487" i="1"/>
  <c r="K487" i="1"/>
  <c r="J487" i="1"/>
  <c r="E487" i="1"/>
  <c r="D487" i="1"/>
  <c r="C487" i="1"/>
  <c r="B487" i="1"/>
  <c r="CY486" i="1"/>
  <c r="CZ486" i="1" s="1"/>
  <c r="CT486" i="1"/>
  <c r="CV486" i="1" s="1"/>
  <c r="CO486" i="1"/>
  <c r="CQ486" i="1" s="1"/>
  <c r="CJ486" i="1"/>
  <c r="CA486" i="1"/>
  <c r="BT486" i="1"/>
  <c r="BU486" i="1" s="1"/>
  <c r="BO486" i="1"/>
  <c r="BQ486" i="1" s="1"/>
  <c r="BJ486" i="1"/>
  <c r="BE486" i="1"/>
  <c r="AV486" i="1"/>
  <c r="AO486" i="1"/>
  <c r="AJ486" i="1"/>
  <c r="AL486" i="1" s="1"/>
  <c r="AE486" i="1"/>
  <c r="AG486" i="1" s="1"/>
  <c r="Z486" i="1"/>
  <c r="N486" i="1"/>
  <c r="K486" i="1"/>
  <c r="J486" i="1"/>
  <c r="E486" i="1"/>
  <c r="D486" i="1"/>
  <c r="C486" i="1"/>
  <c r="B486" i="1"/>
  <c r="CY485" i="1"/>
  <c r="CZ485" i="1" s="1"/>
  <c r="CT485" i="1"/>
  <c r="CV485" i="1" s="1"/>
  <c r="CO485" i="1"/>
  <c r="CJ485" i="1"/>
  <c r="CA485" i="1"/>
  <c r="BT485" i="1"/>
  <c r="BU485" i="1" s="1"/>
  <c r="BO485" i="1"/>
  <c r="BQ485" i="1" s="1"/>
  <c r="BJ485" i="1"/>
  <c r="BL485" i="1" s="1"/>
  <c r="BE485" i="1"/>
  <c r="AV485" i="1"/>
  <c r="AO485" i="1"/>
  <c r="AP485" i="1" s="1"/>
  <c r="AJ485" i="1"/>
  <c r="AL485" i="1" s="1"/>
  <c r="AE485" i="1"/>
  <c r="AG485" i="1" s="1"/>
  <c r="Z485" i="1"/>
  <c r="N485" i="1"/>
  <c r="K485" i="1"/>
  <c r="J485" i="1"/>
  <c r="E485" i="1"/>
  <c r="D485" i="1"/>
  <c r="C485" i="1"/>
  <c r="B485" i="1"/>
  <c r="CY484" i="1"/>
  <c r="CZ484" i="1" s="1"/>
  <c r="CT484" i="1"/>
  <c r="CV484" i="1" s="1"/>
  <c r="CO484" i="1"/>
  <c r="CJ484" i="1"/>
  <c r="CA484" i="1"/>
  <c r="BT484" i="1"/>
  <c r="BU484" i="1" s="1"/>
  <c r="BO484" i="1"/>
  <c r="BJ484" i="1"/>
  <c r="BL484" i="1" s="1"/>
  <c r="BE484" i="1"/>
  <c r="AV484" i="1"/>
  <c r="AO484" i="1"/>
  <c r="AP484" i="1" s="1"/>
  <c r="AJ484" i="1"/>
  <c r="AL484" i="1" s="1"/>
  <c r="AE484" i="1"/>
  <c r="Z484" i="1"/>
  <c r="N484" i="1"/>
  <c r="K484" i="1"/>
  <c r="J484" i="1"/>
  <c r="E484" i="1"/>
  <c r="D484" i="1"/>
  <c r="C484" i="1"/>
  <c r="B484" i="1"/>
  <c r="CZ483" i="1"/>
  <c r="CY483" i="1"/>
  <c r="CT483" i="1"/>
  <c r="CV483" i="1" s="1"/>
  <c r="CO483" i="1"/>
  <c r="CJ483" i="1"/>
  <c r="CA483" i="1"/>
  <c r="BT483" i="1"/>
  <c r="BO483" i="1"/>
  <c r="BQ483" i="1" s="1"/>
  <c r="BJ483" i="1"/>
  <c r="BL483" i="1" s="1"/>
  <c r="BE483" i="1"/>
  <c r="AV483" i="1"/>
  <c r="AO483" i="1"/>
  <c r="AP483" i="1" s="1"/>
  <c r="AJ483" i="1"/>
  <c r="AL483" i="1" s="1"/>
  <c r="AE483" i="1"/>
  <c r="Z483" i="1"/>
  <c r="N483" i="1"/>
  <c r="K483" i="1"/>
  <c r="J483" i="1"/>
  <c r="E483" i="1"/>
  <c r="D483" i="1"/>
  <c r="C483" i="1"/>
  <c r="B483" i="1"/>
  <c r="CY482" i="1"/>
  <c r="CZ482" i="1" s="1"/>
  <c r="CT482" i="1"/>
  <c r="CV482" i="1" s="1"/>
  <c r="CO482" i="1"/>
  <c r="CQ482" i="1" s="1"/>
  <c r="CJ482" i="1"/>
  <c r="CA482" i="1"/>
  <c r="BT482" i="1"/>
  <c r="BU482" i="1" s="1"/>
  <c r="BO482" i="1"/>
  <c r="BQ482" i="1" s="1"/>
  <c r="BJ482" i="1"/>
  <c r="BL482" i="1" s="1"/>
  <c r="BV482" i="1" s="1"/>
  <c r="BE482" i="1"/>
  <c r="AV482" i="1"/>
  <c r="AO482" i="1"/>
  <c r="AP482" i="1" s="1"/>
  <c r="AJ482" i="1"/>
  <c r="AL482" i="1" s="1"/>
  <c r="AE482" i="1"/>
  <c r="Z482" i="1"/>
  <c r="N482" i="1"/>
  <c r="K482" i="1"/>
  <c r="J482" i="1"/>
  <c r="E482" i="1"/>
  <c r="D482" i="1"/>
  <c r="C482" i="1"/>
  <c r="B482" i="1"/>
  <c r="CY481" i="1"/>
  <c r="CZ481" i="1" s="1"/>
  <c r="CT481" i="1"/>
  <c r="CV481" i="1" s="1"/>
  <c r="CO481" i="1"/>
  <c r="CQ481" i="1" s="1"/>
  <c r="CJ481" i="1"/>
  <c r="CA481" i="1"/>
  <c r="BT481" i="1"/>
  <c r="BU481" i="1" s="1"/>
  <c r="BO481" i="1"/>
  <c r="BQ481" i="1" s="1"/>
  <c r="BJ481" i="1"/>
  <c r="BE481" i="1"/>
  <c r="AV481" i="1"/>
  <c r="AO481" i="1"/>
  <c r="AP481" i="1" s="1"/>
  <c r="AJ481" i="1"/>
  <c r="AL481" i="1" s="1"/>
  <c r="AE481" i="1"/>
  <c r="AG481" i="1" s="1"/>
  <c r="AQ481" i="1" s="1"/>
  <c r="Z481" i="1"/>
  <c r="N481" i="1"/>
  <c r="K481" i="1"/>
  <c r="J481" i="1"/>
  <c r="E481" i="1"/>
  <c r="D481" i="1"/>
  <c r="C481" i="1"/>
  <c r="B481" i="1"/>
  <c r="CY480" i="1"/>
  <c r="CT480" i="1"/>
  <c r="CV480" i="1" s="1"/>
  <c r="CO480" i="1"/>
  <c r="CQ480" i="1" s="1"/>
  <c r="DA480" i="1" s="1"/>
  <c r="CJ480" i="1"/>
  <c r="CA480" i="1"/>
  <c r="BT480" i="1"/>
  <c r="BU480" i="1" s="1"/>
  <c r="BO480" i="1"/>
  <c r="BQ480" i="1" s="1"/>
  <c r="BJ480" i="1"/>
  <c r="BE480" i="1"/>
  <c r="AV480" i="1"/>
  <c r="AO480" i="1"/>
  <c r="AP480" i="1" s="1"/>
  <c r="AJ480" i="1"/>
  <c r="AL480" i="1" s="1"/>
  <c r="AE480" i="1"/>
  <c r="AG480" i="1" s="1"/>
  <c r="Z480" i="1"/>
  <c r="N480" i="1"/>
  <c r="K480" i="1"/>
  <c r="J480" i="1"/>
  <c r="E480" i="1"/>
  <c r="D480" i="1"/>
  <c r="C480" i="1"/>
  <c r="B480" i="1"/>
  <c r="CY479" i="1"/>
  <c r="CZ479" i="1" s="1"/>
  <c r="CT479" i="1"/>
  <c r="CV479" i="1" s="1"/>
  <c r="CO479" i="1"/>
  <c r="CQ479" i="1" s="1"/>
  <c r="CJ479" i="1"/>
  <c r="CA479" i="1"/>
  <c r="BT479" i="1"/>
  <c r="BU479" i="1" s="1"/>
  <c r="BO479" i="1"/>
  <c r="BQ479" i="1" s="1"/>
  <c r="BJ479" i="1"/>
  <c r="BL479" i="1" s="1"/>
  <c r="BE479" i="1"/>
  <c r="AV479" i="1"/>
  <c r="AO479" i="1"/>
  <c r="AJ479" i="1"/>
  <c r="AL479" i="1" s="1"/>
  <c r="AE479" i="1"/>
  <c r="AG479" i="1" s="1"/>
  <c r="Z479" i="1"/>
  <c r="N479" i="1"/>
  <c r="K479" i="1"/>
  <c r="J479" i="1"/>
  <c r="E479" i="1"/>
  <c r="D479" i="1"/>
  <c r="C479" i="1"/>
  <c r="B479" i="1"/>
  <c r="CY478" i="1"/>
  <c r="CZ478" i="1" s="1"/>
  <c r="CT478" i="1"/>
  <c r="CV478" i="1" s="1"/>
  <c r="CO478" i="1"/>
  <c r="CQ478" i="1" s="1"/>
  <c r="DA478" i="1" s="1"/>
  <c r="CJ478" i="1"/>
  <c r="CA478" i="1"/>
  <c r="BT478" i="1"/>
  <c r="BU478" i="1" s="1"/>
  <c r="BO478" i="1"/>
  <c r="BQ478" i="1" s="1"/>
  <c r="BJ478" i="1"/>
  <c r="BE478" i="1"/>
  <c r="AV478" i="1"/>
  <c r="AO478" i="1"/>
  <c r="AP478" i="1" s="1"/>
  <c r="AJ478" i="1"/>
  <c r="AL478" i="1" s="1"/>
  <c r="AE478" i="1"/>
  <c r="AG478" i="1" s="1"/>
  <c r="Z478" i="1"/>
  <c r="N478" i="1"/>
  <c r="K478" i="1"/>
  <c r="J478" i="1"/>
  <c r="E478" i="1"/>
  <c r="D478" i="1"/>
  <c r="C478" i="1"/>
  <c r="B478" i="1"/>
  <c r="CY477" i="1"/>
  <c r="CZ477" i="1" s="1"/>
  <c r="CT477" i="1"/>
  <c r="CV477" i="1" s="1"/>
  <c r="CO477" i="1"/>
  <c r="CJ477" i="1"/>
  <c r="CA477" i="1"/>
  <c r="BT477" i="1"/>
  <c r="BU477" i="1" s="1"/>
  <c r="BO477" i="1"/>
  <c r="BQ477" i="1" s="1"/>
  <c r="BL477" i="1"/>
  <c r="BJ477" i="1"/>
  <c r="BE477" i="1"/>
  <c r="AV477" i="1"/>
  <c r="AP477" i="1"/>
  <c r="AO477" i="1"/>
  <c r="AJ477" i="1"/>
  <c r="AL477" i="1" s="1"/>
  <c r="AE477" i="1"/>
  <c r="AG477" i="1" s="1"/>
  <c r="AQ477" i="1" s="1"/>
  <c r="Z477" i="1"/>
  <c r="N477" i="1"/>
  <c r="K477" i="1"/>
  <c r="J477" i="1"/>
  <c r="E477" i="1"/>
  <c r="D477" i="1"/>
  <c r="C477" i="1"/>
  <c r="B477" i="1"/>
  <c r="CY476" i="1"/>
  <c r="CZ476" i="1" s="1"/>
  <c r="CT476" i="1"/>
  <c r="CV476" i="1" s="1"/>
  <c r="CO476" i="1"/>
  <c r="CQ476" i="1" s="1"/>
  <c r="CJ476" i="1"/>
  <c r="CA476" i="1"/>
  <c r="BT476" i="1"/>
  <c r="BO476" i="1"/>
  <c r="BQ476" i="1" s="1"/>
  <c r="BJ476" i="1"/>
  <c r="BL476" i="1" s="1"/>
  <c r="BE476" i="1"/>
  <c r="AV476" i="1"/>
  <c r="AO476" i="1"/>
  <c r="AP476" i="1" s="1"/>
  <c r="AJ476" i="1"/>
  <c r="AL476" i="1" s="1"/>
  <c r="AE476" i="1"/>
  <c r="Z476" i="1"/>
  <c r="N476" i="1"/>
  <c r="K476" i="1"/>
  <c r="J476" i="1"/>
  <c r="E476" i="1"/>
  <c r="D476" i="1"/>
  <c r="C476" i="1"/>
  <c r="B476" i="1"/>
  <c r="CY475" i="1"/>
  <c r="CZ475" i="1" s="1"/>
  <c r="CT475" i="1"/>
  <c r="CV475" i="1" s="1"/>
  <c r="CO475" i="1"/>
  <c r="CQ475" i="1" s="1"/>
  <c r="CJ475" i="1"/>
  <c r="CA475" i="1"/>
  <c r="BT475" i="1"/>
  <c r="BU475" i="1" s="1"/>
  <c r="BO475" i="1"/>
  <c r="BQ475" i="1" s="1"/>
  <c r="BJ475" i="1"/>
  <c r="BE475" i="1"/>
  <c r="AV475" i="1"/>
  <c r="AO475" i="1"/>
  <c r="AP475" i="1" s="1"/>
  <c r="AJ475" i="1"/>
  <c r="AL475" i="1" s="1"/>
  <c r="AE475" i="1"/>
  <c r="AG475" i="1" s="1"/>
  <c r="Z475" i="1"/>
  <c r="N475" i="1"/>
  <c r="K475" i="1"/>
  <c r="J475" i="1"/>
  <c r="E475" i="1"/>
  <c r="D475" i="1"/>
  <c r="C475" i="1"/>
  <c r="B475" i="1"/>
  <c r="CY474" i="1"/>
  <c r="CZ474" i="1" s="1"/>
  <c r="CT474" i="1"/>
  <c r="CV474" i="1" s="1"/>
  <c r="CO474" i="1"/>
  <c r="CJ474" i="1"/>
  <c r="CA474" i="1"/>
  <c r="BT474" i="1"/>
  <c r="BU474" i="1" s="1"/>
  <c r="BO474" i="1"/>
  <c r="BQ474" i="1" s="1"/>
  <c r="BJ474" i="1"/>
  <c r="BE474" i="1"/>
  <c r="AV474" i="1"/>
  <c r="AO474" i="1"/>
  <c r="AP474" i="1" s="1"/>
  <c r="AJ474" i="1"/>
  <c r="AL474" i="1" s="1"/>
  <c r="AG474" i="1"/>
  <c r="AE474" i="1"/>
  <c r="Z474" i="1"/>
  <c r="N474" i="1"/>
  <c r="K474" i="1"/>
  <c r="J474" i="1"/>
  <c r="E474" i="1"/>
  <c r="D474" i="1"/>
  <c r="C474" i="1"/>
  <c r="B474" i="1"/>
  <c r="CY473" i="1"/>
  <c r="CZ473" i="1" s="1"/>
  <c r="CT473" i="1"/>
  <c r="CV473" i="1" s="1"/>
  <c r="CO473" i="1"/>
  <c r="CQ473" i="1" s="1"/>
  <c r="CJ473" i="1"/>
  <c r="CA473" i="1"/>
  <c r="BT473" i="1"/>
  <c r="BU473" i="1" s="1"/>
  <c r="BO473" i="1"/>
  <c r="BQ473" i="1" s="1"/>
  <c r="BJ473" i="1"/>
  <c r="BE473" i="1"/>
  <c r="AV473" i="1"/>
  <c r="AO473" i="1"/>
  <c r="AP473" i="1" s="1"/>
  <c r="AJ473" i="1"/>
  <c r="AL473" i="1" s="1"/>
  <c r="AE473" i="1"/>
  <c r="AG473" i="1" s="1"/>
  <c r="AQ473" i="1" s="1"/>
  <c r="Z473" i="1"/>
  <c r="N473" i="1"/>
  <c r="K473" i="1"/>
  <c r="J473" i="1"/>
  <c r="E473" i="1"/>
  <c r="D473" i="1"/>
  <c r="C473" i="1"/>
  <c r="B473" i="1"/>
  <c r="CY472" i="1"/>
  <c r="CZ472" i="1" s="1"/>
  <c r="CT472" i="1"/>
  <c r="CV472" i="1" s="1"/>
  <c r="CO472" i="1"/>
  <c r="DB472" i="1" s="1"/>
  <c r="CJ472" i="1"/>
  <c r="CA472" i="1"/>
  <c r="BT472" i="1"/>
  <c r="BU472" i="1" s="1"/>
  <c r="BO472" i="1"/>
  <c r="BJ472" i="1"/>
  <c r="BL472" i="1" s="1"/>
  <c r="BE472" i="1"/>
  <c r="AV472" i="1"/>
  <c r="AO472" i="1"/>
  <c r="AP472" i="1" s="1"/>
  <c r="AL472" i="1"/>
  <c r="AJ472" i="1"/>
  <c r="AE472" i="1"/>
  <c r="AR472" i="1" s="1"/>
  <c r="Z472" i="1"/>
  <c r="N472" i="1"/>
  <c r="K472" i="1"/>
  <c r="J472" i="1"/>
  <c r="E472" i="1"/>
  <c r="D472" i="1"/>
  <c r="C472" i="1"/>
  <c r="B472" i="1"/>
  <c r="CY471" i="1"/>
  <c r="CZ471" i="1" s="1"/>
  <c r="CT471" i="1"/>
  <c r="CV471" i="1" s="1"/>
  <c r="CO471" i="1"/>
  <c r="CJ471" i="1"/>
  <c r="CA471" i="1"/>
  <c r="BT471" i="1"/>
  <c r="BU471" i="1" s="1"/>
  <c r="BO471" i="1"/>
  <c r="BQ471" i="1" s="1"/>
  <c r="BJ471" i="1"/>
  <c r="BL471" i="1" s="1"/>
  <c r="BE471" i="1"/>
  <c r="AV471" i="1"/>
  <c r="AO471" i="1"/>
  <c r="AP471" i="1" s="1"/>
  <c r="AJ471" i="1"/>
  <c r="AL471" i="1" s="1"/>
  <c r="AE471" i="1"/>
  <c r="AG471" i="1" s="1"/>
  <c r="AQ471" i="1" s="1"/>
  <c r="Z471" i="1"/>
  <c r="N471" i="1"/>
  <c r="K471" i="1"/>
  <c r="J471" i="1"/>
  <c r="E471" i="1"/>
  <c r="D471" i="1"/>
  <c r="C471" i="1"/>
  <c r="B471" i="1"/>
  <c r="CY470" i="1"/>
  <c r="CZ470" i="1" s="1"/>
  <c r="CT470" i="1"/>
  <c r="CV470" i="1" s="1"/>
  <c r="CO470" i="1"/>
  <c r="CJ470" i="1"/>
  <c r="CA470" i="1"/>
  <c r="BW470" i="1"/>
  <c r="BT470" i="1"/>
  <c r="BU470" i="1" s="1"/>
  <c r="BO470" i="1"/>
  <c r="BQ470" i="1" s="1"/>
  <c r="BJ470" i="1"/>
  <c r="BL470" i="1" s="1"/>
  <c r="BV470" i="1" s="1"/>
  <c r="BE470" i="1"/>
  <c r="AV470" i="1"/>
  <c r="AO470" i="1"/>
  <c r="AP470" i="1" s="1"/>
  <c r="AJ470" i="1"/>
  <c r="AL470" i="1" s="1"/>
  <c r="AE470" i="1"/>
  <c r="Z470" i="1"/>
  <c r="N470" i="1"/>
  <c r="K470" i="1"/>
  <c r="J470" i="1"/>
  <c r="E470" i="1"/>
  <c r="D470" i="1"/>
  <c r="C470" i="1"/>
  <c r="B470" i="1"/>
  <c r="CY469" i="1"/>
  <c r="CZ469" i="1" s="1"/>
  <c r="CT469" i="1"/>
  <c r="CV469" i="1" s="1"/>
  <c r="CO469" i="1"/>
  <c r="CQ469" i="1" s="1"/>
  <c r="CJ469" i="1"/>
  <c r="CA469" i="1"/>
  <c r="BT469" i="1"/>
  <c r="BU469" i="1" s="1"/>
  <c r="BO469" i="1"/>
  <c r="BQ469" i="1" s="1"/>
  <c r="BJ469" i="1"/>
  <c r="BL469" i="1" s="1"/>
  <c r="BE469" i="1"/>
  <c r="AV469" i="1"/>
  <c r="AO469" i="1"/>
  <c r="AP469" i="1" s="1"/>
  <c r="AJ469" i="1"/>
  <c r="AL469" i="1" s="1"/>
  <c r="AE469" i="1"/>
  <c r="AG469" i="1" s="1"/>
  <c r="Z469" i="1"/>
  <c r="N469" i="1"/>
  <c r="K469" i="1"/>
  <c r="J469" i="1"/>
  <c r="E469" i="1"/>
  <c r="D469" i="1"/>
  <c r="C469" i="1"/>
  <c r="B469" i="1"/>
  <c r="CY468" i="1"/>
  <c r="CZ468" i="1" s="1"/>
  <c r="CT468" i="1"/>
  <c r="CO468" i="1"/>
  <c r="CQ468" i="1" s="1"/>
  <c r="CJ468" i="1"/>
  <c r="CA468" i="1"/>
  <c r="BT468" i="1"/>
  <c r="BU468" i="1" s="1"/>
  <c r="BO468" i="1"/>
  <c r="BJ468" i="1"/>
  <c r="BL468" i="1" s="1"/>
  <c r="BE468" i="1"/>
  <c r="AV468" i="1"/>
  <c r="AO468" i="1"/>
  <c r="AP468" i="1" s="1"/>
  <c r="AJ468" i="1"/>
  <c r="AL468" i="1" s="1"/>
  <c r="AE468" i="1"/>
  <c r="AG468" i="1" s="1"/>
  <c r="Z468" i="1"/>
  <c r="N468" i="1"/>
  <c r="K468" i="1"/>
  <c r="J468" i="1"/>
  <c r="E468" i="1"/>
  <c r="D468" i="1"/>
  <c r="C468" i="1"/>
  <c r="B468" i="1"/>
  <c r="CY467" i="1"/>
  <c r="CZ467" i="1" s="1"/>
  <c r="CT467" i="1"/>
  <c r="CV467" i="1" s="1"/>
  <c r="CO467" i="1"/>
  <c r="CQ467" i="1" s="1"/>
  <c r="CJ467" i="1"/>
  <c r="CA467" i="1"/>
  <c r="BT467" i="1"/>
  <c r="BU467" i="1" s="1"/>
  <c r="BO467" i="1"/>
  <c r="BQ467" i="1" s="1"/>
  <c r="BJ467" i="1"/>
  <c r="BE467" i="1"/>
  <c r="AV467" i="1"/>
  <c r="AO467" i="1"/>
  <c r="AP467" i="1" s="1"/>
  <c r="AJ467" i="1"/>
  <c r="AL467" i="1" s="1"/>
  <c r="AE467" i="1"/>
  <c r="AG467" i="1" s="1"/>
  <c r="Z467" i="1"/>
  <c r="N467" i="1"/>
  <c r="K467" i="1"/>
  <c r="J467" i="1"/>
  <c r="E467" i="1"/>
  <c r="D467" i="1"/>
  <c r="C467" i="1"/>
  <c r="B467" i="1"/>
  <c r="CY466" i="1"/>
  <c r="CZ466" i="1" s="1"/>
  <c r="CT466" i="1"/>
  <c r="CV466" i="1" s="1"/>
  <c r="CO466" i="1"/>
  <c r="CJ466" i="1"/>
  <c r="CA466" i="1"/>
  <c r="BT466" i="1"/>
  <c r="BU466" i="1" s="1"/>
  <c r="BQ466" i="1"/>
  <c r="BO466" i="1"/>
  <c r="BJ466" i="1"/>
  <c r="BE466" i="1"/>
  <c r="AV466" i="1"/>
  <c r="AO466" i="1"/>
  <c r="AP466" i="1" s="1"/>
  <c r="AJ466" i="1"/>
  <c r="AL466" i="1" s="1"/>
  <c r="AE466" i="1"/>
  <c r="Z466" i="1"/>
  <c r="N466" i="1"/>
  <c r="K466" i="1"/>
  <c r="J466" i="1"/>
  <c r="E466" i="1"/>
  <c r="D466" i="1"/>
  <c r="C466" i="1"/>
  <c r="B466" i="1"/>
  <c r="CY465" i="1"/>
  <c r="CZ465" i="1" s="1"/>
  <c r="CT465" i="1"/>
  <c r="CV465" i="1" s="1"/>
  <c r="CO465" i="1"/>
  <c r="CQ465" i="1" s="1"/>
  <c r="CJ465" i="1"/>
  <c r="CA465" i="1"/>
  <c r="BT465" i="1"/>
  <c r="BU465" i="1" s="1"/>
  <c r="BO465" i="1"/>
  <c r="BQ465" i="1" s="1"/>
  <c r="BJ465" i="1"/>
  <c r="BL465" i="1" s="1"/>
  <c r="BV465" i="1" s="1"/>
  <c r="BE465" i="1"/>
  <c r="AV465" i="1"/>
  <c r="AO465" i="1"/>
  <c r="AP465" i="1" s="1"/>
  <c r="AJ465" i="1"/>
  <c r="AL465" i="1" s="1"/>
  <c r="AE465" i="1"/>
  <c r="AG465" i="1" s="1"/>
  <c r="Z465" i="1"/>
  <c r="N465" i="1"/>
  <c r="K465" i="1"/>
  <c r="J465" i="1"/>
  <c r="E465" i="1"/>
  <c r="D465" i="1"/>
  <c r="C465" i="1"/>
  <c r="B465" i="1"/>
  <c r="CY464" i="1"/>
  <c r="CZ464" i="1" s="1"/>
  <c r="CT464" i="1"/>
  <c r="CV464" i="1" s="1"/>
  <c r="CO464" i="1"/>
  <c r="CJ464" i="1"/>
  <c r="CA464" i="1"/>
  <c r="BT464" i="1"/>
  <c r="BU464" i="1" s="1"/>
  <c r="BO464" i="1"/>
  <c r="BQ464" i="1" s="1"/>
  <c r="BJ464" i="1"/>
  <c r="BL464" i="1" s="1"/>
  <c r="AV464" i="1"/>
  <c r="AO464" i="1"/>
  <c r="AP464" i="1" s="1"/>
  <c r="AJ464" i="1"/>
  <c r="AE464" i="1"/>
  <c r="AG464" i="1" s="1"/>
  <c r="Z464" i="1"/>
  <c r="N464" i="1"/>
  <c r="K464" i="1"/>
  <c r="J464" i="1"/>
  <c r="E464" i="1"/>
  <c r="D464" i="1"/>
  <c r="C464" i="1"/>
  <c r="B464" i="1"/>
  <c r="CY463" i="1"/>
  <c r="CZ463" i="1" s="1"/>
  <c r="CT463" i="1"/>
  <c r="CV463" i="1" s="1"/>
  <c r="CQ463" i="1"/>
  <c r="DA463" i="1" s="1"/>
  <c r="CO463" i="1"/>
  <c r="CJ463" i="1"/>
  <c r="CA463" i="1"/>
  <c r="BT463" i="1"/>
  <c r="BU463" i="1" s="1"/>
  <c r="BO463" i="1"/>
  <c r="BQ463" i="1" s="1"/>
  <c r="BJ463" i="1"/>
  <c r="BL463" i="1" s="1"/>
  <c r="AO463" i="1"/>
  <c r="AP463" i="1" s="1"/>
  <c r="AJ463" i="1"/>
  <c r="AE463" i="1"/>
  <c r="AG463" i="1" s="1"/>
  <c r="Z463" i="1"/>
  <c r="N463" i="1"/>
  <c r="K463" i="1"/>
  <c r="J463" i="1"/>
  <c r="E463" i="1"/>
  <c r="D463" i="1"/>
  <c r="C463" i="1"/>
  <c r="B463" i="1"/>
  <c r="CY462" i="1"/>
  <c r="CZ462" i="1" s="1"/>
  <c r="CT462" i="1"/>
  <c r="CV462" i="1" s="1"/>
  <c r="CO462" i="1"/>
  <c r="CQ462" i="1" s="1"/>
  <c r="DA462" i="1" s="1"/>
  <c r="CJ462" i="1"/>
  <c r="CA462" i="1"/>
  <c r="BT462" i="1"/>
  <c r="BU462" i="1" s="1"/>
  <c r="BO462" i="1"/>
  <c r="BL462" i="1"/>
  <c r="BJ462" i="1"/>
  <c r="AO462" i="1"/>
  <c r="AP462" i="1" s="1"/>
  <c r="AJ462" i="1"/>
  <c r="AL462" i="1" s="1"/>
  <c r="AE462" i="1"/>
  <c r="AG462" i="1" s="1"/>
  <c r="AQ462" i="1" s="1"/>
  <c r="Z462" i="1"/>
  <c r="N462" i="1"/>
  <c r="K462" i="1"/>
  <c r="J462" i="1"/>
  <c r="E462" i="1"/>
  <c r="D462" i="1"/>
  <c r="C462" i="1"/>
  <c r="B462" i="1"/>
  <c r="CY461" i="1"/>
  <c r="CZ461" i="1" s="1"/>
  <c r="CT461" i="1"/>
  <c r="CV461" i="1" s="1"/>
  <c r="CO461" i="1"/>
  <c r="CJ461" i="1"/>
  <c r="CA461" i="1"/>
  <c r="BT461" i="1"/>
  <c r="BU461" i="1" s="1"/>
  <c r="BO461" i="1"/>
  <c r="BQ461" i="1" s="1"/>
  <c r="BJ461" i="1"/>
  <c r="BL461" i="1" s="1"/>
  <c r="BV461" i="1" s="1"/>
  <c r="AO461" i="1"/>
  <c r="AP461" i="1" s="1"/>
  <c r="AJ461" i="1"/>
  <c r="AL461" i="1" s="1"/>
  <c r="AE461" i="1"/>
  <c r="AG461" i="1" s="1"/>
  <c r="Z461" i="1"/>
  <c r="N461" i="1"/>
  <c r="K461" i="1"/>
  <c r="J461" i="1"/>
  <c r="E461" i="1"/>
  <c r="D461" i="1"/>
  <c r="C461" i="1"/>
  <c r="B461" i="1"/>
  <c r="CY460" i="1"/>
  <c r="CZ460" i="1" s="1"/>
  <c r="CT460" i="1"/>
  <c r="CV460" i="1" s="1"/>
  <c r="CO460" i="1"/>
  <c r="CQ460" i="1" s="1"/>
  <c r="CJ460" i="1"/>
  <c r="CA460" i="1"/>
  <c r="BT460" i="1"/>
  <c r="BU460" i="1" s="1"/>
  <c r="BO460" i="1"/>
  <c r="BQ460" i="1" s="1"/>
  <c r="BJ460" i="1"/>
  <c r="AO460" i="1"/>
  <c r="AP460" i="1" s="1"/>
  <c r="AJ460" i="1"/>
  <c r="AL460" i="1" s="1"/>
  <c r="AE460" i="1"/>
  <c r="AG460" i="1" s="1"/>
  <c r="AQ460" i="1" s="1"/>
  <c r="Z460" i="1"/>
  <c r="N460" i="1"/>
  <c r="K460" i="1"/>
  <c r="J460" i="1"/>
  <c r="E460" i="1"/>
  <c r="D460" i="1"/>
  <c r="C460" i="1"/>
  <c r="B460" i="1"/>
  <c r="CZ459" i="1"/>
  <c r="CY459" i="1"/>
  <c r="CT459" i="1"/>
  <c r="DB459" i="1" s="1"/>
  <c r="CQ459" i="1"/>
  <c r="CO459" i="1"/>
  <c r="CJ459" i="1"/>
  <c r="CA459" i="1"/>
  <c r="BT459" i="1"/>
  <c r="BU459" i="1" s="1"/>
  <c r="BO459" i="1"/>
  <c r="BQ459" i="1" s="1"/>
  <c r="BJ459" i="1"/>
  <c r="BL459" i="1" s="1"/>
  <c r="AO459" i="1"/>
  <c r="AP459" i="1" s="1"/>
  <c r="AJ459" i="1"/>
  <c r="AL459" i="1" s="1"/>
  <c r="AE459" i="1"/>
  <c r="AR459" i="1" s="1"/>
  <c r="Z459" i="1"/>
  <c r="N459" i="1"/>
  <c r="K459" i="1"/>
  <c r="J459" i="1"/>
  <c r="E459" i="1"/>
  <c r="D459" i="1"/>
  <c r="C459" i="1"/>
  <c r="B459" i="1"/>
  <c r="CY458" i="1"/>
  <c r="CZ458" i="1" s="1"/>
  <c r="CT458" i="1"/>
  <c r="CV458" i="1" s="1"/>
  <c r="CO458" i="1"/>
  <c r="CQ458" i="1" s="1"/>
  <c r="DA458" i="1" s="1"/>
  <c r="CJ458" i="1"/>
  <c r="CA458" i="1"/>
  <c r="BT458" i="1"/>
  <c r="BU458" i="1" s="1"/>
  <c r="BO458" i="1"/>
  <c r="BQ458" i="1" s="1"/>
  <c r="BJ458" i="1"/>
  <c r="BL458" i="1" s="1"/>
  <c r="AO458" i="1"/>
  <c r="AP458" i="1" s="1"/>
  <c r="AJ458" i="1"/>
  <c r="AL458" i="1" s="1"/>
  <c r="AE458" i="1"/>
  <c r="AG458" i="1" s="1"/>
  <c r="N458" i="1"/>
  <c r="K458" i="1"/>
  <c r="J458" i="1"/>
  <c r="E458" i="1"/>
  <c r="D458" i="1"/>
  <c r="C458" i="1"/>
  <c r="B458" i="1"/>
  <c r="CY456" i="1"/>
  <c r="CZ456" i="1" s="1"/>
  <c r="CT456" i="1"/>
  <c r="CV456" i="1" s="1"/>
  <c r="CO456" i="1"/>
  <c r="CQ456" i="1" s="1"/>
  <c r="CJ456" i="1"/>
  <c r="CA456" i="1"/>
  <c r="BT456" i="1"/>
  <c r="BU456" i="1" s="1"/>
  <c r="BO456" i="1"/>
  <c r="BQ456" i="1" s="1"/>
  <c r="BJ456" i="1"/>
  <c r="AO456" i="1"/>
  <c r="AP456" i="1" s="1"/>
  <c r="AJ456" i="1"/>
  <c r="AL456" i="1" s="1"/>
  <c r="AE456" i="1"/>
  <c r="AG456" i="1" s="1"/>
  <c r="K456" i="1"/>
  <c r="J456" i="1"/>
  <c r="E456" i="1"/>
  <c r="D456" i="1"/>
  <c r="C456" i="1"/>
  <c r="B456" i="1"/>
  <c r="CZ454" i="1"/>
  <c r="CY454" i="1"/>
  <c r="CT454" i="1"/>
  <c r="CV454" i="1" s="1"/>
  <c r="CO454" i="1"/>
  <c r="CJ454" i="1"/>
  <c r="CA454" i="1"/>
  <c r="BT454" i="1"/>
  <c r="BU454" i="1" s="1"/>
  <c r="BO454" i="1"/>
  <c r="BQ454" i="1" s="1"/>
  <c r="BJ454" i="1"/>
  <c r="BL454" i="1" s="1"/>
  <c r="BV454" i="1" s="1"/>
  <c r="BE454" i="1"/>
  <c r="AV454" i="1"/>
  <c r="AO454" i="1"/>
  <c r="AP454" i="1" s="1"/>
  <c r="AJ454" i="1"/>
  <c r="AL454" i="1" s="1"/>
  <c r="AE454" i="1"/>
  <c r="Z454" i="1"/>
  <c r="N454" i="1"/>
  <c r="K454" i="1"/>
  <c r="J454" i="1"/>
  <c r="E454" i="1"/>
  <c r="D454" i="1"/>
  <c r="C454" i="1"/>
  <c r="B454" i="1"/>
  <c r="CH453" i="1"/>
  <c r="BC453" i="1"/>
  <c r="X453" i="1"/>
  <c r="CY451" i="1"/>
  <c r="CZ451" i="1" s="1"/>
  <c r="CT451" i="1"/>
  <c r="CV451" i="1" s="1"/>
  <c r="CO451" i="1"/>
  <c r="CJ451" i="1"/>
  <c r="CA451" i="1"/>
  <c r="BT451" i="1"/>
  <c r="BU451" i="1" s="1"/>
  <c r="BO451" i="1"/>
  <c r="BQ451" i="1" s="1"/>
  <c r="BJ451" i="1"/>
  <c r="BE451" i="1"/>
  <c r="AV451" i="1"/>
  <c r="AO451" i="1"/>
  <c r="AJ451" i="1"/>
  <c r="AL451" i="1" s="1"/>
  <c r="AE451" i="1"/>
  <c r="AG451" i="1" s="1"/>
  <c r="Z451" i="1"/>
  <c r="N451" i="1"/>
  <c r="K451" i="1"/>
  <c r="J451" i="1"/>
  <c r="E451" i="1"/>
  <c r="D451" i="1"/>
  <c r="C451" i="1"/>
  <c r="B451" i="1"/>
  <c r="CY450" i="1"/>
  <c r="CZ450" i="1" s="1"/>
  <c r="CT450" i="1"/>
  <c r="CV450" i="1" s="1"/>
  <c r="CO450" i="1"/>
  <c r="DB450" i="1" s="1"/>
  <c r="CJ450" i="1"/>
  <c r="CA450" i="1"/>
  <c r="BT450" i="1"/>
  <c r="BU450" i="1" s="1"/>
  <c r="BO450" i="1"/>
  <c r="BQ450" i="1" s="1"/>
  <c r="BJ450" i="1"/>
  <c r="BL450" i="1" s="1"/>
  <c r="BE450" i="1"/>
  <c r="AV450" i="1"/>
  <c r="AO450" i="1"/>
  <c r="AP450" i="1" s="1"/>
  <c r="AJ450" i="1"/>
  <c r="AL450" i="1" s="1"/>
  <c r="AE450" i="1"/>
  <c r="Z450" i="1"/>
  <c r="N450" i="1"/>
  <c r="K450" i="1"/>
  <c r="J450" i="1"/>
  <c r="E450" i="1"/>
  <c r="D450" i="1"/>
  <c r="C450" i="1"/>
  <c r="B450" i="1"/>
  <c r="CY449" i="1"/>
  <c r="CZ449" i="1" s="1"/>
  <c r="CT449" i="1"/>
  <c r="CV449" i="1" s="1"/>
  <c r="CO449" i="1"/>
  <c r="CJ449" i="1"/>
  <c r="CA449" i="1"/>
  <c r="BT449" i="1"/>
  <c r="BU449" i="1" s="1"/>
  <c r="BO449" i="1"/>
  <c r="BQ449" i="1" s="1"/>
  <c r="BJ449" i="1"/>
  <c r="BL449" i="1" s="1"/>
  <c r="BE449" i="1"/>
  <c r="AV449" i="1"/>
  <c r="AO449" i="1"/>
  <c r="AJ449" i="1"/>
  <c r="AL449" i="1" s="1"/>
  <c r="AE449" i="1"/>
  <c r="AG449" i="1" s="1"/>
  <c r="AQ449" i="1" s="1"/>
  <c r="Z449" i="1"/>
  <c r="N449" i="1"/>
  <c r="K449" i="1"/>
  <c r="J449" i="1"/>
  <c r="E449" i="1"/>
  <c r="D449" i="1"/>
  <c r="C449" i="1"/>
  <c r="B449" i="1"/>
  <c r="CY448" i="1"/>
  <c r="CZ448" i="1" s="1"/>
  <c r="CT448" i="1"/>
  <c r="CV448" i="1" s="1"/>
  <c r="CO448" i="1"/>
  <c r="CJ448" i="1"/>
  <c r="CA448" i="1"/>
  <c r="BT448" i="1"/>
  <c r="BU448" i="1" s="1"/>
  <c r="BO448" i="1"/>
  <c r="BQ448" i="1" s="1"/>
  <c r="BJ448" i="1"/>
  <c r="BL448" i="1" s="1"/>
  <c r="BE448" i="1"/>
  <c r="AV448" i="1"/>
  <c r="AO448" i="1"/>
  <c r="AP448" i="1" s="1"/>
  <c r="AJ448" i="1"/>
  <c r="AL448" i="1" s="1"/>
  <c r="AE448" i="1"/>
  <c r="AG448" i="1" s="1"/>
  <c r="Z448" i="1"/>
  <c r="N448" i="1"/>
  <c r="K448" i="1"/>
  <c r="J448" i="1"/>
  <c r="E448" i="1"/>
  <c r="D448" i="1"/>
  <c r="C448" i="1"/>
  <c r="B448" i="1"/>
  <c r="CY447" i="1"/>
  <c r="CZ447" i="1" s="1"/>
  <c r="CT447" i="1"/>
  <c r="CV447" i="1" s="1"/>
  <c r="CO447" i="1"/>
  <c r="CJ447" i="1"/>
  <c r="CA447" i="1"/>
  <c r="BT447" i="1"/>
  <c r="BU447" i="1" s="1"/>
  <c r="BO447" i="1"/>
  <c r="BQ447" i="1" s="1"/>
  <c r="BJ447" i="1"/>
  <c r="BE447" i="1"/>
  <c r="AV447" i="1"/>
  <c r="AO447" i="1"/>
  <c r="AP447" i="1" s="1"/>
  <c r="AJ447" i="1"/>
  <c r="AL447" i="1" s="1"/>
  <c r="AE447" i="1"/>
  <c r="AR447" i="1" s="1"/>
  <c r="Z447" i="1"/>
  <c r="N447" i="1"/>
  <c r="K447" i="1"/>
  <c r="J447" i="1"/>
  <c r="E447" i="1"/>
  <c r="D447" i="1"/>
  <c r="C447" i="1"/>
  <c r="B447" i="1"/>
  <c r="CY446" i="1"/>
  <c r="CZ446" i="1" s="1"/>
  <c r="CT446" i="1"/>
  <c r="CV446" i="1" s="1"/>
  <c r="CO446" i="1"/>
  <c r="CQ446" i="1" s="1"/>
  <c r="DA446" i="1" s="1"/>
  <c r="CJ446" i="1"/>
  <c r="CA446" i="1"/>
  <c r="BT446" i="1"/>
  <c r="BU446" i="1" s="1"/>
  <c r="BO446" i="1"/>
  <c r="BQ446" i="1" s="1"/>
  <c r="BL446" i="1"/>
  <c r="BV446" i="1" s="1"/>
  <c r="BJ446" i="1"/>
  <c r="BE446" i="1"/>
  <c r="AV446" i="1"/>
  <c r="AO446" i="1"/>
  <c r="AP446" i="1" s="1"/>
  <c r="AJ446" i="1"/>
  <c r="AL446" i="1" s="1"/>
  <c r="AE446" i="1"/>
  <c r="Z446" i="1"/>
  <c r="N446" i="1"/>
  <c r="K446" i="1"/>
  <c r="J446" i="1"/>
  <c r="E446" i="1"/>
  <c r="D446" i="1"/>
  <c r="C446" i="1"/>
  <c r="B446" i="1"/>
  <c r="CY445" i="1"/>
  <c r="CZ445" i="1" s="1"/>
  <c r="CV445" i="1"/>
  <c r="CT445" i="1"/>
  <c r="CO445" i="1"/>
  <c r="CQ445" i="1" s="1"/>
  <c r="CJ445" i="1"/>
  <c r="CA445" i="1"/>
  <c r="BT445" i="1"/>
  <c r="BU445" i="1" s="1"/>
  <c r="BO445" i="1"/>
  <c r="BQ445" i="1" s="1"/>
  <c r="BJ445" i="1"/>
  <c r="BW445" i="1" s="1"/>
  <c r="BE445" i="1"/>
  <c r="AV445" i="1"/>
  <c r="AO445" i="1"/>
  <c r="AP445" i="1" s="1"/>
  <c r="AJ445" i="1"/>
  <c r="AL445" i="1" s="1"/>
  <c r="AE445" i="1"/>
  <c r="AG445" i="1" s="1"/>
  <c r="Z445" i="1"/>
  <c r="N445" i="1"/>
  <c r="K445" i="1"/>
  <c r="J445" i="1"/>
  <c r="E445" i="1"/>
  <c r="D445" i="1"/>
  <c r="C445" i="1"/>
  <c r="B445" i="1"/>
  <c r="CY444" i="1"/>
  <c r="CZ444" i="1" s="1"/>
  <c r="CT444" i="1"/>
  <c r="CV444" i="1" s="1"/>
  <c r="CO444" i="1"/>
  <c r="CQ444" i="1" s="1"/>
  <c r="CJ444" i="1"/>
  <c r="CA444" i="1"/>
  <c r="BT444" i="1"/>
  <c r="BU444" i="1" s="1"/>
  <c r="BO444" i="1"/>
  <c r="BQ444" i="1" s="1"/>
  <c r="BJ444" i="1"/>
  <c r="BL444" i="1" s="1"/>
  <c r="BE444" i="1"/>
  <c r="AV444" i="1"/>
  <c r="AO444" i="1"/>
  <c r="AP444" i="1" s="1"/>
  <c r="AJ444" i="1"/>
  <c r="AL444" i="1" s="1"/>
  <c r="AE444" i="1"/>
  <c r="AG444" i="1" s="1"/>
  <c r="Z444" i="1"/>
  <c r="N444" i="1"/>
  <c r="K444" i="1"/>
  <c r="J444" i="1"/>
  <c r="E444" i="1"/>
  <c r="D444" i="1"/>
  <c r="C444" i="1"/>
  <c r="B444" i="1"/>
  <c r="CY443" i="1"/>
  <c r="CZ443" i="1" s="1"/>
  <c r="CT443" i="1"/>
  <c r="CV443" i="1" s="1"/>
  <c r="CO443" i="1"/>
  <c r="CQ443" i="1" s="1"/>
  <c r="DA443" i="1" s="1"/>
  <c r="CJ443" i="1"/>
  <c r="CA443" i="1"/>
  <c r="BT443" i="1"/>
  <c r="BO443" i="1"/>
  <c r="BQ443" i="1" s="1"/>
  <c r="BJ443" i="1"/>
  <c r="BL443" i="1" s="1"/>
  <c r="BE443" i="1"/>
  <c r="AV443" i="1"/>
  <c r="AO443" i="1"/>
  <c r="AP443" i="1" s="1"/>
  <c r="AJ443" i="1"/>
  <c r="AL443" i="1" s="1"/>
  <c r="AE443" i="1"/>
  <c r="AG443" i="1" s="1"/>
  <c r="Z443" i="1"/>
  <c r="N443" i="1"/>
  <c r="K443" i="1"/>
  <c r="J443" i="1"/>
  <c r="E443" i="1"/>
  <c r="D443" i="1"/>
  <c r="C443" i="1"/>
  <c r="B443" i="1"/>
  <c r="CY442" i="1"/>
  <c r="CZ442" i="1" s="1"/>
  <c r="CT442" i="1"/>
  <c r="CV442" i="1" s="1"/>
  <c r="CO442" i="1"/>
  <c r="CQ442" i="1" s="1"/>
  <c r="CJ442" i="1"/>
  <c r="CA442" i="1"/>
  <c r="BT442" i="1"/>
  <c r="BU442" i="1" s="1"/>
  <c r="BO442" i="1"/>
  <c r="BQ442" i="1" s="1"/>
  <c r="BJ442" i="1"/>
  <c r="BL442" i="1" s="1"/>
  <c r="BE442" i="1"/>
  <c r="AV442" i="1"/>
  <c r="AO442" i="1"/>
  <c r="AP442" i="1" s="1"/>
  <c r="AJ442" i="1"/>
  <c r="AL442" i="1" s="1"/>
  <c r="AE442" i="1"/>
  <c r="AG442" i="1" s="1"/>
  <c r="AQ442" i="1" s="1"/>
  <c r="Z442" i="1"/>
  <c r="N442" i="1"/>
  <c r="K442" i="1"/>
  <c r="J442" i="1"/>
  <c r="E442" i="1"/>
  <c r="D442" i="1"/>
  <c r="C442" i="1"/>
  <c r="B442" i="1"/>
  <c r="CY441" i="1"/>
  <c r="CZ441" i="1" s="1"/>
  <c r="CT441" i="1"/>
  <c r="CV441" i="1" s="1"/>
  <c r="CO441" i="1"/>
  <c r="CQ441" i="1" s="1"/>
  <c r="CJ441" i="1"/>
  <c r="CA441" i="1"/>
  <c r="BT441" i="1"/>
  <c r="BU441" i="1" s="1"/>
  <c r="BO441" i="1"/>
  <c r="BQ441" i="1" s="1"/>
  <c r="BJ441" i="1"/>
  <c r="BL441" i="1" s="1"/>
  <c r="BE441" i="1"/>
  <c r="AV441" i="1"/>
  <c r="AO441" i="1"/>
  <c r="AP441" i="1" s="1"/>
  <c r="AJ441" i="1"/>
  <c r="AL441" i="1" s="1"/>
  <c r="AE441" i="1"/>
  <c r="Z441" i="1"/>
  <c r="N441" i="1"/>
  <c r="K441" i="1"/>
  <c r="J441" i="1"/>
  <c r="E441" i="1"/>
  <c r="D441" i="1"/>
  <c r="C441" i="1"/>
  <c r="B441" i="1"/>
  <c r="CY440" i="1"/>
  <c r="CZ440" i="1" s="1"/>
  <c r="CT440" i="1"/>
  <c r="CO440" i="1"/>
  <c r="CQ440" i="1" s="1"/>
  <c r="CJ440" i="1"/>
  <c r="CA440" i="1"/>
  <c r="BT440" i="1"/>
  <c r="BU440" i="1" s="1"/>
  <c r="BO440" i="1"/>
  <c r="BJ440" i="1"/>
  <c r="BL440" i="1" s="1"/>
  <c r="BE440" i="1"/>
  <c r="AV440" i="1"/>
  <c r="AO440" i="1"/>
  <c r="AP440" i="1" s="1"/>
  <c r="AJ440" i="1"/>
  <c r="AL440" i="1" s="1"/>
  <c r="AE440" i="1"/>
  <c r="AG440" i="1" s="1"/>
  <c r="Z440" i="1"/>
  <c r="N440" i="1"/>
  <c r="K440" i="1"/>
  <c r="J440" i="1"/>
  <c r="E440" i="1"/>
  <c r="D440" i="1"/>
  <c r="C440" i="1"/>
  <c r="B440" i="1"/>
  <c r="CY439" i="1"/>
  <c r="CZ439" i="1" s="1"/>
  <c r="CT439" i="1"/>
  <c r="CV439" i="1" s="1"/>
  <c r="CO439" i="1"/>
  <c r="CQ439" i="1" s="1"/>
  <c r="CJ439" i="1"/>
  <c r="CA439" i="1"/>
  <c r="BT439" i="1"/>
  <c r="BO439" i="1"/>
  <c r="BQ439" i="1" s="1"/>
  <c r="BJ439" i="1"/>
  <c r="BL439" i="1" s="1"/>
  <c r="BE439" i="1"/>
  <c r="AV439" i="1"/>
  <c r="AO439" i="1"/>
  <c r="AP439" i="1" s="1"/>
  <c r="AJ439" i="1"/>
  <c r="AL439" i="1" s="1"/>
  <c r="AE439" i="1"/>
  <c r="Z439" i="1"/>
  <c r="N439" i="1"/>
  <c r="K439" i="1"/>
  <c r="J439" i="1"/>
  <c r="E439" i="1"/>
  <c r="D439" i="1"/>
  <c r="C439" i="1"/>
  <c r="B439" i="1"/>
  <c r="CY438" i="1"/>
  <c r="CZ438" i="1" s="1"/>
  <c r="CT438" i="1"/>
  <c r="CV438" i="1" s="1"/>
  <c r="CO438" i="1"/>
  <c r="CQ438" i="1" s="1"/>
  <c r="CJ438" i="1"/>
  <c r="CA438" i="1"/>
  <c r="BT438" i="1"/>
  <c r="BU438" i="1" s="1"/>
  <c r="BO438" i="1"/>
  <c r="BQ438" i="1" s="1"/>
  <c r="BJ438" i="1"/>
  <c r="BL438" i="1" s="1"/>
  <c r="BE438" i="1"/>
  <c r="AV438" i="1"/>
  <c r="AO438" i="1"/>
  <c r="AP438" i="1" s="1"/>
  <c r="AJ438" i="1"/>
  <c r="AL438" i="1" s="1"/>
  <c r="AE438" i="1"/>
  <c r="Z438" i="1"/>
  <c r="N438" i="1"/>
  <c r="K438" i="1"/>
  <c r="J438" i="1"/>
  <c r="E438" i="1"/>
  <c r="D438" i="1"/>
  <c r="C438" i="1"/>
  <c r="B438" i="1"/>
  <c r="CZ437" i="1"/>
  <c r="CY437" i="1"/>
  <c r="CT437" i="1"/>
  <c r="CV437" i="1" s="1"/>
  <c r="CO437" i="1"/>
  <c r="DB437" i="1" s="1"/>
  <c r="CJ437" i="1"/>
  <c r="CA437" i="1"/>
  <c r="BT437" i="1"/>
  <c r="BU437" i="1" s="1"/>
  <c r="BO437" i="1"/>
  <c r="BQ437" i="1" s="1"/>
  <c r="BJ437" i="1"/>
  <c r="BE437" i="1"/>
  <c r="AV437" i="1"/>
  <c r="AO437" i="1"/>
  <c r="AP437" i="1" s="1"/>
  <c r="AJ437" i="1"/>
  <c r="AL437" i="1" s="1"/>
  <c r="AE437" i="1"/>
  <c r="AG437" i="1" s="1"/>
  <c r="Z437" i="1"/>
  <c r="N437" i="1"/>
  <c r="K437" i="1"/>
  <c r="J437" i="1"/>
  <c r="E437" i="1"/>
  <c r="D437" i="1"/>
  <c r="C437" i="1"/>
  <c r="B437" i="1"/>
  <c r="CY436" i="1"/>
  <c r="CZ436" i="1" s="1"/>
  <c r="CT436" i="1"/>
  <c r="CV436" i="1" s="1"/>
  <c r="CO436" i="1"/>
  <c r="CQ436" i="1" s="1"/>
  <c r="CJ436" i="1"/>
  <c r="CA436" i="1"/>
  <c r="BT436" i="1"/>
  <c r="BU436" i="1" s="1"/>
  <c r="BO436" i="1"/>
  <c r="BQ436" i="1" s="1"/>
  <c r="BJ436" i="1"/>
  <c r="BL436" i="1" s="1"/>
  <c r="BE436" i="1"/>
  <c r="AV436" i="1"/>
  <c r="AO436" i="1"/>
  <c r="AP436" i="1" s="1"/>
  <c r="AJ436" i="1"/>
  <c r="AL436" i="1" s="1"/>
  <c r="AG436" i="1"/>
  <c r="AE436" i="1"/>
  <c r="Z436" i="1"/>
  <c r="N436" i="1"/>
  <c r="K436" i="1"/>
  <c r="J436" i="1"/>
  <c r="E436" i="1"/>
  <c r="D436" i="1"/>
  <c r="C436" i="1"/>
  <c r="B436" i="1"/>
  <c r="CY435" i="1"/>
  <c r="CZ435" i="1" s="1"/>
  <c r="CT435" i="1"/>
  <c r="CV435" i="1" s="1"/>
  <c r="CO435" i="1"/>
  <c r="CQ435" i="1" s="1"/>
  <c r="DA435" i="1" s="1"/>
  <c r="CJ435" i="1"/>
  <c r="CA435" i="1"/>
  <c r="BT435" i="1"/>
  <c r="BU435" i="1" s="1"/>
  <c r="BO435" i="1"/>
  <c r="BQ435" i="1" s="1"/>
  <c r="BJ435" i="1"/>
  <c r="BL435" i="1" s="1"/>
  <c r="BE435" i="1"/>
  <c r="AV435" i="1"/>
  <c r="AO435" i="1"/>
  <c r="AP435" i="1" s="1"/>
  <c r="AJ435" i="1"/>
  <c r="AL435" i="1" s="1"/>
  <c r="AE435" i="1"/>
  <c r="AG435" i="1" s="1"/>
  <c r="AQ435" i="1" s="1"/>
  <c r="Z435" i="1"/>
  <c r="N435" i="1"/>
  <c r="K435" i="1"/>
  <c r="J435" i="1"/>
  <c r="E435" i="1"/>
  <c r="D435" i="1"/>
  <c r="C435" i="1"/>
  <c r="B435" i="1"/>
  <c r="CY434" i="1"/>
  <c r="CZ434" i="1" s="1"/>
  <c r="CT434" i="1"/>
  <c r="CV434" i="1" s="1"/>
  <c r="CO434" i="1"/>
  <c r="CQ434" i="1" s="1"/>
  <c r="CJ434" i="1"/>
  <c r="CA434" i="1"/>
  <c r="BT434" i="1"/>
  <c r="BU434" i="1" s="1"/>
  <c r="BO434" i="1"/>
  <c r="BQ434" i="1" s="1"/>
  <c r="BJ434" i="1"/>
  <c r="BW434" i="1" s="1"/>
  <c r="BE434" i="1"/>
  <c r="AV434" i="1"/>
  <c r="AO434" i="1"/>
  <c r="AP434" i="1" s="1"/>
  <c r="AL434" i="1"/>
  <c r="AJ434" i="1"/>
  <c r="AE434" i="1"/>
  <c r="Z434" i="1"/>
  <c r="N434" i="1"/>
  <c r="K434" i="1"/>
  <c r="J434" i="1"/>
  <c r="E434" i="1"/>
  <c r="D434" i="1"/>
  <c r="C434" i="1"/>
  <c r="B434" i="1"/>
  <c r="CY433" i="1"/>
  <c r="CZ433" i="1" s="1"/>
  <c r="CT433" i="1"/>
  <c r="CV433" i="1" s="1"/>
  <c r="CO433" i="1"/>
  <c r="CJ433" i="1"/>
  <c r="CA433" i="1"/>
  <c r="BT433" i="1"/>
  <c r="BU433" i="1" s="1"/>
  <c r="BO433" i="1"/>
  <c r="BQ433" i="1" s="1"/>
  <c r="BJ433" i="1"/>
  <c r="BL433" i="1" s="1"/>
  <c r="BE433" i="1"/>
  <c r="AV433" i="1"/>
  <c r="AO433" i="1"/>
  <c r="AP433" i="1" s="1"/>
  <c r="AJ433" i="1"/>
  <c r="AL433" i="1" s="1"/>
  <c r="AE433" i="1"/>
  <c r="AG433" i="1" s="1"/>
  <c r="Z433" i="1"/>
  <c r="N433" i="1"/>
  <c r="K433" i="1"/>
  <c r="J433" i="1"/>
  <c r="E433" i="1"/>
  <c r="D433" i="1"/>
  <c r="C433" i="1"/>
  <c r="B433" i="1"/>
  <c r="CY432" i="1"/>
  <c r="CZ432" i="1" s="1"/>
  <c r="CT432" i="1"/>
  <c r="CV432" i="1" s="1"/>
  <c r="CO432" i="1"/>
  <c r="DB432" i="1" s="1"/>
  <c r="CJ432" i="1"/>
  <c r="CA432" i="1"/>
  <c r="BT432" i="1"/>
  <c r="BO432" i="1"/>
  <c r="BQ432" i="1" s="1"/>
  <c r="BJ432" i="1"/>
  <c r="BL432" i="1" s="1"/>
  <c r="BE432" i="1"/>
  <c r="AV432" i="1"/>
  <c r="AO432" i="1"/>
  <c r="AP432" i="1" s="1"/>
  <c r="AJ432" i="1"/>
  <c r="AL432" i="1" s="1"/>
  <c r="AE432" i="1"/>
  <c r="Z432" i="1"/>
  <c r="N432" i="1"/>
  <c r="K432" i="1"/>
  <c r="J432" i="1"/>
  <c r="E432" i="1"/>
  <c r="D432" i="1"/>
  <c r="C432" i="1"/>
  <c r="B432" i="1"/>
  <c r="CY431" i="1"/>
  <c r="CZ431" i="1" s="1"/>
  <c r="CT431" i="1"/>
  <c r="CV431" i="1" s="1"/>
  <c r="CO431" i="1"/>
  <c r="CJ431" i="1"/>
  <c r="CA431" i="1"/>
  <c r="BT431" i="1"/>
  <c r="BU431" i="1" s="1"/>
  <c r="BO431" i="1"/>
  <c r="BQ431" i="1" s="1"/>
  <c r="BJ431" i="1"/>
  <c r="BW431" i="1" s="1"/>
  <c r="BE431" i="1"/>
  <c r="AV431" i="1"/>
  <c r="AO431" i="1"/>
  <c r="AP431" i="1" s="1"/>
  <c r="AJ431" i="1"/>
  <c r="AL431" i="1" s="1"/>
  <c r="AE431" i="1"/>
  <c r="Z431" i="1"/>
  <c r="N431" i="1"/>
  <c r="K431" i="1"/>
  <c r="J431" i="1"/>
  <c r="E431" i="1"/>
  <c r="D431" i="1"/>
  <c r="C431" i="1"/>
  <c r="B431" i="1"/>
  <c r="CY430" i="1"/>
  <c r="CZ430" i="1" s="1"/>
  <c r="CT430" i="1"/>
  <c r="CV430" i="1" s="1"/>
  <c r="CO430" i="1"/>
  <c r="CJ430" i="1"/>
  <c r="CA430" i="1"/>
  <c r="BT430" i="1"/>
  <c r="BU430" i="1" s="1"/>
  <c r="BO430" i="1"/>
  <c r="BQ430" i="1" s="1"/>
  <c r="BJ430" i="1"/>
  <c r="BL430" i="1" s="1"/>
  <c r="BE430" i="1"/>
  <c r="AV430" i="1"/>
  <c r="AO430" i="1"/>
  <c r="AP430" i="1" s="1"/>
  <c r="AJ430" i="1"/>
  <c r="AL430" i="1" s="1"/>
  <c r="AE430" i="1"/>
  <c r="Z430" i="1"/>
  <c r="N430" i="1"/>
  <c r="K430" i="1"/>
  <c r="J430" i="1"/>
  <c r="E430" i="1"/>
  <c r="D430" i="1"/>
  <c r="C430" i="1"/>
  <c r="B430" i="1"/>
  <c r="CY429" i="1"/>
  <c r="CV429" i="1"/>
  <c r="CT429" i="1"/>
  <c r="CO429" i="1"/>
  <c r="CQ429" i="1" s="1"/>
  <c r="CJ429" i="1"/>
  <c r="CA429" i="1"/>
  <c r="BT429" i="1"/>
  <c r="BU429" i="1" s="1"/>
  <c r="BO429" i="1"/>
  <c r="BQ429" i="1" s="1"/>
  <c r="BJ429" i="1"/>
  <c r="BE429" i="1"/>
  <c r="AV429" i="1"/>
  <c r="AO429" i="1"/>
  <c r="AP429" i="1" s="1"/>
  <c r="AL429" i="1"/>
  <c r="AJ429" i="1"/>
  <c r="AE429" i="1"/>
  <c r="Z429" i="1"/>
  <c r="N429" i="1"/>
  <c r="K429" i="1"/>
  <c r="J429" i="1"/>
  <c r="E429" i="1"/>
  <c r="D429" i="1"/>
  <c r="C429" i="1"/>
  <c r="B429" i="1"/>
  <c r="CY428" i="1"/>
  <c r="CZ428" i="1" s="1"/>
  <c r="CV428" i="1"/>
  <c r="CT428" i="1"/>
  <c r="CO428" i="1"/>
  <c r="CJ428" i="1"/>
  <c r="CA428" i="1"/>
  <c r="BT428" i="1"/>
  <c r="BU428" i="1" s="1"/>
  <c r="BO428" i="1"/>
  <c r="BQ428" i="1" s="1"/>
  <c r="BJ428" i="1"/>
  <c r="BL428" i="1" s="1"/>
  <c r="BE428" i="1"/>
  <c r="AV428" i="1"/>
  <c r="AO428" i="1"/>
  <c r="AJ428" i="1"/>
  <c r="AL428" i="1" s="1"/>
  <c r="AE428" i="1"/>
  <c r="AG428" i="1" s="1"/>
  <c r="Z428" i="1"/>
  <c r="N428" i="1"/>
  <c r="K428" i="1"/>
  <c r="J428" i="1"/>
  <c r="E428" i="1"/>
  <c r="D428" i="1"/>
  <c r="C428" i="1"/>
  <c r="B428" i="1"/>
  <c r="CY427" i="1"/>
  <c r="CZ427" i="1" s="1"/>
  <c r="CT427" i="1"/>
  <c r="CV427" i="1" s="1"/>
  <c r="CO427" i="1"/>
  <c r="CQ427" i="1" s="1"/>
  <c r="DA427" i="1" s="1"/>
  <c r="CJ427" i="1"/>
  <c r="CA427" i="1"/>
  <c r="BT427" i="1"/>
  <c r="BU427" i="1" s="1"/>
  <c r="BO427" i="1"/>
  <c r="BQ427" i="1" s="1"/>
  <c r="BJ427" i="1"/>
  <c r="BL427" i="1" s="1"/>
  <c r="BE427" i="1"/>
  <c r="AV427" i="1"/>
  <c r="AO427" i="1"/>
  <c r="AP427" i="1" s="1"/>
  <c r="AJ427" i="1"/>
  <c r="AL427" i="1" s="1"/>
  <c r="AE427" i="1"/>
  <c r="AG427" i="1" s="1"/>
  <c r="Z427" i="1"/>
  <c r="N427" i="1"/>
  <c r="K427" i="1"/>
  <c r="J427" i="1"/>
  <c r="E427" i="1"/>
  <c r="D427" i="1"/>
  <c r="C427" i="1"/>
  <c r="B427" i="1"/>
  <c r="CY426" i="1"/>
  <c r="CZ426" i="1" s="1"/>
  <c r="CT426" i="1"/>
  <c r="CV426" i="1" s="1"/>
  <c r="CO426" i="1"/>
  <c r="CJ426" i="1"/>
  <c r="CA426" i="1"/>
  <c r="BT426" i="1"/>
  <c r="BU426" i="1" s="1"/>
  <c r="BQ426" i="1"/>
  <c r="BO426" i="1"/>
  <c r="BJ426" i="1"/>
  <c r="BE426" i="1"/>
  <c r="AV426" i="1"/>
  <c r="AO426" i="1"/>
  <c r="AP426" i="1" s="1"/>
  <c r="AJ426" i="1"/>
  <c r="AL426" i="1" s="1"/>
  <c r="AE426" i="1"/>
  <c r="AG426" i="1" s="1"/>
  <c r="Z426" i="1"/>
  <c r="N426" i="1"/>
  <c r="K426" i="1"/>
  <c r="J426" i="1"/>
  <c r="E426" i="1"/>
  <c r="D426" i="1"/>
  <c r="C426" i="1"/>
  <c r="B426" i="1"/>
  <c r="CY425" i="1"/>
  <c r="CZ425" i="1" s="1"/>
  <c r="CT425" i="1"/>
  <c r="CV425" i="1" s="1"/>
  <c r="CO425" i="1"/>
  <c r="CQ425" i="1" s="1"/>
  <c r="CJ425" i="1"/>
  <c r="CA425" i="1"/>
  <c r="BT425" i="1"/>
  <c r="BO425" i="1"/>
  <c r="BQ425" i="1" s="1"/>
  <c r="BJ425" i="1"/>
  <c r="BL425" i="1" s="1"/>
  <c r="BE425" i="1"/>
  <c r="AV425" i="1"/>
  <c r="AO425" i="1"/>
  <c r="AP425" i="1" s="1"/>
  <c r="AJ425" i="1"/>
  <c r="AL425" i="1" s="1"/>
  <c r="AE425" i="1"/>
  <c r="Z425" i="1"/>
  <c r="N425" i="1"/>
  <c r="K425" i="1"/>
  <c r="J425" i="1"/>
  <c r="E425" i="1"/>
  <c r="D425" i="1"/>
  <c r="C425" i="1"/>
  <c r="B425" i="1"/>
  <c r="CY424" i="1"/>
  <c r="CZ424" i="1" s="1"/>
  <c r="CT424" i="1"/>
  <c r="CV424" i="1" s="1"/>
  <c r="CO424" i="1"/>
  <c r="CQ424" i="1" s="1"/>
  <c r="DA424" i="1" s="1"/>
  <c r="CJ424" i="1"/>
  <c r="CA424" i="1"/>
  <c r="BT424" i="1"/>
  <c r="BU424" i="1" s="1"/>
  <c r="BO424" i="1"/>
  <c r="BQ424" i="1" s="1"/>
  <c r="BJ424" i="1"/>
  <c r="BL424" i="1" s="1"/>
  <c r="BE424" i="1"/>
  <c r="AV424" i="1"/>
  <c r="AP424" i="1"/>
  <c r="AO424" i="1"/>
  <c r="AJ424" i="1"/>
  <c r="AL424" i="1" s="1"/>
  <c r="AE424" i="1"/>
  <c r="Z424" i="1"/>
  <c r="N424" i="1"/>
  <c r="K424" i="1"/>
  <c r="J424" i="1"/>
  <c r="E424" i="1"/>
  <c r="D424" i="1"/>
  <c r="C424" i="1"/>
  <c r="B424" i="1"/>
  <c r="CY423" i="1"/>
  <c r="CZ423" i="1" s="1"/>
  <c r="CT423" i="1"/>
  <c r="CV423" i="1" s="1"/>
  <c r="CO423" i="1"/>
  <c r="CJ423" i="1"/>
  <c r="CA423" i="1"/>
  <c r="BT423" i="1"/>
  <c r="BU423" i="1" s="1"/>
  <c r="BO423" i="1"/>
  <c r="BQ423" i="1" s="1"/>
  <c r="BJ423" i="1"/>
  <c r="BL423" i="1" s="1"/>
  <c r="BE423" i="1"/>
  <c r="AV423" i="1"/>
  <c r="AO423" i="1"/>
  <c r="AP423" i="1" s="1"/>
  <c r="AJ423" i="1"/>
  <c r="AL423" i="1" s="1"/>
  <c r="AG423" i="1"/>
  <c r="AQ423" i="1" s="1"/>
  <c r="AE423" i="1"/>
  <c r="Z423" i="1"/>
  <c r="N423" i="1"/>
  <c r="K423" i="1"/>
  <c r="J423" i="1"/>
  <c r="E423" i="1"/>
  <c r="D423" i="1"/>
  <c r="C423" i="1"/>
  <c r="B423" i="1"/>
  <c r="CH422" i="1"/>
  <c r="BC422" i="1"/>
  <c r="X422" i="1"/>
  <c r="CY421" i="1"/>
  <c r="CZ421" i="1" s="1"/>
  <c r="CT421" i="1"/>
  <c r="CV421" i="1" s="1"/>
  <c r="CO421" i="1"/>
  <c r="CJ421" i="1"/>
  <c r="CA421" i="1"/>
  <c r="BT421" i="1"/>
  <c r="BO421" i="1"/>
  <c r="BQ421" i="1" s="1"/>
  <c r="BJ421" i="1"/>
  <c r="BL421" i="1" s="1"/>
  <c r="BV421" i="1" s="1"/>
  <c r="BE421" i="1"/>
  <c r="AV421" i="1"/>
  <c r="AO421" i="1"/>
  <c r="AP421" i="1" s="1"/>
  <c r="AJ421" i="1"/>
  <c r="AL421" i="1" s="1"/>
  <c r="AE421" i="1"/>
  <c r="Z421" i="1"/>
  <c r="N421" i="1"/>
  <c r="K421" i="1"/>
  <c r="J421" i="1"/>
  <c r="E421" i="1"/>
  <c r="D421" i="1"/>
  <c r="C421" i="1"/>
  <c r="B421" i="1"/>
  <c r="CY420" i="1"/>
  <c r="CZ420" i="1" s="1"/>
  <c r="CT420" i="1"/>
  <c r="CV420" i="1" s="1"/>
  <c r="CO420" i="1"/>
  <c r="CQ420" i="1" s="1"/>
  <c r="CJ420" i="1"/>
  <c r="CA420" i="1"/>
  <c r="BT420" i="1"/>
  <c r="BU420" i="1" s="1"/>
  <c r="BQ420" i="1"/>
  <c r="BO420" i="1"/>
  <c r="BJ420" i="1"/>
  <c r="BL420" i="1" s="1"/>
  <c r="BE420" i="1"/>
  <c r="AV420" i="1"/>
  <c r="AO420" i="1"/>
  <c r="AP420" i="1" s="1"/>
  <c r="AJ420" i="1"/>
  <c r="AL420" i="1" s="1"/>
  <c r="AE420" i="1"/>
  <c r="Z420" i="1"/>
  <c r="N420" i="1"/>
  <c r="K420" i="1"/>
  <c r="J420" i="1"/>
  <c r="E420" i="1"/>
  <c r="D420" i="1"/>
  <c r="C420" i="1"/>
  <c r="B420" i="1"/>
  <c r="CY419" i="1"/>
  <c r="CZ419" i="1" s="1"/>
  <c r="CT419" i="1"/>
  <c r="CV419" i="1" s="1"/>
  <c r="CO419" i="1"/>
  <c r="CQ419" i="1" s="1"/>
  <c r="CJ419" i="1"/>
  <c r="CA419" i="1"/>
  <c r="BT419" i="1"/>
  <c r="BU419" i="1" s="1"/>
  <c r="BO419" i="1"/>
  <c r="BQ419" i="1" s="1"/>
  <c r="BJ419" i="1"/>
  <c r="BL419" i="1" s="1"/>
  <c r="BE419" i="1"/>
  <c r="AV419" i="1"/>
  <c r="AO419" i="1"/>
  <c r="AP419" i="1" s="1"/>
  <c r="AJ419" i="1"/>
  <c r="AL419" i="1" s="1"/>
  <c r="AE419" i="1"/>
  <c r="AG419" i="1" s="1"/>
  <c r="Z419" i="1"/>
  <c r="N419" i="1"/>
  <c r="K419" i="1"/>
  <c r="J419" i="1"/>
  <c r="E419" i="1"/>
  <c r="D419" i="1"/>
  <c r="C419" i="1"/>
  <c r="B419" i="1"/>
  <c r="CY418" i="1"/>
  <c r="CZ418" i="1" s="1"/>
  <c r="CT418" i="1"/>
  <c r="CV418" i="1" s="1"/>
  <c r="CO418" i="1"/>
  <c r="CJ418" i="1"/>
  <c r="CA418" i="1"/>
  <c r="BT418" i="1"/>
  <c r="BU418" i="1" s="1"/>
  <c r="BO418" i="1"/>
  <c r="BQ418" i="1" s="1"/>
  <c r="BJ418" i="1"/>
  <c r="BL418" i="1" s="1"/>
  <c r="BE418" i="1"/>
  <c r="AV418" i="1"/>
  <c r="AO418" i="1"/>
  <c r="AP418" i="1" s="1"/>
  <c r="AJ418" i="1"/>
  <c r="AL418" i="1" s="1"/>
  <c r="AE418" i="1"/>
  <c r="AG418" i="1" s="1"/>
  <c r="Z418" i="1"/>
  <c r="N418" i="1"/>
  <c r="K418" i="1"/>
  <c r="J418" i="1"/>
  <c r="E418" i="1"/>
  <c r="D418" i="1"/>
  <c r="C418" i="1"/>
  <c r="B418" i="1"/>
  <c r="CY417" i="1"/>
  <c r="CZ417" i="1" s="1"/>
  <c r="CT417" i="1"/>
  <c r="CV417" i="1" s="1"/>
  <c r="CO417" i="1"/>
  <c r="CQ417" i="1" s="1"/>
  <c r="CJ417" i="1"/>
  <c r="CA417" i="1"/>
  <c r="BT417" i="1"/>
  <c r="BU417" i="1" s="1"/>
  <c r="BO417" i="1"/>
  <c r="BQ417" i="1" s="1"/>
  <c r="BJ417" i="1"/>
  <c r="BE417" i="1"/>
  <c r="AV417" i="1"/>
  <c r="AO417" i="1"/>
  <c r="AJ417" i="1"/>
  <c r="AL417" i="1" s="1"/>
  <c r="AE417" i="1"/>
  <c r="AG417" i="1" s="1"/>
  <c r="Z417" i="1"/>
  <c r="N417" i="1"/>
  <c r="K417" i="1"/>
  <c r="J417" i="1"/>
  <c r="E417" i="1"/>
  <c r="D417" i="1"/>
  <c r="C417" i="1"/>
  <c r="B417" i="1"/>
  <c r="CY416" i="1"/>
  <c r="CZ416" i="1" s="1"/>
  <c r="CV416" i="1"/>
  <c r="CT416" i="1"/>
  <c r="CO416" i="1"/>
  <c r="CQ416" i="1" s="1"/>
  <c r="CJ416" i="1"/>
  <c r="CA416" i="1"/>
  <c r="BT416" i="1"/>
  <c r="BU416" i="1" s="1"/>
  <c r="BO416" i="1"/>
  <c r="BQ416" i="1" s="1"/>
  <c r="BJ416" i="1"/>
  <c r="BW416" i="1" s="1"/>
  <c r="BE416" i="1"/>
  <c r="AV416" i="1"/>
  <c r="AO416" i="1"/>
  <c r="AP416" i="1" s="1"/>
  <c r="AJ416" i="1"/>
  <c r="AL416" i="1" s="1"/>
  <c r="AG416" i="1"/>
  <c r="AE416" i="1"/>
  <c r="Z416" i="1"/>
  <c r="N416" i="1"/>
  <c r="K416" i="1"/>
  <c r="J416" i="1"/>
  <c r="E416" i="1"/>
  <c r="D416" i="1"/>
  <c r="C416" i="1"/>
  <c r="B416" i="1"/>
  <c r="CY415" i="1"/>
  <c r="CZ415" i="1" s="1"/>
  <c r="CT415" i="1"/>
  <c r="CV415" i="1" s="1"/>
  <c r="CO415" i="1"/>
  <c r="CQ415" i="1" s="1"/>
  <c r="CJ415" i="1"/>
  <c r="CA415" i="1"/>
  <c r="BT415" i="1"/>
  <c r="BU415" i="1" s="1"/>
  <c r="BO415" i="1"/>
  <c r="BQ415" i="1" s="1"/>
  <c r="BJ415" i="1"/>
  <c r="BL415" i="1" s="1"/>
  <c r="BV415" i="1" s="1"/>
  <c r="BE415" i="1"/>
  <c r="AV415" i="1"/>
  <c r="AO415" i="1"/>
  <c r="AP415" i="1" s="1"/>
  <c r="AJ415" i="1"/>
  <c r="AL415" i="1" s="1"/>
  <c r="AE415" i="1"/>
  <c r="AG415" i="1" s="1"/>
  <c r="Z415" i="1"/>
  <c r="N415" i="1"/>
  <c r="K415" i="1"/>
  <c r="J415" i="1"/>
  <c r="E415" i="1"/>
  <c r="D415" i="1"/>
  <c r="C415" i="1"/>
  <c r="B415" i="1"/>
  <c r="CY414" i="1"/>
  <c r="CZ414" i="1" s="1"/>
  <c r="CT414" i="1"/>
  <c r="CV414" i="1" s="1"/>
  <c r="CO414" i="1"/>
  <c r="CJ414" i="1"/>
  <c r="CA414" i="1"/>
  <c r="BT414" i="1"/>
  <c r="BO414" i="1"/>
  <c r="BQ414" i="1" s="1"/>
  <c r="BJ414" i="1"/>
  <c r="BL414" i="1" s="1"/>
  <c r="BE414" i="1"/>
  <c r="AV414" i="1"/>
  <c r="AO414" i="1"/>
  <c r="AP414" i="1" s="1"/>
  <c r="AL414" i="1"/>
  <c r="AJ414" i="1"/>
  <c r="AE414" i="1"/>
  <c r="Z414" i="1"/>
  <c r="N414" i="1"/>
  <c r="K414" i="1"/>
  <c r="J414" i="1"/>
  <c r="E414" i="1"/>
  <c r="D414" i="1"/>
  <c r="C414" i="1"/>
  <c r="B414" i="1"/>
  <c r="CY413" i="1"/>
  <c r="CZ413" i="1" s="1"/>
  <c r="CT413" i="1"/>
  <c r="CV413" i="1" s="1"/>
  <c r="CO413" i="1"/>
  <c r="CQ413" i="1" s="1"/>
  <c r="CJ413" i="1"/>
  <c r="CA413" i="1"/>
  <c r="BT413" i="1"/>
  <c r="BU413" i="1" s="1"/>
  <c r="BO413" i="1"/>
  <c r="BQ413" i="1" s="1"/>
  <c r="BJ413" i="1"/>
  <c r="BL413" i="1" s="1"/>
  <c r="BE413" i="1"/>
  <c r="AV413" i="1"/>
  <c r="AO413" i="1"/>
  <c r="AP413" i="1" s="1"/>
  <c r="AJ413" i="1"/>
  <c r="AL413" i="1" s="1"/>
  <c r="AE413" i="1"/>
  <c r="Z413" i="1"/>
  <c r="N413" i="1"/>
  <c r="K413" i="1"/>
  <c r="J413" i="1"/>
  <c r="E413" i="1"/>
  <c r="D413" i="1"/>
  <c r="C413" i="1"/>
  <c r="B413" i="1"/>
  <c r="CY412" i="1"/>
  <c r="CZ412" i="1" s="1"/>
  <c r="CT412" i="1"/>
  <c r="CV412" i="1" s="1"/>
  <c r="CO412" i="1"/>
  <c r="CJ412" i="1"/>
  <c r="CA412" i="1"/>
  <c r="BT412" i="1"/>
  <c r="BU412" i="1" s="1"/>
  <c r="BO412" i="1"/>
  <c r="BQ412" i="1" s="1"/>
  <c r="BV412" i="1" s="1"/>
  <c r="BJ412" i="1"/>
  <c r="BL412" i="1" s="1"/>
  <c r="BE412" i="1"/>
  <c r="AV412" i="1"/>
  <c r="AO412" i="1"/>
  <c r="AP412" i="1" s="1"/>
  <c r="AJ412" i="1"/>
  <c r="AL412" i="1" s="1"/>
  <c r="AE412" i="1"/>
  <c r="Z412" i="1"/>
  <c r="N412" i="1"/>
  <c r="K412" i="1"/>
  <c r="J412" i="1"/>
  <c r="E412" i="1"/>
  <c r="D412" i="1"/>
  <c r="C412" i="1"/>
  <c r="B412" i="1"/>
  <c r="CY411" i="1"/>
  <c r="CZ411" i="1" s="1"/>
  <c r="CT411" i="1"/>
  <c r="CV411" i="1" s="1"/>
  <c r="CQ411" i="1"/>
  <c r="CO411" i="1"/>
  <c r="CJ411" i="1"/>
  <c r="CA411" i="1"/>
  <c r="BU411" i="1"/>
  <c r="BT411" i="1"/>
  <c r="BO411" i="1"/>
  <c r="BQ411" i="1" s="1"/>
  <c r="BJ411" i="1"/>
  <c r="BW411" i="1" s="1"/>
  <c r="BE411" i="1"/>
  <c r="AV411" i="1"/>
  <c r="AO411" i="1"/>
  <c r="AP411" i="1" s="1"/>
  <c r="AJ411" i="1"/>
  <c r="AL411" i="1" s="1"/>
  <c r="AE411" i="1"/>
  <c r="AG411" i="1" s="1"/>
  <c r="Z411" i="1"/>
  <c r="N411" i="1"/>
  <c r="K411" i="1"/>
  <c r="J411" i="1"/>
  <c r="E411" i="1"/>
  <c r="D411" i="1"/>
  <c r="C411" i="1"/>
  <c r="B411" i="1"/>
  <c r="CY410" i="1"/>
  <c r="CZ410" i="1" s="1"/>
  <c r="CT410" i="1"/>
  <c r="CV410" i="1" s="1"/>
  <c r="CO410" i="1"/>
  <c r="CQ410" i="1" s="1"/>
  <c r="CJ410" i="1"/>
  <c r="CA410" i="1"/>
  <c r="BT410" i="1"/>
  <c r="BU410" i="1" s="1"/>
  <c r="BO410" i="1"/>
  <c r="BQ410" i="1" s="1"/>
  <c r="BJ410" i="1"/>
  <c r="BL410" i="1" s="1"/>
  <c r="BE410" i="1"/>
  <c r="AV410" i="1"/>
  <c r="AO410" i="1"/>
  <c r="AP410" i="1" s="1"/>
  <c r="AJ410" i="1"/>
  <c r="AL410" i="1" s="1"/>
  <c r="AE410" i="1"/>
  <c r="AG410" i="1" s="1"/>
  <c r="Z410" i="1"/>
  <c r="N410" i="1"/>
  <c r="K410" i="1"/>
  <c r="J410" i="1"/>
  <c r="E410" i="1"/>
  <c r="D410" i="1"/>
  <c r="C410" i="1"/>
  <c r="B410" i="1"/>
  <c r="CY409" i="1"/>
  <c r="CZ409" i="1" s="1"/>
  <c r="CT409" i="1"/>
  <c r="CV409" i="1" s="1"/>
  <c r="CO409" i="1"/>
  <c r="CQ409" i="1" s="1"/>
  <c r="CJ409" i="1"/>
  <c r="CA409" i="1"/>
  <c r="BU409" i="1"/>
  <c r="BT409" i="1"/>
  <c r="BO409" i="1"/>
  <c r="BJ409" i="1"/>
  <c r="BL409" i="1" s="1"/>
  <c r="BE409" i="1"/>
  <c r="AV409" i="1"/>
  <c r="AO409" i="1"/>
  <c r="AP409" i="1" s="1"/>
  <c r="AJ409" i="1"/>
  <c r="AL409" i="1" s="1"/>
  <c r="AE409" i="1"/>
  <c r="Z409" i="1"/>
  <c r="N409" i="1"/>
  <c r="K409" i="1"/>
  <c r="J409" i="1"/>
  <c r="E409" i="1"/>
  <c r="D409" i="1"/>
  <c r="C409" i="1"/>
  <c r="B409" i="1"/>
  <c r="CY408" i="1"/>
  <c r="CZ408" i="1" s="1"/>
  <c r="CT408" i="1"/>
  <c r="CV408" i="1" s="1"/>
  <c r="CO408" i="1"/>
  <c r="CQ408" i="1" s="1"/>
  <c r="CJ408" i="1"/>
  <c r="CA408" i="1"/>
  <c r="BT408" i="1"/>
  <c r="BU408" i="1" s="1"/>
  <c r="BO408" i="1"/>
  <c r="BQ408" i="1" s="1"/>
  <c r="BJ408" i="1"/>
  <c r="BL408" i="1" s="1"/>
  <c r="BE408" i="1"/>
  <c r="AV408" i="1"/>
  <c r="AO408" i="1"/>
  <c r="AP408" i="1" s="1"/>
  <c r="AJ408" i="1"/>
  <c r="AL408" i="1" s="1"/>
  <c r="AE408" i="1"/>
  <c r="AG408" i="1" s="1"/>
  <c r="Z408" i="1"/>
  <c r="N408" i="1"/>
  <c r="K408" i="1"/>
  <c r="J408" i="1"/>
  <c r="E408" i="1"/>
  <c r="D408" i="1"/>
  <c r="C408" i="1"/>
  <c r="B408" i="1"/>
  <c r="CY407" i="1"/>
  <c r="CZ407" i="1" s="1"/>
  <c r="CT407" i="1"/>
  <c r="CV407" i="1" s="1"/>
  <c r="CO407" i="1"/>
  <c r="CQ407" i="1" s="1"/>
  <c r="CJ407" i="1"/>
  <c r="CA407" i="1"/>
  <c r="BT407" i="1"/>
  <c r="BU407" i="1" s="1"/>
  <c r="BO407" i="1"/>
  <c r="BL407" i="1"/>
  <c r="BJ407" i="1"/>
  <c r="BE407" i="1"/>
  <c r="AV407" i="1"/>
  <c r="AP407" i="1"/>
  <c r="AO407" i="1"/>
  <c r="AJ407" i="1"/>
  <c r="AL407" i="1" s="1"/>
  <c r="AE407" i="1"/>
  <c r="AG407" i="1" s="1"/>
  <c r="Z407" i="1"/>
  <c r="N407" i="1"/>
  <c r="K407" i="1"/>
  <c r="J407" i="1"/>
  <c r="E407" i="1"/>
  <c r="D407" i="1"/>
  <c r="C407" i="1"/>
  <c r="B407" i="1"/>
  <c r="CY406" i="1"/>
  <c r="CZ406" i="1" s="1"/>
  <c r="CT406" i="1"/>
  <c r="CV406" i="1" s="1"/>
  <c r="CO406" i="1"/>
  <c r="CQ406" i="1" s="1"/>
  <c r="DA406" i="1" s="1"/>
  <c r="CJ406" i="1"/>
  <c r="CA406" i="1"/>
  <c r="BT406" i="1"/>
  <c r="BU406" i="1" s="1"/>
  <c r="BO406" i="1"/>
  <c r="BQ406" i="1" s="1"/>
  <c r="BL406" i="1"/>
  <c r="BJ406" i="1"/>
  <c r="BE406" i="1"/>
  <c r="AV406" i="1"/>
  <c r="AP406" i="1"/>
  <c r="AO406" i="1"/>
  <c r="AJ406" i="1"/>
  <c r="AL406" i="1" s="1"/>
  <c r="AE406" i="1"/>
  <c r="AG406" i="1" s="1"/>
  <c r="AQ406" i="1" s="1"/>
  <c r="Z406" i="1"/>
  <c r="N406" i="1"/>
  <c r="K406" i="1"/>
  <c r="J406" i="1"/>
  <c r="E406" i="1"/>
  <c r="D406" i="1"/>
  <c r="C406" i="1"/>
  <c r="B406" i="1"/>
  <c r="CY405" i="1"/>
  <c r="CZ405" i="1" s="1"/>
  <c r="CT405" i="1"/>
  <c r="CV405" i="1" s="1"/>
  <c r="CO405" i="1"/>
  <c r="CJ405" i="1"/>
  <c r="CA405" i="1"/>
  <c r="BT405" i="1"/>
  <c r="BU405" i="1" s="1"/>
  <c r="BO405" i="1"/>
  <c r="BQ405" i="1" s="1"/>
  <c r="BJ405" i="1"/>
  <c r="BL405" i="1" s="1"/>
  <c r="BV405" i="1" s="1"/>
  <c r="BE405" i="1"/>
  <c r="AV405" i="1"/>
  <c r="AO405" i="1"/>
  <c r="AP405" i="1" s="1"/>
  <c r="AJ405" i="1"/>
  <c r="AL405" i="1" s="1"/>
  <c r="AE405" i="1"/>
  <c r="Z405" i="1"/>
  <c r="N405" i="1"/>
  <c r="K405" i="1"/>
  <c r="J405" i="1"/>
  <c r="E405" i="1"/>
  <c r="D405" i="1"/>
  <c r="C405" i="1"/>
  <c r="B405" i="1"/>
  <c r="CY404" i="1"/>
  <c r="CZ404" i="1" s="1"/>
  <c r="CT404" i="1"/>
  <c r="CV404" i="1" s="1"/>
  <c r="CO404" i="1"/>
  <c r="DB404" i="1" s="1"/>
  <c r="CJ404" i="1"/>
  <c r="CA404" i="1"/>
  <c r="BT404" i="1"/>
  <c r="BU404" i="1" s="1"/>
  <c r="BQ404" i="1"/>
  <c r="BO404" i="1"/>
  <c r="BJ404" i="1"/>
  <c r="BL404" i="1" s="1"/>
  <c r="BE404" i="1"/>
  <c r="AV404" i="1"/>
  <c r="AO404" i="1"/>
  <c r="AP404" i="1" s="1"/>
  <c r="AJ404" i="1"/>
  <c r="AL404" i="1" s="1"/>
  <c r="AE404" i="1"/>
  <c r="AG404" i="1" s="1"/>
  <c r="Z404" i="1"/>
  <c r="N404" i="1"/>
  <c r="K404" i="1"/>
  <c r="J404" i="1"/>
  <c r="E404" i="1"/>
  <c r="D404" i="1"/>
  <c r="C404" i="1"/>
  <c r="B404" i="1"/>
  <c r="CY403" i="1"/>
  <c r="CZ403" i="1" s="1"/>
  <c r="CT403" i="1"/>
  <c r="CV403" i="1" s="1"/>
  <c r="CO403" i="1"/>
  <c r="CJ403" i="1"/>
  <c r="CA403" i="1"/>
  <c r="BT403" i="1"/>
  <c r="BU403" i="1" s="1"/>
  <c r="BO403" i="1"/>
  <c r="BQ403" i="1" s="1"/>
  <c r="BJ403" i="1"/>
  <c r="BL403" i="1" s="1"/>
  <c r="BE403" i="1"/>
  <c r="AV403" i="1"/>
  <c r="AO403" i="1"/>
  <c r="AP403" i="1" s="1"/>
  <c r="AJ403" i="1"/>
  <c r="AL403" i="1" s="1"/>
  <c r="AE403" i="1"/>
  <c r="Z403" i="1"/>
  <c r="N403" i="1"/>
  <c r="K403" i="1"/>
  <c r="J403" i="1"/>
  <c r="E403" i="1"/>
  <c r="D403" i="1"/>
  <c r="C403" i="1"/>
  <c r="B403" i="1"/>
  <c r="CY402" i="1"/>
  <c r="CZ402" i="1" s="1"/>
  <c r="CT402" i="1"/>
  <c r="CV402" i="1" s="1"/>
  <c r="CO402" i="1"/>
  <c r="CQ402" i="1" s="1"/>
  <c r="CJ402" i="1"/>
  <c r="CA402" i="1"/>
  <c r="BT402" i="1"/>
  <c r="BU402" i="1" s="1"/>
  <c r="BO402" i="1"/>
  <c r="BQ402" i="1" s="1"/>
  <c r="BJ402" i="1"/>
  <c r="BL402" i="1" s="1"/>
  <c r="BE402" i="1"/>
  <c r="AV402" i="1"/>
  <c r="AO402" i="1"/>
  <c r="AP402" i="1" s="1"/>
  <c r="AJ402" i="1"/>
  <c r="AL402" i="1" s="1"/>
  <c r="AE402" i="1"/>
  <c r="AG402" i="1" s="1"/>
  <c r="Z402" i="1"/>
  <c r="N402" i="1"/>
  <c r="K402" i="1"/>
  <c r="J402" i="1"/>
  <c r="E402" i="1"/>
  <c r="D402" i="1"/>
  <c r="C402" i="1"/>
  <c r="B402" i="1"/>
  <c r="CY401" i="1"/>
  <c r="CZ401" i="1" s="1"/>
  <c r="CT401" i="1"/>
  <c r="CV401" i="1" s="1"/>
  <c r="CO401" i="1"/>
  <c r="CJ401" i="1"/>
  <c r="CA401" i="1"/>
  <c r="BT401" i="1"/>
  <c r="BU401" i="1" s="1"/>
  <c r="BO401" i="1"/>
  <c r="BQ401" i="1" s="1"/>
  <c r="BJ401" i="1"/>
  <c r="BE401" i="1"/>
  <c r="AV401" i="1"/>
  <c r="AO401" i="1"/>
  <c r="AP401" i="1" s="1"/>
  <c r="AJ401" i="1"/>
  <c r="AL401" i="1" s="1"/>
  <c r="AE401" i="1"/>
  <c r="AG401" i="1" s="1"/>
  <c r="Z401" i="1"/>
  <c r="N401" i="1"/>
  <c r="K401" i="1"/>
  <c r="J401" i="1"/>
  <c r="E401" i="1"/>
  <c r="D401" i="1"/>
  <c r="C401" i="1"/>
  <c r="B401" i="1"/>
  <c r="CY400" i="1"/>
  <c r="CZ400" i="1" s="1"/>
  <c r="CT400" i="1"/>
  <c r="CV400" i="1" s="1"/>
  <c r="CO400" i="1"/>
  <c r="CQ400" i="1" s="1"/>
  <c r="CJ400" i="1"/>
  <c r="CA400" i="1"/>
  <c r="BT400" i="1"/>
  <c r="BU400" i="1" s="1"/>
  <c r="BO400" i="1"/>
  <c r="BQ400" i="1" s="1"/>
  <c r="BJ400" i="1"/>
  <c r="BL400" i="1" s="1"/>
  <c r="BE400" i="1"/>
  <c r="AV400" i="1"/>
  <c r="AO400" i="1"/>
  <c r="AP400" i="1" s="1"/>
  <c r="AJ400" i="1"/>
  <c r="AL400" i="1" s="1"/>
  <c r="AE400" i="1"/>
  <c r="AG400" i="1" s="1"/>
  <c r="Z400" i="1"/>
  <c r="N400" i="1"/>
  <c r="K400" i="1"/>
  <c r="J400" i="1"/>
  <c r="E400" i="1"/>
  <c r="D400" i="1"/>
  <c r="C400" i="1"/>
  <c r="B400" i="1"/>
  <c r="CY399" i="1"/>
  <c r="CZ399" i="1" s="1"/>
  <c r="CT399" i="1"/>
  <c r="CV399" i="1" s="1"/>
  <c r="CO399" i="1"/>
  <c r="CJ399" i="1"/>
  <c r="CA399" i="1"/>
  <c r="BT399" i="1"/>
  <c r="BU399" i="1" s="1"/>
  <c r="BO399" i="1"/>
  <c r="BQ399" i="1" s="1"/>
  <c r="BJ399" i="1"/>
  <c r="BE399" i="1"/>
  <c r="AV399" i="1"/>
  <c r="AP399" i="1"/>
  <c r="AO399" i="1"/>
  <c r="AJ399" i="1"/>
  <c r="AL399" i="1" s="1"/>
  <c r="AE399" i="1"/>
  <c r="Z399" i="1"/>
  <c r="N399" i="1"/>
  <c r="K399" i="1"/>
  <c r="J399" i="1"/>
  <c r="E399" i="1"/>
  <c r="D399" i="1"/>
  <c r="C399" i="1"/>
  <c r="B399" i="1"/>
  <c r="CY398" i="1"/>
  <c r="CZ398" i="1" s="1"/>
  <c r="CT398" i="1"/>
  <c r="CV398" i="1" s="1"/>
  <c r="CO398" i="1"/>
  <c r="CJ398" i="1"/>
  <c r="CA398" i="1"/>
  <c r="BT398" i="1"/>
  <c r="BU398" i="1" s="1"/>
  <c r="BO398" i="1"/>
  <c r="BQ398" i="1" s="1"/>
  <c r="BJ398" i="1"/>
  <c r="BL398" i="1" s="1"/>
  <c r="BE398" i="1"/>
  <c r="AV398" i="1"/>
  <c r="AO398" i="1"/>
  <c r="AP398" i="1" s="1"/>
  <c r="AJ398" i="1"/>
  <c r="AR398" i="1" s="1"/>
  <c r="AE398" i="1"/>
  <c r="AG398" i="1" s="1"/>
  <c r="Z398" i="1"/>
  <c r="N398" i="1"/>
  <c r="K398" i="1"/>
  <c r="J398" i="1"/>
  <c r="E398" i="1"/>
  <c r="D398" i="1"/>
  <c r="C398" i="1"/>
  <c r="B398" i="1"/>
  <c r="CY397" i="1"/>
  <c r="CZ397" i="1" s="1"/>
  <c r="CT397" i="1"/>
  <c r="CV397" i="1" s="1"/>
  <c r="CO397" i="1"/>
  <c r="CQ397" i="1" s="1"/>
  <c r="CJ397" i="1"/>
  <c r="CA397" i="1"/>
  <c r="BT397" i="1"/>
  <c r="BU397" i="1" s="1"/>
  <c r="BO397" i="1"/>
  <c r="BQ397" i="1" s="1"/>
  <c r="BJ397" i="1"/>
  <c r="BE397" i="1"/>
  <c r="AV397" i="1"/>
  <c r="AO397" i="1"/>
  <c r="AP397" i="1" s="1"/>
  <c r="AJ397" i="1"/>
  <c r="AL397" i="1" s="1"/>
  <c r="AE397" i="1"/>
  <c r="Z397" i="1"/>
  <c r="N397" i="1"/>
  <c r="K397" i="1"/>
  <c r="J397" i="1"/>
  <c r="E397" i="1"/>
  <c r="D397" i="1"/>
  <c r="C397" i="1"/>
  <c r="B397" i="1"/>
  <c r="CY396" i="1"/>
  <c r="CZ396" i="1" s="1"/>
  <c r="CT396" i="1"/>
  <c r="CV396" i="1" s="1"/>
  <c r="CO396" i="1"/>
  <c r="CJ396" i="1"/>
  <c r="CA396" i="1"/>
  <c r="BT396" i="1"/>
  <c r="BU396" i="1" s="1"/>
  <c r="BO396" i="1"/>
  <c r="BQ396" i="1" s="1"/>
  <c r="BJ396" i="1"/>
  <c r="BL396" i="1" s="1"/>
  <c r="BE396" i="1"/>
  <c r="AV396" i="1"/>
  <c r="AO396" i="1"/>
  <c r="AP396" i="1" s="1"/>
  <c r="AJ396" i="1"/>
  <c r="AL396" i="1" s="1"/>
  <c r="AE396" i="1"/>
  <c r="AG396" i="1" s="1"/>
  <c r="Z396" i="1"/>
  <c r="N396" i="1"/>
  <c r="K396" i="1"/>
  <c r="J396" i="1"/>
  <c r="E396" i="1"/>
  <c r="D396" i="1"/>
  <c r="C396" i="1"/>
  <c r="B396" i="1"/>
  <c r="CY395" i="1"/>
  <c r="CZ395" i="1" s="1"/>
  <c r="CT395" i="1"/>
  <c r="CV395" i="1" s="1"/>
  <c r="CO395" i="1"/>
  <c r="CQ395" i="1" s="1"/>
  <c r="CJ395" i="1"/>
  <c r="CA395" i="1"/>
  <c r="BT395" i="1"/>
  <c r="BU395" i="1" s="1"/>
  <c r="BO395" i="1"/>
  <c r="BQ395" i="1" s="1"/>
  <c r="BJ395" i="1"/>
  <c r="BL395" i="1" s="1"/>
  <c r="BE395" i="1"/>
  <c r="AV395" i="1"/>
  <c r="AO395" i="1"/>
  <c r="AP395" i="1" s="1"/>
  <c r="AJ395" i="1"/>
  <c r="AL395" i="1" s="1"/>
  <c r="AE395" i="1"/>
  <c r="Z395" i="1"/>
  <c r="N395" i="1"/>
  <c r="K395" i="1"/>
  <c r="J395" i="1"/>
  <c r="E395" i="1"/>
  <c r="D395" i="1"/>
  <c r="C395" i="1"/>
  <c r="B395" i="1"/>
  <c r="CY394" i="1"/>
  <c r="CZ394" i="1" s="1"/>
  <c r="CT394" i="1"/>
  <c r="CV394" i="1" s="1"/>
  <c r="CO394" i="1"/>
  <c r="CQ394" i="1" s="1"/>
  <c r="DA394" i="1" s="1"/>
  <c r="CJ394" i="1"/>
  <c r="CA394" i="1"/>
  <c r="BT394" i="1"/>
  <c r="BU394" i="1" s="1"/>
  <c r="BO394" i="1"/>
  <c r="BQ394" i="1" s="1"/>
  <c r="BJ394" i="1"/>
  <c r="BE394" i="1"/>
  <c r="AV394" i="1"/>
  <c r="AO394" i="1"/>
  <c r="AP394" i="1" s="1"/>
  <c r="AJ394" i="1"/>
  <c r="AL394" i="1" s="1"/>
  <c r="AE394" i="1"/>
  <c r="AG394" i="1" s="1"/>
  <c r="Z394" i="1"/>
  <c r="N394" i="1"/>
  <c r="K394" i="1"/>
  <c r="J394" i="1"/>
  <c r="E394" i="1"/>
  <c r="D394" i="1"/>
  <c r="C394" i="1"/>
  <c r="B394" i="1"/>
  <c r="CY393" i="1"/>
  <c r="CZ393" i="1" s="1"/>
  <c r="CT393" i="1"/>
  <c r="CV393" i="1" s="1"/>
  <c r="CO393" i="1"/>
  <c r="CQ393" i="1" s="1"/>
  <c r="CJ393" i="1"/>
  <c r="CA393" i="1"/>
  <c r="BT393" i="1"/>
  <c r="BU393" i="1" s="1"/>
  <c r="BO393" i="1"/>
  <c r="BJ393" i="1"/>
  <c r="BL393" i="1" s="1"/>
  <c r="BE393" i="1"/>
  <c r="AV393" i="1"/>
  <c r="AO393" i="1"/>
  <c r="AP393" i="1" s="1"/>
  <c r="AJ393" i="1"/>
  <c r="AL393" i="1" s="1"/>
  <c r="AE393" i="1"/>
  <c r="AG393" i="1" s="1"/>
  <c r="Z393" i="1"/>
  <c r="N393" i="1"/>
  <c r="K393" i="1"/>
  <c r="J393" i="1"/>
  <c r="E393" i="1"/>
  <c r="D393" i="1"/>
  <c r="C393" i="1"/>
  <c r="B393" i="1"/>
  <c r="CH392" i="1"/>
  <c r="BC392" i="1"/>
  <c r="X392" i="1"/>
  <c r="CY391" i="1"/>
  <c r="CZ391" i="1" s="1"/>
  <c r="CT391" i="1"/>
  <c r="CV391" i="1" s="1"/>
  <c r="CO391" i="1"/>
  <c r="CQ391" i="1" s="1"/>
  <c r="CJ391" i="1"/>
  <c r="CA391" i="1"/>
  <c r="BT391" i="1"/>
  <c r="BU391" i="1" s="1"/>
  <c r="BO391" i="1"/>
  <c r="BJ391" i="1"/>
  <c r="BL391" i="1" s="1"/>
  <c r="BE391" i="1"/>
  <c r="AV391" i="1"/>
  <c r="AO391" i="1"/>
  <c r="AP391" i="1" s="1"/>
  <c r="AJ391" i="1"/>
  <c r="AL391" i="1" s="1"/>
  <c r="AE391" i="1"/>
  <c r="Z391" i="1"/>
  <c r="N391" i="1"/>
  <c r="K391" i="1"/>
  <c r="J391" i="1"/>
  <c r="E391" i="1"/>
  <c r="D391" i="1"/>
  <c r="C391" i="1"/>
  <c r="B391" i="1"/>
  <c r="CY390" i="1"/>
  <c r="CZ390" i="1" s="1"/>
  <c r="CT390" i="1"/>
  <c r="CV390" i="1" s="1"/>
  <c r="CO390" i="1"/>
  <c r="CJ390" i="1"/>
  <c r="CA390" i="1"/>
  <c r="BT390" i="1"/>
  <c r="BU390" i="1" s="1"/>
  <c r="BO390" i="1"/>
  <c r="BQ390" i="1" s="1"/>
  <c r="BJ390" i="1"/>
  <c r="BE390" i="1"/>
  <c r="AV390" i="1"/>
  <c r="AO390" i="1"/>
  <c r="AP390" i="1" s="1"/>
  <c r="AJ390" i="1"/>
  <c r="AL390" i="1" s="1"/>
  <c r="AE390" i="1"/>
  <c r="AG390" i="1" s="1"/>
  <c r="Z390" i="1"/>
  <c r="N390" i="1"/>
  <c r="K390" i="1"/>
  <c r="J390" i="1"/>
  <c r="E390" i="1"/>
  <c r="D390" i="1"/>
  <c r="C390" i="1"/>
  <c r="B390" i="1"/>
  <c r="CY389" i="1"/>
  <c r="CZ389" i="1" s="1"/>
  <c r="CT389" i="1"/>
  <c r="CV389" i="1" s="1"/>
  <c r="CO389" i="1"/>
  <c r="DB389" i="1" s="1"/>
  <c r="CJ389" i="1"/>
  <c r="CA389" i="1"/>
  <c r="BT389" i="1"/>
  <c r="BU389" i="1" s="1"/>
  <c r="BO389" i="1"/>
  <c r="BQ389" i="1" s="1"/>
  <c r="BJ389" i="1"/>
  <c r="BL389" i="1" s="1"/>
  <c r="BE389" i="1"/>
  <c r="AV389" i="1"/>
  <c r="AO389" i="1"/>
  <c r="AP389" i="1" s="1"/>
  <c r="AJ389" i="1"/>
  <c r="AL389" i="1" s="1"/>
  <c r="AE389" i="1"/>
  <c r="Z389" i="1"/>
  <c r="N389" i="1"/>
  <c r="K389" i="1"/>
  <c r="J389" i="1"/>
  <c r="E389" i="1"/>
  <c r="D389" i="1"/>
  <c r="C389" i="1"/>
  <c r="B389" i="1"/>
  <c r="CY388" i="1"/>
  <c r="CZ388" i="1" s="1"/>
  <c r="CT388" i="1"/>
  <c r="CO388" i="1"/>
  <c r="CQ388" i="1" s="1"/>
  <c r="CJ388" i="1"/>
  <c r="CA388" i="1"/>
  <c r="BT388" i="1"/>
  <c r="BU388" i="1" s="1"/>
  <c r="BO388" i="1"/>
  <c r="BQ388" i="1" s="1"/>
  <c r="BJ388" i="1"/>
  <c r="BE388" i="1"/>
  <c r="AV388" i="1"/>
  <c r="AO388" i="1"/>
  <c r="AP388" i="1" s="1"/>
  <c r="AJ388" i="1"/>
  <c r="AL388" i="1" s="1"/>
  <c r="AE388" i="1"/>
  <c r="AR388" i="1" s="1"/>
  <c r="Z388" i="1"/>
  <c r="N388" i="1"/>
  <c r="K388" i="1"/>
  <c r="J388" i="1"/>
  <c r="E388" i="1"/>
  <c r="D388" i="1"/>
  <c r="C388" i="1"/>
  <c r="B388" i="1"/>
  <c r="CY387" i="1"/>
  <c r="CZ387" i="1" s="1"/>
  <c r="CT387" i="1"/>
  <c r="CV387" i="1" s="1"/>
  <c r="CO387" i="1"/>
  <c r="CJ387" i="1"/>
  <c r="CA387" i="1"/>
  <c r="BT387" i="1"/>
  <c r="BU387" i="1" s="1"/>
  <c r="BO387" i="1"/>
  <c r="BQ387" i="1" s="1"/>
  <c r="BJ387" i="1"/>
  <c r="BL387" i="1" s="1"/>
  <c r="BE387" i="1"/>
  <c r="AV387" i="1"/>
  <c r="AO387" i="1"/>
  <c r="AP387" i="1" s="1"/>
  <c r="AJ387" i="1"/>
  <c r="AE387" i="1"/>
  <c r="AG387" i="1" s="1"/>
  <c r="Z387" i="1"/>
  <c r="N387" i="1"/>
  <c r="K387" i="1"/>
  <c r="J387" i="1"/>
  <c r="E387" i="1"/>
  <c r="D387" i="1"/>
  <c r="C387" i="1"/>
  <c r="B387" i="1"/>
  <c r="CY386" i="1"/>
  <c r="CZ386" i="1" s="1"/>
  <c r="CT386" i="1"/>
  <c r="CV386" i="1" s="1"/>
  <c r="CO386" i="1"/>
  <c r="CQ386" i="1" s="1"/>
  <c r="CJ386" i="1"/>
  <c r="CA386" i="1"/>
  <c r="BT386" i="1"/>
  <c r="BU386" i="1" s="1"/>
  <c r="BO386" i="1"/>
  <c r="BQ386" i="1" s="1"/>
  <c r="BJ386" i="1"/>
  <c r="BE386" i="1"/>
  <c r="AV386" i="1"/>
  <c r="AO386" i="1"/>
  <c r="AP386" i="1" s="1"/>
  <c r="AJ386" i="1"/>
  <c r="AL386" i="1" s="1"/>
  <c r="AE386" i="1"/>
  <c r="Z386" i="1"/>
  <c r="N386" i="1"/>
  <c r="K386" i="1"/>
  <c r="J386" i="1"/>
  <c r="E386" i="1"/>
  <c r="D386" i="1"/>
  <c r="C386" i="1"/>
  <c r="B386" i="1"/>
  <c r="CY385" i="1"/>
  <c r="CZ385" i="1" s="1"/>
  <c r="CT385" i="1"/>
  <c r="CV385" i="1" s="1"/>
  <c r="CO385" i="1"/>
  <c r="CJ385" i="1"/>
  <c r="CA385" i="1"/>
  <c r="BT385" i="1"/>
  <c r="BU385" i="1" s="1"/>
  <c r="BO385" i="1"/>
  <c r="BQ385" i="1" s="1"/>
  <c r="BJ385" i="1"/>
  <c r="BW385" i="1" s="1"/>
  <c r="BE385" i="1"/>
  <c r="AV385" i="1"/>
  <c r="AO385" i="1"/>
  <c r="AP385" i="1" s="1"/>
  <c r="AJ385" i="1"/>
  <c r="AL385" i="1" s="1"/>
  <c r="AE385" i="1"/>
  <c r="AG385" i="1" s="1"/>
  <c r="Z385" i="1"/>
  <c r="N385" i="1"/>
  <c r="K385" i="1"/>
  <c r="J385" i="1"/>
  <c r="E385" i="1"/>
  <c r="D385" i="1"/>
  <c r="C385" i="1"/>
  <c r="B385" i="1"/>
  <c r="CY384" i="1"/>
  <c r="CZ384" i="1" s="1"/>
  <c r="CT384" i="1"/>
  <c r="CV384" i="1" s="1"/>
  <c r="CO384" i="1"/>
  <c r="CQ384" i="1" s="1"/>
  <c r="CJ384" i="1"/>
  <c r="CA384" i="1"/>
  <c r="BT384" i="1"/>
  <c r="BU384" i="1" s="1"/>
  <c r="BO384" i="1"/>
  <c r="BJ384" i="1"/>
  <c r="BL384" i="1" s="1"/>
  <c r="BE384" i="1"/>
  <c r="AV384" i="1"/>
  <c r="AO384" i="1"/>
  <c r="AP384" i="1" s="1"/>
  <c r="AJ384" i="1"/>
  <c r="AL384" i="1" s="1"/>
  <c r="AE384" i="1"/>
  <c r="Z384" i="1"/>
  <c r="N384" i="1"/>
  <c r="K384" i="1"/>
  <c r="J384" i="1"/>
  <c r="E384" i="1"/>
  <c r="D384" i="1"/>
  <c r="C384" i="1"/>
  <c r="B384" i="1"/>
  <c r="CY383" i="1"/>
  <c r="CZ383" i="1" s="1"/>
  <c r="CT383" i="1"/>
  <c r="CV383" i="1" s="1"/>
  <c r="CO383" i="1"/>
  <c r="CJ383" i="1"/>
  <c r="CA383" i="1"/>
  <c r="BU383" i="1"/>
  <c r="BT383" i="1"/>
  <c r="BO383" i="1"/>
  <c r="BQ383" i="1" s="1"/>
  <c r="BJ383" i="1"/>
  <c r="BE383" i="1"/>
  <c r="AV383" i="1"/>
  <c r="AO383" i="1"/>
  <c r="AP383" i="1" s="1"/>
  <c r="AJ383" i="1"/>
  <c r="AL383" i="1" s="1"/>
  <c r="AE383" i="1"/>
  <c r="AR383" i="1" s="1"/>
  <c r="Z383" i="1"/>
  <c r="N383" i="1"/>
  <c r="K383" i="1"/>
  <c r="J383" i="1"/>
  <c r="E383" i="1"/>
  <c r="D383" i="1"/>
  <c r="C383" i="1"/>
  <c r="B383" i="1"/>
  <c r="CY382" i="1"/>
  <c r="CZ382" i="1" s="1"/>
  <c r="CT382" i="1"/>
  <c r="CV382" i="1" s="1"/>
  <c r="CO382" i="1"/>
  <c r="CQ382" i="1" s="1"/>
  <c r="CJ382" i="1"/>
  <c r="CA382" i="1"/>
  <c r="BT382" i="1"/>
  <c r="BU382" i="1" s="1"/>
  <c r="BO382" i="1"/>
  <c r="BQ382" i="1" s="1"/>
  <c r="BJ382" i="1"/>
  <c r="BL382" i="1" s="1"/>
  <c r="BE382" i="1"/>
  <c r="AV382" i="1"/>
  <c r="AO382" i="1"/>
  <c r="AP382" i="1" s="1"/>
  <c r="AJ382" i="1"/>
  <c r="AL382" i="1" s="1"/>
  <c r="AE382" i="1"/>
  <c r="Z382" i="1"/>
  <c r="N382" i="1"/>
  <c r="K382" i="1"/>
  <c r="J382" i="1"/>
  <c r="E382" i="1"/>
  <c r="D382" i="1"/>
  <c r="C382" i="1"/>
  <c r="B382" i="1"/>
  <c r="CY381" i="1"/>
  <c r="CZ381" i="1" s="1"/>
  <c r="CT381" i="1"/>
  <c r="CO381" i="1"/>
  <c r="CQ381" i="1" s="1"/>
  <c r="CJ381" i="1"/>
  <c r="CA381" i="1"/>
  <c r="BT381" i="1"/>
  <c r="BU381" i="1" s="1"/>
  <c r="BO381" i="1"/>
  <c r="BQ381" i="1" s="1"/>
  <c r="BJ381" i="1"/>
  <c r="BE381" i="1"/>
  <c r="AV381" i="1"/>
  <c r="AO381" i="1"/>
  <c r="AP381" i="1" s="1"/>
  <c r="AJ381" i="1"/>
  <c r="AL381" i="1" s="1"/>
  <c r="AE381" i="1"/>
  <c r="AG381" i="1" s="1"/>
  <c r="Z381" i="1"/>
  <c r="N381" i="1"/>
  <c r="K381" i="1"/>
  <c r="J381" i="1"/>
  <c r="E381" i="1"/>
  <c r="D381" i="1"/>
  <c r="C381" i="1"/>
  <c r="B381" i="1"/>
  <c r="CY380" i="1"/>
  <c r="CZ380" i="1" s="1"/>
  <c r="CT380" i="1"/>
  <c r="CV380" i="1" s="1"/>
  <c r="CO380" i="1"/>
  <c r="CJ380" i="1"/>
  <c r="CA380" i="1"/>
  <c r="BT380" i="1"/>
  <c r="BU380" i="1" s="1"/>
  <c r="BO380" i="1"/>
  <c r="BQ380" i="1" s="1"/>
  <c r="BJ380" i="1"/>
  <c r="BE380" i="1"/>
  <c r="AV380" i="1"/>
  <c r="AO380" i="1"/>
  <c r="AP380" i="1" s="1"/>
  <c r="AJ380" i="1"/>
  <c r="AE380" i="1"/>
  <c r="AG380" i="1" s="1"/>
  <c r="Z380" i="1"/>
  <c r="N380" i="1"/>
  <c r="K380" i="1"/>
  <c r="J380" i="1"/>
  <c r="E380" i="1"/>
  <c r="D380" i="1"/>
  <c r="C380" i="1"/>
  <c r="B380" i="1"/>
  <c r="CY379" i="1"/>
  <c r="CZ379" i="1" s="1"/>
  <c r="CT379" i="1"/>
  <c r="CV379" i="1" s="1"/>
  <c r="CO379" i="1"/>
  <c r="CQ379" i="1" s="1"/>
  <c r="DA379" i="1" s="1"/>
  <c r="CJ379" i="1"/>
  <c r="CA379" i="1"/>
  <c r="BT379" i="1"/>
  <c r="BU379" i="1" s="1"/>
  <c r="BO379" i="1"/>
  <c r="BQ379" i="1" s="1"/>
  <c r="BJ379" i="1"/>
  <c r="BE379" i="1"/>
  <c r="AV379" i="1"/>
  <c r="AO379" i="1"/>
  <c r="AP379" i="1" s="1"/>
  <c r="AJ379" i="1"/>
  <c r="AL379" i="1" s="1"/>
  <c r="AE379" i="1"/>
  <c r="Z379" i="1"/>
  <c r="N379" i="1"/>
  <c r="K379" i="1"/>
  <c r="J379" i="1"/>
  <c r="E379" i="1"/>
  <c r="D379" i="1"/>
  <c r="C379" i="1"/>
  <c r="B379" i="1"/>
  <c r="CY378" i="1"/>
  <c r="CZ378" i="1" s="1"/>
  <c r="CT378" i="1"/>
  <c r="CV378" i="1" s="1"/>
  <c r="CO378" i="1"/>
  <c r="CJ378" i="1"/>
  <c r="CA378" i="1"/>
  <c r="BT378" i="1"/>
  <c r="BU378" i="1" s="1"/>
  <c r="BO378" i="1"/>
  <c r="BQ378" i="1" s="1"/>
  <c r="BJ378" i="1"/>
  <c r="BL378" i="1" s="1"/>
  <c r="BE378" i="1"/>
  <c r="AV378" i="1"/>
  <c r="AO378" i="1"/>
  <c r="AP378" i="1" s="1"/>
  <c r="AJ378" i="1"/>
  <c r="AL378" i="1" s="1"/>
  <c r="AE378" i="1"/>
  <c r="AG378" i="1" s="1"/>
  <c r="Z378" i="1"/>
  <c r="N378" i="1"/>
  <c r="K378" i="1"/>
  <c r="J378" i="1"/>
  <c r="E378" i="1"/>
  <c r="D378" i="1"/>
  <c r="C378" i="1"/>
  <c r="B378" i="1"/>
  <c r="CY377" i="1"/>
  <c r="CZ377" i="1" s="1"/>
  <c r="CT377" i="1"/>
  <c r="CV377" i="1" s="1"/>
  <c r="CO377" i="1"/>
  <c r="CQ377" i="1" s="1"/>
  <c r="CJ377" i="1"/>
  <c r="CA377" i="1"/>
  <c r="BT377" i="1"/>
  <c r="BU377" i="1" s="1"/>
  <c r="BO377" i="1"/>
  <c r="BJ377" i="1"/>
  <c r="BL377" i="1" s="1"/>
  <c r="BE377" i="1"/>
  <c r="AV377" i="1"/>
  <c r="AO377" i="1"/>
  <c r="AP377" i="1" s="1"/>
  <c r="AJ377" i="1"/>
  <c r="AL377" i="1" s="1"/>
  <c r="AE377" i="1"/>
  <c r="AG377" i="1" s="1"/>
  <c r="Z377" i="1"/>
  <c r="N377" i="1"/>
  <c r="K377" i="1"/>
  <c r="J377" i="1"/>
  <c r="E377" i="1"/>
  <c r="D377" i="1"/>
  <c r="C377" i="1"/>
  <c r="B377" i="1"/>
  <c r="CY376" i="1"/>
  <c r="CZ376" i="1" s="1"/>
  <c r="CT376" i="1"/>
  <c r="CV376" i="1" s="1"/>
  <c r="CO376" i="1"/>
  <c r="CJ376" i="1"/>
  <c r="CA376" i="1"/>
  <c r="BT376" i="1"/>
  <c r="BU376" i="1" s="1"/>
  <c r="BO376" i="1"/>
  <c r="BQ376" i="1" s="1"/>
  <c r="BJ376" i="1"/>
  <c r="BE376" i="1"/>
  <c r="AV376" i="1"/>
  <c r="AO376" i="1"/>
  <c r="AP376" i="1" s="1"/>
  <c r="AJ376" i="1"/>
  <c r="AL376" i="1" s="1"/>
  <c r="AE376" i="1"/>
  <c r="AG376" i="1" s="1"/>
  <c r="Z376" i="1"/>
  <c r="N376" i="1"/>
  <c r="K376" i="1"/>
  <c r="J376" i="1"/>
  <c r="E376" i="1"/>
  <c r="D376" i="1"/>
  <c r="C376" i="1"/>
  <c r="B376" i="1"/>
  <c r="CY375" i="1"/>
  <c r="CT375" i="1"/>
  <c r="CV375" i="1" s="1"/>
  <c r="CO375" i="1"/>
  <c r="CQ375" i="1" s="1"/>
  <c r="CJ375" i="1"/>
  <c r="CA375" i="1"/>
  <c r="BT375" i="1"/>
  <c r="BU375" i="1" s="1"/>
  <c r="BO375" i="1"/>
  <c r="BQ375" i="1" s="1"/>
  <c r="BJ375" i="1"/>
  <c r="BL375" i="1" s="1"/>
  <c r="BE375" i="1"/>
  <c r="AV375" i="1"/>
  <c r="AO375" i="1"/>
  <c r="AP375" i="1" s="1"/>
  <c r="AJ375" i="1"/>
  <c r="AL375" i="1" s="1"/>
  <c r="AE375" i="1"/>
  <c r="Z375" i="1"/>
  <c r="N375" i="1"/>
  <c r="K375" i="1"/>
  <c r="J375" i="1"/>
  <c r="E375" i="1"/>
  <c r="D375" i="1"/>
  <c r="C375" i="1"/>
  <c r="B375" i="1"/>
  <c r="CY374" i="1"/>
  <c r="CZ374" i="1" s="1"/>
  <c r="CT374" i="1"/>
  <c r="CV374" i="1" s="1"/>
  <c r="CO374" i="1"/>
  <c r="CQ374" i="1" s="1"/>
  <c r="CJ374" i="1"/>
  <c r="CA374" i="1"/>
  <c r="BT374" i="1"/>
  <c r="BU374" i="1" s="1"/>
  <c r="BO374" i="1"/>
  <c r="BQ374" i="1" s="1"/>
  <c r="BJ374" i="1"/>
  <c r="BE374" i="1"/>
  <c r="AV374" i="1"/>
  <c r="AO374" i="1"/>
  <c r="AJ374" i="1"/>
  <c r="AL374" i="1" s="1"/>
  <c r="AE374" i="1"/>
  <c r="AG374" i="1" s="1"/>
  <c r="Z374" i="1"/>
  <c r="N374" i="1"/>
  <c r="K374" i="1"/>
  <c r="J374" i="1"/>
  <c r="E374" i="1"/>
  <c r="D374" i="1"/>
  <c r="C374" i="1"/>
  <c r="B374" i="1"/>
  <c r="CY373" i="1"/>
  <c r="CZ373" i="1" s="1"/>
  <c r="CT373" i="1"/>
  <c r="CV373" i="1" s="1"/>
  <c r="CO373" i="1"/>
  <c r="CQ373" i="1" s="1"/>
  <c r="DA373" i="1" s="1"/>
  <c r="CJ373" i="1"/>
  <c r="CA373" i="1"/>
  <c r="BT373" i="1"/>
  <c r="BU373" i="1" s="1"/>
  <c r="BO373" i="1"/>
  <c r="BQ373" i="1" s="1"/>
  <c r="BJ373" i="1"/>
  <c r="BE373" i="1"/>
  <c r="AV373" i="1"/>
  <c r="AO373" i="1"/>
  <c r="AP373" i="1" s="1"/>
  <c r="AJ373" i="1"/>
  <c r="AL373" i="1" s="1"/>
  <c r="AE373" i="1"/>
  <c r="AG373" i="1" s="1"/>
  <c r="Z373" i="1"/>
  <c r="N373" i="1"/>
  <c r="K373" i="1"/>
  <c r="J373" i="1"/>
  <c r="E373" i="1"/>
  <c r="D373" i="1"/>
  <c r="C373" i="1"/>
  <c r="B373" i="1"/>
  <c r="CY372" i="1"/>
  <c r="CZ372" i="1" s="1"/>
  <c r="CT372" i="1"/>
  <c r="CV372" i="1" s="1"/>
  <c r="CO372" i="1"/>
  <c r="CQ372" i="1" s="1"/>
  <c r="CJ372" i="1"/>
  <c r="CA372" i="1"/>
  <c r="BU372" i="1"/>
  <c r="BT372" i="1"/>
  <c r="BO372" i="1"/>
  <c r="BQ372" i="1" s="1"/>
  <c r="BJ372" i="1"/>
  <c r="BE372" i="1"/>
  <c r="AV372" i="1"/>
  <c r="AO372" i="1"/>
  <c r="AP372" i="1" s="1"/>
  <c r="AJ372" i="1"/>
  <c r="AL372" i="1" s="1"/>
  <c r="AE372" i="1"/>
  <c r="AG372" i="1" s="1"/>
  <c r="AQ372" i="1" s="1"/>
  <c r="Z372" i="1"/>
  <c r="N372" i="1"/>
  <c r="K372" i="1"/>
  <c r="J372" i="1"/>
  <c r="E372" i="1"/>
  <c r="D372" i="1"/>
  <c r="C372" i="1"/>
  <c r="B372" i="1"/>
  <c r="CY371" i="1"/>
  <c r="CZ371" i="1" s="1"/>
  <c r="CT371" i="1"/>
  <c r="CV371" i="1" s="1"/>
  <c r="CO371" i="1"/>
  <c r="CQ371" i="1" s="1"/>
  <c r="CJ371" i="1"/>
  <c r="CA371" i="1"/>
  <c r="BT371" i="1"/>
  <c r="BU371" i="1" s="1"/>
  <c r="BO371" i="1"/>
  <c r="BQ371" i="1" s="1"/>
  <c r="BJ371" i="1"/>
  <c r="BE371" i="1"/>
  <c r="AV371" i="1"/>
  <c r="AO371" i="1"/>
  <c r="AP371" i="1" s="1"/>
  <c r="AL371" i="1"/>
  <c r="AJ371" i="1"/>
  <c r="AE371" i="1"/>
  <c r="AG371" i="1" s="1"/>
  <c r="Z371" i="1"/>
  <c r="N371" i="1"/>
  <c r="K371" i="1"/>
  <c r="J371" i="1"/>
  <c r="E371" i="1"/>
  <c r="D371" i="1"/>
  <c r="C371" i="1"/>
  <c r="B371" i="1"/>
  <c r="CY370" i="1"/>
  <c r="CZ370" i="1" s="1"/>
  <c r="CT370" i="1"/>
  <c r="CV370" i="1" s="1"/>
  <c r="CO370" i="1"/>
  <c r="CQ370" i="1" s="1"/>
  <c r="CJ370" i="1"/>
  <c r="CA370" i="1"/>
  <c r="BT370" i="1"/>
  <c r="BU370" i="1" s="1"/>
  <c r="BO370" i="1"/>
  <c r="BQ370" i="1" s="1"/>
  <c r="BJ370" i="1"/>
  <c r="BL370" i="1" s="1"/>
  <c r="BE370" i="1"/>
  <c r="AV370" i="1"/>
  <c r="AO370" i="1"/>
  <c r="AP370" i="1" s="1"/>
  <c r="AJ370" i="1"/>
  <c r="AL370" i="1" s="1"/>
  <c r="AE370" i="1"/>
  <c r="Z370" i="1"/>
  <c r="N370" i="1"/>
  <c r="K370" i="1"/>
  <c r="J370" i="1"/>
  <c r="E370" i="1"/>
  <c r="D370" i="1"/>
  <c r="C370" i="1"/>
  <c r="B370" i="1"/>
  <c r="CY369" i="1"/>
  <c r="CZ369" i="1" s="1"/>
  <c r="CT369" i="1"/>
  <c r="CV369" i="1" s="1"/>
  <c r="CO369" i="1"/>
  <c r="CJ369" i="1"/>
  <c r="CA369" i="1"/>
  <c r="BT369" i="1"/>
  <c r="BU369" i="1" s="1"/>
  <c r="BO369" i="1"/>
  <c r="BQ369" i="1" s="1"/>
  <c r="BJ369" i="1"/>
  <c r="BL369" i="1" s="1"/>
  <c r="BV369" i="1" s="1"/>
  <c r="BE369" i="1"/>
  <c r="AV369" i="1"/>
  <c r="AO369" i="1"/>
  <c r="AP369" i="1" s="1"/>
  <c r="AJ369" i="1"/>
  <c r="AL369" i="1" s="1"/>
  <c r="AE369" i="1"/>
  <c r="AG369" i="1" s="1"/>
  <c r="AQ369" i="1" s="1"/>
  <c r="Z369" i="1"/>
  <c r="N369" i="1"/>
  <c r="K369" i="1"/>
  <c r="J369" i="1"/>
  <c r="E369" i="1"/>
  <c r="D369" i="1"/>
  <c r="C369" i="1"/>
  <c r="B369" i="1"/>
  <c r="CY368" i="1"/>
  <c r="CZ368" i="1" s="1"/>
  <c r="CT368" i="1"/>
  <c r="CV368" i="1" s="1"/>
  <c r="CO368" i="1"/>
  <c r="CQ368" i="1" s="1"/>
  <c r="CJ368" i="1"/>
  <c r="CA368" i="1"/>
  <c r="BT368" i="1"/>
  <c r="BU368" i="1" s="1"/>
  <c r="BO368" i="1"/>
  <c r="BJ368" i="1"/>
  <c r="BL368" i="1" s="1"/>
  <c r="BE368" i="1"/>
  <c r="AV368" i="1"/>
  <c r="AO368" i="1"/>
  <c r="AP368" i="1" s="1"/>
  <c r="AJ368" i="1"/>
  <c r="AL368" i="1" s="1"/>
  <c r="AE368" i="1"/>
  <c r="Z368" i="1"/>
  <c r="N368" i="1"/>
  <c r="K368" i="1"/>
  <c r="J368" i="1"/>
  <c r="E368" i="1"/>
  <c r="D368" i="1"/>
  <c r="C368" i="1"/>
  <c r="B368" i="1"/>
  <c r="CY367" i="1"/>
  <c r="CZ367" i="1" s="1"/>
  <c r="CT367" i="1"/>
  <c r="CV367" i="1" s="1"/>
  <c r="CO367" i="1"/>
  <c r="CQ367" i="1" s="1"/>
  <c r="DA367" i="1" s="1"/>
  <c r="CJ367" i="1"/>
  <c r="CA367" i="1"/>
  <c r="BT367" i="1"/>
  <c r="BU367" i="1" s="1"/>
  <c r="BO367" i="1"/>
  <c r="BQ367" i="1" s="1"/>
  <c r="BJ367" i="1"/>
  <c r="BL367" i="1" s="1"/>
  <c r="BE367" i="1"/>
  <c r="AV367" i="1"/>
  <c r="AO367" i="1"/>
  <c r="AP367" i="1" s="1"/>
  <c r="AJ367" i="1"/>
  <c r="AL367" i="1" s="1"/>
  <c r="AE367" i="1"/>
  <c r="AG367" i="1" s="1"/>
  <c r="Z367" i="1"/>
  <c r="N367" i="1"/>
  <c r="K367" i="1"/>
  <c r="J367" i="1"/>
  <c r="E367" i="1"/>
  <c r="D367" i="1"/>
  <c r="C367" i="1"/>
  <c r="B367" i="1"/>
  <c r="CY366" i="1"/>
  <c r="CZ366" i="1" s="1"/>
  <c r="CT366" i="1"/>
  <c r="CV366" i="1" s="1"/>
  <c r="CO366" i="1"/>
  <c r="CJ366" i="1"/>
  <c r="CA366" i="1"/>
  <c r="BT366" i="1"/>
  <c r="BU366" i="1" s="1"/>
  <c r="BO366" i="1"/>
  <c r="BQ366" i="1" s="1"/>
  <c r="BJ366" i="1"/>
  <c r="BL366" i="1" s="1"/>
  <c r="BE366" i="1"/>
  <c r="AV366" i="1"/>
  <c r="AO366" i="1"/>
  <c r="AJ366" i="1"/>
  <c r="AL366" i="1" s="1"/>
  <c r="AE366" i="1"/>
  <c r="AG366" i="1" s="1"/>
  <c r="AQ366" i="1" s="1"/>
  <c r="Z366" i="1"/>
  <c r="N366" i="1"/>
  <c r="K366" i="1"/>
  <c r="J366" i="1"/>
  <c r="E366" i="1"/>
  <c r="D366" i="1"/>
  <c r="C366" i="1"/>
  <c r="B366" i="1"/>
  <c r="CY365" i="1"/>
  <c r="CZ365" i="1" s="1"/>
  <c r="CT365" i="1"/>
  <c r="CV365" i="1" s="1"/>
  <c r="CO365" i="1"/>
  <c r="CQ365" i="1" s="1"/>
  <c r="CJ365" i="1"/>
  <c r="CA365" i="1"/>
  <c r="BT365" i="1"/>
  <c r="BU365" i="1" s="1"/>
  <c r="BO365" i="1"/>
  <c r="BQ365" i="1" s="1"/>
  <c r="BJ365" i="1"/>
  <c r="BE365" i="1"/>
  <c r="AV365" i="1"/>
  <c r="AO365" i="1"/>
  <c r="AP365" i="1" s="1"/>
  <c r="AJ365" i="1"/>
  <c r="AL365" i="1" s="1"/>
  <c r="AE365" i="1"/>
  <c r="Z365" i="1"/>
  <c r="N365" i="1"/>
  <c r="K365" i="1"/>
  <c r="J365" i="1"/>
  <c r="E365" i="1"/>
  <c r="D365" i="1"/>
  <c r="C365" i="1"/>
  <c r="B365" i="1"/>
  <c r="CY364" i="1"/>
  <c r="CZ364" i="1" s="1"/>
  <c r="CT364" i="1"/>
  <c r="CV364" i="1" s="1"/>
  <c r="CO364" i="1"/>
  <c r="CQ364" i="1" s="1"/>
  <c r="CJ364" i="1"/>
  <c r="CA364" i="1"/>
  <c r="BT364" i="1"/>
  <c r="BU364" i="1" s="1"/>
  <c r="BO364" i="1"/>
  <c r="BQ364" i="1" s="1"/>
  <c r="BJ364" i="1"/>
  <c r="BL364" i="1" s="1"/>
  <c r="BE364" i="1"/>
  <c r="AV364" i="1"/>
  <c r="AO364" i="1"/>
  <c r="AP364" i="1" s="1"/>
  <c r="AJ364" i="1"/>
  <c r="AL364" i="1" s="1"/>
  <c r="AE364" i="1"/>
  <c r="AG364" i="1" s="1"/>
  <c r="Z364" i="1"/>
  <c r="N364" i="1"/>
  <c r="K364" i="1"/>
  <c r="J364" i="1"/>
  <c r="E364" i="1"/>
  <c r="D364" i="1"/>
  <c r="C364" i="1"/>
  <c r="B364" i="1"/>
  <c r="CY363" i="1"/>
  <c r="CZ363" i="1" s="1"/>
  <c r="CT363" i="1"/>
  <c r="CV363" i="1" s="1"/>
  <c r="CO363" i="1"/>
  <c r="CJ363" i="1"/>
  <c r="CA363" i="1"/>
  <c r="BT363" i="1"/>
  <c r="BU363" i="1" s="1"/>
  <c r="BO363" i="1"/>
  <c r="BQ363" i="1" s="1"/>
  <c r="BJ363" i="1"/>
  <c r="BL363" i="1" s="1"/>
  <c r="BE363" i="1"/>
  <c r="AV363" i="1"/>
  <c r="AO363" i="1"/>
  <c r="AP363" i="1" s="1"/>
  <c r="AJ363" i="1"/>
  <c r="AL363" i="1" s="1"/>
  <c r="AE363" i="1"/>
  <c r="AG363" i="1" s="1"/>
  <c r="Z363" i="1"/>
  <c r="N363" i="1"/>
  <c r="K363" i="1"/>
  <c r="J363" i="1"/>
  <c r="E363" i="1"/>
  <c r="D363" i="1"/>
  <c r="C363" i="1"/>
  <c r="B363" i="1"/>
  <c r="CH362" i="1"/>
  <c r="BC362" i="1"/>
  <c r="X362" i="1"/>
  <c r="CY361" i="1"/>
  <c r="CZ361" i="1" s="1"/>
  <c r="CT361" i="1"/>
  <c r="CV361" i="1" s="1"/>
  <c r="CO361" i="1"/>
  <c r="CJ361" i="1"/>
  <c r="CA361" i="1"/>
  <c r="BT361" i="1"/>
  <c r="BU361" i="1" s="1"/>
  <c r="BO361" i="1"/>
  <c r="BQ361" i="1" s="1"/>
  <c r="BJ361" i="1"/>
  <c r="BL361" i="1" s="1"/>
  <c r="BE361" i="1"/>
  <c r="AV361" i="1"/>
  <c r="AO361" i="1"/>
  <c r="AP361" i="1" s="1"/>
  <c r="AJ361" i="1"/>
  <c r="AL361" i="1" s="1"/>
  <c r="AE361" i="1"/>
  <c r="AG361" i="1" s="1"/>
  <c r="Z361" i="1"/>
  <c r="N361" i="1"/>
  <c r="K361" i="1"/>
  <c r="J361" i="1"/>
  <c r="E361" i="1"/>
  <c r="D361" i="1"/>
  <c r="C361" i="1"/>
  <c r="B361" i="1"/>
  <c r="CY360" i="1"/>
  <c r="CZ360" i="1" s="1"/>
  <c r="CT360" i="1"/>
  <c r="CV360" i="1" s="1"/>
  <c r="CO360" i="1"/>
  <c r="CQ360" i="1" s="1"/>
  <c r="CJ360" i="1"/>
  <c r="CA360" i="1"/>
  <c r="BT360" i="1"/>
  <c r="BO360" i="1"/>
  <c r="BQ360" i="1" s="1"/>
  <c r="BJ360" i="1"/>
  <c r="BL360" i="1" s="1"/>
  <c r="BE360" i="1"/>
  <c r="AV360" i="1"/>
  <c r="AO360" i="1"/>
  <c r="AP360" i="1" s="1"/>
  <c r="AJ360" i="1"/>
  <c r="AL360" i="1" s="1"/>
  <c r="AE360" i="1"/>
  <c r="Z360" i="1"/>
  <c r="N360" i="1"/>
  <c r="K360" i="1"/>
  <c r="J360" i="1"/>
  <c r="E360" i="1"/>
  <c r="D360" i="1"/>
  <c r="C360" i="1"/>
  <c r="B360" i="1"/>
  <c r="CY359" i="1"/>
  <c r="CZ359" i="1" s="1"/>
  <c r="CT359" i="1"/>
  <c r="CO359" i="1"/>
  <c r="CQ359" i="1" s="1"/>
  <c r="CJ359" i="1"/>
  <c r="CA359" i="1"/>
  <c r="BT359" i="1"/>
  <c r="BU359" i="1" s="1"/>
  <c r="BO359" i="1"/>
  <c r="BQ359" i="1" s="1"/>
  <c r="BJ359" i="1"/>
  <c r="BL359" i="1" s="1"/>
  <c r="BV359" i="1" s="1"/>
  <c r="BE359" i="1"/>
  <c r="AV359" i="1"/>
  <c r="AO359" i="1"/>
  <c r="AP359" i="1" s="1"/>
  <c r="AJ359" i="1"/>
  <c r="AE359" i="1"/>
  <c r="AG359" i="1" s="1"/>
  <c r="Z359" i="1"/>
  <c r="N359" i="1"/>
  <c r="K359" i="1"/>
  <c r="J359" i="1"/>
  <c r="E359" i="1"/>
  <c r="D359" i="1"/>
  <c r="C359" i="1"/>
  <c r="B359" i="1"/>
  <c r="CY358" i="1"/>
  <c r="CZ358" i="1" s="1"/>
  <c r="CT358" i="1"/>
  <c r="CV358" i="1" s="1"/>
  <c r="CQ358" i="1"/>
  <c r="CO358" i="1"/>
  <c r="CJ358" i="1"/>
  <c r="CA358" i="1"/>
  <c r="BT358" i="1"/>
  <c r="BU358" i="1" s="1"/>
  <c r="BO358" i="1"/>
  <c r="BQ358" i="1" s="1"/>
  <c r="BJ358" i="1"/>
  <c r="BE358" i="1"/>
  <c r="AV358" i="1"/>
  <c r="AO358" i="1"/>
  <c r="AP358" i="1" s="1"/>
  <c r="AJ358" i="1"/>
  <c r="AL358" i="1" s="1"/>
  <c r="AE358" i="1"/>
  <c r="AG358" i="1" s="1"/>
  <c r="Z358" i="1"/>
  <c r="N358" i="1"/>
  <c r="K358" i="1"/>
  <c r="J358" i="1"/>
  <c r="E358" i="1"/>
  <c r="D358" i="1"/>
  <c r="C358" i="1"/>
  <c r="B358" i="1"/>
  <c r="CY357" i="1"/>
  <c r="CZ357" i="1" s="1"/>
  <c r="CT357" i="1"/>
  <c r="CV357" i="1" s="1"/>
  <c r="CO357" i="1"/>
  <c r="CJ357" i="1"/>
  <c r="CA357" i="1"/>
  <c r="BT357" i="1"/>
  <c r="BU357" i="1" s="1"/>
  <c r="BO357" i="1"/>
  <c r="BJ357" i="1"/>
  <c r="BL357" i="1" s="1"/>
  <c r="BE357" i="1"/>
  <c r="AV357" i="1"/>
  <c r="AO357" i="1"/>
  <c r="AJ357" i="1"/>
  <c r="AL357" i="1" s="1"/>
  <c r="AE357" i="1"/>
  <c r="AG357" i="1" s="1"/>
  <c r="Z357" i="1"/>
  <c r="N357" i="1"/>
  <c r="K357" i="1"/>
  <c r="J357" i="1"/>
  <c r="E357" i="1"/>
  <c r="D357" i="1"/>
  <c r="C357" i="1"/>
  <c r="B357" i="1"/>
  <c r="CY356" i="1"/>
  <c r="CZ356" i="1" s="1"/>
  <c r="CT356" i="1"/>
  <c r="DB356" i="1" s="1"/>
  <c r="CQ356" i="1"/>
  <c r="CO356" i="1"/>
  <c r="CJ356" i="1"/>
  <c r="CA356" i="1"/>
  <c r="BU356" i="1"/>
  <c r="BT356" i="1"/>
  <c r="BO356" i="1"/>
  <c r="BQ356" i="1" s="1"/>
  <c r="BJ356" i="1"/>
  <c r="BW356" i="1" s="1"/>
  <c r="BE356" i="1"/>
  <c r="AV356" i="1"/>
  <c r="AO356" i="1"/>
  <c r="AP356" i="1" s="1"/>
  <c r="AJ356" i="1"/>
  <c r="AL356" i="1" s="1"/>
  <c r="AE356" i="1"/>
  <c r="AG356" i="1" s="1"/>
  <c r="Z356" i="1"/>
  <c r="N356" i="1"/>
  <c r="K356" i="1"/>
  <c r="J356" i="1"/>
  <c r="E356" i="1"/>
  <c r="D356" i="1"/>
  <c r="C356" i="1"/>
  <c r="B356" i="1"/>
  <c r="CY355" i="1"/>
  <c r="CZ355" i="1" s="1"/>
  <c r="CT355" i="1"/>
  <c r="CV355" i="1" s="1"/>
  <c r="CO355" i="1"/>
  <c r="CQ355" i="1" s="1"/>
  <c r="CJ355" i="1"/>
  <c r="CA355" i="1"/>
  <c r="BT355" i="1"/>
  <c r="BU355" i="1" s="1"/>
  <c r="BO355" i="1"/>
  <c r="BQ355" i="1" s="1"/>
  <c r="BJ355" i="1"/>
  <c r="BL355" i="1" s="1"/>
  <c r="BV355" i="1" s="1"/>
  <c r="BE355" i="1"/>
  <c r="AV355" i="1"/>
  <c r="AO355" i="1"/>
  <c r="AP355" i="1" s="1"/>
  <c r="AJ355" i="1"/>
  <c r="AE355" i="1"/>
  <c r="AG355" i="1" s="1"/>
  <c r="Z355" i="1"/>
  <c r="N355" i="1"/>
  <c r="K355" i="1"/>
  <c r="J355" i="1"/>
  <c r="E355" i="1"/>
  <c r="D355" i="1"/>
  <c r="C355" i="1"/>
  <c r="B355" i="1"/>
  <c r="CY354" i="1"/>
  <c r="CT354" i="1"/>
  <c r="CV354" i="1" s="1"/>
  <c r="CO354" i="1"/>
  <c r="CQ354" i="1" s="1"/>
  <c r="CJ354" i="1"/>
  <c r="CA354" i="1"/>
  <c r="BT354" i="1"/>
  <c r="BU354" i="1" s="1"/>
  <c r="BQ354" i="1"/>
  <c r="BO354" i="1"/>
  <c r="BJ354" i="1"/>
  <c r="BE354" i="1"/>
  <c r="AV354" i="1"/>
  <c r="AO354" i="1"/>
  <c r="AP354" i="1" s="1"/>
  <c r="AJ354" i="1"/>
  <c r="AE354" i="1"/>
  <c r="AG354" i="1" s="1"/>
  <c r="Z354" i="1"/>
  <c r="N354" i="1"/>
  <c r="K354" i="1"/>
  <c r="J354" i="1"/>
  <c r="E354" i="1"/>
  <c r="D354" i="1"/>
  <c r="C354" i="1"/>
  <c r="B354" i="1"/>
  <c r="CY353" i="1"/>
  <c r="CZ353" i="1" s="1"/>
  <c r="CT353" i="1"/>
  <c r="CV353" i="1" s="1"/>
  <c r="CO353" i="1"/>
  <c r="CJ353" i="1"/>
  <c r="CA353" i="1"/>
  <c r="BT353" i="1"/>
  <c r="BU353" i="1" s="1"/>
  <c r="BO353" i="1"/>
  <c r="BQ353" i="1" s="1"/>
  <c r="BJ353" i="1"/>
  <c r="BE353" i="1"/>
  <c r="AV353" i="1"/>
  <c r="AO353" i="1"/>
  <c r="AP353" i="1" s="1"/>
  <c r="AJ353" i="1"/>
  <c r="AL353" i="1" s="1"/>
  <c r="AG353" i="1"/>
  <c r="AQ353" i="1" s="1"/>
  <c r="AE353" i="1"/>
  <c r="Z353" i="1"/>
  <c r="N353" i="1"/>
  <c r="K353" i="1"/>
  <c r="J353" i="1"/>
  <c r="E353" i="1"/>
  <c r="D353" i="1"/>
  <c r="C353" i="1"/>
  <c r="B353" i="1"/>
  <c r="CY352" i="1"/>
  <c r="CZ352" i="1" s="1"/>
  <c r="CT352" i="1"/>
  <c r="CO352" i="1"/>
  <c r="CQ352" i="1" s="1"/>
  <c r="CJ352" i="1"/>
  <c r="CA352" i="1"/>
  <c r="BT352" i="1"/>
  <c r="BU352" i="1" s="1"/>
  <c r="BO352" i="1"/>
  <c r="BJ352" i="1"/>
  <c r="BL352" i="1" s="1"/>
  <c r="BE352" i="1"/>
  <c r="AV352" i="1"/>
  <c r="AO352" i="1"/>
  <c r="AP352" i="1" s="1"/>
  <c r="AJ352" i="1"/>
  <c r="AL352" i="1" s="1"/>
  <c r="AE352" i="1"/>
  <c r="Z352" i="1"/>
  <c r="N352" i="1"/>
  <c r="K352" i="1"/>
  <c r="J352" i="1"/>
  <c r="E352" i="1"/>
  <c r="D352" i="1"/>
  <c r="C352" i="1"/>
  <c r="B352" i="1"/>
  <c r="CY351" i="1"/>
  <c r="CZ351" i="1" s="1"/>
  <c r="CT351" i="1"/>
  <c r="CV351" i="1" s="1"/>
  <c r="CO351" i="1"/>
  <c r="CQ351" i="1" s="1"/>
  <c r="CJ351" i="1"/>
  <c r="CA351" i="1"/>
  <c r="BT351" i="1"/>
  <c r="BU351" i="1" s="1"/>
  <c r="BO351" i="1"/>
  <c r="BQ351" i="1" s="1"/>
  <c r="BJ351" i="1"/>
  <c r="BL351" i="1" s="1"/>
  <c r="BE351" i="1"/>
  <c r="AV351" i="1"/>
  <c r="AO351" i="1"/>
  <c r="AP351" i="1" s="1"/>
  <c r="AJ351" i="1"/>
  <c r="AL351" i="1" s="1"/>
  <c r="AE351" i="1"/>
  <c r="AG351" i="1" s="1"/>
  <c r="Z351" i="1"/>
  <c r="N351" i="1"/>
  <c r="K351" i="1"/>
  <c r="J351" i="1"/>
  <c r="E351" i="1"/>
  <c r="D351" i="1"/>
  <c r="C351" i="1"/>
  <c r="B351" i="1"/>
  <c r="CY350" i="1"/>
  <c r="CZ350" i="1" s="1"/>
  <c r="CT350" i="1"/>
  <c r="CV350" i="1" s="1"/>
  <c r="CO350" i="1"/>
  <c r="CQ350" i="1" s="1"/>
  <c r="CJ350" i="1"/>
  <c r="CA350" i="1"/>
  <c r="BT350" i="1"/>
  <c r="BU350" i="1" s="1"/>
  <c r="BO350" i="1"/>
  <c r="BQ350" i="1" s="1"/>
  <c r="BJ350" i="1"/>
  <c r="BL350" i="1" s="1"/>
  <c r="BE350" i="1"/>
  <c r="AV350" i="1"/>
  <c r="AO350" i="1"/>
  <c r="AJ350" i="1"/>
  <c r="AL350" i="1" s="1"/>
  <c r="AE350" i="1"/>
  <c r="AG350" i="1" s="1"/>
  <c r="Z350" i="1"/>
  <c r="N350" i="1"/>
  <c r="K350" i="1"/>
  <c r="J350" i="1"/>
  <c r="E350" i="1"/>
  <c r="D350" i="1"/>
  <c r="C350" i="1"/>
  <c r="B350" i="1"/>
  <c r="CY349" i="1"/>
  <c r="CZ349" i="1" s="1"/>
  <c r="CT349" i="1"/>
  <c r="CV349" i="1" s="1"/>
  <c r="CO349" i="1"/>
  <c r="CQ349" i="1" s="1"/>
  <c r="CJ349" i="1"/>
  <c r="CA349" i="1"/>
  <c r="BT349" i="1"/>
  <c r="BU349" i="1" s="1"/>
  <c r="BO349" i="1"/>
  <c r="BJ349" i="1"/>
  <c r="BL349" i="1" s="1"/>
  <c r="BE349" i="1"/>
  <c r="AV349" i="1"/>
  <c r="AO349" i="1"/>
  <c r="AP349" i="1" s="1"/>
  <c r="AJ349" i="1"/>
  <c r="AL349" i="1" s="1"/>
  <c r="AE349" i="1"/>
  <c r="Z349" i="1"/>
  <c r="N349" i="1"/>
  <c r="K349" i="1"/>
  <c r="J349" i="1"/>
  <c r="E349" i="1"/>
  <c r="D349" i="1"/>
  <c r="C349" i="1"/>
  <c r="B349" i="1"/>
  <c r="CY348" i="1"/>
  <c r="CZ348" i="1" s="1"/>
  <c r="CT348" i="1"/>
  <c r="CV348" i="1" s="1"/>
  <c r="CO348" i="1"/>
  <c r="CJ348" i="1"/>
  <c r="CA348" i="1"/>
  <c r="BT348" i="1"/>
  <c r="BU348" i="1" s="1"/>
  <c r="BO348" i="1"/>
  <c r="BJ348" i="1"/>
  <c r="BL348" i="1" s="1"/>
  <c r="BE348" i="1"/>
  <c r="AV348" i="1"/>
  <c r="AO348" i="1"/>
  <c r="AP348" i="1" s="1"/>
  <c r="AJ348" i="1"/>
  <c r="AE348" i="1"/>
  <c r="AG348" i="1" s="1"/>
  <c r="Z348" i="1"/>
  <c r="N348" i="1"/>
  <c r="K348" i="1"/>
  <c r="J348" i="1"/>
  <c r="E348" i="1"/>
  <c r="D348" i="1"/>
  <c r="C348" i="1"/>
  <c r="B348" i="1"/>
  <c r="CY347" i="1"/>
  <c r="CZ347" i="1" s="1"/>
  <c r="CT347" i="1"/>
  <c r="CV347" i="1" s="1"/>
  <c r="CO347" i="1"/>
  <c r="CJ347" i="1"/>
  <c r="CA347" i="1"/>
  <c r="BT347" i="1"/>
  <c r="BO347" i="1"/>
  <c r="BQ347" i="1" s="1"/>
  <c r="BJ347" i="1"/>
  <c r="BL347" i="1" s="1"/>
  <c r="BE347" i="1"/>
  <c r="AV347" i="1"/>
  <c r="AO347" i="1"/>
  <c r="AP347" i="1" s="1"/>
  <c r="AJ347" i="1"/>
  <c r="AL347" i="1" s="1"/>
  <c r="AE347" i="1"/>
  <c r="Z347" i="1"/>
  <c r="N347" i="1"/>
  <c r="K347" i="1"/>
  <c r="J347" i="1"/>
  <c r="E347" i="1"/>
  <c r="D347" i="1"/>
  <c r="C347" i="1"/>
  <c r="B347" i="1"/>
  <c r="CY346" i="1"/>
  <c r="CZ346" i="1" s="1"/>
  <c r="CT346" i="1"/>
  <c r="CV346" i="1" s="1"/>
  <c r="CO346" i="1"/>
  <c r="CQ346" i="1" s="1"/>
  <c r="CJ346" i="1"/>
  <c r="CA346" i="1"/>
  <c r="BT346" i="1"/>
  <c r="BU346" i="1" s="1"/>
  <c r="BO346" i="1"/>
  <c r="BQ346" i="1" s="1"/>
  <c r="BJ346" i="1"/>
  <c r="BE346" i="1"/>
  <c r="AV346" i="1"/>
  <c r="AO346" i="1"/>
  <c r="AP346" i="1" s="1"/>
  <c r="AJ346" i="1"/>
  <c r="AL346" i="1" s="1"/>
  <c r="AE346" i="1"/>
  <c r="AG346" i="1" s="1"/>
  <c r="Z346" i="1"/>
  <c r="N346" i="1"/>
  <c r="K346" i="1"/>
  <c r="J346" i="1"/>
  <c r="E346" i="1"/>
  <c r="D346" i="1"/>
  <c r="C346" i="1"/>
  <c r="B346" i="1"/>
  <c r="CY345" i="1"/>
  <c r="CZ345" i="1" s="1"/>
  <c r="CT345" i="1"/>
  <c r="CV345" i="1" s="1"/>
  <c r="CO345" i="1"/>
  <c r="CJ345" i="1"/>
  <c r="CA345" i="1"/>
  <c r="BT345" i="1"/>
  <c r="BO345" i="1"/>
  <c r="BQ345" i="1" s="1"/>
  <c r="BJ345" i="1"/>
  <c r="BL345" i="1" s="1"/>
  <c r="BE345" i="1"/>
  <c r="AV345" i="1"/>
  <c r="AO345" i="1"/>
  <c r="AP345" i="1" s="1"/>
  <c r="AJ345" i="1"/>
  <c r="AL345" i="1" s="1"/>
  <c r="AE345" i="1"/>
  <c r="Z345" i="1"/>
  <c r="N345" i="1"/>
  <c r="K345" i="1"/>
  <c r="J345" i="1"/>
  <c r="E345" i="1"/>
  <c r="D345" i="1"/>
  <c r="C345" i="1"/>
  <c r="B345" i="1"/>
  <c r="CY344" i="1"/>
  <c r="CZ344" i="1" s="1"/>
  <c r="CT344" i="1"/>
  <c r="CO344" i="1"/>
  <c r="CQ344" i="1" s="1"/>
  <c r="CJ344" i="1"/>
  <c r="CA344" i="1"/>
  <c r="BT344" i="1"/>
  <c r="BU344" i="1" s="1"/>
  <c r="BO344" i="1"/>
  <c r="BQ344" i="1" s="1"/>
  <c r="BJ344" i="1"/>
  <c r="BL344" i="1" s="1"/>
  <c r="BV344" i="1" s="1"/>
  <c r="BE344" i="1"/>
  <c r="AV344" i="1"/>
  <c r="AO344" i="1"/>
  <c r="AP344" i="1" s="1"/>
  <c r="AJ344" i="1"/>
  <c r="AL344" i="1" s="1"/>
  <c r="AE344" i="1"/>
  <c r="Z344" i="1"/>
  <c r="N344" i="1"/>
  <c r="K344" i="1"/>
  <c r="J344" i="1"/>
  <c r="E344" i="1"/>
  <c r="D344" i="1"/>
  <c r="C344" i="1"/>
  <c r="B344" i="1"/>
  <c r="CY343" i="1"/>
  <c r="CZ343" i="1" s="1"/>
  <c r="CT343" i="1"/>
  <c r="CO343" i="1"/>
  <c r="CQ343" i="1" s="1"/>
  <c r="CJ343" i="1"/>
  <c r="CA343" i="1"/>
  <c r="BT343" i="1"/>
  <c r="BU343" i="1" s="1"/>
  <c r="BO343" i="1"/>
  <c r="BQ343" i="1" s="1"/>
  <c r="BJ343" i="1"/>
  <c r="BL343" i="1" s="1"/>
  <c r="BE343" i="1"/>
  <c r="AV343" i="1"/>
  <c r="AO343" i="1"/>
  <c r="AP343" i="1" s="1"/>
  <c r="AJ343" i="1"/>
  <c r="AL343" i="1" s="1"/>
  <c r="AE343" i="1"/>
  <c r="Z343" i="1"/>
  <c r="N343" i="1"/>
  <c r="K343" i="1"/>
  <c r="J343" i="1"/>
  <c r="E343" i="1"/>
  <c r="D343" i="1"/>
  <c r="C343" i="1"/>
  <c r="B343" i="1"/>
  <c r="CY342" i="1"/>
  <c r="CV342" i="1"/>
  <c r="CT342" i="1"/>
  <c r="CO342" i="1"/>
  <c r="CQ342" i="1" s="1"/>
  <c r="CJ342" i="1"/>
  <c r="CA342" i="1"/>
  <c r="BT342" i="1"/>
  <c r="BU342" i="1" s="1"/>
  <c r="BO342" i="1"/>
  <c r="BQ342" i="1" s="1"/>
  <c r="BJ342" i="1"/>
  <c r="BE342" i="1"/>
  <c r="AV342" i="1"/>
  <c r="AO342" i="1"/>
  <c r="AP342" i="1" s="1"/>
  <c r="AJ342" i="1"/>
  <c r="AL342" i="1" s="1"/>
  <c r="AE342" i="1"/>
  <c r="Z342" i="1"/>
  <c r="N342" i="1"/>
  <c r="K342" i="1"/>
  <c r="J342" i="1"/>
  <c r="E342" i="1"/>
  <c r="D342" i="1"/>
  <c r="C342" i="1"/>
  <c r="B342" i="1"/>
  <c r="CY341" i="1"/>
  <c r="CZ341" i="1" s="1"/>
  <c r="CT341" i="1"/>
  <c r="CV341" i="1" s="1"/>
  <c r="CO341" i="1"/>
  <c r="CQ341" i="1" s="1"/>
  <c r="CJ341" i="1"/>
  <c r="CA341" i="1"/>
  <c r="BT341" i="1"/>
  <c r="BU341" i="1" s="1"/>
  <c r="BO341" i="1"/>
  <c r="BQ341" i="1" s="1"/>
  <c r="BJ341" i="1"/>
  <c r="BL341" i="1" s="1"/>
  <c r="BE341" i="1"/>
  <c r="AV341" i="1"/>
  <c r="AO341" i="1"/>
  <c r="AP341" i="1" s="1"/>
  <c r="AJ341" i="1"/>
  <c r="AE341" i="1"/>
  <c r="AG341" i="1" s="1"/>
  <c r="Z341" i="1"/>
  <c r="N341" i="1"/>
  <c r="K341" i="1"/>
  <c r="J341" i="1"/>
  <c r="E341" i="1"/>
  <c r="D341" i="1"/>
  <c r="C341" i="1"/>
  <c r="B341" i="1"/>
  <c r="CY340" i="1"/>
  <c r="CT340" i="1"/>
  <c r="CV340" i="1" s="1"/>
  <c r="CO340" i="1"/>
  <c r="CQ340" i="1" s="1"/>
  <c r="CJ340" i="1"/>
  <c r="CA340" i="1"/>
  <c r="BT340" i="1"/>
  <c r="BU340" i="1" s="1"/>
  <c r="BO340" i="1"/>
  <c r="BQ340" i="1" s="1"/>
  <c r="BJ340" i="1"/>
  <c r="BE340" i="1"/>
  <c r="AV340" i="1"/>
  <c r="AO340" i="1"/>
  <c r="AP340" i="1" s="1"/>
  <c r="AJ340" i="1"/>
  <c r="AL340" i="1" s="1"/>
  <c r="AE340" i="1"/>
  <c r="AG340" i="1" s="1"/>
  <c r="AQ340" i="1" s="1"/>
  <c r="Z340" i="1"/>
  <c r="N340" i="1"/>
  <c r="K340" i="1"/>
  <c r="J340" i="1"/>
  <c r="E340" i="1"/>
  <c r="D340" i="1"/>
  <c r="C340" i="1"/>
  <c r="B340" i="1"/>
  <c r="CY339" i="1"/>
  <c r="CZ339" i="1" s="1"/>
  <c r="CT339" i="1"/>
  <c r="CV339" i="1" s="1"/>
  <c r="CO339" i="1"/>
  <c r="CQ339" i="1" s="1"/>
  <c r="CJ339" i="1"/>
  <c r="CA339" i="1"/>
  <c r="BT339" i="1"/>
  <c r="BU339" i="1" s="1"/>
  <c r="BO339" i="1"/>
  <c r="BQ339" i="1" s="1"/>
  <c r="BJ339" i="1"/>
  <c r="BE339" i="1"/>
  <c r="AV339" i="1"/>
  <c r="AO339" i="1"/>
  <c r="AL339" i="1"/>
  <c r="AJ339" i="1"/>
  <c r="AE339" i="1"/>
  <c r="AG339" i="1" s="1"/>
  <c r="Z339" i="1"/>
  <c r="N339" i="1"/>
  <c r="K339" i="1"/>
  <c r="J339" i="1"/>
  <c r="E339" i="1"/>
  <c r="D339" i="1"/>
  <c r="C339" i="1"/>
  <c r="B339" i="1"/>
  <c r="CY338" i="1"/>
  <c r="CZ338" i="1" s="1"/>
  <c r="CT338" i="1"/>
  <c r="CO338" i="1"/>
  <c r="CQ338" i="1" s="1"/>
  <c r="CJ338" i="1"/>
  <c r="CA338" i="1"/>
  <c r="BT338" i="1"/>
  <c r="BU338" i="1" s="1"/>
  <c r="BO338" i="1"/>
  <c r="BQ338" i="1" s="1"/>
  <c r="BJ338" i="1"/>
  <c r="BE338" i="1"/>
  <c r="AV338" i="1"/>
  <c r="AO338" i="1"/>
  <c r="AP338" i="1" s="1"/>
  <c r="AJ338" i="1"/>
  <c r="AL338" i="1" s="1"/>
  <c r="AE338" i="1"/>
  <c r="Z338" i="1"/>
  <c r="N338" i="1"/>
  <c r="K338" i="1"/>
  <c r="J338" i="1"/>
  <c r="E338" i="1"/>
  <c r="D338" i="1"/>
  <c r="C338" i="1"/>
  <c r="B338" i="1"/>
  <c r="CZ337" i="1"/>
  <c r="CY337" i="1"/>
  <c r="CT337" i="1"/>
  <c r="CV337" i="1" s="1"/>
  <c r="CO337" i="1"/>
  <c r="CJ337" i="1"/>
  <c r="CA337" i="1"/>
  <c r="BT337" i="1"/>
  <c r="BU337" i="1" s="1"/>
  <c r="BO337" i="1"/>
  <c r="BQ337" i="1" s="1"/>
  <c r="BL337" i="1"/>
  <c r="BJ337" i="1"/>
  <c r="BE337" i="1"/>
  <c r="AV337" i="1"/>
  <c r="AP337" i="1"/>
  <c r="AO337" i="1"/>
  <c r="AJ337" i="1"/>
  <c r="AE337" i="1"/>
  <c r="AG337" i="1" s="1"/>
  <c r="Z337" i="1"/>
  <c r="N337" i="1"/>
  <c r="K337" i="1"/>
  <c r="J337" i="1"/>
  <c r="E337" i="1"/>
  <c r="D337" i="1"/>
  <c r="C337" i="1"/>
  <c r="B337" i="1"/>
  <c r="CY336" i="1"/>
  <c r="CZ336" i="1" s="1"/>
  <c r="CT336" i="1"/>
  <c r="CV336" i="1" s="1"/>
  <c r="CO336" i="1"/>
  <c r="CQ336" i="1" s="1"/>
  <c r="CJ336" i="1"/>
  <c r="CA336" i="1"/>
  <c r="BT336" i="1"/>
  <c r="BU336" i="1" s="1"/>
  <c r="BO336" i="1"/>
  <c r="BQ336" i="1" s="1"/>
  <c r="BJ336" i="1"/>
  <c r="BL336" i="1" s="1"/>
  <c r="BE336" i="1"/>
  <c r="AV336" i="1"/>
  <c r="AO336" i="1"/>
  <c r="AP336" i="1" s="1"/>
  <c r="AJ336" i="1"/>
  <c r="AL336" i="1" s="1"/>
  <c r="AE336" i="1"/>
  <c r="Z336" i="1"/>
  <c r="N336" i="1"/>
  <c r="K336" i="1"/>
  <c r="J336" i="1"/>
  <c r="E336" i="1"/>
  <c r="D336" i="1"/>
  <c r="C336" i="1"/>
  <c r="B336" i="1"/>
  <c r="CY335" i="1"/>
  <c r="CT335" i="1"/>
  <c r="CV335" i="1" s="1"/>
  <c r="CO335" i="1"/>
  <c r="CQ335" i="1" s="1"/>
  <c r="DA335" i="1" s="1"/>
  <c r="CJ335" i="1"/>
  <c r="CA335" i="1"/>
  <c r="BT335" i="1"/>
  <c r="BU335" i="1" s="1"/>
  <c r="BO335" i="1"/>
  <c r="BQ335" i="1" s="1"/>
  <c r="BJ335" i="1"/>
  <c r="BL335" i="1" s="1"/>
  <c r="BE335" i="1"/>
  <c r="AV335" i="1"/>
  <c r="AO335" i="1"/>
  <c r="AP335" i="1" s="1"/>
  <c r="AJ335" i="1"/>
  <c r="AL335" i="1" s="1"/>
  <c r="AE335" i="1"/>
  <c r="AG335" i="1" s="1"/>
  <c r="Z335" i="1"/>
  <c r="N335" i="1"/>
  <c r="K335" i="1"/>
  <c r="J335" i="1"/>
  <c r="E335" i="1"/>
  <c r="D335" i="1"/>
  <c r="C335" i="1"/>
  <c r="B335" i="1"/>
  <c r="CY334" i="1"/>
  <c r="CZ334" i="1" s="1"/>
  <c r="CT334" i="1"/>
  <c r="CV334" i="1" s="1"/>
  <c r="CO334" i="1"/>
  <c r="CQ334" i="1" s="1"/>
  <c r="CJ334" i="1"/>
  <c r="CA334" i="1"/>
  <c r="BT334" i="1"/>
  <c r="BU334" i="1" s="1"/>
  <c r="BO334" i="1"/>
  <c r="BQ334" i="1" s="1"/>
  <c r="BJ334" i="1"/>
  <c r="BL334" i="1" s="1"/>
  <c r="BE334" i="1"/>
  <c r="AV334" i="1"/>
  <c r="AO334" i="1"/>
  <c r="AP334" i="1" s="1"/>
  <c r="AJ334" i="1"/>
  <c r="AE334" i="1"/>
  <c r="AG334" i="1" s="1"/>
  <c r="Z334" i="1"/>
  <c r="N334" i="1"/>
  <c r="K334" i="1"/>
  <c r="J334" i="1"/>
  <c r="E334" i="1"/>
  <c r="D334" i="1"/>
  <c r="C334" i="1"/>
  <c r="B334" i="1"/>
  <c r="CY333" i="1"/>
  <c r="CZ333" i="1" s="1"/>
  <c r="CT333" i="1"/>
  <c r="CV333" i="1" s="1"/>
  <c r="CO333" i="1"/>
  <c r="CJ333" i="1"/>
  <c r="CA333" i="1"/>
  <c r="BT333" i="1"/>
  <c r="BU333" i="1" s="1"/>
  <c r="BO333" i="1"/>
  <c r="BQ333" i="1" s="1"/>
  <c r="BJ333" i="1"/>
  <c r="BE333" i="1"/>
  <c r="AV333" i="1"/>
  <c r="AO333" i="1"/>
  <c r="AP333" i="1" s="1"/>
  <c r="AJ333" i="1"/>
  <c r="AL333" i="1" s="1"/>
  <c r="AE333" i="1"/>
  <c r="AG333" i="1" s="1"/>
  <c r="Z333" i="1"/>
  <c r="N333" i="1"/>
  <c r="K333" i="1"/>
  <c r="J333" i="1"/>
  <c r="E333" i="1"/>
  <c r="D333" i="1"/>
  <c r="C333" i="1"/>
  <c r="B333" i="1"/>
  <c r="CH332" i="1"/>
  <c r="BC332" i="1"/>
  <c r="X332" i="1"/>
  <c r="CY331" i="1"/>
  <c r="CZ331" i="1" s="1"/>
  <c r="CT331" i="1"/>
  <c r="CV331" i="1" s="1"/>
  <c r="CO331" i="1"/>
  <c r="CQ331" i="1" s="1"/>
  <c r="CJ331" i="1"/>
  <c r="CA331" i="1"/>
  <c r="BT331" i="1"/>
  <c r="BU331" i="1" s="1"/>
  <c r="BO331" i="1"/>
  <c r="BQ331" i="1" s="1"/>
  <c r="BJ331" i="1"/>
  <c r="BL331" i="1" s="1"/>
  <c r="BE331" i="1"/>
  <c r="AV331" i="1"/>
  <c r="AO331" i="1"/>
  <c r="AP331" i="1" s="1"/>
  <c r="AJ331" i="1"/>
  <c r="AL331" i="1" s="1"/>
  <c r="AE331" i="1"/>
  <c r="AG331" i="1" s="1"/>
  <c r="Z331" i="1"/>
  <c r="N331" i="1"/>
  <c r="K331" i="1"/>
  <c r="J331" i="1"/>
  <c r="E331" i="1"/>
  <c r="D331" i="1"/>
  <c r="C331" i="1"/>
  <c r="B331" i="1"/>
  <c r="CY330" i="1"/>
  <c r="CT330" i="1"/>
  <c r="CV330" i="1" s="1"/>
  <c r="CO330" i="1"/>
  <c r="CQ330" i="1" s="1"/>
  <c r="CJ330" i="1"/>
  <c r="CA330" i="1"/>
  <c r="BT330" i="1"/>
  <c r="BU330" i="1" s="1"/>
  <c r="BO330" i="1"/>
  <c r="BQ330" i="1" s="1"/>
  <c r="BL330" i="1"/>
  <c r="BJ330" i="1"/>
  <c r="BE330" i="1"/>
  <c r="AV330" i="1"/>
  <c r="AO330" i="1"/>
  <c r="AP330" i="1" s="1"/>
  <c r="AJ330" i="1"/>
  <c r="AL330" i="1" s="1"/>
  <c r="AE330" i="1"/>
  <c r="Z330" i="1"/>
  <c r="N330" i="1"/>
  <c r="K330" i="1"/>
  <c r="J330" i="1"/>
  <c r="E330" i="1"/>
  <c r="D330" i="1"/>
  <c r="C330" i="1"/>
  <c r="B330" i="1"/>
  <c r="CY329" i="1"/>
  <c r="CZ329" i="1" s="1"/>
  <c r="CT329" i="1"/>
  <c r="CV329" i="1" s="1"/>
  <c r="CO329" i="1"/>
  <c r="CJ329" i="1"/>
  <c r="CA329" i="1"/>
  <c r="BT329" i="1"/>
  <c r="BU329" i="1" s="1"/>
  <c r="BO329" i="1"/>
  <c r="BQ329" i="1" s="1"/>
  <c r="BJ329" i="1"/>
  <c r="BL329" i="1" s="1"/>
  <c r="BE329" i="1"/>
  <c r="AV329" i="1"/>
  <c r="AO329" i="1"/>
  <c r="AP329" i="1" s="1"/>
  <c r="AJ329" i="1"/>
  <c r="AE329" i="1"/>
  <c r="AG329" i="1" s="1"/>
  <c r="Z329" i="1"/>
  <c r="N329" i="1"/>
  <c r="K329" i="1"/>
  <c r="J329" i="1"/>
  <c r="E329" i="1"/>
  <c r="D329" i="1"/>
  <c r="C329" i="1"/>
  <c r="B329" i="1"/>
  <c r="CY328" i="1"/>
  <c r="CZ328" i="1" s="1"/>
  <c r="CT328" i="1"/>
  <c r="CV328" i="1" s="1"/>
  <c r="CO328" i="1"/>
  <c r="CJ328" i="1"/>
  <c r="CA328" i="1"/>
  <c r="BT328" i="1"/>
  <c r="BQ328" i="1"/>
  <c r="BO328" i="1"/>
  <c r="BJ328" i="1"/>
  <c r="BL328" i="1" s="1"/>
  <c r="BE328" i="1"/>
  <c r="AV328" i="1"/>
  <c r="AO328" i="1"/>
  <c r="AP328" i="1" s="1"/>
  <c r="AJ328" i="1"/>
  <c r="AL328" i="1" s="1"/>
  <c r="AE328" i="1"/>
  <c r="Z328" i="1"/>
  <c r="N328" i="1"/>
  <c r="K328" i="1"/>
  <c r="J328" i="1"/>
  <c r="E328" i="1"/>
  <c r="D328" i="1"/>
  <c r="C328" i="1"/>
  <c r="B328" i="1"/>
  <c r="CY327" i="1"/>
  <c r="CZ327" i="1" s="1"/>
  <c r="CT327" i="1"/>
  <c r="CV327" i="1" s="1"/>
  <c r="CO327" i="1"/>
  <c r="CQ327" i="1" s="1"/>
  <c r="DA327" i="1" s="1"/>
  <c r="CJ327" i="1"/>
  <c r="CA327" i="1"/>
  <c r="BT327" i="1"/>
  <c r="BU327" i="1" s="1"/>
  <c r="BO327" i="1"/>
  <c r="BQ327" i="1" s="1"/>
  <c r="BJ327" i="1"/>
  <c r="BE327" i="1"/>
  <c r="AV327" i="1"/>
  <c r="AO327" i="1"/>
  <c r="AP327" i="1" s="1"/>
  <c r="AJ327" i="1"/>
  <c r="AL327" i="1" s="1"/>
  <c r="AE327" i="1"/>
  <c r="Z327" i="1"/>
  <c r="N327" i="1"/>
  <c r="K327" i="1"/>
  <c r="J327" i="1"/>
  <c r="E327" i="1"/>
  <c r="D327" i="1"/>
  <c r="C327" i="1"/>
  <c r="B327" i="1"/>
  <c r="CY326" i="1"/>
  <c r="CZ326" i="1" s="1"/>
  <c r="CV326" i="1"/>
  <c r="CT326" i="1"/>
  <c r="CO326" i="1"/>
  <c r="CJ326" i="1"/>
  <c r="CA326" i="1"/>
  <c r="BT326" i="1"/>
  <c r="BU326" i="1" s="1"/>
  <c r="BO326" i="1"/>
  <c r="BJ326" i="1"/>
  <c r="BL326" i="1" s="1"/>
  <c r="BE326" i="1"/>
  <c r="AV326" i="1"/>
  <c r="AO326" i="1"/>
  <c r="AP326" i="1" s="1"/>
  <c r="AJ326" i="1"/>
  <c r="AL326" i="1" s="1"/>
  <c r="AE326" i="1"/>
  <c r="AG326" i="1" s="1"/>
  <c r="Z326" i="1"/>
  <c r="N326" i="1"/>
  <c r="K326" i="1"/>
  <c r="J326" i="1"/>
  <c r="E326" i="1"/>
  <c r="D326" i="1"/>
  <c r="C326" i="1"/>
  <c r="B326" i="1"/>
  <c r="CY325" i="1"/>
  <c r="CZ325" i="1" s="1"/>
  <c r="CT325" i="1"/>
  <c r="CV325" i="1" s="1"/>
  <c r="CO325" i="1"/>
  <c r="CJ325" i="1"/>
  <c r="CA325" i="1"/>
  <c r="BT325" i="1"/>
  <c r="BU325" i="1" s="1"/>
  <c r="BO325" i="1"/>
  <c r="BQ325" i="1" s="1"/>
  <c r="BJ325" i="1"/>
  <c r="BE325" i="1"/>
  <c r="AV325" i="1"/>
  <c r="AO325" i="1"/>
  <c r="AP325" i="1" s="1"/>
  <c r="AJ325" i="1"/>
  <c r="AL325" i="1" s="1"/>
  <c r="AE325" i="1"/>
  <c r="Z325" i="1"/>
  <c r="N325" i="1"/>
  <c r="K325" i="1"/>
  <c r="J325" i="1"/>
  <c r="E325" i="1"/>
  <c r="D325" i="1"/>
  <c r="C325" i="1"/>
  <c r="B325" i="1"/>
  <c r="CY324" i="1"/>
  <c r="CZ324" i="1" s="1"/>
  <c r="CT324" i="1"/>
  <c r="CV324" i="1" s="1"/>
  <c r="CO324" i="1"/>
  <c r="CJ324" i="1"/>
  <c r="CA324" i="1"/>
  <c r="BT324" i="1"/>
  <c r="BU324" i="1" s="1"/>
  <c r="BO324" i="1"/>
  <c r="BQ324" i="1" s="1"/>
  <c r="BJ324" i="1"/>
  <c r="BE324" i="1"/>
  <c r="AV324" i="1"/>
  <c r="AO324" i="1"/>
  <c r="AP324" i="1" s="1"/>
  <c r="AJ324" i="1"/>
  <c r="AL324" i="1" s="1"/>
  <c r="AE324" i="1"/>
  <c r="Z324" i="1"/>
  <c r="N324" i="1"/>
  <c r="K324" i="1"/>
  <c r="J324" i="1"/>
  <c r="E324" i="1"/>
  <c r="D324" i="1"/>
  <c r="C324" i="1"/>
  <c r="B324" i="1"/>
  <c r="CZ323" i="1"/>
  <c r="CY323" i="1"/>
  <c r="CT323" i="1"/>
  <c r="CV323" i="1" s="1"/>
  <c r="CO323" i="1"/>
  <c r="CQ323" i="1" s="1"/>
  <c r="DA323" i="1" s="1"/>
  <c r="CJ323" i="1"/>
  <c r="CA323" i="1"/>
  <c r="BT323" i="1"/>
  <c r="BU323" i="1" s="1"/>
  <c r="BO323" i="1"/>
  <c r="BQ323" i="1" s="1"/>
  <c r="BL323" i="1"/>
  <c r="BJ323" i="1"/>
  <c r="BE323" i="1"/>
  <c r="AV323" i="1"/>
  <c r="AP323" i="1"/>
  <c r="AO323" i="1"/>
  <c r="AJ323" i="1"/>
  <c r="AL323" i="1" s="1"/>
  <c r="AE323" i="1"/>
  <c r="Z323" i="1"/>
  <c r="N323" i="1"/>
  <c r="K323" i="1"/>
  <c r="J323" i="1"/>
  <c r="E323" i="1"/>
  <c r="D323" i="1"/>
  <c r="C323" i="1"/>
  <c r="B323" i="1"/>
  <c r="CY322" i="1"/>
  <c r="CZ322" i="1" s="1"/>
  <c r="CT322" i="1"/>
  <c r="CV322" i="1" s="1"/>
  <c r="CO322" i="1"/>
  <c r="CJ322" i="1"/>
  <c r="CA322" i="1"/>
  <c r="BT322" i="1"/>
  <c r="BU322" i="1" s="1"/>
  <c r="BO322" i="1"/>
  <c r="BQ322" i="1" s="1"/>
  <c r="BJ322" i="1"/>
  <c r="BW322" i="1" s="1"/>
  <c r="BE322" i="1"/>
  <c r="AV322" i="1"/>
  <c r="AO322" i="1"/>
  <c r="AP322" i="1" s="1"/>
  <c r="AJ322" i="1"/>
  <c r="AL322" i="1" s="1"/>
  <c r="AE322" i="1"/>
  <c r="AG322" i="1" s="1"/>
  <c r="Z322" i="1"/>
  <c r="N322" i="1"/>
  <c r="K322" i="1"/>
  <c r="J322" i="1"/>
  <c r="E322" i="1"/>
  <c r="D322" i="1"/>
  <c r="C322" i="1"/>
  <c r="B322" i="1"/>
  <c r="CY321" i="1"/>
  <c r="CZ321" i="1" s="1"/>
  <c r="CT321" i="1"/>
  <c r="CV321" i="1" s="1"/>
  <c r="CO321" i="1"/>
  <c r="CQ321" i="1" s="1"/>
  <c r="CJ321" i="1"/>
  <c r="CA321" i="1"/>
  <c r="BT321" i="1"/>
  <c r="BU321" i="1" s="1"/>
  <c r="BO321" i="1"/>
  <c r="BQ321" i="1" s="1"/>
  <c r="BJ321" i="1"/>
  <c r="BE321" i="1"/>
  <c r="AV321" i="1"/>
  <c r="AO321" i="1"/>
  <c r="AP321" i="1" s="1"/>
  <c r="AJ321" i="1"/>
  <c r="AL321" i="1" s="1"/>
  <c r="AE321" i="1"/>
  <c r="Z321" i="1"/>
  <c r="N321" i="1"/>
  <c r="K321" i="1"/>
  <c r="J321" i="1"/>
  <c r="E321" i="1"/>
  <c r="D321" i="1"/>
  <c r="C321" i="1"/>
  <c r="B321" i="1"/>
  <c r="CY320" i="1"/>
  <c r="CZ320" i="1" s="1"/>
  <c r="CT320" i="1"/>
  <c r="CV320" i="1" s="1"/>
  <c r="CO320" i="1"/>
  <c r="CQ320" i="1" s="1"/>
  <c r="CJ320" i="1"/>
  <c r="CA320" i="1"/>
  <c r="BT320" i="1"/>
  <c r="BU320" i="1" s="1"/>
  <c r="BO320" i="1"/>
  <c r="BQ320" i="1" s="1"/>
  <c r="BJ320" i="1"/>
  <c r="BE320" i="1"/>
  <c r="AV320" i="1"/>
  <c r="AO320" i="1"/>
  <c r="AP320" i="1" s="1"/>
  <c r="AJ320" i="1"/>
  <c r="AL320" i="1" s="1"/>
  <c r="AE320" i="1"/>
  <c r="AG320" i="1" s="1"/>
  <c r="Z320" i="1"/>
  <c r="N320" i="1"/>
  <c r="K320" i="1"/>
  <c r="J320" i="1"/>
  <c r="E320" i="1"/>
  <c r="D320" i="1"/>
  <c r="C320" i="1"/>
  <c r="B320" i="1"/>
  <c r="CY319" i="1"/>
  <c r="CZ319" i="1" s="1"/>
  <c r="CT319" i="1"/>
  <c r="CV319" i="1" s="1"/>
  <c r="CO319" i="1"/>
  <c r="CJ319" i="1"/>
  <c r="CA319" i="1"/>
  <c r="BT319" i="1"/>
  <c r="BU319" i="1" s="1"/>
  <c r="BO319" i="1"/>
  <c r="BQ319" i="1" s="1"/>
  <c r="BJ319" i="1"/>
  <c r="BL319" i="1" s="1"/>
  <c r="BE319" i="1"/>
  <c r="AV319" i="1"/>
  <c r="AO319" i="1"/>
  <c r="AP319" i="1" s="1"/>
  <c r="AJ319" i="1"/>
  <c r="AL319" i="1" s="1"/>
  <c r="AE319" i="1"/>
  <c r="AG319" i="1" s="1"/>
  <c r="Z319" i="1"/>
  <c r="N319" i="1"/>
  <c r="K319" i="1"/>
  <c r="J319" i="1"/>
  <c r="E319" i="1"/>
  <c r="D319" i="1"/>
  <c r="C319" i="1"/>
  <c r="B319" i="1"/>
  <c r="CY318" i="1"/>
  <c r="CV318" i="1"/>
  <c r="CT318" i="1"/>
  <c r="CO318" i="1"/>
  <c r="CQ318" i="1" s="1"/>
  <c r="CJ318" i="1"/>
  <c r="CA318" i="1"/>
  <c r="BT318" i="1"/>
  <c r="BU318" i="1" s="1"/>
  <c r="BO318" i="1"/>
  <c r="BQ318" i="1" s="1"/>
  <c r="BJ318" i="1"/>
  <c r="BE318" i="1"/>
  <c r="AV318" i="1"/>
  <c r="AO318" i="1"/>
  <c r="AP318" i="1" s="1"/>
  <c r="AL318" i="1"/>
  <c r="AJ318" i="1"/>
  <c r="AE318" i="1"/>
  <c r="AG318" i="1" s="1"/>
  <c r="Z318" i="1"/>
  <c r="N318" i="1"/>
  <c r="K318" i="1"/>
  <c r="J318" i="1"/>
  <c r="E318" i="1"/>
  <c r="D318" i="1"/>
  <c r="C318" i="1"/>
  <c r="B318" i="1"/>
  <c r="CY317" i="1"/>
  <c r="CZ317" i="1" s="1"/>
  <c r="CT317" i="1"/>
  <c r="CV317" i="1" s="1"/>
  <c r="CO317" i="1"/>
  <c r="CJ317" i="1"/>
  <c r="CA317" i="1"/>
  <c r="BT317" i="1"/>
  <c r="BU317" i="1" s="1"/>
  <c r="BO317" i="1"/>
  <c r="BQ317" i="1" s="1"/>
  <c r="BJ317" i="1"/>
  <c r="BE317" i="1"/>
  <c r="AV317" i="1"/>
  <c r="AO317" i="1"/>
  <c r="AP317" i="1" s="1"/>
  <c r="AJ317" i="1"/>
  <c r="AL317" i="1" s="1"/>
  <c r="AE317" i="1"/>
  <c r="Z317" i="1"/>
  <c r="N317" i="1"/>
  <c r="K317" i="1"/>
  <c r="J317" i="1"/>
  <c r="E317" i="1"/>
  <c r="D317" i="1"/>
  <c r="C317" i="1"/>
  <c r="B317" i="1"/>
  <c r="CZ316" i="1"/>
  <c r="CY316" i="1"/>
  <c r="CT316" i="1"/>
  <c r="CO316" i="1"/>
  <c r="CQ316" i="1" s="1"/>
  <c r="CJ316" i="1"/>
  <c r="CA316" i="1"/>
  <c r="BT316" i="1"/>
  <c r="BU316" i="1" s="1"/>
  <c r="BO316" i="1"/>
  <c r="BQ316" i="1" s="1"/>
  <c r="BL316" i="1"/>
  <c r="BJ316" i="1"/>
  <c r="BE316" i="1"/>
  <c r="AV316" i="1"/>
  <c r="AP316" i="1"/>
  <c r="AO316" i="1"/>
  <c r="AJ316" i="1"/>
  <c r="AL316" i="1" s="1"/>
  <c r="AE316" i="1"/>
  <c r="Z316" i="1"/>
  <c r="N316" i="1"/>
  <c r="K316" i="1"/>
  <c r="J316" i="1"/>
  <c r="E316" i="1"/>
  <c r="D316" i="1"/>
  <c r="C316" i="1"/>
  <c r="B316" i="1"/>
  <c r="CY315" i="1"/>
  <c r="CZ315" i="1" s="1"/>
  <c r="CT315" i="1"/>
  <c r="CV315" i="1" s="1"/>
  <c r="CO315" i="1"/>
  <c r="CJ315" i="1"/>
  <c r="CA315" i="1"/>
  <c r="BT315" i="1"/>
  <c r="BU315" i="1" s="1"/>
  <c r="BO315" i="1"/>
  <c r="BQ315" i="1" s="1"/>
  <c r="BJ315" i="1"/>
  <c r="BE315" i="1"/>
  <c r="AV315" i="1"/>
  <c r="AO315" i="1"/>
  <c r="AP315" i="1" s="1"/>
  <c r="AJ315" i="1"/>
  <c r="AE315" i="1"/>
  <c r="AG315" i="1" s="1"/>
  <c r="Z315" i="1"/>
  <c r="N315" i="1"/>
  <c r="K315" i="1"/>
  <c r="J315" i="1"/>
  <c r="E315" i="1"/>
  <c r="D315" i="1"/>
  <c r="C315" i="1"/>
  <c r="B315" i="1"/>
  <c r="CY314" i="1"/>
  <c r="CZ314" i="1" s="1"/>
  <c r="CT314" i="1"/>
  <c r="CV314" i="1" s="1"/>
  <c r="CO314" i="1"/>
  <c r="CJ314" i="1"/>
  <c r="CA314" i="1"/>
  <c r="BT314" i="1"/>
  <c r="BU314" i="1" s="1"/>
  <c r="BO314" i="1"/>
  <c r="BQ314" i="1" s="1"/>
  <c r="BJ314" i="1"/>
  <c r="BE314" i="1"/>
  <c r="AV314" i="1"/>
  <c r="AP314" i="1"/>
  <c r="AO314" i="1"/>
  <c r="AJ314" i="1"/>
  <c r="AL314" i="1" s="1"/>
  <c r="AE314" i="1"/>
  <c r="Z314" i="1"/>
  <c r="N314" i="1"/>
  <c r="K314" i="1"/>
  <c r="J314" i="1"/>
  <c r="E314" i="1"/>
  <c r="D314" i="1"/>
  <c r="C314" i="1"/>
  <c r="B314" i="1"/>
  <c r="CY313" i="1"/>
  <c r="CZ313" i="1" s="1"/>
  <c r="CT313" i="1"/>
  <c r="CV313" i="1" s="1"/>
  <c r="CO313" i="1"/>
  <c r="CJ313" i="1"/>
  <c r="CA313" i="1"/>
  <c r="BT313" i="1"/>
  <c r="BU313" i="1" s="1"/>
  <c r="BO313" i="1"/>
  <c r="BQ313" i="1" s="1"/>
  <c r="BJ313" i="1"/>
  <c r="BE313" i="1"/>
  <c r="AV313" i="1"/>
  <c r="AO313" i="1"/>
  <c r="AP313" i="1" s="1"/>
  <c r="AJ313" i="1"/>
  <c r="AL313" i="1" s="1"/>
  <c r="AE313" i="1"/>
  <c r="AG313" i="1" s="1"/>
  <c r="Z313" i="1"/>
  <c r="N313" i="1"/>
  <c r="K313" i="1"/>
  <c r="J313" i="1"/>
  <c r="E313" i="1"/>
  <c r="D313" i="1"/>
  <c r="C313" i="1"/>
  <c r="B313" i="1"/>
  <c r="CY312" i="1"/>
  <c r="CZ312" i="1" s="1"/>
  <c r="CT312" i="1"/>
  <c r="CV312" i="1" s="1"/>
  <c r="CO312" i="1"/>
  <c r="CQ312" i="1" s="1"/>
  <c r="CJ312" i="1"/>
  <c r="CA312" i="1"/>
  <c r="BT312" i="1"/>
  <c r="BU312" i="1" s="1"/>
  <c r="BO312" i="1"/>
  <c r="BJ312" i="1"/>
  <c r="BL312" i="1" s="1"/>
  <c r="BE312" i="1"/>
  <c r="AV312" i="1"/>
  <c r="AO312" i="1"/>
  <c r="AP312" i="1" s="1"/>
  <c r="AJ312" i="1"/>
  <c r="AL312" i="1" s="1"/>
  <c r="AE312" i="1"/>
  <c r="AG312" i="1" s="1"/>
  <c r="Z312" i="1"/>
  <c r="N312" i="1"/>
  <c r="K312" i="1"/>
  <c r="J312" i="1"/>
  <c r="E312" i="1"/>
  <c r="D312" i="1"/>
  <c r="C312" i="1"/>
  <c r="B312" i="1"/>
  <c r="CY311" i="1"/>
  <c r="CZ311" i="1" s="1"/>
  <c r="CT311" i="1"/>
  <c r="CV311" i="1" s="1"/>
  <c r="CO311" i="1"/>
  <c r="CJ311" i="1"/>
  <c r="CA311" i="1"/>
  <c r="BT311" i="1"/>
  <c r="BU311" i="1" s="1"/>
  <c r="BO311" i="1"/>
  <c r="BQ311" i="1" s="1"/>
  <c r="BJ311" i="1"/>
  <c r="BE311" i="1"/>
  <c r="AV311" i="1"/>
  <c r="AO311" i="1"/>
  <c r="AP311" i="1" s="1"/>
  <c r="AJ311" i="1"/>
  <c r="AL311" i="1" s="1"/>
  <c r="AE311" i="1"/>
  <c r="Z311" i="1"/>
  <c r="N311" i="1"/>
  <c r="K311" i="1"/>
  <c r="J311" i="1"/>
  <c r="E311" i="1"/>
  <c r="D311" i="1"/>
  <c r="C311" i="1"/>
  <c r="B311" i="1"/>
  <c r="CY310" i="1"/>
  <c r="CZ310" i="1" s="1"/>
  <c r="CT310" i="1"/>
  <c r="CV310" i="1" s="1"/>
  <c r="CO310" i="1"/>
  <c r="CJ310" i="1"/>
  <c r="CA310" i="1"/>
  <c r="BT310" i="1"/>
  <c r="BU310" i="1" s="1"/>
  <c r="BO310" i="1"/>
  <c r="BQ310" i="1" s="1"/>
  <c r="BJ310" i="1"/>
  <c r="BL310" i="1" s="1"/>
  <c r="BE310" i="1"/>
  <c r="AV310" i="1"/>
  <c r="AO310" i="1"/>
  <c r="AP310" i="1" s="1"/>
  <c r="AJ310" i="1"/>
  <c r="AL310" i="1" s="1"/>
  <c r="AE310" i="1"/>
  <c r="Z310" i="1"/>
  <c r="N310" i="1"/>
  <c r="K310" i="1"/>
  <c r="J310" i="1"/>
  <c r="E310" i="1"/>
  <c r="D310" i="1"/>
  <c r="C310" i="1"/>
  <c r="B310" i="1"/>
  <c r="CY309" i="1"/>
  <c r="CZ309" i="1" s="1"/>
  <c r="CT309" i="1"/>
  <c r="CV309" i="1" s="1"/>
  <c r="CO309" i="1"/>
  <c r="CQ309" i="1" s="1"/>
  <c r="CJ309" i="1"/>
  <c r="CA309" i="1"/>
  <c r="BT309" i="1"/>
  <c r="BU309" i="1" s="1"/>
  <c r="BO309" i="1"/>
  <c r="BQ309" i="1" s="1"/>
  <c r="BJ309" i="1"/>
  <c r="BL309" i="1" s="1"/>
  <c r="BE309" i="1"/>
  <c r="AV309" i="1"/>
  <c r="AO309" i="1"/>
  <c r="AP309" i="1" s="1"/>
  <c r="AL309" i="1"/>
  <c r="AJ309" i="1"/>
  <c r="AE309" i="1"/>
  <c r="Z309" i="1"/>
  <c r="N309" i="1"/>
  <c r="K309" i="1"/>
  <c r="J309" i="1"/>
  <c r="E309" i="1"/>
  <c r="D309" i="1"/>
  <c r="C309" i="1"/>
  <c r="B309" i="1"/>
  <c r="CY308" i="1"/>
  <c r="CZ308" i="1" s="1"/>
  <c r="CT308" i="1"/>
  <c r="CV308" i="1" s="1"/>
  <c r="CO308" i="1"/>
  <c r="CQ308" i="1" s="1"/>
  <c r="CJ308" i="1"/>
  <c r="CA308" i="1"/>
  <c r="BT308" i="1"/>
  <c r="BU308" i="1" s="1"/>
  <c r="BO308" i="1"/>
  <c r="BQ308" i="1" s="1"/>
  <c r="BJ308" i="1"/>
  <c r="BL308" i="1" s="1"/>
  <c r="BE308" i="1"/>
  <c r="AV308" i="1"/>
  <c r="AO308" i="1"/>
  <c r="AP308" i="1" s="1"/>
  <c r="AJ308" i="1"/>
  <c r="AL308" i="1" s="1"/>
  <c r="AE308" i="1"/>
  <c r="AG308" i="1" s="1"/>
  <c r="Z308" i="1"/>
  <c r="N308" i="1"/>
  <c r="K308" i="1"/>
  <c r="J308" i="1"/>
  <c r="E308" i="1"/>
  <c r="D308" i="1"/>
  <c r="C308" i="1"/>
  <c r="B308" i="1"/>
  <c r="CY307" i="1"/>
  <c r="CZ307" i="1" s="1"/>
  <c r="CT307" i="1"/>
  <c r="CV307" i="1" s="1"/>
  <c r="CQ307" i="1"/>
  <c r="CO307" i="1"/>
  <c r="CJ307" i="1"/>
  <c r="CA307" i="1"/>
  <c r="BT307" i="1"/>
  <c r="BU307" i="1" s="1"/>
  <c r="BO307" i="1"/>
  <c r="BQ307" i="1" s="1"/>
  <c r="BJ307" i="1"/>
  <c r="BE307" i="1"/>
  <c r="AV307" i="1"/>
  <c r="AO307" i="1"/>
  <c r="AP307" i="1" s="1"/>
  <c r="AJ307" i="1"/>
  <c r="AL307" i="1" s="1"/>
  <c r="AE307" i="1"/>
  <c r="AG307" i="1" s="1"/>
  <c r="Z307" i="1"/>
  <c r="N307" i="1"/>
  <c r="K307" i="1"/>
  <c r="J307" i="1"/>
  <c r="E307" i="1"/>
  <c r="D307" i="1"/>
  <c r="C307" i="1"/>
  <c r="B307" i="1"/>
  <c r="CY306" i="1"/>
  <c r="CZ306" i="1" s="1"/>
  <c r="CT306" i="1"/>
  <c r="CV306" i="1" s="1"/>
  <c r="CO306" i="1"/>
  <c r="CJ306" i="1"/>
  <c r="CA306" i="1"/>
  <c r="BT306" i="1"/>
  <c r="BU306" i="1" s="1"/>
  <c r="BO306" i="1"/>
  <c r="BQ306" i="1" s="1"/>
  <c r="BJ306" i="1"/>
  <c r="BE306" i="1"/>
  <c r="AV306" i="1"/>
  <c r="AO306" i="1"/>
  <c r="AP306" i="1" s="1"/>
  <c r="AJ306" i="1"/>
  <c r="AL306" i="1" s="1"/>
  <c r="AE306" i="1"/>
  <c r="Z306" i="1"/>
  <c r="N306" i="1"/>
  <c r="K306" i="1"/>
  <c r="J306" i="1"/>
  <c r="E306" i="1"/>
  <c r="D306" i="1"/>
  <c r="C306" i="1"/>
  <c r="B306" i="1"/>
  <c r="CY305" i="1"/>
  <c r="CZ305" i="1" s="1"/>
  <c r="CV305" i="1"/>
  <c r="CT305" i="1"/>
  <c r="CO305" i="1"/>
  <c r="CJ305" i="1"/>
  <c r="CA305" i="1"/>
  <c r="BT305" i="1"/>
  <c r="BU305" i="1" s="1"/>
  <c r="BO305" i="1"/>
  <c r="BQ305" i="1" s="1"/>
  <c r="BJ305" i="1"/>
  <c r="BE305" i="1"/>
  <c r="AV305" i="1"/>
  <c r="AO305" i="1"/>
  <c r="AP305" i="1" s="1"/>
  <c r="AJ305" i="1"/>
  <c r="AL305" i="1" s="1"/>
  <c r="AE305" i="1"/>
  <c r="Z305" i="1"/>
  <c r="N305" i="1"/>
  <c r="K305" i="1"/>
  <c r="J305" i="1"/>
  <c r="E305" i="1"/>
  <c r="D305" i="1"/>
  <c r="C305" i="1"/>
  <c r="B305" i="1"/>
  <c r="CY304" i="1"/>
  <c r="CZ304" i="1" s="1"/>
  <c r="CT304" i="1"/>
  <c r="CV304" i="1" s="1"/>
  <c r="CO304" i="1"/>
  <c r="CQ304" i="1" s="1"/>
  <c r="CJ304" i="1"/>
  <c r="CA304" i="1"/>
  <c r="BT304" i="1"/>
  <c r="BU304" i="1" s="1"/>
  <c r="BO304" i="1"/>
  <c r="BQ304" i="1" s="1"/>
  <c r="BJ304" i="1"/>
  <c r="BL304" i="1" s="1"/>
  <c r="BE304" i="1"/>
  <c r="AV304" i="1"/>
  <c r="AO304" i="1"/>
  <c r="AP304" i="1" s="1"/>
  <c r="AJ304" i="1"/>
  <c r="AL304" i="1" s="1"/>
  <c r="AE304" i="1"/>
  <c r="AG304" i="1" s="1"/>
  <c r="Z304" i="1"/>
  <c r="N304" i="1"/>
  <c r="K304" i="1"/>
  <c r="J304" i="1"/>
  <c r="E304" i="1"/>
  <c r="D304" i="1"/>
  <c r="C304" i="1"/>
  <c r="B304" i="1"/>
  <c r="CZ303" i="1"/>
  <c r="CY303" i="1"/>
  <c r="CT303" i="1"/>
  <c r="CV303" i="1" s="1"/>
  <c r="CO303" i="1"/>
  <c r="CJ303" i="1"/>
  <c r="CA303" i="1"/>
  <c r="BT303" i="1"/>
  <c r="BU303" i="1" s="1"/>
  <c r="BO303" i="1"/>
  <c r="BQ303" i="1" s="1"/>
  <c r="BJ303" i="1"/>
  <c r="BL303" i="1" s="1"/>
  <c r="BE303" i="1"/>
  <c r="AV303" i="1"/>
  <c r="AO303" i="1"/>
  <c r="AP303" i="1" s="1"/>
  <c r="AL303" i="1"/>
  <c r="AJ303" i="1"/>
  <c r="AE303" i="1"/>
  <c r="AG303" i="1" s="1"/>
  <c r="Z303" i="1"/>
  <c r="N303" i="1"/>
  <c r="K303" i="1"/>
  <c r="J303" i="1"/>
  <c r="E303" i="1"/>
  <c r="D303" i="1"/>
  <c r="C303" i="1"/>
  <c r="B303" i="1"/>
  <c r="CH302" i="1"/>
  <c r="BC302" i="1"/>
  <c r="X302" i="1"/>
  <c r="CY301" i="1"/>
  <c r="CZ301" i="1" s="1"/>
  <c r="CT301" i="1"/>
  <c r="CV301" i="1" s="1"/>
  <c r="CO301" i="1"/>
  <c r="CJ301" i="1"/>
  <c r="CA301" i="1"/>
  <c r="BT301" i="1"/>
  <c r="BU301" i="1" s="1"/>
  <c r="BO301" i="1"/>
  <c r="BQ301" i="1" s="1"/>
  <c r="BJ301" i="1"/>
  <c r="BL301" i="1" s="1"/>
  <c r="BE301" i="1"/>
  <c r="AV301" i="1"/>
  <c r="AO301" i="1"/>
  <c r="AP301" i="1" s="1"/>
  <c r="AJ301" i="1"/>
  <c r="AE301" i="1"/>
  <c r="AG301" i="1" s="1"/>
  <c r="Z301" i="1"/>
  <c r="N301" i="1"/>
  <c r="K301" i="1"/>
  <c r="J301" i="1"/>
  <c r="E301" i="1"/>
  <c r="D301" i="1"/>
  <c r="C301" i="1"/>
  <c r="B301" i="1"/>
  <c r="CY300" i="1"/>
  <c r="CZ300" i="1" s="1"/>
  <c r="CT300" i="1"/>
  <c r="CV300" i="1" s="1"/>
  <c r="CO300" i="1"/>
  <c r="CJ300" i="1"/>
  <c r="CA300" i="1"/>
  <c r="BT300" i="1"/>
  <c r="BU300" i="1" s="1"/>
  <c r="BO300" i="1"/>
  <c r="BQ300" i="1" s="1"/>
  <c r="BJ300" i="1"/>
  <c r="BE300" i="1"/>
  <c r="AV300" i="1"/>
  <c r="AO300" i="1"/>
  <c r="AP300" i="1" s="1"/>
  <c r="AJ300" i="1"/>
  <c r="AL300" i="1" s="1"/>
  <c r="AE300" i="1"/>
  <c r="AG300" i="1" s="1"/>
  <c r="Z300" i="1"/>
  <c r="N300" i="1"/>
  <c r="K300" i="1"/>
  <c r="J300" i="1"/>
  <c r="E300" i="1"/>
  <c r="D300" i="1"/>
  <c r="C300" i="1"/>
  <c r="B300" i="1"/>
  <c r="CY299" i="1"/>
  <c r="CZ299" i="1" s="1"/>
  <c r="CT299" i="1"/>
  <c r="CV299" i="1" s="1"/>
  <c r="CO299" i="1"/>
  <c r="CJ299" i="1"/>
  <c r="CA299" i="1"/>
  <c r="BT299" i="1"/>
  <c r="BU299" i="1" s="1"/>
  <c r="BO299" i="1"/>
  <c r="BQ299" i="1" s="1"/>
  <c r="BJ299" i="1"/>
  <c r="BE299" i="1"/>
  <c r="AV299" i="1"/>
  <c r="AO299" i="1"/>
  <c r="AJ299" i="1"/>
  <c r="AL299" i="1" s="1"/>
  <c r="AE299" i="1"/>
  <c r="AG299" i="1" s="1"/>
  <c r="Z299" i="1"/>
  <c r="N299" i="1"/>
  <c r="K299" i="1"/>
  <c r="J299" i="1"/>
  <c r="E299" i="1"/>
  <c r="D299" i="1"/>
  <c r="C299" i="1"/>
  <c r="B299" i="1"/>
  <c r="CY298" i="1"/>
  <c r="CZ298" i="1" s="1"/>
  <c r="CV298" i="1"/>
  <c r="CT298" i="1"/>
  <c r="CO298" i="1"/>
  <c r="CQ298" i="1" s="1"/>
  <c r="CJ298" i="1"/>
  <c r="CA298" i="1"/>
  <c r="BT298" i="1"/>
  <c r="BU298" i="1" s="1"/>
  <c r="BO298" i="1"/>
  <c r="BJ298" i="1"/>
  <c r="BL298" i="1" s="1"/>
  <c r="BE298" i="1"/>
  <c r="AV298" i="1"/>
  <c r="AO298" i="1"/>
  <c r="AP298" i="1" s="1"/>
  <c r="AJ298" i="1"/>
  <c r="AL298" i="1" s="1"/>
  <c r="AE298" i="1"/>
  <c r="AG298" i="1" s="1"/>
  <c r="Z298" i="1"/>
  <c r="N298" i="1"/>
  <c r="K298" i="1"/>
  <c r="J298" i="1"/>
  <c r="E298" i="1"/>
  <c r="D298" i="1"/>
  <c r="C298" i="1"/>
  <c r="B298" i="1"/>
  <c r="CY297" i="1"/>
  <c r="CZ297" i="1" s="1"/>
  <c r="CT297" i="1"/>
  <c r="CV297" i="1" s="1"/>
  <c r="CO297" i="1"/>
  <c r="DB297" i="1" s="1"/>
  <c r="CJ297" i="1"/>
  <c r="CA297" i="1"/>
  <c r="BT297" i="1"/>
  <c r="BU297" i="1" s="1"/>
  <c r="BO297" i="1"/>
  <c r="BQ297" i="1" s="1"/>
  <c r="BJ297" i="1"/>
  <c r="BL297" i="1" s="1"/>
  <c r="BE297" i="1"/>
  <c r="AV297" i="1"/>
  <c r="AO297" i="1"/>
  <c r="AP297" i="1" s="1"/>
  <c r="AL297" i="1"/>
  <c r="AJ297" i="1"/>
  <c r="AE297" i="1"/>
  <c r="Z297" i="1"/>
  <c r="N297" i="1"/>
  <c r="K297" i="1"/>
  <c r="J297" i="1"/>
  <c r="E297" i="1"/>
  <c r="D297" i="1"/>
  <c r="C297" i="1"/>
  <c r="B297" i="1"/>
  <c r="CY296" i="1"/>
  <c r="CZ296" i="1" s="1"/>
  <c r="CT296" i="1"/>
  <c r="CV296" i="1" s="1"/>
  <c r="CO296" i="1"/>
  <c r="CQ296" i="1" s="1"/>
  <c r="CJ296" i="1"/>
  <c r="CA296" i="1"/>
  <c r="BT296" i="1"/>
  <c r="BU296" i="1" s="1"/>
  <c r="BO296" i="1"/>
  <c r="BQ296" i="1" s="1"/>
  <c r="BJ296" i="1"/>
  <c r="BE296" i="1"/>
  <c r="AV296" i="1"/>
  <c r="AO296" i="1"/>
  <c r="AP296" i="1" s="1"/>
  <c r="AJ296" i="1"/>
  <c r="AL296" i="1" s="1"/>
  <c r="AE296" i="1"/>
  <c r="AG296" i="1" s="1"/>
  <c r="AQ296" i="1" s="1"/>
  <c r="Z296" i="1"/>
  <c r="N296" i="1"/>
  <c r="K296" i="1"/>
  <c r="J296" i="1"/>
  <c r="E296" i="1"/>
  <c r="D296" i="1"/>
  <c r="C296" i="1"/>
  <c r="B296" i="1"/>
  <c r="CY295" i="1"/>
  <c r="CZ295" i="1" s="1"/>
  <c r="CT295" i="1"/>
  <c r="CO295" i="1"/>
  <c r="CQ295" i="1" s="1"/>
  <c r="CJ295" i="1"/>
  <c r="CA295" i="1"/>
  <c r="BT295" i="1"/>
  <c r="BU295" i="1" s="1"/>
  <c r="BO295" i="1"/>
  <c r="BQ295" i="1" s="1"/>
  <c r="BL295" i="1"/>
  <c r="BJ295" i="1"/>
  <c r="BE295" i="1"/>
  <c r="AV295" i="1"/>
  <c r="AO295" i="1"/>
  <c r="AP295" i="1" s="1"/>
  <c r="AJ295" i="1"/>
  <c r="AL295" i="1" s="1"/>
  <c r="AE295" i="1"/>
  <c r="Z295" i="1"/>
  <c r="N295" i="1"/>
  <c r="K295" i="1"/>
  <c r="J295" i="1"/>
  <c r="E295" i="1"/>
  <c r="D295" i="1"/>
  <c r="C295" i="1"/>
  <c r="B295" i="1"/>
  <c r="CY294" i="1"/>
  <c r="CZ294" i="1" s="1"/>
  <c r="CT294" i="1"/>
  <c r="CO294" i="1"/>
  <c r="CQ294" i="1" s="1"/>
  <c r="CJ294" i="1"/>
  <c r="CA294" i="1"/>
  <c r="BT294" i="1"/>
  <c r="BU294" i="1" s="1"/>
  <c r="BO294" i="1"/>
  <c r="BQ294" i="1" s="1"/>
  <c r="BJ294" i="1"/>
  <c r="BE294" i="1"/>
  <c r="AV294" i="1"/>
  <c r="AO294" i="1"/>
  <c r="AP294" i="1" s="1"/>
  <c r="AJ294" i="1"/>
  <c r="AL294" i="1" s="1"/>
  <c r="AE294" i="1"/>
  <c r="Z294" i="1"/>
  <c r="N294" i="1"/>
  <c r="K294" i="1"/>
  <c r="J294" i="1"/>
  <c r="E294" i="1"/>
  <c r="D294" i="1"/>
  <c r="C294" i="1"/>
  <c r="B294" i="1"/>
  <c r="CY293" i="1"/>
  <c r="CZ293" i="1" s="1"/>
  <c r="CV293" i="1"/>
  <c r="CT293" i="1"/>
  <c r="CO293" i="1"/>
  <c r="CJ293" i="1"/>
  <c r="CA293" i="1"/>
  <c r="BT293" i="1"/>
  <c r="BO293" i="1"/>
  <c r="BQ293" i="1" s="1"/>
  <c r="BJ293" i="1"/>
  <c r="BL293" i="1" s="1"/>
  <c r="BE293" i="1"/>
  <c r="AV293" i="1"/>
  <c r="AO293" i="1"/>
  <c r="AP293" i="1" s="1"/>
  <c r="AJ293" i="1"/>
  <c r="AL293" i="1" s="1"/>
  <c r="AE293" i="1"/>
  <c r="Z293" i="1"/>
  <c r="N293" i="1"/>
  <c r="K293" i="1"/>
  <c r="J293" i="1"/>
  <c r="E293" i="1"/>
  <c r="D293" i="1"/>
  <c r="C293" i="1"/>
  <c r="B293" i="1"/>
  <c r="CY292" i="1"/>
  <c r="CZ292" i="1" s="1"/>
  <c r="CT292" i="1"/>
  <c r="CV292" i="1" s="1"/>
  <c r="CO292" i="1"/>
  <c r="CQ292" i="1" s="1"/>
  <c r="CJ292" i="1"/>
  <c r="CA292" i="1"/>
  <c r="BT292" i="1"/>
  <c r="BU292" i="1" s="1"/>
  <c r="BO292" i="1"/>
  <c r="BQ292" i="1" s="1"/>
  <c r="BJ292" i="1"/>
  <c r="BE292" i="1"/>
  <c r="AV292" i="1"/>
  <c r="AO292" i="1"/>
  <c r="AP292" i="1" s="1"/>
  <c r="AJ292" i="1"/>
  <c r="AL292" i="1" s="1"/>
  <c r="AE292" i="1"/>
  <c r="Z292" i="1"/>
  <c r="N292" i="1"/>
  <c r="K292" i="1"/>
  <c r="J292" i="1"/>
  <c r="E292" i="1"/>
  <c r="D292" i="1"/>
  <c r="C292" i="1"/>
  <c r="B292" i="1"/>
  <c r="CY291" i="1"/>
  <c r="CZ291" i="1" s="1"/>
  <c r="CT291" i="1"/>
  <c r="CV291" i="1" s="1"/>
  <c r="CO291" i="1"/>
  <c r="CJ291" i="1"/>
  <c r="CA291" i="1"/>
  <c r="BT291" i="1"/>
  <c r="BU291" i="1" s="1"/>
  <c r="BO291" i="1"/>
  <c r="BQ291" i="1" s="1"/>
  <c r="BJ291" i="1"/>
  <c r="BL291" i="1" s="1"/>
  <c r="BE291" i="1"/>
  <c r="AV291" i="1"/>
  <c r="AO291" i="1"/>
  <c r="AP291" i="1" s="1"/>
  <c r="AJ291" i="1"/>
  <c r="AE291" i="1"/>
  <c r="AG291" i="1" s="1"/>
  <c r="Z291" i="1"/>
  <c r="N291" i="1"/>
  <c r="K291" i="1"/>
  <c r="J291" i="1"/>
  <c r="E291" i="1"/>
  <c r="D291" i="1"/>
  <c r="C291" i="1"/>
  <c r="B291" i="1"/>
  <c r="CY290" i="1"/>
  <c r="CZ290" i="1" s="1"/>
  <c r="CT290" i="1"/>
  <c r="CV290" i="1" s="1"/>
  <c r="CO290" i="1"/>
  <c r="CJ290" i="1"/>
  <c r="CA290" i="1"/>
  <c r="BT290" i="1"/>
  <c r="BU290" i="1" s="1"/>
  <c r="BO290" i="1"/>
  <c r="BQ290" i="1" s="1"/>
  <c r="BJ290" i="1"/>
  <c r="BE290" i="1"/>
  <c r="AV290" i="1"/>
  <c r="AO290" i="1"/>
  <c r="AP290" i="1" s="1"/>
  <c r="AJ290" i="1"/>
  <c r="AL290" i="1" s="1"/>
  <c r="AE290" i="1"/>
  <c r="Z290" i="1"/>
  <c r="N290" i="1"/>
  <c r="K290" i="1"/>
  <c r="J290" i="1"/>
  <c r="E290" i="1"/>
  <c r="D290" i="1"/>
  <c r="C290" i="1"/>
  <c r="B290" i="1"/>
  <c r="CY289" i="1"/>
  <c r="CZ289" i="1" s="1"/>
  <c r="CT289" i="1"/>
  <c r="CV289" i="1" s="1"/>
  <c r="CO289" i="1"/>
  <c r="CJ289" i="1"/>
  <c r="CA289" i="1"/>
  <c r="BU289" i="1"/>
  <c r="BT289" i="1"/>
  <c r="BO289" i="1"/>
  <c r="BQ289" i="1" s="1"/>
  <c r="BJ289" i="1"/>
  <c r="BE289" i="1"/>
  <c r="AV289" i="1"/>
  <c r="AO289" i="1"/>
  <c r="AP289" i="1" s="1"/>
  <c r="AL289" i="1"/>
  <c r="AJ289" i="1"/>
  <c r="AE289" i="1"/>
  <c r="AG289" i="1" s="1"/>
  <c r="Z289" i="1"/>
  <c r="N289" i="1"/>
  <c r="K289" i="1"/>
  <c r="J289" i="1"/>
  <c r="E289" i="1"/>
  <c r="D289" i="1"/>
  <c r="C289" i="1"/>
  <c r="B289" i="1"/>
  <c r="CY288" i="1"/>
  <c r="CZ288" i="1" s="1"/>
  <c r="CT288" i="1"/>
  <c r="CO288" i="1"/>
  <c r="CQ288" i="1" s="1"/>
  <c r="CJ288" i="1"/>
  <c r="CA288" i="1"/>
  <c r="BT288" i="1"/>
  <c r="BU288" i="1" s="1"/>
  <c r="BO288" i="1"/>
  <c r="BQ288" i="1" s="1"/>
  <c r="BJ288" i="1"/>
  <c r="BE288" i="1"/>
  <c r="AV288" i="1"/>
  <c r="AO288" i="1"/>
  <c r="AP288" i="1" s="1"/>
  <c r="AJ288" i="1"/>
  <c r="AL288" i="1" s="1"/>
  <c r="AE288" i="1"/>
  <c r="Z288" i="1"/>
  <c r="N288" i="1"/>
  <c r="K288" i="1"/>
  <c r="J288" i="1"/>
  <c r="E288" i="1"/>
  <c r="D288" i="1"/>
  <c r="C288" i="1"/>
  <c r="B288" i="1"/>
  <c r="CY287" i="1"/>
  <c r="CZ287" i="1" s="1"/>
  <c r="CT287" i="1"/>
  <c r="CV287" i="1" s="1"/>
  <c r="CO287" i="1"/>
  <c r="CJ287" i="1"/>
  <c r="CA287" i="1"/>
  <c r="BT287" i="1"/>
  <c r="BU287" i="1" s="1"/>
  <c r="BO287" i="1"/>
  <c r="BQ287" i="1" s="1"/>
  <c r="BJ287" i="1"/>
  <c r="BL287" i="1" s="1"/>
  <c r="BE287" i="1"/>
  <c r="AV287" i="1"/>
  <c r="AO287" i="1"/>
  <c r="AP287" i="1" s="1"/>
  <c r="AJ287" i="1"/>
  <c r="AL287" i="1" s="1"/>
  <c r="AE287" i="1"/>
  <c r="Z287" i="1"/>
  <c r="N287" i="1"/>
  <c r="K287" i="1"/>
  <c r="J287" i="1"/>
  <c r="E287" i="1"/>
  <c r="D287" i="1"/>
  <c r="C287" i="1"/>
  <c r="B287" i="1"/>
  <c r="CY286" i="1"/>
  <c r="CZ286" i="1" s="1"/>
  <c r="CT286" i="1"/>
  <c r="CV286" i="1" s="1"/>
  <c r="CQ286" i="1"/>
  <c r="CO286" i="1"/>
  <c r="CJ286" i="1"/>
  <c r="CA286" i="1"/>
  <c r="BU286" i="1"/>
  <c r="BT286" i="1"/>
  <c r="BO286" i="1"/>
  <c r="BJ286" i="1"/>
  <c r="BL286" i="1" s="1"/>
  <c r="BE286" i="1"/>
  <c r="AV286" i="1"/>
  <c r="AO286" i="1"/>
  <c r="AP286" i="1" s="1"/>
  <c r="AJ286" i="1"/>
  <c r="AL286" i="1" s="1"/>
  <c r="AE286" i="1"/>
  <c r="Z286" i="1"/>
  <c r="N286" i="1"/>
  <c r="K286" i="1"/>
  <c r="J286" i="1"/>
  <c r="E286" i="1"/>
  <c r="D286" i="1"/>
  <c r="C286" i="1"/>
  <c r="B286" i="1"/>
  <c r="CY285" i="1"/>
  <c r="CZ285" i="1" s="1"/>
  <c r="CT285" i="1"/>
  <c r="CO285" i="1"/>
  <c r="CQ285" i="1" s="1"/>
  <c r="CJ285" i="1"/>
  <c r="CA285" i="1"/>
  <c r="BU285" i="1"/>
  <c r="BT285" i="1"/>
  <c r="BO285" i="1"/>
  <c r="BQ285" i="1" s="1"/>
  <c r="BJ285" i="1"/>
  <c r="BE285" i="1"/>
  <c r="AV285" i="1"/>
  <c r="AO285" i="1"/>
  <c r="AP285" i="1" s="1"/>
  <c r="AJ285" i="1"/>
  <c r="AE285" i="1"/>
  <c r="AG285" i="1" s="1"/>
  <c r="Z285" i="1"/>
  <c r="N285" i="1"/>
  <c r="K285" i="1"/>
  <c r="J285" i="1"/>
  <c r="E285" i="1"/>
  <c r="D285" i="1"/>
  <c r="C285" i="1"/>
  <c r="B285" i="1"/>
  <c r="CY284" i="1"/>
  <c r="CZ284" i="1" s="1"/>
  <c r="CV284" i="1"/>
  <c r="CT284" i="1"/>
  <c r="CO284" i="1"/>
  <c r="CJ284" i="1"/>
  <c r="CA284" i="1"/>
  <c r="BT284" i="1"/>
  <c r="BU284" i="1" s="1"/>
  <c r="BO284" i="1"/>
  <c r="BL284" i="1"/>
  <c r="BJ284" i="1"/>
  <c r="BE284" i="1"/>
  <c r="AV284" i="1"/>
  <c r="AO284" i="1"/>
  <c r="AP284" i="1" s="1"/>
  <c r="AJ284" i="1"/>
  <c r="AE284" i="1"/>
  <c r="AG284" i="1" s="1"/>
  <c r="Z284" i="1"/>
  <c r="N284" i="1"/>
  <c r="K284" i="1"/>
  <c r="J284" i="1"/>
  <c r="E284" i="1"/>
  <c r="D284" i="1"/>
  <c r="C284" i="1"/>
  <c r="B284" i="1"/>
  <c r="CY283" i="1"/>
  <c r="CZ283" i="1" s="1"/>
  <c r="CT283" i="1"/>
  <c r="CV283" i="1" s="1"/>
  <c r="CO283" i="1"/>
  <c r="CQ283" i="1" s="1"/>
  <c r="CJ283" i="1"/>
  <c r="CA283" i="1"/>
  <c r="BT283" i="1"/>
  <c r="BU283" i="1" s="1"/>
  <c r="BO283" i="1"/>
  <c r="BQ283" i="1" s="1"/>
  <c r="BJ283" i="1"/>
  <c r="BE283" i="1"/>
  <c r="AV283" i="1"/>
  <c r="AO283" i="1"/>
  <c r="AP283" i="1" s="1"/>
  <c r="AJ283" i="1"/>
  <c r="AL283" i="1" s="1"/>
  <c r="AE283" i="1"/>
  <c r="AG283" i="1" s="1"/>
  <c r="Z283" i="1"/>
  <c r="N283" i="1"/>
  <c r="K283" i="1"/>
  <c r="J283" i="1"/>
  <c r="E283" i="1"/>
  <c r="D283" i="1"/>
  <c r="C283" i="1"/>
  <c r="B283" i="1"/>
  <c r="CY282" i="1"/>
  <c r="CZ282" i="1" s="1"/>
  <c r="CT282" i="1"/>
  <c r="CV282" i="1" s="1"/>
  <c r="CO282" i="1"/>
  <c r="CQ282" i="1" s="1"/>
  <c r="CJ282" i="1"/>
  <c r="CA282" i="1"/>
  <c r="BT282" i="1"/>
  <c r="BU282" i="1" s="1"/>
  <c r="BO282" i="1"/>
  <c r="BQ282" i="1" s="1"/>
  <c r="BL282" i="1"/>
  <c r="BJ282" i="1"/>
  <c r="BE282" i="1"/>
  <c r="AV282" i="1"/>
  <c r="AP282" i="1"/>
  <c r="AO282" i="1"/>
  <c r="AJ282" i="1"/>
  <c r="AL282" i="1" s="1"/>
  <c r="AE282" i="1"/>
  <c r="Z282" i="1"/>
  <c r="N282" i="1"/>
  <c r="K282" i="1"/>
  <c r="J282" i="1"/>
  <c r="E282" i="1"/>
  <c r="D282" i="1"/>
  <c r="C282" i="1"/>
  <c r="B282" i="1"/>
  <c r="CY281" i="1"/>
  <c r="CZ281" i="1" s="1"/>
  <c r="CT281" i="1"/>
  <c r="CO281" i="1"/>
  <c r="CQ281" i="1" s="1"/>
  <c r="CJ281" i="1"/>
  <c r="CA281" i="1"/>
  <c r="BT281" i="1"/>
  <c r="BU281" i="1" s="1"/>
  <c r="BO281" i="1"/>
  <c r="BQ281" i="1" s="1"/>
  <c r="BL281" i="1"/>
  <c r="BJ281" i="1"/>
  <c r="BE281" i="1"/>
  <c r="AV281" i="1"/>
  <c r="AP281" i="1"/>
  <c r="AO281" i="1"/>
  <c r="AJ281" i="1"/>
  <c r="AL281" i="1" s="1"/>
  <c r="AG281" i="1"/>
  <c r="AE281" i="1"/>
  <c r="Z281" i="1"/>
  <c r="N281" i="1"/>
  <c r="K281" i="1"/>
  <c r="J281" i="1"/>
  <c r="E281" i="1"/>
  <c r="D281" i="1"/>
  <c r="C281" i="1"/>
  <c r="B281" i="1"/>
  <c r="CY280" i="1"/>
  <c r="CZ280" i="1" s="1"/>
  <c r="CT280" i="1"/>
  <c r="CV280" i="1" s="1"/>
  <c r="CO280" i="1"/>
  <c r="CJ280" i="1"/>
  <c r="CA280" i="1"/>
  <c r="BT280" i="1"/>
  <c r="BU280" i="1" s="1"/>
  <c r="BO280" i="1"/>
  <c r="BQ280" i="1" s="1"/>
  <c r="BJ280" i="1"/>
  <c r="BL280" i="1" s="1"/>
  <c r="BE280" i="1"/>
  <c r="AV280" i="1"/>
  <c r="AO280" i="1"/>
  <c r="AP280" i="1" s="1"/>
  <c r="AJ280" i="1"/>
  <c r="AL280" i="1" s="1"/>
  <c r="AE280" i="1"/>
  <c r="Z280" i="1"/>
  <c r="N280" i="1"/>
  <c r="K280" i="1"/>
  <c r="J280" i="1"/>
  <c r="E280" i="1"/>
  <c r="D280" i="1"/>
  <c r="C280" i="1"/>
  <c r="B280" i="1"/>
  <c r="CY279" i="1"/>
  <c r="CZ279" i="1" s="1"/>
  <c r="CT279" i="1"/>
  <c r="CV279" i="1" s="1"/>
  <c r="CO279" i="1"/>
  <c r="CJ279" i="1"/>
  <c r="CA279" i="1"/>
  <c r="BT279" i="1"/>
  <c r="BU279" i="1" s="1"/>
  <c r="BO279" i="1"/>
  <c r="BJ279" i="1"/>
  <c r="BL279" i="1" s="1"/>
  <c r="BE279" i="1"/>
  <c r="AV279" i="1"/>
  <c r="AO279" i="1"/>
  <c r="AP279" i="1" s="1"/>
  <c r="AJ279" i="1"/>
  <c r="AE279" i="1"/>
  <c r="AG279" i="1" s="1"/>
  <c r="Z279" i="1"/>
  <c r="N279" i="1"/>
  <c r="K279" i="1"/>
  <c r="J279" i="1"/>
  <c r="E279" i="1"/>
  <c r="D279" i="1"/>
  <c r="C279" i="1"/>
  <c r="B279" i="1"/>
  <c r="CY278" i="1"/>
  <c r="CZ278" i="1" s="1"/>
  <c r="CT278" i="1"/>
  <c r="CV278" i="1" s="1"/>
  <c r="CO278" i="1"/>
  <c r="CJ278" i="1"/>
  <c r="CA278" i="1"/>
  <c r="BT278" i="1"/>
  <c r="BU278" i="1" s="1"/>
  <c r="BO278" i="1"/>
  <c r="BQ278" i="1" s="1"/>
  <c r="BJ278" i="1"/>
  <c r="BL278" i="1" s="1"/>
  <c r="BE278" i="1"/>
  <c r="AV278" i="1"/>
  <c r="AO278" i="1"/>
  <c r="AP278" i="1" s="1"/>
  <c r="AJ278" i="1"/>
  <c r="AE278" i="1"/>
  <c r="AG278" i="1" s="1"/>
  <c r="Z278" i="1"/>
  <c r="N278" i="1"/>
  <c r="K278" i="1"/>
  <c r="J278" i="1"/>
  <c r="E278" i="1"/>
  <c r="D278" i="1"/>
  <c r="C278" i="1"/>
  <c r="B278" i="1"/>
  <c r="CY277" i="1"/>
  <c r="CZ277" i="1" s="1"/>
  <c r="CT277" i="1"/>
  <c r="CV277" i="1" s="1"/>
  <c r="CO277" i="1"/>
  <c r="CJ277" i="1"/>
  <c r="CA277" i="1"/>
  <c r="BT277" i="1"/>
  <c r="BU277" i="1" s="1"/>
  <c r="BO277" i="1"/>
  <c r="BQ277" i="1" s="1"/>
  <c r="BJ277" i="1"/>
  <c r="BE277" i="1"/>
  <c r="AV277" i="1"/>
  <c r="AO277" i="1"/>
  <c r="AP277" i="1" s="1"/>
  <c r="AJ277" i="1"/>
  <c r="AL277" i="1" s="1"/>
  <c r="AE277" i="1"/>
  <c r="Z277" i="1"/>
  <c r="N277" i="1"/>
  <c r="K277" i="1"/>
  <c r="J277" i="1"/>
  <c r="E277" i="1"/>
  <c r="D277" i="1"/>
  <c r="C277" i="1"/>
  <c r="B277" i="1"/>
  <c r="CY276" i="1"/>
  <c r="CZ276" i="1" s="1"/>
  <c r="CT276" i="1"/>
  <c r="CV276" i="1" s="1"/>
  <c r="CO276" i="1"/>
  <c r="CJ276" i="1"/>
  <c r="CA276" i="1"/>
  <c r="BT276" i="1"/>
  <c r="BU276" i="1" s="1"/>
  <c r="BO276" i="1"/>
  <c r="BQ276" i="1" s="1"/>
  <c r="BJ276" i="1"/>
  <c r="BE276" i="1"/>
  <c r="AV276" i="1"/>
  <c r="AO276" i="1"/>
  <c r="AP276" i="1" s="1"/>
  <c r="AJ276" i="1"/>
  <c r="AE276" i="1"/>
  <c r="AG276" i="1" s="1"/>
  <c r="Z276" i="1"/>
  <c r="N276" i="1"/>
  <c r="K276" i="1"/>
  <c r="J276" i="1"/>
  <c r="E276" i="1"/>
  <c r="D276" i="1"/>
  <c r="C276" i="1"/>
  <c r="B276" i="1"/>
  <c r="CY275" i="1"/>
  <c r="CZ275" i="1" s="1"/>
  <c r="CT275" i="1"/>
  <c r="CV275" i="1" s="1"/>
  <c r="CO275" i="1"/>
  <c r="CQ275" i="1" s="1"/>
  <c r="CJ275" i="1"/>
  <c r="CA275" i="1"/>
  <c r="BT275" i="1"/>
  <c r="BO275" i="1"/>
  <c r="BQ275" i="1" s="1"/>
  <c r="BJ275" i="1"/>
  <c r="BL275" i="1" s="1"/>
  <c r="BE275" i="1"/>
  <c r="AV275" i="1"/>
  <c r="AO275" i="1"/>
  <c r="AP275" i="1" s="1"/>
  <c r="AJ275" i="1"/>
  <c r="AL275" i="1" s="1"/>
  <c r="AE275" i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CO274" i="1"/>
  <c r="CQ274" i="1" s="1"/>
  <c r="CJ274" i="1"/>
  <c r="CA274" i="1"/>
  <c r="BT274" i="1"/>
  <c r="BU274" i="1" s="1"/>
  <c r="BQ274" i="1"/>
  <c r="BO274" i="1"/>
  <c r="BJ274" i="1"/>
  <c r="BE274" i="1"/>
  <c r="AV274" i="1"/>
  <c r="AO274" i="1"/>
  <c r="AP274" i="1" s="1"/>
  <c r="AJ274" i="1"/>
  <c r="AE274" i="1"/>
  <c r="AG274" i="1" s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CO273" i="1"/>
  <c r="CQ273" i="1" s="1"/>
  <c r="CJ273" i="1"/>
  <c r="CA273" i="1"/>
  <c r="BT273" i="1"/>
  <c r="BU273" i="1" s="1"/>
  <c r="BO273" i="1"/>
  <c r="BJ273" i="1"/>
  <c r="BL273" i="1" s="1"/>
  <c r="BE273" i="1"/>
  <c r="AV273" i="1"/>
  <c r="AO273" i="1"/>
  <c r="AP273" i="1" s="1"/>
  <c r="AJ273" i="1"/>
  <c r="AL273" i="1" s="1"/>
  <c r="AE273" i="1"/>
  <c r="AG273" i="1" s="1"/>
  <c r="Z273" i="1"/>
  <c r="N273" i="1"/>
  <c r="K273" i="1"/>
  <c r="J273" i="1"/>
  <c r="E273" i="1"/>
  <c r="D273" i="1"/>
  <c r="C273" i="1"/>
  <c r="B273" i="1"/>
  <c r="CH272" i="1"/>
  <c r="BC272" i="1"/>
  <c r="X272" i="1"/>
  <c r="CY271" i="1"/>
  <c r="CZ271" i="1" s="1"/>
  <c r="CV271" i="1"/>
  <c r="CT271" i="1"/>
  <c r="CO271" i="1"/>
  <c r="CQ271" i="1" s="1"/>
  <c r="CJ271" i="1"/>
  <c r="CA271" i="1"/>
  <c r="BT271" i="1"/>
  <c r="BO271" i="1"/>
  <c r="BQ271" i="1" s="1"/>
  <c r="BJ271" i="1"/>
  <c r="BL271" i="1" s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Q270" i="1" s="1"/>
  <c r="CJ270" i="1"/>
  <c r="CA270" i="1"/>
  <c r="BT270" i="1"/>
  <c r="BU270" i="1" s="1"/>
  <c r="BO270" i="1"/>
  <c r="BQ270" i="1" s="1"/>
  <c r="BJ270" i="1"/>
  <c r="BE270" i="1"/>
  <c r="AV270" i="1"/>
  <c r="AP270" i="1"/>
  <c r="AO270" i="1"/>
  <c r="AJ270" i="1"/>
  <c r="AL270" i="1" s="1"/>
  <c r="AE270" i="1"/>
  <c r="AG270" i="1" s="1"/>
  <c r="Z270" i="1"/>
  <c r="N270" i="1"/>
  <c r="K270" i="1"/>
  <c r="J270" i="1"/>
  <c r="E270" i="1"/>
  <c r="D270" i="1"/>
  <c r="C270" i="1"/>
  <c r="B270" i="1"/>
  <c r="CZ269" i="1"/>
  <c r="CY269" i="1"/>
  <c r="CT269" i="1"/>
  <c r="CV269" i="1" s="1"/>
  <c r="CQ269" i="1"/>
  <c r="DA269" i="1" s="1"/>
  <c r="CO269" i="1"/>
  <c r="CJ269" i="1"/>
  <c r="CA269" i="1"/>
  <c r="BT269" i="1"/>
  <c r="BU269" i="1" s="1"/>
  <c r="BO269" i="1"/>
  <c r="BQ269" i="1" s="1"/>
  <c r="BJ269" i="1"/>
  <c r="BL269" i="1" s="1"/>
  <c r="BE269" i="1"/>
  <c r="AV269" i="1"/>
  <c r="AO269" i="1"/>
  <c r="AP269" i="1" s="1"/>
  <c r="AJ269" i="1"/>
  <c r="AL269" i="1" s="1"/>
  <c r="AE269" i="1"/>
  <c r="AG269" i="1" s="1"/>
  <c r="Z269" i="1"/>
  <c r="N269" i="1"/>
  <c r="K269" i="1"/>
  <c r="J269" i="1"/>
  <c r="E269" i="1"/>
  <c r="D269" i="1"/>
  <c r="C269" i="1"/>
  <c r="B269" i="1"/>
  <c r="CY268" i="1"/>
  <c r="CT268" i="1"/>
  <c r="CV268" i="1" s="1"/>
  <c r="CO268" i="1"/>
  <c r="CQ268" i="1" s="1"/>
  <c r="CJ268" i="1"/>
  <c r="CA268" i="1"/>
  <c r="BT268" i="1"/>
  <c r="BU268" i="1" s="1"/>
  <c r="BO268" i="1"/>
  <c r="BQ268" i="1" s="1"/>
  <c r="BJ268" i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CA267" i="1"/>
  <c r="BT267" i="1"/>
  <c r="BU267" i="1" s="1"/>
  <c r="BO267" i="1"/>
  <c r="BQ267" i="1" s="1"/>
  <c r="BJ267" i="1"/>
  <c r="BL267" i="1" s="1"/>
  <c r="BE267" i="1"/>
  <c r="AV267" i="1"/>
  <c r="AO267" i="1"/>
  <c r="AJ267" i="1"/>
  <c r="AL267" i="1" s="1"/>
  <c r="AE267" i="1"/>
  <c r="AG267" i="1" s="1"/>
  <c r="Z267" i="1"/>
  <c r="N267" i="1"/>
  <c r="K267" i="1"/>
  <c r="J267" i="1"/>
  <c r="E267" i="1"/>
  <c r="D267" i="1"/>
  <c r="C267" i="1"/>
  <c r="B267" i="1"/>
  <c r="CY266" i="1"/>
  <c r="CZ266" i="1" s="1"/>
  <c r="CT266" i="1"/>
  <c r="CO266" i="1"/>
  <c r="CQ266" i="1" s="1"/>
  <c r="CJ266" i="1"/>
  <c r="CA266" i="1"/>
  <c r="BT266" i="1"/>
  <c r="BU266" i="1" s="1"/>
  <c r="BO266" i="1"/>
  <c r="BQ266" i="1" s="1"/>
  <c r="BJ266" i="1"/>
  <c r="BL266" i="1" s="1"/>
  <c r="BE266" i="1"/>
  <c r="AV266" i="1"/>
  <c r="AP266" i="1"/>
  <c r="AO266" i="1"/>
  <c r="AJ266" i="1"/>
  <c r="AL266" i="1" s="1"/>
  <c r="AG266" i="1"/>
  <c r="AQ266" i="1" s="1"/>
  <c r="AE266" i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CA265" i="1"/>
  <c r="BT265" i="1"/>
  <c r="BU265" i="1" s="1"/>
  <c r="BO265" i="1"/>
  <c r="BJ265" i="1"/>
  <c r="BL265" i="1" s="1"/>
  <c r="BE265" i="1"/>
  <c r="AV265" i="1"/>
  <c r="AO265" i="1"/>
  <c r="AP265" i="1" s="1"/>
  <c r="AJ265" i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CA264" i="1"/>
  <c r="BT264" i="1"/>
  <c r="BO264" i="1"/>
  <c r="BQ264" i="1" s="1"/>
  <c r="BJ264" i="1"/>
  <c r="BL264" i="1" s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Q263" i="1" s="1"/>
  <c r="DA263" i="1" s="1"/>
  <c r="CJ263" i="1"/>
  <c r="CA263" i="1"/>
  <c r="BT263" i="1"/>
  <c r="BU263" i="1" s="1"/>
  <c r="BO263" i="1"/>
  <c r="BQ263" i="1" s="1"/>
  <c r="BJ263" i="1"/>
  <c r="BE263" i="1"/>
  <c r="AV263" i="1"/>
  <c r="AO263" i="1"/>
  <c r="AP263" i="1" s="1"/>
  <c r="AJ263" i="1"/>
  <c r="AL263" i="1" s="1"/>
  <c r="AE263" i="1"/>
  <c r="AG263" i="1" s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CA262" i="1"/>
  <c r="BT262" i="1"/>
  <c r="BU262" i="1" s="1"/>
  <c r="BQ262" i="1"/>
  <c r="BO262" i="1"/>
  <c r="BJ262" i="1"/>
  <c r="BL262" i="1" s="1"/>
  <c r="BE262" i="1"/>
  <c r="AV262" i="1"/>
  <c r="AO262" i="1"/>
  <c r="AP262" i="1" s="1"/>
  <c r="AJ262" i="1"/>
  <c r="AL262" i="1" s="1"/>
  <c r="AE262" i="1"/>
  <c r="AG262" i="1" s="1"/>
  <c r="AQ262" i="1" s="1"/>
  <c r="Z262" i="1"/>
  <c r="N262" i="1"/>
  <c r="K262" i="1"/>
  <c r="J262" i="1"/>
  <c r="E262" i="1"/>
  <c r="D262" i="1"/>
  <c r="C262" i="1"/>
  <c r="B262" i="1"/>
  <c r="CY261" i="1"/>
  <c r="CZ261" i="1" s="1"/>
  <c r="CT261" i="1"/>
  <c r="CO261" i="1"/>
  <c r="CQ261" i="1" s="1"/>
  <c r="CJ261" i="1"/>
  <c r="CA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G261" i="1"/>
  <c r="AE261" i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J260" i="1"/>
  <c r="CA260" i="1"/>
  <c r="BU260" i="1"/>
  <c r="BT260" i="1"/>
  <c r="BO260" i="1"/>
  <c r="BQ260" i="1" s="1"/>
  <c r="BJ260" i="1"/>
  <c r="BL260" i="1" s="1"/>
  <c r="BE260" i="1"/>
  <c r="AV260" i="1"/>
  <c r="AO260" i="1"/>
  <c r="AP260" i="1" s="1"/>
  <c r="AJ260" i="1"/>
  <c r="AE260" i="1"/>
  <c r="AG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CQ259" i="1" s="1"/>
  <c r="CJ259" i="1"/>
  <c r="CA259" i="1"/>
  <c r="BT259" i="1"/>
  <c r="BU259" i="1" s="1"/>
  <c r="BO259" i="1"/>
  <c r="BQ259" i="1" s="1"/>
  <c r="BJ259" i="1"/>
  <c r="BL259" i="1" s="1"/>
  <c r="BE259" i="1"/>
  <c r="AV259" i="1"/>
  <c r="AO259" i="1"/>
  <c r="AP259" i="1" s="1"/>
  <c r="AJ259" i="1"/>
  <c r="AL259" i="1" s="1"/>
  <c r="AE259" i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J258" i="1"/>
  <c r="CA258" i="1"/>
  <c r="BT258" i="1"/>
  <c r="BU258" i="1" s="1"/>
  <c r="BO258" i="1"/>
  <c r="BQ258" i="1" s="1"/>
  <c r="BJ258" i="1"/>
  <c r="BL258" i="1" s="1"/>
  <c r="BE258" i="1"/>
  <c r="AV258" i="1"/>
  <c r="AO258" i="1"/>
  <c r="AP258" i="1" s="1"/>
  <c r="AL258" i="1"/>
  <c r="AJ258" i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Q257" i="1" s="1"/>
  <c r="CJ257" i="1"/>
  <c r="CA257" i="1"/>
  <c r="BT257" i="1"/>
  <c r="BU257" i="1" s="1"/>
  <c r="BO257" i="1"/>
  <c r="BJ257" i="1"/>
  <c r="BL257" i="1" s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Q256" i="1" s="1"/>
  <c r="CJ256" i="1"/>
  <c r="CA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AG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DB255" i="1" s="1"/>
  <c r="CJ255" i="1"/>
  <c r="CA255" i="1"/>
  <c r="BT255" i="1"/>
  <c r="BU255" i="1" s="1"/>
  <c r="BO255" i="1"/>
  <c r="BQ255" i="1" s="1"/>
  <c r="BJ255" i="1"/>
  <c r="BL255" i="1" s="1"/>
  <c r="BE255" i="1"/>
  <c r="AV255" i="1"/>
  <c r="AO255" i="1"/>
  <c r="AP255" i="1" s="1"/>
  <c r="AJ255" i="1"/>
  <c r="AL255" i="1" s="1"/>
  <c r="AE255" i="1"/>
  <c r="AG255" i="1" s="1"/>
  <c r="Z255" i="1"/>
  <c r="N255" i="1"/>
  <c r="K255" i="1"/>
  <c r="J255" i="1"/>
  <c r="E255" i="1"/>
  <c r="D255" i="1"/>
  <c r="C255" i="1"/>
  <c r="B255" i="1"/>
  <c r="CY254" i="1"/>
  <c r="CZ254" i="1" s="1"/>
  <c r="CT254" i="1"/>
  <c r="CO254" i="1"/>
  <c r="CQ254" i="1" s="1"/>
  <c r="CJ254" i="1"/>
  <c r="CA254" i="1"/>
  <c r="BT254" i="1"/>
  <c r="BU254" i="1" s="1"/>
  <c r="BO254" i="1"/>
  <c r="BQ254" i="1" s="1"/>
  <c r="BJ254" i="1"/>
  <c r="BE254" i="1"/>
  <c r="AV254" i="1"/>
  <c r="AO254" i="1"/>
  <c r="AP254" i="1" s="1"/>
  <c r="AJ254" i="1"/>
  <c r="AL254" i="1" s="1"/>
  <c r="AE254" i="1"/>
  <c r="AG254" i="1" s="1"/>
  <c r="AQ254" i="1" s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J253" i="1"/>
  <c r="CA253" i="1"/>
  <c r="BT253" i="1"/>
  <c r="BU253" i="1" s="1"/>
  <c r="BO253" i="1"/>
  <c r="BQ253" i="1" s="1"/>
  <c r="BJ253" i="1"/>
  <c r="BE253" i="1"/>
  <c r="AV253" i="1"/>
  <c r="AO253" i="1"/>
  <c r="AP253" i="1" s="1"/>
  <c r="AJ253" i="1"/>
  <c r="AE253" i="1"/>
  <c r="AG253" i="1" s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Q252" i="1" s="1"/>
  <c r="DA252" i="1" s="1"/>
  <c r="CJ252" i="1"/>
  <c r="CA252" i="1"/>
  <c r="BT252" i="1"/>
  <c r="BU252" i="1" s="1"/>
  <c r="BO252" i="1"/>
  <c r="BQ252" i="1" s="1"/>
  <c r="BJ252" i="1"/>
  <c r="BL252" i="1" s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E251" i="1"/>
  <c r="AV251" i="1"/>
  <c r="AO251" i="1"/>
  <c r="AP251" i="1" s="1"/>
  <c r="AJ251" i="1"/>
  <c r="AL251" i="1" s="1"/>
  <c r="AE251" i="1"/>
  <c r="AG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Q250" i="1" s="1"/>
  <c r="CJ250" i="1"/>
  <c r="CA250" i="1"/>
  <c r="BT250" i="1"/>
  <c r="BU250" i="1" s="1"/>
  <c r="BO250" i="1"/>
  <c r="BJ250" i="1"/>
  <c r="BL250" i="1" s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DA249" i="1"/>
  <c r="CY249" i="1"/>
  <c r="CZ249" i="1" s="1"/>
  <c r="CT249" i="1"/>
  <c r="CV249" i="1" s="1"/>
  <c r="CO249" i="1"/>
  <c r="CQ249" i="1" s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AG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J248" i="1"/>
  <c r="CA248" i="1"/>
  <c r="BT248" i="1"/>
  <c r="BU248" i="1" s="1"/>
  <c r="BO248" i="1"/>
  <c r="BQ248" i="1" s="1"/>
  <c r="BJ248" i="1"/>
  <c r="BL248" i="1" s="1"/>
  <c r="BE248" i="1"/>
  <c r="AV248" i="1"/>
  <c r="AO248" i="1"/>
  <c r="AP248" i="1" s="1"/>
  <c r="AJ248" i="1"/>
  <c r="AL248" i="1" s="1"/>
  <c r="AE248" i="1"/>
  <c r="AG248" i="1" s="1"/>
  <c r="Z248" i="1"/>
  <c r="N248" i="1"/>
  <c r="K248" i="1"/>
  <c r="J248" i="1"/>
  <c r="E248" i="1"/>
  <c r="D248" i="1"/>
  <c r="C248" i="1"/>
  <c r="B248" i="1"/>
  <c r="CY247" i="1"/>
  <c r="CZ247" i="1" s="1"/>
  <c r="CT247" i="1"/>
  <c r="CO247" i="1"/>
  <c r="CQ247" i="1" s="1"/>
  <c r="CJ247" i="1"/>
  <c r="CA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T246" i="1"/>
  <c r="BU246" i="1" s="1"/>
  <c r="BO246" i="1"/>
  <c r="BQ246" i="1" s="1"/>
  <c r="BJ246" i="1"/>
  <c r="BL246" i="1" s="1"/>
  <c r="BE246" i="1"/>
  <c r="AV246" i="1"/>
  <c r="AO246" i="1"/>
  <c r="AP246" i="1" s="1"/>
  <c r="AJ246" i="1"/>
  <c r="AE246" i="1"/>
  <c r="AG246" i="1" s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Q245" i="1" s="1"/>
  <c r="CJ245" i="1"/>
  <c r="CA245" i="1"/>
  <c r="BT245" i="1"/>
  <c r="BU245" i="1" s="1"/>
  <c r="BO245" i="1"/>
  <c r="BQ245" i="1" s="1"/>
  <c r="BJ245" i="1"/>
  <c r="BL245" i="1" s="1"/>
  <c r="BE245" i="1"/>
  <c r="AV245" i="1"/>
  <c r="AO245" i="1"/>
  <c r="AP245" i="1" s="1"/>
  <c r="AJ245" i="1"/>
  <c r="AL245" i="1" s="1"/>
  <c r="AE245" i="1"/>
  <c r="AG245" i="1" s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CA244" i="1"/>
  <c r="BT244" i="1"/>
  <c r="BU244" i="1" s="1"/>
  <c r="BO244" i="1"/>
  <c r="BQ244" i="1" s="1"/>
  <c r="BJ244" i="1"/>
  <c r="BL244" i="1" s="1"/>
  <c r="BE244" i="1"/>
  <c r="AV244" i="1"/>
  <c r="AO244" i="1"/>
  <c r="AP244" i="1" s="1"/>
  <c r="AJ244" i="1"/>
  <c r="AL244" i="1" s="1"/>
  <c r="AE244" i="1"/>
  <c r="AG244" i="1" s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CA243" i="1"/>
  <c r="BT243" i="1"/>
  <c r="BU243" i="1" s="1"/>
  <c r="BO243" i="1"/>
  <c r="BQ243" i="1" s="1"/>
  <c r="BJ243" i="1"/>
  <c r="BL243" i="1" s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H242" i="1"/>
  <c r="BC242" i="1"/>
  <c r="X242" i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J241" i="1"/>
  <c r="BL241" i="1" s="1"/>
  <c r="BE241" i="1"/>
  <c r="AV241" i="1"/>
  <c r="AO241" i="1"/>
  <c r="AP241" i="1" s="1"/>
  <c r="AJ241" i="1"/>
  <c r="AE241" i="1"/>
  <c r="AG241" i="1" s="1"/>
  <c r="Z241" i="1"/>
  <c r="N241" i="1"/>
  <c r="K241" i="1"/>
  <c r="J241" i="1"/>
  <c r="E241" i="1"/>
  <c r="D241" i="1"/>
  <c r="C241" i="1"/>
  <c r="B241" i="1"/>
  <c r="CY240" i="1"/>
  <c r="CZ240" i="1" s="1"/>
  <c r="CV240" i="1"/>
  <c r="CT240" i="1"/>
  <c r="CO240" i="1"/>
  <c r="CJ240" i="1"/>
  <c r="CA240" i="1"/>
  <c r="BT240" i="1"/>
  <c r="BU240" i="1" s="1"/>
  <c r="BO240" i="1"/>
  <c r="BJ240" i="1"/>
  <c r="BL240" i="1" s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J239" i="1"/>
  <c r="CA239" i="1"/>
  <c r="BT239" i="1"/>
  <c r="BU239" i="1" s="1"/>
  <c r="BO239" i="1"/>
  <c r="BJ239" i="1"/>
  <c r="BL239" i="1" s="1"/>
  <c r="BE239" i="1"/>
  <c r="AV239" i="1"/>
  <c r="AO239" i="1"/>
  <c r="AL239" i="1"/>
  <c r="AJ239" i="1"/>
  <c r="AE239" i="1"/>
  <c r="AG239" i="1" s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Q238" i="1" s="1"/>
  <c r="CJ238" i="1"/>
  <c r="CA238" i="1"/>
  <c r="BT238" i="1"/>
  <c r="BU238" i="1" s="1"/>
  <c r="BO238" i="1"/>
  <c r="BQ238" i="1" s="1"/>
  <c r="BJ238" i="1"/>
  <c r="BL238" i="1" s="1"/>
  <c r="BE238" i="1"/>
  <c r="AV238" i="1"/>
  <c r="AO238" i="1"/>
  <c r="AP238" i="1" s="1"/>
  <c r="AJ238" i="1"/>
  <c r="AL238" i="1" s="1"/>
  <c r="AE238" i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CA237" i="1"/>
  <c r="BT237" i="1"/>
  <c r="BU237" i="1" s="1"/>
  <c r="BO237" i="1"/>
  <c r="BQ237" i="1" s="1"/>
  <c r="BJ237" i="1"/>
  <c r="BE237" i="1"/>
  <c r="AV237" i="1"/>
  <c r="AO237" i="1"/>
  <c r="AP237" i="1" s="1"/>
  <c r="AJ237" i="1"/>
  <c r="AL237" i="1" s="1"/>
  <c r="AE237" i="1"/>
  <c r="AG237" i="1" s="1"/>
  <c r="Z237" i="1"/>
  <c r="N237" i="1"/>
  <c r="K237" i="1"/>
  <c r="J237" i="1"/>
  <c r="E237" i="1"/>
  <c r="D237" i="1"/>
  <c r="C237" i="1"/>
  <c r="B237" i="1"/>
  <c r="CY236" i="1"/>
  <c r="CT236" i="1"/>
  <c r="CV236" i="1" s="1"/>
  <c r="CO236" i="1"/>
  <c r="CQ236" i="1" s="1"/>
  <c r="CJ236" i="1"/>
  <c r="CA236" i="1"/>
  <c r="BT236" i="1"/>
  <c r="BO236" i="1"/>
  <c r="BQ236" i="1" s="1"/>
  <c r="BJ236" i="1"/>
  <c r="BL236" i="1" s="1"/>
  <c r="BV236" i="1" s="1"/>
  <c r="BE236" i="1"/>
  <c r="AV236" i="1"/>
  <c r="AO236" i="1"/>
  <c r="AP236" i="1" s="1"/>
  <c r="AL236" i="1"/>
  <c r="AJ236" i="1"/>
  <c r="AE236" i="1"/>
  <c r="AG236" i="1" s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Q235" i="1" s="1"/>
  <c r="CJ235" i="1"/>
  <c r="CA235" i="1"/>
  <c r="BT235" i="1"/>
  <c r="BU235" i="1" s="1"/>
  <c r="BO235" i="1"/>
  <c r="BQ235" i="1" s="1"/>
  <c r="BJ235" i="1"/>
  <c r="BL235" i="1" s="1"/>
  <c r="BE235" i="1"/>
  <c r="AV235" i="1"/>
  <c r="AO235" i="1"/>
  <c r="AP235" i="1" s="1"/>
  <c r="AJ235" i="1"/>
  <c r="AE235" i="1"/>
  <c r="AG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Q234" i="1" s="1"/>
  <c r="CJ234" i="1"/>
  <c r="CA234" i="1"/>
  <c r="BT234" i="1"/>
  <c r="BU234" i="1" s="1"/>
  <c r="BO234" i="1"/>
  <c r="BQ234" i="1" s="1"/>
  <c r="BJ234" i="1"/>
  <c r="BE234" i="1"/>
  <c r="AV234" i="1"/>
  <c r="AO234" i="1"/>
  <c r="AJ234" i="1"/>
  <c r="AL234" i="1" s="1"/>
  <c r="AE234" i="1"/>
  <c r="AG234" i="1" s="1"/>
  <c r="Z234" i="1"/>
  <c r="N234" i="1"/>
  <c r="K234" i="1"/>
  <c r="J234" i="1"/>
  <c r="E234" i="1"/>
  <c r="D234" i="1"/>
  <c r="C234" i="1"/>
  <c r="B234" i="1"/>
  <c r="CY233" i="1"/>
  <c r="CZ233" i="1" s="1"/>
  <c r="CV233" i="1"/>
  <c r="CT233" i="1"/>
  <c r="CO233" i="1"/>
  <c r="CQ233" i="1" s="1"/>
  <c r="CJ233" i="1"/>
  <c r="CA233" i="1"/>
  <c r="BT233" i="1"/>
  <c r="BU233" i="1" s="1"/>
  <c r="BO233" i="1"/>
  <c r="BQ233" i="1" s="1"/>
  <c r="BJ233" i="1"/>
  <c r="BE233" i="1"/>
  <c r="AV233" i="1"/>
  <c r="AO233" i="1"/>
  <c r="AP233" i="1" s="1"/>
  <c r="AJ233" i="1"/>
  <c r="AL233" i="1" s="1"/>
  <c r="AE233" i="1"/>
  <c r="AG233" i="1" s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Q232" i="1" s="1"/>
  <c r="CJ232" i="1"/>
  <c r="CA232" i="1"/>
  <c r="BT232" i="1"/>
  <c r="BU232" i="1" s="1"/>
  <c r="BO232" i="1"/>
  <c r="BQ232" i="1" s="1"/>
  <c r="BJ232" i="1"/>
  <c r="BE232" i="1"/>
  <c r="AV232" i="1"/>
  <c r="AO232" i="1"/>
  <c r="AP232" i="1" s="1"/>
  <c r="AL232" i="1"/>
  <c r="AJ232" i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Q231" i="1" s="1"/>
  <c r="CJ231" i="1"/>
  <c r="CA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Q230" i="1" s="1"/>
  <c r="CJ230" i="1"/>
  <c r="CA230" i="1"/>
  <c r="BT230" i="1"/>
  <c r="BU230" i="1" s="1"/>
  <c r="BO230" i="1"/>
  <c r="BQ230" i="1" s="1"/>
  <c r="BJ230" i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DB229" i="1" s="1"/>
  <c r="CO229" i="1"/>
  <c r="CQ229" i="1" s="1"/>
  <c r="CJ229" i="1"/>
  <c r="CA229" i="1"/>
  <c r="BT229" i="1"/>
  <c r="BU229" i="1" s="1"/>
  <c r="BO229" i="1"/>
  <c r="BQ229" i="1" s="1"/>
  <c r="BJ229" i="1"/>
  <c r="BL229" i="1" s="1"/>
  <c r="BE229" i="1"/>
  <c r="AV229" i="1"/>
  <c r="AO229" i="1"/>
  <c r="AP229" i="1" s="1"/>
  <c r="AJ229" i="1"/>
  <c r="AL229" i="1" s="1"/>
  <c r="AE229" i="1"/>
  <c r="AG229" i="1" s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Q228" i="1" s="1"/>
  <c r="CJ228" i="1"/>
  <c r="CA228" i="1"/>
  <c r="BT228" i="1"/>
  <c r="BU228" i="1" s="1"/>
  <c r="BO228" i="1"/>
  <c r="BQ228" i="1" s="1"/>
  <c r="BJ228" i="1"/>
  <c r="BE228" i="1"/>
  <c r="AV228" i="1"/>
  <c r="AO228" i="1"/>
  <c r="AP228" i="1" s="1"/>
  <c r="AJ228" i="1"/>
  <c r="AL228" i="1" s="1"/>
  <c r="AE228" i="1"/>
  <c r="AG228" i="1" s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E227" i="1"/>
  <c r="AG227" i="1" s="1"/>
  <c r="Z227" i="1"/>
  <c r="N227" i="1"/>
  <c r="K227" i="1"/>
  <c r="J227" i="1"/>
  <c r="E227" i="1"/>
  <c r="D227" i="1"/>
  <c r="C227" i="1"/>
  <c r="B227" i="1"/>
  <c r="CY226" i="1"/>
  <c r="CV226" i="1"/>
  <c r="CT226" i="1"/>
  <c r="CO226" i="1"/>
  <c r="CQ226" i="1" s="1"/>
  <c r="CJ226" i="1"/>
  <c r="CA226" i="1"/>
  <c r="BT226" i="1"/>
  <c r="BU226" i="1" s="1"/>
  <c r="BO226" i="1"/>
  <c r="BQ226" i="1" s="1"/>
  <c r="BJ226" i="1"/>
  <c r="BE226" i="1"/>
  <c r="AV226" i="1"/>
  <c r="AO226" i="1"/>
  <c r="AJ226" i="1"/>
  <c r="AL226" i="1" s="1"/>
  <c r="AE226" i="1"/>
  <c r="AG226" i="1" s="1"/>
  <c r="Z226" i="1"/>
  <c r="N226" i="1"/>
  <c r="K226" i="1"/>
  <c r="J226" i="1"/>
  <c r="E226" i="1"/>
  <c r="D226" i="1"/>
  <c r="C226" i="1"/>
  <c r="B226" i="1"/>
  <c r="CY225" i="1"/>
  <c r="CZ225" i="1" s="1"/>
  <c r="CV225" i="1"/>
  <c r="CT225" i="1"/>
  <c r="CO225" i="1"/>
  <c r="CJ225" i="1"/>
  <c r="CA225" i="1"/>
  <c r="BT225" i="1"/>
  <c r="BU225" i="1" s="1"/>
  <c r="BO225" i="1"/>
  <c r="BJ225" i="1"/>
  <c r="BL225" i="1" s="1"/>
  <c r="BE225" i="1"/>
  <c r="AV225" i="1"/>
  <c r="AO225" i="1"/>
  <c r="AJ225" i="1"/>
  <c r="AL225" i="1" s="1"/>
  <c r="AE225" i="1"/>
  <c r="AG225" i="1" s="1"/>
  <c r="Z225" i="1"/>
  <c r="N225" i="1"/>
  <c r="K225" i="1"/>
  <c r="J225" i="1"/>
  <c r="E225" i="1"/>
  <c r="D225" i="1"/>
  <c r="C225" i="1"/>
  <c r="B225" i="1"/>
  <c r="CY224" i="1"/>
  <c r="CZ224" i="1" s="1"/>
  <c r="CT224" i="1"/>
  <c r="CO224" i="1"/>
  <c r="CQ224" i="1" s="1"/>
  <c r="CJ224" i="1"/>
  <c r="CA224" i="1"/>
  <c r="BT224" i="1"/>
  <c r="BU224" i="1" s="1"/>
  <c r="BO224" i="1"/>
  <c r="BQ224" i="1" s="1"/>
  <c r="BJ224" i="1"/>
  <c r="BE224" i="1"/>
  <c r="AV224" i="1"/>
  <c r="AO224" i="1"/>
  <c r="AJ224" i="1"/>
  <c r="AL224" i="1" s="1"/>
  <c r="AE224" i="1"/>
  <c r="AG224" i="1" s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Q223" i="1"/>
  <c r="CO223" i="1"/>
  <c r="CJ223" i="1"/>
  <c r="CA223" i="1"/>
  <c r="BU223" i="1"/>
  <c r="BT223" i="1"/>
  <c r="BO223" i="1"/>
  <c r="BQ223" i="1" s="1"/>
  <c r="BJ223" i="1"/>
  <c r="BL223" i="1" s="1"/>
  <c r="BE223" i="1"/>
  <c r="AV223" i="1"/>
  <c r="AO223" i="1"/>
  <c r="AP223" i="1" s="1"/>
  <c r="AL223" i="1"/>
  <c r="AJ223" i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J222" i="1"/>
  <c r="CA222" i="1"/>
  <c r="BT222" i="1"/>
  <c r="BU222" i="1" s="1"/>
  <c r="BO222" i="1"/>
  <c r="BQ222" i="1" s="1"/>
  <c r="BJ222" i="1"/>
  <c r="BL222" i="1" s="1"/>
  <c r="BE222" i="1"/>
  <c r="AV222" i="1"/>
  <c r="AO222" i="1"/>
  <c r="AP222" i="1" s="1"/>
  <c r="AJ222" i="1"/>
  <c r="AL222" i="1" s="1"/>
  <c r="AE222" i="1"/>
  <c r="AG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CA221" i="1"/>
  <c r="BT221" i="1"/>
  <c r="BU221" i="1" s="1"/>
  <c r="BO221" i="1"/>
  <c r="BQ221" i="1" s="1"/>
  <c r="BJ221" i="1"/>
  <c r="BL221" i="1" s="1"/>
  <c r="BE221" i="1"/>
  <c r="AV221" i="1"/>
  <c r="AP221" i="1"/>
  <c r="AO221" i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Q220" i="1" s="1"/>
  <c r="CJ220" i="1"/>
  <c r="CA220" i="1"/>
  <c r="BT220" i="1"/>
  <c r="BO220" i="1"/>
  <c r="BQ220" i="1" s="1"/>
  <c r="BJ220" i="1"/>
  <c r="BL220" i="1" s="1"/>
  <c r="BE220" i="1"/>
  <c r="AV220" i="1"/>
  <c r="AO220" i="1"/>
  <c r="AP220" i="1" s="1"/>
  <c r="AJ220" i="1"/>
  <c r="AL220" i="1" s="1"/>
  <c r="AE220" i="1"/>
  <c r="Z220" i="1"/>
  <c r="N220" i="1"/>
  <c r="K220" i="1"/>
  <c r="J220" i="1"/>
  <c r="E220" i="1"/>
  <c r="D220" i="1"/>
  <c r="C220" i="1"/>
  <c r="B220" i="1"/>
  <c r="CY219" i="1"/>
  <c r="CT219" i="1"/>
  <c r="CV219" i="1" s="1"/>
  <c r="CO219" i="1"/>
  <c r="CQ219" i="1" s="1"/>
  <c r="CJ219" i="1"/>
  <c r="CA219" i="1"/>
  <c r="BT219" i="1"/>
  <c r="BO219" i="1"/>
  <c r="BQ219" i="1" s="1"/>
  <c r="BL219" i="1"/>
  <c r="BJ219" i="1"/>
  <c r="BE219" i="1"/>
  <c r="AV219" i="1"/>
  <c r="AO219" i="1"/>
  <c r="AP219" i="1" s="1"/>
  <c r="AJ219" i="1"/>
  <c r="AL219" i="1" s="1"/>
  <c r="AE219" i="1"/>
  <c r="AG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E218" i="1"/>
  <c r="AV218" i="1"/>
  <c r="AO218" i="1"/>
  <c r="AP218" i="1" s="1"/>
  <c r="AJ218" i="1"/>
  <c r="AL218" i="1" s="1"/>
  <c r="AE218" i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Q217" i="1" s="1"/>
  <c r="CJ217" i="1"/>
  <c r="CA217" i="1"/>
  <c r="BU217" i="1"/>
  <c r="BT217" i="1"/>
  <c r="BO217" i="1"/>
  <c r="BQ217" i="1" s="1"/>
  <c r="BJ217" i="1"/>
  <c r="BW217" i="1" s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O216" i="1"/>
  <c r="CQ216" i="1" s="1"/>
  <c r="CJ216" i="1"/>
  <c r="CA216" i="1"/>
  <c r="BT216" i="1"/>
  <c r="BU216" i="1" s="1"/>
  <c r="BO216" i="1"/>
  <c r="BQ216" i="1" s="1"/>
  <c r="BJ216" i="1"/>
  <c r="BL216" i="1" s="1"/>
  <c r="BE216" i="1"/>
  <c r="AV216" i="1"/>
  <c r="AP216" i="1"/>
  <c r="AO216" i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J215" i="1"/>
  <c r="CA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AG215" i="1" s="1"/>
  <c r="Z215" i="1"/>
  <c r="N215" i="1"/>
  <c r="K215" i="1"/>
  <c r="J215" i="1"/>
  <c r="E215" i="1"/>
  <c r="D215" i="1"/>
  <c r="C215" i="1"/>
  <c r="B215" i="1"/>
  <c r="CY214" i="1"/>
  <c r="CT214" i="1"/>
  <c r="CV214" i="1" s="1"/>
  <c r="CO214" i="1"/>
  <c r="CQ214" i="1" s="1"/>
  <c r="CJ214" i="1"/>
  <c r="CA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J213" i="1"/>
  <c r="CA213" i="1"/>
  <c r="BT213" i="1"/>
  <c r="BU213" i="1" s="1"/>
  <c r="BO213" i="1"/>
  <c r="BJ213" i="1"/>
  <c r="BL213" i="1" s="1"/>
  <c r="BE213" i="1"/>
  <c r="AV213" i="1"/>
  <c r="AO213" i="1"/>
  <c r="AP213" i="1" s="1"/>
  <c r="AJ213" i="1"/>
  <c r="AE213" i="1"/>
  <c r="AG213" i="1" s="1"/>
  <c r="Z213" i="1"/>
  <c r="N213" i="1"/>
  <c r="K213" i="1"/>
  <c r="J213" i="1"/>
  <c r="E213" i="1"/>
  <c r="D213" i="1"/>
  <c r="C213" i="1"/>
  <c r="B213" i="1"/>
  <c r="CH212" i="1"/>
  <c r="BC212" i="1"/>
  <c r="X212" i="1"/>
  <c r="CY211" i="1"/>
  <c r="CZ211" i="1" s="1"/>
  <c r="CT211" i="1"/>
  <c r="CV211" i="1" s="1"/>
  <c r="CQ211" i="1"/>
  <c r="CO211" i="1"/>
  <c r="CJ211" i="1"/>
  <c r="CA211" i="1"/>
  <c r="BU211" i="1"/>
  <c r="BT211" i="1"/>
  <c r="BO211" i="1"/>
  <c r="BQ211" i="1" s="1"/>
  <c r="BJ211" i="1"/>
  <c r="BL211" i="1" s="1"/>
  <c r="BV211" i="1" s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Q210" i="1" s="1"/>
  <c r="CJ210" i="1"/>
  <c r="CA210" i="1"/>
  <c r="BT210" i="1"/>
  <c r="BU210" i="1" s="1"/>
  <c r="BO210" i="1"/>
  <c r="BJ210" i="1"/>
  <c r="BL210" i="1" s="1"/>
  <c r="BE210" i="1"/>
  <c r="AV210" i="1"/>
  <c r="AO210" i="1"/>
  <c r="AP210" i="1" s="1"/>
  <c r="AJ210" i="1"/>
  <c r="AE210" i="1"/>
  <c r="AG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CA209" i="1"/>
  <c r="BT209" i="1"/>
  <c r="BU209" i="1" s="1"/>
  <c r="BO209" i="1"/>
  <c r="BQ209" i="1" s="1"/>
  <c r="BJ209" i="1"/>
  <c r="BL209" i="1" s="1"/>
  <c r="BE209" i="1"/>
  <c r="AV209" i="1"/>
  <c r="AO209" i="1"/>
  <c r="AP209" i="1" s="1"/>
  <c r="AJ209" i="1"/>
  <c r="AL209" i="1" s="1"/>
  <c r="AE209" i="1"/>
  <c r="AG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Z207" i="1"/>
  <c r="CY207" i="1"/>
  <c r="CT207" i="1"/>
  <c r="CO207" i="1"/>
  <c r="CQ207" i="1" s="1"/>
  <c r="CJ207" i="1"/>
  <c r="CA207" i="1"/>
  <c r="BT207" i="1"/>
  <c r="BU207" i="1" s="1"/>
  <c r="BO207" i="1"/>
  <c r="BQ207" i="1" s="1"/>
  <c r="BJ207" i="1"/>
  <c r="BL207" i="1" s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CJ206" i="1"/>
  <c r="CA206" i="1"/>
  <c r="BT206" i="1"/>
  <c r="BU206" i="1" s="1"/>
  <c r="BO206" i="1"/>
  <c r="BQ206" i="1" s="1"/>
  <c r="BJ206" i="1"/>
  <c r="BL206" i="1" s="1"/>
  <c r="BE206" i="1"/>
  <c r="AV206" i="1"/>
  <c r="AO206" i="1"/>
  <c r="AP206" i="1" s="1"/>
  <c r="AJ206" i="1"/>
  <c r="AE206" i="1"/>
  <c r="AG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J205" i="1"/>
  <c r="CA205" i="1"/>
  <c r="BT205" i="1"/>
  <c r="BU205" i="1" s="1"/>
  <c r="BO205" i="1"/>
  <c r="BQ205" i="1" s="1"/>
  <c r="BJ205" i="1"/>
  <c r="BE205" i="1"/>
  <c r="AV205" i="1"/>
  <c r="AO205" i="1"/>
  <c r="AP205" i="1" s="1"/>
  <c r="AJ205" i="1"/>
  <c r="AL205" i="1" s="1"/>
  <c r="AE205" i="1"/>
  <c r="AG205" i="1" s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Q204" i="1" s="1"/>
  <c r="CJ204" i="1"/>
  <c r="CA204" i="1"/>
  <c r="BT204" i="1"/>
  <c r="BU204" i="1" s="1"/>
  <c r="BO204" i="1"/>
  <c r="BQ204" i="1" s="1"/>
  <c r="BJ204" i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Q203" i="1" s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L203" i="1"/>
  <c r="AJ203" i="1"/>
  <c r="AE203" i="1"/>
  <c r="AG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O202" i="1"/>
  <c r="BQ202" i="1" s="1"/>
  <c r="BJ202" i="1"/>
  <c r="BL202" i="1" s="1"/>
  <c r="BV202" i="1" s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J200" i="1"/>
  <c r="BL200" i="1" s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Q199" i="1" s="1"/>
  <c r="CJ199" i="1"/>
  <c r="CA199" i="1"/>
  <c r="BT199" i="1"/>
  <c r="BU199" i="1" s="1"/>
  <c r="BO199" i="1"/>
  <c r="BQ199" i="1" s="1"/>
  <c r="BJ199" i="1"/>
  <c r="BL199" i="1" s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Q198" i="1" s="1"/>
  <c r="CJ198" i="1"/>
  <c r="CA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AG198" i="1" s="1"/>
  <c r="Z198" i="1"/>
  <c r="N198" i="1"/>
  <c r="K198" i="1"/>
  <c r="J198" i="1"/>
  <c r="E198" i="1"/>
  <c r="D198" i="1"/>
  <c r="C198" i="1"/>
  <c r="B198" i="1"/>
  <c r="CY197" i="1"/>
  <c r="CZ197" i="1" s="1"/>
  <c r="CT197" i="1"/>
  <c r="CO197" i="1"/>
  <c r="CQ197" i="1" s="1"/>
  <c r="CJ197" i="1"/>
  <c r="CA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G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AG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L195" i="1" s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DA194" i="1" s="1"/>
  <c r="CO194" i="1"/>
  <c r="CQ194" i="1" s="1"/>
  <c r="CJ194" i="1"/>
  <c r="CA194" i="1"/>
  <c r="BT194" i="1"/>
  <c r="BU194" i="1" s="1"/>
  <c r="BO194" i="1"/>
  <c r="BQ194" i="1" s="1"/>
  <c r="BJ194" i="1"/>
  <c r="BL194" i="1" s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Z193" i="1"/>
  <c r="CY193" i="1"/>
  <c r="CT193" i="1"/>
  <c r="CV193" i="1" s="1"/>
  <c r="CO193" i="1"/>
  <c r="CJ193" i="1"/>
  <c r="CA193" i="1"/>
  <c r="BT193" i="1"/>
  <c r="BU193" i="1" s="1"/>
  <c r="BO193" i="1"/>
  <c r="BL193" i="1"/>
  <c r="BJ193" i="1"/>
  <c r="BE193" i="1"/>
  <c r="AV193" i="1"/>
  <c r="AO193" i="1"/>
  <c r="AP193" i="1" s="1"/>
  <c r="AJ193" i="1"/>
  <c r="AL193" i="1" s="1"/>
  <c r="AE193" i="1"/>
  <c r="AG193" i="1" s="1"/>
  <c r="AQ193" i="1" s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Q192" i="1" s="1"/>
  <c r="CJ192" i="1"/>
  <c r="CA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E192" i="1"/>
  <c r="AG192" i="1" s="1"/>
  <c r="AQ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AG191" i="1" s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Q190" i="1" s="1"/>
  <c r="CJ190" i="1"/>
  <c r="CA190" i="1"/>
  <c r="BT190" i="1"/>
  <c r="BU190" i="1" s="1"/>
  <c r="BO190" i="1"/>
  <c r="BQ190" i="1" s="1"/>
  <c r="BJ190" i="1"/>
  <c r="BL190" i="1" s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Q189" i="1" s="1"/>
  <c r="CJ189" i="1"/>
  <c r="CA189" i="1"/>
  <c r="BT189" i="1"/>
  <c r="BU189" i="1" s="1"/>
  <c r="BO189" i="1"/>
  <c r="BQ189" i="1" s="1"/>
  <c r="BJ189" i="1"/>
  <c r="BL189" i="1" s="1"/>
  <c r="BE189" i="1"/>
  <c r="AV189" i="1"/>
  <c r="AO189" i="1"/>
  <c r="AP189" i="1" s="1"/>
  <c r="AJ189" i="1"/>
  <c r="AL189" i="1" s="1"/>
  <c r="AE189" i="1"/>
  <c r="AG189" i="1" s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E188" i="1"/>
  <c r="AV188" i="1"/>
  <c r="AO188" i="1"/>
  <c r="AP188" i="1" s="1"/>
  <c r="AJ188" i="1"/>
  <c r="AL188" i="1" s="1"/>
  <c r="AE188" i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Q187" i="1" s="1"/>
  <c r="CJ187" i="1"/>
  <c r="CA187" i="1"/>
  <c r="BT187" i="1"/>
  <c r="BU187" i="1" s="1"/>
  <c r="BO187" i="1"/>
  <c r="BQ187" i="1" s="1"/>
  <c r="BJ187" i="1"/>
  <c r="BE187" i="1"/>
  <c r="AV187" i="1"/>
  <c r="AO187" i="1"/>
  <c r="AP187" i="1" s="1"/>
  <c r="AJ187" i="1"/>
  <c r="AL187" i="1" s="1"/>
  <c r="AE187" i="1"/>
  <c r="AG187" i="1" s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CA186" i="1"/>
  <c r="BT186" i="1"/>
  <c r="BU186" i="1" s="1"/>
  <c r="BO186" i="1"/>
  <c r="BQ186" i="1" s="1"/>
  <c r="BJ186" i="1"/>
  <c r="BL186" i="1" s="1"/>
  <c r="BV186" i="1" s="1"/>
  <c r="BE186" i="1"/>
  <c r="AV186" i="1"/>
  <c r="AO186" i="1"/>
  <c r="AP186" i="1" s="1"/>
  <c r="AJ186" i="1"/>
  <c r="AL186" i="1" s="1"/>
  <c r="AE186" i="1"/>
  <c r="AG186" i="1" s="1"/>
  <c r="AQ186" i="1" s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Q185" i="1" s="1"/>
  <c r="CJ185" i="1"/>
  <c r="CA185" i="1"/>
  <c r="BT185" i="1"/>
  <c r="BU185" i="1" s="1"/>
  <c r="BO185" i="1"/>
  <c r="BQ185" i="1" s="1"/>
  <c r="BJ185" i="1"/>
  <c r="BW185" i="1" s="1"/>
  <c r="BE185" i="1"/>
  <c r="AV185" i="1"/>
  <c r="AO185" i="1"/>
  <c r="AP185" i="1" s="1"/>
  <c r="AJ185" i="1"/>
  <c r="AL185" i="1" s="1"/>
  <c r="AE185" i="1"/>
  <c r="AG185" i="1" s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J184" i="1"/>
  <c r="CA184" i="1"/>
  <c r="BT184" i="1"/>
  <c r="BU184" i="1" s="1"/>
  <c r="BO184" i="1"/>
  <c r="BQ184" i="1" s="1"/>
  <c r="BJ184" i="1"/>
  <c r="BE184" i="1"/>
  <c r="AV184" i="1"/>
  <c r="AO184" i="1"/>
  <c r="AP184" i="1" s="1"/>
  <c r="AJ184" i="1"/>
  <c r="AL184" i="1" s="1"/>
  <c r="AE184" i="1"/>
  <c r="AG184" i="1" s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CA183" i="1"/>
  <c r="BT183" i="1"/>
  <c r="BU183" i="1" s="1"/>
  <c r="BO183" i="1"/>
  <c r="BJ183" i="1"/>
  <c r="BL183" i="1" s="1"/>
  <c r="BE183" i="1"/>
  <c r="AV183" i="1"/>
  <c r="AP183" i="1"/>
  <c r="AO183" i="1"/>
  <c r="AJ183" i="1"/>
  <c r="AL183" i="1" s="1"/>
  <c r="AE183" i="1"/>
  <c r="AG183" i="1" s="1"/>
  <c r="AQ183" i="1" s="1"/>
  <c r="Z183" i="1"/>
  <c r="N183" i="1"/>
  <c r="K183" i="1"/>
  <c r="J183" i="1"/>
  <c r="E183" i="1"/>
  <c r="D183" i="1"/>
  <c r="C183" i="1"/>
  <c r="B183" i="1"/>
  <c r="CH182" i="1"/>
  <c r="BC182" i="1"/>
  <c r="X182" i="1"/>
  <c r="CY181" i="1"/>
  <c r="CZ181" i="1" s="1"/>
  <c r="CT181" i="1"/>
  <c r="CV181" i="1" s="1"/>
  <c r="CO181" i="1"/>
  <c r="CQ181" i="1" s="1"/>
  <c r="CJ181" i="1"/>
  <c r="CA181" i="1"/>
  <c r="BT181" i="1"/>
  <c r="BU181" i="1" s="1"/>
  <c r="BO181" i="1"/>
  <c r="BJ181" i="1"/>
  <c r="BL181" i="1" s="1"/>
  <c r="BE181" i="1"/>
  <c r="AV181" i="1"/>
  <c r="AO181" i="1"/>
  <c r="AP181" i="1" s="1"/>
  <c r="AJ181" i="1"/>
  <c r="AL181" i="1" s="1"/>
  <c r="AE181" i="1"/>
  <c r="AG181" i="1" s="1"/>
  <c r="Z181" i="1"/>
  <c r="N181" i="1"/>
  <c r="K181" i="1"/>
  <c r="J181" i="1"/>
  <c r="E181" i="1"/>
  <c r="D181" i="1"/>
  <c r="C181" i="1"/>
  <c r="B181" i="1"/>
  <c r="CY180" i="1"/>
  <c r="CZ180" i="1" s="1"/>
  <c r="CT180" i="1"/>
  <c r="CO180" i="1"/>
  <c r="CQ180" i="1" s="1"/>
  <c r="CJ180" i="1"/>
  <c r="CA180" i="1"/>
  <c r="BT180" i="1"/>
  <c r="BU180" i="1" s="1"/>
  <c r="BO180" i="1"/>
  <c r="BQ180" i="1" s="1"/>
  <c r="BJ180" i="1"/>
  <c r="BL180" i="1" s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O179" i="1"/>
  <c r="CQ179" i="1" s="1"/>
  <c r="CJ179" i="1"/>
  <c r="CA179" i="1"/>
  <c r="BT179" i="1"/>
  <c r="BU179" i="1" s="1"/>
  <c r="BO179" i="1"/>
  <c r="BQ179" i="1" s="1"/>
  <c r="BJ179" i="1"/>
  <c r="BE179" i="1"/>
  <c r="AV179" i="1"/>
  <c r="AO179" i="1"/>
  <c r="AP179" i="1" s="1"/>
  <c r="AJ179" i="1"/>
  <c r="AL179" i="1" s="1"/>
  <c r="AE179" i="1"/>
  <c r="AG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Q178" i="1" s="1"/>
  <c r="CJ178" i="1"/>
  <c r="CA178" i="1"/>
  <c r="BT178" i="1"/>
  <c r="BU178" i="1" s="1"/>
  <c r="BO178" i="1"/>
  <c r="BQ178" i="1" s="1"/>
  <c r="BJ178" i="1"/>
  <c r="BL178" i="1" s="1"/>
  <c r="BE178" i="1"/>
  <c r="AV178" i="1"/>
  <c r="AO178" i="1"/>
  <c r="AP178" i="1" s="1"/>
  <c r="AJ178" i="1"/>
  <c r="AL178" i="1" s="1"/>
  <c r="AE178" i="1"/>
  <c r="AG178" i="1" s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CQ177" i="1" s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E177" i="1"/>
  <c r="AG177" i="1" s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Q176" i="1" s="1"/>
  <c r="CJ176" i="1"/>
  <c r="CA176" i="1"/>
  <c r="BT176" i="1"/>
  <c r="BU176" i="1" s="1"/>
  <c r="BO176" i="1"/>
  <c r="BQ176" i="1" s="1"/>
  <c r="BJ176" i="1"/>
  <c r="BL176" i="1" s="1"/>
  <c r="BE176" i="1"/>
  <c r="AV176" i="1"/>
  <c r="AO176" i="1"/>
  <c r="AP176" i="1" s="1"/>
  <c r="AJ176" i="1"/>
  <c r="AL176" i="1" s="1"/>
  <c r="AE176" i="1"/>
  <c r="AG176" i="1" s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Q175" i="1" s="1"/>
  <c r="CJ175" i="1"/>
  <c r="CA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E175" i="1"/>
  <c r="AG175" i="1" s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CA174" i="1"/>
  <c r="BT174" i="1"/>
  <c r="BU174" i="1" s="1"/>
  <c r="BO174" i="1"/>
  <c r="BQ174" i="1" s="1"/>
  <c r="BJ174" i="1"/>
  <c r="BL174" i="1" s="1"/>
  <c r="BE174" i="1"/>
  <c r="AV174" i="1"/>
  <c r="AO174" i="1"/>
  <c r="AP174" i="1" s="1"/>
  <c r="AJ174" i="1"/>
  <c r="AE174" i="1"/>
  <c r="AG174" i="1" s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Q173" i="1" s="1"/>
  <c r="CJ173" i="1"/>
  <c r="CA173" i="1"/>
  <c r="BT173" i="1"/>
  <c r="BU173" i="1" s="1"/>
  <c r="BO173" i="1"/>
  <c r="BQ173" i="1" s="1"/>
  <c r="BJ173" i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Q172" i="1" s="1"/>
  <c r="CJ172" i="1"/>
  <c r="CA172" i="1"/>
  <c r="BT172" i="1"/>
  <c r="BU172" i="1" s="1"/>
  <c r="BO172" i="1"/>
  <c r="BQ172" i="1" s="1"/>
  <c r="BJ172" i="1"/>
  <c r="BL172" i="1" s="1"/>
  <c r="BE172" i="1"/>
  <c r="AV172" i="1"/>
  <c r="AO172" i="1"/>
  <c r="AP172" i="1" s="1"/>
  <c r="AJ172" i="1"/>
  <c r="AE172" i="1"/>
  <c r="AG172" i="1" s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T170" i="1"/>
  <c r="BU170" i="1" s="1"/>
  <c r="BO170" i="1"/>
  <c r="BQ170" i="1" s="1"/>
  <c r="BJ170" i="1"/>
  <c r="BL170" i="1" s="1"/>
  <c r="BE170" i="1"/>
  <c r="AV170" i="1"/>
  <c r="AO170" i="1"/>
  <c r="AJ170" i="1"/>
  <c r="AL170" i="1" s="1"/>
  <c r="AE170" i="1"/>
  <c r="AG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J169" i="1"/>
  <c r="BL169" i="1" s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U168" i="1" s="1"/>
  <c r="BO168" i="1"/>
  <c r="BQ168" i="1" s="1"/>
  <c r="BJ168" i="1"/>
  <c r="BL168" i="1" s="1"/>
  <c r="BE168" i="1"/>
  <c r="AV168" i="1"/>
  <c r="AO168" i="1"/>
  <c r="AP168" i="1" s="1"/>
  <c r="AJ168" i="1"/>
  <c r="AE168" i="1"/>
  <c r="AG168" i="1" s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Q167" i="1" s="1"/>
  <c r="CJ167" i="1"/>
  <c r="CA167" i="1"/>
  <c r="BT167" i="1"/>
  <c r="BU167" i="1" s="1"/>
  <c r="BO167" i="1"/>
  <c r="BQ167" i="1" s="1"/>
  <c r="BJ167" i="1"/>
  <c r="BL167" i="1" s="1"/>
  <c r="BE167" i="1"/>
  <c r="AV167" i="1"/>
  <c r="AO167" i="1"/>
  <c r="AP167" i="1" s="1"/>
  <c r="AJ167" i="1"/>
  <c r="AL167" i="1" s="1"/>
  <c r="AE167" i="1"/>
  <c r="AG167" i="1" s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Q166" i="1" s="1"/>
  <c r="CJ166" i="1"/>
  <c r="CA166" i="1"/>
  <c r="BT166" i="1"/>
  <c r="BU166" i="1" s="1"/>
  <c r="BO166" i="1"/>
  <c r="BQ166" i="1" s="1"/>
  <c r="BJ166" i="1"/>
  <c r="BE166" i="1"/>
  <c r="AV166" i="1"/>
  <c r="AO166" i="1"/>
  <c r="AP166" i="1" s="1"/>
  <c r="AJ166" i="1"/>
  <c r="AL166" i="1" s="1"/>
  <c r="AE166" i="1"/>
  <c r="AG166" i="1" s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J165" i="1"/>
  <c r="CA165" i="1"/>
  <c r="BT165" i="1"/>
  <c r="BU165" i="1" s="1"/>
  <c r="BO165" i="1"/>
  <c r="BQ165" i="1" s="1"/>
  <c r="BJ165" i="1"/>
  <c r="BL165" i="1" s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O164" i="1"/>
  <c r="CQ164" i="1" s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Q163" i="1" s="1"/>
  <c r="CJ163" i="1"/>
  <c r="CA163" i="1"/>
  <c r="BT163" i="1"/>
  <c r="BU163" i="1" s="1"/>
  <c r="BO163" i="1"/>
  <c r="BQ163" i="1" s="1"/>
  <c r="BJ163" i="1"/>
  <c r="BL163" i="1" s="1"/>
  <c r="BE163" i="1"/>
  <c r="AV163" i="1"/>
  <c r="AO163" i="1"/>
  <c r="AP163" i="1" s="1"/>
  <c r="AJ163" i="1"/>
  <c r="AE163" i="1"/>
  <c r="AG163" i="1" s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Q162" i="1" s="1"/>
  <c r="CJ162" i="1"/>
  <c r="CA162" i="1"/>
  <c r="BT162" i="1"/>
  <c r="BU162" i="1" s="1"/>
  <c r="BO162" i="1"/>
  <c r="BQ162" i="1" s="1"/>
  <c r="BJ162" i="1"/>
  <c r="BE162" i="1"/>
  <c r="AV162" i="1"/>
  <c r="AO162" i="1"/>
  <c r="AP162" i="1" s="1"/>
  <c r="AJ162" i="1"/>
  <c r="AL162" i="1" s="1"/>
  <c r="AE162" i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Q161" i="1" s="1"/>
  <c r="CJ161" i="1"/>
  <c r="CA161" i="1"/>
  <c r="BT161" i="1"/>
  <c r="BU161" i="1" s="1"/>
  <c r="BO161" i="1"/>
  <c r="BQ161" i="1" s="1"/>
  <c r="BJ161" i="1"/>
  <c r="BL161" i="1" s="1"/>
  <c r="BE161" i="1"/>
  <c r="AV161" i="1"/>
  <c r="AO161" i="1"/>
  <c r="AJ161" i="1"/>
  <c r="AL161" i="1" s="1"/>
  <c r="AE161" i="1"/>
  <c r="AG161" i="1" s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CJ160" i="1"/>
  <c r="CA160" i="1"/>
  <c r="BT160" i="1"/>
  <c r="BU160" i="1" s="1"/>
  <c r="BO160" i="1"/>
  <c r="BJ160" i="1"/>
  <c r="BL160" i="1" s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L159" i="1" s="1"/>
  <c r="BE159" i="1"/>
  <c r="AV159" i="1"/>
  <c r="AO159" i="1"/>
  <c r="AP159" i="1" s="1"/>
  <c r="AJ159" i="1"/>
  <c r="AL159" i="1" s="1"/>
  <c r="AE159" i="1"/>
  <c r="AG159" i="1" s="1"/>
  <c r="Z159" i="1"/>
  <c r="N159" i="1"/>
  <c r="K159" i="1"/>
  <c r="J159" i="1"/>
  <c r="E159" i="1"/>
  <c r="D159" i="1"/>
  <c r="C159" i="1"/>
  <c r="B159" i="1"/>
  <c r="CY158" i="1"/>
  <c r="CZ158" i="1" s="1"/>
  <c r="CT158" i="1"/>
  <c r="CV158" i="1" s="1"/>
  <c r="CO158" i="1"/>
  <c r="CJ158" i="1"/>
  <c r="CA158" i="1"/>
  <c r="BT158" i="1"/>
  <c r="BO158" i="1"/>
  <c r="BQ158" i="1" s="1"/>
  <c r="BJ158" i="1"/>
  <c r="BL158" i="1" s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B158" i="1"/>
  <c r="CZ157" i="1"/>
  <c r="CY157" i="1"/>
  <c r="CT157" i="1"/>
  <c r="CO157" i="1"/>
  <c r="CQ157" i="1" s="1"/>
  <c r="CJ157" i="1"/>
  <c r="CA157" i="1"/>
  <c r="BT157" i="1"/>
  <c r="BU157" i="1" s="1"/>
  <c r="BO157" i="1"/>
  <c r="BQ157" i="1" s="1"/>
  <c r="BJ157" i="1"/>
  <c r="BL157" i="1" s="1"/>
  <c r="BE157" i="1"/>
  <c r="AV157" i="1"/>
  <c r="AO157" i="1"/>
  <c r="AP157" i="1" s="1"/>
  <c r="AJ157" i="1"/>
  <c r="AL157" i="1" s="1"/>
  <c r="AE157" i="1"/>
  <c r="AG157" i="1" s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Q156" i="1"/>
  <c r="CO156" i="1"/>
  <c r="CJ156" i="1"/>
  <c r="CA156" i="1"/>
  <c r="BU156" i="1"/>
  <c r="BT156" i="1"/>
  <c r="BO156" i="1"/>
  <c r="BJ156" i="1"/>
  <c r="BL156" i="1" s="1"/>
  <c r="BE156" i="1"/>
  <c r="AV156" i="1"/>
  <c r="AO156" i="1"/>
  <c r="AP156" i="1" s="1"/>
  <c r="AJ156" i="1"/>
  <c r="AG156" i="1"/>
  <c r="AE156" i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CJ155" i="1"/>
  <c r="CA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AG155" i="1" s="1"/>
  <c r="Z155" i="1"/>
  <c r="N155" i="1"/>
  <c r="K155" i="1"/>
  <c r="J155" i="1"/>
  <c r="E155" i="1"/>
  <c r="D155" i="1"/>
  <c r="C155" i="1"/>
  <c r="B155" i="1"/>
  <c r="CY154" i="1"/>
  <c r="CZ154" i="1" s="1"/>
  <c r="CT154" i="1"/>
  <c r="CV154" i="1" s="1"/>
  <c r="CO154" i="1"/>
  <c r="CQ154" i="1" s="1"/>
  <c r="CJ154" i="1"/>
  <c r="CA154" i="1"/>
  <c r="BT154" i="1"/>
  <c r="BO154" i="1"/>
  <c r="BQ154" i="1" s="1"/>
  <c r="BJ154" i="1"/>
  <c r="BL154" i="1" s="1"/>
  <c r="BE154" i="1"/>
  <c r="AV154" i="1"/>
  <c r="AO154" i="1"/>
  <c r="AP154" i="1" s="1"/>
  <c r="AJ154" i="1"/>
  <c r="AL154" i="1" s="1"/>
  <c r="AE154" i="1"/>
  <c r="AG154" i="1" s="1"/>
  <c r="Z154" i="1"/>
  <c r="N154" i="1"/>
  <c r="K154" i="1"/>
  <c r="J154" i="1"/>
  <c r="E154" i="1"/>
  <c r="D154" i="1"/>
  <c r="C154" i="1"/>
  <c r="B154" i="1"/>
  <c r="CY153" i="1"/>
  <c r="CZ153" i="1" s="1"/>
  <c r="CT153" i="1"/>
  <c r="CV153" i="1" s="1"/>
  <c r="CO153" i="1"/>
  <c r="CQ153" i="1" s="1"/>
  <c r="CJ153" i="1"/>
  <c r="CA153" i="1"/>
  <c r="BT153" i="1"/>
  <c r="BU153" i="1" s="1"/>
  <c r="BO153" i="1"/>
  <c r="BQ153" i="1" s="1"/>
  <c r="BJ153" i="1"/>
  <c r="BE153" i="1"/>
  <c r="AV153" i="1"/>
  <c r="AO153" i="1"/>
  <c r="AP153" i="1" s="1"/>
  <c r="AJ153" i="1"/>
  <c r="AL153" i="1" s="1"/>
  <c r="AE153" i="1"/>
  <c r="AG153" i="1" s="1"/>
  <c r="Z153" i="1"/>
  <c r="N153" i="1"/>
  <c r="K153" i="1"/>
  <c r="J153" i="1"/>
  <c r="E153" i="1"/>
  <c r="D153" i="1"/>
  <c r="C153" i="1"/>
  <c r="B153" i="1"/>
  <c r="CH152" i="1"/>
  <c r="BC152" i="1"/>
  <c r="X152" i="1"/>
  <c r="CY151" i="1"/>
  <c r="CZ151" i="1" s="1"/>
  <c r="CT151" i="1"/>
  <c r="CV151" i="1" s="1"/>
  <c r="CO151" i="1"/>
  <c r="CJ151" i="1"/>
  <c r="CA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AG151" i="1" s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CQ150" i="1" s="1"/>
  <c r="CJ150" i="1"/>
  <c r="CA150" i="1"/>
  <c r="BT150" i="1"/>
  <c r="BU150" i="1" s="1"/>
  <c r="BO150" i="1"/>
  <c r="BQ150" i="1" s="1"/>
  <c r="BJ150" i="1"/>
  <c r="BL150" i="1" s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Z149" i="1" s="1"/>
  <c r="CT149" i="1"/>
  <c r="CO149" i="1"/>
  <c r="CQ149" i="1" s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J148" i="1"/>
  <c r="CA148" i="1"/>
  <c r="BT148" i="1"/>
  <c r="BU148" i="1" s="1"/>
  <c r="BO148" i="1"/>
  <c r="BQ148" i="1" s="1"/>
  <c r="BJ148" i="1"/>
  <c r="BL148" i="1" s="1"/>
  <c r="BE148" i="1"/>
  <c r="AV148" i="1"/>
  <c r="AO148" i="1"/>
  <c r="AP148" i="1" s="1"/>
  <c r="AJ148" i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CO147" i="1"/>
  <c r="CQ147" i="1" s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J146" i="1"/>
  <c r="BL146" i="1" s="1"/>
  <c r="BE146" i="1"/>
  <c r="AV146" i="1"/>
  <c r="AO146" i="1"/>
  <c r="AP146" i="1" s="1"/>
  <c r="AJ146" i="1"/>
  <c r="AL146" i="1" s="1"/>
  <c r="AE146" i="1"/>
  <c r="AG146" i="1" s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CQ145" i="1" s="1"/>
  <c r="CJ145" i="1"/>
  <c r="CA145" i="1"/>
  <c r="BT145" i="1"/>
  <c r="BU145" i="1" s="1"/>
  <c r="BO145" i="1"/>
  <c r="BJ145" i="1"/>
  <c r="BL145" i="1" s="1"/>
  <c r="BE145" i="1"/>
  <c r="AV145" i="1"/>
  <c r="AO145" i="1"/>
  <c r="AP145" i="1" s="1"/>
  <c r="AJ145" i="1"/>
  <c r="AL145" i="1" s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J144" i="1"/>
  <c r="CA144" i="1"/>
  <c r="BT144" i="1"/>
  <c r="BU144" i="1" s="1"/>
  <c r="BO144" i="1"/>
  <c r="BQ144" i="1" s="1"/>
  <c r="BJ144" i="1"/>
  <c r="BE144" i="1"/>
  <c r="AV144" i="1"/>
  <c r="AO144" i="1"/>
  <c r="AP144" i="1" s="1"/>
  <c r="AJ144" i="1"/>
  <c r="AE144" i="1"/>
  <c r="AG144" i="1" s="1"/>
  <c r="Z144" i="1"/>
  <c r="N144" i="1"/>
  <c r="K144" i="1"/>
  <c r="J144" i="1"/>
  <c r="E144" i="1"/>
  <c r="D144" i="1"/>
  <c r="C144" i="1"/>
  <c r="B144" i="1"/>
  <c r="CY143" i="1"/>
  <c r="CZ143" i="1" s="1"/>
  <c r="CT143" i="1"/>
  <c r="CV143" i="1" s="1"/>
  <c r="CO143" i="1"/>
  <c r="CQ143" i="1" s="1"/>
  <c r="CJ143" i="1"/>
  <c r="CA143" i="1"/>
  <c r="BT143" i="1"/>
  <c r="BU143" i="1" s="1"/>
  <c r="BO143" i="1"/>
  <c r="BQ143" i="1" s="1"/>
  <c r="BJ143" i="1"/>
  <c r="BE143" i="1"/>
  <c r="AV143" i="1"/>
  <c r="AO143" i="1"/>
  <c r="AP143" i="1" s="1"/>
  <c r="AJ143" i="1"/>
  <c r="AL143" i="1" s="1"/>
  <c r="AE143" i="1"/>
  <c r="Z143" i="1"/>
  <c r="N143" i="1"/>
  <c r="K143" i="1"/>
  <c r="J143" i="1"/>
  <c r="E143" i="1"/>
  <c r="D143" i="1"/>
  <c r="C143" i="1"/>
  <c r="B143" i="1"/>
  <c r="CY142" i="1"/>
  <c r="CZ142" i="1" s="1"/>
  <c r="CT142" i="1"/>
  <c r="CV142" i="1" s="1"/>
  <c r="CO142" i="1"/>
  <c r="CJ142" i="1"/>
  <c r="CA142" i="1"/>
  <c r="BT142" i="1"/>
  <c r="BU142" i="1" s="1"/>
  <c r="BO142" i="1"/>
  <c r="BQ142" i="1" s="1"/>
  <c r="BJ142" i="1"/>
  <c r="BE142" i="1"/>
  <c r="AV142" i="1"/>
  <c r="AO142" i="1"/>
  <c r="AP142" i="1" s="1"/>
  <c r="AJ142" i="1"/>
  <c r="AL142" i="1" s="1"/>
  <c r="AE142" i="1"/>
  <c r="AG142" i="1" s="1"/>
  <c r="Z142" i="1"/>
  <c r="N142" i="1"/>
  <c r="K142" i="1"/>
  <c r="J142" i="1"/>
  <c r="E142" i="1"/>
  <c r="D142" i="1"/>
  <c r="C142" i="1"/>
  <c r="B142" i="1"/>
  <c r="CY141" i="1"/>
  <c r="CZ141" i="1" s="1"/>
  <c r="CT141" i="1"/>
  <c r="CV141" i="1" s="1"/>
  <c r="CO141" i="1"/>
  <c r="CJ141" i="1"/>
  <c r="CA141" i="1"/>
  <c r="BT141" i="1"/>
  <c r="BU141" i="1" s="1"/>
  <c r="BO141" i="1"/>
  <c r="BJ141" i="1"/>
  <c r="BL141" i="1" s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CA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CA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CA135" i="1"/>
  <c r="BT135" i="1"/>
  <c r="BU135" i="1" s="1"/>
  <c r="BO135" i="1"/>
  <c r="BQ135" i="1" s="1"/>
  <c r="BJ135" i="1"/>
  <c r="BE135" i="1"/>
  <c r="AV135" i="1"/>
  <c r="AO135" i="1"/>
  <c r="AP135" i="1" s="1"/>
  <c r="AJ135" i="1"/>
  <c r="AL135" i="1" s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L134" i="1" s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L133" i="1" s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Y132" i="1"/>
  <c r="CZ132" i="1" s="1"/>
  <c r="CT132" i="1"/>
  <c r="CV132" i="1" s="1"/>
  <c r="CO132" i="1"/>
  <c r="CJ132" i="1"/>
  <c r="CA132" i="1"/>
  <c r="BT132" i="1"/>
  <c r="BU132" i="1" s="1"/>
  <c r="BO132" i="1"/>
  <c r="BQ132" i="1" s="1"/>
  <c r="BJ132" i="1"/>
  <c r="BE132" i="1"/>
  <c r="AV132" i="1"/>
  <c r="AO132" i="1"/>
  <c r="AP132" i="1" s="1"/>
  <c r="AJ132" i="1"/>
  <c r="AL132" i="1" s="1"/>
  <c r="AE132" i="1"/>
  <c r="Z132" i="1"/>
  <c r="N132" i="1"/>
  <c r="K132" i="1"/>
  <c r="J132" i="1"/>
  <c r="E132" i="1"/>
  <c r="D132" i="1"/>
  <c r="C132" i="1"/>
  <c r="B132" i="1"/>
  <c r="CY131" i="1"/>
  <c r="CZ131" i="1" s="1"/>
  <c r="CT131" i="1"/>
  <c r="CV131" i="1" s="1"/>
  <c r="CO131" i="1"/>
  <c r="CQ131" i="1" s="1"/>
  <c r="CJ131" i="1"/>
  <c r="CA131" i="1"/>
  <c r="BT131" i="1"/>
  <c r="BU131" i="1" s="1"/>
  <c r="BO131" i="1"/>
  <c r="BQ131" i="1" s="1"/>
  <c r="BJ131" i="1"/>
  <c r="BE131" i="1"/>
  <c r="AV131" i="1"/>
  <c r="AO131" i="1"/>
  <c r="AP131" i="1" s="1"/>
  <c r="AJ131" i="1"/>
  <c r="AL131" i="1" s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Q130" i="1" s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AG130" i="1" s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J129" i="1"/>
  <c r="CA129" i="1"/>
  <c r="BT129" i="1"/>
  <c r="BU129" i="1" s="1"/>
  <c r="BO129" i="1"/>
  <c r="BQ129" i="1" s="1"/>
  <c r="BJ129" i="1"/>
  <c r="BE129" i="1"/>
  <c r="AV129" i="1"/>
  <c r="AO129" i="1"/>
  <c r="AP129" i="1" s="1"/>
  <c r="AJ129" i="1"/>
  <c r="AL129" i="1" s="1"/>
  <c r="AE129" i="1"/>
  <c r="AG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Q127" i="1" s="1"/>
  <c r="CJ127" i="1"/>
  <c r="CA127" i="1"/>
  <c r="BT127" i="1"/>
  <c r="BU127" i="1" s="1"/>
  <c r="BO127" i="1"/>
  <c r="BJ127" i="1"/>
  <c r="BL127" i="1" s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Q126" i="1" s="1"/>
  <c r="CJ126" i="1"/>
  <c r="CA126" i="1"/>
  <c r="BT126" i="1"/>
  <c r="BU126" i="1" s="1"/>
  <c r="BO126" i="1"/>
  <c r="BQ126" i="1" s="1"/>
  <c r="BJ126" i="1"/>
  <c r="BE126" i="1"/>
  <c r="AV126" i="1"/>
  <c r="AO126" i="1"/>
  <c r="AP126" i="1" s="1"/>
  <c r="AJ126" i="1"/>
  <c r="AL126" i="1" s="1"/>
  <c r="AE126" i="1"/>
  <c r="AG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CA125" i="1"/>
  <c r="BT125" i="1"/>
  <c r="BU125" i="1" s="1"/>
  <c r="BO125" i="1"/>
  <c r="BQ125" i="1" s="1"/>
  <c r="BJ125" i="1"/>
  <c r="BE125" i="1"/>
  <c r="AV125" i="1"/>
  <c r="AO125" i="1"/>
  <c r="AP125" i="1" s="1"/>
  <c r="AJ125" i="1"/>
  <c r="AL125" i="1" s="1"/>
  <c r="AE125" i="1"/>
  <c r="Z125" i="1"/>
  <c r="N125" i="1"/>
  <c r="K125" i="1"/>
  <c r="J125" i="1"/>
  <c r="E125" i="1"/>
  <c r="D125" i="1"/>
  <c r="C125" i="1"/>
  <c r="B125" i="1"/>
  <c r="CY124" i="1"/>
  <c r="CZ124" i="1" s="1"/>
  <c r="CT124" i="1"/>
  <c r="CO124" i="1"/>
  <c r="CQ124" i="1" s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CJ123" i="1"/>
  <c r="CA123" i="1"/>
  <c r="BT123" i="1"/>
  <c r="BU123" i="1" s="1"/>
  <c r="BO123" i="1"/>
  <c r="BQ123" i="1" s="1"/>
  <c r="BJ123" i="1"/>
  <c r="BL123" i="1" s="1"/>
  <c r="BE123" i="1"/>
  <c r="AV123" i="1"/>
  <c r="AO123" i="1"/>
  <c r="AP123" i="1" s="1"/>
  <c r="AJ123" i="1"/>
  <c r="AE123" i="1"/>
  <c r="AG123" i="1" s="1"/>
  <c r="Z123" i="1"/>
  <c r="N123" i="1"/>
  <c r="K123" i="1"/>
  <c r="J123" i="1"/>
  <c r="E123" i="1"/>
  <c r="D123" i="1"/>
  <c r="C123" i="1"/>
  <c r="B123" i="1"/>
  <c r="CH122" i="1"/>
  <c r="BC122" i="1"/>
  <c r="X122" i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L121" i="1" s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Q120" i="1" s="1"/>
  <c r="CJ120" i="1"/>
  <c r="CA120" i="1"/>
  <c r="BT120" i="1"/>
  <c r="BO120" i="1"/>
  <c r="BQ120" i="1" s="1"/>
  <c r="BJ120" i="1"/>
  <c r="BL120" i="1" s="1"/>
  <c r="BV120" i="1" s="1"/>
  <c r="BE120" i="1"/>
  <c r="AV120" i="1"/>
  <c r="AO120" i="1"/>
  <c r="AP120" i="1" s="1"/>
  <c r="AJ120" i="1"/>
  <c r="AL120" i="1" s="1"/>
  <c r="AE120" i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Q119" i="1" s="1"/>
  <c r="CJ119" i="1"/>
  <c r="CA119" i="1"/>
  <c r="BT119" i="1"/>
  <c r="BU119" i="1" s="1"/>
  <c r="BO119" i="1"/>
  <c r="BQ119" i="1" s="1"/>
  <c r="BJ119" i="1"/>
  <c r="BL119" i="1" s="1"/>
  <c r="BE119" i="1"/>
  <c r="AV119" i="1"/>
  <c r="AO119" i="1"/>
  <c r="AP119" i="1" s="1"/>
  <c r="AJ119" i="1"/>
  <c r="AL119" i="1" s="1"/>
  <c r="AE119" i="1"/>
  <c r="AG119" i="1" s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Q118" i="1"/>
  <c r="CO118" i="1"/>
  <c r="CJ118" i="1"/>
  <c r="CA118" i="1"/>
  <c r="BU118" i="1"/>
  <c r="BT118" i="1"/>
  <c r="BO118" i="1"/>
  <c r="BQ118" i="1" s="1"/>
  <c r="BJ118" i="1"/>
  <c r="BL118" i="1" s="1"/>
  <c r="BE118" i="1"/>
  <c r="AV118" i="1"/>
  <c r="AO118" i="1"/>
  <c r="AP118" i="1" s="1"/>
  <c r="AJ118" i="1"/>
  <c r="AL118" i="1" s="1"/>
  <c r="AE118" i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J117" i="1"/>
  <c r="CA117" i="1"/>
  <c r="BT117" i="1"/>
  <c r="BU117" i="1" s="1"/>
  <c r="BO117" i="1"/>
  <c r="BQ117" i="1" s="1"/>
  <c r="BJ117" i="1"/>
  <c r="BE117" i="1"/>
  <c r="AV117" i="1"/>
  <c r="AO117" i="1"/>
  <c r="AP117" i="1" s="1"/>
  <c r="AJ117" i="1"/>
  <c r="AL117" i="1" s="1"/>
  <c r="AE117" i="1"/>
  <c r="AG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J116" i="1"/>
  <c r="CA116" i="1"/>
  <c r="BT116" i="1"/>
  <c r="BU116" i="1" s="1"/>
  <c r="BO116" i="1"/>
  <c r="BQ116" i="1" s="1"/>
  <c r="BJ116" i="1"/>
  <c r="BL116" i="1" s="1"/>
  <c r="BE116" i="1"/>
  <c r="AV116" i="1"/>
  <c r="AO116" i="1"/>
  <c r="AP116" i="1" s="1"/>
  <c r="AJ116" i="1"/>
  <c r="AL116" i="1" s="1"/>
  <c r="AE116" i="1"/>
  <c r="AG116" i="1" s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CO115" i="1"/>
  <c r="CQ115" i="1" s="1"/>
  <c r="CJ115" i="1"/>
  <c r="CA115" i="1"/>
  <c r="BT115" i="1"/>
  <c r="BU115" i="1" s="1"/>
  <c r="BO115" i="1"/>
  <c r="BJ115" i="1"/>
  <c r="BL115" i="1" s="1"/>
  <c r="BE115" i="1"/>
  <c r="AV115" i="1"/>
  <c r="AO115" i="1"/>
  <c r="AP115" i="1" s="1"/>
  <c r="AJ115" i="1"/>
  <c r="AL115" i="1" s="1"/>
  <c r="AE115" i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Q114" i="1" s="1"/>
  <c r="CJ114" i="1"/>
  <c r="CA114" i="1"/>
  <c r="BT114" i="1"/>
  <c r="BO114" i="1"/>
  <c r="BQ114" i="1" s="1"/>
  <c r="BJ114" i="1"/>
  <c r="BL114" i="1" s="1"/>
  <c r="BV114" i="1" s="1"/>
  <c r="BE114" i="1"/>
  <c r="AV114" i="1"/>
  <c r="AO114" i="1"/>
  <c r="AP114" i="1" s="1"/>
  <c r="AJ114" i="1"/>
  <c r="AL114" i="1" s="1"/>
  <c r="AE114" i="1"/>
  <c r="AG114" i="1" s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Q113" i="1" s="1"/>
  <c r="CJ113" i="1"/>
  <c r="CA113" i="1"/>
  <c r="BT113" i="1"/>
  <c r="BU113" i="1" s="1"/>
  <c r="BO113" i="1"/>
  <c r="BQ113" i="1" s="1"/>
  <c r="BJ113" i="1"/>
  <c r="BE113" i="1"/>
  <c r="AV113" i="1"/>
  <c r="AO113" i="1"/>
  <c r="AP113" i="1" s="1"/>
  <c r="AL113" i="1"/>
  <c r="AJ113" i="1"/>
  <c r="AE113" i="1"/>
  <c r="Z113" i="1"/>
  <c r="N113" i="1"/>
  <c r="K113" i="1"/>
  <c r="J113" i="1"/>
  <c r="E113" i="1"/>
  <c r="D113" i="1"/>
  <c r="C113" i="1"/>
  <c r="B113" i="1"/>
  <c r="CY112" i="1"/>
  <c r="CZ112" i="1" s="1"/>
  <c r="CT112" i="1"/>
  <c r="CV112" i="1" s="1"/>
  <c r="CO112" i="1"/>
  <c r="CQ112" i="1" s="1"/>
  <c r="CJ112" i="1"/>
  <c r="CA112" i="1"/>
  <c r="BT112" i="1"/>
  <c r="BU112" i="1" s="1"/>
  <c r="BO112" i="1"/>
  <c r="BJ112" i="1"/>
  <c r="BL112" i="1" s="1"/>
  <c r="BE112" i="1"/>
  <c r="AV112" i="1"/>
  <c r="AO112" i="1"/>
  <c r="AP112" i="1" s="1"/>
  <c r="AJ112" i="1"/>
  <c r="AE112" i="1"/>
  <c r="AG112" i="1" s="1"/>
  <c r="Z112" i="1"/>
  <c r="N112" i="1"/>
  <c r="K112" i="1"/>
  <c r="J112" i="1"/>
  <c r="E112" i="1"/>
  <c r="D112" i="1"/>
  <c r="C112" i="1"/>
  <c r="B112" i="1"/>
  <c r="CY111" i="1"/>
  <c r="CZ111" i="1" s="1"/>
  <c r="CT111" i="1"/>
  <c r="CV111" i="1" s="1"/>
  <c r="CO111" i="1"/>
  <c r="CQ111" i="1" s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L110" i="1" s="1"/>
  <c r="BE110" i="1"/>
  <c r="AV110" i="1"/>
  <c r="AO110" i="1"/>
  <c r="AP110" i="1" s="1"/>
  <c r="AJ110" i="1"/>
  <c r="AL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L109" i="1" s="1"/>
  <c r="BE109" i="1"/>
  <c r="AV109" i="1"/>
  <c r="AO109" i="1"/>
  <c r="AP109" i="1" s="1"/>
  <c r="AJ109" i="1"/>
  <c r="AL109" i="1" s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Q108" i="1" s="1"/>
  <c r="CJ108" i="1"/>
  <c r="CA108" i="1"/>
  <c r="BT108" i="1"/>
  <c r="BU108" i="1" s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CJ107" i="1"/>
  <c r="CA107" i="1"/>
  <c r="BT107" i="1"/>
  <c r="BU107" i="1" s="1"/>
  <c r="BO107" i="1"/>
  <c r="BQ107" i="1" s="1"/>
  <c r="BJ107" i="1"/>
  <c r="BL107" i="1" s="1"/>
  <c r="BV107" i="1" s="1"/>
  <c r="BE107" i="1"/>
  <c r="AV107" i="1"/>
  <c r="AO107" i="1"/>
  <c r="AP107" i="1" s="1"/>
  <c r="AJ107" i="1"/>
  <c r="AL107" i="1" s="1"/>
  <c r="AE107" i="1"/>
  <c r="AG107" i="1" s="1"/>
  <c r="Z107" i="1"/>
  <c r="N107" i="1"/>
  <c r="K107" i="1"/>
  <c r="J107" i="1"/>
  <c r="E107" i="1"/>
  <c r="D107" i="1"/>
  <c r="C107" i="1"/>
  <c r="B107" i="1"/>
  <c r="CY106" i="1"/>
  <c r="CT106" i="1"/>
  <c r="CV106" i="1" s="1"/>
  <c r="CO106" i="1"/>
  <c r="CQ106" i="1" s="1"/>
  <c r="CJ106" i="1"/>
  <c r="CA106" i="1"/>
  <c r="BT106" i="1"/>
  <c r="BU106" i="1" s="1"/>
  <c r="BO106" i="1"/>
  <c r="BQ106" i="1" s="1"/>
  <c r="BJ106" i="1"/>
  <c r="BL106" i="1" s="1"/>
  <c r="BE106" i="1"/>
  <c r="AV106" i="1"/>
  <c r="AO106" i="1"/>
  <c r="AP106" i="1" s="1"/>
  <c r="AJ106" i="1"/>
  <c r="AL106" i="1" s="1"/>
  <c r="AE106" i="1"/>
  <c r="AG106" i="1" s="1"/>
  <c r="Z106" i="1"/>
  <c r="N106" i="1"/>
  <c r="K106" i="1"/>
  <c r="J106" i="1"/>
  <c r="E106" i="1"/>
  <c r="D106" i="1"/>
  <c r="C106" i="1"/>
  <c r="B106" i="1"/>
  <c r="CY105" i="1"/>
  <c r="CT105" i="1"/>
  <c r="CV105" i="1" s="1"/>
  <c r="CO105" i="1"/>
  <c r="CQ105" i="1" s="1"/>
  <c r="CJ105" i="1"/>
  <c r="CA105" i="1"/>
  <c r="BT105" i="1"/>
  <c r="BU105" i="1" s="1"/>
  <c r="BO105" i="1"/>
  <c r="BQ105" i="1" s="1"/>
  <c r="BJ105" i="1"/>
  <c r="BE105" i="1"/>
  <c r="AV105" i="1"/>
  <c r="AO105" i="1"/>
  <c r="AP105" i="1" s="1"/>
  <c r="AJ105" i="1"/>
  <c r="AL105" i="1" s="1"/>
  <c r="AE105" i="1"/>
  <c r="AG105" i="1" s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CO104" i="1"/>
  <c r="CJ104" i="1"/>
  <c r="CA104" i="1"/>
  <c r="BT104" i="1"/>
  <c r="BU104" i="1" s="1"/>
  <c r="BO104" i="1"/>
  <c r="BQ104" i="1" s="1"/>
  <c r="BJ104" i="1"/>
  <c r="BE104" i="1"/>
  <c r="AV104" i="1"/>
  <c r="AO104" i="1"/>
  <c r="AP104" i="1" s="1"/>
  <c r="AJ104" i="1"/>
  <c r="AL104" i="1" s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J103" i="1"/>
  <c r="CA103" i="1"/>
  <c r="BT103" i="1"/>
  <c r="BU103" i="1" s="1"/>
  <c r="BO103" i="1"/>
  <c r="BQ103" i="1" s="1"/>
  <c r="BJ103" i="1"/>
  <c r="BL103" i="1" s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Y102" i="1"/>
  <c r="CZ102" i="1" s="1"/>
  <c r="CT102" i="1"/>
  <c r="CV102" i="1" s="1"/>
  <c r="CO102" i="1"/>
  <c r="CQ102" i="1" s="1"/>
  <c r="CJ102" i="1"/>
  <c r="CA102" i="1"/>
  <c r="BT102" i="1"/>
  <c r="BO102" i="1"/>
  <c r="BQ102" i="1" s="1"/>
  <c r="BJ102" i="1"/>
  <c r="BL102" i="1" s="1"/>
  <c r="BE102" i="1"/>
  <c r="AV102" i="1"/>
  <c r="AO102" i="1"/>
  <c r="AP102" i="1" s="1"/>
  <c r="AJ102" i="1"/>
  <c r="AL102" i="1" s="1"/>
  <c r="AE102" i="1"/>
  <c r="Z102" i="1"/>
  <c r="N102" i="1"/>
  <c r="K102" i="1"/>
  <c r="J102" i="1"/>
  <c r="E102" i="1"/>
  <c r="D102" i="1"/>
  <c r="C102" i="1"/>
  <c r="B102" i="1"/>
  <c r="CY101" i="1"/>
  <c r="CZ101" i="1" s="1"/>
  <c r="CT101" i="1"/>
  <c r="CV101" i="1" s="1"/>
  <c r="CO101" i="1"/>
  <c r="CQ101" i="1" s="1"/>
  <c r="CJ101" i="1"/>
  <c r="CA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AG100" i="1" s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Q99" i="1" s="1"/>
  <c r="CJ99" i="1"/>
  <c r="CA99" i="1"/>
  <c r="BT99" i="1"/>
  <c r="BU99" i="1" s="1"/>
  <c r="BO99" i="1"/>
  <c r="BQ99" i="1" s="1"/>
  <c r="BJ99" i="1"/>
  <c r="BE99" i="1"/>
  <c r="AV99" i="1"/>
  <c r="AO99" i="1"/>
  <c r="AP99" i="1" s="1"/>
  <c r="AJ99" i="1"/>
  <c r="AL99" i="1" s="1"/>
  <c r="AE99" i="1"/>
  <c r="AG99" i="1" s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Q98" i="1" s="1"/>
  <c r="CJ98" i="1"/>
  <c r="CA98" i="1"/>
  <c r="BT98" i="1"/>
  <c r="BU98" i="1" s="1"/>
  <c r="BO98" i="1"/>
  <c r="BJ98" i="1"/>
  <c r="BL98" i="1" s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J97" i="1"/>
  <c r="CA97" i="1"/>
  <c r="BT97" i="1"/>
  <c r="BU97" i="1" s="1"/>
  <c r="BO97" i="1"/>
  <c r="BQ97" i="1" s="1"/>
  <c r="BJ97" i="1"/>
  <c r="BL97" i="1" s="1"/>
  <c r="BE97" i="1"/>
  <c r="AV97" i="1"/>
  <c r="AO97" i="1"/>
  <c r="AP97" i="1" s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J96" i="1"/>
  <c r="CA96" i="1"/>
  <c r="BT96" i="1"/>
  <c r="BU96" i="1" s="1"/>
  <c r="BO96" i="1"/>
  <c r="BQ96" i="1" s="1"/>
  <c r="BJ96" i="1"/>
  <c r="BL96" i="1" s="1"/>
  <c r="BE96" i="1"/>
  <c r="AV96" i="1"/>
  <c r="AO96" i="1"/>
  <c r="AP96" i="1" s="1"/>
  <c r="AJ96" i="1"/>
  <c r="AL96" i="1" s="1"/>
  <c r="AE96" i="1"/>
  <c r="Z96" i="1"/>
  <c r="N96" i="1"/>
  <c r="K96" i="1"/>
  <c r="J96" i="1"/>
  <c r="E96" i="1"/>
  <c r="D96" i="1"/>
  <c r="C96" i="1"/>
  <c r="B96" i="1"/>
  <c r="CY95" i="1"/>
  <c r="CZ95" i="1" s="1"/>
  <c r="CT95" i="1"/>
  <c r="CO95" i="1"/>
  <c r="CQ95" i="1" s="1"/>
  <c r="CJ95" i="1"/>
  <c r="CA95" i="1"/>
  <c r="BT95" i="1"/>
  <c r="BU95" i="1" s="1"/>
  <c r="BO95" i="1"/>
  <c r="BQ95" i="1" s="1"/>
  <c r="BJ95" i="1"/>
  <c r="BE95" i="1"/>
  <c r="AV95" i="1"/>
  <c r="AO95" i="1"/>
  <c r="AP95" i="1" s="1"/>
  <c r="AJ95" i="1"/>
  <c r="AL95" i="1" s="1"/>
  <c r="AE95" i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Q94" i="1"/>
  <c r="CO94" i="1"/>
  <c r="CJ94" i="1"/>
  <c r="CA94" i="1"/>
  <c r="BT94" i="1"/>
  <c r="BU94" i="1" s="1"/>
  <c r="BO94" i="1"/>
  <c r="BQ94" i="1" s="1"/>
  <c r="BJ94" i="1"/>
  <c r="BL94" i="1" s="1"/>
  <c r="BE94" i="1"/>
  <c r="AV94" i="1"/>
  <c r="AO94" i="1"/>
  <c r="AP94" i="1" s="1"/>
  <c r="AJ94" i="1"/>
  <c r="AE94" i="1"/>
  <c r="AG94" i="1" s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CA93" i="1"/>
  <c r="BT93" i="1"/>
  <c r="BU93" i="1" s="1"/>
  <c r="BO93" i="1"/>
  <c r="BQ93" i="1" s="1"/>
  <c r="BJ93" i="1"/>
  <c r="BE93" i="1"/>
  <c r="AV93" i="1"/>
  <c r="AO93" i="1"/>
  <c r="AP93" i="1" s="1"/>
  <c r="AJ93" i="1"/>
  <c r="AL93" i="1" s="1"/>
  <c r="AE93" i="1"/>
  <c r="AG93" i="1" s="1"/>
  <c r="Z93" i="1"/>
  <c r="N93" i="1"/>
  <c r="K93" i="1"/>
  <c r="J93" i="1"/>
  <c r="E93" i="1"/>
  <c r="D93" i="1"/>
  <c r="C93" i="1"/>
  <c r="B93" i="1"/>
  <c r="CH92" i="1"/>
  <c r="BC92" i="1"/>
  <c r="X92" i="1"/>
  <c r="CY91" i="1"/>
  <c r="CZ91" i="1" s="1"/>
  <c r="CT91" i="1"/>
  <c r="CV91" i="1" s="1"/>
  <c r="CO91" i="1"/>
  <c r="CQ91" i="1" s="1"/>
  <c r="CJ91" i="1"/>
  <c r="CA91" i="1"/>
  <c r="BT91" i="1"/>
  <c r="BU91" i="1" s="1"/>
  <c r="BO91" i="1"/>
  <c r="BQ91" i="1" s="1"/>
  <c r="BJ91" i="1"/>
  <c r="BE91" i="1"/>
  <c r="AV91" i="1"/>
  <c r="AO91" i="1"/>
  <c r="AP91" i="1" s="1"/>
  <c r="AJ91" i="1"/>
  <c r="AL91" i="1" s="1"/>
  <c r="AE91" i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CA90" i="1"/>
  <c r="BT90" i="1"/>
  <c r="BO90" i="1"/>
  <c r="BQ90" i="1" s="1"/>
  <c r="BJ90" i="1"/>
  <c r="BL90" i="1" s="1"/>
  <c r="BE90" i="1"/>
  <c r="AV90" i="1"/>
  <c r="AO90" i="1"/>
  <c r="AP90" i="1" s="1"/>
  <c r="AJ90" i="1"/>
  <c r="AL90" i="1" s="1"/>
  <c r="AE90" i="1"/>
  <c r="AG90" i="1" s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CJ89" i="1"/>
  <c r="CA89" i="1"/>
  <c r="BT89" i="1"/>
  <c r="BU89" i="1" s="1"/>
  <c r="BO89" i="1"/>
  <c r="BQ89" i="1" s="1"/>
  <c r="BJ89" i="1"/>
  <c r="BL89" i="1" s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CO88" i="1"/>
  <c r="CJ88" i="1"/>
  <c r="CA88" i="1"/>
  <c r="BT88" i="1"/>
  <c r="BU88" i="1" s="1"/>
  <c r="BO88" i="1"/>
  <c r="BQ88" i="1" s="1"/>
  <c r="BJ88" i="1"/>
  <c r="BE88" i="1"/>
  <c r="AV88" i="1"/>
  <c r="AO88" i="1"/>
  <c r="AP88" i="1" s="1"/>
  <c r="AJ88" i="1"/>
  <c r="AL88" i="1" s="1"/>
  <c r="AE88" i="1"/>
  <c r="AG88" i="1" s="1"/>
  <c r="AQ88" i="1" s="1"/>
  <c r="Z88" i="1"/>
  <c r="N88" i="1"/>
  <c r="K88" i="1"/>
  <c r="J88" i="1"/>
  <c r="E88" i="1"/>
  <c r="D88" i="1"/>
  <c r="C88" i="1"/>
  <c r="B88" i="1"/>
  <c r="CY87" i="1"/>
  <c r="CT87" i="1"/>
  <c r="CV87" i="1" s="1"/>
  <c r="CO87" i="1"/>
  <c r="CQ87" i="1" s="1"/>
  <c r="CJ87" i="1"/>
  <c r="CA87" i="1"/>
  <c r="BT87" i="1"/>
  <c r="BU87" i="1" s="1"/>
  <c r="BO87" i="1"/>
  <c r="BQ87" i="1" s="1"/>
  <c r="BJ87" i="1"/>
  <c r="BL87" i="1" s="1"/>
  <c r="BE87" i="1"/>
  <c r="AV87" i="1"/>
  <c r="AO87" i="1"/>
  <c r="AP87" i="1" s="1"/>
  <c r="AJ87" i="1"/>
  <c r="AL87" i="1" s="1"/>
  <c r="AE87" i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Q86" i="1" s="1"/>
  <c r="CJ86" i="1"/>
  <c r="CA86" i="1"/>
  <c r="BT86" i="1"/>
  <c r="BU86" i="1" s="1"/>
  <c r="BO86" i="1"/>
  <c r="BJ86" i="1"/>
  <c r="BL86" i="1" s="1"/>
  <c r="BE86" i="1"/>
  <c r="AV86" i="1"/>
  <c r="AO86" i="1"/>
  <c r="AJ86" i="1"/>
  <c r="AL86" i="1" s="1"/>
  <c r="AE86" i="1"/>
  <c r="AG86" i="1" s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CJ85" i="1"/>
  <c r="CA85" i="1"/>
  <c r="BT85" i="1"/>
  <c r="BU85" i="1" s="1"/>
  <c r="BO85" i="1"/>
  <c r="BQ85" i="1" s="1"/>
  <c r="BJ85" i="1"/>
  <c r="BL85" i="1" s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CA84" i="1"/>
  <c r="BT84" i="1"/>
  <c r="BU84" i="1" s="1"/>
  <c r="BO84" i="1"/>
  <c r="BQ84" i="1" s="1"/>
  <c r="BJ84" i="1"/>
  <c r="BE84" i="1"/>
  <c r="AV84" i="1"/>
  <c r="AO84" i="1"/>
  <c r="AP84" i="1" s="1"/>
  <c r="AJ84" i="1"/>
  <c r="AL84" i="1" s="1"/>
  <c r="AE84" i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Q83" i="1" s="1"/>
  <c r="CJ83" i="1"/>
  <c r="CA83" i="1"/>
  <c r="BT83" i="1"/>
  <c r="BO83" i="1"/>
  <c r="BQ83" i="1" s="1"/>
  <c r="BJ83" i="1"/>
  <c r="BL83" i="1" s="1"/>
  <c r="BE83" i="1"/>
  <c r="AV83" i="1"/>
  <c r="AO83" i="1"/>
  <c r="AP83" i="1" s="1"/>
  <c r="AJ83" i="1"/>
  <c r="AL83" i="1" s="1"/>
  <c r="AE83" i="1"/>
  <c r="AG83" i="1" s="1"/>
  <c r="Z83" i="1"/>
  <c r="N83" i="1"/>
  <c r="K83" i="1"/>
  <c r="J83" i="1"/>
  <c r="E83" i="1"/>
  <c r="D83" i="1"/>
  <c r="C83" i="1"/>
  <c r="B83" i="1"/>
  <c r="CY82" i="1"/>
  <c r="CZ82" i="1" s="1"/>
  <c r="CT82" i="1"/>
  <c r="CV82" i="1" s="1"/>
  <c r="CO82" i="1"/>
  <c r="CQ82" i="1" s="1"/>
  <c r="CJ82" i="1"/>
  <c r="CA82" i="1"/>
  <c r="BT82" i="1"/>
  <c r="BU82" i="1" s="1"/>
  <c r="BO82" i="1"/>
  <c r="BQ82" i="1" s="1"/>
  <c r="BJ82" i="1"/>
  <c r="BL82" i="1" s="1"/>
  <c r="BE82" i="1"/>
  <c r="AV82" i="1"/>
  <c r="AO82" i="1"/>
  <c r="AP82" i="1" s="1"/>
  <c r="AJ82" i="1"/>
  <c r="AE82" i="1"/>
  <c r="AG82" i="1" s="1"/>
  <c r="Z82" i="1"/>
  <c r="N82" i="1"/>
  <c r="K82" i="1"/>
  <c r="J82" i="1"/>
  <c r="E82" i="1"/>
  <c r="D82" i="1"/>
  <c r="C82" i="1"/>
  <c r="B82" i="1"/>
  <c r="CY81" i="1"/>
  <c r="CZ81" i="1" s="1"/>
  <c r="CT81" i="1"/>
  <c r="CV81" i="1" s="1"/>
  <c r="CO81" i="1"/>
  <c r="CQ81" i="1" s="1"/>
  <c r="CJ81" i="1"/>
  <c r="CA81" i="1"/>
  <c r="BT81" i="1"/>
  <c r="BU81" i="1" s="1"/>
  <c r="BO81" i="1"/>
  <c r="BQ81" i="1" s="1"/>
  <c r="BJ81" i="1"/>
  <c r="BE81" i="1"/>
  <c r="AV81" i="1"/>
  <c r="AO81" i="1"/>
  <c r="AP81" i="1" s="1"/>
  <c r="AJ81" i="1"/>
  <c r="AL81" i="1" s="1"/>
  <c r="AE81" i="1"/>
  <c r="AG81" i="1" s="1"/>
  <c r="Z81" i="1"/>
  <c r="N81" i="1"/>
  <c r="K81" i="1"/>
  <c r="J81" i="1"/>
  <c r="E81" i="1"/>
  <c r="D81" i="1"/>
  <c r="C81" i="1"/>
  <c r="B81" i="1"/>
  <c r="CY80" i="1"/>
  <c r="CT80" i="1"/>
  <c r="CV80" i="1" s="1"/>
  <c r="CO80" i="1"/>
  <c r="CQ80" i="1" s="1"/>
  <c r="CJ80" i="1"/>
  <c r="CA80" i="1"/>
  <c r="BT80" i="1"/>
  <c r="BU80" i="1" s="1"/>
  <c r="BO80" i="1"/>
  <c r="BQ80" i="1" s="1"/>
  <c r="BJ80" i="1"/>
  <c r="BL80" i="1" s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J79" i="1"/>
  <c r="CA79" i="1"/>
  <c r="BT79" i="1"/>
  <c r="BU79" i="1" s="1"/>
  <c r="BO79" i="1"/>
  <c r="BQ79" i="1" s="1"/>
  <c r="BJ79" i="1"/>
  <c r="BL79" i="1" s="1"/>
  <c r="BE79" i="1"/>
  <c r="AV79" i="1"/>
  <c r="AO79" i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J78" i="1"/>
  <c r="CA78" i="1"/>
  <c r="BT78" i="1"/>
  <c r="BU78" i="1" s="1"/>
  <c r="BO78" i="1"/>
  <c r="BJ78" i="1"/>
  <c r="BL78" i="1" s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Z77" i="1" s="1"/>
  <c r="CT77" i="1"/>
  <c r="CV77" i="1" s="1"/>
  <c r="CO77" i="1"/>
  <c r="CJ77" i="1"/>
  <c r="CA77" i="1"/>
  <c r="BT77" i="1"/>
  <c r="BU77" i="1" s="1"/>
  <c r="BO77" i="1"/>
  <c r="BQ77" i="1" s="1"/>
  <c r="BJ77" i="1"/>
  <c r="BL77" i="1" s="1"/>
  <c r="BE77" i="1"/>
  <c r="AV77" i="1"/>
  <c r="AO77" i="1"/>
  <c r="AP77" i="1" s="1"/>
  <c r="AJ77" i="1"/>
  <c r="AL77" i="1" s="1"/>
  <c r="AE77" i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CJ76" i="1"/>
  <c r="CA76" i="1"/>
  <c r="BT76" i="1"/>
  <c r="BO76" i="1"/>
  <c r="BQ76" i="1" s="1"/>
  <c r="BJ76" i="1"/>
  <c r="BL76" i="1" s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CO75" i="1"/>
  <c r="CQ75" i="1" s="1"/>
  <c r="CJ75" i="1"/>
  <c r="CA75" i="1"/>
  <c r="BT75" i="1"/>
  <c r="BO75" i="1"/>
  <c r="BQ75" i="1" s="1"/>
  <c r="BJ75" i="1"/>
  <c r="BL75" i="1" s="1"/>
  <c r="BE75" i="1"/>
  <c r="AV75" i="1"/>
  <c r="AO75" i="1"/>
  <c r="AP75" i="1" s="1"/>
  <c r="AJ75" i="1"/>
  <c r="AL75" i="1" s="1"/>
  <c r="AE75" i="1"/>
  <c r="AG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Y73" i="1"/>
  <c r="CT73" i="1"/>
  <c r="CV73" i="1" s="1"/>
  <c r="CO73" i="1"/>
  <c r="CQ73" i="1" s="1"/>
  <c r="CJ73" i="1"/>
  <c r="CA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AG73" i="1" s="1"/>
  <c r="Z73" i="1"/>
  <c r="N73" i="1"/>
  <c r="K73" i="1"/>
  <c r="J73" i="1"/>
  <c r="E73" i="1"/>
  <c r="D73" i="1"/>
  <c r="C73" i="1"/>
  <c r="B73" i="1"/>
  <c r="CY72" i="1"/>
  <c r="CZ72" i="1" s="1"/>
  <c r="CT72" i="1"/>
  <c r="CV72" i="1" s="1"/>
  <c r="CO72" i="1"/>
  <c r="CJ72" i="1"/>
  <c r="CA72" i="1"/>
  <c r="BT72" i="1"/>
  <c r="BU72" i="1" s="1"/>
  <c r="BO72" i="1"/>
  <c r="BJ72" i="1"/>
  <c r="BL72" i="1" s="1"/>
  <c r="BE72" i="1"/>
  <c r="AV72" i="1"/>
  <c r="AO72" i="1"/>
  <c r="AP72" i="1" s="1"/>
  <c r="AJ72" i="1"/>
  <c r="AL72" i="1" s="1"/>
  <c r="AE72" i="1"/>
  <c r="Z72" i="1"/>
  <c r="N72" i="1"/>
  <c r="K72" i="1"/>
  <c r="J72" i="1"/>
  <c r="E72" i="1"/>
  <c r="D72" i="1"/>
  <c r="C72" i="1"/>
  <c r="B72" i="1"/>
  <c r="CY71" i="1"/>
  <c r="CZ71" i="1" s="1"/>
  <c r="CT71" i="1"/>
  <c r="CV71" i="1" s="1"/>
  <c r="CO71" i="1"/>
  <c r="CJ71" i="1"/>
  <c r="CA71" i="1"/>
  <c r="BT71" i="1"/>
  <c r="BU71" i="1" s="1"/>
  <c r="BO71" i="1"/>
  <c r="BQ71" i="1" s="1"/>
  <c r="BJ71" i="1"/>
  <c r="BL71" i="1" s="1"/>
  <c r="BE71" i="1"/>
  <c r="AV71" i="1"/>
  <c r="AO71" i="1"/>
  <c r="AP71" i="1" s="1"/>
  <c r="AJ71" i="1"/>
  <c r="AL71" i="1" s="1"/>
  <c r="AE71" i="1"/>
  <c r="AG71" i="1" s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L70" i="1" s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CA69" i="1"/>
  <c r="BT69" i="1"/>
  <c r="BU69" i="1" s="1"/>
  <c r="BO69" i="1"/>
  <c r="BQ69" i="1" s="1"/>
  <c r="BJ69" i="1"/>
  <c r="BE69" i="1"/>
  <c r="AV69" i="1"/>
  <c r="AO69" i="1"/>
  <c r="AP69" i="1" s="1"/>
  <c r="AJ69" i="1"/>
  <c r="AL69" i="1" s="1"/>
  <c r="AE69" i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Q68" i="1" s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AG68" i="1" s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CJ67" i="1"/>
  <c r="CA67" i="1"/>
  <c r="BT67" i="1"/>
  <c r="BU67" i="1" s="1"/>
  <c r="BO67" i="1"/>
  <c r="BQ67" i="1" s="1"/>
  <c r="BJ67" i="1"/>
  <c r="BE67" i="1"/>
  <c r="AV67" i="1"/>
  <c r="AO67" i="1"/>
  <c r="AP67" i="1" s="1"/>
  <c r="AJ67" i="1"/>
  <c r="AL67" i="1" s="1"/>
  <c r="AE67" i="1"/>
  <c r="AG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CA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L65" i="1" s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Q64" i="1" s="1"/>
  <c r="BJ64" i="1"/>
  <c r="BL64" i="1" s="1"/>
  <c r="BE64" i="1"/>
  <c r="AV64" i="1"/>
  <c r="AO64" i="1"/>
  <c r="AP64" i="1" s="1"/>
  <c r="AJ64" i="1"/>
  <c r="AL64" i="1" s="1"/>
  <c r="AE64" i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J63" i="1"/>
  <c r="CA63" i="1"/>
  <c r="BT63" i="1"/>
  <c r="BU63" i="1" s="1"/>
  <c r="BO63" i="1"/>
  <c r="BQ63" i="1" s="1"/>
  <c r="BJ63" i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CA61" i="1"/>
  <c r="BT61" i="1"/>
  <c r="BU61" i="1" s="1"/>
  <c r="BO61" i="1"/>
  <c r="BQ61" i="1" s="1"/>
  <c r="BJ61" i="1"/>
  <c r="BL61" i="1" s="1"/>
  <c r="BE61" i="1"/>
  <c r="AV61" i="1"/>
  <c r="AO61" i="1"/>
  <c r="AP61" i="1" s="1"/>
  <c r="AJ61" i="1"/>
  <c r="AL61" i="1" s="1"/>
  <c r="AE61" i="1"/>
  <c r="AG61" i="1" s="1"/>
  <c r="Z61" i="1"/>
  <c r="N61" i="1"/>
  <c r="K61" i="1"/>
  <c r="J61" i="1"/>
  <c r="E61" i="1"/>
  <c r="D61" i="1"/>
  <c r="C61" i="1"/>
  <c r="B61" i="1"/>
  <c r="CY60" i="1"/>
  <c r="CZ60" i="1" s="1"/>
  <c r="CT60" i="1"/>
  <c r="CV60" i="1" s="1"/>
  <c r="CO60" i="1"/>
  <c r="CJ60" i="1"/>
  <c r="CA60" i="1"/>
  <c r="BT60" i="1"/>
  <c r="BU60" i="1" s="1"/>
  <c r="BO60" i="1"/>
  <c r="BJ60" i="1"/>
  <c r="BL60" i="1" s="1"/>
  <c r="BE60" i="1"/>
  <c r="AV60" i="1"/>
  <c r="AO60" i="1"/>
  <c r="AJ60" i="1"/>
  <c r="AL60" i="1" s="1"/>
  <c r="AE60" i="1"/>
  <c r="AG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J59" i="1"/>
  <c r="CA59" i="1"/>
  <c r="BT59" i="1"/>
  <c r="BU59" i="1" s="1"/>
  <c r="BO59" i="1"/>
  <c r="BQ59" i="1" s="1"/>
  <c r="BJ59" i="1"/>
  <c r="BL59" i="1" s="1"/>
  <c r="BE59" i="1"/>
  <c r="AV59" i="1"/>
  <c r="AO59" i="1"/>
  <c r="AP59" i="1" s="1"/>
  <c r="AJ59" i="1"/>
  <c r="AL59" i="1" s="1"/>
  <c r="AE59" i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CO58" i="1"/>
  <c r="CQ58" i="1" s="1"/>
  <c r="CJ58" i="1"/>
  <c r="CA58" i="1"/>
  <c r="BT58" i="1"/>
  <c r="BO58" i="1"/>
  <c r="BQ58" i="1" s="1"/>
  <c r="BJ58" i="1"/>
  <c r="BL58" i="1" s="1"/>
  <c r="BE58" i="1"/>
  <c r="AV58" i="1"/>
  <c r="AO58" i="1"/>
  <c r="AP58" i="1" s="1"/>
  <c r="AJ58" i="1"/>
  <c r="AL58" i="1" s="1"/>
  <c r="AE58" i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Q57" i="1" s="1"/>
  <c r="CJ57" i="1"/>
  <c r="CA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AG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Q56" i="1" s="1"/>
  <c r="CJ56" i="1"/>
  <c r="CA56" i="1"/>
  <c r="BT56" i="1"/>
  <c r="BU56" i="1" s="1"/>
  <c r="BO56" i="1"/>
  <c r="BQ56" i="1" s="1"/>
  <c r="BJ56" i="1"/>
  <c r="BE56" i="1"/>
  <c r="AV56" i="1"/>
  <c r="AO56" i="1"/>
  <c r="AP56" i="1" s="1"/>
  <c r="AJ56" i="1"/>
  <c r="AE56" i="1"/>
  <c r="AG56" i="1" s="1"/>
  <c r="Z56" i="1"/>
  <c r="N56" i="1"/>
  <c r="K56" i="1"/>
  <c r="J56" i="1"/>
  <c r="E56" i="1"/>
  <c r="D56" i="1"/>
  <c r="C56" i="1"/>
  <c r="B56" i="1"/>
  <c r="CY55" i="1"/>
  <c r="CT55" i="1"/>
  <c r="CV55" i="1" s="1"/>
  <c r="CO55" i="1"/>
  <c r="CQ55" i="1" s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AG55" i="1" s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Q54" i="1" s="1"/>
  <c r="CJ54" i="1"/>
  <c r="CA54" i="1"/>
  <c r="BT54" i="1"/>
  <c r="BU54" i="1" s="1"/>
  <c r="BO54" i="1"/>
  <c r="BQ54" i="1" s="1"/>
  <c r="BJ54" i="1"/>
  <c r="BL54" i="1" s="1"/>
  <c r="BE54" i="1"/>
  <c r="AV54" i="1"/>
  <c r="AO54" i="1"/>
  <c r="AP54" i="1" s="1"/>
  <c r="AJ54" i="1"/>
  <c r="AL54" i="1" s="1"/>
  <c r="AE54" i="1"/>
  <c r="AG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Q53" i="1" s="1"/>
  <c r="CJ53" i="1"/>
  <c r="CA53" i="1"/>
  <c r="BT53" i="1"/>
  <c r="BU53" i="1" s="1"/>
  <c r="BO53" i="1"/>
  <c r="BJ53" i="1"/>
  <c r="BL53" i="1" s="1"/>
  <c r="BE53" i="1"/>
  <c r="AV53" i="1"/>
  <c r="AO53" i="1"/>
  <c r="AJ53" i="1"/>
  <c r="AL53" i="1" s="1"/>
  <c r="AE53" i="1"/>
  <c r="AG53" i="1" s="1"/>
  <c r="Z53" i="1"/>
  <c r="N53" i="1"/>
  <c r="K53" i="1"/>
  <c r="J53" i="1"/>
  <c r="E53" i="1"/>
  <c r="D53" i="1"/>
  <c r="C53" i="1"/>
  <c r="B53" i="1"/>
  <c r="CY52" i="1"/>
  <c r="CZ52" i="1" s="1"/>
  <c r="CT52" i="1"/>
  <c r="CV52" i="1" s="1"/>
  <c r="CO52" i="1"/>
  <c r="CQ52" i="1" s="1"/>
  <c r="CJ52" i="1"/>
  <c r="CA52" i="1"/>
  <c r="BT52" i="1"/>
  <c r="BU52" i="1" s="1"/>
  <c r="BO52" i="1"/>
  <c r="BQ52" i="1" s="1"/>
  <c r="BJ52" i="1"/>
  <c r="BL52" i="1" s="1"/>
  <c r="BE52" i="1"/>
  <c r="AV52" i="1"/>
  <c r="AO52" i="1"/>
  <c r="AP52" i="1" s="1"/>
  <c r="AJ52" i="1"/>
  <c r="AE52" i="1"/>
  <c r="AG52" i="1" s="1"/>
  <c r="Z52" i="1"/>
  <c r="N52" i="1"/>
  <c r="K52" i="1"/>
  <c r="J52" i="1"/>
  <c r="E52" i="1"/>
  <c r="D52" i="1"/>
  <c r="C52" i="1"/>
  <c r="B52" i="1"/>
  <c r="CY51" i="1"/>
  <c r="CZ51" i="1" s="1"/>
  <c r="CT51" i="1"/>
  <c r="CV51" i="1" s="1"/>
  <c r="CO51" i="1"/>
  <c r="CJ51" i="1"/>
  <c r="CA51" i="1"/>
  <c r="BT51" i="1"/>
  <c r="BU51" i="1" s="1"/>
  <c r="BO51" i="1"/>
  <c r="BQ51" i="1" s="1"/>
  <c r="BJ51" i="1"/>
  <c r="BL51" i="1" s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Q50" i="1" s="1"/>
  <c r="CJ50" i="1"/>
  <c r="CA50" i="1"/>
  <c r="BT50" i="1"/>
  <c r="BO50" i="1"/>
  <c r="BQ50" i="1" s="1"/>
  <c r="BJ50" i="1"/>
  <c r="BL50" i="1" s="1"/>
  <c r="BE50" i="1"/>
  <c r="AV50" i="1"/>
  <c r="AO50" i="1"/>
  <c r="AP50" i="1" s="1"/>
  <c r="AJ50" i="1"/>
  <c r="AL50" i="1" s="1"/>
  <c r="AE50" i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Q49" i="1" s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E49" i="1"/>
  <c r="AG49" i="1" s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CJ48" i="1"/>
  <c r="CA48" i="1"/>
  <c r="BT48" i="1"/>
  <c r="BU48" i="1" s="1"/>
  <c r="BO48" i="1"/>
  <c r="BQ48" i="1" s="1"/>
  <c r="BJ48" i="1"/>
  <c r="BE48" i="1"/>
  <c r="AV48" i="1"/>
  <c r="AO48" i="1"/>
  <c r="AP48" i="1" s="1"/>
  <c r="AJ48" i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O47" i="1"/>
  <c r="CQ47" i="1" s="1"/>
  <c r="CJ47" i="1"/>
  <c r="CA47" i="1"/>
  <c r="BT47" i="1"/>
  <c r="BU47" i="1" s="1"/>
  <c r="BO47" i="1"/>
  <c r="BQ47" i="1" s="1"/>
  <c r="BJ47" i="1"/>
  <c r="BL47" i="1" s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O46" i="1"/>
  <c r="CQ46" i="1" s="1"/>
  <c r="CJ46" i="1"/>
  <c r="CA46" i="1"/>
  <c r="BT46" i="1"/>
  <c r="BU46" i="1" s="1"/>
  <c r="BO46" i="1"/>
  <c r="BJ46" i="1"/>
  <c r="BL46" i="1" s="1"/>
  <c r="BE46" i="1"/>
  <c r="AV46" i="1"/>
  <c r="AO46" i="1"/>
  <c r="AP46" i="1" s="1"/>
  <c r="AJ46" i="1"/>
  <c r="AL46" i="1" s="1"/>
  <c r="AE46" i="1"/>
  <c r="AG46" i="1" s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Q45" i="1" s="1"/>
  <c r="CJ45" i="1"/>
  <c r="CA45" i="1"/>
  <c r="BT45" i="1"/>
  <c r="BU45" i="1" s="1"/>
  <c r="BO45" i="1"/>
  <c r="BQ45" i="1" s="1"/>
  <c r="BJ45" i="1"/>
  <c r="BE45" i="1"/>
  <c r="AV45" i="1"/>
  <c r="AO45" i="1"/>
  <c r="AP45" i="1" s="1"/>
  <c r="AJ45" i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CJ44" i="1"/>
  <c r="CA44" i="1"/>
  <c r="BT44" i="1"/>
  <c r="BU44" i="1" s="1"/>
  <c r="BO44" i="1"/>
  <c r="BQ44" i="1" s="1"/>
  <c r="BJ44" i="1"/>
  <c r="BL44" i="1" s="1"/>
  <c r="BE44" i="1"/>
  <c r="AV44" i="1"/>
  <c r="AO44" i="1"/>
  <c r="AP44" i="1" s="1"/>
  <c r="AJ44" i="1"/>
  <c r="AL44" i="1" s="1"/>
  <c r="AE44" i="1"/>
  <c r="Z44" i="1"/>
  <c r="N44" i="1"/>
  <c r="K44" i="1"/>
  <c r="J44" i="1"/>
  <c r="E44" i="1"/>
  <c r="D44" i="1"/>
  <c r="C44" i="1"/>
  <c r="B44" i="1"/>
  <c r="CY43" i="1"/>
  <c r="CZ43" i="1" s="1"/>
  <c r="CT43" i="1"/>
  <c r="CO43" i="1"/>
  <c r="CQ43" i="1" s="1"/>
  <c r="CJ43" i="1"/>
  <c r="CA43" i="1"/>
  <c r="BT43" i="1"/>
  <c r="BU43" i="1" s="1"/>
  <c r="BO43" i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Y42" i="1"/>
  <c r="CZ42" i="1" s="1"/>
  <c r="CT42" i="1"/>
  <c r="CV42" i="1" s="1"/>
  <c r="CO42" i="1"/>
  <c r="CQ42" i="1" s="1"/>
  <c r="CJ42" i="1"/>
  <c r="CA42" i="1"/>
  <c r="BT42" i="1"/>
  <c r="BU42" i="1" s="1"/>
  <c r="BO42" i="1"/>
  <c r="BQ42" i="1" s="1"/>
  <c r="BJ42" i="1"/>
  <c r="BL42" i="1" s="1"/>
  <c r="BE42" i="1"/>
  <c r="AV42" i="1"/>
  <c r="AO42" i="1"/>
  <c r="AP42" i="1" s="1"/>
  <c r="AJ42" i="1"/>
  <c r="AL42" i="1" s="1"/>
  <c r="AE42" i="1"/>
  <c r="AG42" i="1" s="1"/>
  <c r="Z42" i="1"/>
  <c r="N42" i="1"/>
  <c r="K42" i="1"/>
  <c r="J42" i="1"/>
  <c r="E42" i="1"/>
  <c r="D42" i="1"/>
  <c r="C42" i="1"/>
  <c r="B42" i="1"/>
  <c r="CY41" i="1"/>
  <c r="CZ41" i="1" s="1"/>
  <c r="CT41" i="1"/>
  <c r="CV41" i="1" s="1"/>
  <c r="CO41" i="1"/>
  <c r="CJ41" i="1"/>
  <c r="CA41" i="1"/>
  <c r="BT41" i="1"/>
  <c r="BU41" i="1" s="1"/>
  <c r="BO41" i="1"/>
  <c r="BQ41" i="1" s="1"/>
  <c r="BJ41" i="1"/>
  <c r="BL41" i="1" s="1"/>
  <c r="BE41" i="1"/>
  <c r="AV41" i="1"/>
  <c r="AO41" i="1"/>
  <c r="AP41" i="1" s="1"/>
  <c r="AJ41" i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Q40" i="1" s="1"/>
  <c r="BJ40" i="1"/>
  <c r="BE40" i="1"/>
  <c r="AV40" i="1"/>
  <c r="AO40" i="1"/>
  <c r="AP40" i="1" s="1"/>
  <c r="AJ40" i="1"/>
  <c r="AL40" i="1" s="1"/>
  <c r="AE40" i="1"/>
  <c r="AG40" i="1" s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L39" i="1" s="1"/>
  <c r="BE39" i="1"/>
  <c r="AV39" i="1"/>
  <c r="AO39" i="1"/>
  <c r="AP39" i="1" s="1"/>
  <c r="AJ39" i="1"/>
  <c r="AE39" i="1"/>
  <c r="AG39" i="1" s="1"/>
  <c r="Z39" i="1"/>
  <c r="N39" i="1"/>
  <c r="K39" i="1"/>
  <c r="J39" i="1"/>
  <c r="E39" i="1"/>
  <c r="D39" i="1"/>
  <c r="C39" i="1"/>
  <c r="B39" i="1"/>
  <c r="CY38" i="1"/>
  <c r="CT38" i="1"/>
  <c r="CV38" i="1" s="1"/>
  <c r="CO38" i="1"/>
  <c r="CQ38" i="1" s="1"/>
  <c r="CJ38" i="1"/>
  <c r="CA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Q37" i="1" s="1"/>
  <c r="CJ37" i="1"/>
  <c r="CA37" i="1"/>
  <c r="BT37" i="1"/>
  <c r="BU37" i="1" s="1"/>
  <c r="BO37" i="1"/>
  <c r="BQ37" i="1" s="1"/>
  <c r="BJ37" i="1"/>
  <c r="BL37" i="1" s="1"/>
  <c r="BE37" i="1"/>
  <c r="AV37" i="1"/>
  <c r="AO37" i="1"/>
  <c r="AP37" i="1" s="1"/>
  <c r="AJ37" i="1"/>
  <c r="AL37" i="1" s="1"/>
  <c r="AE37" i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T35" i="1"/>
  <c r="CV35" i="1" s="1"/>
  <c r="CO35" i="1"/>
  <c r="CQ35" i="1" s="1"/>
  <c r="CJ35" i="1"/>
  <c r="CA35" i="1"/>
  <c r="BT35" i="1"/>
  <c r="BU35" i="1" s="1"/>
  <c r="BO35" i="1"/>
  <c r="BQ35" i="1" s="1"/>
  <c r="BJ35" i="1"/>
  <c r="BE35" i="1"/>
  <c r="AV35" i="1"/>
  <c r="AO35" i="1"/>
  <c r="AP35" i="1" s="1"/>
  <c r="AJ35" i="1"/>
  <c r="AL35" i="1" s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CJ34" i="1"/>
  <c r="CA34" i="1"/>
  <c r="BT34" i="1"/>
  <c r="BU34" i="1" s="1"/>
  <c r="BO34" i="1"/>
  <c r="BQ34" i="1" s="1"/>
  <c r="BJ34" i="1"/>
  <c r="BL34" i="1" s="1"/>
  <c r="BE34" i="1"/>
  <c r="AV34" i="1"/>
  <c r="AO34" i="1"/>
  <c r="AP34" i="1" s="1"/>
  <c r="AJ34" i="1"/>
  <c r="AL34" i="1" s="1"/>
  <c r="AE34" i="1"/>
  <c r="AG34" i="1" s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Q33" i="1" s="1"/>
  <c r="CJ33" i="1"/>
  <c r="CA33" i="1"/>
  <c r="BT33" i="1"/>
  <c r="BU33" i="1" s="1"/>
  <c r="BO33" i="1"/>
  <c r="BQ33" i="1" s="1"/>
  <c r="BJ33" i="1"/>
  <c r="BL33" i="1" s="1"/>
  <c r="BE33" i="1"/>
  <c r="AV33" i="1"/>
  <c r="AO33" i="1"/>
  <c r="AP33" i="1" s="1"/>
  <c r="AJ33" i="1"/>
  <c r="AL33" i="1" s="1"/>
  <c r="AE33" i="1"/>
  <c r="AG33" i="1" s="1"/>
  <c r="Z33" i="1"/>
  <c r="N33" i="1"/>
  <c r="K33" i="1"/>
  <c r="J33" i="1"/>
  <c r="E33" i="1"/>
  <c r="D33" i="1"/>
  <c r="C33" i="1"/>
  <c r="B33" i="1"/>
  <c r="CH32" i="1"/>
  <c r="BC32" i="1"/>
  <c r="X32" i="1"/>
  <c r="CY31" i="1"/>
  <c r="CT31" i="1"/>
  <c r="CV31" i="1" s="1"/>
  <c r="CO31" i="1"/>
  <c r="CQ31" i="1" s="1"/>
  <c r="CJ31" i="1"/>
  <c r="CA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CA30" i="1"/>
  <c r="BT30" i="1"/>
  <c r="BU30" i="1" s="1"/>
  <c r="BO30" i="1"/>
  <c r="BQ30" i="1" s="1"/>
  <c r="BJ30" i="1"/>
  <c r="BL30" i="1" s="1"/>
  <c r="BE30" i="1"/>
  <c r="AV30" i="1"/>
  <c r="AO30" i="1"/>
  <c r="AP30" i="1" s="1"/>
  <c r="AJ30" i="1"/>
  <c r="AE30" i="1"/>
  <c r="AG30" i="1" s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Q29" i="1" s="1"/>
  <c r="CJ29" i="1"/>
  <c r="CA29" i="1"/>
  <c r="BT29" i="1"/>
  <c r="BU29" i="1" s="1"/>
  <c r="BO29" i="1"/>
  <c r="BQ29" i="1" s="1"/>
  <c r="BJ29" i="1"/>
  <c r="BL29" i="1" s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CJ28" i="1"/>
  <c r="CA28" i="1"/>
  <c r="BT28" i="1"/>
  <c r="BU28" i="1" s="1"/>
  <c r="BO28" i="1"/>
  <c r="BQ28" i="1" s="1"/>
  <c r="BJ28" i="1"/>
  <c r="BE28" i="1"/>
  <c r="AV28" i="1"/>
  <c r="AO28" i="1"/>
  <c r="AP28" i="1" s="1"/>
  <c r="AJ28" i="1"/>
  <c r="AL28" i="1" s="1"/>
  <c r="AE28" i="1"/>
  <c r="AG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Q27" i="1" s="1"/>
  <c r="CJ27" i="1"/>
  <c r="CA27" i="1"/>
  <c r="BT27" i="1"/>
  <c r="BU27" i="1" s="1"/>
  <c r="BO27" i="1"/>
  <c r="BJ27" i="1"/>
  <c r="BL27" i="1" s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CJ26" i="1"/>
  <c r="CA26" i="1"/>
  <c r="BT26" i="1"/>
  <c r="BU26" i="1" s="1"/>
  <c r="BO26" i="1"/>
  <c r="BQ26" i="1" s="1"/>
  <c r="BJ26" i="1"/>
  <c r="BE26" i="1"/>
  <c r="AV26" i="1"/>
  <c r="AO26" i="1"/>
  <c r="AP26" i="1" s="1"/>
  <c r="AJ26" i="1"/>
  <c r="AL26" i="1" s="1"/>
  <c r="AE26" i="1"/>
  <c r="AG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J25" i="1"/>
  <c r="CA25" i="1"/>
  <c r="BT25" i="1"/>
  <c r="BU25" i="1" s="1"/>
  <c r="BO25" i="1"/>
  <c r="BJ25" i="1"/>
  <c r="BL25" i="1" s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Q24" i="1" s="1"/>
  <c r="CJ24" i="1"/>
  <c r="CA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J23" i="1"/>
  <c r="CA23" i="1"/>
  <c r="BT23" i="1"/>
  <c r="BU23" i="1" s="1"/>
  <c r="BO23" i="1"/>
  <c r="BQ23" i="1" s="1"/>
  <c r="BJ23" i="1"/>
  <c r="BL23" i="1" s="1"/>
  <c r="BE23" i="1"/>
  <c r="AV23" i="1"/>
  <c r="AO23" i="1"/>
  <c r="AP23" i="1" s="1"/>
  <c r="AJ23" i="1"/>
  <c r="AL23" i="1" s="1"/>
  <c r="AE23" i="1"/>
  <c r="AG23" i="1" s="1"/>
  <c r="Z23" i="1"/>
  <c r="N23" i="1"/>
  <c r="K23" i="1"/>
  <c r="J23" i="1"/>
  <c r="E23" i="1"/>
  <c r="D23" i="1"/>
  <c r="C23" i="1"/>
  <c r="B23" i="1"/>
  <c r="CY22" i="1"/>
  <c r="CZ22" i="1" s="1"/>
  <c r="CT22" i="1"/>
  <c r="CV22" i="1" s="1"/>
  <c r="CO22" i="1"/>
  <c r="CQ22" i="1" s="1"/>
  <c r="CJ22" i="1"/>
  <c r="CA22" i="1"/>
  <c r="BT22" i="1"/>
  <c r="BU22" i="1" s="1"/>
  <c r="BO22" i="1"/>
  <c r="BQ22" i="1" s="1"/>
  <c r="BJ22" i="1"/>
  <c r="BE22" i="1"/>
  <c r="AV22" i="1"/>
  <c r="AO22" i="1"/>
  <c r="AP22" i="1" s="1"/>
  <c r="AJ22" i="1"/>
  <c r="AL22" i="1" s="1"/>
  <c r="AE22" i="1"/>
  <c r="Z22" i="1"/>
  <c r="N22" i="1"/>
  <c r="K22" i="1"/>
  <c r="J22" i="1"/>
  <c r="E22" i="1"/>
  <c r="D22" i="1"/>
  <c r="C22" i="1"/>
  <c r="B22" i="1"/>
  <c r="CY21" i="1"/>
  <c r="CZ21" i="1" s="1"/>
  <c r="CT21" i="1"/>
  <c r="CV21" i="1" s="1"/>
  <c r="CO21" i="1"/>
  <c r="CJ21" i="1"/>
  <c r="CA21" i="1"/>
  <c r="BT21" i="1"/>
  <c r="BU21" i="1" s="1"/>
  <c r="BO21" i="1"/>
  <c r="BQ21" i="1" s="1"/>
  <c r="BJ21" i="1"/>
  <c r="BE21" i="1"/>
  <c r="AV21" i="1"/>
  <c r="AO21" i="1"/>
  <c r="AP21" i="1" s="1"/>
  <c r="AJ21" i="1"/>
  <c r="AL21" i="1" s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Q20" i="1" s="1"/>
  <c r="CJ20" i="1"/>
  <c r="CA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E20" i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J19" i="1"/>
  <c r="CA19" i="1"/>
  <c r="BT19" i="1"/>
  <c r="BU19" i="1" s="1"/>
  <c r="BO19" i="1"/>
  <c r="BQ19" i="1" s="1"/>
  <c r="BJ19" i="1"/>
  <c r="BE19" i="1"/>
  <c r="AV19" i="1"/>
  <c r="AO19" i="1"/>
  <c r="AP19" i="1" s="1"/>
  <c r="AJ19" i="1"/>
  <c r="AL19" i="1" s="1"/>
  <c r="AE19" i="1"/>
  <c r="AG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J18" i="1"/>
  <c r="CA18" i="1"/>
  <c r="BT18" i="1"/>
  <c r="BU18" i="1" s="1"/>
  <c r="BO18" i="1"/>
  <c r="BQ18" i="1" s="1"/>
  <c r="BJ18" i="1"/>
  <c r="BL18" i="1" s="1"/>
  <c r="BE18" i="1"/>
  <c r="AV18" i="1"/>
  <c r="AO18" i="1"/>
  <c r="AP18" i="1" s="1"/>
  <c r="AJ18" i="1"/>
  <c r="AL18" i="1" s="1"/>
  <c r="AE18" i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CJ17" i="1"/>
  <c r="CA17" i="1"/>
  <c r="BT17" i="1"/>
  <c r="BU17" i="1" s="1"/>
  <c r="BO17" i="1"/>
  <c r="BQ17" i="1" s="1"/>
  <c r="BJ17" i="1"/>
  <c r="BE17" i="1"/>
  <c r="AV17" i="1"/>
  <c r="AO17" i="1"/>
  <c r="AP17" i="1" s="1"/>
  <c r="AJ17" i="1"/>
  <c r="AL17" i="1" s="1"/>
  <c r="AE17" i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CA16" i="1"/>
  <c r="BT16" i="1"/>
  <c r="BU16" i="1" s="1"/>
  <c r="BO16" i="1"/>
  <c r="BQ16" i="1" s="1"/>
  <c r="BJ16" i="1"/>
  <c r="BL16" i="1" s="1"/>
  <c r="BE16" i="1"/>
  <c r="AV16" i="1"/>
  <c r="AO16" i="1"/>
  <c r="AP16" i="1" s="1"/>
  <c r="AJ16" i="1"/>
  <c r="AL16" i="1" s="1"/>
  <c r="AE16" i="1"/>
  <c r="AG16" i="1" s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CJ15" i="1"/>
  <c r="CA15" i="1"/>
  <c r="BT15" i="1"/>
  <c r="BU15" i="1" s="1"/>
  <c r="BO15" i="1"/>
  <c r="BQ15" i="1" s="1"/>
  <c r="BJ15" i="1"/>
  <c r="BE15" i="1"/>
  <c r="AV15" i="1"/>
  <c r="AO15" i="1"/>
  <c r="AP15" i="1" s="1"/>
  <c r="AJ15" i="1"/>
  <c r="AL15" i="1" s="1"/>
  <c r="AE15" i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CJ14" i="1"/>
  <c r="CA14" i="1"/>
  <c r="BT14" i="1"/>
  <c r="BU14" i="1" s="1"/>
  <c r="BO14" i="1"/>
  <c r="BQ14" i="1" s="1"/>
  <c r="BJ14" i="1"/>
  <c r="BE14" i="1"/>
  <c r="AV14" i="1"/>
  <c r="AO14" i="1"/>
  <c r="AP14" i="1" s="1"/>
  <c r="AJ14" i="1"/>
  <c r="AL14" i="1" s="1"/>
  <c r="AE14" i="1"/>
  <c r="AG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CO13" i="1"/>
  <c r="CQ13" i="1" s="1"/>
  <c r="CJ13" i="1"/>
  <c r="CA13" i="1"/>
  <c r="BT13" i="1"/>
  <c r="BU13" i="1" s="1"/>
  <c r="BO13" i="1"/>
  <c r="BQ13" i="1" s="1"/>
  <c r="BJ13" i="1"/>
  <c r="BL13" i="1" s="1"/>
  <c r="BE13" i="1"/>
  <c r="AV13" i="1"/>
  <c r="AO13" i="1"/>
  <c r="AP13" i="1" s="1"/>
  <c r="AJ13" i="1"/>
  <c r="AL13" i="1" s="1"/>
  <c r="AE13" i="1"/>
  <c r="Z13" i="1"/>
  <c r="N13" i="1"/>
  <c r="K13" i="1"/>
  <c r="J13" i="1"/>
  <c r="E13" i="1"/>
  <c r="D13" i="1"/>
  <c r="C13" i="1"/>
  <c r="B13" i="1"/>
  <c r="CY12" i="1"/>
  <c r="CZ12" i="1" s="1"/>
  <c r="CT12" i="1"/>
  <c r="CV12" i="1" s="1"/>
  <c r="CO12" i="1"/>
  <c r="CJ12" i="1"/>
  <c r="CA12" i="1"/>
  <c r="BT12" i="1"/>
  <c r="BU12" i="1" s="1"/>
  <c r="BO12" i="1"/>
  <c r="BQ12" i="1" s="1"/>
  <c r="BJ12" i="1"/>
  <c r="BE12" i="1"/>
  <c r="AV12" i="1"/>
  <c r="AO12" i="1"/>
  <c r="AP12" i="1" s="1"/>
  <c r="AJ12" i="1"/>
  <c r="AL12" i="1" s="1"/>
  <c r="AE12" i="1"/>
  <c r="AG12" i="1" s="1"/>
  <c r="Z12" i="1"/>
  <c r="N12" i="1"/>
  <c r="K12" i="1"/>
  <c r="J12" i="1"/>
  <c r="E12" i="1"/>
  <c r="D12" i="1"/>
  <c r="C12" i="1"/>
  <c r="B12" i="1"/>
  <c r="CY11" i="1"/>
  <c r="CZ11" i="1" s="1"/>
  <c r="CT11" i="1"/>
  <c r="CV11" i="1" s="1"/>
  <c r="CO11" i="1"/>
  <c r="CJ11" i="1"/>
  <c r="CA11" i="1"/>
  <c r="BT11" i="1"/>
  <c r="BU11" i="1" s="1"/>
  <c r="BO11" i="1"/>
  <c r="BQ11" i="1" s="1"/>
  <c r="BJ11" i="1"/>
  <c r="BL11" i="1" s="1"/>
  <c r="BE11" i="1"/>
  <c r="AV11" i="1"/>
  <c r="AO11" i="1"/>
  <c r="AP11" i="1" s="1"/>
  <c r="AJ11" i="1"/>
  <c r="AL11" i="1" s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Q10" i="1" s="1"/>
  <c r="CJ10" i="1"/>
  <c r="CA10" i="1"/>
  <c r="BT10" i="1"/>
  <c r="BU10" i="1" s="1"/>
  <c r="BO10" i="1"/>
  <c r="BQ10" i="1" s="1"/>
  <c r="BJ10" i="1"/>
  <c r="BE10" i="1"/>
  <c r="AV10" i="1"/>
  <c r="AO10" i="1"/>
  <c r="AP10" i="1" s="1"/>
  <c r="AJ10" i="1"/>
  <c r="AL10" i="1" s="1"/>
  <c r="AE10" i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J9" i="1"/>
  <c r="CA9" i="1"/>
  <c r="BT9" i="1"/>
  <c r="BU9" i="1" s="1"/>
  <c r="BO9" i="1"/>
  <c r="BQ9" i="1" s="1"/>
  <c r="BJ9" i="1"/>
  <c r="BL9" i="1" s="1"/>
  <c r="BE9" i="1"/>
  <c r="AV9" i="1"/>
  <c r="AO9" i="1"/>
  <c r="AP9" i="1" s="1"/>
  <c r="AJ9" i="1"/>
  <c r="AL9" i="1" s="1"/>
  <c r="AE9" i="1"/>
  <c r="AG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Q8" i="1" s="1"/>
  <c r="CJ8" i="1"/>
  <c r="CA8" i="1"/>
  <c r="BT8" i="1"/>
  <c r="BU8" i="1" s="1"/>
  <c r="BO8" i="1"/>
  <c r="BQ8" i="1" s="1"/>
  <c r="BJ8" i="1"/>
  <c r="BL8" i="1" s="1"/>
  <c r="BE8" i="1"/>
  <c r="AV8" i="1"/>
  <c r="AO8" i="1"/>
  <c r="AP8" i="1" s="1"/>
  <c r="AJ8" i="1"/>
  <c r="AL8" i="1" s="1"/>
  <c r="AE8" i="1"/>
  <c r="Z8" i="1"/>
  <c r="N8" i="1"/>
  <c r="K8" i="1"/>
  <c r="J8" i="1"/>
  <c r="E8" i="1"/>
  <c r="D8" i="1"/>
  <c r="C8" i="1"/>
  <c r="B8" i="1"/>
  <c r="CY7" i="1"/>
  <c r="CZ7" i="1" s="1"/>
  <c r="CT7" i="1"/>
  <c r="CV7" i="1" s="1"/>
  <c r="CO7" i="1"/>
  <c r="CJ7" i="1"/>
  <c r="CA7" i="1"/>
  <c r="BT7" i="1"/>
  <c r="BU7" i="1" s="1"/>
  <c r="BO7" i="1"/>
  <c r="BQ7" i="1" s="1"/>
  <c r="BJ7" i="1"/>
  <c r="BE7" i="1"/>
  <c r="AV7" i="1"/>
  <c r="AO7" i="1"/>
  <c r="AP7" i="1" s="1"/>
  <c r="AJ7" i="1"/>
  <c r="AL7" i="1" s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CQ6" i="1" s="1"/>
  <c r="CJ6" i="1"/>
  <c r="CA6" i="1"/>
  <c r="BT6" i="1"/>
  <c r="BU6" i="1" s="1"/>
  <c r="BO6" i="1"/>
  <c r="BQ6" i="1" s="1"/>
  <c r="BJ6" i="1"/>
  <c r="BL6" i="1" s="1"/>
  <c r="BE6" i="1"/>
  <c r="AV6" i="1"/>
  <c r="AO6" i="1"/>
  <c r="AP6" i="1" s="1"/>
  <c r="AJ6" i="1"/>
  <c r="AL6" i="1" s="1"/>
  <c r="AE6" i="1"/>
  <c r="Z6" i="1"/>
  <c r="N6" i="1"/>
  <c r="K6" i="1"/>
  <c r="J6" i="1"/>
  <c r="E6" i="1"/>
  <c r="D6" i="1"/>
  <c r="C6" i="1"/>
  <c r="B6" i="1"/>
  <c r="CY5" i="1"/>
  <c r="CZ5" i="1" s="1"/>
  <c r="CT5" i="1"/>
  <c r="CV5" i="1" s="1"/>
  <c r="CO5" i="1"/>
  <c r="CQ5" i="1" s="1"/>
  <c r="CJ5" i="1"/>
  <c r="CA5" i="1"/>
  <c r="BT5" i="1"/>
  <c r="BU5" i="1" s="1"/>
  <c r="BO5" i="1"/>
  <c r="BQ5" i="1" s="1"/>
  <c r="BJ5" i="1"/>
  <c r="BE5" i="1"/>
  <c r="AV5" i="1"/>
  <c r="AO5" i="1"/>
  <c r="AP5" i="1" s="1"/>
  <c r="AJ5" i="1"/>
  <c r="AL5" i="1" s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CQ4" i="1" s="1"/>
  <c r="CJ4" i="1"/>
  <c r="CA4" i="1"/>
  <c r="BT4" i="1"/>
  <c r="BU4" i="1" s="1"/>
  <c r="BO4" i="1"/>
  <c r="BQ4" i="1" s="1"/>
  <c r="BJ4" i="1"/>
  <c r="BL4" i="1" s="1"/>
  <c r="BE4" i="1"/>
  <c r="AV4" i="1"/>
  <c r="AO4" i="1"/>
  <c r="AP4" i="1" s="1"/>
  <c r="AJ4" i="1"/>
  <c r="AL4" i="1" s="1"/>
  <c r="AE4" i="1"/>
  <c r="AG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Q3" i="1" s="1"/>
  <c r="CJ3" i="1"/>
  <c r="CA3" i="1"/>
  <c r="BT3" i="1"/>
  <c r="BU3" i="1" s="1"/>
  <c r="BO3" i="1"/>
  <c r="BQ3" i="1" s="1"/>
  <c r="BJ3" i="1"/>
  <c r="BE3" i="1"/>
  <c r="AV3" i="1"/>
  <c r="AO3" i="1"/>
  <c r="AP3" i="1" s="1"/>
  <c r="AJ3" i="1"/>
  <c r="AL3" i="1" s="1"/>
  <c r="AE3" i="1"/>
  <c r="AG3" i="1" s="1"/>
  <c r="Z3" i="1"/>
  <c r="N3" i="1"/>
  <c r="K3" i="1"/>
  <c r="J3" i="1"/>
  <c r="E3" i="1"/>
  <c r="D3" i="1"/>
  <c r="C3" i="1"/>
  <c r="B3" i="1"/>
  <c r="CH2" i="1"/>
  <c r="BC2" i="1"/>
  <c r="X2" i="1"/>
  <c r="DA126" i="1" l="1"/>
  <c r="DA160" i="1"/>
  <c r="BV157" i="1"/>
  <c r="AR164" i="1"/>
  <c r="DB61" i="1"/>
  <c r="BW28" i="1"/>
  <c r="AQ130" i="1"/>
  <c r="BV133" i="1"/>
  <c r="DA214" i="1"/>
  <c r="DB18" i="1"/>
  <c r="AR24" i="1"/>
  <c r="AQ146" i="1"/>
  <c r="BW162" i="1"/>
  <c r="AR180" i="1"/>
  <c r="DD182" i="1"/>
  <c r="B182" i="1" s="1"/>
  <c r="BW215" i="1"/>
  <c r="AR216" i="1"/>
  <c r="AR218" i="1"/>
  <c r="AR221" i="1"/>
  <c r="DB224" i="1"/>
  <c r="DA226" i="1"/>
  <c r="BW231" i="1"/>
  <c r="AR232" i="1"/>
  <c r="AR235" i="1"/>
  <c r="AQ239" i="1"/>
  <c r="BW296" i="1"/>
  <c r="BL296" i="1"/>
  <c r="AQ416" i="1"/>
  <c r="BV423" i="1"/>
  <c r="BW475" i="1"/>
  <c r="BL475" i="1"/>
  <c r="DB606" i="1"/>
  <c r="CQ606" i="1"/>
  <c r="DA606" i="1" s="1"/>
  <c r="DA15" i="1"/>
  <c r="BV16" i="1"/>
  <c r="BV70" i="1"/>
  <c r="AQ117" i="1"/>
  <c r="DB124" i="1"/>
  <c r="DA130" i="1"/>
  <c r="BV134" i="1"/>
  <c r="AR163" i="1"/>
  <c r="BW169" i="1"/>
  <c r="BV180" i="1"/>
  <c r="DB186" i="1"/>
  <c r="BW218" i="1"/>
  <c r="AR223" i="1"/>
  <c r="BW227" i="1"/>
  <c r="AR230" i="1"/>
  <c r="DD242" i="1"/>
  <c r="B242" i="1" s="1"/>
  <c r="DA256" i="1"/>
  <c r="DB264" i="1"/>
  <c r="AR295" i="1"/>
  <c r="AG295" i="1"/>
  <c r="AR325" i="1"/>
  <c r="AR328" i="1"/>
  <c r="DA370" i="1"/>
  <c r="BW373" i="1"/>
  <c r="DB399" i="1"/>
  <c r="DB456" i="1"/>
  <c r="BV475" i="1"/>
  <c r="DA494" i="1"/>
  <c r="BW536" i="1"/>
  <c r="BL536" i="1"/>
  <c r="AR80" i="1"/>
  <c r="DA82" i="1"/>
  <c r="AQ129" i="1"/>
  <c r="BW154" i="1"/>
  <c r="DB158" i="1"/>
  <c r="DA175" i="1"/>
  <c r="BW183" i="1"/>
  <c r="DB205" i="1"/>
  <c r="BW213" i="1"/>
  <c r="BW224" i="1"/>
  <c r="AQ225" i="1"/>
  <c r="DB227" i="1"/>
  <c r="BW232" i="1"/>
  <c r="DA250" i="1"/>
  <c r="BV258" i="1"/>
  <c r="DB262" i="1"/>
  <c r="BW265" i="1"/>
  <c r="AR282" i="1"/>
  <c r="BW289" i="1"/>
  <c r="DB291" i="1"/>
  <c r="AQ298" i="1"/>
  <c r="DB299" i="1"/>
  <c r="BW301" i="1"/>
  <c r="DB303" i="1"/>
  <c r="AQ304" i="1"/>
  <c r="DB363" i="1"/>
  <c r="DA456" i="1"/>
  <c r="DB499" i="1"/>
  <c r="BV459" i="1"/>
  <c r="AR484" i="1"/>
  <c r="AG506" i="1"/>
  <c r="AQ506" i="1" s="1"/>
  <c r="AR506" i="1"/>
  <c r="AQ351" i="1"/>
  <c r="DB385" i="1"/>
  <c r="AR389" i="1"/>
  <c r="DA416" i="1"/>
  <c r="AR441" i="1"/>
  <c r="BW454" i="1"/>
  <c r="AQ456" i="1"/>
  <c r="BW456" i="1"/>
  <c r="CV459" i="1"/>
  <c r="AR470" i="1"/>
  <c r="AG472" i="1"/>
  <c r="DA487" i="1"/>
  <c r="AR490" i="1"/>
  <c r="DB491" i="1"/>
  <c r="BW506" i="1"/>
  <c r="BL506" i="1"/>
  <c r="BV506" i="1" s="1"/>
  <c r="DB509" i="1"/>
  <c r="DB519" i="1"/>
  <c r="DB525" i="1"/>
  <c r="DB527" i="1"/>
  <c r="AR540" i="1"/>
  <c r="CQ560" i="1"/>
  <c r="DA560" i="1" s="1"/>
  <c r="DB560" i="1"/>
  <c r="CQ593" i="1"/>
  <c r="DA593" i="1" s="1"/>
  <c r="AR606" i="1"/>
  <c r="AG606" i="1"/>
  <c r="AQ606" i="1" s="1"/>
  <c r="AL625" i="1"/>
  <c r="AQ267" i="1"/>
  <c r="DB306" i="1"/>
  <c r="BV319" i="1"/>
  <c r="DA320" i="1"/>
  <c r="BV343" i="1"/>
  <c r="BV347" i="1"/>
  <c r="BW348" i="1"/>
  <c r="BV363" i="1"/>
  <c r="DA365" i="1"/>
  <c r="DA377" i="1"/>
  <c r="AR412" i="1"/>
  <c r="AQ418" i="1"/>
  <c r="DB423" i="1"/>
  <c r="BW426" i="1"/>
  <c r="DA438" i="1"/>
  <c r="BV439" i="1"/>
  <c r="BL456" i="1"/>
  <c r="BV456" i="1" s="1"/>
  <c r="AQ467" i="1"/>
  <c r="DA467" i="1"/>
  <c r="CQ472" i="1"/>
  <c r="DA472" i="1" s="1"/>
  <c r="AQ478" i="1"/>
  <c r="AQ485" i="1"/>
  <c r="AR493" i="1"/>
  <c r="CQ499" i="1"/>
  <c r="DA499" i="1" s="1"/>
  <c r="AR500" i="1"/>
  <c r="BW501" i="1"/>
  <c r="AR517" i="1"/>
  <c r="DA521" i="1"/>
  <c r="BV530" i="1"/>
  <c r="AQ538" i="1"/>
  <c r="DA552" i="1"/>
  <c r="BV556" i="1"/>
  <c r="DA586" i="1"/>
  <c r="DA594" i="1"/>
  <c r="BV603" i="1"/>
  <c r="CQ607" i="1"/>
  <c r="DA607" i="1" s="1"/>
  <c r="CQ622" i="1"/>
  <c r="DA622" i="1" s="1"/>
  <c r="DB622" i="1"/>
  <c r="BW550" i="1"/>
  <c r="BW555" i="1"/>
  <c r="AQ556" i="1"/>
  <c r="DA559" i="1"/>
  <c r="AR562" i="1"/>
  <c r="AR574" i="1"/>
  <c r="BW587" i="1"/>
  <c r="DB590" i="1"/>
  <c r="AR591" i="1"/>
  <c r="DA604" i="1"/>
  <c r="DB623" i="1"/>
  <c r="BV508" i="1"/>
  <c r="AR512" i="1"/>
  <c r="BW516" i="1"/>
  <c r="AR518" i="1"/>
  <c r="AQ523" i="1"/>
  <c r="DA525" i="1"/>
  <c r="BV526" i="1"/>
  <c r="DA531" i="1"/>
  <c r="DA535" i="1"/>
  <c r="DA540" i="1"/>
  <c r="DB549" i="1"/>
  <c r="DA557" i="1"/>
  <c r="DA567" i="1"/>
  <c r="AG574" i="1"/>
  <c r="BL587" i="1"/>
  <c r="CQ590" i="1"/>
  <c r="DA590" i="1" s="1"/>
  <c r="AG591" i="1"/>
  <c r="AQ591" i="1" s="1"/>
  <c r="AG597" i="1"/>
  <c r="DB598" i="1"/>
  <c r="BV604" i="1"/>
  <c r="AQ177" i="1"/>
  <c r="BV222" i="1"/>
  <c r="AR254" i="1"/>
  <c r="BW258" i="1"/>
  <c r="AR276" i="1"/>
  <c r="AL276" i="1"/>
  <c r="AQ276" i="1" s="1"/>
  <c r="BQ468" i="1"/>
  <c r="BV468" i="1" s="1"/>
  <c r="BW468" i="1"/>
  <c r="BW502" i="1"/>
  <c r="BL502" i="1"/>
  <c r="AR530" i="1"/>
  <c r="AG530" i="1"/>
  <c r="AQ530" i="1" s="1"/>
  <c r="AR542" i="1"/>
  <c r="AR575" i="1"/>
  <c r="AL575" i="1"/>
  <c r="DB578" i="1"/>
  <c r="CZ578" i="1"/>
  <c r="DB586" i="1"/>
  <c r="BW622" i="1"/>
  <c r="BL622" i="1"/>
  <c r="BV622" i="1" s="1"/>
  <c r="BW624" i="1"/>
  <c r="BL624" i="1"/>
  <c r="BV624" i="1" s="1"/>
  <c r="BV150" i="1"/>
  <c r="DA154" i="1"/>
  <c r="BW172" i="1"/>
  <c r="AQ187" i="1"/>
  <c r="CV124" i="1"/>
  <c r="DA124" i="1" s="1"/>
  <c r="AR130" i="1"/>
  <c r="BW134" i="1"/>
  <c r="BW153" i="1"/>
  <c r="AR158" i="1"/>
  <c r="BW166" i="1"/>
  <c r="DB169" i="1"/>
  <c r="AQ170" i="1"/>
  <c r="BW171" i="1"/>
  <c r="BV174" i="1"/>
  <c r="AQ175" i="1"/>
  <c r="DA178" i="1"/>
  <c r="DB180" i="1"/>
  <c r="BQ183" i="1"/>
  <c r="DA199" i="1"/>
  <c r="BW200" i="1"/>
  <c r="DA204" i="1"/>
  <c r="AR210" i="1"/>
  <c r="BL215" i="1"/>
  <c r="BV215" i="1" s="1"/>
  <c r="AG216" i="1"/>
  <c r="DB219" i="1"/>
  <c r="DA220" i="1"/>
  <c r="CV224" i="1"/>
  <c r="BL227" i="1"/>
  <c r="BV227" i="1" s="1"/>
  <c r="DA228" i="1"/>
  <c r="CV229" i="1"/>
  <c r="DB236" i="1"/>
  <c r="BQ265" i="1"/>
  <c r="BQ273" i="1"/>
  <c r="BW273" i="1"/>
  <c r="DB296" i="1"/>
  <c r="AR306" i="1"/>
  <c r="AG306" i="1"/>
  <c r="CQ328" i="1"/>
  <c r="DB328" i="1"/>
  <c r="DB333" i="1"/>
  <c r="CQ333" i="1"/>
  <c r="DA333" i="1" s="1"/>
  <c r="CQ466" i="1"/>
  <c r="DA466" i="1" s="1"/>
  <c r="DB466" i="1"/>
  <c r="BW492" i="1"/>
  <c r="BL492" i="1"/>
  <c r="DA177" i="1"/>
  <c r="DA203" i="1"/>
  <c r="DA223" i="1"/>
  <c r="BV229" i="1"/>
  <c r="BW12" i="1"/>
  <c r="AR13" i="1"/>
  <c r="DA29" i="1"/>
  <c r="AQ60" i="1"/>
  <c r="BV64" i="1"/>
  <c r="DB74" i="1"/>
  <c r="BV75" i="1"/>
  <c r="AR87" i="1"/>
  <c r="BV89" i="1"/>
  <c r="BW127" i="1"/>
  <c r="DA127" i="1"/>
  <c r="AQ151" i="1"/>
  <c r="DB157" i="1"/>
  <c r="AQ161" i="1"/>
  <c r="DB161" i="1"/>
  <c r="BV172" i="1"/>
  <c r="BW177" i="1"/>
  <c r="BW187" i="1"/>
  <c r="AR188" i="1"/>
  <c r="AR202" i="1"/>
  <c r="AQ203" i="1"/>
  <c r="AQ216" i="1"/>
  <c r="DB216" i="1"/>
  <c r="AR217" i="1"/>
  <c r="DB221" i="1"/>
  <c r="AG223" i="1"/>
  <c r="AQ223" i="1" s="1"/>
  <c r="DB225" i="1"/>
  <c r="BW226" i="1"/>
  <c r="AG232" i="1"/>
  <c r="AR234" i="1"/>
  <c r="DA235" i="1"/>
  <c r="DB241" i="1"/>
  <c r="CQ291" i="1"/>
  <c r="DA291" i="1" s="1"/>
  <c r="BW292" i="1"/>
  <c r="DB293" i="1"/>
  <c r="DB294" i="1"/>
  <c r="BW295" i="1"/>
  <c r="DB307" i="1"/>
  <c r="AQ308" i="1"/>
  <c r="CQ314" i="1"/>
  <c r="DB314" i="1"/>
  <c r="AQ331" i="1"/>
  <c r="DA354" i="1"/>
  <c r="DA382" i="1"/>
  <c r="DB418" i="1"/>
  <c r="AR463" i="1"/>
  <c r="AL463" i="1"/>
  <c r="AG527" i="1"/>
  <c r="AQ527" i="1" s="1"/>
  <c r="AR527" i="1"/>
  <c r="BW528" i="1"/>
  <c r="BL528" i="1"/>
  <c r="BV167" i="1"/>
  <c r="AQ176" i="1"/>
  <c r="DA189" i="1"/>
  <c r="BV219" i="1"/>
  <c r="DA233" i="1"/>
  <c r="DA89" i="1"/>
  <c r="AQ106" i="1"/>
  <c r="DA108" i="1"/>
  <c r="DA118" i="1"/>
  <c r="AR123" i="1"/>
  <c r="BV123" i="1"/>
  <c r="AR125" i="1"/>
  <c r="DA145" i="1"/>
  <c r="AQ153" i="1"/>
  <c r="BV158" i="1"/>
  <c r="BV159" i="1"/>
  <c r="AQ166" i="1"/>
  <c r="AR168" i="1"/>
  <c r="DB171" i="1"/>
  <c r="AR172" i="1"/>
  <c r="AR181" i="1"/>
  <c r="BW181" i="1"/>
  <c r="DB189" i="1"/>
  <c r="BV190" i="1"/>
  <c r="DA192" i="1"/>
  <c r="DA198" i="1"/>
  <c r="AQ205" i="1"/>
  <c r="BW208" i="1"/>
  <c r="BW209" i="1"/>
  <c r="AR211" i="1"/>
  <c r="AR213" i="1"/>
  <c r="AR214" i="1"/>
  <c r="CV216" i="1"/>
  <c r="AG217" i="1"/>
  <c r="AQ217" i="1" s="1"/>
  <c r="BV221" i="1"/>
  <c r="CQ221" i="1"/>
  <c r="DA221" i="1" s="1"/>
  <c r="BW222" i="1"/>
  <c r="DB223" i="1"/>
  <c r="AR231" i="1"/>
  <c r="DA232" i="1"/>
  <c r="BW233" i="1"/>
  <c r="DB233" i="1"/>
  <c r="AQ234" i="1"/>
  <c r="AR238" i="1"/>
  <c r="AR239" i="1"/>
  <c r="AR240" i="1"/>
  <c r="DB240" i="1"/>
  <c r="BV275" i="1"/>
  <c r="BL289" i="1"/>
  <c r="BV289" i="1" s="1"/>
  <c r="DB290" i="1"/>
  <c r="CQ290" i="1"/>
  <c r="DA307" i="1"/>
  <c r="DA330" i="1"/>
  <c r="DB352" i="1"/>
  <c r="CV352" i="1"/>
  <c r="DA352" i="1" s="1"/>
  <c r="BW353" i="1"/>
  <c r="AR430" i="1"/>
  <c r="AG430" i="1"/>
  <c r="BQ472" i="1"/>
  <c r="BW472" i="1"/>
  <c r="DB492" i="1"/>
  <c r="CQ492" i="1"/>
  <c r="DA492" i="1" s="1"/>
  <c r="AR522" i="1"/>
  <c r="AG522" i="1"/>
  <c r="CV523" i="1"/>
  <c r="DB523" i="1"/>
  <c r="BW326" i="1"/>
  <c r="AR327" i="1"/>
  <c r="AR337" i="1"/>
  <c r="BW338" i="1"/>
  <c r="BV351" i="1"/>
  <c r="AQ358" i="1"/>
  <c r="AR359" i="1"/>
  <c r="BW368" i="1"/>
  <c r="BW391" i="1"/>
  <c r="AQ396" i="1"/>
  <c r="AR415" i="1"/>
  <c r="AQ451" i="1"/>
  <c r="BW451" i="1"/>
  <c r="BL451" i="1"/>
  <c r="BV451" i="1" s="1"/>
  <c r="BW458" i="1"/>
  <c r="BW474" i="1"/>
  <c r="BL474" i="1"/>
  <c r="BV474" i="1" s="1"/>
  <c r="DB489" i="1"/>
  <c r="CQ489" i="1"/>
  <c r="DA489" i="1" s="1"/>
  <c r="AR498" i="1"/>
  <c r="DA509" i="1"/>
  <c r="AQ513" i="1"/>
  <c r="DB520" i="1"/>
  <c r="AR529" i="1"/>
  <c r="AG529" i="1"/>
  <c r="AQ529" i="1" s="1"/>
  <c r="AR541" i="1"/>
  <c r="AG541" i="1"/>
  <c r="AQ541" i="1" s="1"/>
  <c r="AQ542" i="1"/>
  <c r="AR560" i="1"/>
  <c r="AL560" i="1"/>
  <c r="AQ560" i="1" s="1"/>
  <c r="AR583" i="1"/>
  <c r="AL583" i="1"/>
  <c r="BW594" i="1"/>
  <c r="BQ594" i="1"/>
  <c r="BV594" i="1" s="1"/>
  <c r="BW253" i="1"/>
  <c r="BV260" i="1"/>
  <c r="AR265" i="1"/>
  <c r="AR268" i="1"/>
  <c r="DA271" i="1"/>
  <c r="BW276" i="1"/>
  <c r="DB277" i="1"/>
  <c r="AR279" i="1"/>
  <c r="DB283" i="1"/>
  <c r="AQ289" i="1"/>
  <c r="AR291" i="1"/>
  <c r="BV291" i="1"/>
  <c r="BW294" i="1"/>
  <c r="AR297" i="1"/>
  <c r="DB313" i="1"/>
  <c r="BW315" i="1"/>
  <c r="DB316" i="1"/>
  <c r="BW317" i="1"/>
  <c r="DB319" i="1"/>
  <c r="AQ322" i="1"/>
  <c r="AG327" i="1"/>
  <c r="BV328" i="1"/>
  <c r="BW329" i="1"/>
  <c r="BW330" i="1"/>
  <c r="BW331" i="1"/>
  <c r="BL338" i="1"/>
  <c r="BV338" i="1" s="1"/>
  <c r="AQ339" i="1"/>
  <c r="BW342" i="1"/>
  <c r="AR343" i="1"/>
  <c r="BW345" i="1"/>
  <c r="BW346" i="1"/>
  <c r="DB347" i="1"/>
  <c r="BQ348" i="1"/>
  <c r="BV348" i="1" s="1"/>
  <c r="BW352" i="1"/>
  <c r="BL353" i="1"/>
  <c r="BV353" i="1" s="1"/>
  <c r="AR354" i="1"/>
  <c r="BW357" i="1"/>
  <c r="AL359" i="1"/>
  <c r="AR386" i="1"/>
  <c r="BW388" i="1"/>
  <c r="BW393" i="1"/>
  <c r="AQ401" i="1"/>
  <c r="BV404" i="1"/>
  <c r="DB405" i="1"/>
  <c r="CQ405" i="1"/>
  <c r="DA405" i="1" s="1"/>
  <c r="BV410" i="1"/>
  <c r="BW412" i="1"/>
  <c r="CQ418" i="1"/>
  <c r="AQ426" i="1"/>
  <c r="BL426" i="1"/>
  <c r="BV426" i="1" s="1"/>
  <c r="DB433" i="1"/>
  <c r="DA439" i="1"/>
  <c r="DA441" i="1"/>
  <c r="DA445" i="1"/>
  <c r="DB478" i="1"/>
  <c r="DB485" i="1"/>
  <c r="CQ485" i="1"/>
  <c r="DA485" i="1" s="1"/>
  <c r="DB487" i="1"/>
  <c r="AR491" i="1"/>
  <c r="AL491" i="1"/>
  <c r="AQ491" i="1" s="1"/>
  <c r="AQ492" i="1"/>
  <c r="AR495" i="1"/>
  <c r="AG495" i="1"/>
  <c r="AR502" i="1"/>
  <c r="AG502" i="1"/>
  <c r="AR515" i="1"/>
  <c r="AG515" i="1"/>
  <c r="BL517" i="1"/>
  <c r="BW517" i="1"/>
  <c r="DB518" i="1"/>
  <c r="CQ518" i="1"/>
  <c r="AG520" i="1"/>
  <c r="AQ520" i="1" s="1"/>
  <c r="AR520" i="1"/>
  <c r="AG540" i="1"/>
  <c r="AQ540" i="1" s="1"/>
  <c r="DB547" i="1"/>
  <c r="CQ547" i="1"/>
  <c r="DA547" i="1" s="1"/>
  <c r="CQ549" i="1"/>
  <c r="DA549" i="1" s="1"/>
  <c r="BQ550" i="1"/>
  <c r="DB550" i="1"/>
  <c r="DB557" i="1"/>
  <c r="AR565" i="1"/>
  <c r="AG565" i="1"/>
  <c r="AQ565" i="1" s="1"/>
  <c r="AG572" i="1"/>
  <c r="AQ572" i="1" s="1"/>
  <c r="AR572" i="1"/>
  <c r="BV235" i="1"/>
  <c r="AR236" i="1"/>
  <c r="BW238" i="1"/>
  <c r="BW244" i="1"/>
  <c r="BV245" i="1"/>
  <c r="BV246" i="1"/>
  <c r="BV248" i="1"/>
  <c r="BV252" i="1"/>
  <c r="DA259" i="1"/>
  <c r="BW262" i="1"/>
  <c r="AR266" i="1"/>
  <c r="DB266" i="1"/>
  <c r="AG268" i="1"/>
  <c r="AQ268" i="1" s="1"/>
  <c r="DB269" i="1"/>
  <c r="DB271" i="1"/>
  <c r="DD272" i="1"/>
  <c r="B272" i="1" s="1"/>
  <c r="BL276" i="1"/>
  <c r="AR277" i="1"/>
  <c r="DB279" i="1"/>
  <c r="DB281" i="1"/>
  <c r="DA283" i="1"/>
  <c r="DA286" i="1"/>
  <c r="AR289" i="1"/>
  <c r="AR290" i="1"/>
  <c r="DB295" i="1"/>
  <c r="BW298" i="1"/>
  <c r="DA298" i="1"/>
  <c r="DB298" i="1"/>
  <c r="AQ303" i="1"/>
  <c r="BV303" i="1"/>
  <c r="BV310" i="1"/>
  <c r="AR311" i="1"/>
  <c r="BL315" i="1"/>
  <c r="BV315" i="1" s="1"/>
  <c r="BL317" i="1"/>
  <c r="BW324" i="1"/>
  <c r="AQ326" i="1"/>
  <c r="BV330" i="1"/>
  <c r="DB330" i="1"/>
  <c r="BV331" i="1"/>
  <c r="DA334" i="1"/>
  <c r="DA340" i="1"/>
  <c r="DB344" i="1"/>
  <c r="DB346" i="1"/>
  <c r="AR350" i="1"/>
  <c r="DA350" i="1"/>
  <c r="DA351" i="1"/>
  <c r="AR352" i="1"/>
  <c r="AR353" i="1"/>
  <c r="BW355" i="1"/>
  <c r="BQ357" i="1"/>
  <c r="DB361" i="1"/>
  <c r="AQ373" i="1"/>
  <c r="BW394" i="1"/>
  <c r="AR403" i="1"/>
  <c r="BV408" i="1"/>
  <c r="BW409" i="1"/>
  <c r="DA413" i="1"/>
  <c r="AQ415" i="1"/>
  <c r="DA417" i="1"/>
  <c r="AR424" i="1"/>
  <c r="DB430" i="1"/>
  <c r="AR431" i="1"/>
  <c r="DB431" i="1"/>
  <c r="DA436" i="1"/>
  <c r="AQ437" i="1"/>
  <c r="DD453" i="1"/>
  <c r="B453" i="1" s="1"/>
  <c r="BW462" i="1"/>
  <c r="BQ462" i="1"/>
  <c r="AQ469" i="1"/>
  <c r="BV472" i="1"/>
  <c r="AR473" i="1"/>
  <c r="DA479" i="1"/>
  <c r="BV483" i="1"/>
  <c r="AQ486" i="1"/>
  <c r="BW487" i="1"/>
  <c r="AR488" i="1"/>
  <c r="AG488" i="1"/>
  <c r="BV490" i="1"/>
  <c r="DA501" i="1"/>
  <c r="CQ503" i="1"/>
  <c r="AR508" i="1"/>
  <c r="BW509" i="1"/>
  <c r="BL509" i="1"/>
  <c r="BV509" i="1" s="1"/>
  <c r="BV513" i="1"/>
  <c r="DA516" i="1"/>
  <c r="AG517" i="1"/>
  <c r="AQ517" i="1" s="1"/>
  <c r="BV517" i="1"/>
  <c r="AG518" i="1"/>
  <c r="AQ518" i="1" s="1"/>
  <c r="DA518" i="1"/>
  <c r="BW519" i="1"/>
  <c r="CQ519" i="1"/>
  <c r="DA519" i="1" s="1"/>
  <c r="DA533" i="1"/>
  <c r="BL535" i="1"/>
  <c r="BV535" i="1" s="1"/>
  <c r="BW535" i="1"/>
  <c r="CV554" i="1"/>
  <c r="DB554" i="1"/>
  <c r="CQ571" i="1"/>
  <c r="DA571" i="1" s="1"/>
  <c r="DB571" i="1"/>
  <c r="DB572" i="1"/>
  <c r="CQ572" i="1"/>
  <c r="BW460" i="1"/>
  <c r="AQ461" i="1"/>
  <c r="DB462" i="1"/>
  <c r="AR464" i="1"/>
  <c r="BV464" i="1"/>
  <c r="DB464" i="1"/>
  <c r="DA465" i="1"/>
  <c r="AR466" i="1"/>
  <c r="BW467" i="1"/>
  <c r="DB468" i="1"/>
  <c r="CV468" i="1"/>
  <c r="DA468" i="1" s="1"/>
  <c r="DB474" i="1"/>
  <c r="CQ474" i="1"/>
  <c r="DA474" i="1" s="1"/>
  <c r="AQ475" i="1"/>
  <c r="BW478" i="1"/>
  <c r="BL478" i="1"/>
  <c r="DB479" i="1"/>
  <c r="BW481" i="1"/>
  <c r="BV489" i="1"/>
  <c r="DA493" i="1"/>
  <c r="BV495" i="1"/>
  <c r="BW495" i="1"/>
  <c r="AQ500" i="1"/>
  <c r="AR504" i="1"/>
  <c r="DB507" i="1"/>
  <c r="AQ515" i="1"/>
  <c r="DB532" i="1"/>
  <c r="AQ533" i="1"/>
  <c r="AG546" i="1"/>
  <c r="AR546" i="1"/>
  <c r="BW557" i="1"/>
  <c r="BL560" i="1"/>
  <c r="BV560" i="1" s="1"/>
  <c r="BW560" i="1"/>
  <c r="BV562" i="1"/>
  <c r="AQ571" i="1"/>
  <c r="CQ575" i="1"/>
  <c r="DB575" i="1"/>
  <c r="BL601" i="1"/>
  <c r="BV601" i="1" s="1"/>
  <c r="BW601" i="1"/>
  <c r="AQ371" i="1"/>
  <c r="DA372" i="1"/>
  <c r="DA375" i="1"/>
  <c r="AQ376" i="1"/>
  <c r="BW407" i="1"/>
  <c r="AR414" i="1"/>
  <c r="DA415" i="1"/>
  <c r="AQ419" i="1"/>
  <c r="BW439" i="1"/>
  <c r="DA444" i="1"/>
  <c r="AQ445" i="1"/>
  <c r="AR454" i="1"/>
  <c r="AG454" i="1"/>
  <c r="AQ454" i="1" s="1"/>
  <c r="BV458" i="1"/>
  <c r="BW464" i="1"/>
  <c r="CQ464" i="1"/>
  <c r="DA464" i="1" s="1"/>
  <c r="BW466" i="1"/>
  <c r="BL466" i="1"/>
  <c r="BV466" i="1" s="1"/>
  <c r="DB471" i="1"/>
  <c r="CQ471" i="1"/>
  <c r="DA471" i="1" s="1"/>
  <c r="BL481" i="1"/>
  <c r="BV481" i="1" s="1"/>
  <c r="AG484" i="1"/>
  <c r="AQ484" i="1" s="1"/>
  <c r="BV488" i="1"/>
  <c r="BW488" i="1"/>
  <c r="DB494" i="1"/>
  <c r="DB496" i="1"/>
  <c r="CQ496" i="1"/>
  <c r="DA496" i="1" s="1"/>
  <c r="AR497" i="1"/>
  <c r="BV497" i="1"/>
  <c r="AQ498" i="1"/>
  <c r="BV502" i="1"/>
  <c r="BV505" i="1"/>
  <c r="DB506" i="1"/>
  <c r="BW507" i="1"/>
  <c r="DA511" i="1"/>
  <c r="DB511" i="1"/>
  <c r="AL512" i="1"/>
  <c r="AQ512" i="1" s="1"/>
  <c r="BL512" i="1"/>
  <c r="BW514" i="1"/>
  <c r="BL514" i="1"/>
  <c r="BV514" i="1" s="1"/>
  <c r="AQ519" i="1"/>
  <c r="BW521" i="1"/>
  <c r="BL521" i="1"/>
  <c r="BV522" i="1"/>
  <c r="DB522" i="1"/>
  <c r="BQ523" i="1"/>
  <c r="DA528" i="1"/>
  <c r="BV537" i="1"/>
  <c r="BW542" i="1"/>
  <c r="AQ545" i="1"/>
  <c r="DA545" i="1"/>
  <c r="AQ546" i="1"/>
  <c r="BL546" i="1"/>
  <c r="BV546" i="1" s="1"/>
  <c r="BW546" i="1"/>
  <c r="BV553" i="1"/>
  <c r="DA554" i="1"/>
  <c r="DB555" i="1"/>
  <c r="DB625" i="1"/>
  <c r="CQ625" i="1"/>
  <c r="BV448" i="1"/>
  <c r="DB448" i="1"/>
  <c r="DB449" i="1"/>
  <c r="BV450" i="1"/>
  <c r="AR458" i="1"/>
  <c r="DB461" i="1"/>
  <c r="AQ463" i="1"/>
  <c r="BW463" i="1"/>
  <c r="AR467" i="1"/>
  <c r="AR477" i="1"/>
  <c r="BW490" i="1"/>
  <c r="BW497" i="1"/>
  <c r="DB498" i="1"/>
  <c r="DB501" i="1"/>
  <c r="DA514" i="1"/>
  <c r="BV518" i="1"/>
  <c r="BV523" i="1"/>
  <c r="DA523" i="1"/>
  <c r="AR524" i="1"/>
  <c r="DB528" i="1"/>
  <c r="BV533" i="1"/>
  <c r="AQ534" i="1"/>
  <c r="DA534" i="1"/>
  <c r="AQ535" i="1"/>
  <c r="DB536" i="1"/>
  <c r="BV541" i="1"/>
  <c r="BL543" i="1"/>
  <c r="BV543" i="1" s="1"/>
  <c r="BW543" i="1"/>
  <c r="BV545" i="1"/>
  <c r="BV549" i="1"/>
  <c r="BV550" i="1"/>
  <c r="BW569" i="1"/>
  <c r="BL569" i="1"/>
  <c r="BV569" i="1" s="1"/>
  <c r="BV597" i="1"/>
  <c r="BW602" i="1"/>
  <c r="BL602" i="1"/>
  <c r="BV602" i="1" s="1"/>
  <c r="BV574" i="1"/>
  <c r="BV576" i="1"/>
  <c r="BW576" i="1"/>
  <c r="BV582" i="1"/>
  <c r="AR585" i="1"/>
  <c r="AG585" i="1"/>
  <c r="BW596" i="1"/>
  <c r="BW604" i="1"/>
  <c r="AQ607" i="1"/>
  <c r="DB616" i="1"/>
  <c r="CV616" i="1"/>
  <c r="DB621" i="1"/>
  <c r="CQ621" i="1"/>
  <c r="BL623" i="1"/>
  <c r="BW623" i="1"/>
  <c r="DB514" i="1"/>
  <c r="DB516" i="1"/>
  <c r="BW518" i="1"/>
  <c r="AR519" i="1"/>
  <c r="AR521" i="1"/>
  <c r="BW524" i="1"/>
  <c r="BV529" i="1"/>
  <c r="BV531" i="1"/>
  <c r="BW531" i="1"/>
  <c r="AQ532" i="1"/>
  <c r="BW532" i="1"/>
  <c r="BW533" i="1"/>
  <c r="BW538" i="1"/>
  <c r="AR539" i="1"/>
  <c r="DB539" i="1"/>
  <c r="BW544" i="1"/>
  <c r="DB566" i="1"/>
  <c r="DA584" i="1"/>
  <c r="BW588" i="1"/>
  <c r="BL588" i="1"/>
  <c r="BV588" i="1" s="1"/>
  <c r="BW603" i="1"/>
  <c r="AQ614" i="1"/>
  <c r="BW575" i="1"/>
  <c r="DA577" i="1"/>
  <c r="DB579" i="1"/>
  <c r="DA580" i="1"/>
  <c r="BV583" i="1"/>
  <c r="DB585" i="1"/>
  <c r="BV590" i="1"/>
  <c r="BW593" i="1"/>
  <c r="BW595" i="1"/>
  <c r="DB600" i="1"/>
  <c r="BW607" i="1"/>
  <c r="BW608" i="1"/>
  <c r="DA608" i="1"/>
  <c r="BW609" i="1"/>
  <c r="DA610" i="1"/>
  <c r="DA615" i="1"/>
  <c r="BV616" i="1"/>
  <c r="DA617" i="1"/>
  <c r="BV618" i="1"/>
  <c r="DB618" i="1"/>
  <c r="BW619" i="1"/>
  <c r="BV620" i="1"/>
  <c r="AQ621" i="1"/>
  <c r="BW621" i="1"/>
  <c r="DB624" i="1"/>
  <c r="BV625" i="1"/>
  <c r="BW625" i="1"/>
  <c r="AQ575" i="1"/>
  <c r="AQ578" i="1"/>
  <c r="DA578" i="1"/>
  <c r="BW581" i="1"/>
  <c r="DB583" i="1"/>
  <c r="AR584" i="1"/>
  <c r="AQ585" i="1"/>
  <c r="DA585" i="1"/>
  <c r="BV587" i="1"/>
  <c r="DA587" i="1"/>
  <c r="AQ589" i="1"/>
  <c r="AR592" i="1"/>
  <c r="BV593" i="1"/>
  <c r="AR596" i="1"/>
  <c r="AQ597" i="1"/>
  <c r="DB597" i="1"/>
  <c r="AR598" i="1"/>
  <c r="DA598" i="1"/>
  <c r="AQ599" i="1"/>
  <c r="AR599" i="1"/>
  <c r="DA599" i="1"/>
  <c r="DA600" i="1"/>
  <c r="AR601" i="1"/>
  <c r="DB602" i="1"/>
  <c r="AR603" i="1"/>
  <c r="AQ604" i="1"/>
  <c r="BW610" i="1"/>
  <c r="BW611" i="1"/>
  <c r="AR613" i="1"/>
  <c r="DB614" i="1"/>
  <c r="BW617" i="1"/>
  <c r="AQ619" i="1"/>
  <c r="AR620" i="1"/>
  <c r="DA621" i="1"/>
  <c r="AR623" i="1"/>
  <c r="AR624" i="1"/>
  <c r="AQ625" i="1"/>
  <c r="BV577" i="1"/>
  <c r="BV580" i="1"/>
  <c r="BV581" i="1"/>
  <c r="AQ583" i="1"/>
  <c r="DA583" i="1"/>
  <c r="AQ584" i="1"/>
  <c r="BV589" i="1"/>
  <c r="BW589" i="1"/>
  <c r="AQ590" i="1"/>
  <c r="DB591" i="1"/>
  <c r="AQ593" i="1"/>
  <c r="BW600" i="1"/>
  <c r="BV610" i="1"/>
  <c r="BV611" i="1"/>
  <c r="BV613" i="1"/>
  <c r="AQ616" i="1"/>
  <c r="DA616" i="1"/>
  <c r="AR617" i="1"/>
  <c r="BL617" i="1"/>
  <c r="BV617" i="1" s="1"/>
  <c r="AG620" i="1"/>
  <c r="AQ620" i="1" s="1"/>
  <c r="DA620" i="1"/>
  <c r="AL623" i="1"/>
  <c r="AQ623" i="1" s="1"/>
  <c r="AG624" i="1"/>
  <c r="AQ624" i="1" s="1"/>
  <c r="BV96" i="1"/>
  <c r="AQ103" i="1"/>
  <c r="AR120" i="1"/>
  <c r="BW99" i="1"/>
  <c r="AR104" i="1"/>
  <c r="DB118" i="1"/>
  <c r="DA99" i="1"/>
  <c r="AG104" i="1"/>
  <c r="AQ104" i="1" s="1"/>
  <c r="AR108" i="1"/>
  <c r="AR110" i="1"/>
  <c r="DA113" i="1"/>
  <c r="AQ119" i="1"/>
  <c r="AG120" i="1"/>
  <c r="AQ120" i="1" s="1"/>
  <c r="DB94" i="1"/>
  <c r="AR95" i="1"/>
  <c r="DB95" i="1"/>
  <c r="DB106" i="1"/>
  <c r="DB109" i="1"/>
  <c r="DB117" i="1"/>
  <c r="BV119" i="1"/>
  <c r="AR121" i="1"/>
  <c r="BW93" i="1"/>
  <c r="DB97" i="1"/>
  <c r="AR100" i="1"/>
  <c r="AQ107" i="1"/>
  <c r="BW107" i="1"/>
  <c r="DB110" i="1"/>
  <c r="AR111" i="1"/>
  <c r="DA114" i="1"/>
  <c r="BV121" i="1"/>
  <c r="AQ53" i="1"/>
  <c r="BW49" i="1"/>
  <c r="AR50" i="1"/>
  <c r="AR52" i="1"/>
  <c r="DA45" i="1"/>
  <c r="BV50" i="1"/>
  <c r="AL52" i="1"/>
  <c r="DB39" i="1"/>
  <c r="BV51" i="1"/>
  <c r="AQ71" i="1"/>
  <c r="DB79" i="1"/>
  <c r="AR74" i="1"/>
  <c r="BW81" i="1"/>
  <c r="AR82" i="1"/>
  <c r="AR86" i="1"/>
  <c r="DA68" i="1"/>
  <c r="AR77" i="1"/>
  <c r="DB78" i="1"/>
  <c r="DB88" i="1"/>
  <c r="BV82" i="1"/>
  <c r="BW82" i="1"/>
  <c r="AR64" i="1"/>
  <c r="BV65" i="1"/>
  <c r="AR66" i="1"/>
  <c r="DB72" i="1"/>
  <c r="AG74" i="1"/>
  <c r="AQ74" i="1" s="1"/>
  <c r="BV77" i="1"/>
  <c r="AR78" i="1"/>
  <c r="AQ79" i="1"/>
  <c r="AR85" i="1"/>
  <c r="DB85" i="1"/>
  <c r="AQ86" i="1"/>
  <c r="BW86" i="1"/>
  <c r="DA86" i="1"/>
  <c r="DB86" i="1"/>
  <c r="BW89" i="1"/>
  <c r="DA76" i="1"/>
  <c r="DB80" i="1"/>
  <c r="DB90" i="1"/>
  <c r="AR91" i="1"/>
  <c r="AQ67" i="1"/>
  <c r="AQ73" i="1"/>
  <c r="AQ75" i="1"/>
  <c r="DA80" i="1"/>
  <c r="AQ81" i="1"/>
  <c r="BW84" i="1"/>
  <c r="BW90" i="1"/>
  <c r="CQ90" i="1"/>
  <c r="DA90" i="1" s="1"/>
  <c r="DA35" i="1"/>
  <c r="BW36" i="1"/>
  <c r="AR37" i="1"/>
  <c r="DA38" i="1"/>
  <c r="BW45" i="1"/>
  <c r="DB41" i="1"/>
  <c r="AR47" i="1"/>
  <c r="AQ52" i="1"/>
  <c r="DA52" i="1"/>
  <c r="BW57" i="1"/>
  <c r="AR59" i="1"/>
  <c r="AQ61" i="1"/>
  <c r="DA36" i="1"/>
  <c r="BV47" i="1"/>
  <c r="DA55" i="1"/>
  <c r="DB26" i="1"/>
  <c r="BW31" i="1"/>
  <c r="BV4" i="1"/>
  <c r="DA4" i="1"/>
  <c r="DA17" i="1"/>
  <c r="BV18" i="1"/>
  <c r="AQ19" i="1"/>
  <c r="DA24" i="1"/>
  <c r="BV58" i="1"/>
  <c r="DB47" i="1"/>
  <c r="AR48" i="1"/>
  <c r="BW50" i="1"/>
  <c r="AR51" i="1"/>
  <c r="DB51" i="1"/>
  <c r="AR53" i="1"/>
  <c r="AR60" i="1"/>
  <c r="BW61" i="1"/>
  <c r="AR38" i="1"/>
  <c r="CQ39" i="1"/>
  <c r="DA39" i="1" s="1"/>
  <c r="AR40" i="1"/>
  <c r="DB46" i="1"/>
  <c r="AG51" i="1"/>
  <c r="DB53" i="1"/>
  <c r="BW56" i="1"/>
  <c r="BW59" i="1"/>
  <c r="DB60" i="1"/>
  <c r="DA34" i="1"/>
  <c r="BW35" i="1"/>
  <c r="DA37" i="1"/>
  <c r="AR41" i="1"/>
  <c r="BV42" i="1"/>
  <c r="BV44" i="1"/>
  <c r="BL45" i="1"/>
  <c r="DA50" i="1"/>
  <c r="DA56" i="1"/>
  <c r="BL57" i="1"/>
  <c r="DA10" i="1"/>
  <c r="BV11" i="1"/>
  <c r="AQ12" i="1"/>
  <c r="DB14" i="1"/>
  <c r="BW15" i="1"/>
  <c r="AQ16" i="1"/>
  <c r="BW16" i="1"/>
  <c r="BW25" i="1"/>
  <c r="BV29" i="1"/>
  <c r="BW5" i="1"/>
  <c r="AR6" i="1"/>
  <c r="BW7" i="1"/>
  <c r="DB9" i="1"/>
  <c r="AQ14" i="1"/>
  <c r="AQ21" i="1"/>
  <c r="BQ25" i="1"/>
  <c r="BV25" i="1" s="1"/>
  <c r="AQ26" i="1"/>
  <c r="DA31" i="1"/>
  <c r="DA5" i="1"/>
  <c r="DA20" i="1"/>
  <c r="AR25" i="1"/>
  <c r="DB27" i="1"/>
  <c r="AQ28" i="1"/>
  <c r="DB436" i="1"/>
  <c r="AQ448" i="1"/>
  <c r="AG424" i="1"/>
  <c r="AQ424" i="1" s="1"/>
  <c r="DB428" i="1"/>
  <c r="DB429" i="1"/>
  <c r="BV430" i="1"/>
  <c r="AG431" i="1"/>
  <c r="AQ431" i="1" s="1"/>
  <c r="BL431" i="1"/>
  <c r="CQ431" i="1"/>
  <c r="DA431" i="1" s="1"/>
  <c r="BW432" i="1"/>
  <c r="CQ432" i="1"/>
  <c r="DA432" i="1" s="1"/>
  <c r="BW433" i="1"/>
  <c r="AR434" i="1"/>
  <c r="DA434" i="1"/>
  <c r="DB434" i="1"/>
  <c r="BW437" i="1"/>
  <c r="CQ437" i="1"/>
  <c r="BV438" i="1"/>
  <c r="BU439" i="1"/>
  <c r="DB440" i="1"/>
  <c r="AG441" i="1"/>
  <c r="AQ441" i="1" s="1"/>
  <c r="DB441" i="1"/>
  <c r="BL445" i="1"/>
  <c r="BV445" i="1" s="1"/>
  <c r="AR446" i="1"/>
  <c r="AG447" i="1"/>
  <c r="AQ447" i="1" s="1"/>
  <c r="CQ450" i="1"/>
  <c r="DA450" i="1" s="1"/>
  <c r="DD422" i="1"/>
  <c r="B422" i="1" s="1"/>
  <c r="BV425" i="1"/>
  <c r="BV427" i="1"/>
  <c r="BW428" i="1"/>
  <c r="AR429" i="1"/>
  <c r="DA429" i="1"/>
  <c r="AR432" i="1"/>
  <c r="BV432" i="1"/>
  <c r="AQ433" i="1"/>
  <c r="BV433" i="1"/>
  <c r="AG434" i="1"/>
  <c r="AQ434" i="1" s="1"/>
  <c r="BL434" i="1"/>
  <c r="BV434" i="1" s="1"/>
  <c r="BW435" i="1"/>
  <c r="AQ436" i="1"/>
  <c r="BV436" i="1"/>
  <c r="AR437" i="1"/>
  <c r="BL437" i="1"/>
  <c r="BV437" i="1" s="1"/>
  <c r="AR438" i="1"/>
  <c r="AQ440" i="1"/>
  <c r="BW440" i="1"/>
  <c r="CV440" i="1"/>
  <c r="DA440" i="1" s="1"/>
  <c r="BV441" i="1"/>
  <c r="BW441" i="1"/>
  <c r="BW442" i="1"/>
  <c r="DA442" i="1"/>
  <c r="BW443" i="1"/>
  <c r="BW444" i="1"/>
  <c r="AG446" i="1"/>
  <c r="AQ446" i="1" s="1"/>
  <c r="DB447" i="1"/>
  <c r="BW448" i="1"/>
  <c r="CQ448" i="1"/>
  <c r="DA448" i="1" s="1"/>
  <c r="AR449" i="1"/>
  <c r="CQ449" i="1"/>
  <c r="DA449" i="1" s="1"/>
  <c r="AR451" i="1"/>
  <c r="DB451" i="1"/>
  <c r="DB425" i="1"/>
  <c r="AQ428" i="1"/>
  <c r="AQ430" i="1"/>
  <c r="BV435" i="1"/>
  <c r="BV442" i="1"/>
  <c r="BV443" i="1"/>
  <c r="AQ444" i="1"/>
  <c r="AR444" i="1"/>
  <c r="BW447" i="1"/>
  <c r="AR448" i="1"/>
  <c r="BV449" i="1"/>
  <c r="AR450" i="1"/>
  <c r="AP451" i="1"/>
  <c r="CQ451" i="1"/>
  <c r="BV414" i="1"/>
  <c r="AQ400" i="1"/>
  <c r="DB400" i="1"/>
  <c r="BW402" i="1"/>
  <c r="BW405" i="1"/>
  <c r="AQ407" i="1"/>
  <c r="BW408" i="1"/>
  <c r="DA408" i="1"/>
  <c r="DB411" i="1"/>
  <c r="DB413" i="1"/>
  <c r="AQ417" i="1"/>
  <c r="BV418" i="1"/>
  <c r="BV420" i="1"/>
  <c r="DB420" i="1"/>
  <c r="DB393" i="1"/>
  <c r="DA397" i="1"/>
  <c r="AQ394" i="1"/>
  <c r="BW396" i="1"/>
  <c r="DB397" i="1"/>
  <c r="AL398" i="1"/>
  <c r="AQ398" i="1" s="1"/>
  <c r="DA400" i="1"/>
  <c r="BW401" i="1"/>
  <c r="AG403" i="1"/>
  <c r="AQ403" i="1" s="1"/>
  <c r="CQ404" i="1"/>
  <c r="DA404" i="1" s="1"/>
  <c r="AR405" i="1"/>
  <c r="BQ409" i="1"/>
  <c r="BV409" i="1" s="1"/>
  <c r="AR411" i="1"/>
  <c r="BV419" i="1"/>
  <c r="DA420" i="1"/>
  <c r="DD392" i="1"/>
  <c r="B392" i="1" s="1"/>
  <c r="BQ393" i="1"/>
  <c r="BV393" i="1" s="1"/>
  <c r="AR394" i="1"/>
  <c r="DA395" i="1"/>
  <c r="AR396" i="1"/>
  <c r="DB398" i="1"/>
  <c r="CQ399" i="1"/>
  <c r="DA399" i="1" s="1"/>
  <c r="AR401" i="1"/>
  <c r="BL401" i="1"/>
  <c r="BV401" i="1" s="1"/>
  <c r="AG405" i="1"/>
  <c r="AQ405" i="1" s="1"/>
  <c r="DB406" i="1"/>
  <c r="DA407" i="1"/>
  <c r="AQ408" i="1"/>
  <c r="AQ410" i="1"/>
  <c r="AG412" i="1"/>
  <c r="AQ412" i="1" s="1"/>
  <c r="BV413" i="1"/>
  <c r="AG414" i="1"/>
  <c r="AQ414" i="1" s="1"/>
  <c r="BW414" i="1"/>
  <c r="BL416" i="1"/>
  <c r="BV416" i="1" s="1"/>
  <c r="AR419" i="1"/>
  <c r="BV395" i="1"/>
  <c r="BW395" i="1"/>
  <c r="DB395" i="1"/>
  <c r="AR397" i="1"/>
  <c r="BV398" i="1"/>
  <c r="BW398" i="1"/>
  <c r="BV402" i="1"/>
  <c r="DA402" i="1"/>
  <c r="AQ404" i="1"/>
  <c r="BV406" i="1"/>
  <c r="DB408" i="1"/>
  <c r="DA409" i="1"/>
  <c r="DB409" i="1"/>
  <c r="DA410" i="1"/>
  <c r="DA411" i="1"/>
  <c r="DB412" i="1"/>
  <c r="BW415" i="1"/>
  <c r="AR417" i="1"/>
  <c r="BW420" i="1"/>
  <c r="BW421" i="1"/>
  <c r="DA386" i="1"/>
  <c r="DB386" i="1"/>
  <c r="CQ363" i="1"/>
  <c r="DA363" i="1" s="1"/>
  <c r="AQ364" i="1"/>
  <c r="DB364" i="1"/>
  <c r="BV366" i="1"/>
  <c r="BQ368" i="1"/>
  <c r="BV368" i="1" s="1"/>
  <c r="AR371" i="1"/>
  <c r="AR373" i="1"/>
  <c r="BL373" i="1"/>
  <c r="BV373" i="1" s="1"/>
  <c r="DB377" i="1"/>
  <c r="BV382" i="1"/>
  <c r="BW382" i="1"/>
  <c r="AG383" i="1"/>
  <c r="AR384" i="1"/>
  <c r="DB384" i="1"/>
  <c r="BL385" i="1"/>
  <c r="BV385" i="1" s="1"/>
  <c r="BV387" i="1"/>
  <c r="AG388" i="1"/>
  <c r="AQ388" i="1" s="1"/>
  <c r="AR363" i="1"/>
  <c r="AR366" i="1"/>
  <c r="DB366" i="1"/>
  <c r="AR370" i="1"/>
  <c r="BV370" i="1"/>
  <c r="DB371" i="1"/>
  <c r="DB372" i="1"/>
  <c r="BW374" i="1"/>
  <c r="DA374" i="1"/>
  <c r="BV375" i="1"/>
  <c r="AQ378" i="1"/>
  <c r="DB378" i="1"/>
  <c r="DB379" i="1"/>
  <c r="BW380" i="1"/>
  <c r="AQ383" i="1"/>
  <c r="AQ385" i="1"/>
  <c r="AG386" i="1"/>
  <c r="AQ386" i="1" s="1"/>
  <c r="DB387" i="1"/>
  <c r="BV389" i="1"/>
  <c r="BW389" i="1"/>
  <c r="CQ389" i="1"/>
  <c r="DA389" i="1" s="1"/>
  <c r="BW390" i="1"/>
  <c r="DD362" i="1"/>
  <c r="B362" i="1" s="1"/>
  <c r="BW364" i="1"/>
  <c r="AP366" i="1"/>
  <c r="BW366" i="1"/>
  <c r="CQ366" i="1"/>
  <c r="DA366" i="1" s="1"/>
  <c r="AQ367" i="1"/>
  <c r="AR369" i="1"/>
  <c r="AG370" i="1"/>
  <c r="DB370" i="1"/>
  <c r="AR372" i="1"/>
  <c r="DB373" i="1"/>
  <c r="BL374" i="1"/>
  <c r="CQ378" i="1"/>
  <c r="BL380" i="1"/>
  <c r="BV380" i="1" s="1"/>
  <c r="BW381" i="1"/>
  <c r="BW383" i="1"/>
  <c r="DA384" i="1"/>
  <c r="CQ387" i="1"/>
  <c r="DA387" i="1" s="1"/>
  <c r="BL390" i="1"/>
  <c r="BV390" i="1" s="1"/>
  <c r="AR391" i="1"/>
  <c r="BV336" i="1"/>
  <c r="DA349" i="1"/>
  <c r="AR335" i="1"/>
  <c r="AR333" i="1"/>
  <c r="BW336" i="1"/>
  <c r="DB336" i="1"/>
  <c r="BW339" i="1"/>
  <c r="DB343" i="1"/>
  <c r="AR347" i="1"/>
  <c r="AR348" i="1"/>
  <c r="DB349" i="1"/>
  <c r="DB358" i="1"/>
  <c r="BV360" i="1"/>
  <c r="AQ361" i="1"/>
  <c r="BW341" i="1"/>
  <c r="DD332" i="1"/>
  <c r="B332" i="1" s="1"/>
  <c r="AR336" i="1"/>
  <c r="AR341" i="1"/>
  <c r="DA342" i="1"/>
  <c r="AQ333" i="1"/>
  <c r="AR334" i="1"/>
  <c r="DB334" i="1"/>
  <c r="BV335" i="1"/>
  <c r="AG336" i="1"/>
  <c r="AQ336" i="1" s="1"/>
  <c r="DB337" i="1"/>
  <c r="AR338" i="1"/>
  <c r="AR339" i="1"/>
  <c r="BL339" i="1"/>
  <c r="DB340" i="1"/>
  <c r="BV341" i="1"/>
  <c r="DB342" i="1"/>
  <c r="CV343" i="1"/>
  <c r="DA343" i="1" s="1"/>
  <c r="BW347" i="1"/>
  <c r="CQ347" i="1"/>
  <c r="DA347" i="1" s="1"/>
  <c r="DB348" i="1"/>
  <c r="AR349" i="1"/>
  <c r="BW349" i="1"/>
  <c r="BQ352" i="1"/>
  <c r="AL354" i="1"/>
  <c r="AQ354" i="1" s="1"/>
  <c r="BW354" i="1"/>
  <c r="DB354" i="1"/>
  <c r="AR355" i="1"/>
  <c r="AQ356" i="1"/>
  <c r="DB357" i="1"/>
  <c r="BW358" i="1"/>
  <c r="AR360" i="1"/>
  <c r="BL354" i="1"/>
  <c r="BV354" i="1" s="1"/>
  <c r="CZ354" i="1"/>
  <c r="AL355" i="1"/>
  <c r="AQ355" i="1" s="1"/>
  <c r="AR357" i="1"/>
  <c r="BV357" i="1"/>
  <c r="BL358" i="1"/>
  <c r="BV358" i="1" s="1"/>
  <c r="DB359" i="1"/>
  <c r="CQ361" i="1"/>
  <c r="DA361" i="1" s="1"/>
  <c r="DB335" i="1"/>
  <c r="BW333" i="1"/>
  <c r="BW334" i="1"/>
  <c r="DA336" i="1"/>
  <c r="BW337" i="1"/>
  <c r="DB338" i="1"/>
  <c r="BW340" i="1"/>
  <c r="AG343" i="1"/>
  <c r="AQ343" i="1" s="1"/>
  <c r="BW343" i="1"/>
  <c r="AR345" i="1"/>
  <c r="AQ346" i="1"/>
  <c r="AR346" i="1"/>
  <c r="BV350" i="1"/>
  <c r="AR351" i="1"/>
  <c r="BV352" i="1"/>
  <c r="AQ357" i="1"/>
  <c r="DA358" i="1"/>
  <c r="BW360" i="1"/>
  <c r="BV361" i="1"/>
  <c r="BV308" i="1"/>
  <c r="DA331" i="1"/>
  <c r="DB305" i="1"/>
  <c r="AG311" i="1"/>
  <c r="AQ311" i="1" s="1"/>
  <c r="DB312" i="1"/>
  <c r="AQ313" i="1"/>
  <c r="CQ313" i="1"/>
  <c r="DA313" i="1" s="1"/>
  <c r="AR318" i="1"/>
  <c r="BW319" i="1"/>
  <c r="CQ319" i="1"/>
  <c r="DA319" i="1" s="1"/>
  <c r="AR322" i="1"/>
  <c r="BL322" i="1"/>
  <c r="BV322" i="1" s="1"/>
  <c r="DB323" i="1"/>
  <c r="BL324" i="1"/>
  <c r="BV324" i="1" s="1"/>
  <c r="AG325" i="1"/>
  <c r="AQ325" i="1" s="1"/>
  <c r="DB325" i="1"/>
  <c r="DB326" i="1"/>
  <c r="BW328" i="1"/>
  <c r="DB329" i="1"/>
  <c r="AR330" i="1"/>
  <c r="CZ330" i="1"/>
  <c r="BW304" i="1"/>
  <c r="AR303" i="1"/>
  <c r="AR305" i="1"/>
  <c r="CQ305" i="1"/>
  <c r="DA305" i="1" s="1"/>
  <c r="BW308" i="1"/>
  <c r="DA308" i="1"/>
  <c r="AQ312" i="1"/>
  <c r="DA312" i="1"/>
  <c r="AR315" i="1"/>
  <c r="BV316" i="1"/>
  <c r="BV317" i="1"/>
  <c r="AQ318" i="1"/>
  <c r="DA318" i="1"/>
  <c r="BW321" i="1"/>
  <c r="AR324" i="1"/>
  <c r="CQ326" i="1"/>
  <c r="DA326" i="1" s="1"/>
  <c r="AR329" i="1"/>
  <c r="DD302" i="1"/>
  <c r="B302" i="1" s="1"/>
  <c r="AQ306" i="1"/>
  <c r="AQ307" i="1"/>
  <c r="DA309" i="1"/>
  <c r="BW314" i="1"/>
  <c r="AQ319" i="1"/>
  <c r="AR320" i="1"/>
  <c r="DB321" i="1"/>
  <c r="BV323" i="1"/>
  <c r="BW325" i="1"/>
  <c r="AQ327" i="1"/>
  <c r="DB284" i="1"/>
  <c r="CQ284" i="1"/>
  <c r="DA284" i="1" s="1"/>
  <c r="AR294" i="1"/>
  <c r="AG294" i="1"/>
  <c r="AG277" i="1"/>
  <c r="AQ277" i="1" s="1"/>
  <c r="CQ279" i="1"/>
  <c r="DA279" i="1" s="1"/>
  <c r="AR280" i="1"/>
  <c r="BV280" i="1"/>
  <c r="DA290" i="1"/>
  <c r="BW293" i="1"/>
  <c r="BU293" i="1"/>
  <c r="AQ294" i="1"/>
  <c r="AQ299" i="1"/>
  <c r="BV273" i="1"/>
  <c r="AR274" i="1"/>
  <c r="AL274" i="1"/>
  <c r="DB274" i="1"/>
  <c r="AG280" i="1"/>
  <c r="AQ280" i="1" s="1"/>
  <c r="BV281" i="1"/>
  <c r="BW282" i="1"/>
  <c r="BW284" i="1"/>
  <c r="BQ284" i="1"/>
  <c r="BV284" i="1" s="1"/>
  <c r="DB285" i="1"/>
  <c r="DB289" i="1"/>
  <c r="DB300" i="1"/>
  <c r="CQ300" i="1"/>
  <c r="DA300" i="1" s="1"/>
  <c r="AQ273" i="1"/>
  <c r="AQ274" i="1"/>
  <c r="BV282" i="1"/>
  <c r="BW285" i="1"/>
  <c r="AR287" i="1"/>
  <c r="DB287" i="1"/>
  <c r="AR288" i="1"/>
  <c r="AR292" i="1"/>
  <c r="AG292" i="1"/>
  <c r="BV293" i="1"/>
  <c r="AR296" i="1"/>
  <c r="BV296" i="1"/>
  <c r="AR298" i="1"/>
  <c r="BL299" i="1"/>
  <c r="BV299" i="1" s="1"/>
  <c r="BW299" i="1"/>
  <c r="AR299" i="1"/>
  <c r="DB276" i="1"/>
  <c r="AR278" i="1"/>
  <c r="DB278" i="1"/>
  <c r="AQ281" i="1"/>
  <c r="BW283" i="1"/>
  <c r="AR285" i="1"/>
  <c r="AR286" i="1"/>
  <c r="BW286" i="1"/>
  <c r="BV287" i="1"/>
  <c r="BW288" i="1"/>
  <c r="DB288" i="1"/>
  <c r="BW290" i="1"/>
  <c r="BL292" i="1"/>
  <c r="BV292" i="1" s="1"/>
  <c r="DA292" i="1"/>
  <c r="AR293" i="1"/>
  <c r="CQ293" i="1"/>
  <c r="DA293" i="1" s="1"/>
  <c r="BL294" i="1"/>
  <c r="BV294" i="1" s="1"/>
  <c r="AG297" i="1"/>
  <c r="AQ297" i="1" s="1"/>
  <c r="BW300" i="1"/>
  <c r="AR301" i="1"/>
  <c r="BV295" i="1"/>
  <c r="BV297" i="1"/>
  <c r="AR273" i="1"/>
  <c r="DA273" i="1"/>
  <c r="BW274" i="1"/>
  <c r="DA274" i="1"/>
  <c r="DA275" i="1"/>
  <c r="CQ276" i="1"/>
  <c r="DA276" i="1" s="1"/>
  <c r="BW277" i="1"/>
  <c r="CQ277" i="1"/>
  <c r="DA277" i="1" s="1"/>
  <c r="BV278" i="1"/>
  <c r="CQ278" i="1"/>
  <c r="DA278" i="1" s="1"/>
  <c r="BW280" i="1"/>
  <c r="DB280" i="1"/>
  <c r="BW281" i="1"/>
  <c r="DA282" i="1"/>
  <c r="AQ283" i="1"/>
  <c r="BL283" i="1"/>
  <c r="BV283" i="1" s="1"/>
  <c r="AR284" i="1"/>
  <c r="AL285" i="1"/>
  <c r="AQ285" i="1" s="1"/>
  <c r="DB286" i="1"/>
  <c r="AG287" i="1"/>
  <c r="AQ287" i="1" s="1"/>
  <c r="BW287" i="1"/>
  <c r="CQ287" i="1"/>
  <c r="DA287" i="1" s="1"/>
  <c r="BL288" i="1"/>
  <c r="BV288" i="1" s="1"/>
  <c r="CV288" i="1"/>
  <c r="DA288" i="1" s="1"/>
  <c r="BL290" i="1"/>
  <c r="AQ292" i="1"/>
  <c r="DB292" i="1"/>
  <c r="AG293" i="1"/>
  <c r="AQ293" i="1" s="1"/>
  <c r="AR300" i="1"/>
  <c r="BL300" i="1"/>
  <c r="BV300" i="1" s="1"/>
  <c r="AL301" i="1"/>
  <c r="AQ301" i="1" s="1"/>
  <c r="BV301" i="1"/>
  <c r="DB301" i="1"/>
  <c r="AQ245" i="1"/>
  <c r="AQ248" i="1"/>
  <c r="AQ251" i="1"/>
  <c r="DB254" i="1"/>
  <c r="AQ256" i="1"/>
  <c r="AQ261" i="1"/>
  <c r="AR261" i="1"/>
  <c r="AR262" i="1"/>
  <c r="AQ263" i="1"/>
  <c r="DB263" i="1"/>
  <c r="BV266" i="1"/>
  <c r="BW266" i="1"/>
  <c r="BV267" i="1"/>
  <c r="DA268" i="1"/>
  <c r="BV269" i="1"/>
  <c r="AQ270" i="1"/>
  <c r="BV271" i="1"/>
  <c r="BV243" i="1"/>
  <c r="AQ244" i="1"/>
  <c r="DA245" i="1"/>
  <c r="AR247" i="1"/>
  <c r="AQ249" i="1"/>
  <c r="DB249" i="1"/>
  <c r="BW251" i="1"/>
  <c r="BL253" i="1"/>
  <c r="BV253" i="1" s="1"/>
  <c r="AQ255" i="1"/>
  <c r="AQ258" i="1"/>
  <c r="BW259" i="1"/>
  <c r="DB259" i="1"/>
  <c r="DB260" i="1"/>
  <c r="CQ262" i="1"/>
  <c r="DA262" i="1" s="1"/>
  <c r="BW263" i="1"/>
  <c r="CQ264" i="1"/>
  <c r="DA264" i="1" s="1"/>
  <c r="AL265" i="1"/>
  <c r="AQ265" i="1" s="1"/>
  <c r="CV266" i="1"/>
  <c r="DA266" i="1" s="1"/>
  <c r="AR269" i="1"/>
  <c r="DA270" i="1"/>
  <c r="BW245" i="1"/>
  <c r="DB248" i="1"/>
  <c r="BV255" i="1"/>
  <c r="BV259" i="1"/>
  <c r="AR260" i="1"/>
  <c r="BW260" i="1"/>
  <c r="BV262" i="1"/>
  <c r="AR263" i="1"/>
  <c r="BV265" i="1"/>
  <c r="BW267" i="1"/>
  <c r="DB267" i="1"/>
  <c r="BW269" i="1"/>
  <c r="AR270" i="1"/>
  <c r="BW270" i="1"/>
  <c r="AR225" i="1"/>
  <c r="DB235" i="1"/>
  <c r="DD212" i="1"/>
  <c r="B212" i="1" s="1"/>
  <c r="AL213" i="1"/>
  <c r="BQ213" i="1"/>
  <c r="BV213" i="1" s="1"/>
  <c r="DB215" i="1"/>
  <c r="AG218" i="1"/>
  <c r="AQ218" i="1" s="1"/>
  <c r="BW219" i="1"/>
  <c r="CZ219" i="1"/>
  <c r="BW220" i="1"/>
  <c r="AG221" i="1"/>
  <c r="AQ221" i="1" s="1"/>
  <c r="AR222" i="1"/>
  <c r="AR224" i="1"/>
  <c r="BL224" i="1"/>
  <c r="BV224" i="1" s="1"/>
  <c r="AP225" i="1"/>
  <c r="AR226" i="1"/>
  <c r="BW228" i="1"/>
  <c r="DA230" i="1"/>
  <c r="AG231" i="1"/>
  <c r="AQ231" i="1" s="1"/>
  <c r="BL231" i="1"/>
  <c r="DA231" i="1"/>
  <c r="BL232" i="1"/>
  <c r="AR233" i="1"/>
  <c r="BL233" i="1"/>
  <c r="AL235" i="1"/>
  <c r="AQ235" i="1" s="1"/>
  <c r="BW236" i="1"/>
  <c r="CZ236" i="1"/>
  <c r="DB237" i="1"/>
  <c r="AG240" i="1"/>
  <c r="CQ240" i="1"/>
  <c r="BV241" i="1"/>
  <c r="AQ224" i="1"/>
  <c r="DA216" i="1"/>
  <c r="DA217" i="1"/>
  <c r="DB218" i="1"/>
  <c r="BV220" i="1"/>
  <c r="DB222" i="1"/>
  <c r="DA224" i="1"/>
  <c r="BW225" i="1"/>
  <c r="AR227" i="1"/>
  <c r="AR228" i="1"/>
  <c r="DB228" i="1"/>
  <c r="AR229" i="1"/>
  <c r="DA229" i="1"/>
  <c r="DB231" i="1"/>
  <c r="AQ232" i="1"/>
  <c r="DA234" i="1"/>
  <c r="AQ236" i="1"/>
  <c r="BW237" i="1"/>
  <c r="DA238" i="1"/>
  <c r="BW239" i="1"/>
  <c r="BW241" i="1"/>
  <c r="CQ241" i="1"/>
  <c r="DA241" i="1" s="1"/>
  <c r="AQ222" i="1"/>
  <c r="AQ213" i="1"/>
  <c r="DB213" i="1"/>
  <c r="BL217" i="1"/>
  <c r="BV217" i="1" s="1"/>
  <c r="DB217" i="1"/>
  <c r="CQ218" i="1"/>
  <c r="DA218" i="1" s="1"/>
  <c r="AR219" i="1"/>
  <c r="DA219" i="1"/>
  <c r="AR220" i="1"/>
  <c r="CQ222" i="1"/>
  <c r="BQ225" i="1"/>
  <c r="BV225" i="1" s="1"/>
  <c r="DB226" i="1"/>
  <c r="BW230" i="1"/>
  <c r="BV231" i="1"/>
  <c r="BW234" i="1"/>
  <c r="BW235" i="1"/>
  <c r="AQ237" i="1"/>
  <c r="BL237" i="1"/>
  <c r="DB238" i="1"/>
  <c r="DB239" i="1"/>
  <c r="BW240" i="1"/>
  <c r="DA240" i="1"/>
  <c r="DA210" i="1"/>
  <c r="BW211" i="1"/>
  <c r="DA211" i="1"/>
  <c r="BW184" i="1"/>
  <c r="AR190" i="1"/>
  <c r="BV194" i="1"/>
  <c r="BV195" i="1"/>
  <c r="AQ198" i="1"/>
  <c r="AG202" i="1"/>
  <c r="AQ202" i="1" s="1"/>
  <c r="BW205" i="1"/>
  <c r="CQ205" i="1"/>
  <c r="DA205" i="1" s="1"/>
  <c r="AR208" i="1"/>
  <c r="BL208" i="1"/>
  <c r="BV208" i="1" s="1"/>
  <c r="DB209" i="1"/>
  <c r="AL210" i="1"/>
  <c r="AQ210" i="1" s="1"/>
  <c r="AQ189" i="1"/>
  <c r="BV183" i="1"/>
  <c r="DB183" i="1"/>
  <c r="BL184" i="1"/>
  <c r="CQ186" i="1"/>
  <c r="DA186" i="1" s="1"/>
  <c r="BW188" i="1"/>
  <c r="BV189" i="1"/>
  <c r="AQ191" i="1"/>
  <c r="DA191" i="1"/>
  <c r="AR193" i="1"/>
  <c r="DB204" i="1"/>
  <c r="AR205" i="1"/>
  <c r="BV207" i="1"/>
  <c r="DB207" i="1"/>
  <c r="AG211" i="1"/>
  <c r="AQ211" i="1" s="1"/>
  <c r="BW202" i="1"/>
  <c r="AQ184" i="1"/>
  <c r="DB184" i="1"/>
  <c r="AQ185" i="1"/>
  <c r="DA185" i="1"/>
  <c r="DB185" i="1"/>
  <c r="BW186" i="1"/>
  <c r="AR189" i="1"/>
  <c r="DA190" i="1"/>
  <c r="AQ196" i="1"/>
  <c r="AR198" i="1"/>
  <c r="DB199" i="1"/>
  <c r="AR206" i="1"/>
  <c r="DB208" i="1"/>
  <c r="AQ209" i="1"/>
  <c r="BV209" i="1"/>
  <c r="BW210" i="1"/>
  <c r="BW158" i="1"/>
  <c r="DA162" i="1"/>
  <c r="DA173" i="1"/>
  <c r="BW176" i="1"/>
  <c r="DA176" i="1"/>
  <c r="BW180" i="1"/>
  <c r="DA156" i="1"/>
  <c r="CV157" i="1"/>
  <c r="AG158" i="1"/>
  <c r="AQ158" i="1" s="1"/>
  <c r="BU158" i="1"/>
  <c r="CQ158" i="1"/>
  <c r="DA158" i="1" s="1"/>
  <c r="AL163" i="1"/>
  <c r="AQ163" i="1" s="1"/>
  <c r="DB165" i="1"/>
  <c r="AL168" i="1"/>
  <c r="CQ169" i="1"/>
  <c r="DA169" i="1" s="1"/>
  <c r="BL177" i="1"/>
  <c r="BV177" i="1" s="1"/>
  <c r="BW179" i="1"/>
  <c r="BQ181" i="1"/>
  <c r="BV181" i="1" s="1"/>
  <c r="AR153" i="1"/>
  <c r="BL153" i="1"/>
  <c r="BV153" i="1" s="1"/>
  <c r="AR162" i="1"/>
  <c r="BL162" i="1"/>
  <c r="BV162" i="1" s="1"/>
  <c r="DB162" i="1"/>
  <c r="AL164" i="1"/>
  <c r="AQ164" i="1" s="1"/>
  <c r="BW167" i="1"/>
  <c r="DB167" i="1"/>
  <c r="BL171" i="1"/>
  <c r="BV171" i="1" s="1"/>
  <c r="AL172" i="1"/>
  <c r="AQ172" i="1" s="1"/>
  <c r="AG180" i="1"/>
  <c r="AQ180" i="1" s="1"/>
  <c r="CV180" i="1"/>
  <c r="DA180" i="1" s="1"/>
  <c r="DD152" i="1"/>
  <c r="B152" i="1" s="1"/>
  <c r="DB153" i="1"/>
  <c r="AR154" i="1"/>
  <c r="BV154" i="1"/>
  <c r="BU154" i="1"/>
  <c r="DB155" i="1"/>
  <c r="BW156" i="1"/>
  <c r="AQ159" i="1"/>
  <c r="AG162" i="1"/>
  <c r="AQ162" i="1" s="1"/>
  <c r="DB163" i="1"/>
  <c r="AR166" i="1"/>
  <c r="BL166" i="1"/>
  <c r="BV166" i="1" s="1"/>
  <c r="BW168" i="1"/>
  <c r="CQ171" i="1"/>
  <c r="DA171" i="1" s="1"/>
  <c r="AR174" i="1"/>
  <c r="AR176" i="1"/>
  <c r="DB177" i="1"/>
  <c r="AR178" i="1"/>
  <c r="BV178" i="1"/>
  <c r="DB179" i="1"/>
  <c r="DB181" i="1"/>
  <c r="AQ157" i="1"/>
  <c r="AR157" i="1"/>
  <c r="DA161" i="1"/>
  <c r="DA167" i="1"/>
  <c r="AR170" i="1"/>
  <c r="BV170" i="1"/>
  <c r="DA172" i="1"/>
  <c r="DB175" i="1"/>
  <c r="AQ155" i="1"/>
  <c r="BW157" i="1"/>
  <c r="BW163" i="1"/>
  <c r="BV165" i="1"/>
  <c r="DB166" i="1"/>
  <c r="AR167" i="1"/>
  <c r="AQ168" i="1"/>
  <c r="DB170" i="1"/>
  <c r="DB172" i="1"/>
  <c r="BW173" i="1"/>
  <c r="DB176" i="1"/>
  <c r="AR177" i="1"/>
  <c r="DA181" i="1"/>
  <c r="DB127" i="1"/>
  <c r="BW125" i="1"/>
  <c r="BW126" i="1"/>
  <c r="BQ127" i="1"/>
  <c r="BV127" i="1" s="1"/>
  <c r="BV146" i="1"/>
  <c r="DA147" i="1"/>
  <c r="BV148" i="1"/>
  <c r="DA150" i="1"/>
  <c r="DD122" i="1"/>
  <c r="B122" i="1" s="1"/>
  <c r="DA123" i="1"/>
  <c r="DA131" i="1"/>
  <c r="AQ149" i="1"/>
  <c r="AQ126" i="1"/>
  <c r="AQ142" i="1"/>
  <c r="DA143" i="1"/>
  <c r="BV116" i="1"/>
  <c r="BV102" i="1"/>
  <c r="BV103" i="1"/>
  <c r="DA105" i="1"/>
  <c r="DA111" i="1"/>
  <c r="BW119" i="1"/>
  <c r="BW120" i="1"/>
  <c r="DA94" i="1"/>
  <c r="BW95" i="1"/>
  <c r="DB96" i="1"/>
  <c r="AR98" i="1"/>
  <c r="BW98" i="1"/>
  <c r="DB101" i="1"/>
  <c r="DB104" i="1"/>
  <c r="BV108" i="1"/>
  <c r="BW109" i="1"/>
  <c r="CQ109" i="1"/>
  <c r="DA109" i="1" s="1"/>
  <c r="AG111" i="1"/>
  <c r="BW112" i="1"/>
  <c r="DB112" i="1"/>
  <c r="BW113" i="1"/>
  <c r="AR118" i="1"/>
  <c r="AR119" i="1"/>
  <c r="DB120" i="1"/>
  <c r="AQ114" i="1"/>
  <c r="AR114" i="1"/>
  <c r="DA115" i="1"/>
  <c r="DB115" i="1"/>
  <c r="AR93" i="1"/>
  <c r="BW97" i="1"/>
  <c r="AQ100" i="1"/>
  <c r="DB100" i="1"/>
  <c r="DD92" i="1"/>
  <c r="B92" i="1" s="1"/>
  <c r="AR94" i="1"/>
  <c r="BV94" i="1"/>
  <c r="AR96" i="1"/>
  <c r="AG98" i="1"/>
  <c r="AQ98" i="1" s="1"/>
  <c r="DA98" i="1"/>
  <c r="AR99" i="1"/>
  <c r="DB99" i="1"/>
  <c r="BW100" i="1"/>
  <c r="CQ100" i="1"/>
  <c r="DA100" i="1" s="1"/>
  <c r="AR101" i="1"/>
  <c r="AR102" i="1"/>
  <c r="DA102" i="1"/>
  <c r="DB103" i="1"/>
  <c r="BW104" i="1"/>
  <c r="CQ104" i="1"/>
  <c r="DA104" i="1" s="1"/>
  <c r="DA106" i="1"/>
  <c r="CQ110" i="1"/>
  <c r="DA110" i="1" s="1"/>
  <c r="BW111" i="1"/>
  <c r="AR113" i="1"/>
  <c r="BW114" i="1"/>
  <c r="BW117" i="1"/>
  <c r="BV118" i="1"/>
  <c r="DA120" i="1"/>
  <c r="AQ93" i="1"/>
  <c r="BV97" i="1"/>
  <c r="BV101" i="1"/>
  <c r="DA101" i="1"/>
  <c r="BW102" i="1"/>
  <c r="CQ103" i="1"/>
  <c r="DA103" i="1" s="1"/>
  <c r="BW105" i="1"/>
  <c r="DB105" i="1"/>
  <c r="BW106" i="1"/>
  <c r="DB107" i="1"/>
  <c r="DB108" i="1"/>
  <c r="BL111" i="1"/>
  <c r="BV111" i="1" s="1"/>
  <c r="AR112" i="1"/>
  <c r="AR115" i="1"/>
  <c r="BW115" i="1"/>
  <c r="DB116" i="1"/>
  <c r="BW118" i="1"/>
  <c r="DB119" i="1"/>
  <c r="AG121" i="1"/>
  <c r="AQ121" i="1" s="1"/>
  <c r="AQ83" i="1"/>
  <c r="AG64" i="1"/>
  <c r="AQ64" i="1" s="1"/>
  <c r="DB65" i="1"/>
  <c r="AR72" i="1"/>
  <c r="CQ72" i="1"/>
  <c r="DA72" i="1" s="1"/>
  <c r="CQ74" i="1"/>
  <c r="AG80" i="1"/>
  <c r="AQ80" i="1" s="1"/>
  <c r="DB83" i="1"/>
  <c r="BL84" i="1"/>
  <c r="BV84" i="1" s="1"/>
  <c r="AG85" i="1"/>
  <c r="AQ85" i="1" s="1"/>
  <c r="CQ88" i="1"/>
  <c r="DA88" i="1" s="1"/>
  <c r="BV90" i="1"/>
  <c r="DA91" i="1"/>
  <c r="DD62" i="1"/>
  <c r="B62" i="1" s="1"/>
  <c r="CQ65" i="1"/>
  <c r="DA65" i="1" s="1"/>
  <c r="BW68" i="1"/>
  <c r="BW70" i="1"/>
  <c r="AR71" i="1"/>
  <c r="BW71" i="1"/>
  <c r="AR73" i="1"/>
  <c r="BW74" i="1"/>
  <c r="DA74" i="1"/>
  <c r="BW75" i="1"/>
  <c r="BV76" i="1"/>
  <c r="BW77" i="1"/>
  <c r="AG78" i="1"/>
  <c r="AQ78" i="1" s="1"/>
  <c r="BW79" i="1"/>
  <c r="CQ79" i="1"/>
  <c r="DA79" i="1" s="1"/>
  <c r="BV80" i="1"/>
  <c r="DB81" i="1"/>
  <c r="BW83" i="1"/>
  <c r="AR84" i="1"/>
  <c r="AG87" i="1"/>
  <c r="AQ87" i="1" s="1"/>
  <c r="DB87" i="1"/>
  <c r="BW88" i="1"/>
  <c r="AQ90" i="1"/>
  <c r="BW91" i="1"/>
  <c r="BV87" i="1"/>
  <c r="BW63" i="1"/>
  <c r="BW64" i="1"/>
  <c r="AR68" i="1"/>
  <c r="BL68" i="1"/>
  <c r="BV68" i="1" s="1"/>
  <c r="DB69" i="1"/>
  <c r="BV71" i="1"/>
  <c r="DA73" i="1"/>
  <c r="AR75" i="1"/>
  <c r="DB76" i="1"/>
  <c r="DA81" i="1"/>
  <c r="BV83" i="1"/>
  <c r="DA83" i="1"/>
  <c r="DA84" i="1"/>
  <c r="DA87" i="1"/>
  <c r="AR89" i="1"/>
  <c r="BL91" i="1"/>
  <c r="BV91" i="1" s="1"/>
  <c r="BW39" i="1"/>
  <c r="AQ42" i="1"/>
  <c r="DA42" i="1"/>
  <c r="AR46" i="1"/>
  <c r="BW52" i="1"/>
  <c r="DA53" i="1"/>
  <c r="DB55" i="1"/>
  <c r="AQ57" i="1"/>
  <c r="BV34" i="1"/>
  <c r="AR33" i="1"/>
  <c r="BW33" i="1"/>
  <c r="DB33" i="1"/>
  <c r="DB34" i="1"/>
  <c r="AQ35" i="1"/>
  <c r="BL35" i="1"/>
  <c r="BV35" i="1" s="1"/>
  <c r="BL36" i="1"/>
  <c r="BV36" i="1" s="1"/>
  <c r="BV37" i="1"/>
  <c r="BW37" i="1"/>
  <c r="BV39" i="1"/>
  <c r="AQ40" i="1"/>
  <c r="BV41" i="1"/>
  <c r="BW42" i="1"/>
  <c r="AR45" i="1"/>
  <c r="DB45" i="1"/>
  <c r="BW46" i="1"/>
  <c r="CV46" i="1"/>
  <c r="DA46" i="1" s="1"/>
  <c r="AG47" i="1"/>
  <c r="AQ47" i="1" s="1"/>
  <c r="BW48" i="1"/>
  <c r="BL49" i="1"/>
  <c r="BV49" i="1" s="1"/>
  <c r="BU50" i="1"/>
  <c r="DB50" i="1"/>
  <c r="AP53" i="1"/>
  <c r="BL56" i="1"/>
  <c r="BV56" i="1" s="1"/>
  <c r="DB57" i="1"/>
  <c r="AR58" i="1"/>
  <c r="AG59" i="1"/>
  <c r="AQ59" i="1" s="1"/>
  <c r="BV59" i="1"/>
  <c r="DB59" i="1"/>
  <c r="AP60" i="1"/>
  <c r="CQ60" i="1"/>
  <c r="DA60" i="1" s="1"/>
  <c r="CQ61" i="1"/>
  <c r="AQ36" i="1"/>
  <c r="AQ33" i="1"/>
  <c r="BV33" i="1"/>
  <c r="BW34" i="1"/>
  <c r="BW38" i="1"/>
  <c r="DB38" i="1"/>
  <c r="AR39" i="1"/>
  <c r="BW43" i="1"/>
  <c r="AR44" i="1"/>
  <c r="BV45" i="1"/>
  <c r="AR49" i="1"/>
  <c r="AQ51" i="1"/>
  <c r="BW53" i="1"/>
  <c r="AR54" i="1"/>
  <c r="BW54" i="1"/>
  <c r="DB56" i="1"/>
  <c r="DA57" i="1"/>
  <c r="DB58" i="1"/>
  <c r="DB35" i="1"/>
  <c r="DD32" i="1"/>
  <c r="B32" i="1" s="1"/>
  <c r="AQ34" i="1"/>
  <c r="AR34" i="1"/>
  <c r="AG38" i="1"/>
  <c r="AQ38" i="1" s="1"/>
  <c r="BL38" i="1"/>
  <c r="BV38" i="1" s="1"/>
  <c r="CZ38" i="1"/>
  <c r="AL39" i="1"/>
  <c r="DB40" i="1"/>
  <c r="DB43" i="1"/>
  <c r="BW44" i="1"/>
  <c r="DB44" i="1"/>
  <c r="DB48" i="1"/>
  <c r="AL49" i="1"/>
  <c r="AQ49" i="1" s="1"/>
  <c r="AQ54" i="1"/>
  <c r="BV54" i="1"/>
  <c r="AQ55" i="1"/>
  <c r="AR56" i="1"/>
  <c r="AR57" i="1"/>
  <c r="BW58" i="1"/>
  <c r="DA58" i="1"/>
  <c r="BW60" i="1"/>
  <c r="AR61" i="1"/>
  <c r="DB4" i="1"/>
  <c r="AR26" i="1"/>
  <c r="BW30" i="1"/>
  <c r="AQ5" i="1"/>
  <c r="AQ7" i="1"/>
  <c r="BV9" i="1"/>
  <c r="BW9" i="1"/>
  <c r="BW10" i="1"/>
  <c r="AQ11" i="1"/>
  <c r="AR12" i="1"/>
  <c r="DB12" i="1"/>
  <c r="DB13" i="1"/>
  <c r="BW21" i="1"/>
  <c r="AR22" i="1"/>
  <c r="DB23" i="1"/>
  <c r="BW24" i="1"/>
  <c r="AG25" i="1"/>
  <c r="AQ25" i="1" s="1"/>
  <c r="DB25" i="1"/>
  <c r="AR29" i="1"/>
  <c r="AR30" i="1"/>
  <c r="DB31" i="1"/>
  <c r="DB29" i="1"/>
  <c r="BW3" i="1"/>
  <c r="AR5" i="1"/>
  <c r="AQ3" i="1"/>
  <c r="AR3" i="1"/>
  <c r="DA6" i="1"/>
  <c r="DB6" i="1"/>
  <c r="AR8" i="1"/>
  <c r="DA8" i="1"/>
  <c r="AR17" i="1"/>
  <c r="BW19" i="1"/>
  <c r="AR20" i="1"/>
  <c r="DB21" i="1"/>
  <c r="BW22" i="1"/>
  <c r="AQ23" i="1"/>
  <c r="BW23" i="1"/>
  <c r="DB24" i="1"/>
  <c r="BW27" i="1"/>
  <c r="DA27" i="1"/>
  <c r="AR28" i="1"/>
  <c r="DB28" i="1"/>
  <c r="BW29" i="1"/>
  <c r="AL30" i="1"/>
  <c r="AQ30" i="1" s="1"/>
  <c r="AR31" i="1"/>
  <c r="DD2" i="1"/>
  <c r="B2" i="1" s="1"/>
  <c r="DB7" i="1"/>
  <c r="AR10" i="1"/>
  <c r="DB11" i="1"/>
  <c r="BW14" i="1"/>
  <c r="AR15" i="1"/>
  <c r="DB16" i="1"/>
  <c r="BW17" i="1"/>
  <c r="AR18" i="1"/>
  <c r="AR19" i="1"/>
  <c r="DB19" i="1"/>
  <c r="BV20" i="1"/>
  <c r="DB20" i="1"/>
  <c r="BW26" i="1"/>
  <c r="AR27" i="1"/>
  <c r="BV30" i="1"/>
  <c r="DB30" i="1"/>
  <c r="BV6" i="1"/>
  <c r="BV13" i="1"/>
  <c r="DA33" i="1"/>
  <c r="AQ4" i="1"/>
  <c r="BV8" i="1"/>
  <c r="DA22" i="1"/>
  <c r="BV23" i="1"/>
  <c r="DA3" i="1"/>
  <c r="AQ9" i="1"/>
  <c r="DA13" i="1"/>
  <c r="CV40" i="1"/>
  <c r="DA40" i="1" s="1"/>
  <c r="BV61" i="1"/>
  <c r="CQ12" i="1"/>
  <c r="DA12" i="1" s="1"/>
  <c r="BL15" i="1"/>
  <c r="BV15" i="1" s="1"/>
  <c r="AG18" i="1"/>
  <c r="AQ18" i="1" s="1"/>
  <c r="CQ19" i="1"/>
  <c r="DA19" i="1" s="1"/>
  <c r="BL22" i="1"/>
  <c r="BV22" i="1" s="1"/>
  <c r="CQ26" i="1"/>
  <c r="DA26" i="1" s="1"/>
  <c r="BQ27" i="1"/>
  <c r="BV27" i="1" s="1"/>
  <c r="CZ35" i="1"/>
  <c r="AL41" i="1"/>
  <c r="AQ41" i="1" s="1"/>
  <c r="BW41" i="1"/>
  <c r="DB42" i="1"/>
  <c r="CV43" i="1"/>
  <c r="DA43" i="1" s="1"/>
  <c r="AG44" i="1"/>
  <c r="AQ44" i="1" s="1"/>
  <c r="BV52" i="1"/>
  <c r="DB52" i="1"/>
  <c r="AR67" i="1"/>
  <c r="DB67" i="1"/>
  <c r="BW72" i="1"/>
  <c r="BQ72" i="1"/>
  <c r="BV72" i="1" s="1"/>
  <c r="BV79" i="1"/>
  <c r="BV109" i="1"/>
  <c r="DA112" i="1"/>
  <c r="BW40" i="1"/>
  <c r="DA49" i="1"/>
  <c r="CV75" i="1"/>
  <c r="DA75" i="1" s="1"/>
  <c r="DB75" i="1"/>
  <c r="BL3" i="1"/>
  <c r="BV3" i="1" s="1"/>
  <c r="BW4" i="1"/>
  <c r="AG6" i="1"/>
  <c r="AQ6" i="1" s="1"/>
  <c r="AR7" i="1"/>
  <c r="CQ7" i="1"/>
  <c r="DA7" i="1" s="1"/>
  <c r="DB8" i="1"/>
  <c r="BL10" i="1"/>
  <c r="BV10" i="1" s="1"/>
  <c r="BW11" i="1"/>
  <c r="AG13" i="1"/>
  <c r="AQ13" i="1" s="1"/>
  <c r="AR14" i="1"/>
  <c r="CQ14" i="1"/>
  <c r="DA14" i="1" s="1"/>
  <c r="DB15" i="1"/>
  <c r="BL17" i="1"/>
  <c r="BV17" i="1" s="1"/>
  <c r="BW18" i="1"/>
  <c r="AG20" i="1"/>
  <c r="AQ20" i="1" s="1"/>
  <c r="AR21" i="1"/>
  <c r="CQ21" i="1"/>
  <c r="DA21" i="1" s="1"/>
  <c r="DB22" i="1"/>
  <c r="BL24" i="1"/>
  <c r="BV24" i="1" s="1"/>
  <c r="AG27" i="1"/>
  <c r="AQ27" i="1" s="1"/>
  <c r="CQ28" i="1"/>
  <c r="DA28" i="1" s="1"/>
  <c r="BL31" i="1"/>
  <c r="BV31" i="1" s="1"/>
  <c r="CZ31" i="1"/>
  <c r="BL40" i="1"/>
  <c r="BV40" i="1" s="1"/>
  <c r="BL48" i="1"/>
  <c r="BV48" i="1" s="1"/>
  <c r="AG50" i="1"/>
  <c r="AQ50" i="1" s="1"/>
  <c r="CQ59" i="1"/>
  <c r="DA59" i="1" s="1"/>
  <c r="BW65" i="1"/>
  <c r="DB66" i="1"/>
  <c r="CQ66" i="1"/>
  <c r="DA66" i="1" s="1"/>
  <c r="AQ39" i="1"/>
  <c r="DA54" i="1"/>
  <c r="BV57" i="1"/>
  <c r="AQ97" i="1"/>
  <c r="DB3" i="1"/>
  <c r="BL5" i="1"/>
  <c r="BV5" i="1" s="1"/>
  <c r="BW6" i="1"/>
  <c r="AG8" i="1"/>
  <c r="AQ8" i="1" s="1"/>
  <c r="AR9" i="1"/>
  <c r="CQ9" i="1"/>
  <c r="DA9" i="1" s="1"/>
  <c r="DB10" i="1"/>
  <c r="BL12" i="1"/>
  <c r="BV12" i="1" s="1"/>
  <c r="BW13" i="1"/>
  <c r="AG15" i="1"/>
  <c r="AQ15" i="1" s="1"/>
  <c r="AR16" i="1"/>
  <c r="CQ16" i="1"/>
  <c r="DA16" i="1" s="1"/>
  <c r="DB17" i="1"/>
  <c r="BL19" i="1"/>
  <c r="BV19" i="1" s="1"/>
  <c r="BW20" i="1"/>
  <c r="AG22" i="1"/>
  <c r="AQ22" i="1" s="1"/>
  <c r="AR23" i="1"/>
  <c r="CQ23" i="1"/>
  <c r="DA23" i="1" s="1"/>
  <c r="BL26" i="1"/>
  <c r="BV26" i="1" s="1"/>
  <c r="AG29" i="1"/>
  <c r="AQ29" i="1" s="1"/>
  <c r="CQ30" i="1"/>
  <c r="DA30" i="1" s="1"/>
  <c r="AG37" i="1"/>
  <c r="AQ37" i="1" s="1"/>
  <c r="CQ41" i="1"/>
  <c r="DA41" i="1" s="1"/>
  <c r="CQ44" i="1"/>
  <c r="DA44" i="1" s="1"/>
  <c r="BW69" i="1"/>
  <c r="BL69" i="1"/>
  <c r="BV69" i="1" s="1"/>
  <c r="BQ78" i="1"/>
  <c r="BV78" i="1" s="1"/>
  <c r="BW78" i="1"/>
  <c r="AR4" i="1"/>
  <c r="DB5" i="1"/>
  <c r="BL7" i="1"/>
  <c r="BV7" i="1" s="1"/>
  <c r="BW8" i="1"/>
  <c r="AG10" i="1"/>
  <c r="AQ10" i="1" s="1"/>
  <c r="AR11" i="1"/>
  <c r="CQ11" i="1"/>
  <c r="DA11" i="1" s="1"/>
  <c r="BL14" i="1"/>
  <c r="BV14" i="1" s="1"/>
  <c r="AG17" i="1"/>
  <c r="AQ17" i="1" s="1"/>
  <c r="CQ18" i="1"/>
  <c r="DA18" i="1" s="1"/>
  <c r="BL21" i="1"/>
  <c r="BV21" i="1" s="1"/>
  <c r="AG24" i="1"/>
  <c r="AQ24" i="1" s="1"/>
  <c r="CQ25" i="1"/>
  <c r="DA25" i="1" s="1"/>
  <c r="BL28" i="1"/>
  <c r="BV28" i="1" s="1"/>
  <c r="AG31" i="1"/>
  <c r="AQ31" i="1" s="1"/>
  <c r="BQ43" i="1"/>
  <c r="BV43" i="1" s="1"/>
  <c r="AL45" i="1"/>
  <c r="AQ45" i="1" s="1"/>
  <c r="DB49" i="1"/>
  <c r="CQ51" i="1"/>
  <c r="DA51" i="1" s="1"/>
  <c r="BQ53" i="1"/>
  <c r="BV53" i="1" s="1"/>
  <c r="AL56" i="1"/>
  <c r="AQ56" i="1" s="1"/>
  <c r="DB73" i="1"/>
  <c r="CZ73" i="1"/>
  <c r="AQ111" i="1"/>
  <c r="DB54" i="1"/>
  <c r="AR55" i="1"/>
  <c r="AR65" i="1"/>
  <c r="AG65" i="1"/>
  <c r="AQ65" i="1" s="1"/>
  <c r="BW67" i="1"/>
  <c r="BL67" i="1"/>
  <c r="BV67" i="1" s="1"/>
  <c r="DB36" i="1"/>
  <c r="DB37" i="1"/>
  <c r="BQ46" i="1"/>
  <c r="BV46" i="1" s="1"/>
  <c r="CV47" i="1"/>
  <c r="DA47" i="1" s="1"/>
  <c r="AL48" i="1"/>
  <c r="AQ48" i="1" s="1"/>
  <c r="CZ55" i="1"/>
  <c r="BU58" i="1"/>
  <c r="DA61" i="1"/>
  <c r="DB64" i="1"/>
  <c r="CQ64" i="1"/>
  <c r="DA64" i="1" s="1"/>
  <c r="AR70" i="1"/>
  <c r="AG70" i="1"/>
  <c r="AQ70" i="1" s="1"/>
  <c r="CQ70" i="1"/>
  <c r="DA70" i="1" s="1"/>
  <c r="DB70" i="1"/>
  <c r="DB71" i="1"/>
  <c r="CQ71" i="1"/>
  <c r="DA71" i="1" s="1"/>
  <c r="BW76" i="1"/>
  <c r="BU76" i="1"/>
  <c r="CQ77" i="1"/>
  <c r="DA77" i="1" s="1"/>
  <c r="DB77" i="1"/>
  <c r="AQ109" i="1"/>
  <c r="DA121" i="1"/>
  <c r="AR42" i="1"/>
  <c r="AR43" i="1"/>
  <c r="DA93" i="1"/>
  <c r="AQ105" i="1"/>
  <c r="AQ116" i="1"/>
  <c r="AQ43" i="1"/>
  <c r="BW55" i="1"/>
  <c r="CQ63" i="1"/>
  <c r="DA63" i="1" s="1"/>
  <c r="DB63" i="1"/>
  <c r="BL66" i="1"/>
  <c r="BV66" i="1" s="1"/>
  <c r="BW66" i="1"/>
  <c r="DA69" i="1"/>
  <c r="BL73" i="1"/>
  <c r="BV73" i="1" s="1"/>
  <c r="BW73" i="1"/>
  <c r="BV85" i="1"/>
  <c r="BV106" i="1"/>
  <c r="AR35" i="1"/>
  <c r="AR36" i="1"/>
  <c r="AQ46" i="1"/>
  <c r="BW47" i="1"/>
  <c r="CQ48" i="1"/>
  <c r="DA48" i="1" s="1"/>
  <c r="BL55" i="1"/>
  <c r="BV55" i="1" s="1"/>
  <c r="AG58" i="1"/>
  <c r="AQ58" i="1" s="1"/>
  <c r="BQ60" i="1"/>
  <c r="BV60" i="1" s="1"/>
  <c r="AR63" i="1"/>
  <c r="AG63" i="1"/>
  <c r="AQ63" i="1" s="1"/>
  <c r="AG69" i="1"/>
  <c r="AQ69" i="1" s="1"/>
  <c r="AR69" i="1"/>
  <c r="AR79" i="1"/>
  <c r="AP79" i="1"/>
  <c r="BW51" i="1"/>
  <c r="AQ68" i="1"/>
  <c r="DB68" i="1"/>
  <c r="AG76" i="1"/>
  <c r="AQ76" i="1" s="1"/>
  <c r="AR76" i="1"/>
  <c r="AQ99" i="1"/>
  <c r="BV110" i="1"/>
  <c r="BL93" i="1"/>
  <c r="BV93" i="1" s="1"/>
  <c r="AL94" i="1"/>
  <c r="AQ94" i="1" s="1"/>
  <c r="BW94" i="1"/>
  <c r="CV95" i="1"/>
  <c r="DA95" i="1" s="1"/>
  <c r="AG96" i="1"/>
  <c r="AQ96" i="1" s="1"/>
  <c r="AR97" i="1"/>
  <c r="CQ97" i="1"/>
  <c r="DA97" i="1" s="1"/>
  <c r="BQ98" i="1"/>
  <c r="BV98" i="1" s="1"/>
  <c r="DB98" i="1"/>
  <c r="BL100" i="1"/>
  <c r="BV100" i="1" s="1"/>
  <c r="AL101" i="1"/>
  <c r="AQ101" i="1" s="1"/>
  <c r="BW101" i="1"/>
  <c r="BL104" i="1"/>
  <c r="BV104" i="1" s="1"/>
  <c r="CQ107" i="1"/>
  <c r="DA107" i="1" s="1"/>
  <c r="AR109" i="1"/>
  <c r="AG110" i="1"/>
  <c r="AQ110" i="1" s="1"/>
  <c r="AL112" i="1"/>
  <c r="AQ112" i="1" s="1"/>
  <c r="BL113" i="1"/>
  <c r="BV113" i="1" s="1"/>
  <c r="BQ115" i="1"/>
  <c r="BV115" i="1" s="1"/>
  <c r="CQ116" i="1"/>
  <c r="DA116" i="1" s="1"/>
  <c r="DB121" i="1"/>
  <c r="AR136" i="1"/>
  <c r="AG136" i="1"/>
  <c r="AQ136" i="1" s="1"/>
  <c r="BW138" i="1"/>
  <c r="AR140" i="1"/>
  <c r="AG140" i="1"/>
  <c r="AQ140" i="1" s="1"/>
  <c r="AR160" i="1"/>
  <c r="AG160" i="1"/>
  <c r="AQ160" i="1" s="1"/>
  <c r="DB164" i="1"/>
  <c r="DB168" i="1"/>
  <c r="AQ181" i="1"/>
  <c r="BL63" i="1"/>
  <c r="BV63" i="1" s="1"/>
  <c r="AG66" i="1"/>
  <c r="AQ66" i="1" s="1"/>
  <c r="CQ67" i="1"/>
  <c r="DA67" i="1" s="1"/>
  <c r="AR81" i="1"/>
  <c r="DB82" i="1"/>
  <c r="BW85" i="1"/>
  <c r="AR88" i="1"/>
  <c r="DB89" i="1"/>
  <c r="AR107" i="1"/>
  <c r="AG108" i="1"/>
  <c r="AQ108" i="1" s="1"/>
  <c r="DB113" i="1"/>
  <c r="DB114" i="1"/>
  <c r="AR116" i="1"/>
  <c r="DB123" i="1"/>
  <c r="AR126" i="1"/>
  <c r="BW131" i="1"/>
  <c r="BL131" i="1"/>
  <c r="BV131" i="1" s="1"/>
  <c r="BL132" i="1"/>
  <c r="BV132" i="1" s="1"/>
  <c r="BW132" i="1"/>
  <c r="BW142" i="1"/>
  <c r="BL142" i="1"/>
  <c r="BV142" i="1" s="1"/>
  <c r="AL144" i="1"/>
  <c r="AQ144" i="1" s="1"/>
  <c r="AR144" i="1"/>
  <c r="DB148" i="1"/>
  <c r="CQ148" i="1"/>
  <c r="DA148" i="1" s="1"/>
  <c r="DB93" i="1"/>
  <c r="BL95" i="1"/>
  <c r="BV95" i="1" s="1"/>
  <c r="BW96" i="1"/>
  <c r="DB102" i="1"/>
  <c r="AR105" i="1"/>
  <c r="AR106" i="1"/>
  <c r="BW108" i="1"/>
  <c r="BW124" i="1"/>
  <c r="BL124" i="1"/>
  <c r="BV124" i="1" s="1"/>
  <c r="DB135" i="1"/>
  <c r="CQ135" i="1"/>
  <c r="DA135" i="1" s="1"/>
  <c r="AR148" i="1"/>
  <c r="AL148" i="1"/>
  <c r="AQ148" i="1" s="1"/>
  <c r="DA157" i="1"/>
  <c r="AR161" i="1"/>
  <c r="AP161" i="1"/>
  <c r="BU75" i="1"/>
  <c r="BW80" i="1"/>
  <c r="AR83" i="1"/>
  <c r="DB84" i="1"/>
  <c r="BW87" i="1"/>
  <c r="AR90" i="1"/>
  <c r="DB91" i="1"/>
  <c r="AR103" i="1"/>
  <c r="DB111" i="1"/>
  <c r="AG115" i="1"/>
  <c r="AQ115" i="1" s="1"/>
  <c r="DA119" i="1"/>
  <c r="BU120" i="1"/>
  <c r="DB139" i="1"/>
  <c r="CQ139" i="1"/>
  <c r="DA139" i="1" s="1"/>
  <c r="BW145" i="1"/>
  <c r="BQ145" i="1"/>
  <c r="BV145" i="1" s="1"/>
  <c r="DB159" i="1"/>
  <c r="CQ159" i="1"/>
  <c r="DA159" i="1" s="1"/>
  <c r="DA163" i="1"/>
  <c r="AQ179" i="1"/>
  <c r="BL129" i="1"/>
  <c r="BV129" i="1" s="1"/>
  <c r="BW129" i="1"/>
  <c r="BW130" i="1"/>
  <c r="BL130" i="1"/>
  <c r="BV130" i="1" s="1"/>
  <c r="AR134" i="1"/>
  <c r="AG134" i="1"/>
  <c r="AQ134" i="1" s="1"/>
  <c r="AG135" i="1"/>
  <c r="AQ135" i="1" s="1"/>
  <c r="AR135" i="1"/>
  <c r="BW137" i="1"/>
  <c r="BL137" i="1"/>
  <c r="BV137" i="1" s="1"/>
  <c r="AR143" i="1"/>
  <c r="AG143" i="1"/>
  <c r="AQ143" i="1" s="1"/>
  <c r="AR147" i="1"/>
  <c r="AG147" i="1"/>
  <c r="AQ147" i="1" s="1"/>
  <c r="AR156" i="1"/>
  <c r="AL156" i="1"/>
  <c r="AQ156" i="1" s="1"/>
  <c r="BL74" i="1"/>
  <c r="BV74" i="1" s="1"/>
  <c r="AG77" i="1"/>
  <c r="AQ77" i="1" s="1"/>
  <c r="CQ78" i="1"/>
  <c r="DA78" i="1" s="1"/>
  <c r="BL81" i="1"/>
  <c r="BV81" i="1" s="1"/>
  <c r="AL82" i="1"/>
  <c r="AQ82" i="1" s="1"/>
  <c r="AG84" i="1"/>
  <c r="AQ84" i="1" s="1"/>
  <c r="CQ85" i="1"/>
  <c r="DA85" i="1" s="1"/>
  <c r="BQ86" i="1"/>
  <c r="BV86" i="1" s="1"/>
  <c r="BL88" i="1"/>
  <c r="BV88" i="1" s="1"/>
  <c r="AL89" i="1"/>
  <c r="AQ89" i="1" s="1"/>
  <c r="AG91" i="1"/>
  <c r="AQ91" i="1" s="1"/>
  <c r="BU102" i="1"/>
  <c r="CZ105" i="1"/>
  <c r="AG113" i="1"/>
  <c r="AQ113" i="1" s="1"/>
  <c r="CQ117" i="1"/>
  <c r="DA117" i="1" s="1"/>
  <c r="BL125" i="1"/>
  <c r="BV125" i="1" s="1"/>
  <c r="BL126" i="1"/>
  <c r="BV126" i="1" s="1"/>
  <c r="AR133" i="1"/>
  <c r="AG133" i="1"/>
  <c r="AQ133" i="1" s="1"/>
  <c r="CQ133" i="1"/>
  <c r="DA133" i="1" s="1"/>
  <c r="DB133" i="1"/>
  <c r="DB134" i="1"/>
  <c r="CQ134" i="1"/>
  <c r="DA134" i="1" s="1"/>
  <c r="AG139" i="1"/>
  <c r="AQ139" i="1" s="1"/>
  <c r="AR139" i="1"/>
  <c r="BQ141" i="1"/>
  <c r="BV141" i="1" s="1"/>
  <c r="BW141" i="1"/>
  <c r="BW149" i="1"/>
  <c r="BL149" i="1"/>
  <c r="BV149" i="1" s="1"/>
  <c r="DB151" i="1"/>
  <c r="CQ151" i="1"/>
  <c r="DA151" i="1" s="1"/>
  <c r="AG95" i="1"/>
  <c r="AQ95" i="1" s="1"/>
  <c r="CQ96" i="1"/>
  <c r="DA96" i="1" s="1"/>
  <c r="BL99" i="1"/>
  <c r="BV99" i="1" s="1"/>
  <c r="AG102" i="1"/>
  <c r="AQ102" i="1" s="1"/>
  <c r="BW103" i="1"/>
  <c r="BL105" i="1"/>
  <c r="BV105" i="1" s="1"/>
  <c r="AR117" i="1"/>
  <c r="BL136" i="1"/>
  <c r="BV136" i="1" s="1"/>
  <c r="BW136" i="1"/>
  <c r="DB142" i="1"/>
  <c r="BW144" i="1"/>
  <c r="BL144" i="1"/>
  <c r="BV144" i="1" s="1"/>
  <c r="BV199" i="1"/>
  <c r="AG72" i="1"/>
  <c r="AQ72" i="1" s="1"/>
  <c r="AG118" i="1"/>
  <c r="AQ118" i="1" s="1"/>
  <c r="BW123" i="1"/>
  <c r="BW128" i="1"/>
  <c r="BL128" i="1"/>
  <c r="BV128" i="1" s="1"/>
  <c r="BW140" i="1"/>
  <c r="BL140" i="1"/>
  <c r="BV140" i="1" s="1"/>
  <c r="DB146" i="1"/>
  <c r="CQ146" i="1"/>
  <c r="DA146" i="1" s="1"/>
  <c r="DA153" i="1"/>
  <c r="AQ154" i="1"/>
  <c r="BW164" i="1"/>
  <c r="BL164" i="1"/>
  <c r="BV164" i="1" s="1"/>
  <c r="DB174" i="1"/>
  <c r="CQ174" i="1"/>
  <c r="DA174" i="1" s="1"/>
  <c r="BW110" i="1"/>
  <c r="AL123" i="1"/>
  <c r="AQ123" i="1" s="1"/>
  <c r="AG132" i="1"/>
  <c r="AQ132" i="1" s="1"/>
  <c r="AR132" i="1"/>
  <c r="DB132" i="1"/>
  <c r="CQ132" i="1"/>
  <c r="DA132" i="1" s="1"/>
  <c r="CV138" i="1"/>
  <c r="DA138" i="1" s="1"/>
  <c r="DB138" i="1"/>
  <c r="BW160" i="1"/>
  <c r="BQ160" i="1"/>
  <c r="BV160" i="1" s="1"/>
  <c r="AR138" i="1"/>
  <c r="AG138" i="1"/>
  <c r="AQ138" i="1" s="1"/>
  <c r="BL143" i="1"/>
  <c r="BV143" i="1" s="1"/>
  <c r="BW143" i="1"/>
  <c r="AR150" i="1"/>
  <c r="AG150" i="1"/>
  <c r="AQ150" i="1" s="1"/>
  <c r="BV163" i="1"/>
  <c r="AR171" i="1"/>
  <c r="AG171" i="1"/>
  <c r="AQ171" i="1" s="1"/>
  <c r="BV176" i="1"/>
  <c r="DA187" i="1"/>
  <c r="BQ112" i="1"/>
  <c r="BV112" i="1" s="1"/>
  <c r="BU114" i="1"/>
  <c r="BW116" i="1"/>
  <c r="BL117" i="1"/>
  <c r="BV117" i="1" s="1"/>
  <c r="AR124" i="1"/>
  <c r="AG124" i="1"/>
  <c r="AQ124" i="1" s="1"/>
  <c r="AR131" i="1"/>
  <c r="AG131" i="1"/>
  <c r="AQ131" i="1" s="1"/>
  <c r="DB141" i="1"/>
  <c r="CQ141" i="1"/>
  <c r="DA141" i="1" s="1"/>
  <c r="AR145" i="1"/>
  <c r="AG145" i="1"/>
  <c r="AQ145" i="1" s="1"/>
  <c r="BW147" i="1"/>
  <c r="BL147" i="1"/>
  <c r="BV147" i="1" s="1"/>
  <c r="DA166" i="1"/>
  <c r="AQ167" i="1"/>
  <c r="BV184" i="1"/>
  <c r="CZ80" i="1"/>
  <c r="BU83" i="1"/>
  <c r="AP86" i="1"/>
  <c r="CZ87" i="1"/>
  <c r="BU90" i="1"/>
  <c r="CZ106" i="1"/>
  <c r="BW121" i="1"/>
  <c r="AG125" i="1"/>
  <c r="AQ125" i="1" s="1"/>
  <c r="DB126" i="1"/>
  <c r="AR127" i="1"/>
  <c r="AG127" i="1"/>
  <c r="AQ127" i="1" s="1"/>
  <c r="AR129" i="1"/>
  <c r="CQ129" i="1"/>
  <c r="DA129" i="1" s="1"/>
  <c r="DB129" i="1"/>
  <c r="DB130" i="1"/>
  <c r="BW135" i="1"/>
  <c r="BL135" i="1"/>
  <c r="BV135" i="1" s="1"/>
  <c r="DB137" i="1"/>
  <c r="CQ137" i="1"/>
  <c r="DA137" i="1" s="1"/>
  <c r="BL139" i="1"/>
  <c r="BV139" i="1" s="1"/>
  <c r="BW139" i="1"/>
  <c r="AR141" i="1"/>
  <c r="AR165" i="1"/>
  <c r="AR169" i="1"/>
  <c r="AG169" i="1"/>
  <c r="AQ169" i="1" s="1"/>
  <c r="BW175" i="1"/>
  <c r="DB128" i="1"/>
  <c r="CQ128" i="1"/>
  <c r="DA128" i="1" s="1"/>
  <c r="BW133" i="1"/>
  <c r="CQ136" i="1"/>
  <c r="DA136" i="1" s="1"/>
  <c r="DB136" i="1"/>
  <c r="DB149" i="1"/>
  <c r="CV149" i="1"/>
  <c r="DA149" i="1" s="1"/>
  <c r="BW155" i="1"/>
  <c r="BL155" i="1"/>
  <c r="BV155" i="1" s="1"/>
  <c r="AR173" i="1"/>
  <c r="AG173" i="1"/>
  <c r="AQ173" i="1" s="1"/>
  <c r="DB125" i="1"/>
  <c r="CQ125" i="1"/>
  <c r="DA125" i="1" s="1"/>
  <c r="AG128" i="1"/>
  <c r="AQ128" i="1" s="1"/>
  <c r="AR128" i="1"/>
  <c r="DB131" i="1"/>
  <c r="AL137" i="1"/>
  <c r="AQ137" i="1" s="1"/>
  <c r="AR137" i="1"/>
  <c r="CQ140" i="1"/>
  <c r="DA140" i="1" s="1"/>
  <c r="DB140" i="1"/>
  <c r="DB144" i="1"/>
  <c r="CQ144" i="1"/>
  <c r="DA144" i="1" s="1"/>
  <c r="BW151" i="1"/>
  <c r="BL151" i="1"/>
  <c r="BV151" i="1" s="1"/>
  <c r="BL138" i="1"/>
  <c r="BV138" i="1" s="1"/>
  <c r="AG141" i="1"/>
  <c r="AQ141" i="1" s="1"/>
  <c r="AR142" i="1"/>
  <c r="CQ142" i="1"/>
  <c r="DA142" i="1" s="1"/>
  <c r="DB143" i="1"/>
  <c r="BW146" i="1"/>
  <c r="AR149" i="1"/>
  <c r="DB150" i="1"/>
  <c r="DB154" i="1"/>
  <c r="BW159" i="1"/>
  <c r="BW170" i="1"/>
  <c r="AR175" i="1"/>
  <c r="DB178" i="1"/>
  <c r="AR185" i="1"/>
  <c r="BW195" i="1"/>
  <c r="BW201" i="1"/>
  <c r="BW204" i="1"/>
  <c r="BL204" i="1"/>
  <c r="BV204" i="1" s="1"/>
  <c r="BW161" i="1"/>
  <c r="CQ183" i="1"/>
  <c r="DA183" i="1" s="1"/>
  <c r="DB193" i="1"/>
  <c r="AR194" i="1"/>
  <c r="AG194" i="1"/>
  <c r="AQ194" i="1" s="1"/>
  <c r="AR197" i="1"/>
  <c r="BL201" i="1"/>
  <c r="BV201" i="1" s="1"/>
  <c r="BV206" i="1"/>
  <c r="BW207" i="1"/>
  <c r="AR215" i="1"/>
  <c r="DB145" i="1"/>
  <c r="BW148" i="1"/>
  <c r="AR151" i="1"/>
  <c r="AR155" i="1"/>
  <c r="CQ155" i="1"/>
  <c r="DA155" i="1" s="1"/>
  <c r="BQ156" i="1"/>
  <c r="BV156" i="1" s="1"/>
  <c r="DB156" i="1"/>
  <c r="CV164" i="1"/>
  <c r="DA164" i="1" s="1"/>
  <c r="AG165" i="1"/>
  <c r="AQ165" i="1" s="1"/>
  <c r="CQ168" i="1"/>
  <c r="DA168" i="1" s="1"/>
  <c r="BQ169" i="1"/>
  <c r="BV169" i="1" s="1"/>
  <c r="AP170" i="1"/>
  <c r="BL173" i="1"/>
  <c r="BV173" i="1" s="1"/>
  <c r="AL174" i="1"/>
  <c r="AQ174" i="1" s="1"/>
  <c r="BW174" i="1"/>
  <c r="AR179" i="1"/>
  <c r="AR183" i="1"/>
  <c r="BL187" i="1"/>
  <c r="BV187" i="1" s="1"/>
  <c r="DB188" i="1"/>
  <c r="CQ188" i="1"/>
  <c r="DA188" i="1" s="1"/>
  <c r="DB190" i="1"/>
  <c r="AR191" i="1"/>
  <c r="CQ193" i="1"/>
  <c r="DA193" i="1" s="1"/>
  <c r="AG195" i="1"/>
  <c r="AQ195" i="1" s="1"/>
  <c r="AR195" i="1"/>
  <c r="AR196" i="1"/>
  <c r="CQ196" i="1"/>
  <c r="DA196" i="1" s="1"/>
  <c r="DB196" i="1"/>
  <c r="AQ197" i="1"/>
  <c r="DB197" i="1"/>
  <c r="CV197" i="1"/>
  <c r="DA197" i="1" s="1"/>
  <c r="BL203" i="1"/>
  <c r="BV203" i="1" s="1"/>
  <c r="BW203" i="1"/>
  <c r="AQ215" i="1"/>
  <c r="AQ178" i="1"/>
  <c r="DB187" i="1"/>
  <c r="BW189" i="1"/>
  <c r="DB195" i="1"/>
  <c r="CQ195" i="1"/>
  <c r="DA195" i="1" s="1"/>
  <c r="AR146" i="1"/>
  <c r="DB147" i="1"/>
  <c r="BW150" i="1"/>
  <c r="AR159" i="1"/>
  <c r="DB160" i="1"/>
  <c r="BW165" i="1"/>
  <c r="CQ170" i="1"/>
  <c r="DA170" i="1" s="1"/>
  <c r="DB173" i="1"/>
  <c r="BL175" i="1"/>
  <c r="BV175" i="1" s="1"/>
  <c r="BW178" i="1"/>
  <c r="CV179" i="1"/>
  <c r="DA179" i="1" s="1"/>
  <c r="BL185" i="1"/>
  <c r="BV185" i="1" s="1"/>
  <c r="DB191" i="1"/>
  <c r="BW191" i="1"/>
  <c r="BL191" i="1"/>
  <c r="BV191" i="1" s="1"/>
  <c r="DB192" i="1"/>
  <c r="DB214" i="1"/>
  <c r="CZ214" i="1"/>
  <c r="BL179" i="1"/>
  <c r="BV179" i="1" s="1"/>
  <c r="CQ184" i="1"/>
  <c r="DA184" i="1" s="1"/>
  <c r="AR186" i="1"/>
  <c r="AR187" i="1"/>
  <c r="BW198" i="1"/>
  <c r="BL198" i="1"/>
  <c r="BV198" i="1" s="1"/>
  <c r="DB201" i="1"/>
  <c r="CQ201" i="1"/>
  <c r="DA201" i="1" s="1"/>
  <c r="BV168" i="1"/>
  <c r="AR184" i="1"/>
  <c r="BL192" i="1"/>
  <c r="BV192" i="1" s="1"/>
  <c r="BW192" i="1"/>
  <c r="DB194" i="1"/>
  <c r="BW197" i="1"/>
  <c r="BL197" i="1"/>
  <c r="BV197" i="1" s="1"/>
  <c r="AR201" i="1"/>
  <c r="AG201" i="1"/>
  <c r="AQ201" i="1" s="1"/>
  <c r="AR207" i="1"/>
  <c r="AG207" i="1"/>
  <c r="AQ207" i="1" s="1"/>
  <c r="CQ165" i="1"/>
  <c r="DA165" i="1" s="1"/>
  <c r="BL188" i="1"/>
  <c r="BV188" i="1" s="1"/>
  <c r="AG190" i="1"/>
  <c r="AQ190" i="1" s="1"/>
  <c r="BW190" i="1"/>
  <c r="DB203" i="1"/>
  <c r="AR204" i="1"/>
  <c r="BL196" i="1"/>
  <c r="BV196" i="1" s="1"/>
  <c r="BW196" i="1"/>
  <c r="CQ200" i="1"/>
  <c r="DA200" i="1" s="1"/>
  <c r="DB200" i="1"/>
  <c r="DB202" i="1"/>
  <c r="CQ202" i="1"/>
  <c r="DA202" i="1" s="1"/>
  <c r="AG204" i="1"/>
  <c r="AQ204" i="1" s="1"/>
  <c r="DA206" i="1"/>
  <c r="BV161" i="1"/>
  <c r="BW193" i="1"/>
  <c r="BQ193" i="1"/>
  <c r="BV193" i="1" s="1"/>
  <c r="AR200" i="1"/>
  <c r="AG200" i="1"/>
  <c r="AQ200" i="1" s="1"/>
  <c r="BL214" i="1"/>
  <c r="BV214" i="1" s="1"/>
  <c r="BW214" i="1"/>
  <c r="BV238" i="1"/>
  <c r="AG199" i="1"/>
  <c r="AQ199" i="1" s="1"/>
  <c r="AR199" i="1"/>
  <c r="AR203" i="1"/>
  <c r="DB206" i="1"/>
  <c r="BV216" i="1"/>
  <c r="AG188" i="1"/>
  <c r="AQ188" i="1" s="1"/>
  <c r="AR192" i="1"/>
  <c r="BW194" i="1"/>
  <c r="DB198" i="1"/>
  <c r="BW199" i="1"/>
  <c r="BL205" i="1"/>
  <c r="BV205" i="1" s="1"/>
  <c r="AL206" i="1"/>
  <c r="AQ206" i="1" s="1"/>
  <c r="BW206" i="1"/>
  <c r="CV207" i="1"/>
  <c r="DA207" i="1" s="1"/>
  <c r="AG208" i="1"/>
  <c r="AQ208" i="1" s="1"/>
  <c r="AR209" i="1"/>
  <c r="CQ209" i="1"/>
  <c r="DA209" i="1" s="1"/>
  <c r="BQ210" i="1"/>
  <c r="BV210" i="1" s="1"/>
  <c r="DB210" i="1"/>
  <c r="CQ213" i="1"/>
  <c r="DA213" i="1" s="1"/>
  <c r="BL218" i="1"/>
  <c r="BV218" i="1" s="1"/>
  <c r="BW221" i="1"/>
  <c r="BW223" i="1"/>
  <c r="BW229" i="1"/>
  <c r="BL234" i="1"/>
  <c r="BV234" i="1" s="1"/>
  <c r="AP239" i="1"/>
  <c r="BQ240" i="1"/>
  <c r="BV240" i="1" s="1"/>
  <c r="CQ248" i="1"/>
  <c r="DA248" i="1" s="1"/>
  <c r="DB265" i="1"/>
  <c r="CQ265" i="1"/>
  <c r="DA265" i="1" s="1"/>
  <c r="AG214" i="1"/>
  <c r="AQ214" i="1" s="1"/>
  <c r="CQ215" i="1"/>
  <c r="DA215" i="1" s="1"/>
  <c r="CZ226" i="1"/>
  <c r="AL227" i="1"/>
  <c r="AQ227" i="1" s="1"/>
  <c r="BL228" i="1"/>
  <c r="BV228" i="1" s="1"/>
  <c r="BL230" i="1"/>
  <c r="BV230" i="1" s="1"/>
  <c r="DB230" i="1"/>
  <c r="BV232" i="1"/>
  <c r="DB234" i="1"/>
  <c r="CQ237" i="1"/>
  <c r="DA237" i="1" s="1"/>
  <c r="CQ239" i="1"/>
  <c r="DA239" i="1" s="1"/>
  <c r="DB220" i="1"/>
  <c r="BL226" i="1"/>
  <c r="BV226" i="1" s="1"/>
  <c r="DB232" i="1"/>
  <c r="AR237" i="1"/>
  <c r="AG238" i="1"/>
  <c r="AQ238" i="1" s="1"/>
  <c r="BW243" i="1"/>
  <c r="AG247" i="1"/>
  <c r="AQ247" i="1" s="1"/>
  <c r="DB247" i="1"/>
  <c r="CV247" i="1"/>
  <c r="DA247" i="1" s="1"/>
  <c r="BL251" i="1"/>
  <c r="BV251" i="1" s="1"/>
  <c r="BW252" i="1"/>
  <c r="AR275" i="1"/>
  <c r="AG275" i="1"/>
  <c r="AQ275" i="1" s="1"/>
  <c r="BU236" i="1"/>
  <c r="AQ240" i="1"/>
  <c r="AR243" i="1"/>
  <c r="AG243" i="1"/>
  <c r="AQ243" i="1" s="1"/>
  <c r="AR245" i="1"/>
  <c r="DB246" i="1"/>
  <c r="CQ246" i="1"/>
  <c r="DA246" i="1" s="1"/>
  <c r="AR248" i="1"/>
  <c r="CQ255" i="1"/>
  <c r="DA255" i="1" s="1"/>
  <c r="DB256" i="1"/>
  <c r="AR267" i="1"/>
  <c r="AP267" i="1"/>
  <c r="DB268" i="1"/>
  <c r="CZ268" i="1"/>
  <c r="DB270" i="1"/>
  <c r="AQ300" i="1"/>
  <c r="BQ200" i="1"/>
  <c r="BV200" i="1" s="1"/>
  <c r="BW216" i="1"/>
  <c r="DB244" i="1"/>
  <c r="CQ244" i="1"/>
  <c r="DA244" i="1" s="1"/>
  <c r="BW250" i="1"/>
  <c r="BQ250" i="1"/>
  <c r="BV250" i="1" s="1"/>
  <c r="DB253" i="1"/>
  <c r="CQ253" i="1"/>
  <c r="DA253" i="1" s="1"/>
  <c r="AG220" i="1"/>
  <c r="AQ220" i="1" s="1"/>
  <c r="BU220" i="1"/>
  <c r="CQ225" i="1"/>
  <c r="DA225" i="1" s="1"/>
  <c r="CQ227" i="1"/>
  <c r="DA227" i="1" s="1"/>
  <c r="AG230" i="1"/>
  <c r="AQ230" i="1" s="1"/>
  <c r="CQ243" i="1"/>
  <c r="DA243" i="1" s="1"/>
  <c r="DB243" i="1"/>
  <c r="AR246" i="1"/>
  <c r="AL246" i="1"/>
  <c r="AQ246" i="1" s="1"/>
  <c r="BW249" i="1"/>
  <c r="BL249" i="1"/>
  <c r="BV249" i="1" s="1"/>
  <c r="DA304" i="1"/>
  <c r="CQ208" i="1"/>
  <c r="DA208" i="1" s="1"/>
  <c r="AQ228" i="1"/>
  <c r="BV237" i="1"/>
  <c r="AR252" i="1"/>
  <c r="AG252" i="1"/>
  <c r="AQ252" i="1" s="1"/>
  <c r="AR253" i="1"/>
  <c r="AR255" i="1"/>
  <c r="BW257" i="1"/>
  <c r="DB261" i="1"/>
  <c r="BV264" i="1"/>
  <c r="DB211" i="1"/>
  <c r="AQ226" i="1"/>
  <c r="BV233" i="1"/>
  <c r="BW256" i="1"/>
  <c r="BL256" i="1"/>
  <c r="BV256" i="1" s="1"/>
  <c r="AP234" i="1"/>
  <c r="BQ239" i="1"/>
  <c r="BV239" i="1" s="1"/>
  <c r="BW247" i="1"/>
  <c r="BL247" i="1"/>
  <c r="BV247" i="1" s="1"/>
  <c r="DB251" i="1"/>
  <c r="CQ251" i="1"/>
  <c r="DA251" i="1" s="1"/>
  <c r="AR259" i="1"/>
  <c r="AG259" i="1"/>
  <c r="AQ259" i="1" s="1"/>
  <c r="BW264" i="1"/>
  <c r="BU264" i="1"/>
  <c r="BW268" i="1"/>
  <c r="BL268" i="1"/>
  <c r="BV268" i="1" s="1"/>
  <c r="BW271" i="1"/>
  <c r="BU271" i="1"/>
  <c r="BW279" i="1"/>
  <c r="BQ279" i="1"/>
  <c r="BV279" i="1" s="1"/>
  <c r="BV223" i="1"/>
  <c r="DA236" i="1"/>
  <c r="DB273" i="1"/>
  <c r="AP224" i="1"/>
  <c r="AR241" i="1"/>
  <c r="AR250" i="1"/>
  <c r="AG250" i="1"/>
  <c r="AQ250" i="1" s="1"/>
  <c r="DB258" i="1"/>
  <c r="CQ258" i="1"/>
  <c r="DA258" i="1" s="1"/>
  <c r="BU219" i="1"/>
  <c r="AP226" i="1"/>
  <c r="AL241" i="1"/>
  <c r="AQ241" i="1" s="1"/>
  <c r="BW254" i="1"/>
  <c r="BL254" i="1"/>
  <c r="BV254" i="1" s="1"/>
  <c r="DA257" i="1"/>
  <c r="AQ219" i="1"/>
  <c r="DA222" i="1"/>
  <c r="AQ233" i="1"/>
  <c r="BV244" i="1"/>
  <c r="AR257" i="1"/>
  <c r="AG257" i="1"/>
  <c r="AQ257" i="1" s="1"/>
  <c r="BW261" i="1"/>
  <c r="BL261" i="1"/>
  <c r="BV261" i="1" s="1"/>
  <c r="AQ269" i="1"/>
  <c r="AR271" i="1"/>
  <c r="AG271" i="1"/>
  <c r="AQ271" i="1" s="1"/>
  <c r="BW275" i="1"/>
  <c r="BU275" i="1"/>
  <c r="AQ229" i="1"/>
  <c r="AR264" i="1"/>
  <c r="AG264" i="1"/>
  <c r="AQ264" i="1" s="1"/>
  <c r="AR281" i="1"/>
  <c r="DB282" i="1"/>
  <c r="DA296" i="1"/>
  <c r="BV309" i="1"/>
  <c r="AR321" i="1"/>
  <c r="AG321" i="1"/>
  <c r="AQ321" i="1" s="1"/>
  <c r="BV337" i="1"/>
  <c r="DA364" i="1"/>
  <c r="AQ295" i="1"/>
  <c r="BL277" i="1"/>
  <c r="BV277" i="1" s="1"/>
  <c r="AL278" i="1"/>
  <c r="AQ278" i="1" s="1"/>
  <c r="BW278" i="1"/>
  <c r="CV281" i="1"/>
  <c r="DA281" i="1" s="1"/>
  <c r="AG282" i="1"/>
  <c r="AQ282" i="1" s="1"/>
  <c r="AR283" i="1"/>
  <c r="BQ286" i="1"/>
  <c r="BV286" i="1" s="1"/>
  <c r="AL291" i="1"/>
  <c r="AQ291" i="1" s="1"/>
  <c r="BW291" i="1"/>
  <c r="CV294" i="1"/>
  <c r="DA294" i="1" s="1"/>
  <c r="BW297" i="1"/>
  <c r="CQ303" i="1"/>
  <c r="DA303" i="1" s="1"/>
  <c r="AR304" i="1"/>
  <c r="BW310" i="1"/>
  <c r="BV334" i="1"/>
  <c r="BW246" i="1"/>
  <c r="AR249" i="1"/>
  <c r="DB250" i="1"/>
  <c r="AL253" i="1"/>
  <c r="AQ253" i="1" s="1"/>
  <c r="CV254" i="1"/>
  <c r="DA254" i="1" s="1"/>
  <c r="AR256" i="1"/>
  <c r="BQ257" i="1"/>
  <c r="BV257" i="1" s="1"/>
  <c r="DB257" i="1"/>
  <c r="AL260" i="1"/>
  <c r="AQ260" i="1" s="1"/>
  <c r="CV261" i="1"/>
  <c r="DA261" i="1" s="1"/>
  <c r="DB275" i="1"/>
  <c r="BV290" i="1"/>
  <c r="BW309" i="1"/>
  <c r="AQ320" i="1"/>
  <c r="DA328" i="1"/>
  <c r="DA355" i="1"/>
  <c r="DB311" i="1"/>
  <c r="CQ311" i="1"/>
  <c r="DA311" i="1" s="1"/>
  <c r="AG344" i="1"/>
  <c r="AQ344" i="1" s="1"/>
  <c r="AR344" i="1"/>
  <c r="AR244" i="1"/>
  <c r="DB245" i="1"/>
  <c r="BW248" i="1"/>
  <c r="AR251" i="1"/>
  <c r="DB252" i="1"/>
  <c r="BW255" i="1"/>
  <c r="AR258" i="1"/>
  <c r="AL284" i="1"/>
  <c r="AQ284" i="1" s="1"/>
  <c r="CV285" i="1"/>
  <c r="DA285" i="1" s="1"/>
  <c r="AG286" i="1"/>
  <c r="AQ286" i="1" s="1"/>
  <c r="AG288" i="1"/>
  <c r="AQ288" i="1" s="1"/>
  <c r="CQ289" i="1"/>
  <c r="DA289" i="1" s="1"/>
  <c r="AG305" i="1"/>
  <c r="AQ305" i="1" s="1"/>
  <c r="AR310" i="1"/>
  <c r="AG310" i="1"/>
  <c r="AQ310" i="1" s="1"/>
  <c r="DB310" i="1"/>
  <c r="CQ310" i="1"/>
  <c r="DA310" i="1" s="1"/>
  <c r="AR313" i="1"/>
  <c r="BW316" i="1"/>
  <c r="DB320" i="1"/>
  <c r="AG342" i="1"/>
  <c r="AQ342" i="1" s="1"/>
  <c r="AR342" i="1"/>
  <c r="CQ297" i="1"/>
  <c r="DA297" i="1" s="1"/>
  <c r="BQ298" i="1"/>
  <c r="BV298" i="1" s="1"/>
  <c r="AP299" i="1"/>
  <c r="AR309" i="1"/>
  <c r="AG309" i="1"/>
  <c r="AQ309" i="1" s="1"/>
  <c r="AQ350" i="1"/>
  <c r="CQ260" i="1"/>
  <c r="DA260" i="1" s="1"/>
  <c r="BL263" i="1"/>
  <c r="BV263" i="1" s="1"/>
  <c r="CQ267" i="1"/>
  <c r="DA267" i="1" s="1"/>
  <c r="BL270" i="1"/>
  <c r="BV270" i="1" s="1"/>
  <c r="BL274" i="1"/>
  <c r="BV274" i="1" s="1"/>
  <c r="CQ280" i="1"/>
  <c r="DA280" i="1" s="1"/>
  <c r="BL285" i="1"/>
  <c r="BV285" i="1" s="1"/>
  <c r="AG290" i="1"/>
  <c r="AQ290" i="1" s="1"/>
  <c r="CQ299" i="1"/>
  <c r="DA299" i="1" s="1"/>
  <c r="AR312" i="1"/>
  <c r="AR317" i="1"/>
  <c r="DB317" i="1"/>
  <c r="CQ317" i="1"/>
  <c r="DA317" i="1" s="1"/>
  <c r="BW323" i="1"/>
  <c r="CV295" i="1"/>
  <c r="DA295" i="1" s="1"/>
  <c r="CQ301" i="1"/>
  <c r="DA301" i="1" s="1"/>
  <c r="CQ306" i="1"/>
  <c r="DA306" i="1" s="1"/>
  <c r="BW313" i="1"/>
  <c r="BL313" i="1"/>
  <c r="BV313" i="1" s="1"/>
  <c r="AR316" i="1"/>
  <c r="AG316" i="1"/>
  <c r="AQ316" i="1" s="1"/>
  <c r="DB318" i="1"/>
  <c r="CZ318" i="1"/>
  <c r="AR319" i="1"/>
  <c r="BV329" i="1"/>
  <c r="AQ335" i="1"/>
  <c r="DA341" i="1"/>
  <c r="BV345" i="1"/>
  <c r="BV276" i="1"/>
  <c r="DB304" i="1"/>
  <c r="BW320" i="1"/>
  <c r="BL320" i="1"/>
  <c r="BV320" i="1" s="1"/>
  <c r="DB327" i="1"/>
  <c r="AL279" i="1"/>
  <c r="AQ279" i="1" s="1"/>
  <c r="BV304" i="1"/>
  <c r="AR307" i="1"/>
  <c r="DB315" i="1"/>
  <c r="CQ315" i="1"/>
  <c r="DA315" i="1" s="1"/>
  <c r="AR323" i="1"/>
  <c r="AG323" i="1"/>
  <c r="AQ323" i="1" s="1"/>
  <c r="DB324" i="1"/>
  <c r="CQ324" i="1"/>
  <c r="DA324" i="1" s="1"/>
  <c r="BW344" i="1"/>
  <c r="DA346" i="1"/>
  <c r="DB308" i="1"/>
  <c r="BW312" i="1"/>
  <c r="BQ312" i="1"/>
  <c r="BV312" i="1" s="1"/>
  <c r="AR326" i="1"/>
  <c r="BW303" i="1"/>
  <c r="BL305" i="1"/>
  <c r="BV305" i="1" s="1"/>
  <c r="BW305" i="1"/>
  <c r="BW311" i="1"/>
  <c r="BL311" i="1"/>
  <c r="BV311" i="1" s="1"/>
  <c r="DA314" i="1"/>
  <c r="DB322" i="1"/>
  <c r="CQ322" i="1"/>
  <c r="DA322" i="1" s="1"/>
  <c r="BW327" i="1"/>
  <c r="BL327" i="1"/>
  <c r="BV327" i="1" s="1"/>
  <c r="DB339" i="1"/>
  <c r="BW306" i="1"/>
  <c r="BL306" i="1"/>
  <c r="BV306" i="1" s="1"/>
  <c r="BW307" i="1"/>
  <c r="BL307" i="1"/>
  <c r="BV307" i="1" s="1"/>
  <c r="AR314" i="1"/>
  <c r="AG314" i="1"/>
  <c r="AQ314" i="1" s="1"/>
  <c r="BW318" i="1"/>
  <c r="BL318" i="1"/>
  <c r="BV318" i="1" s="1"/>
  <c r="DA321" i="1"/>
  <c r="DA339" i="1"/>
  <c r="CQ345" i="1"/>
  <c r="DA345" i="1" s="1"/>
  <c r="DB345" i="1"/>
  <c r="BW335" i="1"/>
  <c r="AR340" i="1"/>
  <c r="DB341" i="1"/>
  <c r="DB355" i="1"/>
  <c r="AR358" i="1"/>
  <c r="BW361" i="1"/>
  <c r="BW369" i="1"/>
  <c r="DB381" i="1"/>
  <c r="CV381" i="1"/>
  <c r="DB388" i="1"/>
  <c r="DA391" i="1"/>
  <c r="BW400" i="1"/>
  <c r="BL314" i="1"/>
  <c r="BV314" i="1" s="1"/>
  <c r="AL315" i="1"/>
  <c r="AQ315" i="1" s="1"/>
  <c r="CV316" i="1"/>
  <c r="DA316" i="1" s="1"/>
  <c r="AG317" i="1"/>
  <c r="AQ317" i="1" s="1"/>
  <c r="BL321" i="1"/>
  <c r="BV321" i="1" s="1"/>
  <c r="AG324" i="1"/>
  <c r="AQ324" i="1" s="1"/>
  <c r="CQ325" i="1"/>
  <c r="DA325" i="1" s="1"/>
  <c r="BQ326" i="1"/>
  <c r="BV326" i="1" s="1"/>
  <c r="AL329" i="1"/>
  <c r="AQ329" i="1" s="1"/>
  <c r="AL337" i="1"/>
  <c r="AQ337" i="1" s="1"/>
  <c r="CV338" i="1"/>
  <c r="DA338" i="1" s="1"/>
  <c r="AL348" i="1"/>
  <c r="AQ348" i="1" s="1"/>
  <c r="AR356" i="1"/>
  <c r="CV356" i="1"/>
  <c r="DA356" i="1" s="1"/>
  <c r="BW367" i="1"/>
  <c r="BW375" i="1"/>
  <c r="AR379" i="1"/>
  <c r="AG379" i="1"/>
  <c r="AQ379" i="1" s="1"/>
  <c r="AR380" i="1"/>
  <c r="AL380" i="1"/>
  <c r="AQ380" i="1" s="1"/>
  <c r="DB380" i="1"/>
  <c r="CQ380" i="1"/>
  <c r="DA380" i="1" s="1"/>
  <c r="BW384" i="1"/>
  <c r="BQ384" i="1"/>
  <c r="BV384" i="1" s="1"/>
  <c r="DB394" i="1"/>
  <c r="BV400" i="1"/>
  <c r="BW350" i="1"/>
  <c r="DB351" i="1"/>
  <c r="AQ359" i="1"/>
  <c r="BW359" i="1"/>
  <c r="AR364" i="1"/>
  <c r="AQ374" i="1"/>
  <c r="AR376" i="1"/>
  <c r="AQ377" i="1"/>
  <c r="BW386" i="1"/>
  <c r="BL386" i="1"/>
  <c r="BV386" i="1" s="1"/>
  <c r="AR393" i="1"/>
  <c r="AR375" i="1"/>
  <c r="AG375" i="1"/>
  <c r="AQ375" i="1" s="1"/>
  <c r="DB376" i="1"/>
  <c r="CQ376" i="1"/>
  <c r="DA376" i="1" s="1"/>
  <c r="DA378" i="1"/>
  <c r="AQ393" i="1"/>
  <c r="DA393" i="1"/>
  <c r="BL340" i="1"/>
  <c r="BV340" i="1" s="1"/>
  <c r="CZ340" i="1"/>
  <c r="AL341" i="1"/>
  <c r="AQ341" i="1" s="1"/>
  <c r="CV344" i="1"/>
  <c r="DA344" i="1" s="1"/>
  <c r="AG345" i="1"/>
  <c r="AQ345" i="1" s="1"/>
  <c r="BU345" i="1"/>
  <c r="BQ349" i="1"/>
  <c r="BV349" i="1" s="1"/>
  <c r="AP350" i="1"/>
  <c r="AR361" i="1"/>
  <c r="AR308" i="1"/>
  <c r="DB309" i="1"/>
  <c r="BL325" i="1"/>
  <c r="BV325" i="1" s="1"/>
  <c r="AG328" i="1"/>
  <c r="AQ328" i="1" s="1"/>
  <c r="BU328" i="1"/>
  <c r="CQ329" i="1"/>
  <c r="DA329" i="1" s="1"/>
  <c r="CQ337" i="1"/>
  <c r="DA337" i="1" s="1"/>
  <c r="AP339" i="1"/>
  <c r="BL342" i="1"/>
  <c r="BV342" i="1" s="1"/>
  <c r="CZ342" i="1"/>
  <c r="AG347" i="1"/>
  <c r="AQ347" i="1" s="1"/>
  <c r="BU347" i="1"/>
  <c r="CQ348" i="1"/>
  <c r="DA348" i="1" s="1"/>
  <c r="BL356" i="1"/>
  <c r="BV356" i="1" s="1"/>
  <c r="AP357" i="1"/>
  <c r="BV364" i="1"/>
  <c r="DB365" i="1"/>
  <c r="AR368" i="1"/>
  <c r="AG368" i="1"/>
  <c r="AQ368" i="1" s="1"/>
  <c r="BL371" i="1"/>
  <c r="BV371" i="1" s="1"/>
  <c r="BW371" i="1"/>
  <c r="BW372" i="1"/>
  <c r="BL372" i="1"/>
  <c r="BV372" i="1" s="1"/>
  <c r="AP374" i="1"/>
  <c r="AR374" i="1"/>
  <c r="AR377" i="1"/>
  <c r="BL388" i="1"/>
  <c r="BV388" i="1" s="1"/>
  <c r="BW351" i="1"/>
  <c r="BW365" i="1"/>
  <c r="BL365" i="1"/>
  <c r="BV365" i="1" s="1"/>
  <c r="BL381" i="1"/>
  <c r="BV381" i="1" s="1"/>
  <c r="BV396" i="1"/>
  <c r="AQ402" i="1"/>
  <c r="AG330" i="1"/>
  <c r="AQ330" i="1" s="1"/>
  <c r="BL333" i="1"/>
  <c r="BV333" i="1" s="1"/>
  <c r="AL334" i="1"/>
  <c r="AQ334" i="1" s="1"/>
  <c r="AG338" i="1"/>
  <c r="AQ338" i="1" s="1"/>
  <c r="AG349" i="1"/>
  <c r="AQ349" i="1" s="1"/>
  <c r="DB353" i="1"/>
  <c r="CQ357" i="1"/>
  <c r="DA357" i="1" s="1"/>
  <c r="BU360" i="1"/>
  <c r="AR367" i="1"/>
  <c r="DA368" i="1"/>
  <c r="CZ375" i="1"/>
  <c r="DB375" i="1"/>
  <c r="AR378" i="1"/>
  <c r="BW379" i="1"/>
  <c r="BL379" i="1"/>
  <c r="BV379" i="1" s="1"/>
  <c r="CZ335" i="1"/>
  <c r="BL346" i="1"/>
  <c r="BV346" i="1" s="1"/>
  <c r="CQ353" i="1"/>
  <c r="DA353" i="1" s="1"/>
  <c r="CV359" i="1"/>
  <c r="DA359" i="1" s="1"/>
  <c r="AG360" i="1"/>
  <c r="AQ360" i="1" s="1"/>
  <c r="BW363" i="1"/>
  <c r="DB369" i="1"/>
  <c r="CQ369" i="1"/>
  <c r="DA369" i="1" s="1"/>
  <c r="BW370" i="1"/>
  <c r="DB374" i="1"/>
  <c r="AG384" i="1"/>
  <c r="AQ384" i="1" s="1"/>
  <c r="AQ363" i="1"/>
  <c r="AQ370" i="1"/>
  <c r="BV374" i="1"/>
  <c r="DB383" i="1"/>
  <c r="CQ383" i="1"/>
  <c r="DA383" i="1" s="1"/>
  <c r="CQ385" i="1"/>
  <c r="DA385" i="1" s="1"/>
  <c r="AG399" i="1"/>
  <c r="AQ399" i="1" s="1"/>
  <c r="AR399" i="1"/>
  <c r="DB331" i="1"/>
  <c r="DB350" i="1"/>
  <c r="DB367" i="1"/>
  <c r="BW376" i="1"/>
  <c r="BL376" i="1"/>
  <c r="BV376" i="1" s="1"/>
  <c r="BW377" i="1"/>
  <c r="BQ377" i="1"/>
  <c r="BV377" i="1" s="1"/>
  <c r="BV378" i="1"/>
  <c r="BV339" i="1"/>
  <c r="BV367" i="1"/>
  <c r="DB368" i="1"/>
  <c r="AR382" i="1"/>
  <c r="AG382" i="1"/>
  <c r="AQ382" i="1" s="1"/>
  <c r="AR385" i="1"/>
  <c r="AR387" i="1"/>
  <c r="AL387" i="1"/>
  <c r="AQ387" i="1" s="1"/>
  <c r="AR409" i="1"/>
  <c r="AG409" i="1"/>
  <c r="AQ409" i="1" s="1"/>
  <c r="AG352" i="1"/>
  <c r="AQ352" i="1" s="1"/>
  <c r="DA360" i="1"/>
  <c r="AR365" i="1"/>
  <c r="DA371" i="1"/>
  <c r="CQ398" i="1"/>
  <c r="DA398" i="1" s="1"/>
  <c r="AR331" i="1"/>
  <c r="DB360" i="1"/>
  <c r="AG365" i="1"/>
  <c r="AQ365" i="1" s="1"/>
  <c r="AQ381" i="1"/>
  <c r="DA381" i="1"/>
  <c r="AQ390" i="1"/>
  <c r="DB390" i="1"/>
  <c r="AG391" i="1"/>
  <c r="AQ391" i="1" s="1"/>
  <c r="AR395" i="1"/>
  <c r="AG395" i="1"/>
  <c r="AQ395" i="1" s="1"/>
  <c r="DB396" i="1"/>
  <c r="CQ396" i="1"/>
  <c r="DA396" i="1" s="1"/>
  <c r="BV403" i="1"/>
  <c r="BW378" i="1"/>
  <c r="AR381" i="1"/>
  <c r="DB382" i="1"/>
  <c r="BW406" i="1"/>
  <c r="AQ411" i="1"/>
  <c r="DB414" i="1"/>
  <c r="CQ414" i="1"/>
  <c r="DA414" i="1" s="1"/>
  <c r="DB415" i="1"/>
  <c r="BW397" i="1"/>
  <c r="DB401" i="1"/>
  <c r="AR416" i="1"/>
  <c r="BW417" i="1"/>
  <c r="BL417" i="1"/>
  <c r="BV417" i="1" s="1"/>
  <c r="BW387" i="1"/>
  <c r="CV388" i="1"/>
  <c r="DA388" i="1" s="1"/>
  <c r="AG389" i="1"/>
  <c r="AQ389" i="1" s="1"/>
  <c r="AR390" i="1"/>
  <c r="CQ390" i="1"/>
  <c r="DA390" i="1" s="1"/>
  <c r="BQ391" i="1"/>
  <c r="BV391" i="1" s="1"/>
  <c r="DB391" i="1"/>
  <c r="BL397" i="1"/>
  <c r="BV397" i="1" s="1"/>
  <c r="CQ401" i="1"/>
  <c r="DA401" i="1" s="1"/>
  <c r="AR402" i="1"/>
  <c r="AR404" i="1"/>
  <c r="AR410" i="1"/>
  <c r="BW429" i="1"/>
  <c r="BV431" i="1"/>
  <c r="BW425" i="1"/>
  <c r="BU425" i="1"/>
  <c r="BV428" i="1"/>
  <c r="BW404" i="1"/>
  <c r="CQ423" i="1"/>
  <c r="DA423" i="1" s="1"/>
  <c r="BL383" i="1"/>
  <c r="BV383" i="1" s="1"/>
  <c r="DB407" i="1"/>
  <c r="AR425" i="1"/>
  <c r="AG425" i="1"/>
  <c r="AQ425" i="1" s="1"/>
  <c r="AR427" i="1"/>
  <c r="BW427" i="1"/>
  <c r="BL394" i="1"/>
  <c r="BV394" i="1" s="1"/>
  <c r="AG397" i="1"/>
  <c r="AQ397" i="1" s="1"/>
  <c r="AR400" i="1"/>
  <c r="AR408" i="1"/>
  <c r="BL411" i="1"/>
  <c r="BV411" i="1" s="1"/>
  <c r="AR413" i="1"/>
  <c r="AG413" i="1"/>
  <c r="AQ413" i="1" s="1"/>
  <c r="DB417" i="1"/>
  <c r="AR418" i="1"/>
  <c r="AR423" i="1"/>
  <c r="DA425" i="1"/>
  <c r="DB426" i="1"/>
  <c r="CQ426" i="1"/>
  <c r="DA426" i="1" s="1"/>
  <c r="AQ427" i="1"/>
  <c r="AR443" i="1"/>
  <c r="BW403" i="1"/>
  <c r="BQ407" i="1"/>
  <c r="BV407" i="1" s="1"/>
  <c r="BW419" i="1"/>
  <c r="AR439" i="1"/>
  <c r="AG439" i="1"/>
  <c r="AQ439" i="1" s="1"/>
  <c r="CQ412" i="1"/>
  <c r="DA412" i="1" s="1"/>
  <c r="BU414" i="1"/>
  <c r="DA418" i="1"/>
  <c r="AR420" i="1"/>
  <c r="AG420" i="1"/>
  <c r="AQ420" i="1" s="1"/>
  <c r="BU421" i="1"/>
  <c r="CQ430" i="1"/>
  <c r="DA430" i="1" s="1"/>
  <c r="AR407" i="1"/>
  <c r="BW410" i="1"/>
  <c r="AR421" i="1"/>
  <c r="AG429" i="1"/>
  <c r="AQ429" i="1" s="1"/>
  <c r="BW399" i="1"/>
  <c r="DB403" i="1"/>
  <c r="AR406" i="1"/>
  <c r="DB416" i="1"/>
  <c r="AP417" i="1"/>
  <c r="DB419" i="1"/>
  <c r="AG421" i="1"/>
  <c r="AQ421" i="1" s="1"/>
  <c r="BW424" i="1"/>
  <c r="DB424" i="1"/>
  <c r="BL399" i="1"/>
  <c r="BV399" i="1" s="1"/>
  <c r="DB402" i="1"/>
  <c r="CQ403" i="1"/>
  <c r="DA403" i="1" s="1"/>
  <c r="DA419" i="1"/>
  <c r="DB421" i="1"/>
  <c r="CQ421" i="1"/>
  <c r="DA421" i="1" s="1"/>
  <c r="BV424" i="1"/>
  <c r="DB410" i="1"/>
  <c r="BW413" i="1"/>
  <c r="BW418" i="1"/>
  <c r="AR428" i="1"/>
  <c r="AP428" i="1"/>
  <c r="AR436" i="1"/>
  <c r="BV444" i="1"/>
  <c r="BW423" i="1"/>
  <c r="AR426" i="1"/>
  <c r="DB427" i="1"/>
  <c r="BL429" i="1"/>
  <c r="BV429" i="1" s="1"/>
  <c r="CZ429" i="1"/>
  <c r="BW430" i="1"/>
  <c r="AG432" i="1"/>
  <c r="AQ432" i="1" s="1"/>
  <c r="BU432" i="1"/>
  <c r="AR433" i="1"/>
  <c r="CQ433" i="1"/>
  <c r="DA433" i="1" s="1"/>
  <c r="AR435" i="1"/>
  <c r="BW438" i="1"/>
  <c r="AR442" i="1"/>
  <c r="BU443" i="1"/>
  <c r="CQ447" i="1"/>
  <c r="DA447" i="1" s="1"/>
  <c r="AG450" i="1"/>
  <c r="AQ450" i="1" s="1"/>
  <c r="AQ458" i="1"/>
  <c r="BQ491" i="1"/>
  <c r="BW491" i="1"/>
  <c r="DA500" i="1"/>
  <c r="AL501" i="1"/>
  <c r="AR501" i="1"/>
  <c r="AG503" i="1"/>
  <c r="AQ503" i="1" s="1"/>
  <c r="AR503" i="1"/>
  <c r="AQ443" i="1"/>
  <c r="BW450" i="1"/>
  <c r="AR460" i="1"/>
  <c r="DA460" i="1"/>
  <c r="BW461" i="1"/>
  <c r="DB463" i="1"/>
  <c r="AR465" i="1"/>
  <c r="AG466" i="1"/>
  <c r="AQ466" i="1" s="1"/>
  <c r="BL467" i="1"/>
  <c r="BV467" i="1" s="1"/>
  <c r="DB467" i="1"/>
  <c r="AR468" i="1"/>
  <c r="AR469" i="1"/>
  <c r="BW469" i="1"/>
  <c r="BV476" i="1"/>
  <c r="AR478" i="1"/>
  <c r="AQ479" i="1"/>
  <c r="AR485" i="1"/>
  <c r="DA486" i="1"/>
  <c r="AQ488" i="1"/>
  <c r="BL493" i="1"/>
  <c r="BV493" i="1" s="1"/>
  <c r="BW493" i="1"/>
  <c r="AR499" i="1"/>
  <c r="AP499" i="1"/>
  <c r="DA503" i="1"/>
  <c r="CV504" i="1"/>
  <c r="DA504" i="1" s="1"/>
  <c r="DB504" i="1"/>
  <c r="DB517" i="1"/>
  <c r="CV517" i="1"/>
  <c r="DA517" i="1" s="1"/>
  <c r="CQ428" i="1"/>
  <c r="DA428" i="1" s="1"/>
  <c r="AR440" i="1"/>
  <c r="DB444" i="1"/>
  <c r="BW449" i="1"/>
  <c r="BV462" i="1"/>
  <c r="DA473" i="1"/>
  <c r="AQ474" i="1"/>
  <c r="AQ480" i="1"/>
  <c r="AL487" i="1"/>
  <c r="AQ487" i="1" s="1"/>
  <c r="AR487" i="1"/>
  <c r="AG489" i="1"/>
  <c r="AQ489" i="1" s="1"/>
  <c r="AR489" i="1"/>
  <c r="AR509" i="1"/>
  <c r="AL509" i="1"/>
  <c r="AQ509" i="1" s="1"/>
  <c r="BW436" i="1"/>
  <c r="BV471" i="1"/>
  <c r="BV477" i="1"/>
  <c r="CQ490" i="1"/>
  <c r="DA490" i="1" s="1"/>
  <c r="DB490" i="1"/>
  <c r="DB500" i="1"/>
  <c r="CZ500" i="1"/>
  <c r="CV502" i="1"/>
  <c r="DA502" i="1" s="1"/>
  <c r="DB502" i="1"/>
  <c r="AG516" i="1"/>
  <c r="AQ516" i="1" s="1"/>
  <c r="AR516" i="1"/>
  <c r="AQ531" i="1"/>
  <c r="DA469" i="1"/>
  <c r="BW476" i="1"/>
  <c r="BU476" i="1"/>
  <c r="AR479" i="1"/>
  <c r="AP479" i="1"/>
  <c r="BW482" i="1"/>
  <c r="AR486" i="1"/>
  <c r="AP486" i="1"/>
  <c r="DB435" i="1"/>
  <c r="DB442" i="1"/>
  <c r="BW446" i="1"/>
  <c r="BL447" i="1"/>
  <c r="BV447" i="1" s="1"/>
  <c r="DB454" i="1"/>
  <c r="AG459" i="1"/>
  <c r="AQ459" i="1" s="1"/>
  <c r="BL460" i="1"/>
  <c r="BV460" i="1" s="1"/>
  <c r="DB460" i="1"/>
  <c r="CQ461" i="1"/>
  <c r="DA461" i="1" s="1"/>
  <c r="AL464" i="1"/>
  <c r="AQ464" i="1" s="1"/>
  <c r="DB465" i="1"/>
  <c r="AG470" i="1"/>
  <c r="AQ470" i="1" s="1"/>
  <c r="BV478" i="1"/>
  <c r="BW483" i="1"/>
  <c r="BU483" i="1"/>
  <c r="BQ484" i="1"/>
  <c r="BV484" i="1" s="1"/>
  <c r="BW484" i="1"/>
  <c r="BV485" i="1"/>
  <c r="DB486" i="1"/>
  <c r="CV488" i="1"/>
  <c r="DA488" i="1" s="1"/>
  <c r="DB488" i="1"/>
  <c r="BV499" i="1"/>
  <c r="DA515" i="1"/>
  <c r="AQ522" i="1"/>
  <c r="BV528" i="1"/>
  <c r="CQ454" i="1"/>
  <c r="DA454" i="1" s="1"/>
  <c r="AR461" i="1"/>
  <c r="AR462" i="1"/>
  <c r="DB473" i="1"/>
  <c r="AR474" i="1"/>
  <c r="AR476" i="1"/>
  <c r="AG476" i="1"/>
  <c r="AQ476" i="1" s="1"/>
  <c r="AR480" i="1"/>
  <c r="AG482" i="1"/>
  <c r="AQ482" i="1" s="1"/>
  <c r="AR482" i="1"/>
  <c r="BW496" i="1"/>
  <c r="BU496" i="1"/>
  <c r="BQ498" i="1"/>
  <c r="BV498" i="1" s="1"/>
  <c r="BW498" i="1"/>
  <c r="BL500" i="1"/>
  <c r="BV500" i="1" s="1"/>
  <c r="BW500" i="1"/>
  <c r="BV512" i="1"/>
  <c r="DA520" i="1"/>
  <c r="CQ530" i="1"/>
  <c r="DA530" i="1" s="1"/>
  <c r="DB530" i="1"/>
  <c r="DB470" i="1"/>
  <c r="CQ470" i="1"/>
  <c r="DA470" i="1" s="1"/>
  <c r="BW471" i="1"/>
  <c r="BW473" i="1"/>
  <c r="BL473" i="1"/>
  <c r="BV473" i="1" s="1"/>
  <c r="DA475" i="1"/>
  <c r="DA476" i="1"/>
  <c r="BW477" i="1"/>
  <c r="BV479" i="1"/>
  <c r="DB480" i="1"/>
  <c r="CZ480" i="1"/>
  <c r="AR481" i="1"/>
  <c r="DA481" i="1"/>
  <c r="AR483" i="1"/>
  <c r="AG483" i="1"/>
  <c r="AQ483" i="1" s="1"/>
  <c r="BL486" i="1"/>
  <c r="BV486" i="1" s="1"/>
  <c r="BW486" i="1"/>
  <c r="BQ440" i="1"/>
  <c r="BV440" i="1" s="1"/>
  <c r="DB445" i="1"/>
  <c r="DB446" i="1"/>
  <c r="DA459" i="1"/>
  <c r="BV463" i="1"/>
  <c r="DA482" i="1"/>
  <c r="CQ483" i="1"/>
  <c r="DA483" i="1" s="1"/>
  <c r="DB483" i="1"/>
  <c r="AQ495" i="1"/>
  <c r="BV503" i="1"/>
  <c r="AR507" i="1"/>
  <c r="AG507" i="1"/>
  <c r="AQ507" i="1" s="1"/>
  <c r="DA536" i="1"/>
  <c r="DB438" i="1"/>
  <c r="DB439" i="1"/>
  <c r="DB458" i="1"/>
  <c r="DB469" i="1"/>
  <c r="AR475" i="1"/>
  <c r="BW480" i="1"/>
  <c r="BL480" i="1"/>
  <c r="BV480" i="1" s="1"/>
  <c r="BW485" i="1"/>
  <c r="AR492" i="1"/>
  <c r="AP492" i="1"/>
  <c r="AL494" i="1"/>
  <c r="AQ494" i="1" s="1"/>
  <c r="AR494" i="1"/>
  <c r="AG496" i="1"/>
  <c r="AQ496" i="1" s="1"/>
  <c r="AR496" i="1"/>
  <c r="BW505" i="1"/>
  <c r="BU505" i="1"/>
  <c r="DA451" i="1"/>
  <c r="AQ465" i="1"/>
  <c r="BW465" i="1"/>
  <c r="AQ468" i="1"/>
  <c r="DB477" i="1"/>
  <c r="CQ477" i="1"/>
  <c r="DA477" i="1" s="1"/>
  <c r="DB484" i="1"/>
  <c r="CQ484" i="1"/>
  <c r="DA484" i="1" s="1"/>
  <c r="CQ497" i="1"/>
  <c r="DA497" i="1" s="1"/>
  <c r="DB497" i="1"/>
  <c r="DB443" i="1"/>
  <c r="AR445" i="1"/>
  <c r="AP449" i="1"/>
  <c r="BV469" i="1"/>
  <c r="DB475" i="1"/>
  <c r="DB481" i="1"/>
  <c r="BW503" i="1"/>
  <c r="BU503" i="1"/>
  <c r="AR511" i="1"/>
  <c r="CQ513" i="1"/>
  <c r="DA513" i="1" s="1"/>
  <c r="DB513" i="1"/>
  <c r="DA437" i="1"/>
  <c r="AR456" i="1"/>
  <c r="BW459" i="1"/>
  <c r="AQ472" i="1"/>
  <c r="DB476" i="1"/>
  <c r="BW479" i="1"/>
  <c r="DB482" i="1"/>
  <c r="DB493" i="1"/>
  <c r="CZ493" i="1"/>
  <c r="CV495" i="1"/>
  <c r="DA495" i="1" s="1"/>
  <c r="DB495" i="1"/>
  <c r="AQ499" i="1"/>
  <c r="AG505" i="1"/>
  <c r="AQ505" i="1" s="1"/>
  <c r="AR505" i="1"/>
  <c r="AG438" i="1"/>
  <c r="AQ438" i="1" s="1"/>
  <c r="AR471" i="1"/>
  <c r="BW489" i="1"/>
  <c r="BU489" i="1"/>
  <c r="BV491" i="1"/>
  <c r="BV492" i="1"/>
  <c r="AQ501" i="1"/>
  <c r="AQ502" i="1"/>
  <c r="BV521" i="1"/>
  <c r="CQ524" i="1"/>
  <c r="DA524" i="1" s="1"/>
  <c r="DB524" i="1"/>
  <c r="DA546" i="1"/>
  <c r="BW511" i="1"/>
  <c r="AR535" i="1"/>
  <c r="BV536" i="1"/>
  <c r="DB538" i="1"/>
  <c r="CQ538" i="1"/>
  <c r="DA538" i="1" s="1"/>
  <c r="BW539" i="1"/>
  <c r="AR544" i="1"/>
  <c r="AG553" i="1"/>
  <c r="AQ553" i="1" s="1"/>
  <c r="AR553" i="1"/>
  <c r="CV507" i="1"/>
  <c r="DA507" i="1" s="1"/>
  <c r="AG508" i="1"/>
  <c r="AQ508" i="1" s="1"/>
  <c r="BW510" i="1"/>
  <c r="BL511" i="1"/>
  <c r="BV511" i="1" s="1"/>
  <c r="AR525" i="1"/>
  <c r="AR526" i="1"/>
  <c r="DB533" i="1"/>
  <c r="AR534" i="1"/>
  <c r="BW541" i="1"/>
  <c r="DB541" i="1"/>
  <c r="CQ543" i="1"/>
  <c r="DA543" i="1" s="1"/>
  <c r="DB543" i="1"/>
  <c r="BW549" i="1"/>
  <c r="BW508" i="1"/>
  <c r="AR523" i="1"/>
  <c r="BW529" i="1"/>
  <c r="AR538" i="1"/>
  <c r="CQ544" i="1"/>
  <c r="DA544" i="1" s="1"/>
  <c r="DB544" i="1"/>
  <c r="AR552" i="1"/>
  <c r="AP559" i="1"/>
  <c r="AR559" i="1"/>
  <c r="BU524" i="1"/>
  <c r="BW526" i="1"/>
  <c r="AR531" i="1"/>
  <c r="AL539" i="1"/>
  <c r="AQ539" i="1" s="1"/>
  <c r="DB545" i="1"/>
  <c r="AG552" i="1"/>
  <c r="AQ552" i="1" s="1"/>
  <c r="AG557" i="1"/>
  <c r="AQ557" i="1" s="1"/>
  <c r="AR557" i="1"/>
  <c r="BL487" i="1"/>
  <c r="BV487" i="1" s="1"/>
  <c r="CZ487" i="1"/>
  <c r="AG490" i="1"/>
  <c r="AQ490" i="1" s="1"/>
  <c r="BU490" i="1"/>
  <c r="CQ491" i="1"/>
  <c r="DA491" i="1" s="1"/>
  <c r="AP493" i="1"/>
  <c r="BL494" i="1"/>
  <c r="BV494" i="1" s="1"/>
  <c r="CZ494" i="1"/>
  <c r="AG497" i="1"/>
  <c r="AQ497" i="1" s="1"/>
  <c r="BU497" i="1"/>
  <c r="CQ498" i="1"/>
  <c r="DA498" i="1" s="1"/>
  <c r="AP500" i="1"/>
  <c r="BL501" i="1"/>
  <c r="BV501" i="1" s="1"/>
  <c r="CZ501" i="1"/>
  <c r="BL507" i="1"/>
  <c r="BV507" i="1" s="1"/>
  <c r="AP510" i="1"/>
  <c r="CQ512" i="1"/>
  <c r="DA512" i="1" s="1"/>
  <c r="BW515" i="1"/>
  <c r="BL516" i="1"/>
  <c r="BV516" i="1" s="1"/>
  <c r="CZ516" i="1"/>
  <c r="AP519" i="1"/>
  <c r="BQ520" i="1"/>
  <c r="BV520" i="1" s="1"/>
  <c r="AG524" i="1"/>
  <c r="AQ524" i="1" s="1"/>
  <c r="BW525" i="1"/>
  <c r="CZ525" i="1"/>
  <c r="CZ528" i="1"/>
  <c r="CQ532" i="1"/>
  <c r="DA532" i="1" s="1"/>
  <c r="BW534" i="1"/>
  <c r="DB542" i="1"/>
  <c r="DA550" i="1"/>
  <c r="CQ551" i="1"/>
  <c r="DA551" i="1" s="1"/>
  <c r="DB551" i="1"/>
  <c r="BL554" i="1"/>
  <c r="BV554" i="1" s="1"/>
  <c r="BW554" i="1"/>
  <c r="DB508" i="1"/>
  <c r="CQ510" i="1"/>
  <c r="DA510" i="1" s="1"/>
  <c r="BW513" i="1"/>
  <c r="DB529" i="1"/>
  <c r="AR533" i="1"/>
  <c r="BV534" i="1"/>
  <c r="DB534" i="1"/>
  <c r="AG549" i="1"/>
  <c r="AQ549" i="1" s="1"/>
  <c r="AR549" i="1"/>
  <c r="AQ551" i="1"/>
  <c r="DB556" i="1"/>
  <c r="CQ556" i="1"/>
  <c r="DA556" i="1" s="1"/>
  <c r="BW522" i="1"/>
  <c r="BW527" i="1"/>
  <c r="DB531" i="1"/>
  <c r="AR532" i="1"/>
  <c r="BL538" i="1"/>
  <c r="BV538" i="1" s="1"/>
  <c r="CV539" i="1"/>
  <c r="DA539" i="1" s="1"/>
  <c r="BL542" i="1"/>
  <c r="BV542" i="1" s="1"/>
  <c r="DB546" i="1"/>
  <c r="AR547" i="1"/>
  <c r="DB505" i="1"/>
  <c r="CQ506" i="1"/>
  <c r="DA506" i="1" s="1"/>
  <c r="DB515" i="1"/>
  <c r="DB540" i="1"/>
  <c r="AR545" i="1"/>
  <c r="AG547" i="1"/>
  <c r="AQ547" i="1" s="1"/>
  <c r="AR548" i="1"/>
  <c r="AG548" i="1"/>
  <c r="AQ548" i="1" s="1"/>
  <c r="CQ548" i="1"/>
  <c r="DA548" i="1" s="1"/>
  <c r="DB548" i="1"/>
  <c r="DA561" i="1"/>
  <c r="BW552" i="1"/>
  <c r="BL552" i="1"/>
  <c r="BV552" i="1" s="1"/>
  <c r="DB521" i="1"/>
  <c r="BV539" i="1"/>
  <c r="AR513" i="1"/>
  <c r="AR514" i="1"/>
  <c r="CQ522" i="1"/>
  <c r="DA522" i="1" s="1"/>
  <c r="CQ527" i="1"/>
  <c r="DA527" i="1" s="1"/>
  <c r="AR528" i="1"/>
  <c r="BL532" i="1"/>
  <c r="BV532" i="1" s="1"/>
  <c r="DB535" i="1"/>
  <c r="AR536" i="1"/>
  <c r="AG537" i="1"/>
  <c r="AQ537" i="1" s="1"/>
  <c r="BW537" i="1"/>
  <c r="BW545" i="1"/>
  <c r="AG514" i="1"/>
  <c r="AQ514" i="1" s="1"/>
  <c r="DB526" i="1"/>
  <c r="AG528" i="1"/>
  <c r="AQ528" i="1" s="1"/>
  <c r="CZ555" i="1"/>
  <c r="BQ558" i="1"/>
  <c r="BW558" i="1"/>
  <c r="BW504" i="1"/>
  <c r="BL504" i="1"/>
  <c r="BV504" i="1" s="1"/>
  <c r="AG521" i="1"/>
  <c r="AQ521" i="1" s="1"/>
  <c r="BW530" i="1"/>
  <c r="CQ537" i="1"/>
  <c r="DA537" i="1" s="1"/>
  <c r="DB537" i="1"/>
  <c r="AG543" i="1"/>
  <c r="AQ543" i="1" s="1"/>
  <c r="AR543" i="1"/>
  <c r="BL547" i="1"/>
  <c r="BV547" i="1" s="1"/>
  <c r="BW547" i="1"/>
  <c r="BQ551" i="1"/>
  <c r="BV551" i="1" s="1"/>
  <c r="BW551" i="1"/>
  <c r="AL554" i="1"/>
  <c r="AQ554" i="1" s="1"/>
  <c r="AR554" i="1"/>
  <c r="BV565" i="1"/>
  <c r="AR570" i="1"/>
  <c r="AG570" i="1"/>
  <c r="AQ570" i="1" s="1"/>
  <c r="BU580" i="1"/>
  <c r="BW580" i="1"/>
  <c r="AG550" i="1"/>
  <c r="AQ550" i="1" s="1"/>
  <c r="AR550" i="1"/>
  <c r="AR555" i="1"/>
  <c r="CQ570" i="1"/>
  <c r="DA570" i="1" s="1"/>
  <c r="DB570" i="1"/>
  <c r="AG569" i="1"/>
  <c r="AQ569" i="1" s="1"/>
  <c r="AR569" i="1"/>
  <c r="DB569" i="1"/>
  <c r="CQ569" i="1"/>
  <c r="DA569" i="1" s="1"/>
  <c r="BW548" i="1"/>
  <c r="BW563" i="1"/>
  <c r="BW564" i="1"/>
  <c r="BL548" i="1"/>
  <c r="BV548" i="1" s="1"/>
  <c r="AR551" i="1"/>
  <c r="DB553" i="1"/>
  <c r="BW556" i="1"/>
  <c r="BW559" i="1"/>
  <c r="AG562" i="1"/>
  <c r="AQ562" i="1" s="1"/>
  <c r="BW565" i="1"/>
  <c r="BV558" i="1"/>
  <c r="BL559" i="1"/>
  <c r="BV559" i="1" s="1"/>
  <c r="AR563" i="1"/>
  <c r="AG563" i="1"/>
  <c r="AQ563" i="1" s="1"/>
  <c r="AG564" i="1"/>
  <c r="AQ564" i="1" s="1"/>
  <c r="AR564" i="1"/>
  <c r="AR568" i="1"/>
  <c r="AG568" i="1"/>
  <c r="AQ568" i="1" s="1"/>
  <c r="BW573" i="1"/>
  <c r="AG579" i="1"/>
  <c r="AQ579" i="1" s="1"/>
  <c r="AR579" i="1"/>
  <c r="BV586" i="1"/>
  <c r="AR561" i="1"/>
  <c r="DA562" i="1"/>
  <c r="CQ563" i="1"/>
  <c r="DA563" i="1" s="1"/>
  <c r="DB563" i="1"/>
  <c r="DB564" i="1"/>
  <c r="CQ564" i="1"/>
  <c r="DA564" i="1" s="1"/>
  <c r="CV568" i="1"/>
  <c r="DA568" i="1" s="1"/>
  <c r="DB568" i="1"/>
  <c r="CQ565" i="1"/>
  <c r="DA565" i="1" s="1"/>
  <c r="DB565" i="1"/>
  <c r="AQ596" i="1"/>
  <c r="DB552" i="1"/>
  <c r="DB561" i="1"/>
  <c r="AL567" i="1"/>
  <c r="AQ567" i="1" s="1"/>
  <c r="AR567" i="1"/>
  <c r="BW572" i="1"/>
  <c r="BQ572" i="1"/>
  <c r="BV572" i="1" s="1"/>
  <c r="BL561" i="1"/>
  <c r="BV561" i="1" s="1"/>
  <c r="BW561" i="1"/>
  <c r="BQ571" i="1"/>
  <c r="BV571" i="1" s="1"/>
  <c r="BW571" i="1"/>
  <c r="BL540" i="1"/>
  <c r="BV540" i="1" s="1"/>
  <c r="BW540" i="1"/>
  <c r="BW553" i="1"/>
  <c r="BL555" i="1"/>
  <c r="BV555" i="1" s="1"/>
  <c r="AR556" i="1"/>
  <c r="AR558" i="1"/>
  <c r="DB562" i="1"/>
  <c r="AR566" i="1"/>
  <c r="DB567" i="1"/>
  <c r="AR576" i="1"/>
  <c r="AG576" i="1"/>
  <c r="AQ576" i="1" s="1"/>
  <c r="DB576" i="1"/>
  <c r="CQ576" i="1"/>
  <c r="DA576" i="1" s="1"/>
  <c r="AL577" i="1"/>
  <c r="AQ577" i="1" s="1"/>
  <c r="AR577" i="1"/>
  <c r="AR578" i="1"/>
  <c r="BW562" i="1"/>
  <c r="BW579" i="1"/>
  <c r="BL579" i="1"/>
  <c r="BV579" i="1" s="1"/>
  <c r="CQ558" i="1"/>
  <c r="DA558" i="1" s="1"/>
  <c r="DB558" i="1"/>
  <c r="DB559" i="1"/>
  <c r="BW567" i="1"/>
  <c r="BL567" i="1"/>
  <c r="BV567" i="1" s="1"/>
  <c r="BW570" i="1"/>
  <c r="CQ573" i="1"/>
  <c r="DA573" i="1" s="1"/>
  <c r="DB573" i="1"/>
  <c r="AQ574" i="1"/>
  <c r="DA574" i="1"/>
  <c r="DA575" i="1"/>
  <c r="BL566" i="1"/>
  <c r="BV566" i="1" s="1"/>
  <c r="BW566" i="1"/>
  <c r="DA572" i="1"/>
  <c r="BL578" i="1"/>
  <c r="BV578" i="1" s="1"/>
  <c r="BW578" i="1"/>
  <c r="AQ586" i="1"/>
  <c r="AG581" i="1"/>
  <c r="AQ581" i="1" s="1"/>
  <c r="AR581" i="1"/>
  <c r="DB595" i="1"/>
  <c r="CQ595" i="1"/>
  <c r="DA595" i="1" s="1"/>
  <c r="BW598" i="1"/>
  <c r="BL598" i="1"/>
  <c r="BV598" i="1" s="1"/>
  <c r="BQ608" i="1"/>
  <c r="BV608" i="1" s="1"/>
  <c r="AR611" i="1"/>
  <c r="AG611" i="1"/>
  <c r="AQ611" i="1" s="1"/>
  <c r="DB611" i="1"/>
  <c r="CQ611" i="1"/>
  <c r="DA611" i="1" s="1"/>
  <c r="AR615" i="1"/>
  <c r="BW577" i="1"/>
  <c r="DB581" i="1"/>
  <c r="CQ581" i="1"/>
  <c r="DA581" i="1" s="1"/>
  <c r="AR582" i="1"/>
  <c r="BW582" i="1"/>
  <c r="BW584" i="1"/>
  <c r="BL584" i="1"/>
  <c r="BV584" i="1" s="1"/>
  <c r="DB584" i="1"/>
  <c r="AG602" i="1"/>
  <c r="AQ602" i="1" s="1"/>
  <c r="AR602" i="1"/>
  <c r="AG603" i="1"/>
  <c r="AQ603" i="1" s="1"/>
  <c r="AR610" i="1"/>
  <c r="AG610" i="1"/>
  <c r="AQ610" i="1" s="1"/>
  <c r="AG582" i="1"/>
  <c r="AQ582" i="1" s="1"/>
  <c r="AR587" i="1"/>
  <c r="AG587" i="1"/>
  <c r="AQ587" i="1" s="1"/>
  <c r="AR590" i="1"/>
  <c r="CQ591" i="1"/>
  <c r="DA591" i="1" s="1"/>
  <c r="DB594" i="1"/>
  <c r="CQ596" i="1"/>
  <c r="DA596" i="1" s="1"/>
  <c r="DB596" i="1"/>
  <c r="BW597" i="1"/>
  <c r="DB599" i="1"/>
  <c r="AR600" i="1"/>
  <c r="DB604" i="1"/>
  <c r="AR605" i="1"/>
  <c r="BW612" i="1"/>
  <c r="CQ614" i="1"/>
  <c r="DA614" i="1" s="1"/>
  <c r="BW568" i="1"/>
  <c r="AR571" i="1"/>
  <c r="BW574" i="1"/>
  <c r="BL575" i="1"/>
  <c r="BV575" i="1" s="1"/>
  <c r="DB577" i="1"/>
  <c r="BL599" i="1"/>
  <c r="BV599" i="1" s="1"/>
  <c r="BW599" i="1"/>
  <c r="CQ603" i="1"/>
  <c r="DA603" i="1" s="1"/>
  <c r="DB603" i="1"/>
  <c r="DB609" i="1"/>
  <c r="DB615" i="1"/>
  <c r="BW618" i="1"/>
  <c r="DB580" i="1"/>
  <c r="CQ582" i="1"/>
  <c r="DA582" i="1" s="1"/>
  <c r="DB582" i="1"/>
  <c r="BW583" i="1"/>
  <c r="AR586" i="1"/>
  <c r="AR608" i="1"/>
  <c r="AG609" i="1"/>
  <c r="AQ609" i="1" s="1"/>
  <c r="AR609" i="1"/>
  <c r="DB619" i="1"/>
  <c r="CQ619" i="1"/>
  <c r="DA619" i="1" s="1"/>
  <c r="BV623" i="1"/>
  <c r="BL585" i="1"/>
  <c r="BV585" i="1" s="1"/>
  <c r="BW585" i="1"/>
  <c r="AG588" i="1"/>
  <c r="AQ588" i="1" s="1"/>
  <c r="AR588" i="1"/>
  <c r="CQ613" i="1"/>
  <c r="DA613" i="1" s="1"/>
  <c r="DB613" i="1"/>
  <c r="BW615" i="1"/>
  <c r="BL615" i="1"/>
  <c r="BV615" i="1" s="1"/>
  <c r="DB574" i="1"/>
  <c r="AP592" i="1"/>
  <c r="CQ592" i="1"/>
  <c r="DA592" i="1" s="1"/>
  <c r="BL595" i="1"/>
  <c r="BV595" i="1" s="1"/>
  <c r="CQ597" i="1"/>
  <c r="DA597" i="1" s="1"/>
  <c r="AG598" i="1"/>
  <c r="AQ598" i="1" s="1"/>
  <c r="BL600" i="1"/>
  <c r="BV600" i="1" s="1"/>
  <c r="DB601" i="1"/>
  <c r="AR604" i="1"/>
  <c r="AR607" i="1"/>
  <c r="BW586" i="1"/>
  <c r="DB588" i="1"/>
  <c r="CQ588" i="1"/>
  <c r="DA588" i="1" s="1"/>
  <c r="AR589" i="1"/>
  <c r="BW591" i="1"/>
  <c r="BL591" i="1"/>
  <c r="BV591" i="1" s="1"/>
  <c r="DB605" i="1"/>
  <c r="DB612" i="1"/>
  <c r="CQ612" i="1"/>
  <c r="DA612" i="1" s="1"/>
  <c r="AG613" i="1"/>
  <c r="AQ613" i="1" s="1"/>
  <c r="AR614" i="1"/>
  <c r="AR618" i="1"/>
  <c r="AG618" i="1"/>
  <c r="AQ618" i="1" s="1"/>
  <c r="AR594" i="1"/>
  <c r="AG594" i="1"/>
  <c r="AQ594" i="1" s="1"/>
  <c r="AR573" i="1"/>
  <c r="BW605" i="1"/>
  <c r="DB608" i="1"/>
  <c r="DA625" i="1"/>
  <c r="AG573" i="1"/>
  <c r="AQ573" i="1" s="1"/>
  <c r="AR580" i="1"/>
  <c r="AG580" i="1"/>
  <c r="AQ580" i="1" s="1"/>
  <c r="DB587" i="1"/>
  <c r="CQ589" i="1"/>
  <c r="DA589" i="1" s="1"/>
  <c r="DB589" i="1"/>
  <c r="BW590" i="1"/>
  <c r="AR593" i="1"/>
  <c r="BL607" i="1"/>
  <c r="BV607" i="1" s="1"/>
  <c r="AG612" i="1"/>
  <c r="AQ612" i="1" s="1"/>
  <c r="AR612" i="1"/>
  <c r="BW614" i="1"/>
  <c r="BL614" i="1"/>
  <c r="BV614" i="1" s="1"/>
  <c r="AQ617" i="1"/>
  <c r="BL592" i="1"/>
  <c r="BV592" i="1" s="1"/>
  <c r="BW592" i="1"/>
  <c r="AG595" i="1"/>
  <c r="AQ595" i="1" s="1"/>
  <c r="AR595" i="1"/>
  <c r="BL606" i="1"/>
  <c r="BV606" i="1" s="1"/>
  <c r="BW606" i="1"/>
  <c r="BL609" i="1"/>
  <c r="BV609" i="1" s="1"/>
  <c r="BW616" i="1"/>
  <c r="AR619" i="1"/>
  <c r="DB620" i="1"/>
  <c r="AP621" i="1"/>
  <c r="AG601" i="1"/>
  <c r="AQ601" i="1" s="1"/>
  <c r="CQ602" i="1"/>
  <c r="DA602" i="1" s="1"/>
  <c r="BL605" i="1"/>
  <c r="BV605" i="1" s="1"/>
  <c r="AG608" i="1"/>
  <c r="AQ608" i="1" s="1"/>
  <c r="CQ609" i="1"/>
  <c r="DA609" i="1" s="1"/>
  <c r="DB610" i="1"/>
  <c r="BL612" i="1"/>
  <c r="BV612" i="1" s="1"/>
  <c r="BW613" i="1"/>
  <c r="AG615" i="1"/>
  <c r="AQ615" i="1" s="1"/>
  <c r="AR616" i="1"/>
  <c r="DB617" i="1"/>
  <c r="BW620" i="1"/>
  <c r="AG622" i="1"/>
  <c r="AQ622" i="1" s="1"/>
  <c r="CQ623" i="1"/>
  <c r="DA623" i="1" s="1"/>
</calcChain>
</file>

<file path=xl/sharedStrings.xml><?xml version="1.0" encoding="utf-8"?>
<sst xmlns="http://schemas.openxmlformats.org/spreadsheetml/2006/main" count="6407" uniqueCount="2058">
  <si>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</si>
  <si>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</si>
  <si>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</si>
  <si>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</si>
  <si>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</si>
  <si>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</si>
  <si>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</si>
  <si>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</si>
  <si>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</si>
  <si>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</si>
  <si>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</si>
  <si>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</si>
  <si>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</si>
  <si>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</si>
  <si>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</si>
  <si>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</si>
  <si>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</si>
  <si>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</si>
  <si>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</si>
  <si>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</si>
  <si>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</si>
  <si>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</si>
  <si>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</si>
  <si>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</si>
  <si>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</si>
  <si>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</si>
  <si>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</si>
  <si>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</si>
  <si>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</si>
  <si>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</si>
  <si>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</si>
  <si>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</si>
  <si>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</si>
  <si>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</si>
  <si>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</si>
  <si>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</si>
  <si>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</si>
  <si>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</si>
  <si>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</si>
  <si>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</si>
  <si>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</si>
  <si>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</si>
  <si>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</si>
  <si>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</si>
  <si>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</si>
  <si>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</si>
  <si>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</si>
  <si>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</si>
  <si>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</si>
  <si>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</si>
  <si>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OTST551</t>
  </si>
  <si>
    <t>001</t>
  </si>
  <si>
    <t>x</t>
  </si>
  <si>
    <t>In-Person</t>
  </si>
  <si>
    <t>MDIV</t>
  </si>
  <si>
    <t>load</t>
  </si>
  <si>
    <t>yes</t>
  </si>
  <si>
    <t>998</t>
  </si>
  <si>
    <t>SYNC</t>
  </si>
  <si>
    <t>crosslisted/duo</t>
  </si>
  <si>
    <t>OTST552</t>
  </si>
  <si>
    <t>Fraser, Jasmine J.</t>
  </si>
  <si>
    <t>DSLE887</t>
  </si>
  <si>
    <t>PHD-RelEd</t>
  </si>
  <si>
    <t>DSLE664</t>
  </si>
  <si>
    <t>DSLE680</t>
  </si>
  <si>
    <t>Gane, Roy E.</t>
  </si>
  <si>
    <t>OTST686</t>
  </si>
  <si>
    <t>Totals: Example Professor
notes:</t>
  </si>
  <si>
    <t>Contract Teachers</t>
  </si>
  <si>
    <t>Summer 2025 Course</t>
  </si>
  <si>
    <t>Fall 2025 Course</t>
  </si>
  <si>
    <t>Spring 2026 Course</t>
  </si>
  <si>
    <t>Totals: Contract Teachers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</si>
  <si>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</si>
  <si>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</si>
  <si>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</si>
  <si>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</si>
  <si>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</si>
  <si>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</si>
  <si>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</si>
  <si>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</si>
  <si>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Bell Hall [BH]</t>
  </si>
  <si>
    <t>Antic, Radisa</t>
  </si>
  <si>
    <t>000042516</t>
  </si>
  <si>
    <t>radisa@andrews.edu</t>
  </si>
  <si>
    <t>faculty</t>
  </si>
  <si>
    <t>PATH: 11-1150-9120-70</t>
  </si>
  <si>
    <t>Teacher overload</t>
  </si>
  <si>
    <t>no</t>
  </si>
  <si>
    <t>ANEA514</t>
  </si>
  <si>
    <t>MDIV-FL</t>
  </si>
  <si>
    <t>Buller Hall [BUL]</t>
  </si>
  <si>
    <t>contract</t>
  </si>
  <si>
    <t>Augsburger, Daniel E.</t>
  </si>
  <si>
    <t>000003539</t>
  </si>
  <si>
    <t>augsburg@andrews.edu</t>
  </si>
  <si>
    <t>PhD</t>
  </si>
  <si>
    <t>MSSN: 11-1200-9120-70</t>
  </si>
  <si>
    <t>Subject-matter expert</t>
  </si>
  <si>
    <t>ANEA604</t>
  </si>
  <si>
    <t>002</t>
  </si>
  <si>
    <t>ASYNC</t>
  </si>
  <si>
    <t>MAPM-HISP</t>
  </si>
  <si>
    <t>Chan Shun Hall [CSH]</t>
  </si>
  <si>
    <t>Barbosa, Rodrigo d.</t>
  </si>
  <si>
    <t>000141959</t>
  </si>
  <si>
    <t>degaliza@andrews.edu</t>
  </si>
  <si>
    <t>_DIS: 11-1200-9120-70-120011</t>
  </si>
  <si>
    <t>ANEA612</t>
  </si>
  <si>
    <t>003</t>
  </si>
  <si>
    <t>TOUR</t>
  </si>
  <si>
    <t>MAPM-ENGL</t>
  </si>
  <si>
    <t>Griggs Hall A [GHA]</t>
  </si>
  <si>
    <t>continuous</t>
  </si>
  <si>
    <t>Barna, Jan</t>
  </si>
  <si>
    <t>000107673</t>
  </si>
  <si>
    <t>barna@andrews.edu</t>
  </si>
  <si>
    <t>NTST: 11-1250-9120-70</t>
  </si>
  <si>
    <t>ANEA613</t>
  </si>
  <si>
    <t>004</t>
  </si>
  <si>
    <t>MAR-NAD</t>
  </si>
  <si>
    <t>Griggs Hall B [GHB]</t>
  </si>
  <si>
    <t>Burt, Merlin D.</t>
  </si>
  <si>
    <t>000049061</t>
  </si>
  <si>
    <t>burt@andrews.edu</t>
  </si>
  <si>
    <t>OTST: 11-1300-9120-70</t>
  </si>
  <si>
    <t>ANEA614</t>
  </si>
  <si>
    <t>005</t>
  </si>
  <si>
    <t>MAR-INT</t>
  </si>
  <si>
    <t>Horn Museum [HORN]</t>
  </si>
  <si>
    <t>Burton, Kevin M.</t>
  </si>
  <si>
    <t>000148286</t>
  </si>
  <si>
    <t>burtonk@andrews.edu</t>
  </si>
  <si>
    <t>DSLE: 11-1320-9120-70</t>
  </si>
  <si>
    <t>ANEA615</t>
  </si>
  <si>
    <t>006</t>
  </si>
  <si>
    <t>SOLC</t>
  </si>
  <si>
    <t>James White Library [JWL]</t>
  </si>
  <si>
    <t>Chow, Christie Chui-Shan</t>
  </si>
  <si>
    <t>000232177</t>
  </si>
  <si>
    <t>christiechu@andrews.edu</t>
  </si>
  <si>
    <t>THST: 11-1350-9120-70</t>
  </si>
  <si>
    <t>ANEA624</t>
  </si>
  <si>
    <t>007</t>
  </si>
  <si>
    <t>Johnson Gym [JGYM]</t>
  </si>
  <si>
    <t>Damsteegt, P Gerard</t>
  </si>
  <si>
    <t>000009168</t>
  </si>
  <si>
    <t>damsteeg@andrews.edu</t>
  </si>
  <si>
    <t>DMIN: 11-1170-9120-70-1170*</t>
  </si>
  <si>
    <t>ANEA625</t>
  </si>
  <si>
    <t>009</t>
  </si>
  <si>
    <t>DIS</t>
  </si>
  <si>
    <t>Nethery Hall [NH]</t>
  </si>
  <si>
    <t>Davidson, Richard M.</t>
  </si>
  <si>
    <t>000012107</t>
  </si>
  <si>
    <t>davidson@andrews.edu</t>
  </si>
  <si>
    <t>ANEA630</t>
  </si>
  <si>
    <t>031</t>
  </si>
  <si>
    <t>DMIN-INT</t>
  </si>
  <si>
    <t>Pioneer Memorial Church [PMC]</t>
  </si>
  <si>
    <t>Figueroa, Victor F.</t>
  </si>
  <si>
    <t>000055527</t>
  </si>
  <si>
    <t>figuerov@andrews.edu</t>
  </si>
  <si>
    <t>ANEA640</t>
  </si>
  <si>
    <t>033</t>
  </si>
  <si>
    <t>DMIN-NAD</t>
  </si>
  <si>
    <t>Seminary Building [SEM]</t>
  </si>
  <si>
    <t>Fortin, Denis</t>
  </si>
  <si>
    <t>000043638</t>
  </si>
  <si>
    <t>fortind@andrews.edu</t>
  </si>
  <si>
    <t>ANEA690</t>
  </si>
  <si>
    <t>038</t>
  </si>
  <si>
    <t>EGW-Cert</t>
  </si>
  <si>
    <t>Wellness Center [ACW]</t>
  </si>
  <si>
    <t>Gameti, Yvonne Y.</t>
  </si>
  <si>
    <t>000239625</t>
  </si>
  <si>
    <t>gameti@andrews.edu</t>
  </si>
  <si>
    <t>ANEA695</t>
  </si>
  <si>
    <t>040</t>
  </si>
  <si>
    <t>MAYYAM</t>
  </si>
  <si>
    <t>Advent Health University [OCFLAH]</t>
  </si>
  <si>
    <t>000008963</t>
  </si>
  <si>
    <t>gane@andrews.edu</t>
  </si>
  <si>
    <t>ANEA805</t>
  </si>
  <si>
    <t>041</t>
  </si>
  <si>
    <t>PHD/THD</t>
  </si>
  <si>
    <t>Asia-Pacific Int Univ AIU [OCTHA]</t>
  </si>
  <si>
    <t>Garcia Zarate, Heber E.</t>
  </si>
  <si>
    <t>000147941</t>
  </si>
  <si>
    <t>heber@andrews.edu</t>
  </si>
  <si>
    <t>ANEA810</t>
  </si>
  <si>
    <t>042</t>
  </si>
  <si>
    <t>Burman University [OCCABU]</t>
  </si>
  <si>
    <t>Hernandez, Abner F.</t>
  </si>
  <si>
    <t>000149024</t>
  </si>
  <si>
    <t>abnerh@andrews.edu</t>
  </si>
  <si>
    <t>ANEA814</t>
  </si>
  <si>
    <t>044</t>
  </si>
  <si>
    <t>POSTDOC</t>
  </si>
  <si>
    <t>Centro Univ Adv de Sao Paulo [OCBRA1]</t>
  </si>
  <si>
    <t>Irizarry De La Cruz, Iriann M.</t>
  </si>
  <si>
    <t>000140394</t>
  </si>
  <si>
    <t>irizarry@andrews.edu</t>
  </si>
  <si>
    <t>ANEA815</t>
  </si>
  <si>
    <t>049</t>
  </si>
  <si>
    <t>Florida Conference of SDA [OCFLFC]</t>
  </si>
  <si>
    <t>Kaiser, Angelika</t>
  </si>
  <si>
    <t>000143159</t>
  </si>
  <si>
    <t>angelika@andrews.edu</t>
  </si>
  <si>
    <t>ANEA830</t>
  </si>
  <si>
    <t>055</t>
  </si>
  <si>
    <t>Forest Lake SDA Church [OCFLFL]</t>
  </si>
  <si>
    <t>Kaiser, Denis</t>
  </si>
  <si>
    <t>000134382</t>
  </si>
  <si>
    <t>denis@andrews.edu</t>
  </si>
  <si>
    <t>ANEA840</t>
  </si>
  <si>
    <t>062</t>
  </si>
  <si>
    <t>Hong Kong Adventist College [OCCHK]</t>
  </si>
  <si>
    <t>Korchuk, Viacheslav I.</t>
  </si>
  <si>
    <t>000097153</t>
  </si>
  <si>
    <t>korchuk@andrews.edu</t>
  </si>
  <si>
    <t>ANEA885</t>
  </si>
  <si>
    <t>065</t>
  </si>
  <si>
    <t>Loma Linda University [OCCALL]</t>
  </si>
  <si>
    <t>Louw, Eric A.</t>
  </si>
  <si>
    <t>000160504</t>
  </si>
  <si>
    <t>louw@andrews.edu</t>
  </si>
  <si>
    <t>ANEA890</t>
  </si>
  <si>
    <t>069</t>
  </si>
  <si>
    <t>Newbold College [OCGBR]</t>
  </si>
  <si>
    <t>Miller, Nicholas P.</t>
  </si>
  <si>
    <t>000050696</t>
  </si>
  <si>
    <t>nicholas@andrews.edu</t>
  </si>
  <si>
    <t>ANEA895</t>
  </si>
  <si>
    <t>079</t>
  </si>
  <si>
    <t>North American Division of SDA [OCMDND]</t>
  </si>
  <si>
    <t>Moon, Jerry A.</t>
  </si>
  <si>
    <t>000018492</t>
  </si>
  <si>
    <t>jmoon@andrews.edu</t>
  </si>
  <si>
    <t>ANEA940</t>
  </si>
  <si>
    <t>091</t>
  </si>
  <si>
    <t>North Pacific Union Conference [OCWANP]</t>
  </si>
  <si>
    <t>O'Reggio, Trevor E.</t>
  </si>
  <si>
    <t>000035762</t>
  </si>
  <si>
    <t>toreggio@andrews.edu</t>
  </si>
  <si>
    <t>CHIS504</t>
  </si>
  <si>
    <t>092</t>
  </si>
  <si>
    <t>Northern New England Conf [OCMENE]</t>
  </si>
  <si>
    <t>Pagan, Samuel</t>
  </si>
  <si>
    <t>000067278</t>
  </si>
  <si>
    <t>pagan@andrews.edu</t>
  </si>
  <si>
    <t>CHIS505</t>
  </si>
  <si>
    <t>093</t>
  </si>
  <si>
    <t>Oklahoma City Central [OCOKOC]</t>
  </si>
  <si>
    <t>Park, Jungkyu</t>
  </si>
  <si>
    <t>000122429</t>
  </si>
  <si>
    <t>jungkyu@andrews.edu</t>
  </si>
  <si>
    <t>CHIS506</t>
  </si>
  <si>
    <t>095</t>
  </si>
  <si>
    <t>Polish Senior College Theo&amp;Hum [OCPOL]</t>
  </si>
  <si>
    <t>Quispe, Gluder</t>
  </si>
  <si>
    <t>000122528</t>
  </si>
  <si>
    <t>gluder@andrews.edu</t>
  </si>
  <si>
    <t>CHIS507</t>
  </si>
  <si>
    <t>101</t>
  </si>
  <si>
    <t>Southeastern California Conf [OCCASC]</t>
  </si>
  <si>
    <t>Reeve, John W.</t>
  </si>
  <si>
    <t>000049018</t>
  </si>
  <si>
    <t>jreeve@andrews.edu</t>
  </si>
  <si>
    <t>CHIS567</t>
  </si>
  <si>
    <t>102</t>
  </si>
  <si>
    <t>Taiwan Adventist College [OCTWN]</t>
  </si>
  <si>
    <t>Rodrigues, Gerson C.</t>
  </si>
  <si>
    <t>000093682</t>
  </si>
  <si>
    <t>gersoncr@andrews.edu</t>
  </si>
  <si>
    <t>CHIS570</t>
  </si>
  <si>
    <t>103</t>
  </si>
  <si>
    <t>Ukrainan Adv Center Higher ED [OCUKR]</t>
  </si>
  <si>
    <t>Rosario, Antonio M.</t>
  </si>
  <si>
    <t>000074158</t>
  </si>
  <si>
    <t>arosario@andrews.edu</t>
  </si>
  <si>
    <t>CHIS571</t>
  </si>
  <si>
    <t>104</t>
  </si>
  <si>
    <t>Union College [OCNEUC]</t>
  </si>
  <si>
    <t>Steger, Walter E.</t>
  </si>
  <si>
    <t>000064286</t>
  </si>
  <si>
    <t>steger@andrews.edu</t>
  </si>
  <si>
    <t>CHIS574</t>
  </si>
  <si>
    <t>105</t>
  </si>
  <si>
    <t>Univ Adventista del Plata [OCARG]</t>
  </si>
  <si>
    <t>Toscano, Steven M.</t>
  </si>
  <si>
    <t>000138178</t>
  </si>
  <si>
    <t>toscano@andrews.edu</t>
  </si>
  <si>
    <t>106</t>
  </si>
  <si>
    <t>Universitatea Adventus din Cer [OCROU]</t>
  </si>
  <si>
    <t>Valenzuela, Alfonso</t>
  </si>
  <si>
    <t>000033969</t>
  </si>
  <si>
    <t>vale@andrews.edu</t>
  </si>
  <si>
    <t>CHIS600</t>
  </si>
  <si>
    <t>107</t>
  </si>
  <si>
    <t>Zaokski Theo Seminary [OCRUS]</t>
  </si>
  <si>
    <t>Williams, David A.</t>
  </si>
  <si>
    <t>000124996</t>
  </si>
  <si>
    <t>wdavid@andrews.edu</t>
  </si>
  <si>
    <t>CHIS612</t>
  </si>
  <si>
    <t>108</t>
  </si>
  <si>
    <t>Atlantic Union - AtlU</t>
  </si>
  <si>
    <t>Allen, Shirley M.</t>
  </si>
  <si>
    <t>000062024</t>
  </si>
  <si>
    <t>ashirley@andrews.edu</t>
  </si>
  <si>
    <t>CHIS614</t>
  </si>
  <si>
    <t>109</t>
  </si>
  <si>
    <t>Columbia Union - CU</t>
  </si>
  <si>
    <t>Beagles, Kathleen A.</t>
  </si>
  <si>
    <t>000041794</t>
  </si>
  <si>
    <t>beaglesk@andrews.edu</t>
  </si>
  <si>
    <t>CHIS624</t>
  </si>
  <si>
    <t>110</t>
  </si>
  <si>
    <t>Southern Union - SU</t>
  </si>
  <si>
    <t>Consuegra, Claudio J.</t>
  </si>
  <si>
    <t>000041530</t>
  </si>
  <si>
    <t>consuegr@andrews.edu</t>
  </si>
  <si>
    <t>CHIS628</t>
  </si>
  <si>
    <t>111</t>
  </si>
  <si>
    <t>Mid-America Union - MAU</t>
  </si>
  <si>
    <t>Davis, Desiree E.</t>
  </si>
  <si>
    <t>000111875</t>
  </si>
  <si>
    <t>desireed@andrews.edu</t>
  </si>
  <si>
    <t>CHIS629</t>
  </si>
  <si>
    <t>112</t>
  </si>
  <si>
    <t>Southwestern Union - SWU</t>
  </si>
  <si>
    <t>Duany, Efrain</t>
  </si>
  <si>
    <t>000117365</t>
  </si>
  <si>
    <t>duany@andrews.edu</t>
  </si>
  <si>
    <t>CHIS634</t>
  </si>
  <si>
    <t>113</t>
  </si>
  <si>
    <t>Pacific Union - PU</t>
  </si>
  <si>
    <t>Espinosa, Jose M.</t>
  </si>
  <si>
    <t>000032088</t>
  </si>
  <si>
    <t>josee@andrews.edu</t>
  </si>
  <si>
    <t>CHIS638</t>
  </si>
  <si>
    <t>114</t>
  </si>
  <si>
    <t>Lake Union- LU</t>
  </si>
  <si>
    <t>000129106</t>
  </si>
  <si>
    <t>fraserj@andrews.edu</t>
  </si>
  <si>
    <t>CHIS640</t>
  </si>
  <si>
    <t>116</t>
  </si>
  <si>
    <t>Canadian Union - CNU</t>
  </si>
  <si>
    <t>Freed, Kristina M.</t>
  </si>
  <si>
    <t>000067653</t>
  </si>
  <si>
    <t>tyrrell@andrews.edu</t>
  </si>
  <si>
    <t>CHIS645</t>
  </si>
  <si>
    <t>118</t>
  </si>
  <si>
    <t>Poland/Baltic States - PolBal</t>
  </si>
  <si>
    <t>Gaton, Roy G.</t>
  </si>
  <si>
    <t>000048477</t>
  </si>
  <si>
    <t>royg@andrews.edu</t>
  </si>
  <si>
    <t>CHIS650</t>
  </si>
  <si>
    <t>127</t>
  </si>
  <si>
    <t>Hong Kong - HK</t>
  </si>
  <si>
    <t>Gilles, Allens</t>
  </si>
  <si>
    <t>000129689</t>
  </si>
  <si>
    <t>gilles@andrews.edu</t>
  </si>
  <si>
    <t>CHIS659</t>
  </si>
  <si>
    <t>128</t>
  </si>
  <si>
    <t>Thailand - Thai</t>
  </si>
  <si>
    <t>Goncalves, Kleber D.</t>
  </si>
  <si>
    <t>000078571</t>
  </si>
  <si>
    <t>kleber@andrews.edu</t>
  </si>
  <si>
    <t>CHIS660</t>
  </si>
  <si>
    <t>129</t>
  </si>
  <si>
    <t>Costa Rica</t>
  </si>
  <si>
    <t>Hall, Kenley D.</t>
  </si>
  <si>
    <t>000069431</t>
  </si>
  <si>
    <t>kenley@andrews.edu</t>
  </si>
  <si>
    <t>CHIS664</t>
  </si>
  <si>
    <t>130</t>
  </si>
  <si>
    <t>Adventist University of Africa - AUA</t>
  </si>
  <si>
    <t>Hamilton, Lloyd M.</t>
  </si>
  <si>
    <t>000062449</t>
  </si>
  <si>
    <t>hamiltol@andrews.edu</t>
  </si>
  <si>
    <t>CHIS665</t>
  </si>
  <si>
    <t>131</t>
  </si>
  <si>
    <t>Philipines - AIIAS</t>
  </si>
  <si>
    <t>Hucks, Willie E.</t>
  </si>
  <si>
    <t>000048969</t>
  </si>
  <si>
    <t>hucks@andrews.edu</t>
  </si>
  <si>
    <t>CHIS668</t>
  </si>
  <si>
    <t>132</t>
  </si>
  <si>
    <t>Joseph, Ainsworth E.</t>
  </si>
  <si>
    <t>000079312</t>
  </si>
  <si>
    <t>ainsworj@andrews.edu</t>
  </si>
  <si>
    <t>CHIS672</t>
  </si>
  <si>
    <t>133</t>
  </si>
  <si>
    <t>Kidder, S Joseph</t>
  </si>
  <si>
    <t>000039170</t>
  </si>
  <si>
    <t>kiddersj@andrews.edu</t>
  </si>
  <si>
    <t>CHIS673</t>
  </si>
  <si>
    <t>138</t>
  </si>
  <si>
    <t>Machado, Carlos A.</t>
  </si>
  <si>
    <t>000117818</t>
  </si>
  <si>
    <t>machado@andrews.edu</t>
  </si>
  <si>
    <t>CHIS674</t>
  </si>
  <si>
    <t>140</t>
  </si>
  <si>
    <t>Martin, Benjamin L.</t>
  </si>
  <si>
    <t>000155484</t>
  </si>
  <si>
    <t>benjaminm@andrews.edu</t>
  </si>
  <si>
    <t>CHIS680</t>
  </si>
  <si>
    <t>201</t>
  </si>
  <si>
    <t>Matthews, John V.</t>
  </si>
  <si>
    <t>000021462</t>
  </si>
  <si>
    <t>johnmatt@andrews.edu</t>
  </si>
  <si>
    <t>CHIS682</t>
  </si>
  <si>
    <t>227</t>
  </si>
  <si>
    <t>Mayer, Jorge R.</t>
  </si>
  <si>
    <t>000049082</t>
  </si>
  <si>
    <t>jorgem@andrews.edu</t>
  </si>
  <si>
    <t>CHIS683</t>
  </si>
  <si>
    <t>990</t>
  </si>
  <si>
    <t>Moore, Richard A.</t>
  </si>
  <si>
    <t>000054389</t>
  </si>
  <si>
    <t>mooreri@andrews.edu</t>
  </si>
  <si>
    <t>CHIS684</t>
  </si>
  <si>
    <t>993</t>
  </si>
  <si>
    <t>Norton, Ricardo</t>
  </si>
  <si>
    <t>000033967</t>
  </si>
  <si>
    <t>ricardo@andrews.edu</t>
  </si>
  <si>
    <t>CHIS685</t>
  </si>
  <si>
    <t>994</t>
  </si>
  <si>
    <t>Ortiz, Luis F.</t>
  </si>
  <si>
    <t>000069315</t>
  </si>
  <si>
    <t>ortizl@andrews.edu</t>
  </si>
  <si>
    <t>CHIS686</t>
  </si>
  <si>
    <t>995</t>
  </si>
  <si>
    <t>Paquini, Rogelio</t>
  </si>
  <si>
    <t>000105171</t>
  </si>
  <si>
    <t>rpaquini@andrews.edu</t>
  </si>
  <si>
    <t>CHIS688</t>
  </si>
  <si>
    <t>996</t>
  </si>
  <si>
    <t>Ramos, Israel</t>
  </si>
  <si>
    <t>000111021</t>
  </si>
  <si>
    <t>ramosi@andrews.edu</t>
  </si>
  <si>
    <t>CHIS689</t>
  </si>
  <si>
    <t>997</t>
  </si>
  <si>
    <t>Reddy, Ashley C.</t>
  </si>
  <si>
    <t>000159825</t>
  </si>
  <si>
    <t>reddy@andrews.edu</t>
  </si>
  <si>
    <t>CHIS690</t>
  </si>
  <si>
    <t>Reinert, Katia G.</t>
  </si>
  <si>
    <t>000195832</t>
  </si>
  <si>
    <t>reinert@andrews.edu</t>
  </si>
  <si>
    <t>CHIS695</t>
  </si>
  <si>
    <t>999</t>
  </si>
  <si>
    <t>Sedlacek, David</t>
  </si>
  <si>
    <t>000142355</t>
  </si>
  <si>
    <t>sedlacek@andrews.edu</t>
  </si>
  <si>
    <t>CHIS696</t>
  </si>
  <si>
    <t>Ward, Scott R.</t>
  </si>
  <si>
    <t>000077973</t>
  </si>
  <si>
    <t>sward@andrews.edu</t>
  </si>
  <si>
    <t>CHIS814</t>
  </si>
  <si>
    <t>Yeagley, Stephen T.</t>
  </si>
  <si>
    <t>000041250</t>
  </si>
  <si>
    <t>yeagley@andrews.edu</t>
  </si>
  <si>
    <t>CHIS828</t>
  </si>
  <si>
    <t>Fernandez-Gibbs, Jharony E.</t>
  </si>
  <si>
    <t>000140039</t>
  </si>
  <si>
    <t>jharony@andrews.edu</t>
  </si>
  <si>
    <t>CHIS880</t>
  </si>
  <si>
    <t>Peguero Colon, Samuel</t>
  </si>
  <si>
    <t>000130089</t>
  </si>
  <si>
    <t>pegueroc@andrews.edu</t>
  </si>
  <si>
    <t>CHIS885</t>
  </si>
  <si>
    <t>Richards, Natasha A.</t>
  </si>
  <si>
    <t>000230576</t>
  </si>
  <si>
    <t>richardsn@andrews.edu</t>
  </si>
  <si>
    <t>CHIS890</t>
  </si>
  <si>
    <t>Case, Steve W.</t>
  </si>
  <si>
    <t>000040389</t>
  </si>
  <si>
    <t>steve@andrews.edu</t>
  </si>
  <si>
    <t>CHIS891</t>
  </si>
  <si>
    <t>Fox, Curtis A.</t>
  </si>
  <si>
    <t>000062042</t>
  </si>
  <si>
    <t>curtisf@andrews.edu</t>
  </si>
  <si>
    <t>CHIS892</t>
  </si>
  <si>
    <t>Lopez, Elim J.</t>
  </si>
  <si>
    <t>000132146</t>
  </si>
  <si>
    <t>elim@andrews.edu</t>
  </si>
  <si>
    <t>Maxson, Benjamin C.</t>
  </si>
  <si>
    <t>000025977</t>
  </si>
  <si>
    <t>maxson@andrews.edu</t>
  </si>
  <si>
    <t>Oliver, Wilbert H.</t>
  </si>
  <si>
    <t>000034125</t>
  </si>
  <si>
    <t>wilberto@andrews.edu</t>
  </si>
  <si>
    <t>CHIS895</t>
  </si>
  <si>
    <t>Olivo, Dionisio</t>
  </si>
  <si>
    <t>000046389</t>
  </si>
  <si>
    <t>olivo@andrews.edu</t>
  </si>
  <si>
    <t>CHIS940</t>
  </si>
  <si>
    <t>Swanson, H Peter</t>
  </si>
  <si>
    <t>000031571</t>
  </si>
  <si>
    <t>swansonp@andrews.edu</t>
  </si>
  <si>
    <t>CHIS944</t>
  </si>
  <si>
    <t>Walshe, Allan R.</t>
  </si>
  <si>
    <t>000136308</t>
  </si>
  <si>
    <t>walshe@andrews.edu</t>
  </si>
  <si>
    <t>CHIS974</t>
  </si>
  <si>
    <t>Aguiar, Adenilton T.</t>
  </si>
  <si>
    <t>000160279</t>
  </si>
  <si>
    <t>adenilton@andrews.edu</t>
  </si>
  <si>
    <t>CHMN505</t>
  </si>
  <si>
    <t>Agustin, Alfredo G.</t>
  </si>
  <si>
    <t>000240618</t>
  </si>
  <si>
    <t>agustina@andrews.edu</t>
  </si>
  <si>
    <t>CHMN507</t>
  </si>
  <si>
    <t>Badenas, Roberto D.</t>
  </si>
  <si>
    <t>000035367</t>
  </si>
  <si>
    <t>badenasr@andrews.edu</t>
  </si>
  <si>
    <t>CHMN508</t>
  </si>
  <si>
    <t>Borda, Guilherme L.</t>
  </si>
  <si>
    <t>000150924</t>
  </si>
  <si>
    <t>borda@andrews.edu</t>
  </si>
  <si>
    <t>CHMN514</t>
  </si>
  <si>
    <t>Camarena, Carlos C.</t>
  </si>
  <si>
    <t>000036675</t>
  </si>
  <si>
    <t>ccarlos@andrews.edu</t>
  </si>
  <si>
    <t>CHMN516</t>
  </si>
  <si>
    <t>Choi, Phuichun R.</t>
  </si>
  <si>
    <t>000036676</t>
  </si>
  <si>
    <t>choir@andrews.edu</t>
  </si>
  <si>
    <t>CHMN517</t>
  </si>
  <si>
    <t>Cortez, Felix H.</t>
  </si>
  <si>
    <t>000110700</t>
  </si>
  <si>
    <t>fcortez@andrews.edu</t>
  </si>
  <si>
    <t>CHMN523</t>
  </si>
  <si>
    <t>Ferreira, Jonatas L.</t>
  </si>
  <si>
    <t>000159708</t>
  </si>
  <si>
    <t>jonatas@andrews.edu</t>
  </si>
  <si>
    <t>CHMN524</t>
  </si>
  <si>
    <t>Festa, Sergio R.</t>
  </si>
  <si>
    <t>000159784</t>
  </si>
  <si>
    <t>festa@andrews.edu</t>
  </si>
  <si>
    <t>CHMN525</t>
  </si>
  <si>
    <t>Gallos, Erhard H.</t>
  </si>
  <si>
    <t>000068119</t>
  </si>
  <si>
    <t>gallos@andrews.edu</t>
  </si>
  <si>
    <t>CHMN526</t>
  </si>
  <si>
    <t>Gallusz, Laszlo</t>
  </si>
  <si>
    <t>000203949</t>
  </si>
  <si>
    <t>gallusz@andrews.edu</t>
  </si>
  <si>
    <t>CHMN529</t>
  </si>
  <si>
    <t>Green, Esther</t>
  </si>
  <si>
    <t>000212555</t>
  </si>
  <si>
    <t>egreen@andrews.edu</t>
  </si>
  <si>
    <t>CHMN535</t>
  </si>
  <si>
    <t>Grzeskowiak, Adam</t>
  </si>
  <si>
    <t>000204006</t>
  </si>
  <si>
    <t>grzeskowiak@andrews.edu</t>
  </si>
  <si>
    <t>CHMN536</t>
  </si>
  <si>
    <t>Hernandez, Angel M.</t>
  </si>
  <si>
    <t>000025476</t>
  </si>
  <si>
    <t>ahernandez@andrews.edu</t>
  </si>
  <si>
    <t>CHMN538</t>
  </si>
  <si>
    <t>Huss, Rajan P.</t>
  </si>
  <si>
    <t>000141225</t>
  </si>
  <si>
    <t>huss@andrews.edu</t>
  </si>
  <si>
    <t>CHMN539</t>
  </si>
  <si>
    <t>Johnston, Robert M.</t>
  </si>
  <si>
    <t>000003908</t>
  </si>
  <si>
    <t>bobjohn@andrews.edu</t>
  </si>
  <si>
    <t>CHMN540</t>
  </si>
  <si>
    <t>Kondrat, Stanislav</t>
  </si>
  <si>
    <t>000119532</t>
  </si>
  <si>
    <t>kondrat@andrews.edu</t>
  </si>
  <si>
    <t>CHMN541</t>
  </si>
  <si>
    <t>Kostyuk, Oleg</t>
  </si>
  <si>
    <t>000159768</t>
  </si>
  <si>
    <t>kostyuk@andrews.edu</t>
  </si>
  <si>
    <t>CHMN543</t>
  </si>
  <si>
    <t>Kuryliak, Bohdan</t>
  </si>
  <si>
    <t>000200888</t>
  </si>
  <si>
    <t>bkuryliak@andrews.edu</t>
  </si>
  <si>
    <t>CHMN546</t>
  </si>
  <si>
    <t>Kwon, Timothy B.</t>
  </si>
  <si>
    <t>000146533</t>
  </si>
  <si>
    <t>beett@andrews.edu</t>
  </si>
  <si>
    <t>CHMN548</t>
  </si>
  <si>
    <t>Lichtenwalter, Larry L.</t>
  </si>
  <si>
    <t>000024733</t>
  </si>
  <si>
    <t>lichtenw@andrews.edu</t>
  </si>
  <si>
    <t>CHMN549</t>
  </si>
  <si>
    <t>Moral Hernandez, Manuel A.</t>
  </si>
  <si>
    <t>000105885</t>
  </si>
  <si>
    <t>moral@andrews.edu</t>
  </si>
  <si>
    <t>CHMN552</t>
  </si>
  <si>
    <t>Moskala, Jiri</t>
  </si>
  <si>
    <t>000036790</t>
  </si>
  <si>
    <t>moskala@andrews.edu</t>
  </si>
  <si>
    <t>CHMN553</t>
  </si>
  <si>
    <t>Mot, Laurentiu F.</t>
  </si>
  <si>
    <t>000115113</t>
  </si>
  <si>
    <t>laurentiu@andrews.edu</t>
  </si>
  <si>
    <t>CHMN555</t>
  </si>
  <si>
    <t>Munoz, Jose Y.</t>
  </si>
  <si>
    <t>000073761</t>
  </si>
  <si>
    <t>munozj@andrews.edu</t>
  </si>
  <si>
    <t>CHMN556</t>
  </si>
  <si>
    <t>Munoz, Ruben A.</t>
  </si>
  <si>
    <t>000064060</t>
  </si>
  <si>
    <t>rmunoz@andrews.edu</t>
  </si>
  <si>
    <t>CHMN557</t>
  </si>
  <si>
    <t>Muran, Alexej</t>
  </si>
  <si>
    <t>000118655</t>
  </si>
  <si>
    <t>muran@andrews.edu</t>
  </si>
  <si>
    <t>CHMN560</t>
  </si>
  <si>
    <t>Nogueira, Lincoln</t>
  </si>
  <si>
    <t>000086036</t>
  </si>
  <si>
    <t>nogueirl@andrews.edu</t>
  </si>
  <si>
    <t>CHMN562</t>
  </si>
  <si>
    <t>Nunes, Leonardo G.</t>
  </si>
  <si>
    <t>000138706</t>
  </si>
  <si>
    <t>nunesl@andrews.edu</t>
  </si>
  <si>
    <t>CHMN566</t>
  </si>
  <si>
    <t>Papaioannou, Kim G.</t>
  </si>
  <si>
    <t>000050429</t>
  </si>
  <si>
    <t>papaioannou@andrews.edu</t>
  </si>
  <si>
    <t>CHMN567</t>
  </si>
  <si>
    <t>Petrishchev, Anton</t>
  </si>
  <si>
    <t>000116224</t>
  </si>
  <si>
    <t>petrisch@andrews.edu</t>
  </si>
  <si>
    <t>CHMN568</t>
  </si>
  <si>
    <t>Phillip, Mario N.</t>
  </si>
  <si>
    <t>000108446</t>
  </si>
  <si>
    <t>mariop@andrews.edu</t>
  </si>
  <si>
    <t>CHMN574</t>
  </si>
  <si>
    <t>Ray, Paul J.</t>
  </si>
  <si>
    <t>000029934</t>
  </si>
  <si>
    <t>rayp@andrews.edu</t>
  </si>
  <si>
    <t>CHMN575</t>
  </si>
  <si>
    <t>Reeve, Teresa L.</t>
  </si>
  <si>
    <t>000050236</t>
  </si>
  <si>
    <t>tlreeve@andrews.edu</t>
  </si>
  <si>
    <t>CHMN585</t>
  </si>
  <si>
    <t>Richards, W Larry</t>
  </si>
  <si>
    <t>000008252</t>
  </si>
  <si>
    <t>CHMN586</t>
  </si>
  <si>
    <t>Shepherd, Thomas R.</t>
  </si>
  <si>
    <t>000033676</t>
  </si>
  <si>
    <t>trs@andrews.edu</t>
  </si>
  <si>
    <t>CHMN587</t>
  </si>
  <si>
    <t>Stefanovic, Ranko</t>
  </si>
  <si>
    <t>000057767</t>
  </si>
  <si>
    <t>ranko@andrews.edu</t>
  </si>
  <si>
    <t>CHMN588</t>
  </si>
  <si>
    <t>Vine, Cedric E.</t>
  </si>
  <si>
    <t>000093509</t>
  </si>
  <si>
    <t>cvine@andrews.edu</t>
  </si>
  <si>
    <t>CHMN600</t>
  </si>
  <si>
    <t>Younker, Randall W.</t>
  </si>
  <si>
    <t>000042559</t>
  </si>
  <si>
    <t>younker@andrews.edu</t>
  </si>
  <si>
    <t>CHMN601</t>
  </si>
  <si>
    <t>Baez Garcia, Enrique</t>
  </si>
  <si>
    <t>000118530</t>
  </si>
  <si>
    <t>baezgarc@andrews.edu</t>
  </si>
  <si>
    <t>CHMN602</t>
  </si>
  <si>
    <t>Baker, Leslie S.</t>
  </si>
  <si>
    <t>000067622</t>
  </si>
  <si>
    <t>lsbakerjr@andrews.edu</t>
  </si>
  <si>
    <t>CHMN603</t>
  </si>
  <si>
    <t>Bates, Robert D.</t>
  </si>
  <si>
    <t>000095796</t>
  </si>
  <si>
    <t>bates@andrews.edu</t>
  </si>
  <si>
    <t>CHMN604</t>
  </si>
  <si>
    <t>Beaulieu, Stephane A.</t>
  </si>
  <si>
    <t>000132272</t>
  </si>
  <si>
    <t>beaulies@andrews.edu</t>
  </si>
  <si>
    <t>CHMN606</t>
  </si>
  <si>
    <t>Bediako, Daniel K.</t>
  </si>
  <si>
    <t>000246964</t>
  </si>
  <si>
    <t>CHMN607</t>
  </si>
  <si>
    <t>Breja, Alexandru</t>
  </si>
  <si>
    <t>000068116</t>
  </si>
  <si>
    <t>brejaal@andrews.edu</t>
  </si>
  <si>
    <t>CHMN609</t>
  </si>
  <si>
    <t>Broy, Trisha E.</t>
  </si>
  <si>
    <t>000088405</t>
  </si>
  <si>
    <t>trisha@andrews.edu</t>
  </si>
  <si>
    <t>CHMN613</t>
  </si>
  <si>
    <t>Davidson, JoAnn</t>
  </si>
  <si>
    <t>000012454</t>
  </si>
  <si>
    <t>jad@andrews.edu</t>
  </si>
  <si>
    <t>CHMN614</t>
  </si>
  <si>
    <t>Doukhan, Jacques B.</t>
  </si>
  <si>
    <t>000027289</t>
  </si>
  <si>
    <t>doukhanj@andrews.edu</t>
  </si>
  <si>
    <t>CHMN617</t>
  </si>
  <si>
    <t>Emswiler, Elizabeth</t>
  </si>
  <si>
    <t>000205980</t>
  </si>
  <si>
    <t>emswiler@andrews.edu</t>
  </si>
  <si>
    <t>CHMN623</t>
  </si>
  <si>
    <t>Galenieks, Eriks</t>
  </si>
  <si>
    <t>000077101</t>
  </si>
  <si>
    <t>egalen@andrews.edu</t>
  </si>
  <si>
    <t>CHMN627</t>
  </si>
  <si>
    <t>Gane, Constance E.</t>
  </si>
  <si>
    <t>000074605</t>
  </si>
  <si>
    <t>cgane@andrews.edu</t>
  </si>
  <si>
    <t>CHMN629</t>
  </si>
  <si>
    <t>000162826</t>
  </si>
  <si>
    <t>glanz@andrews.edu</t>
  </si>
  <si>
    <t>CHMN630</t>
  </si>
  <si>
    <t>Gordan, Daniel M.</t>
  </si>
  <si>
    <t>000155573</t>
  </si>
  <si>
    <t>danielgordan@andrews.edu</t>
  </si>
  <si>
    <t>CHMN631</t>
  </si>
  <si>
    <t>Gregor, Paul Z.</t>
  </si>
  <si>
    <t>000052867</t>
  </si>
  <si>
    <t>pgregor@andrews.edu</t>
  </si>
  <si>
    <t>CHMN632</t>
  </si>
  <si>
    <t>Groda, Johnny</t>
  </si>
  <si>
    <t>000102157</t>
  </si>
  <si>
    <t>johnny@andrews.edu</t>
  </si>
  <si>
    <t>CHMN633</t>
  </si>
  <si>
    <t>Hudon, Jeffrey P.</t>
  </si>
  <si>
    <t>000133678</t>
  </si>
  <si>
    <t>hudon@andrews.edu</t>
  </si>
  <si>
    <t>CHMN634</t>
  </si>
  <si>
    <t>Ionescu, Laurentiu Gabriel</t>
  </si>
  <si>
    <t>000190055</t>
  </si>
  <si>
    <t>laurentiuga@andrews.edu</t>
  </si>
  <si>
    <t>CHMN637</t>
  </si>
  <si>
    <t>Jankovic, Slavisa</t>
  </si>
  <si>
    <t>000138176</t>
  </si>
  <si>
    <t>jankovic@andrews.edu</t>
  </si>
  <si>
    <t>CHMN638</t>
  </si>
  <si>
    <t>McGuire-Moushon, Joni A.</t>
  </si>
  <si>
    <t>000118224</t>
  </si>
  <si>
    <t>mcguirej@andrews.edu</t>
  </si>
  <si>
    <t>CHMN639</t>
  </si>
  <si>
    <t>Moody, Jacob A.</t>
  </si>
  <si>
    <t>000141338</t>
  </si>
  <si>
    <t>moody@andrews.edu</t>
  </si>
  <si>
    <t>CHMN640</t>
  </si>
  <si>
    <t>Morrow, Laura K.</t>
  </si>
  <si>
    <t>000112615</t>
  </si>
  <si>
    <t>morrowl@andrews.edu</t>
  </si>
  <si>
    <t>CHMN641</t>
  </si>
  <si>
    <t>Nam, Daegeuk</t>
  </si>
  <si>
    <t>000032749</t>
  </si>
  <si>
    <t>CHMN643</t>
  </si>
  <si>
    <t>Ngo, Kim Chai</t>
  </si>
  <si>
    <t>000212413</t>
  </si>
  <si>
    <t>kimchai@andrews.edu</t>
  </si>
  <si>
    <t>CHMN644</t>
  </si>
  <si>
    <t>Olariu, Daniel</t>
  </si>
  <si>
    <t>000163538</t>
  </si>
  <si>
    <t>olariu@andrews.edu</t>
  </si>
  <si>
    <t>CHMN648</t>
  </si>
  <si>
    <t>Ponyatovsky, Felix</t>
  </si>
  <si>
    <t>000116220</t>
  </si>
  <si>
    <t>ponyatov@andrews.edu</t>
  </si>
  <si>
    <t>CHMN654</t>
  </si>
  <si>
    <t>Prestes Neto, Flavio</t>
  </si>
  <si>
    <t>000136415</t>
  </si>
  <si>
    <t>neto@andrews.edu</t>
  </si>
  <si>
    <t>CHMN656</t>
  </si>
  <si>
    <t>Rivas Santini, Abelardo J.</t>
  </si>
  <si>
    <t>000133197</t>
  </si>
  <si>
    <t>abelardo@andrews.edu</t>
  </si>
  <si>
    <t>CHMN659</t>
  </si>
  <si>
    <t>Rojas, Ronald</t>
  </si>
  <si>
    <t>000124643</t>
  </si>
  <si>
    <t>rojasr@andrews.edu</t>
  </si>
  <si>
    <t>CHMN660</t>
  </si>
  <si>
    <t>Ruiz Araica, Roger D.</t>
  </si>
  <si>
    <t>000148578</t>
  </si>
  <si>
    <t>ruizr@andrews.edu</t>
  </si>
  <si>
    <t>CHMN662</t>
  </si>
  <si>
    <t>Skinner, Jerome L.</t>
  </si>
  <si>
    <t>000117063</t>
  </si>
  <si>
    <t>skinnerj@andrews.edu</t>
  </si>
  <si>
    <t>CHMN665</t>
  </si>
  <si>
    <t>Sung, Sion</t>
  </si>
  <si>
    <t>000117882</t>
  </si>
  <si>
    <t>sion@andrews.edu</t>
  </si>
  <si>
    <t>CHMN669</t>
  </si>
  <si>
    <t>Tollerton, Evelyn Y.</t>
  </si>
  <si>
    <t>000117327</t>
  </si>
  <si>
    <t>tollerto@andrews.edu</t>
  </si>
  <si>
    <t>CHMN683</t>
  </si>
  <si>
    <t>Wiens, Roman</t>
  </si>
  <si>
    <t>000160271</t>
  </si>
  <si>
    <t>wiens@andrews.edu</t>
  </si>
  <si>
    <t>CHMN690</t>
  </si>
  <si>
    <t>Arias-Quintero, Jose A.</t>
  </si>
  <si>
    <t>000099625</t>
  </si>
  <si>
    <t>ariasqui@andrews.edu</t>
  </si>
  <si>
    <t>CHMN704</t>
  </si>
  <si>
    <t>Bell, Ora M.</t>
  </si>
  <si>
    <t>000015518</t>
  </si>
  <si>
    <t>sjbell@andrews.edu</t>
  </si>
  <si>
    <t>CHMN707</t>
  </si>
  <si>
    <t>Braun, Erlo</t>
  </si>
  <si>
    <t>000137172</t>
  </si>
  <si>
    <t>erlo@andrews.edu</t>
  </si>
  <si>
    <t>CHMN712</t>
  </si>
  <si>
    <t>Bullon, Alejandro</t>
  </si>
  <si>
    <t>000181820</t>
  </si>
  <si>
    <t>alejandrob@andrews.edu</t>
  </si>
  <si>
    <t>CHMN713</t>
  </si>
  <si>
    <t>Canals, Ramon J.</t>
  </si>
  <si>
    <t>000051912</t>
  </si>
  <si>
    <t>canals@andrews.edu</t>
  </si>
  <si>
    <t>CHMN714</t>
  </si>
  <si>
    <t>Cauley, Michael F.</t>
  </si>
  <si>
    <t>000025417</t>
  </si>
  <si>
    <t>cauleym@andrews.edu</t>
  </si>
  <si>
    <t>CHMN723</t>
  </si>
  <si>
    <t>Cauley, Michael R.</t>
  </si>
  <si>
    <t>000107141</t>
  </si>
  <si>
    <t>cauley@andrews.edu</t>
  </si>
  <si>
    <t>CHMN743</t>
  </si>
  <si>
    <t>Ceballos, Mario E.</t>
  </si>
  <si>
    <t>000039066</t>
  </si>
  <si>
    <t>ceballom@andrews.edu</t>
  </si>
  <si>
    <t>CHMN744</t>
  </si>
  <si>
    <t>Choque Fernandez, Juan</t>
  </si>
  <si>
    <t>000127674</t>
  </si>
  <si>
    <t>choque@andrews.edu</t>
  </si>
  <si>
    <t>CHMN747</t>
  </si>
  <si>
    <t>Evans, Tommy L.</t>
  </si>
  <si>
    <t>000063105</t>
  </si>
  <si>
    <t>tevans@andrews.edu</t>
  </si>
  <si>
    <t>CHMN748</t>
  </si>
  <si>
    <t>Li, Angela H.</t>
  </si>
  <si>
    <t>000225367</t>
  </si>
  <si>
    <t>angelal@andrews.edu</t>
  </si>
  <si>
    <t>CHMN751</t>
  </si>
  <si>
    <t>Liang, Onn</t>
  </si>
  <si>
    <t>000035691</t>
  </si>
  <si>
    <t>lianga@andrews.edu</t>
  </si>
  <si>
    <t>CHMN752</t>
  </si>
  <si>
    <t>Oudri, Gerardo</t>
  </si>
  <si>
    <t>000077975</t>
  </si>
  <si>
    <t>oudri@andrews.edu</t>
  </si>
  <si>
    <t>CHMN760</t>
  </si>
  <si>
    <t>Patterson, Stanley E.</t>
  </si>
  <si>
    <t>000030103</t>
  </si>
  <si>
    <t>patterss@andrews.edu</t>
  </si>
  <si>
    <t>CHMN763</t>
  </si>
  <si>
    <t>Penno, David K.</t>
  </si>
  <si>
    <t>000041639</t>
  </si>
  <si>
    <t>penno@andrews.edu</t>
  </si>
  <si>
    <t>CHMN767</t>
  </si>
  <si>
    <t>Ramirez, Johnny</t>
  </si>
  <si>
    <t>000030856</t>
  </si>
  <si>
    <t>johnnyr@andrews.edu</t>
  </si>
  <si>
    <t>CHMN773</t>
  </si>
  <si>
    <t>Rico, Jorge E.</t>
  </si>
  <si>
    <t>000051411</t>
  </si>
  <si>
    <t>rico@andrews.edu</t>
  </si>
  <si>
    <t>CHMN774</t>
  </si>
  <si>
    <t>Saravia, Yohalmo A.</t>
  </si>
  <si>
    <t>000046397</t>
  </si>
  <si>
    <t>saravia@andrews.edu</t>
  </si>
  <si>
    <t>CHMN776</t>
  </si>
  <si>
    <t>Schmidt, Eduard E.</t>
  </si>
  <si>
    <t>000041813</t>
  </si>
  <si>
    <t>eschmidt@andrews.edu</t>
  </si>
  <si>
    <t>CHMN778</t>
  </si>
  <si>
    <t>Sorajjakool, Siroj</t>
  </si>
  <si>
    <t>000050631</t>
  </si>
  <si>
    <t>siroj@andrews.edu</t>
  </si>
  <si>
    <t>CHMN779</t>
  </si>
  <si>
    <t>Wagener Smith, Anthony</t>
  </si>
  <si>
    <t>000118859</t>
  </si>
  <si>
    <t>wagenersmith@andrews.edu</t>
  </si>
  <si>
    <t>CHMN780</t>
  </si>
  <si>
    <t>Williams, Hyveth M.</t>
  </si>
  <si>
    <t>000049271</t>
  </si>
  <si>
    <t>hyveth@andrews.edu</t>
  </si>
  <si>
    <t>CHMN786</t>
  </si>
  <si>
    <t>Anderson, Paul S.</t>
  </si>
  <si>
    <t>000048877</t>
  </si>
  <si>
    <t>panderson@andrews.edu</t>
  </si>
  <si>
    <t>CHMN787</t>
  </si>
  <si>
    <t>Barcelo, Saul</t>
  </si>
  <si>
    <t>000233478</t>
  </si>
  <si>
    <t>CHMN885</t>
  </si>
  <si>
    <t>Coralie, Alain G.</t>
  </si>
  <si>
    <t>000076162</t>
  </si>
  <si>
    <t>coralie@andrews.edu</t>
  </si>
  <si>
    <t>CHMN890</t>
  </si>
  <si>
    <t>Crews, Heather L.</t>
  </si>
  <si>
    <t>000052089</t>
  </si>
  <si>
    <t>crewsh@andrews.edu</t>
  </si>
  <si>
    <t>CHMN897</t>
  </si>
  <si>
    <t>Ferreira, Sandy Y.</t>
  </si>
  <si>
    <t>000155280</t>
  </si>
  <si>
    <t>ferreirajim@andrews.edu</t>
  </si>
  <si>
    <t>CHMN905</t>
  </si>
  <si>
    <t>Galeniece, Anna</t>
  </si>
  <si>
    <t>000078997</t>
  </si>
  <si>
    <t>galeniec@andrews.edu</t>
  </si>
  <si>
    <t>CHMN940</t>
  </si>
  <si>
    <t>Grant, Vaughan K.</t>
  </si>
  <si>
    <t>000054097</t>
  </si>
  <si>
    <t>vaughang@andrews.edu</t>
  </si>
  <si>
    <t>DSLE503</t>
  </si>
  <si>
    <t>Grys, John W.</t>
  </si>
  <si>
    <t>000038918</t>
  </si>
  <si>
    <t>jgrys@andrews.edu</t>
  </si>
  <si>
    <t>DSLE534</t>
  </si>
  <si>
    <t>Jaeger, Victor A.</t>
  </si>
  <si>
    <t>000115524</t>
  </si>
  <si>
    <t>jaeger@andrews.edu</t>
  </si>
  <si>
    <t>DSLE541</t>
  </si>
  <si>
    <t>Kissinger, Evelyn G.</t>
  </si>
  <si>
    <t>000031535</t>
  </si>
  <si>
    <t>evelynk@andrews.edu</t>
  </si>
  <si>
    <t>DSLE546</t>
  </si>
  <si>
    <t>Kwon, Sung K.</t>
  </si>
  <si>
    <t>000073236</t>
  </si>
  <si>
    <t>kwons@andrews.edu</t>
  </si>
  <si>
    <t>DSLE564</t>
  </si>
  <si>
    <t>Ledesma, Janet</t>
  </si>
  <si>
    <t>000043873</t>
  </si>
  <si>
    <t>jledesma@andrews.edu</t>
  </si>
  <si>
    <t>Lewis, Michael L.</t>
  </si>
  <si>
    <t>000096645</t>
  </si>
  <si>
    <t>lewismi@andrews.edu</t>
  </si>
  <si>
    <t>DSLE605</t>
  </si>
  <si>
    <t>Madding, Timothy E.</t>
  </si>
  <si>
    <t>000069917</t>
  </si>
  <si>
    <t>madding@andrews.edu</t>
  </si>
  <si>
    <t>DSLE606</t>
  </si>
  <si>
    <t>Martin, Allan D.</t>
  </si>
  <si>
    <t>000090518</t>
  </si>
  <si>
    <t>DSLE607</t>
  </si>
  <si>
    <t>McLean, Errol N.</t>
  </si>
  <si>
    <t>000049564</t>
  </si>
  <si>
    <t>mcleane@andrews.edu</t>
  </si>
  <si>
    <t>DSLE608</t>
  </si>
  <si>
    <t>Ming, Marilyn D.</t>
  </si>
  <si>
    <t>000126678</t>
  </si>
  <si>
    <t>ming@andrews.edu</t>
  </si>
  <si>
    <t>DSLE610</t>
  </si>
  <si>
    <t>Morales, Xavier</t>
  </si>
  <si>
    <t>000139876</t>
  </si>
  <si>
    <t>moralesx@andrews.edu</t>
  </si>
  <si>
    <t>DSLE615</t>
  </si>
  <si>
    <t>Ramos Escobar, Walter</t>
  </si>
  <si>
    <t>000155460</t>
  </si>
  <si>
    <t>ramosescoba@andrews.edu</t>
  </si>
  <si>
    <t>DSLE616</t>
  </si>
  <si>
    <t>Rojas, Hugo E.</t>
  </si>
  <si>
    <t>000095431</t>
  </si>
  <si>
    <t>elir@andrews.edu</t>
  </si>
  <si>
    <t>DSLE620</t>
  </si>
  <si>
    <t>Sanou, Boubakar</t>
  </si>
  <si>
    <t>000098144</t>
  </si>
  <si>
    <t>sanou@andrews.edu</t>
  </si>
  <si>
    <t>DSLE626</t>
  </si>
  <si>
    <t>Taiwo, Moses O.</t>
  </si>
  <si>
    <t>000051532</t>
  </si>
  <si>
    <t>taiwo@andrews.edu</t>
  </si>
  <si>
    <t>Thordarson, Throstur B.</t>
  </si>
  <si>
    <t>000028045</t>
  </si>
  <si>
    <t>throstur@andrews.edu</t>
  </si>
  <si>
    <t>DSLE635</t>
  </si>
  <si>
    <t>Trecartin, Shannon M.</t>
  </si>
  <si>
    <t>000133204</t>
  </si>
  <si>
    <t>trecarts@andrews.edu</t>
  </si>
  <si>
    <t>DSLE636</t>
  </si>
  <si>
    <t>Tsui, Terry M.</t>
  </si>
  <si>
    <t>000120498</t>
  </si>
  <si>
    <t>tsui@andrews.edu</t>
  </si>
  <si>
    <t>Vatel, Marie S.</t>
  </si>
  <si>
    <t>000074539</t>
  </si>
  <si>
    <t>vatelm@andrews.edu</t>
  </si>
  <si>
    <t>DSLE651</t>
  </si>
  <si>
    <t>Wellington, Rohann D.</t>
  </si>
  <si>
    <t>000110327</t>
  </si>
  <si>
    <t>rohann@andrews.edu</t>
  </si>
  <si>
    <t>DSLE652</t>
  </si>
  <si>
    <t>Wood, H Stanley</t>
  </si>
  <si>
    <t>000241606</t>
  </si>
  <si>
    <t>woodh@andrews.edu</t>
  </si>
  <si>
    <t>DSLE655</t>
  </si>
  <si>
    <t>Young, Dustin R.</t>
  </si>
  <si>
    <t>000234751</t>
  </si>
  <si>
    <t>dustiny@andrews.edu</t>
  </si>
  <si>
    <t>DSLE656</t>
  </si>
  <si>
    <t>Alexe, Cristina A.</t>
  </si>
  <si>
    <t>000134154</t>
  </si>
  <si>
    <t>alexe@andrews.edu</t>
  </si>
  <si>
    <t>DSLE657</t>
  </si>
  <si>
    <t>Andvik, Lidvar</t>
  </si>
  <si>
    <t>000148465</t>
  </si>
  <si>
    <t>lidvar@andrews.edu</t>
  </si>
  <si>
    <t>DSLE658</t>
  </si>
  <si>
    <t>Arena, Timothy J.</t>
  </si>
  <si>
    <t>000148323</t>
  </si>
  <si>
    <t>arena@andrews.edu</t>
  </si>
  <si>
    <t>DSLE659</t>
  </si>
  <si>
    <t>Baldwin, John T.</t>
  </si>
  <si>
    <t>000001902</t>
  </si>
  <si>
    <t>baldwin@andrews.edu</t>
  </si>
  <si>
    <t>DSLE660</t>
  </si>
  <si>
    <t>Bentancur, Ricardo</t>
  </si>
  <si>
    <t>000193021</t>
  </si>
  <si>
    <t>bentancur@andrews.edu</t>
  </si>
  <si>
    <t>DSLE661</t>
  </si>
  <si>
    <t>Blue, Katrina B.</t>
  </si>
  <si>
    <t>000133676</t>
  </si>
  <si>
    <t>large@andrews.edu</t>
  </si>
  <si>
    <t>DSLE662</t>
  </si>
  <si>
    <t>Canale, Fernando</t>
  </si>
  <si>
    <t>000033285</t>
  </si>
  <si>
    <t>canale@andrews.edu</t>
  </si>
  <si>
    <t>Covrig, Duane M.</t>
  </si>
  <si>
    <t>000125642</t>
  </si>
  <si>
    <t>covrig@andrews.edu</t>
  </si>
  <si>
    <t>DSLE669</t>
  </si>
  <si>
    <t>Dei, Daniel</t>
  </si>
  <si>
    <t>000214349</t>
  </si>
  <si>
    <t>dei@andrews.edu</t>
  </si>
  <si>
    <t>DSLE670</t>
  </si>
  <si>
    <t>Drew, Arlyn S.</t>
  </si>
  <si>
    <t>000043384</t>
  </si>
  <si>
    <t>drewa@andrews.edu</t>
  </si>
  <si>
    <t>DSLE675</t>
  </si>
  <si>
    <t>Dupertuis, Atilio R.</t>
  </si>
  <si>
    <t>000001928</t>
  </si>
  <si>
    <t>dupera@andrews.edu</t>
  </si>
  <si>
    <t>DSLE676</t>
  </si>
  <si>
    <t>Duran Royo, Noemi</t>
  </si>
  <si>
    <t>000210558</t>
  </si>
  <si>
    <t>duranroyo@andrews.edu</t>
  </si>
  <si>
    <t>DSLE677</t>
  </si>
  <si>
    <t>Gibbs, Nathaniel</t>
  </si>
  <si>
    <t>000146529</t>
  </si>
  <si>
    <t>gibbsn@andrews.edu</t>
  </si>
  <si>
    <t>DSLE678</t>
  </si>
  <si>
    <t>Hanna, Martin F.</t>
  </si>
  <si>
    <t>000057080</t>
  </si>
  <si>
    <t>mhanna@andrews.edu</t>
  </si>
  <si>
    <t>DSLE679</t>
  </si>
  <si>
    <t>Jankiewicz, Darius W.</t>
  </si>
  <si>
    <t>000069427</t>
  </si>
  <si>
    <t>darius@andrews.edu</t>
  </si>
  <si>
    <t>Jeroncic, Ante</t>
  </si>
  <si>
    <t>000066942</t>
  </si>
  <si>
    <t>jeroncic@andrews.edu</t>
  </si>
  <si>
    <t>Kis, Miroslav M.</t>
  </si>
  <si>
    <t>000022704</t>
  </si>
  <si>
    <t>DSLE681</t>
  </si>
  <si>
    <t>Kormos, Erik</t>
  </si>
  <si>
    <t>000207932</t>
  </si>
  <si>
    <t>kormos@andrews.edu</t>
  </si>
  <si>
    <t>DSLE685</t>
  </si>
  <si>
    <t>Koval, Bohdan</t>
  </si>
  <si>
    <t>000163303</t>
  </si>
  <si>
    <t>koval@andrews.edu</t>
  </si>
  <si>
    <t>DSLE690</t>
  </si>
  <si>
    <t>Peckham, John C.</t>
  </si>
  <si>
    <t>000116996</t>
  </si>
  <si>
    <t>jpeckham@andrews.edu</t>
  </si>
  <si>
    <t>DSLE699</t>
  </si>
  <si>
    <t>Plantak, Zorislav</t>
  </si>
  <si>
    <t>000104055</t>
  </si>
  <si>
    <t>zplantak@andrews.edu</t>
  </si>
  <si>
    <t>DSLE705</t>
  </si>
  <si>
    <t>Razmerita, Gheorghe</t>
  </si>
  <si>
    <t>000087063</t>
  </si>
  <si>
    <t>razmerita@andrews.edu</t>
  </si>
  <si>
    <t>DSLE709</t>
  </si>
  <si>
    <t>Rodrigues, Adriani M.</t>
  </si>
  <si>
    <t>000145425</t>
  </si>
  <si>
    <t>adriani@andrews.edu</t>
  </si>
  <si>
    <t>DSLE748</t>
  </si>
  <si>
    <t>Sciarabba, Davide</t>
  </si>
  <si>
    <t>000138600</t>
  </si>
  <si>
    <t>sciarabb@andrews.edu</t>
  </si>
  <si>
    <t>DSLE749</t>
  </si>
  <si>
    <t>Szallos-Farkas, Zoltan</t>
  </si>
  <si>
    <t>000067911</t>
  </si>
  <si>
    <t>zoltan@andrews.edu</t>
  </si>
  <si>
    <t>DSLE830</t>
  </si>
  <si>
    <t>Terreros, Marco T.</t>
  </si>
  <si>
    <t>000054615</t>
  </si>
  <si>
    <t>terreros@andrews.edu</t>
  </si>
  <si>
    <t>DSLE850</t>
  </si>
  <si>
    <t>Tornalejo, Remwil R.</t>
  </si>
  <si>
    <t>000208503</t>
  </si>
  <si>
    <t>tornalejo@andrews.edu</t>
  </si>
  <si>
    <t>DSLE860</t>
  </si>
  <si>
    <t>Wetterlin, Cory D.</t>
  </si>
  <si>
    <t>000095321</t>
  </si>
  <si>
    <t>wetterli@andrews.edu</t>
  </si>
  <si>
    <t>DSLE870</t>
  </si>
  <si>
    <t>Zaitsev, Eugene V.</t>
  </si>
  <si>
    <t>000065636</t>
  </si>
  <si>
    <t>eugenez@andrews.edu</t>
  </si>
  <si>
    <t>DSLE878</t>
  </si>
  <si>
    <t>Bauer, Bruce L.</t>
  </si>
  <si>
    <t>000003023</t>
  </si>
  <si>
    <t>bbauer@andrews.edu</t>
  </si>
  <si>
    <t>DSLE880</t>
  </si>
  <si>
    <t>Cincala, Petr</t>
  </si>
  <si>
    <t>000074406</t>
  </si>
  <si>
    <t>cincala@andrews.edu</t>
  </si>
  <si>
    <t>DSLE885</t>
  </si>
  <si>
    <t>Dementyev, Vadim</t>
  </si>
  <si>
    <t>000121343</t>
  </si>
  <si>
    <t>dementyev@andrews.edu</t>
  </si>
  <si>
    <t>Doss, Cheryl D.</t>
  </si>
  <si>
    <t>000011280</t>
  </si>
  <si>
    <t>dossc@andrews.edu</t>
  </si>
  <si>
    <t>DSLE890</t>
  </si>
  <si>
    <t>Doss, Gorden R.</t>
  </si>
  <si>
    <t>000016109</t>
  </si>
  <si>
    <t>dossg@andrews.edu</t>
  </si>
  <si>
    <t>DSLE930</t>
  </si>
  <si>
    <t>Drumi, Iurii N.</t>
  </si>
  <si>
    <t>000092262</t>
  </si>
  <si>
    <t>drumi@andrews.edu</t>
  </si>
  <si>
    <t>DSLE950</t>
  </si>
  <si>
    <t>Duffis Gordon, Daniel M.</t>
  </si>
  <si>
    <t>000159832</t>
  </si>
  <si>
    <t>duffisgordo@andrews.edu</t>
  </si>
  <si>
    <t>DSLE994</t>
  </si>
  <si>
    <t>Dybdahl, Jon L.</t>
  </si>
  <si>
    <t>000006149</t>
  </si>
  <si>
    <t>dybdahl@andrews.edu</t>
  </si>
  <si>
    <t>DSLE995</t>
  </si>
  <si>
    <t>Dybdahl, Paul B.</t>
  </si>
  <si>
    <t>000069738</t>
  </si>
  <si>
    <t>dybdahlp@andrews.edu</t>
  </si>
  <si>
    <t>DSRE503</t>
  </si>
  <si>
    <t>Goya Rozas, Ignacio</t>
  </si>
  <si>
    <t>000151900</t>
  </si>
  <si>
    <t>goya@andrews.edu</t>
  </si>
  <si>
    <t>DSRE507</t>
  </si>
  <si>
    <t>Guerrero Romero, Abraham I.</t>
  </si>
  <si>
    <t>000134376</t>
  </si>
  <si>
    <t>abrahamg@andrews.edu</t>
  </si>
  <si>
    <t>DSRE534</t>
  </si>
  <si>
    <t>Guirguis, Youssry L.</t>
  </si>
  <si>
    <t>000229579</t>
  </si>
  <si>
    <t>youssry@andrews.edu</t>
  </si>
  <si>
    <t>DSRE541</t>
  </si>
  <si>
    <t>Hunter, Claval I.</t>
  </si>
  <si>
    <t>000124366</t>
  </si>
  <si>
    <t>claval@andrews.edu</t>
  </si>
  <si>
    <t>DSRE543</t>
  </si>
  <si>
    <t>Ialyshev, Kemil K.</t>
  </si>
  <si>
    <t>000123480</t>
  </si>
  <si>
    <t>yalyshev@andrews.edu</t>
  </si>
  <si>
    <t>DSRE546</t>
  </si>
  <si>
    <t>Insom, Surachet</t>
  </si>
  <si>
    <t>000089320</t>
  </si>
  <si>
    <t>surachet@andrews.edu</t>
  </si>
  <si>
    <t>DSRE564</t>
  </si>
  <si>
    <t>Krause, Gary D.</t>
  </si>
  <si>
    <t>000231151</t>
  </si>
  <si>
    <t>gkrause@andrews.edu</t>
  </si>
  <si>
    <t>DSRE605</t>
  </si>
  <si>
    <t>Kuhn, Wagner</t>
  </si>
  <si>
    <t>000067555</t>
  </si>
  <si>
    <t>kuhn@andrews.edu</t>
  </si>
  <si>
    <t>DSRE606</t>
  </si>
  <si>
    <t>Maier, Rudolf</t>
  </si>
  <si>
    <t>000019537</t>
  </si>
  <si>
    <t>rmaier@andrews.edu</t>
  </si>
  <si>
    <t>DSRE608</t>
  </si>
  <si>
    <t>McEdward, Richard E.</t>
  </si>
  <si>
    <t>000062229</t>
  </si>
  <si>
    <t>mcedward@andrews.edu</t>
  </si>
  <si>
    <t>DSRE610</t>
  </si>
  <si>
    <t>Mercado, Carmelo</t>
  </si>
  <si>
    <t>000016682</t>
  </si>
  <si>
    <t>cmercado@andrews.edu</t>
  </si>
  <si>
    <t>DSRE615</t>
  </si>
  <si>
    <t>Merklin, Lester P.</t>
  </si>
  <si>
    <t>000019722</t>
  </si>
  <si>
    <t>lmerklin@andrews.edu</t>
  </si>
  <si>
    <t>DSRE616</t>
  </si>
  <si>
    <t>Namoradze, Sergo</t>
  </si>
  <si>
    <t>000112386</t>
  </si>
  <si>
    <t>sergo@andrews.edu</t>
  </si>
  <si>
    <t>DSRE619</t>
  </si>
  <si>
    <t>Onongha, Kelvin O.</t>
  </si>
  <si>
    <t>000056502</t>
  </si>
  <si>
    <t>onongha@andrews.edu</t>
  </si>
  <si>
    <t>DSRE620</t>
  </si>
  <si>
    <t>Osindo, Oscar</t>
  </si>
  <si>
    <t>000160575</t>
  </si>
  <si>
    <t>osindo@andrews.edu</t>
  </si>
  <si>
    <t>DSRE626</t>
  </si>
  <si>
    <t>Phillips, Gabriela F.</t>
  </si>
  <si>
    <t>000144385</t>
  </si>
  <si>
    <t>profetadep@andrews.edu</t>
  </si>
  <si>
    <t>DSRE630</t>
  </si>
  <si>
    <t>Tompkins, Andrew J.</t>
  </si>
  <si>
    <t>000122109</t>
  </si>
  <si>
    <t>tompkina@andrews.edu</t>
  </si>
  <si>
    <t>DSRE635</t>
  </si>
  <si>
    <t>William, Michelet</t>
  </si>
  <si>
    <t>000089121</t>
  </si>
  <si>
    <t>micheletw@andrews.edu</t>
  </si>
  <si>
    <t>DSRE636</t>
  </si>
  <si>
    <t>Zhanikaev, Makhti K.</t>
  </si>
  <si>
    <t>000160361</t>
  </si>
  <si>
    <t>makhti@andrews.edu</t>
  </si>
  <si>
    <t>DSRE651</t>
  </si>
  <si>
    <t>Zubkov, Pavel A.</t>
  </si>
  <si>
    <t>000126778</t>
  </si>
  <si>
    <t>zubkov@andrews.edu</t>
  </si>
  <si>
    <t>DSRE652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</si>
  <si>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</si>
  <si>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</si>
  <si>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</si>
  <si>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</si>
  <si>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</si>
  <si>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</si>
  <si>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</si>
  <si>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</si>
  <si>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</si>
  <si>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</si>
  <si>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</si>
  <si>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</si>
  <si>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</si>
  <si>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</si>
  <si>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</si>
  <si>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</si>
  <si>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</si>
  <si>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</si>
  <si>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</si>
  <si>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</si>
  <si>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</si>
  <si>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</si>
  <si>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</si>
  <si>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</si>
  <si>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</si>
  <si>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</si>
  <si>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</si>
  <si>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</si>
  <si>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</si>
  <si>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</si>
  <si>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</si>
  <si>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</si>
  <si>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</si>
  <si>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</si>
  <si>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</si>
  <si>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</si>
  <si>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</si>
  <si>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</si>
  <si>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</si>
  <si>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</si>
  <si>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</si>
  <si>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</si>
  <si>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</si>
  <si>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</si>
  <si>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</si>
  <si>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</si>
  <si>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</si>
  <si>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</si>
  <si>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</si>
  <si>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</si>
  <si>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</si>
  <si>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</si>
  <si>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</si>
  <si>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</si>
  <si>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</si>
  <si>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</si>
  <si>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</si>
  <si>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</si>
  <si>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</si>
  <si>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</si>
  <si>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</si>
  <si>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</si>
  <si>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</si>
  <si>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</si>
  <si>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</si>
  <si>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</si>
  <si>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</si>
  <si>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</si>
  <si>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</si>
  <si>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</si>
  <si>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</si>
  <si>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</si>
  <si>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</si>
  <si>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</si>
  <si>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</si>
  <si>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</si>
  <si>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</si>
  <si>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</si>
  <si>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</si>
  <si>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</si>
  <si>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</si>
  <si>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</si>
  <si>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</si>
  <si>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</si>
  <si>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</si>
  <si>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</si>
  <si>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</si>
  <si>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</si>
  <si>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</si>
  <si>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</si>
  <si>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</si>
  <si>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</si>
  <si>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</si>
  <si>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</si>
  <si>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</si>
  <si>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</si>
  <si>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</si>
  <si>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</si>
  <si>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</si>
  <si>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</si>
  <si>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</si>
  <si>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</si>
  <si>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</si>
  <si>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</si>
  <si>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</si>
  <si>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</si>
  <si>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</si>
  <si>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</si>
  <si>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</si>
  <si>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</si>
  <si>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</si>
  <si>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</si>
  <si>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</si>
  <si>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</si>
  <si>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</si>
  <si>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</si>
  <si>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</si>
  <si>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</si>
  <si>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</si>
  <si>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</si>
  <si>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</si>
  <si>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</si>
  <si>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</si>
  <si>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</si>
  <si>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</si>
  <si>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</si>
  <si>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</si>
  <si>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</si>
  <si>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</si>
  <si>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</si>
  <si>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</si>
  <si>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</si>
  <si>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</si>
  <si>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</si>
  <si>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</si>
  <si>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</si>
  <si>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</si>
  <si>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</si>
  <si>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</si>
  <si>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</si>
  <si>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</si>
  <si>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</si>
  <si>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</si>
  <si>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</si>
  <si>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</si>
  <si>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</si>
  <si>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</si>
  <si>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</si>
  <si>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</si>
  <si>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</si>
  <si>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</si>
  <si>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</si>
  <si>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</si>
  <si>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</si>
  <si>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</si>
  <si>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</si>
  <si>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</si>
  <si>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</si>
  <si>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</si>
  <si>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</si>
  <si>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</si>
  <si>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</si>
  <si>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</si>
  <si>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</si>
  <si>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</si>
  <si>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</si>
  <si>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</si>
  <si>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</si>
  <si>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</si>
  <si>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</si>
  <si>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</si>
  <si>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</si>
  <si>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</si>
  <si>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</si>
  <si>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</si>
  <si>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</si>
  <si>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</si>
  <si>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</si>
  <si>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</si>
  <si>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</si>
  <si>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</si>
  <si>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</si>
  <si>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</si>
  <si>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</si>
  <si>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</si>
  <si>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</si>
  <si>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</si>
  <si>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</si>
  <si>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</si>
  <si>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</si>
  <si>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</si>
  <si>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</si>
  <si>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</si>
  <si>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</si>
  <si>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</si>
  <si>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</si>
  <si>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</si>
  <si>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</si>
  <si>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</si>
  <si>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</si>
  <si>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</si>
  <si>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</si>
  <si>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</si>
  <si>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</si>
  <si>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</si>
  <si>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</si>
  <si>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</si>
  <si>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</si>
  <si>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</si>
  <si>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</si>
  <si>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</si>
  <si>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</si>
  <si>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</si>
  <si>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</si>
  <si>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</si>
  <si>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</si>
  <si>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</si>
  <si>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</si>
  <si>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</si>
  <si>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</si>
  <si>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</si>
  <si>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</si>
  <si>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</si>
  <si>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</si>
  <si>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</si>
  <si>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</si>
  <si>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</si>
  <si>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</si>
  <si>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</si>
  <si>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</si>
  <si>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</si>
  <si>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</si>
  <si>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</si>
  <si>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</si>
  <si>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</si>
  <si>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</si>
  <si>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</si>
  <si>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</si>
  <si>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</si>
  <si>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</si>
  <si>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</si>
  <si>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</si>
  <si>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</si>
  <si>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</si>
  <si>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</si>
  <si>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</si>
  <si>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</si>
  <si>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</si>
  <si>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</si>
  <si>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</si>
  <si>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</si>
  <si>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</si>
  <si>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</si>
  <si>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</si>
  <si>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</si>
  <si>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</si>
  <si>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</si>
  <si>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</si>
  <si>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</si>
  <si>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</si>
  <si>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</si>
  <si>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</si>
  <si>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</si>
  <si>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</si>
  <si>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</si>
  <si>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</si>
  <si>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</si>
  <si>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</si>
  <si>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</si>
  <si>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</si>
  <si>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</si>
  <si>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</si>
  <si>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</si>
  <si>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</si>
  <si>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</si>
  <si>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</si>
  <si>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</si>
  <si>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</si>
  <si>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</si>
  <si>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</si>
  <si>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</si>
  <si>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</si>
  <si>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</si>
  <si>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</si>
  <si>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</si>
  <si>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</si>
  <si>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</si>
  <si>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</si>
  <si>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</si>
  <si>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</si>
  <si>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</si>
  <si>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</si>
  <si>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</si>
  <si>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</si>
  <si>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</si>
  <si>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</si>
  <si>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</si>
  <si>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</si>
  <si>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</si>
  <si>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</si>
  <si>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</si>
  <si>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</si>
  <si>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</si>
  <si>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</si>
  <si>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</si>
  <si>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</si>
  <si>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</si>
  <si>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</si>
  <si>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</si>
  <si>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</si>
  <si>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</si>
  <si>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</si>
  <si>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</si>
  <si>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</si>
  <si>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</si>
  <si>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</si>
  <si>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</si>
  <si>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</si>
  <si>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</si>
  <si>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</si>
  <si>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</si>
  <si>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</si>
  <si>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</si>
  <si>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</si>
  <si>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</si>
  <si>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</si>
  <si>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</si>
  <si>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</si>
  <si>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</si>
  <si>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</si>
  <si>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</si>
  <si>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</si>
  <si>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</si>
  <si>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</si>
  <si>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</si>
  <si>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</si>
  <si>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</si>
  <si>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</si>
  <si>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</si>
  <si>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</si>
  <si>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</si>
  <si>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</si>
  <si>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</si>
  <si>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</si>
  <si>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</si>
  <si>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</si>
  <si>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</si>
  <si>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</si>
  <si>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</si>
  <si>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</si>
  <si>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</si>
  <si>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</si>
  <si>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</si>
  <si>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</si>
  <si>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</si>
  <si>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</si>
  <si>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</si>
  <si>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</si>
  <si>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</si>
  <si>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</si>
  <si>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</si>
  <si>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</si>
  <si>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</si>
  <si>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</si>
  <si>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</si>
  <si>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</si>
  <si>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</si>
  <si>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</si>
  <si>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</si>
  <si>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</si>
  <si>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DSLE</t>
  </si>
  <si>
    <t>NTST</t>
  </si>
  <si>
    <t>OTST</t>
  </si>
  <si>
    <t>PATH</t>
  </si>
  <si>
    <t>THCP</t>
  </si>
  <si>
    <t>WMIS</t>
  </si>
  <si>
    <t>course</t>
  </si>
  <si>
    <t>catalog title</t>
  </si>
  <si>
    <t>Archaeology and the Bible</t>
  </si>
  <si>
    <t>Bible Lands&amp; Their Exploration</t>
  </si>
  <si>
    <t>Hist of the Ancient Near East</t>
  </si>
  <si>
    <t>Ancient Near Eastern Lang</t>
  </si>
  <si>
    <t>Paleo-Christian Archaeology</t>
  </si>
  <si>
    <t>Archaeology of Palestine</t>
  </si>
  <si>
    <t>Sem Arch &amp; Hist of Antiquity</t>
  </si>
  <si>
    <t>Bib. Lands &amp; Exploration</t>
  </si>
  <si>
    <t>NT Archaeology</t>
  </si>
  <si>
    <t>Archaeological Field Work</t>
  </si>
  <si>
    <t>Res, Method &amp; Theory in Arch</t>
  </si>
  <si>
    <t>Independent Study</t>
  </si>
  <si>
    <t>Directed Studies</t>
  </si>
  <si>
    <t>Historical Geog Anc Near East</t>
  </si>
  <si>
    <t>Near Eastern Archaeology</t>
  </si>
  <si>
    <t>Adv Archaeology of Palestine</t>
  </si>
  <si>
    <t>Adv Archaeology of NT Period</t>
  </si>
  <si>
    <t>Adv Arch Field Work</t>
  </si>
  <si>
    <t>Adv Resrch, Methd&amp;Thry in Arch</t>
  </si>
  <si>
    <t>Topics In:</t>
  </si>
  <si>
    <t>Directed Rdg in Hist&amp;Arch St</t>
  </si>
  <si>
    <t>Ind St:</t>
  </si>
  <si>
    <t>Sem Adv Arch&amp;Hist of Antiquity</t>
  </si>
  <si>
    <t>Advent Hist,Life&amp;Writings EGW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</si>
  <si>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</si>
  <si>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</si>
  <si>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</si>
  <si>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</si>
  <si>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</si>
  <si>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</si>
  <si>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</si>
  <si>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Hist of Seventh-day Adv Theo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</si>
  <si>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</si>
  <si>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</si>
  <si>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</si>
  <si>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</si>
  <si>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</si>
  <si>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</si>
  <si>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Reformation Theology</t>
  </si>
  <si>
    <t>Hist of GC, Cov, Law&amp;Sabbath</t>
  </si>
  <si>
    <t>Reformation:</t>
  </si>
  <si>
    <t>Seminar in Adventist Studies</t>
  </si>
  <si>
    <t>Engl Reformatn &amp; Rise Puritnsm</t>
  </si>
  <si>
    <t>Sem Hst Select Christn Doct</t>
  </si>
  <si>
    <t>Hist of Relg in America</t>
  </si>
  <si>
    <t>Hist of American Relg Thought</t>
  </si>
  <si>
    <t>Modern Church History</t>
  </si>
  <si>
    <t>History of Relg Liberty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</si>
  <si>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</si>
  <si>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</si>
  <si>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</si>
  <si>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</si>
  <si>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</si>
  <si>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</si>
  <si>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Sem Hist of Sabbath &amp; Sunday</t>
  </si>
  <si>
    <t>Studies in Church History</t>
  </si>
  <si>
    <t>Develop Prophetic Interpretatn</t>
  </si>
  <si>
    <t>Contemporary Trends</t>
  </si>
  <si>
    <t>History of Worship and Liturgy</t>
  </si>
  <si>
    <t>Topics in Church History:</t>
  </si>
  <si>
    <t>Top in Advnt St _____</t>
  </si>
  <si>
    <t>Hist. Res. &amp; Historiography</t>
  </si>
  <si>
    <t>Topics in</t>
  </si>
  <si>
    <t>Directed Rdg in Church History</t>
  </si>
  <si>
    <t>Independent Study:</t>
  </si>
  <si>
    <t>IndSty in Adv St:</t>
  </si>
  <si>
    <t>Directed Rdg Adventist Studies</t>
  </si>
  <si>
    <t>Seminar in Church History:</t>
  </si>
  <si>
    <t>Seminar in Adventist Studies:</t>
  </si>
  <si>
    <t>Sem Development SDA Doctrines</t>
  </si>
  <si>
    <t>Public Evangelism (Hispanic)</t>
  </si>
  <si>
    <t>Death &amp; Grief Contemp Society</t>
  </si>
  <si>
    <t>Topics in Ministry</t>
  </si>
  <si>
    <t>Worship:Word &amp; Music</t>
  </si>
  <si>
    <t>Hisp/Amer Culture &amp; Challenges</t>
  </si>
  <si>
    <t>Conflict Management</t>
  </si>
  <si>
    <t>Bilingual Ministry</t>
  </si>
  <si>
    <t>Church Grwth&amp; Equipping Pastor</t>
  </si>
  <si>
    <t>Christn Lead in a Chnging Wrld</t>
  </si>
  <si>
    <t>Marriage and Family</t>
  </si>
  <si>
    <t>Mobilizing Laity Minstry Evang</t>
  </si>
  <si>
    <t>Mobilizing for Evang Min</t>
  </si>
  <si>
    <t>Mssn-Shaped Church Planting</t>
  </si>
  <si>
    <t>Preaching from the Old Testmnt</t>
  </si>
  <si>
    <t>Innovative Evangelism</t>
  </si>
  <si>
    <t>Seminar in Preaching</t>
  </si>
  <si>
    <t>Evang Small Groups</t>
  </si>
  <si>
    <t>Mssn Church in West Culture</t>
  </si>
  <si>
    <t>Church Intergeneratnl Contexts</t>
  </si>
  <si>
    <t>Transformational Leadership</t>
  </si>
  <si>
    <t>Transfrm Lead&amp;Org Sys Thinking</t>
  </si>
  <si>
    <t>Discipling Leaders for Mission</t>
  </si>
  <si>
    <t>Theo&amp;Soc Sc Fnd ME/MC Miss&amp;Min</t>
  </si>
  <si>
    <t>Prophetic Preach in Worship</t>
  </si>
  <si>
    <t>A History of Preaching</t>
  </si>
  <si>
    <t>Christian Leadership</t>
  </si>
  <si>
    <t>Preach Literary Forms of Bible</t>
  </si>
  <si>
    <t>Relationl Dynamics&amp;IGEN Church</t>
  </si>
  <si>
    <t>Discipling Congregational Ldrs</t>
  </si>
  <si>
    <t>Adv Ldshp Competencies</t>
  </si>
  <si>
    <t>Effective Strategic Growth</t>
  </si>
  <si>
    <t>Formatn Evangelistic Strategy</t>
  </si>
  <si>
    <t>Health Care Leadership</t>
  </si>
  <si>
    <t>The Church in the City</t>
  </si>
  <si>
    <t>Urban Church Leadership&amp;Mgmt</t>
  </si>
  <si>
    <t>Ch Growth&amp;Discipleshp Urban Ch</t>
  </si>
  <si>
    <t>Leading Growth</t>
  </si>
  <si>
    <t>Leading&amp;Managing Church Org</t>
  </si>
  <si>
    <t>Clinical Issues in Care&amp;Counsl</t>
  </si>
  <si>
    <t>Theory&amp;Rsrch in Chaplaincy</t>
  </si>
  <si>
    <t>Topics in:</t>
  </si>
  <si>
    <t>Marriage, Fam&amp;Interprsnl Reltn</t>
  </si>
  <si>
    <t>Ministry to Youth&amp;Yng Adlt</t>
  </si>
  <si>
    <t>Fndtns of Biblicl Spirituality</t>
  </si>
  <si>
    <t>Marriage &amp; Family</t>
  </si>
  <si>
    <t>Adv Yth&amp;Yng Adlt Min Ldrshp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</si>
  <si>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</si>
  <si>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</si>
  <si>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</si>
  <si>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</si>
  <si>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</si>
  <si>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</si>
  <si>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</si>
  <si>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</si>
  <si>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</si>
  <si>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Ministry to At-Risk Youth</t>
  </si>
  <si>
    <t>Discipling At-Risk Youth</t>
  </si>
  <si>
    <t>Christian Persp on Prof Ethics</t>
  </si>
  <si>
    <t>Seminar in Youth Ministry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</si>
  <si>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</si>
  <si>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</si>
  <si>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</si>
  <si>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</si>
  <si>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</si>
  <si>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</si>
  <si>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</si>
  <si>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</si>
  <si>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</si>
  <si>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</si>
  <si>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Field Practicum: Professional</t>
  </si>
  <si>
    <t>Advanced Campus Ministry</t>
  </si>
  <si>
    <t>Reaching the Secular Mind</t>
  </si>
  <si>
    <t>Reaching Out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</si>
  <si>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</si>
  <si>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</si>
  <si>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</si>
  <si>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</si>
  <si>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</si>
  <si>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Practicum:________</t>
  </si>
  <si>
    <t>Field Practicum:</t>
  </si>
  <si>
    <t>Field Practicum: Academic</t>
  </si>
  <si>
    <t>Cultural Concerns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</si>
  <si>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</si>
  <si>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</si>
  <si>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</si>
  <si>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</si>
  <si>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</si>
  <si>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</si>
  <si>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</si>
  <si>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Teaching Religion in College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</si>
  <si>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</si>
  <si>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</si>
  <si>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</si>
  <si>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</si>
  <si>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</si>
  <si>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</si>
  <si>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</si>
  <si>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</si>
  <si>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</si>
  <si>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Assmnt Treatmt Victim Violence</t>
  </si>
  <si>
    <t>Pers Pract Dis&amp;Bibl Spirtualty</t>
  </si>
  <si>
    <t>Mentoring&amp;Coaching Discipleshp</t>
  </si>
  <si>
    <t>Persp on Yth Min Ldrshp Strat</t>
  </si>
  <si>
    <t>Ministry to Fam in Context</t>
  </si>
  <si>
    <t>Adv Youth&amp;Young Adult Min</t>
  </si>
  <si>
    <t>New Student Orientation</t>
  </si>
  <si>
    <t>Colloquium:</t>
  </si>
  <si>
    <t>Rev, Inspir &amp; Herm</t>
  </si>
  <si>
    <t>Daniel &amp; Revelation</t>
  </si>
  <si>
    <t>Intro to Biblical Hermeneutics</t>
  </si>
  <si>
    <t>Methods in Biblical &amp; Theo Res</t>
  </si>
  <si>
    <t>The Bible and Biblical History</t>
  </si>
  <si>
    <t>The Bible &amp; Biblical History</t>
  </si>
  <si>
    <t>Doctrine of the Sanctuary</t>
  </si>
  <si>
    <t>Iss in E G White Studies</t>
  </si>
  <si>
    <t>Issu in Origins</t>
  </si>
  <si>
    <t>In-Ministry Continuation</t>
  </si>
  <si>
    <t>Research Methods</t>
  </si>
  <si>
    <t>Contemp Adv Theol Issues</t>
  </si>
  <si>
    <t>Issues in Daniel &amp; Revelation</t>
  </si>
  <si>
    <t>Grt Controversy, Cov, Law, Sab</t>
  </si>
  <si>
    <t>Workshop</t>
  </si>
  <si>
    <t>Guided Study Tour Bible Lands</t>
  </si>
  <si>
    <t>Study Tour: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</si>
  <si>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</si>
  <si>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</si>
  <si>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</si>
  <si>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</si>
  <si>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</si>
  <si>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</si>
  <si>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MA Thesis</t>
  </si>
  <si>
    <t>Master of Divinity Thesis</t>
  </si>
  <si>
    <t>DMin Program Orientation</t>
  </si>
  <si>
    <t>Spiritual&amp;Theo Found Ministry</t>
  </si>
  <si>
    <t>DMin Professional Portfolio</t>
  </si>
  <si>
    <t>DMin Prof Dissertation Cont</t>
  </si>
  <si>
    <t>DMin Prof. Dissertation Cont</t>
  </si>
  <si>
    <t>DMin Program Continuation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</si>
  <si>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</si>
  <si>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</si>
  <si>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</si>
  <si>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</si>
  <si>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</si>
  <si>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</si>
  <si>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</si>
  <si>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</si>
  <si>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</si>
  <si>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</si>
  <si>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</si>
  <si>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</si>
  <si>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</si>
  <si>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</si>
  <si>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</si>
  <si>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</si>
  <si>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Prep for Cross-Cultrl Workers</t>
  </si>
  <si>
    <t>Theology of Mission</t>
  </si>
  <si>
    <t>Mission to the Cities</t>
  </si>
  <si>
    <t>CreatngCollctvImpctProjctMngm</t>
  </si>
  <si>
    <t>Cross-Cultural Ldshp Developmt</t>
  </si>
  <si>
    <t>Diversity,Cult.,Intel,Leadrshp</t>
  </si>
  <si>
    <t>Contemporary Iss in Mission</t>
  </si>
  <si>
    <t>Ministry of Reconciliation</t>
  </si>
  <si>
    <t>Ministry Among Immigrants</t>
  </si>
  <si>
    <t>ICISF Certification for Crisis</t>
  </si>
  <si>
    <t>Witn People Another Rlg:</t>
  </si>
  <si>
    <t>Urban Ministry Project</t>
  </si>
  <si>
    <t>Hist of Christian Mission</t>
  </si>
  <si>
    <t>Strategies World Mission</t>
  </si>
  <si>
    <t>Topics:</t>
  </si>
  <si>
    <t>Bibl, Theo&amp;Sprtl Fndtn of Miss</t>
  </si>
  <si>
    <t>History &amp; Strategy of Mission</t>
  </si>
  <si>
    <t>Mission &amp; the Social Sciences</t>
  </si>
  <si>
    <t>Cultural &amp; Relg Analysis I</t>
  </si>
  <si>
    <t>Cultural &amp; Relg Analysis II</t>
  </si>
  <si>
    <t>Strategy Development I</t>
  </si>
  <si>
    <t>Strategy Development II</t>
  </si>
  <si>
    <t>Discplshp &amp; Wrldvw Transfrmtn</t>
  </si>
  <si>
    <t>Mission Education &amp; Training</t>
  </si>
  <si>
    <t>Current Issues in Mission</t>
  </si>
  <si>
    <t>Bib Theo&amp;Spiritl Found Mssn</t>
  </si>
  <si>
    <t>Sem:</t>
  </si>
  <si>
    <t>The Church &amp; Social Issues</t>
  </si>
  <si>
    <t>Sem Theology of Mission</t>
  </si>
  <si>
    <t>Sem History of Mission</t>
  </si>
  <si>
    <t>Sem Social Sciences&amp;Mission</t>
  </si>
  <si>
    <t>Sem in Other Religions</t>
  </si>
  <si>
    <t>Sem Strategies&amp;Dev in Mission</t>
  </si>
  <si>
    <t>Mission Strategy &amp; Leadership</t>
  </si>
  <si>
    <t>Urban Context Mission/Ministry</t>
  </si>
  <si>
    <t>History of Mission</t>
  </si>
  <si>
    <t>Research Methods in Miss&amp;Min</t>
  </si>
  <si>
    <t>Research Design in Mission</t>
  </si>
  <si>
    <t>Disciplshp&amp;Worldvw Transfrmatn</t>
  </si>
  <si>
    <t>DIS Dissertation Continuation</t>
  </si>
  <si>
    <t>Directed Rdgs Mission Studies</t>
  </si>
  <si>
    <t>DMiss Dissertation</t>
  </si>
  <si>
    <t>DIS Dissertation</t>
  </si>
  <si>
    <t>Intro Exeg&amp;Theo 3:Pauline Writ</t>
  </si>
  <si>
    <t>Intro Exeg&amp;Theo 1:Gospels</t>
  </si>
  <si>
    <t>New Testament Backgrounds</t>
  </si>
  <si>
    <t>Intro to the New Testament</t>
  </si>
  <si>
    <t>Revelation</t>
  </si>
  <si>
    <t>Intro to Revelation</t>
  </si>
  <si>
    <t>Studies in Pauline Writings</t>
  </si>
  <si>
    <t>Studies in the Gospels</t>
  </si>
  <si>
    <t>Readings in the Gospels</t>
  </si>
  <si>
    <t>Rdngs in Acts&amp;General Epistles</t>
  </si>
  <si>
    <t>Studies in Hebrews</t>
  </si>
  <si>
    <t>Readings in Revelation</t>
  </si>
  <si>
    <t>Intro Exeg&amp;Theo2:Acts&amp;Epistles</t>
  </si>
  <si>
    <t>Exegesis of the English NT: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</si>
  <si>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</si>
  <si>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</si>
  <si>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</si>
  <si>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</si>
  <si>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</si>
  <si>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Love, Marriage and Divorce</t>
  </si>
  <si>
    <t>Suffering, Death&amp;Resurrection</t>
  </si>
  <si>
    <t>New Testament Archaeology</t>
  </si>
  <si>
    <t>New Covenant</t>
  </si>
  <si>
    <t>The Holy Spirit in the NT</t>
  </si>
  <si>
    <t>Theology of Synoptic Gospels</t>
  </si>
  <si>
    <t>Theology of Pauline Epistles</t>
  </si>
  <si>
    <t>Intertestamental Literature</t>
  </si>
  <si>
    <t>Jerusalem in the Time of Jesus</t>
  </si>
  <si>
    <t>Readings in the Septuagint</t>
  </si>
  <si>
    <t>Hebrews</t>
  </si>
  <si>
    <t>Top NT Exegesis:</t>
  </si>
  <si>
    <t>Eschatology</t>
  </si>
  <si>
    <t>Gr Con, Cov, Law &amp; Sabbath</t>
  </si>
  <si>
    <t>Adv Studies General Epistles:</t>
  </si>
  <si>
    <t>Adv Studies Gospels:</t>
  </si>
  <si>
    <t>Adv Studies Pauline Wrtg:</t>
  </si>
  <si>
    <t>Coptic</t>
  </si>
  <si>
    <t>Top in New Testmnt Theo:</t>
  </si>
  <si>
    <t>New Testament Ethics</t>
  </si>
  <si>
    <t>Jesus in Recent Scholarshp</t>
  </si>
  <si>
    <t>Sem in Greek Exegesis</t>
  </si>
  <si>
    <t>Sem in NT Theology &amp; Ethics</t>
  </si>
  <si>
    <t>Greco-Roman World</t>
  </si>
  <si>
    <t>Judaism &amp; the New Testament</t>
  </si>
  <si>
    <t>Sem in NT Backgrnds</t>
  </si>
  <si>
    <t>Top in NT Backgrounds</t>
  </si>
  <si>
    <t>Sem in Hellenistic Greek</t>
  </si>
  <si>
    <t>Directed Rdg in New Testament</t>
  </si>
  <si>
    <t>Ind. Study:</t>
  </si>
  <si>
    <t>Sem in NT Exegesis &amp; Hermn:</t>
  </si>
  <si>
    <t>Sem in Biblical Theology</t>
  </si>
  <si>
    <t>Survey of the Old Testament</t>
  </si>
  <si>
    <t>Bible Lands &amp; Their Exploraton</t>
  </si>
  <si>
    <t>Int Mid East Lang, Culture&amp;Hst</t>
  </si>
  <si>
    <t>Intro to Old Testmnt Theology</t>
  </si>
  <si>
    <t>Daniel</t>
  </si>
  <si>
    <t>Studies in Daniel (Engl)</t>
  </si>
  <si>
    <t>Biblical Hebrew I</t>
  </si>
  <si>
    <t>Biblical Hebrew II</t>
  </si>
  <si>
    <t>Prophets</t>
  </si>
  <si>
    <t>Studies in Prophets (Engl)</t>
  </si>
  <si>
    <t>Readings in Prophets (Engl)</t>
  </si>
  <si>
    <t>Writings</t>
  </si>
  <si>
    <t>Survey of the Pentateuch</t>
  </si>
  <si>
    <t>Pentateuch</t>
  </si>
  <si>
    <t>Stud in the Pentateuch (Engl)</t>
  </si>
  <si>
    <t>Readings in the OT (English)</t>
  </si>
  <si>
    <t>Gr Cntrvrsy, Cov, Law, Sabbath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</si>
  <si>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</si>
  <si>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</si>
  <si>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</si>
  <si>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</si>
  <si>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</si>
  <si>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</si>
  <si>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Old Testament&amp;Its Translation</t>
  </si>
  <si>
    <t>Biblical Aramaic</t>
  </si>
  <si>
    <t>Sem Ancient Near Est Lang:</t>
  </si>
  <si>
    <t>Pentateuch (Hebrew)</t>
  </si>
  <si>
    <t>Historical Books (Hebrew)</t>
  </si>
  <si>
    <t>Psalms/Wisdom Lit (Hebrew)</t>
  </si>
  <si>
    <t>Minor Prophets</t>
  </si>
  <si>
    <t>Sem OT Exegesis</t>
  </si>
  <si>
    <t>Principles of Hermeneutics</t>
  </si>
  <si>
    <t>Major Prophets:</t>
  </si>
  <si>
    <t>Dir St:</t>
  </si>
  <si>
    <t>Textural Criticism</t>
  </si>
  <si>
    <t>Theology Hebrew Scriptures</t>
  </si>
  <si>
    <t>Directed Rdg in Old Testmt</t>
  </si>
  <si>
    <t>Sem Adv OT Exegesis</t>
  </si>
  <si>
    <t>Biblical Preaching</t>
  </si>
  <si>
    <t>Intro to Chaplaincy Min</t>
  </si>
  <si>
    <t>Personal Evangelistic Ministry</t>
  </si>
  <si>
    <t>Church Grwth&amp; Equipping Leader</t>
  </si>
  <si>
    <t>Church Growth</t>
  </si>
  <si>
    <t>Phil &amp; Ethics in Chaplaincy</t>
  </si>
  <si>
    <t>Foundatns of Pastoral Ministry</t>
  </si>
  <si>
    <t>CPE</t>
  </si>
  <si>
    <t>Pastoral Counseling</t>
  </si>
  <si>
    <t>Prof Development Practicum</t>
  </si>
  <si>
    <t>Pract Clinl Past Educ:</t>
  </si>
  <si>
    <t>Adv Ministerial Development</t>
  </si>
  <si>
    <t>Field Evangelism</t>
  </si>
  <si>
    <t>Health&amp;Lifestyle Transformatn</t>
  </si>
  <si>
    <t>Seminary Chorus</t>
  </si>
  <si>
    <t>Ministry of Music</t>
  </si>
  <si>
    <t>Preach. Biblical Prophecies</t>
  </si>
  <si>
    <t>Hist of Christian Worship Mus</t>
  </si>
  <si>
    <t>Evangelistic Preaching</t>
  </si>
  <si>
    <t>Media Ministry</t>
  </si>
  <si>
    <t>Coaching for Mission</t>
  </si>
  <si>
    <t>Black Preaching</t>
  </si>
  <si>
    <t>Contextualized Preaching:</t>
  </si>
  <si>
    <t>Prchg OT/NT for Max Impact</t>
  </si>
  <si>
    <t>Field Evang. Preach. &amp; Pract.</t>
  </si>
  <si>
    <t>Practicum Military Chaplaincy</t>
  </si>
  <si>
    <t>Trauma&amp;Adv Crisis Intervention</t>
  </si>
  <si>
    <t>Hist &amp; Theo Adventist Worshp</t>
  </si>
  <si>
    <t>Ind Stdy:</t>
  </si>
  <si>
    <t>The Changing Church</t>
  </si>
  <si>
    <t>Issues in Discipleship</t>
  </si>
  <si>
    <t>Top in Urban Min:</t>
  </si>
  <si>
    <t>Comm &amp; Media Min Fdns</t>
  </si>
  <si>
    <t>Media Development</t>
  </si>
  <si>
    <t>Organizatnl Comm &amp; Mass Media</t>
  </si>
  <si>
    <t>Adv Clin Pastoral Eductn</t>
  </si>
  <si>
    <t>Church Multiplication</t>
  </si>
  <si>
    <t>Building Syst &amp; Leading Mvmts</t>
  </si>
  <si>
    <t>Disciple-making and Evangel</t>
  </si>
  <si>
    <t>Wholistic Healthcare Ministry</t>
  </si>
  <si>
    <t>Challenge 2nd&amp;3rd Generations</t>
  </si>
  <si>
    <t>Organizational Leadership</t>
  </si>
  <si>
    <t>Advanced Admin Practices</t>
  </si>
  <si>
    <t>Gender and Leadership</t>
  </si>
  <si>
    <t>Hear&amp;Respond God Thrgh Life</t>
  </si>
  <si>
    <t>Profssnl Pract in Chaplaincy</t>
  </si>
  <si>
    <t>Directed Rdgs in Church Min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</si>
  <si>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</si>
  <si>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</si>
  <si>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</si>
  <si>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</si>
  <si>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</si>
  <si>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Christian Personal Ethics</t>
  </si>
  <si>
    <t>Revelation, Inspiratn&amp;Herm</t>
  </si>
  <si>
    <t>Rev, Insp &amp; Hermeneutics</t>
  </si>
  <si>
    <t>Doctrine of the Church</t>
  </si>
  <si>
    <t>Doctrine of God</t>
  </si>
  <si>
    <t>The Works of God</t>
  </si>
  <si>
    <t>The Works of Christ</t>
  </si>
  <si>
    <t>Principles&amp;Methods of Theology</t>
  </si>
  <si>
    <t>Found of Philosophical Ethics</t>
  </si>
  <si>
    <t>Contemp Adventst Theolgcl Iss</t>
  </si>
  <si>
    <t>Protestant Theologicl Heritage</t>
  </si>
  <si>
    <t>Early Christian Theology</t>
  </si>
  <si>
    <t>Modern Christian Theology</t>
  </si>
  <si>
    <t>Roman Catholic Life &amp; Thought</t>
  </si>
  <si>
    <t>Contemporary Theology</t>
  </si>
  <si>
    <t>History&amp;Theology of Ecumenism</t>
  </si>
  <si>
    <t>Doctrine of Christ</t>
  </si>
  <si>
    <t>Ethics and the Good Life</t>
  </si>
  <si>
    <t>Christian Social Ethics</t>
  </si>
  <si>
    <t>Issues in Origins</t>
  </si>
  <si>
    <t>Biblical Eschatology</t>
  </si>
  <si>
    <t>Doctrine of the Holy Spirit</t>
  </si>
  <si>
    <t>Christian Professional Ethics</t>
  </si>
  <si>
    <t>Theological Ethics</t>
  </si>
  <si>
    <t>Human Nature &amp; Destiny</t>
  </si>
  <si>
    <t>Sem in Theological Issues:</t>
  </si>
  <si>
    <t>Sem in Historical Theology:</t>
  </si>
  <si>
    <t>Sem Phil Theology&amp;Ethics:</t>
  </si>
  <si>
    <t>Church and Society</t>
  </si>
  <si>
    <t>Postmodernism &amp; the Church</t>
  </si>
  <si>
    <t>History of Philosophy</t>
  </si>
  <si>
    <t>Science &amp; Religion</t>
  </si>
  <si>
    <t>Modern Philosophy</t>
  </si>
  <si>
    <t>Theology of E. G. White</t>
  </si>
  <si>
    <t>Sem in Phil, Theo &amp; Ethics:</t>
  </si>
  <si>
    <t>DirRdg Syst Theo:</t>
  </si>
  <si>
    <t>Directed Rdg in Systmtic Theo</t>
  </si>
  <si>
    <t>Directed Rdg Historical Theo</t>
  </si>
  <si>
    <t>Directed Rdg Christian Ethics</t>
  </si>
  <si>
    <t>Sem Philosophical Theology:</t>
  </si>
  <si>
    <t>Sem in Systematic Theology:</t>
  </si>
  <si>
    <t>Seminar in Ethics:</t>
  </si>
  <si>
    <t>Totals: Adriani Milli
notes:</t>
  </si>
  <si>
    <t>Totals: Staff
notes:</t>
  </si>
  <si>
    <t>Staff</t>
  </si>
  <si>
    <t>Totals: Ante Jeroncic
notes:</t>
  </si>
  <si>
    <t>Totals: John Peckham
notes:</t>
  </si>
  <si>
    <t>Totals: Denis Fortin
notes:</t>
  </si>
  <si>
    <t>THST855</t>
  </si>
  <si>
    <t>Totals: Martin Hanna
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</si>
</sst>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"/>
    <numFmt numFmtId="165" formatCode="m/d/yy;@"/>
    <numFmt numFmtId="166" formatCode="mm/dd/yy;@"/>
    <numFmt numFmtId="167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1" fillId="2" borderId="0"/>
    <xf numFmtId="0" fontId="2" fillId="0" borderId="0"/>
    <xf numFmtId="0" fontId="3" fillId="0" borderId="0"/>
  </cellStyleXfs>
  <cellXfs count="153">
    <xf numFmtId="0" fontId="0" fillId="0" borderId="0" xfId="0"/>
    <xf numFmtId="0" fontId="11" fillId="5" borderId="1" xfId="0" applyFont="1" applyFill="1" applyBorder="1" applyAlignment="1" applyProtection="1">
      <alignment horizontal="left"/>
      <protection locked="0"/>
    </xf>
    <xf numFmtId="0" fontId="12" fillId="5" borderId="1" xfId="0" applyFont="1" applyFill="1" applyBorder="1" applyAlignment="1" applyProtection="1">
      <alignment horizontal="left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49" fontId="11" fillId="5" borderId="1" xfId="3" applyNumberFormat="1" applyFont="1" applyFill="1" applyBorder="1" applyAlignment="1" applyProtection="1">
      <alignment horizontal="left"/>
      <protection locked="0"/>
    </xf>
    <xf numFmtId="49" fontId="14" fillId="5" borderId="1" xfId="3" applyNumberFormat="1" applyFont="1" applyFill="1" applyBorder="1" applyAlignment="1" applyProtection="1">
      <alignment horizontal="left"/>
      <protection locked="0"/>
    </xf>
    <xf numFmtId="49" fontId="11" fillId="0" borderId="1" xfId="3" applyNumberFormat="1" applyFont="1" applyBorder="1" applyAlignment="1" applyProtection="1">
      <alignment horizontal="left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49" fontId="11" fillId="0" borderId="1" xfId="0" applyNumberFormat="1" applyFont="1" applyBorder="1" applyAlignment="1" applyProtection="1">
      <alignment horizontal="left"/>
      <protection locked="0"/>
    </xf>
    <xf numFmtId="49" fontId="12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49" fontId="11" fillId="5" borderId="1" xfId="0" applyNumberFormat="1" applyFont="1" applyFill="1" applyBorder="1" applyAlignment="1" applyProtection="1">
      <alignment horizontal="left"/>
      <protection locked="0"/>
    </xf>
    <xf numFmtId="49" fontId="12" fillId="0" borderId="5" xfId="0" applyNumberFormat="1" applyFont="1" applyBorder="1" applyAlignment="1" applyProtection="1">
      <alignment horizontal="left"/>
      <protection locked="0"/>
    </xf>
    <xf numFmtId="49" fontId="12" fillId="0" borderId="3" xfId="0" applyNumberFormat="1" applyFont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164" fontId="11" fillId="5" borderId="1" xfId="0" applyNumberFormat="1" applyFont="1" applyFill="1" applyBorder="1" applyAlignment="1" applyProtection="1">
      <alignment horizontal="left"/>
      <protection locked="0"/>
    </xf>
    <xf numFmtId="164" fontId="12" fillId="5" borderId="1" xfId="0" applyNumberFormat="1" applyFont="1" applyFill="1" applyBorder="1" applyAlignment="1" applyProtection="1">
      <alignment horizontal="left"/>
      <protection locked="0"/>
    </xf>
    <xf numFmtId="165" fontId="12" fillId="0" borderId="5" xfId="0" applyNumberFormat="1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164" fontId="15" fillId="0" borderId="5" xfId="0" applyNumberFormat="1" applyFont="1" applyBorder="1" applyAlignment="1" applyProtection="1">
      <alignment horizontal="left"/>
      <protection locked="0"/>
    </xf>
    <xf numFmtId="164" fontId="12" fillId="0" borderId="5" xfId="0" applyNumberFormat="1" applyFont="1" applyBorder="1" applyAlignment="1" applyProtection="1">
      <alignment horizontal="left"/>
      <protection locked="0"/>
    </xf>
    <xf numFmtId="165" fontId="12" fillId="7" borderId="5" xfId="0" applyNumberFormat="1" applyFont="1" applyFill="1" applyBorder="1" applyAlignment="1" applyProtection="1">
      <alignment horizontal="left"/>
      <protection locked="0"/>
    </xf>
    <xf numFmtId="164" fontId="11" fillId="0" borderId="1" xfId="0" applyNumberFormat="1" applyFont="1" applyBorder="1" applyAlignment="1" applyProtection="1">
      <alignment horizontal="left"/>
      <protection locked="0"/>
    </xf>
    <xf numFmtId="165" fontId="12" fillId="0" borderId="1" xfId="0" applyNumberFormat="1" applyFont="1" applyBorder="1" applyAlignment="1" applyProtection="1">
      <alignment horizontal="left"/>
      <protection locked="0"/>
    </xf>
    <xf numFmtId="164" fontId="12" fillId="0" borderId="1" xfId="0" applyNumberFormat="1" applyFont="1" applyBorder="1" applyAlignment="1" applyProtection="1">
      <alignment horizontal="left"/>
      <protection locked="0"/>
    </xf>
    <xf numFmtId="165" fontId="12" fillId="5" borderId="1" xfId="0" applyNumberFormat="1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49" fontId="6" fillId="0" borderId="1" xfId="3" applyNumberFormat="1" applyFont="1" applyBorder="1" applyAlignment="1" applyProtection="1">
      <alignment horizontal="left"/>
      <protection locked="0"/>
    </xf>
    <xf numFmtId="0" fontId="12" fillId="4" borderId="1" xfId="2" applyFont="1" applyFill="1" applyBorder="1" applyAlignment="1" applyProtection="1">
      <alignment horizontal="left"/>
      <protection locked="0"/>
    </xf>
    <xf numFmtId="49" fontId="12" fillId="5" borderId="1" xfId="2" applyNumberFormat="1" applyFont="1" applyFill="1" applyBorder="1" applyAlignment="1" applyProtection="1">
      <alignment horizontal="left"/>
      <protection locked="0"/>
    </xf>
    <xf numFmtId="49" fontId="12" fillId="4" borderId="1" xfId="2" applyNumberFormat="1" applyFont="1" applyFill="1" applyBorder="1" applyAlignment="1" applyProtection="1">
      <alignment horizontal="left"/>
      <protection locked="0"/>
    </xf>
    <xf numFmtId="49" fontId="12" fillId="0" borderId="1" xfId="2" applyNumberFormat="1" applyFont="1" applyFill="1" applyBorder="1" applyAlignment="1" applyProtection="1">
      <alignment horizontal="left"/>
      <protection locked="0"/>
    </xf>
    <xf numFmtId="49" fontId="6" fillId="0" borderId="1" xfId="0" applyNumberFormat="1" applyFont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>
      <alignment horizontal="left"/>
    </xf>
    <xf numFmtId="49" fontId="4" fillId="10" borderId="1" xfId="0" applyNumberFormat="1" applyFont="1" applyFill="1" applyBorder="1" applyAlignment="1" applyProtection="1">
      <alignment horizontal="left"/>
      <protection locked="0"/>
    </xf>
    <xf numFmtId="0" fontId="5" fillId="10" borderId="1" xfId="0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 applyProtection="1">
      <alignment horizontal="left"/>
      <protection locked="0"/>
    </xf>
    <xf numFmtId="49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 applyProtection="1">
      <alignment horizontal="left"/>
      <protection locked="0"/>
    </xf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 applyProtection="1">
      <alignment horizontal="left"/>
      <protection locked="0"/>
    </xf>
    <xf numFmtId="164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>
      <alignment horizontal="left"/>
    </xf>
    <xf numFmtId="1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 applyProtection="1">
      <alignment horizontal="left"/>
      <protection locked="0"/>
    </xf>
    <xf numFmtId="0" fontId="4" fillId="12" borderId="1" xfId="0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>
      <alignment horizontal="left"/>
    </xf>
    <xf numFmtId="49" fontId="5" fillId="12" borderId="1" xfId="0" applyNumberFormat="1" applyFont="1" applyFill="1" applyBorder="1" applyAlignment="1" applyProtection="1">
      <alignment horizontal="left"/>
      <protection locked="0"/>
    </xf>
    <xf numFmtId="1" fontId="4" fillId="12" borderId="1" xfId="0" applyNumberFormat="1" applyFont="1" applyFill="1" applyBorder="1" applyAlignment="1">
      <alignment horizontal="left"/>
    </xf>
    <xf numFmtId="167" fontId="11" fillId="5" borderId="1" xfId="0" applyNumberFormat="1" applyFont="1" applyFill="1" applyBorder="1" applyAlignment="1" applyProtection="1">
      <alignment horizontal="left"/>
      <protection locked="0"/>
    </xf>
    <xf numFmtId="167" fontId="12" fillId="5" borderId="1" xfId="0" applyNumberFormat="1" applyFont="1" applyFill="1" applyBorder="1" applyAlignment="1" applyProtection="1">
      <alignment horizontal="left"/>
      <protection locked="0"/>
    </xf>
    <xf numFmtId="167" fontId="11" fillId="0" borderId="1" xfId="0" applyNumberFormat="1" applyFont="1" applyBorder="1" applyAlignment="1" applyProtection="1">
      <alignment horizontal="left"/>
      <protection locked="0"/>
    </xf>
    <xf numFmtId="167" fontId="12" fillId="0" borderId="1" xfId="0" applyNumberFormat="1" applyFont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horizontal="left" wrapText="1"/>
      <protection locked="0"/>
    </xf>
    <xf numFmtId="0" fontId="15" fillId="0" borderId="0" xfId="0" applyFont="1"/>
    <xf numFmtId="0" fontId="11" fillId="0" borderId="0" xfId="3" applyFont="1"/>
    <xf numFmtId="0" fontId="11" fillId="0" borderId="0" xfId="0" applyFont="1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4" fillId="3" borderId="2" xfId="0" applyFont="1" applyFill="1" applyBorder="1" applyAlignment="1" applyProtection="1">
      <alignment horizontal="left"/>
      <protection locked="0"/>
    </xf>
    <xf numFmtId="1" fontId="5" fillId="10" borderId="1" xfId="0" applyNumberFormat="1" applyFont="1" applyFill="1" applyBorder="1" applyAlignment="1" applyProtection="1">
      <alignment horizontal="left"/>
      <protection locked="0"/>
    </xf>
    <xf numFmtId="1" fontId="5" fillId="11" borderId="1" xfId="0" applyNumberFormat="1" applyFont="1" applyFill="1" applyBorder="1" applyAlignment="1" applyProtection="1">
      <alignment horizontal="left"/>
      <protection locked="0"/>
    </xf>
    <xf numFmtId="1" fontId="5" fillId="12" borderId="1" xfId="0" applyNumberFormat="1" applyFont="1" applyFill="1" applyBorder="1" applyAlignment="1" applyProtection="1">
      <alignment horizontal="left"/>
      <protection locked="0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4" fillId="13" borderId="1" xfId="4" applyFont="1" applyFill="1" applyBorder="1" applyAlignment="1">
      <alignment horizontal="left"/>
    </xf>
    <xf numFmtId="0" fontId="6" fillId="0" borderId="0" xfId="3" applyFont="1" applyAlignment="1">
      <alignment horizontal="left"/>
    </xf>
    <xf numFmtId="0" fontId="6" fillId="0" borderId="0" xfId="0" applyFont="1" applyAlignment="1">
      <alignment horizontal="left"/>
    </xf>
    <xf numFmtId="0" fontId="19" fillId="0" borderId="0" xfId="0" applyFont="1"/>
    <xf numFmtId="49" fontId="8" fillId="0" borderId="0" xfId="0" applyNumberFormat="1" applyFont="1"/>
    <xf numFmtId="0" fontId="8" fillId="0" borderId="0" xfId="0" applyFont="1"/>
    <xf numFmtId="164" fontId="6" fillId="0" borderId="0" xfId="0" applyNumberFormat="1" applyFont="1"/>
    <xf numFmtId="1" fontId="6" fillId="0" borderId="0" xfId="0" applyNumberFormat="1" applyFont="1"/>
    <xf numFmtId="164" fontId="19" fillId="0" borderId="0" xfId="0" applyNumberFormat="1" applyFont="1"/>
    <xf numFmtId="1" fontId="19" fillId="0" borderId="0" xfId="0" applyNumberFormat="1" applyFont="1"/>
    <xf numFmtId="49" fontId="6" fillId="0" borderId="0" xfId="0" applyNumberFormat="1" applyFont="1"/>
    <xf numFmtId="0" fontId="6" fillId="0" borderId="0" xfId="3" applyFont="1"/>
    <xf numFmtId="0" fontId="20" fillId="3" borderId="0" xfId="0" applyFont="1" applyFill="1"/>
    <xf numFmtId="0" fontId="4" fillId="3" borderId="1" xfId="3" applyFont="1" applyFill="1" applyBorder="1" applyAlignment="1">
      <alignment horizontal="center" vertical="top"/>
    </xf>
    <xf numFmtId="0" fontId="21" fillId="5" borderId="1" xfId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>
      <alignment horizontal="left"/>
    </xf>
    <xf numFmtId="0" fontId="21" fillId="3" borderId="1" xfId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167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>
      <alignment horizontal="left"/>
    </xf>
    <xf numFmtId="167" fontId="5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167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11" fillId="13" borderId="1" xfId="4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6" fillId="13" borderId="1" xfId="4" applyFont="1" applyFill="1" applyBorder="1" applyAlignment="1">
      <alignment horizontal="left"/>
    </xf>
    <xf numFmtId="0" fontId="12" fillId="0" borderId="1" xfId="2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0" borderId="0" xfId="0" applyNumberFormat="1" applyProtection="1">
      <protection locked="0"/>
    </xf>
    <xf numFmtId="167" fontId="6" fillId="0" borderId="1" xfId="0" applyNumberFormat="1" applyFont="1" applyBorder="1" applyAlignment="1" applyProtection="1">
      <alignment horizontal="left"/>
      <protection locked="0"/>
    </xf>
    <xf numFmtId="1" fontId="17" fillId="13" borderId="1" xfId="0" applyNumberFormat="1" applyFont="1" applyFill="1" applyBorder="1" applyAlignment="1">
      <alignment horizontal="right"/>
    </xf>
    <xf numFmtId="0" fontId="7" fillId="13" borderId="1" xfId="4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12" fillId="9" borderId="1" xfId="2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64" fontId="5" fillId="13" borderId="1" xfId="0" applyNumberFormat="1" applyFont="1" applyFill="1" applyBorder="1" applyAlignment="1">
      <alignment horizontal="left"/>
    </xf>
    <xf numFmtId="164" fontId="11" fillId="8" borderId="1" xfId="0" applyNumberFormat="1" applyFont="1" applyFill="1" applyBorder="1" applyAlignment="1">
      <alignment horizontal="left"/>
    </xf>
    <xf numFmtId="164" fontId="8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49" fontId="8" fillId="13" borderId="1" xfId="3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49" fontId="4" fillId="13" borderId="1" xfId="3" applyNumberFormat="1" applyFont="1" applyFill="1" applyBorder="1" applyAlignment="1">
      <alignment horizontal="left"/>
    </xf>
    <xf numFmtId="1" fontId="8" fillId="13" borderId="1" xfId="3" applyNumberFormat="1" applyFont="1" applyFill="1" applyBorder="1" applyAlignment="1">
      <alignment horizontal="left"/>
    </xf>
    <xf numFmtId="1" fontId="4" fillId="13" borderId="1" xfId="3" applyNumberFormat="1" applyFont="1" applyFill="1" applyBorder="1" applyAlignment="1">
      <alignment horizontal="left"/>
    </xf>
    <xf numFmtId="0" fontId="12" fillId="8" borderId="4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164" fontId="10" fillId="13" borderId="1" xfId="0" applyNumberFormat="1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left"/>
    </xf>
    <xf numFmtId="49" fontId="10" fillId="13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12" fillId="4" borderId="1" xfId="2" applyFont="1" applyFill="1" applyBorder="1" applyAlignment="1">
      <alignment horizontal="left"/>
    </xf>
    <xf numFmtId="0" fontId="21" fillId="13" borderId="1" xfId="1" applyFill="1" applyBorder="1" applyAlignment="1">
      <alignment horizontal="left"/>
    </xf>
    <xf numFmtId="49" fontId="6" fillId="13" borderId="1" xfId="3" applyNumberFormat="1" applyFont="1" applyFill="1" applyBorder="1" applyAlignment="1">
      <alignment horizontal="left"/>
    </xf>
    <xf numFmtId="167" fontId="18" fillId="13" borderId="1" xfId="0" applyNumberFormat="1" applyFont="1" applyFill="1" applyBorder="1" applyAlignment="1">
      <alignment horizontal="left"/>
    </xf>
    <xf numFmtId="166" fontId="8" fillId="13" borderId="1" xfId="3" applyNumberFormat="1" applyFont="1" applyFill="1" applyBorder="1" applyAlignment="1">
      <alignment horizontal="left"/>
    </xf>
    <xf numFmtId="165" fontId="4" fillId="13" borderId="1" xfId="0" applyNumberFormat="1" applyFont="1" applyFill="1" applyBorder="1" applyAlignment="1">
      <alignment horizontal="left"/>
    </xf>
    <xf numFmtId="165" fontId="5" fillId="13" borderId="1" xfId="0" applyNumberFormat="1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165" fontId="10" fillId="13" borderId="1" xfId="0" applyNumberFormat="1" applyFont="1" applyFill="1" applyBorder="1" applyAlignment="1">
      <alignment horizontal="left"/>
    </xf>
    <xf numFmtId="166" fontId="4" fillId="13" borderId="1" xfId="3" applyNumberFormat="1" applyFont="1" applyFill="1" applyBorder="1" applyAlignment="1">
      <alignment horizontal="left"/>
    </xf>
    <xf numFmtId="0" fontId="9" fillId="0" borderId="0" xfId="0" applyFont="1"/>
    <xf numFmtId="8" fontId="6" fillId="0" borderId="0" xfId="0" applyNumberFormat="1" applyFont="1"/>
    <xf numFmtId="0" fontId="11" fillId="3" borderId="1" xfId="0" applyFont="1" applyFill="1" applyBorder="1" applyAlignment="1" applyProtection="1">
      <alignment horizontal="left"/>
      <protection locked="0"/>
    </xf>
    <xf numFmtId="49" fontId="12" fillId="3" borderId="1" xfId="0" applyNumberFormat="1" applyFont="1" applyFill="1" applyBorder="1" applyAlignment="1" applyProtection="1">
      <alignment horizontal="left"/>
      <protection locked="0"/>
    </xf>
  </cellXfs>
  <cellStyles count="5">
    <cellStyle name="20% - Accent2" xfId="2" builtinId="34"/>
    <cellStyle name="ColLevel_1" xfId="1" builtinId="2" iLevel="0"/>
    <cellStyle name="Hyperlink" xfId="4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Below="0" summaryRight="0"/>
  </sheetPr>
  <dimension ref="A1:FT755"/>
  <sheetViews>
    <sheetView tabSelected="1" zoomScale="77" zoomScaleNormal="77" workbookViewId="0">
      <pane xSplit="1" ySplit="1" topLeftCell="L2" activePane="bottomRight" state="frozen"/>
      <selection pane="topRight"/>
      <selection pane="bottomLeft" activeCell="A3" sqref="A3"/>
      <selection pane="bottomRight" activeCell="AB152" sqref="AB152"/>
    </sheetView>
  </sheetViews>
  <sheetFormatPr baseColWidth="10" defaultColWidth="8.83203125" defaultRowHeight="16" outlineLevelRow="1" outlineLevelCol="1" x14ac:dyDescent="0.2"/>
  <cols>
    <col min="1" max="1" width="39.1640625" style="29" customWidth="1" collapsed="1"/>
    <col min="2" max="2" width="13.5" style="17" hidden="1" customWidth="1" outlineLevel="1"/>
    <col min="3" max="5" width="13" hidden="1" customWidth="1" outlineLevel="1"/>
    <col min="6" max="9" width="13" style="109" hidden="1" customWidth="1" outlineLevel="1"/>
    <col min="10" max="11" width="13" hidden="1" customWidth="1" outlineLevel="1"/>
    <col min="12" max="12" width="24.83203125" style="29" bestFit="1" customWidth="1"/>
    <col min="13" max="13" width="18.33203125" style="29" bestFit="1" customWidth="1"/>
    <col min="14" max="14" width="15.5" style="17" bestFit="1" customWidth="1"/>
    <col min="15" max="15" width="15.5" style="29" customWidth="1"/>
    <col min="16" max="16" width="10.33203125" style="30" customWidth="1" outlineLevel="1"/>
    <col min="17" max="23" width="13" style="109" customWidth="1" outlineLevel="1"/>
    <col min="24" max="24" width="6.5" style="110" bestFit="1" customWidth="1"/>
    <col min="25" max="25" width="17.1640625" style="109" customWidth="1" outlineLevel="1"/>
    <col min="26" max="26" width="13" customWidth="1" outlineLevel="1"/>
    <col min="27" max="28" width="13" style="109" customWidth="1" outlineLevel="1"/>
    <col min="29" max="29" width="24" style="109" customWidth="1" collapsed="1"/>
    <col min="30" max="30" width="22.83203125" style="109" hidden="1" customWidth="1" outlineLevel="1"/>
    <col min="31" max="31" width="13" hidden="1" customWidth="1" outlineLevel="1"/>
    <col min="32" max="32" width="13" style="109" hidden="1" customWidth="1" outlineLevel="1"/>
    <col min="33" max="33" width="13" hidden="1" customWidth="1" outlineLevel="1"/>
    <col min="34" max="35" width="13" style="109" hidden="1" customWidth="1" outlineLevel="1"/>
    <col min="36" max="36" width="13" hidden="1" customWidth="1" outlineLevel="1"/>
    <col min="37" max="37" width="13" style="109" hidden="1" customWidth="1" outlineLevel="1"/>
    <col min="38" max="38" width="13" hidden="1" customWidth="1" outlineLevel="1"/>
    <col min="39" max="40" width="13" style="109" hidden="1" customWidth="1" outlineLevel="1"/>
    <col min="41" max="44" width="13" hidden="1" customWidth="1" outlineLevel="1"/>
    <col min="45" max="45" width="13" style="109" hidden="1" customWidth="1" outlineLevel="1"/>
    <col min="46" max="46" width="19.83203125" style="35" bestFit="1" customWidth="1"/>
    <col min="47" max="47" width="18.33203125" style="35" bestFit="1" customWidth="1"/>
    <col min="48" max="48" width="15.5" style="17" bestFit="1" customWidth="1"/>
    <col min="49" max="49" width="15.5" style="29" customWidth="1"/>
    <col min="50" max="50" width="8.83203125" style="35" customWidth="1" outlineLevel="1"/>
    <col min="51" max="54" width="13" style="109" customWidth="1" outlineLevel="1"/>
    <col min="55" max="55" width="6.5" style="110" bestFit="1" customWidth="1"/>
    <col min="56" max="56" width="17.1640625" style="109" customWidth="1" outlineLevel="1"/>
    <col min="57" max="57" width="13" customWidth="1" outlineLevel="1"/>
    <col min="58" max="59" width="13" style="109" customWidth="1" outlineLevel="1"/>
    <col min="60" max="60" width="24" style="109" customWidth="1" collapsed="1"/>
    <col min="61" max="61" width="22.83203125" style="109" hidden="1" customWidth="1" outlineLevel="1"/>
    <col min="62" max="62" width="13" hidden="1" customWidth="1" outlineLevel="1"/>
    <col min="63" max="63" width="13" style="109" hidden="1" customWidth="1" outlineLevel="1"/>
    <col min="64" max="64" width="13" hidden="1" customWidth="1" outlineLevel="1"/>
    <col min="65" max="66" width="13" style="109" hidden="1" customWidth="1" outlineLevel="1"/>
    <col min="67" max="67" width="13" hidden="1" customWidth="1" outlineLevel="1"/>
    <col min="68" max="68" width="13" style="109" hidden="1" customWidth="1" outlineLevel="1"/>
    <col min="69" max="69" width="13" hidden="1" customWidth="1" outlineLevel="1"/>
    <col min="70" max="71" width="13" style="109" hidden="1" customWidth="1" outlineLevel="1"/>
    <col min="72" max="75" width="13" hidden="1" customWidth="1" outlineLevel="1"/>
    <col min="76" max="76" width="13" style="109" hidden="1" customWidth="1" outlineLevel="1"/>
    <col min="77" max="77" width="22.6640625" style="35" bestFit="1" customWidth="1"/>
    <col min="78" max="78" width="18.33203125" style="35" bestFit="1" customWidth="1"/>
    <col min="79" max="79" width="15.5" style="17" bestFit="1" customWidth="1"/>
    <col min="80" max="80" width="15.5" style="29" customWidth="1"/>
    <col min="81" max="81" width="8.83203125" style="35" customWidth="1" outlineLevel="1"/>
    <col min="82" max="85" width="13" style="109" customWidth="1" outlineLevel="1"/>
    <col min="86" max="86" width="6.5" style="110" bestFit="1" customWidth="1"/>
    <col min="87" max="87" width="17.1640625" style="109" customWidth="1" outlineLevel="1"/>
    <col min="88" max="88" width="13" customWidth="1" outlineLevel="1"/>
    <col min="89" max="90" width="13" style="109" customWidth="1" outlineLevel="1"/>
    <col min="91" max="91" width="24" style="109" customWidth="1" collapsed="1"/>
    <col min="92" max="92" width="22.83203125" style="109" hidden="1" customWidth="1" outlineLevel="1"/>
    <col min="93" max="93" width="13" hidden="1" customWidth="1" outlineLevel="1"/>
    <col min="94" max="94" width="13" style="109" hidden="1" customWidth="1" outlineLevel="1"/>
    <col min="95" max="95" width="13" hidden="1" customWidth="1" outlineLevel="1"/>
    <col min="96" max="97" width="13" style="109" hidden="1" customWidth="1" outlineLevel="1"/>
    <col min="98" max="98" width="13" hidden="1" customWidth="1" outlineLevel="1"/>
    <col min="99" max="99" width="13" style="109" hidden="1" customWidth="1" outlineLevel="1"/>
    <col min="100" max="100" width="13" hidden="1" customWidth="1" outlineLevel="1"/>
    <col min="101" max="102" width="13" style="109" hidden="1" customWidth="1" outlineLevel="1"/>
    <col min="103" max="106" width="13" hidden="1" customWidth="1" outlineLevel="1"/>
    <col min="107" max="107" width="13" style="109" hidden="1" customWidth="1" outlineLevel="1"/>
    <col min="108" max="108" width="11.6640625" style="111" bestFit="1" customWidth="1"/>
    <col min="109" max="109" width="8" style="105" bestFit="1" customWidth="1"/>
    <col min="110" max="152" width="8.83203125" style="29" customWidth="1"/>
    <col min="153" max="16384" width="8.83203125" style="29"/>
  </cols>
  <sheetData>
    <row r="1" spans="1:176" s="17" customFormat="1" x14ac:dyDescent="0.2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4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37" t="s">
        <v>70</v>
      </c>
      <c r="M1" s="37" t="s">
        <v>12</v>
      </c>
      <c r="N1" s="37" t="s">
        <v>13</v>
      </c>
      <c r="O1" s="37" t="s">
        <v>14</v>
      </c>
      <c r="P1" s="43" t="s">
        <v>15</v>
      </c>
      <c r="Q1" s="43" t="s">
        <v>16</v>
      </c>
      <c r="R1" s="43" t="s">
        <v>17</v>
      </c>
      <c r="S1" s="37" t="s">
        <v>18</v>
      </c>
      <c r="T1" s="37" t="s">
        <v>19</v>
      </c>
      <c r="U1" s="37" t="s">
        <v>20</v>
      </c>
      <c r="V1" s="95" t="s">
        <v>21</v>
      </c>
      <c r="W1" s="95" t="s">
        <v>22</v>
      </c>
      <c r="X1" s="96" t="s">
        <v>23</v>
      </c>
      <c r="Y1" s="41" t="s">
        <v>24</v>
      </c>
      <c r="Z1" s="41" t="s">
        <v>25</v>
      </c>
      <c r="AA1" s="97" t="s">
        <v>26</v>
      </c>
      <c r="AB1" s="97" t="s">
        <v>27</v>
      </c>
      <c r="AC1" s="97" t="s">
        <v>28</v>
      </c>
      <c r="AD1" s="97" t="s">
        <v>29</v>
      </c>
      <c r="AE1" s="43" t="s">
        <v>30</v>
      </c>
      <c r="AF1" s="43" t="s">
        <v>31</v>
      </c>
      <c r="AG1" s="43" t="s">
        <v>32</v>
      </c>
      <c r="AH1" s="97" t="s">
        <v>33</v>
      </c>
      <c r="AI1" s="97" t="s">
        <v>34</v>
      </c>
      <c r="AJ1" s="43" t="s">
        <v>35</v>
      </c>
      <c r="AK1" s="43" t="s">
        <v>36</v>
      </c>
      <c r="AL1" s="43" t="s">
        <v>37</v>
      </c>
      <c r="AM1" s="97" t="s">
        <v>38</v>
      </c>
      <c r="AN1" s="97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51" t="s">
        <v>71</v>
      </c>
      <c r="AU1" s="51" t="s">
        <v>12</v>
      </c>
      <c r="AV1" s="47" t="s">
        <v>13</v>
      </c>
      <c r="AW1" s="47" t="s">
        <v>14</v>
      </c>
      <c r="AX1" s="51" t="s">
        <v>18</v>
      </c>
      <c r="AY1" s="51" t="s">
        <v>19</v>
      </c>
      <c r="AZ1" s="51" t="s">
        <v>20</v>
      </c>
      <c r="BA1" s="51" t="s">
        <v>21</v>
      </c>
      <c r="BB1" s="51" t="s">
        <v>22</v>
      </c>
      <c r="BC1" s="98" t="s">
        <v>23</v>
      </c>
      <c r="BD1" s="49" t="s">
        <v>24</v>
      </c>
      <c r="BE1" s="49" t="s">
        <v>25</v>
      </c>
      <c r="BF1" s="99" t="s">
        <v>26</v>
      </c>
      <c r="BG1" s="99" t="s">
        <v>27</v>
      </c>
      <c r="BH1" s="99" t="s">
        <v>28</v>
      </c>
      <c r="BI1" s="99" t="s">
        <v>29</v>
      </c>
      <c r="BJ1" s="51" t="s">
        <v>30</v>
      </c>
      <c r="BK1" s="51" t="s">
        <v>31</v>
      </c>
      <c r="BL1" s="51" t="s">
        <v>32</v>
      </c>
      <c r="BM1" s="99" t="s">
        <v>33</v>
      </c>
      <c r="BN1" s="99" t="s">
        <v>34</v>
      </c>
      <c r="BO1" s="51" t="s">
        <v>35</v>
      </c>
      <c r="BP1" s="51" t="s">
        <v>36</v>
      </c>
      <c r="BQ1" s="51" t="s">
        <v>37</v>
      </c>
      <c r="BR1" s="99" t="s">
        <v>38</v>
      </c>
      <c r="BS1" s="99" t="s">
        <v>39</v>
      </c>
      <c r="BT1" s="51" t="s">
        <v>40</v>
      </c>
      <c r="BU1" s="51" t="s">
        <v>41</v>
      </c>
      <c r="BV1" s="51" t="s">
        <v>42</v>
      </c>
      <c r="BW1" s="52" t="s">
        <v>43</v>
      </c>
      <c r="BX1" s="51" t="s">
        <v>44</v>
      </c>
      <c r="BY1" s="100" t="s">
        <v>72</v>
      </c>
      <c r="BZ1" s="100" t="s">
        <v>12</v>
      </c>
      <c r="CA1" s="106" t="s">
        <v>13</v>
      </c>
      <c r="CB1" s="106" t="s">
        <v>14</v>
      </c>
      <c r="CC1" s="100" t="s">
        <v>18</v>
      </c>
      <c r="CD1" s="100" t="s">
        <v>19</v>
      </c>
      <c r="CE1" s="100" t="s">
        <v>20</v>
      </c>
      <c r="CF1" s="59" t="s">
        <v>21</v>
      </c>
      <c r="CG1" s="57" t="s">
        <v>22</v>
      </c>
      <c r="CH1" s="101" t="s">
        <v>23</v>
      </c>
      <c r="CI1" s="57" t="s">
        <v>24</v>
      </c>
      <c r="CJ1" s="57" t="s">
        <v>25</v>
      </c>
      <c r="CK1" s="102" t="s">
        <v>26</v>
      </c>
      <c r="CL1" s="102" t="s">
        <v>27</v>
      </c>
      <c r="CM1" s="102" t="s">
        <v>28</v>
      </c>
      <c r="CN1" s="102" t="s">
        <v>29</v>
      </c>
      <c r="CO1" s="59" t="s">
        <v>30</v>
      </c>
      <c r="CP1" s="103" t="s">
        <v>31</v>
      </c>
      <c r="CQ1" s="59" t="s">
        <v>32</v>
      </c>
      <c r="CR1" s="102" t="s">
        <v>33</v>
      </c>
      <c r="CS1" s="102" t="s">
        <v>34</v>
      </c>
      <c r="CT1" s="59" t="s">
        <v>35</v>
      </c>
      <c r="CU1" s="103" t="s">
        <v>36</v>
      </c>
      <c r="CV1" s="59" t="s">
        <v>37</v>
      </c>
      <c r="CW1" s="102" t="s">
        <v>38</v>
      </c>
      <c r="CX1" s="102" t="s">
        <v>39</v>
      </c>
      <c r="CY1" s="59" t="s">
        <v>40</v>
      </c>
      <c r="CZ1" s="59" t="s">
        <v>41</v>
      </c>
      <c r="DA1" s="59" t="s">
        <v>42</v>
      </c>
      <c r="DB1" s="61" t="s">
        <v>43</v>
      </c>
      <c r="DC1" s="103" t="s">
        <v>44</v>
      </c>
      <c r="DD1" s="104" t="s">
        <v>47</v>
      </c>
      <c r="DE1" s="107" t="s">
        <v>48</v>
      </c>
    </row>
    <row r="2" spans="1:176" s="116" customFormat="1" ht="34" customHeight="1" collapsed="1" x14ac:dyDescent="0.2">
      <c r="A2" s="66" t="s">
        <v>2050</v>
      </c>
      <c r="B2" s="112" t="str">
        <f>"Total Credits: " &amp; IFERROR(IF(DD2=0,"",DD2),"")</f>
        <v>Total Credits: 16</v>
      </c>
      <c r="C2" s="113"/>
      <c r="D2" s="114"/>
      <c r="E2" s="114"/>
      <c r="F2" s="138"/>
      <c r="G2" s="114"/>
      <c r="H2" s="114"/>
      <c r="I2" s="114"/>
      <c r="J2" s="114"/>
      <c r="K2" s="114"/>
      <c r="L2" s="114"/>
      <c r="M2" s="114"/>
      <c r="N2" s="114"/>
      <c r="O2" s="114"/>
      <c r="P2" s="139"/>
      <c r="Q2" s="139"/>
      <c r="R2" s="139"/>
      <c r="S2" s="114"/>
      <c r="T2" s="114"/>
      <c r="U2" s="114"/>
      <c r="V2" s="136"/>
      <c r="W2" s="136"/>
      <c r="X2" s="140">
        <f>IF(SUM(X3:X31)=0, "", SUM(X3:X31))</f>
        <v>8</v>
      </c>
      <c r="Y2" s="120"/>
      <c r="Z2" s="120"/>
      <c r="AA2" s="141"/>
      <c r="AB2" s="141"/>
      <c r="AC2" s="141"/>
      <c r="AD2" s="141"/>
      <c r="AE2" s="124"/>
      <c r="AF2" s="124"/>
      <c r="AG2" s="124"/>
      <c r="AH2" s="141"/>
      <c r="AI2" s="141"/>
      <c r="AJ2" s="124"/>
      <c r="AK2" s="124"/>
      <c r="AL2" s="124"/>
      <c r="AM2" s="141"/>
      <c r="AN2" s="141"/>
      <c r="AO2" s="127"/>
      <c r="AP2" s="127"/>
      <c r="AQ2" s="127"/>
      <c r="AR2" s="127"/>
      <c r="AS2" s="127"/>
      <c r="AT2" s="133"/>
      <c r="AU2" s="133"/>
      <c r="AV2" s="114"/>
      <c r="AW2" s="114"/>
      <c r="AX2" s="133"/>
      <c r="AY2" s="133"/>
      <c r="AZ2" s="133"/>
      <c r="BA2" s="133"/>
      <c r="BB2" s="133"/>
      <c r="BC2" s="140" t="str">
        <f>IF(SUM(BC3:BC31)=0, "", SUM(BC3:BC31))</f>
        <v/>
      </c>
      <c r="BD2" s="131"/>
      <c r="BE2" s="131"/>
      <c r="BF2" s="142"/>
      <c r="BG2" s="142"/>
      <c r="BH2" s="142"/>
      <c r="BI2" s="142"/>
      <c r="BJ2" s="133"/>
      <c r="BK2" s="133"/>
      <c r="BL2" s="133"/>
      <c r="BM2" s="142"/>
      <c r="BN2" s="142"/>
      <c r="BO2" s="133"/>
      <c r="BP2" s="133"/>
      <c r="BQ2" s="133"/>
      <c r="BR2" s="142"/>
      <c r="BS2" s="142"/>
      <c r="BT2" s="133"/>
      <c r="BU2" s="133"/>
      <c r="BV2" s="133"/>
      <c r="BW2" s="127"/>
      <c r="BX2" s="133"/>
      <c r="BY2" s="133"/>
      <c r="BZ2" s="133"/>
      <c r="CA2" s="114"/>
      <c r="CB2" s="114"/>
      <c r="CC2" s="133"/>
      <c r="CD2" s="133"/>
      <c r="CE2" s="133"/>
      <c r="CF2" s="136"/>
      <c r="CG2" s="120"/>
      <c r="CH2" s="140">
        <f>IF(SUM(CH3:CH31)=0, "", SUM(CH3:CH31))</f>
        <v>8</v>
      </c>
      <c r="CI2" s="120"/>
      <c r="CJ2" s="120"/>
      <c r="CK2" s="143"/>
      <c r="CL2" s="143"/>
      <c r="CM2" s="143"/>
      <c r="CN2" s="143"/>
      <c r="CO2" s="136"/>
      <c r="CP2" s="144"/>
      <c r="CQ2" s="136"/>
      <c r="CR2" s="143"/>
      <c r="CS2" s="143"/>
      <c r="CT2" s="136"/>
      <c r="CU2" s="144"/>
      <c r="CV2" s="136"/>
      <c r="CW2" s="143"/>
      <c r="CX2" s="143"/>
      <c r="CY2" s="136"/>
      <c r="CZ2" s="136"/>
      <c r="DA2" s="136"/>
      <c r="DB2" s="127"/>
      <c r="DC2" s="144"/>
      <c r="DD2" s="140">
        <f>IF(SUM(L2:DC2)=0, "", SUM(L2:DC2))</f>
        <v>16</v>
      </c>
      <c r="DE2" s="105">
        <v>0</v>
      </c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</row>
    <row r="3" spans="1:176" s="1" customFormat="1" ht="13" hidden="1" customHeight="1" outlineLevel="1" x14ac:dyDescent="0.2">
      <c r="A3" s="4" t="s">
        <v>1079</v>
      </c>
      <c r="B3" s="115" t="str">
        <f>IF(_xlfn.XLOOKUP(A3, AutoFill_names!B:B, AutoFill_names!C:C,"")=0,"",_xlfn.XLOOKUP(A3, AutoFill_names!B:B, AutoFill_names!C:C,""))</f>
        <v>000145425</v>
      </c>
      <c r="C3" s="115" t="str">
        <f>IF(_xlfn.XLOOKUP(A3, AutoFill_names!B:B, AutoFill_names!D:D,"")=0,"",_xlfn.XLOOKUP(A3, AutoFill_names!B:B, AutoFill_names!D:D,""))</f>
        <v>adriani@andrews.edu</v>
      </c>
      <c r="D3" s="115" t="str">
        <f>IF(_xlfn.XLOOKUP(A3, AutoFill_names!B:B, AutoFill_names!E:E,"")=0,"",_xlfn.XLOOKUP(A3, AutoFill_names!B:B, AutoFill_names!E:E,""))</f>
        <v/>
      </c>
      <c r="E3" s="115" t="str">
        <f>IF(_xlfn.XLOOKUP(A3, AutoFill_names!B:B, AutoFill_names!F:F,"")=0,"",_xlfn.XLOOKUP(A3, AutoFill_names!B:B, AutoFill_names!F:F,""))</f>
        <v/>
      </c>
      <c r="F3" s="92"/>
      <c r="J3" s="115" t="str">
        <f>IF(_xlfn.XLOOKUP(A3, AutoFill_names!B:B, AutoFill_names!K:K,"")=0,"",_xlfn.XLOOKUP(A3, AutoFill_names!B:B, AutoFill_names!K:K,""))</f>
        <v>Jeroncic, Ante</v>
      </c>
      <c r="K3" s="115" t="str">
        <f>IF(_xlfn.XLOOKUP(A3, AutoFill_names!B:B, AutoFill_names!L:L,"")=0,"",_xlfn.XLOOKUP(A3, AutoFill_names!B:B, AutoFill_names!L:L,""))</f>
        <v>000066942</v>
      </c>
      <c r="L3" s="31" t="s">
        <v>1270</v>
      </c>
      <c r="M3" s="31"/>
      <c r="N3" s="117" t="str">
        <f>IF(_xlfn.XLOOKUP(L3, AutoFill_classes!A:A, AutoFill_classes!B:B,"")=0,"",_xlfn.XLOOKUP(L3, AutoFill_classes!A:A, AutoFill_classes!B:B,""))</f>
        <v>Grt Controversy, Cov, Law, Sab</v>
      </c>
      <c r="O3" s="108"/>
      <c r="P3" s="6"/>
      <c r="Q3" s="6"/>
      <c r="R3" s="6" t="s">
        <v>52</v>
      </c>
      <c r="S3" s="1" t="s">
        <v>53</v>
      </c>
      <c r="T3" s="1" t="s">
        <v>54</v>
      </c>
      <c r="U3" s="1" t="s">
        <v>167</v>
      </c>
      <c r="V3" s="1" t="s">
        <v>55</v>
      </c>
      <c r="W3" s="1" t="s">
        <v>56</v>
      </c>
      <c r="X3" s="62">
        <v>3</v>
      </c>
      <c r="Y3" s="18"/>
      <c r="Z3" s="121" t="str">
        <f t="shared" ref="Z3:Z31" si="0">IF(X3*Y3=0,"",X3*Y3)</f>
        <v/>
      </c>
      <c r="AA3" s="20"/>
      <c r="AB3" s="20"/>
      <c r="AC3" s="20"/>
      <c r="AD3" s="20"/>
      <c r="AE3" s="125" t="str">
        <f t="shared" ref="AE3:AE31" si="1">IF(ROUNDUP((AD3-AC3)/7,0)=0,"",ROUNDUP((AD3-AC3)/7,0))</f>
        <v/>
      </c>
      <c r="AF3" s="14"/>
      <c r="AG3" s="125" t="str">
        <f t="shared" ref="AG3:AG31" si="2">IFERROR(IF(AE3*AF3=0,"",AE3*AF3), "")</f>
        <v/>
      </c>
      <c r="AH3" s="20"/>
      <c r="AI3" s="20"/>
      <c r="AJ3" s="125" t="str">
        <f t="shared" ref="AJ3:AJ31" si="3">IF(ROUNDUP((AI3-AH3)/7,0)=0,"",ROUNDUP((AI3-AH3)/7,0))</f>
        <v/>
      </c>
      <c r="AK3" s="14"/>
      <c r="AL3" s="125" t="str">
        <f t="shared" ref="AL3:AL31" si="4">IFERROR(IF(AJ3*AK3=0,"",AJ3*AK3), "")</f>
        <v/>
      </c>
      <c r="AM3" s="20"/>
      <c r="AN3" s="20"/>
      <c r="AO3" s="125" t="str">
        <f t="shared" ref="AO3:AO31" si="5">IF(ROUNDUP((AN3-AM3)/7,0)=0,"",ROUNDUP((AN3-AM3)/7,0))</f>
        <v/>
      </c>
      <c r="AP3" s="125" t="str">
        <f t="shared" ref="AP3:AP31" si="6">IFERROR(IF((AS3-(AF3+AK3))/AO3=0,"",ROUNDUP((AS3-(AF3+AK3))/AO3,0)), "")</f>
        <v/>
      </c>
      <c r="AQ3" s="125" t="str">
        <f t="shared" ref="AQ3:AQ31" si="7">IFERROR(IF((AS3-(AG3+AL3))=0, "", (AS3-(AG3+AL3))), "")</f>
        <v/>
      </c>
      <c r="AR3" s="129" t="str">
        <f t="shared" ref="AR3:AR31" si="8">IFERROR(IF((AE3+AJ3+AO3)=0, "", (AE3+AJ3+AO3)), "")</f>
        <v/>
      </c>
      <c r="AS3" s="14"/>
      <c r="AT3" s="32"/>
      <c r="AU3" s="32"/>
      <c r="AV3" s="117" t="str">
        <f>IF(_xlfn.XLOOKUP(AT3, AutoFill_classes!$A:$A, AutoFill_classes!$B:$B,"")=0,"",_xlfn.XLOOKUP(AT3, AutoFill_classes!$A:$A, AutoFill_classes!$B:$B,""))</f>
        <v/>
      </c>
      <c r="AW3" s="108"/>
      <c r="AX3" s="11"/>
      <c r="AY3" s="11"/>
      <c r="AZ3" s="11"/>
      <c r="BA3" s="13"/>
      <c r="BB3" s="13"/>
      <c r="BC3" s="62"/>
      <c r="BD3" s="19"/>
      <c r="BE3" s="121" t="str">
        <f t="shared" ref="BE3:BE31" si="9">IF(BC3*BD3=0,"",BC3*BD3)</f>
        <v/>
      </c>
      <c r="BF3" s="20"/>
      <c r="BG3" s="20"/>
      <c r="BH3" s="20"/>
      <c r="BI3" s="20"/>
      <c r="BJ3" s="125" t="str">
        <f t="shared" ref="BJ3:BJ31" si="10">IF(ROUNDUP((BI3-BH3)/7,0)=0,"",ROUNDUP((BI3-BH3)/7,0))</f>
        <v/>
      </c>
      <c r="BK3" s="14"/>
      <c r="BL3" s="125" t="str">
        <f t="shared" ref="BL3:BL31" si="11">IFERROR(IF(BJ3*BK3=0,"",BJ3*BK3), "")</f>
        <v/>
      </c>
      <c r="BM3" s="20"/>
      <c r="BN3" s="20"/>
      <c r="BO3" s="125" t="str">
        <f t="shared" ref="BO3:BO31" si="12">IF(ROUNDUP((BN3-BM3)/7,0)=0,"",ROUNDUP((BN3-BM3)/7,0))</f>
        <v/>
      </c>
      <c r="BP3" s="14"/>
      <c r="BQ3" s="125" t="str">
        <f t="shared" ref="BQ3:BQ31" si="13">IFERROR(IF(BO3*BP3=0,"",BO3*BP3), "")</f>
        <v/>
      </c>
      <c r="BR3" s="20"/>
      <c r="BS3" s="20"/>
      <c r="BT3" s="125" t="str">
        <f t="shared" ref="BT3:BT31" si="14">IF(ROUNDUP((BS3-BR3)/7,0)=0,"",ROUNDUP((BS3-BR3)/7,0))</f>
        <v/>
      </c>
      <c r="BU3" s="125" t="str">
        <f t="shared" ref="BU3:BU31" si="15">IFERROR(IF((BX3-(BK3+BP3))/BT3=0,"",ROUNDUP((BX3-(BK3+BP3))/BT3,0)), "")</f>
        <v/>
      </c>
      <c r="BV3" s="125" t="str">
        <f t="shared" ref="BV3:BV31" si="16">IFERROR(IF((BX3-(BL3+BQ3))=0, "", (BX3-(BL3+BQ3))), "")</f>
        <v/>
      </c>
      <c r="BW3" s="129" t="str">
        <f t="shared" ref="BW3:BW31" si="17">IFERROR(IF((BJ3+BO3+BT3)=0, "", (BJ3+BO3+BT3)), "")</f>
        <v/>
      </c>
      <c r="BX3" s="11"/>
      <c r="BY3" s="15" t="s">
        <v>1539</v>
      </c>
      <c r="BZ3" s="14"/>
      <c r="CA3" s="117" t="str">
        <f>IF(_xlfn.XLOOKUP(BY3, AutoFill_classes!$A:$A, AutoFill_classes!$B:$B,"")=0,"",_xlfn.XLOOKUP(BY3, AutoFill_classes!$A:$A, AutoFill_classes!$B:$B,""))</f>
        <v>Christian Theology II</v>
      </c>
      <c r="CB3" s="108"/>
      <c r="CC3" s="14" t="s">
        <v>53</v>
      </c>
      <c r="CD3" s="14" t="s">
        <v>54</v>
      </c>
      <c r="CE3" s="14" t="s">
        <v>167</v>
      </c>
      <c r="CF3" s="21" t="s">
        <v>55</v>
      </c>
      <c r="CG3" s="22" t="s">
        <v>56</v>
      </c>
      <c r="CH3" s="62">
        <v>3</v>
      </c>
      <c r="CI3" s="23"/>
      <c r="CJ3" s="121" t="str">
        <f t="shared" ref="CJ3:CJ31" si="18">IF(CH3*CI3=0,"",CH3*CI3)</f>
        <v/>
      </c>
      <c r="CK3" s="20"/>
      <c r="CL3" s="20"/>
      <c r="CM3" s="20"/>
      <c r="CN3" s="20"/>
      <c r="CO3" s="125" t="str">
        <f t="shared" ref="CO3:CO31" si="19">IF(ROUNDUP((CN3-CM3)/7,0)=0,"",ROUNDUP((CN3-CM3)/7,0))</f>
        <v/>
      </c>
      <c r="CP3" s="14"/>
      <c r="CQ3" s="125" t="str">
        <f t="shared" ref="CQ3:CQ31" si="20">IFERROR(IF(CO3*CP3=0,"",CO3*CP3), "")</f>
        <v/>
      </c>
      <c r="CR3" s="20"/>
      <c r="CS3" s="20"/>
      <c r="CT3" s="125" t="str">
        <f t="shared" ref="CT3:CT31" si="21">IF(ROUNDUP((CS3-CR3)/7,0)=0,"",ROUNDUP((CS3-CR3)/7,0))</f>
        <v/>
      </c>
      <c r="CU3" s="14"/>
      <c r="CV3" s="125" t="str">
        <f t="shared" ref="CV3:CV31" si="22">IFERROR(IF(CT3*CU3=0,"",CT3*CU3), "")</f>
        <v/>
      </c>
      <c r="CW3" s="20"/>
      <c r="CX3" s="20"/>
      <c r="CY3" s="125" t="str">
        <f t="shared" ref="CY3:CY31" si="23">IF(ROUNDUP((CX3-CW3)/7,0)=0,"",ROUNDUP((CX3-CW3)/7,0))</f>
        <v/>
      </c>
      <c r="CZ3" s="125" t="str">
        <f t="shared" ref="CZ3:CZ31" si="24">IFERROR(IF((DC3-(CP3+CU3))/CY3=0,"",ROUNDUP((DC3-(CP3+CU3))/CY3,0)), "")</f>
        <v/>
      </c>
      <c r="DA3" s="125" t="str">
        <f t="shared" ref="DA3:DA31" si="25">IFERROR(IF((DC3-(CQ3+CV3))=0, "", (DC3-(CQ3+CV3))), "")</f>
        <v/>
      </c>
      <c r="DB3" s="129" t="str">
        <f t="shared" ref="DB3:DB31" si="26">IFERROR(IF((CO3+CT3+CY3)=0, "", (CO3+CT3+CY3)), "")</f>
        <v/>
      </c>
      <c r="DC3" s="14"/>
      <c r="DD3" s="62"/>
      <c r="DE3" s="105">
        <v>1</v>
      </c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</row>
    <row r="4" spans="1:176" s="1" customFormat="1" ht="13" hidden="1" customHeight="1" outlineLevel="1" x14ac:dyDescent="0.2">
      <c r="A4" s="4" t="s">
        <v>1079</v>
      </c>
      <c r="B4" s="115" t="str">
        <f>IF(_xlfn.XLOOKUP(A4, AutoFill_names!B:B, AutoFill_names!C:C,"")=0,"",_xlfn.XLOOKUP(A4, AutoFill_names!B:B, AutoFill_names!C:C,""))</f>
        <v>000145425</v>
      </c>
      <c r="C4" s="115" t="str">
        <f>IF(_xlfn.XLOOKUP(A4, AutoFill_names!B:B, AutoFill_names!D:D,"")=0,"",_xlfn.XLOOKUP(A4, AutoFill_names!B:B, AutoFill_names!D:D,""))</f>
        <v>adriani@andrews.edu</v>
      </c>
      <c r="D4" s="115" t="str">
        <f>IF(_xlfn.XLOOKUP(A4, AutoFill_names!B:B, AutoFill_names!E:E,"")=0,"",_xlfn.XLOOKUP(A4, AutoFill_names!B:B, AutoFill_names!E:E,""))</f>
        <v/>
      </c>
      <c r="E4" s="115" t="str">
        <f>IF(_xlfn.XLOOKUP(A4, AutoFill_names!B:B, AutoFill_names!F:F,"")=0,"",_xlfn.XLOOKUP(A4, AutoFill_names!B:B, AutoFill_names!F:F,""))</f>
        <v/>
      </c>
      <c r="F4" s="92"/>
      <c r="J4" s="115" t="str">
        <f>IF(_xlfn.XLOOKUP(A4, AutoFill_names!B:B, AutoFill_names!K:K,"")=0,"",_xlfn.XLOOKUP(A4, AutoFill_names!B:B, AutoFill_names!K:K,""))</f>
        <v>Jeroncic, Ante</v>
      </c>
      <c r="K4" s="115" t="str">
        <f>IF(_xlfn.XLOOKUP(A4, AutoFill_names!B:B, AutoFill_names!L:L,"")=0,"",_xlfn.XLOOKUP(A4, AutoFill_names!B:B, AutoFill_names!L:L,""))</f>
        <v>000066942</v>
      </c>
      <c r="L4" s="31" t="s">
        <v>1270</v>
      </c>
      <c r="M4" s="31" t="s">
        <v>57</v>
      </c>
      <c r="N4" s="117" t="str">
        <f>IF(_xlfn.XLOOKUP(L4, AutoFill_classes!A:A, AutoFill_classes!B:B,"")=0,"",_xlfn.XLOOKUP(L4, AutoFill_classes!A:A, AutoFill_classes!B:B,""))</f>
        <v>Grt Controversy, Cov, Law, Sab</v>
      </c>
      <c r="O4" s="108"/>
      <c r="P4" s="6"/>
      <c r="Q4" s="6"/>
      <c r="R4" s="6" t="s">
        <v>52</v>
      </c>
      <c r="S4" s="1" t="s">
        <v>58</v>
      </c>
      <c r="T4" s="1" t="s">
        <v>54</v>
      </c>
      <c r="U4" s="1" t="s">
        <v>167</v>
      </c>
      <c r="V4" s="1" t="s">
        <v>59</v>
      </c>
      <c r="W4" s="1" t="s">
        <v>56</v>
      </c>
      <c r="X4" s="62">
        <v>0</v>
      </c>
      <c r="Y4" s="18"/>
      <c r="Z4" s="121" t="str">
        <f t="shared" si="0"/>
        <v/>
      </c>
      <c r="AA4" s="20"/>
      <c r="AB4" s="20"/>
      <c r="AC4" s="20"/>
      <c r="AD4" s="20"/>
      <c r="AE4" s="125" t="str">
        <f t="shared" si="1"/>
        <v/>
      </c>
      <c r="AF4" s="14"/>
      <c r="AG4" s="125" t="str">
        <f t="shared" si="2"/>
        <v/>
      </c>
      <c r="AH4" s="20"/>
      <c r="AI4" s="20"/>
      <c r="AJ4" s="125" t="str">
        <f t="shared" si="3"/>
        <v/>
      </c>
      <c r="AK4" s="14"/>
      <c r="AL4" s="125" t="str">
        <f t="shared" si="4"/>
        <v/>
      </c>
      <c r="AM4" s="20"/>
      <c r="AN4" s="20"/>
      <c r="AO4" s="125" t="str">
        <f t="shared" si="5"/>
        <v/>
      </c>
      <c r="AP4" s="125" t="str">
        <f t="shared" si="6"/>
        <v/>
      </c>
      <c r="AQ4" s="125" t="str">
        <f t="shared" si="7"/>
        <v/>
      </c>
      <c r="AR4" s="129" t="str">
        <f t="shared" si="8"/>
        <v/>
      </c>
      <c r="AS4" s="14"/>
      <c r="AT4" s="32"/>
      <c r="AU4" s="32"/>
      <c r="AV4" s="117" t="str">
        <f>IF(_xlfn.XLOOKUP(AT4, AutoFill_classes!$A:$A, AutoFill_classes!$B:$B,"")=0,"",_xlfn.XLOOKUP(AT4, AutoFill_classes!$A:$A, AutoFill_classes!$B:$B,""))</f>
        <v/>
      </c>
      <c r="AW4" s="108"/>
      <c r="AX4" s="11"/>
      <c r="AY4" s="11"/>
      <c r="AZ4" s="11"/>
      <c r="BA4" s="13"/>
      <c r="BB4" s="13"/>
      <c r="BC4" s="62"/>
      <c r="BD4" s="19"/>
      <c r="BE4" s="121" t="str">
        <f t="shared" si="9"/>
        <v/>
      </c>
      <c r="BF4" s="20"/>
      <c r="BG4" s="20"/>
      <c r="BH4" s="20"/>
      <c r="BI4" s="20"/>
      <c r="BJ4" s="125" t="str">
        <f t="shared" si="10"/>
        <v/>
      </c>
      <c r="BK4" s="14"/>
      <c r="BL4" s="125" t="str">
        <f t="shared" si="11"/>
        <v/>
      </c>
      <c r="BM4" s="20"/>
      <c r="BN4" s="20"/>
      <c r="BO4" s="125" t="str">
        <f t="shared" si="12"/>
        <v/>
      </c>
      <c r="BP4" s="14"/>
      <c r="BQ4" s="125" t="str">
        <f t="shared" si="13"/>
        <v/>
      </c>
      <c r="BR4" s="20"/>
      <c r="BS4" s="20"/>
      <c r="BT4" s="125" t="str">
        <f t="shared" si="14"/>
        <v/>
      </c>
      <c r="BU4" s="125" t="str">
        <f t="shared" si="15"/>
        <v/>
      </c>
      <c r="BV4" s="125" t="str">
        <f t="shared" si="16"/>
        <v/>
      </c>
      <c r="BW4" s="129" t="str">
        <f t="shared" si="17"/>
        <v/>
      </c>
      <c r="BX4" s="11"/>
      <c r="BY4" s="15" t="s">
        <v>1559</v>
      </c>
      <c r="BZ4" s="14"/>
      <c r="CA4" s="117" t="str">
        <f>IF(_xlfn.XLOOKUP(BY4, AutoFill_classes!$A:$A, AutoFill_classes!$B:$B,"")=0,"",_xlfn.XLOOKUP(BY4, AutoFill_classes!$A:$A, AutoFill_classes!$B:$B,""))</f>
        <v>Doctrine of Christ</v>
      </c>
      <c r="CB4" s="108"/>
      <c r="CC4" s="14" t="s">
        <v>53</v>
      </c>
      <c r="CD4" s="14" t="s">
        <v>54</v>
      </c>
      <c r="CE4" s="14" t="s">
        <v>167</v>
      </c>
      <c r="CF4" s="21" t="s">
        <v>55</v>
      </c>
      <c r="CG4" s="22" t="s">
        <v>56</v>
      </c>
      <c r="CH4" s="62">
        <v>3</v>
      </c>
      <c r="CI4" s="23"/>
      <c r="CJ4" s="121" t="str">
        <f t="shared" si="18"/>
        <v/>
      </c>
      <c r="CK4" s="20"/>
      <c r="CL4" s="20"/>
      <c r="CM4" s="20"/>
      <c r="CN4" s="20"/>
      <c r="CO4" s="125" t="str">
        <f t="shared" si="19"/>
        <v/>
      </c>
      <c r="CP4" s="14"/>
      <c r="CQ4" s="125" t="str">
        <f t="shared" si="20"/>
        <v/>
      </c>
      <c r="CR4" s="20"/>
      <c r="CS4" s="20"/>
      <c r="CT4" s="125" t="str">
        <f t="shared" si="21"/>
        <v/>
      </c>
      <c r="CU4" s="14"/>
      <c r="CV4" s="125" t="str">
        <f t="shared" si="22"/>
        <v/>
      </c>
      <c r="CW4" s="20"/>
      <c r="CX4" s="20"/>
      <c r="CY4" s="125" t="str">
        <f t="shared" si="23"/>
        <v/>
      </c>
      <c r="CZ4" s="125" t="str">
        <f t="shared" si="24"/>
        <v/>
      </c>
      <c r="DA4" s="125" t="str">
        <f t="shared" si="25"/>
        <v/>
      </c>
      <c r="DB4" s="129" t="str">
        <f t="shared" si="26"/>
        <v/>
      </c>
      <c r="DC4" s="14"/>
      <c r="DD4" s="62"/>
      <c r="DE4" s="105">
        <v>2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</row>
    <row r="5" spans="1:176" s="1" customFormat="1" ht="13" hidden="1" customHeight="1" outlineLevel="1" x14ac:dyDescent="0.2">
      <c r="A5" s="4" t="s">
        <v>1079</v>
      </c>
      <c r="B5" s="115" t="str">
        <f>IF(_xlfn.XLOOKUP(A5, AutoFill_names!B:B, AutoFill_names!C:C,"")=0,"",_xlfn.XLOOKUP(A5, AutoFill_names!B:B, AutoFill_names!C:C,""))</f>
        <v>000145425</v>
      </c>
      <c r="C5" s="115" t="str">
        <f>IF(_xlfn.XLOOKUP(A5, AutoFill_names!B:B, AutoFill_names!D:D,"")=0,"",_xlfn.XLOOKUP(A5, AutoFill_names!B:B, AutoFill_names!D:D,""))</f>
        <v>adriani@andrews.edu</v>
      </c>
      <c r="D5" s="115" t="str">
        <f>IF(_xlfn.XLOOKUP(A5, AutoFill_names!B:B, AutoFill_names!E:E,"")=0,"",_xlfn.XLOOKUP(A5, AutoFill_names!B:B, AutoFill_names!E:E,""))</f>
        <v/>
      </c>
      <c r="E5" s="115" t="str">
        <f>IF(_xlfn.XLOOKUP(A5, AutoFill_names!B:B, AutoFill_names!F:F,"")=0,"",_xlfn.XLOOKUP(A5, AutoFill_names!B:B, AutoFill_names!F:F,""))</f>
        <v/>
      </c>
      <c r="F5" s="92"/>
      <c r="J5" s="115" t="str">
        <f>IF(_xlfn.XLOOKUP(A5, AutoFill_names!B:B, AutoFill_names!K:K,"")=0,"",_xlfn.XLOOKUP(A5, AutoFill_names!B:B, AutoFill_names!K:K,""))</f>
        <v>Jeroncic, Ante</v>
      </c>
      <c r="K5" s="115" t="str">
        <f>IF(_xlfn.XLOOKUP(A5, AutoFill_names!B:B, AutoFill_names!L:L,"")=0,"",_xlfn.XLOOKUP(A5, AutoFill_names!B:B, AutoFill_names!L:L,""))</f>
        <v>000066942</v>
      </c>
      <c r="L5" s="31" t="s">
        <v>1545</v>
      </c>
      <c r="M5" s="31" t="s">
        <v>453</v>
      </c>
      <c r="N5" s="117" t="str">
        <f>IF(_xlfn.XLOOKUP(L5, AutoFill_classes!A:A, AutoFill_classes!B:B,"")=0,"",_xlfn.XLOOKUP(L5, AutoFill_classes!A:A, AutoFill_classes!B:B,""))</f>
        <v>Revelation, Inspiratn&amp;Herm</v>
      </c>
      <c r="O5" s="108"/>
      <c r="P5" s="6" t="s">
        <v>52</v>
      </c>
      <c r="Q5" s="6"/>
      <c r="R5" s="6"/>
      <c r="S5" s="1" t="s">
        <v>102</v>
      </c>
      <c r="T5" s="1" t="s">
        <v>54</v>
      </c>
      <c r="U5" s="1" t="s">
        <v>167</v>
      </c>
      <c r="V5" s="1" t="s">
        <v>55</v>
      </c>
      <c r="W5" s="1" t="s">
        <v>56</v>
      </c>
      <c r="X5" s="62">
        <v>3</v>
      </c>
      <c r="Y5" s="18"/>
      <c r="Z5" s="121" t="str">
        <f t="shared" si="0"/>
        <v/>
      </c>
      <c r="AA5" s="20"/>
      <c r="AB5" s="20"/>
      <c r="AC5" s="20"/>
      <c r="AD5" s="20"/>
      <c r="AE5" s="125" t="str">
        <f t="shared" si="1"/>
        <v/>
      </c>
      <c r="AF5" s="14"/>
      <c r="AG5" s="125" t="str">
        <f t="shared" si="2"/>
        <v/>
      </c>
      <c r="AH5" s="20"/>
      <c r="AI5" s="20"/>
      <c r="AJ5" s="125" t="str">
        <f t="shared" si="3"/>
        <v/>
      </c>
      <c r="AK5" s="14"/>
      <c r="AL5" s="125" t="str">
        <f t="shared" si="4"/>
        <v/>
      </c>
      <c r="AM5" s="20"/>
      <c r="AN5" s="20"/>
      <c r="AO5" s="125" t="str">
        <f t="shared" si="5"/>
        <v/>
      </c>
      <c r="AP5" s="125" t="str">
        <f t="shared" si="6"/>
        <v/>
      </c>
      <c r="AQ5" s="125" t="str">
        <f t="shared" si="7"/>
        <v/>
      </c>
      <c r="AR5" s="129" t="str">
        <f t="shared" si="8"/>
        <v/>
      </c>
      <c r="AS5" s="14"/>
      <c r="AT5" s="32"/>
      <c r="AU5" s="32"/>
      <c r="AV5" s="117" t="str">
        <f>IF(_xlfn.XLOOKUP(AT5, AutoFill_classes!$A:$A, AutoFill_classes!$B:$B,"")=0,"",_xlfn.XLOOKUP(AT5, AutoFill_classes!$A:$A, AutoFill_classes!$B:$B,""))</f>
        <v/>
      </c>
      <c r="AW5" s="108"/>
      <c r="AX5" s="11"/>
      <c r="AY5" s="11"/>
      <c r="AZ5" s="11"/>
      <c r="BA5" s="13"/>
      <c r="BB5" s="13"/>
      <c r="BC5" s="62"/>
      <c r="BD5" s="19"/>
      <c r="BE5" s="121" t="str">
        <f t="shared" si="9"/>
        <v/>
      </c>
      <c r="BF5" s="20"/>
      <c r="BG5" s="20"/>
      <c r="BH5" s="20"/>
      <c r="BI5" s="20"/>
      <c r="BJ5" s="125" t="str">
        <f t="shared" si="10"/>
        <v/>
      </c>
      <c r="BK5" s="14"/>
      <c r="BL5" s="125" t="str">
        <f t="shared" si="11"/>
        <v/>
      </c>
      <c r="BM5" s="20"/>
      <c r="BN5" s="20"/>
      <c r="BO5" s="125" t="str">
        <f t="shared" si="12"/>
        <v/>
      </c>
      <c r="BP5" s="14"/>
      <c r="BQ5" s="125" t="str">
        <f t="shared" si="13"/>
        <v/>
      </c>
      <c r="BR5" s="20"/>
      <c r="BS5" s="20"/>
      <c r="BT5" s="125" t="str">
        <f t="shared" si="14"/>
        <v/>
      </c>
      <c r="BU5" s="125" t="str">
        <f t="shared" si="15"/>
        <v/>
      </c>
      <c r="BV5" s="125" t="str">
        <f t="shared" si="16"/>
        <v/>
      </c>
      <c r="BW5" s="129" t="str">
        <f t="shared" si="17"/>
        <v/>
      </c>
      <c r="BX5" s="11"/>
      <c r="BY5" s="15" t="s">
        <v>2056</v>
      </c>
      <c r="BZ5" s="14" t="s">
        <v>283</v>
      </c>
      <c r="CA5" s="117" t="str">
        <f>IF(_xlfn.XLOOKUP(BY5, AutoFill_classes!$A:$A, AutoFill_classes!$B:$B,"")=0,"",_xlfn.XLOOKUP(BY5, AutoFill_classes!$A:$A, AutoFill_classes!$B:$B,""))</f>
        <v/>
      </c>
      <c r="CB5" s="108"/>
      <c r="CC5" s="14" t="s">
        <v>53</v>
      </c>
      <c r="CD5" s="14" t="s">
        <v>54</v>
      </c>
      <c r="CE5" s="14" t="s">
        <v>167</v>
      </c>
      <c r="CF5" s="21" t="s">
        <v>59</v>
      </c>
      <c r="CG5" s="22" t="s">
        <v>56</v>
      </c>
      <c r="CH5" s="62">
        <v>0</v>
      </c>
      <c r="CI5" s="23"/>
      <c r="CJ5" s="121" t="str">
        <f t="shared" si="18"/>
        <v/>
      </c>
      <c r="CK5" s="20"/>
      <c r="CL5" s="20"/>
      <c r="CM5" s="20"/>
      <c r="CN5" s="20"/>
      <c r="CO5" s="125" t="str">
        <f t="shared" si="19"/>
        <v/>
      </c>
      <c r="CP5" s="14"/>
      <c r="CQ5" s="125" t="str">
        <f t="shared" si="20"/>
        <v/>
      </c>
      <c r="CR5" s="20"/>
      <c r="CS5" s="20"/>
      <c r="CT5" s="125" t="str">
        <f t="shared" si="21"/>
        <v/>
      </c>
      <c r="CU5" s="14"/>
      <c r="CV5" s="125" t="str">
        <f t="shared" si="22"/>
        <v/>
      </c>
      <c r="CW5" s="20"/>
      <c r="CX5" s="20"/>
      <c r="CY5" s="125" t="str">
        <f t="shared" si="23"/>
        <v/>
      </c>
      <c r="CZ5" s="125" t="str">
        <f t="shared" si="24"/>
        <v/>
      </c>
      <c r="DA5" s="125" t="str">
        <f t="shared" si="25"/>
        <v/>
      </c>
      <c r="DB5" s="129" t="str">
        <f t="shared" si="26"/>
        <v/>
      </c>
      <c r="DC5" s="14"/>
      <c r="DD5" s="62"/>
      <c r="DE5" s="105">
        <v>3</v>
      </c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</row>
    <row r="6" spans="1:176" s="1" customFormat="1" ht="13" hidden="1" customHeight="1" outlineLevel="1" x14ac:dyDescent="0.2">
      <c r="A6" s="4" t="s">
        <v>1079</v>
      </c>
      <c r="B6" s="115" t="str">
        <f>IF(_xlfn.XLOOKUP(A6, AutoFill_names!B:B, AutoFill_names!C:C,"")=0,"",_xlfn.XLOOKUP(A6, AutoFill_names!B:B, AutoFill_names!C:C,""))</f>
        <v>000145425</v>
      </c>
      <c r="C6" s="115" t="str">
        <f>IF(_xlfn.XLOOKUP(A6, AutoFill_names!B:B, AutoFill_names!D:D,"")=0,"",_xlfn.XLOOKUP(A6, AutoFill_names!B:B, AutoFill_names!D:D,""))</f>
        <v>adriani@andrews.edu</v>
      </c>
      <c r="D6" s="115" t="str">
        <f>IF(_xlfn.XLOOKUP(A6, AutoFill_names!B:B, AutoFill_names!E:E,"")=0,"",_xlfn.XLOOKUP(A6, AutoFill_names!B:B, AutoFill_names!E:E,""))</f>
        <v/>
      </c>
      <c r="E6" s="115" t="str">
        <f>IF(_xlfn.XLOOKUP(A6, AutoFill_names!B:B, AutoFill_names!F:F,"")=0,"",_xlfn.XLOOKUP(A6, AutoFill_names!B:B, AutoFill_names!F:F,""))</f>
        <v/>
      </c>
      <c r="F6" s="92"/>
      <c r="J6" s="115" t="str">
        <f>IF(_xlfn.XLOOKUP(A6, AutoFill_names!B:B, AutoFill_names!K:K,"")=0,"",_xlfn.XLOOKUP(A6, AutoFill_names!B:B, AutoFill_names!K:K,""))</f>
        <v>Jeroncic, Ante</v>
      </c>
      <c r="K6" s="115" t="str">
        <f>IF(_xlfn.XLOOKUP(A6, AutoFill_names!B:B, AutoFill_names!L:L,"")=0,"",_xlfn.XLOOKUP(A6, AutoFill_names!B:B, AutoFill_names!L:L,""))</f>
        <v>000066942</v>
      </c>
      <c r="L6" s="31" t="s">
        <v>1576</v>
      </c>
      <c r="M6" s="31"/>
      <c r="N6" s="117" t="str">
        <f>IF(_xlfn.XLOOKUP(L6, AutoFill_classes!A:A, AutoFill_classes!B:B,"")=0,"",_xlfn.XLOOKUP(L6, AutoFill_classes!A:A, AutoFill_classes!B:B,""))</f>
        <v>Modern Philosophy</v>
      </c>
      <c r="O6" s="108"/>
      <c r="P6" s="6" t="s">
        <v>52</v>
      </c>
      <c r="Q6" s="6"/>
      <c r="R6" s="6"/>
      <c r="S6" s="1" t="s">
        <v>53</v>
      </c>
      <c r="T6" s="1" t="s">
        <v>54</v>
      </c>
      <c r="U6" s="1" t="s">
        <v>167</v>
      </c>
      <c r="V6" s="1" t="s">
        <v>55</v>
      </c>
      <c r="W6" s="1" t="s">
        <v>56</v>
      </c>
      <c r="X6" s="62">
        <v>2</v>
      </c>
      <c r="Y6" s="18"/>
      <c r="Z6" s="121" t="str">
        <f t="shared" si="0"/>
        <v/>
      </c>
      <c r="AA6" s="20"/>
      <c r="AB6" s="20"/>
      <c r="AC6" s="20"/>
      <c r="AD6" s="20"/>
      <c r="AE6" s="125" t="str">
        <f t="shared" si="1"/>
        <v/>
      </c>
      <c r="AF6" s="14"/>
      <c r="AG6" s="125" t="str">
        <f t="shared" si="2"/>
        <v/>
      </c>
      <c r="AH6" s="20"/>
      <c r="AI6" s="20"/>
      <c r="AJ6" s="125" t="str">
        <f t="shared" si="3"/>
        <v/>
      </c>
      <c r="AK6" s="14"/>
      <c r="AL6" s="125" t="str">
        <f t="shared" si="4"/>
        <v/>
      </c>
      <c r="AM6" s="20"/>
      <c r="AN6" s="20"/>
      <c r="AO6" s="125" t="str">
        <f t="shared" si="5"/>
        <v/>
      </c>
      <c r="AP6" s="125" t="str">
        <f t="shared" si="6"/>
        <v/>
      </c>
      <c r="AQ6" s="125" t="str">
        <f t="shared" si="7"/>
        <v/>
      </c>
      <c r="AR6" s="129" t="str">
        <f t="shared" si="8"/>
        <v/>
      </c>
      <c r="AS6" s="14"/>
      <c r="AT6" s="32"/>
      <c r="AU6" s="32"/>
      <c r="AV6" s="117" t="str">
        <f>IF(_xlfn.XLOOKUP(AT6, AutoFill_classes!$A:$A, AutoFill_classes!$B:$B,"")=0,"",_xlfn.XLOOKUP(AT6, AutoFill_classes!$A:$A, AutoFill_classes!$B:$B,""))</f>
        <v/>
      </c>
      <c r="AW6" s="108"/>
      <c r="AX6" s="11"/>
      <c r="AY6" s="11"/>
      <c r="AZ6" s="11"/>
      <c r="BA6" s="13"/>
      <c r="BB6" s="13"/>
      <c r="BC6" s="62"/>
      <c r="BD6" s="19"/>
      <c r="BE6" s="121" t="str">
        <f t="shared" si="9"/>
        <v/>
      </c>
      <c r="BF6" s="20"/>
      <c r="BG6" s="20"/>
      <c r="BH6" s="20"/>
      <c r="BI6" s="20"/>
      <c r="BJ6" s="125" t="str">
        <f t="shared" si="10"/>
        <v/>
      </c>
      <c r="BK6" s="14"/>
      <c r="BL6" s="125" t="str">
        <f t="shared" si="11"/>
        <v/>
      </c>
      <c r="BM6" s="20"/>
      <c r="BN6" s="20"/>
      <c r="BO6" s="125" t="str">
        <f t="shared" si="12"/>
        <v/>
      </c>
      <c r="BP6" s="14"/>
      <c r="BQ6" s="125" t="str">
        <f t="shared" si="13"/>
        <v/>
      </c>
      <c r="BR6" s="20"/>
      <c r="BS6" s="20"/>
      <c r="BT6" s="125" t="str">
        <f t="shared" si="14"/>
        <v/>
      </c>
      <c r="BU6" s="125" t="str">
        <f t="shared" si="15"/>
        <v/>
      </c>
      <c r="BV6" s="125" t="str">
        <f t="shared" si="16"/>
        <v/>
      </c>
      <c r="BW6" s="129" t="str">
        <f t="shared" si="17"/>
        <v/>
      </c>
      <c r="BX6" s="11"/>
      <c r="BY6" s="15" t="s">
        <v>1576</v>
      </c>
      <c r="BZ6" s="14"/>
      <c r="CA6" s="117" t="str">
        <f>IF(_xlfn.XLOOKUP(BY6, AutoFill_classes!$A:$A, AutoFill_classes!$B:$B,"")=0,"",_xlfn.XLOOKUP(BY6, AutoFill_classes!$A:$A, AutoFill_classes!$B:$B,""))</f>
        <v>Modern Philosophy</v>
      </c>
      <c r="CB6" s="108"/>
      <c r="CC6" s="14" t="s">
        <v>53</v>
      </c>
      <c r="CD6" s="14" t="s">
        <v>54</v>
      </c>
      <c r="CE6" s="14" t="s">
        <v>167</v>
      </c>
      <c r="CF6" s="21" t="s">
        <v>55</v>
      </c>
      <c r="CG6" s="22" t="s">
        <v>56</v>
      </c>
      <c r="CH6" s="62">
        <v>2</v>
      </c>
      <c r="CI6" s="23"/>
      <c r="CJ6" s="121" t="str">
        <f t="shared" si="18"/>
        <v/>
      </c>
      <c r="CK6" s="20"/>
      <c r="CL6" s="20"/>
      <c r="CM6" s="20"/>
      <c r="CN6" s="20"/>
      <c r="CO6" s="125" t="str">
        <f t="shared" si="19"/>
        <v/>
      </c>
      <c r="CP6" s="14"/>
      <c r="CQ6" s="125" t="str">
        <f t="shared" si="20"/>
        <v/>
      </c>
      <c r="CR6" s="20"/>
      <c r="CS6" s="20"/>
      <c r="CT6" s="125" t="str">
        <f t="shared" si="21"/>
        <v/>
      </c>
      <c r="CU6" s="14"/>
      <c r="CV6" s="125" t="str">
        <f t="shared" si="22"/>
        <v/>
      </c>
      <c r="CW6" s="20"/>
      <c r="CX6" s="20"/>
      <c r="CY6" s="125" t="str">
        <f t="shared" si="23"/>
        <v/>
      </c>
      <c r="CZ6" s="125" t="str">
        <f t="shared" si="24"/>
        <v/>
      </c>
      <c r="DA6" s="125" t="str">
        <f t="shared" si="25"/>
        <v/>
      </c>
      <c r="DB6" s="129" t="str">
        <f t="shared" si="26"/>
        <v/>
      </c>
      <c r="DC6" s="14"/>
      <c r="DD6" s="62"/>
      <c r="DE6" s="105">
        <v>4</v>
      </c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</row>
    <row r="7" spans="1:176" s="1" customFormat="1" ht="13" hidden="1" customHeight="1" outlineLevel="1" x14ac:dyDescent="0.2">
      <c r="A7" s="4" t="s">
        <v>1079</v>
      </c>
      <c r="B7" s="115" t="str">
        <f>IF(_xlfn.XLOOKUP(A7, AutoFill_names!B:B, AutoFill_names!C:C,"")=0,"",_xlfn.XLOOKUP(A7, AutoFill_names!B:B, AutoFill_names!C:C,""))</f>
        <v>000145425</v>
      </c>
      <c r="C7" s="115" t="str">
        <f>IF(_xlfn.XLOOKUP(A7, AutoFill_names!B:B, AutoFill_names!D:D,"")=0,"",_xlfn.XLOOKUP(A7, AutoFill_names!B:B, AutoFill_names!D:D,""))</f>
        <v>adriani@andrews.edu</v>
      </c>
      <c r="D7" s="115" t="str">
        <f>IF(_xlfn.XLOOKUP(A7, AutoFill_names!B:B, AutoFill_names!E:E,"")=0,"",_xlfn.XLOOKUP(A7, AutoFill_names!B:B, AutoFill_names!E:E,""))</f>
        <v/>
      </c>
      <c r="E7" s="115" t="str">
        <f>IF(_xlfn.XLOOKUP(A7, AutoFill_names!B:B, AutoFill_names!F:F,"")=0,"",_xlfn.XLOOKUP(A7, AutoFill_names!B:B, AutoFill_names!F:F,""))</f>
        <v/>
      </c>
      <c r="F7" s="92"/>
      <c r="J7" s="115" t="str">
        <f>IF(_xlfn.XLOOKUP(A7, AutoFill_names!B:B, AutoFill_names!K:K,"")=0,"",_xlfn.XLOOKUP(A7, AutoFill_names!B:B, AutoFill_names!K:K,""))</f>
        <v>Jeroncic, Ante</v>
      </c>
      <c r="K7" s="115" t="str">
        <f>IF(_xlfn.XLOOKUP(A7, AutoFill_names!B:B, AutoFill_names!L:L,"")=0,"",_xlfn.XLOOKUP(A7, AutoFill_names!B:B, AutoFill_names!L:L,""))</f>
        <v>000066942</v>
      </c>
      <c r="L7" s="31" t="s">
        <v>1581</v>
      </c>
      <c r="M7" s="31" t="s">
        <v>265</v>
      </c>
      <c r="N7" s="117" t="str">
        <f>IF(_xlfn.XLOOKUP(L7, AutoFill_classes!A:A, AutoFill_classes!B:B,"")=0,"",_xlfn.XLOOKUP(L7, AutoFill_classes!A:A, AutoFill_classes!B:B,""))</f>
        <v>Top:</v>
      </c>
      <c r="O7" s="108"/>
      <c r="P7" s="6" t="s">
        <v>52</v>
      </c>
      <c r="Q7" s="6"/>
      <c r="R7" s="6"/>
      <c r="S7" s="1" t="s">
        <v>53</v>
      </c>
      <c r="T7" s="1" t="s">
        <v>54</v>
      </c>
      <c r="U7" s="1" t="s">
        <v>167</v>
      </c>
      <c r="V7" s="1" t="s">
        <v>59</v>
      </c>
      <c r="W7" s="1" t="s">
        <v>56</v>
      </c>
      <c r="X7" s="62">
        <v>0</v>
      </c>
      <c r="Y7" s="18"/>
      <c r="Z7" s="121" t="str">
        <f t="shared" si="0"/>
        <v/>
      </c>
      <c r="AA7" s="20"/>
      <c r="AB7" s="20"/>
      <c r="AC7" s="20"/>
      <c r="AD7" s="20"/>
      <c r="AE7" s="125" t="str">
        <f t="shared" si="1"/>
        <v/>
      </c>
      <c r="AF7" s="14"/>
      <c r="AG7" s="125" t="str">
        <f t="shared" si="2"/>
        <v/>
      </c>
      <c r="AH7" s="20"/>
      <c r="AI7" s="20"/>
      <c r="AJ7" s="125" t="str">
        <f t="shared" si="3"/>
        <v/>
      </c>
      <c r="AK7" s="14"/>
      <c r="AL7" s="125" t="str">
        <f t="shared" si="4"/>
        <v/>
      </c>
      <c r="AM7" s="20"/>
      <c r="AN7" s="20"/>
      <c r="AO7" s="125" t="str">
        <f t="shared" si="5"/>
        <v/>
      </c>
      <c r="AP7" s="125" t="str">
        <f t="shared" si="6"/>
        <v/>
      </c>
      <c r="AQ7" s="125" t="str">
        <f t="shared" si="7"/>
        <v/>
      </c>
      <c r="AR7" s="129" t="str">
        <f t="shared" si="8"/>
        <v/>
      </c>
      <c r="AS7" s="14"/>
      <c r="AT7" s="32"/>
      <c r="AU7" s="32"/>
      <c r="AV7" s="117" t="str">
        <f>IF(_xlfn.XLOOKUP(AT7, AutoFill_classes!$A:$A, AutoFill_classes!$B:$B,"")=0,"",_xlfn.XLOOKUP(AT7, AutoFill_classes!$A:$A, AutoFill_classes!$B:$B,""))</f>
        <v/>
      </c>
      <c r="AW7" s="108"/>
      <c r="AX7" s="11"/>
      <c r="AY7" s="11"/>
      <c r="AZ7" s="11"/>
      <c r="BA7" s="13"/>
      <c r="BB7" s="13"/>
      <c r="BC7" s="62"/>
      <c r="BD7" s="19"/>
      <c r="BE7" s="121" t="str">
        <f t="shared" si="9"/>
        <v/>
      </c>
      <c r="BF7" s="20"/>
      <c r="BG7" s="20"/>
      <c r="BH7" s="20"/>
      <c r="BI7" s="20"/>
      <c r="BJ7" s="125" t="str">
        <f t="shared" si="10"/>
        <v/>
      </c>
      <c r="BK7" s="14"/>
      <c r="BL7" s="125" t="str">
        <f t="shared" si="11"/>
        <v/>
      </c>
      <c r="BM7" s="20"/>
      <c r="BN7" s="20"/>
      <c r="BO7" s="125" t="str">
        <f t="shared" si="12"/>
        <v/>
      </c>
      <c r="BP7" s="14"/>
      <c r="BQ7" s="125" t="str">
        <f t="shared" si="13"/>
        <v/>
      </c>
      <c r="BR7" s="20"/>
      <c r="BS7" s="20"/>
      <c r="BT7" s="125" t="str">
        <f t="shared" si="14"/>
        <v/>
      </c>
      <c r="BU7" s="125" t="str">
        <f t="shared" si="15"/>
        <v/>
      </c>
      <c r="BV7" s="125" t="str">
        <f t="shared" si="16"/>
        <v/>
      </c>
      <c r="BW7" s="129" t="str">
        <f t="shared" si="17"/>
        <v/>
      </c>
      <c r="BX7" s="11"/>
      <c r="BY7" s="15"/>
      <c r="BZ7" s="14"/>
      <c r="CA7" s="117" t="str">
        <f>IF(_xlfn.XLOOKUP(BY7, AutoFill_classes!$A:$A, AutoFill_classes!$B:$B,"")=0,"",_xlfn.XLOOKUP(BY7, AutoFill_classes!$A:$A, AutoFill_classes!$B:$B,""))</f>
        <v/>
      </c>
      <c r="CB7" s="108"/>
      <c r="CC7" s="14"/>
      <c r="CD7" s="14"/>
      <c r="CE7" s="14"/>
      <c r="CF7" s="21"/>
      <c r="CG7" s="22"/>
      <c r="CH7" s="62"/>
      <c r="CI7" s="23"/>
      <c r="CJ7" s="121" t="str">
        <f t="shared" si="18"/>
        <v/>
      </c>
      <c r="CK7" s="20"/>
      <c r="CL7" s="20"/>
      <c r="CM7" s="20"/>
      <c r="CN7" s="20"/>
      <c r="CO7" s="125" t="str">
        <f t="shared" si="19"/>
        <v/>
      </c>
      <c r="CP7" s="14"/>
      <c r="CQ7" s="125" t="str">
        <f t="shared" si="20"/>
        <v/>
      </c>
      <c r="CR7" s="20"/>
      <c r="CS7" s="20"/>
      <c r="CT7" s="125" t="str">
        <f t="shared" si="21"/>
        <v/>
      </c>
      <c r="CU7" s="14"/>
      <c r="CV7" s="125" t="str">
        <f t="shared" si="22"/>
        <v/>
      </c>
      <c r="CW7" s="20"/>
      <c r="CX7" s="20"/>
      <c r="CY7" s="125" t="str">
        <f t="shared" si="23"/>
        <v/>
      </c>
      <c r="CZ7" s="125" t="str">
        <f t="shared" si="24"/>
        <v/>
      </c>
      <c r="DA7" s="125" t="str">
        <f t="shared" si="25"/>
        <v/>
      </c>
      <c r="DB7" s="129" t="str">
        <f t="shared" si="26"/>
        <v/>
      </c>
      <c r="DC7" s="14"/>
      <c r="DD7" s="62"/>
      <c r="DE7" s="105">
        <v>5</v>
      </c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</row>
    <row r="8" spans="1:176" s="1" customFormat="1" ht="13" hidden="1" customHeight="1" outlineLevel="1" x14ac:dyDescent="0.2">
      <c r="A8" s="4"/>
      <c r="B8" s="115" t="str">
        <f>IF(_xlfn.XLOOKUP(A8, AutoFill_names!B:B, AutoFill_names!C:C,"")=0,"",_xlfn.XLOOKUP(A8, AutoFill_names!B:B, AutoFill_names!C:C,""))</f>
        <v/>
      </c>
      <c r="C8" s="115" t="str">
        <f>IF(_xlfn.XLOOKUP(A8, AutoFill_names!B:B, AutoFill_names!D:D,"")=0,"",_xlfn.XLOOKUP(A8, AutoFill_names!B:B, AutoFill_names!D:D,""))</f>
        <v/>
      </c>
      <c r="D8" s="115" t="str">
        <f>IF(_xlfn.XLOOKUP(A8, AutoFill_names!B:B, AutoFill_names!E:E,"")=0,"",_xlfn.XLOOKUP(A8, AutoFill_names!B:B, AutoFill_names!E:E,""))</f>
        <v/>
      </c>
      <c r="E8" s="115" t="str">
        <f>IF(_xlfn.XLOOKUP(A8, AutoFill_names!B:B, AutoFill_names!F:F,"")=0,"",_xlfn.XLOOKUP(A8, AutoFill_names!B:B, AutoFill_names!F:F,""))</f>
        <v/>
      </c>
      <c r="F8" s="92"/>
      <c r="J8" s="115" t="str">
        <f>IF(_xlfn.XLOOKUP(A8, AutoFill_names!B:B, AutoFill_names!K:K,"")=0,"",_xlfn.XLOOKUP(A8, AutoFill_names!B:B, AutoFill_names!K:K,""))</f>
        <v/>
      </c>
      <c r="K8" s="115" t="str">
        <f>IF(_xlfn.XLOOKUP(A8, AutoFill_names!B:B, AutoFill_names!L:L,"")=0,"",_xlfn.XLOOKUP(A8, AutoFill_names!B:B, AutoFill_names!L:L,""))</f>
        <v/>
      </c>
      <c r="L8" s="31"/>
      <c r="M8" s="31"/>
      <c r="N8" s="117" t="str">
        <f>IF(_xlfn.XLOOKUP(L8, AutoFill_classes!A:A, AutoFill_classes!B:B,"")=0,"",_xlfn.XLOOKUP(L8, AutoFill_classes!A:A, AutoFill_classes!B:B,""))</f>
        <v/>
      </c>
      <c r="O8" s="108"/>
      <c r="P8" s="6"/>
      <c r="Q8" s="6"/>
      <c r="R8" s="6"/>
      <c r="X8" s="62"/>
      <c r="Y8" s="18"/>
      <c r="Z8" s="121" t="str">
        <f t="shared" si="0"/>
        <v/>
      </c>
      <c r="AA8" s="20"/>
      <c r="AB8" s="20"/>
      <c r="AC8" s="20"/>
      <c r="AD8" s="20"/>
      <c r="AE8" s="125" t="str">
        <f t="shared" si="1"/>
        <v/>
      </c>
      <c r="AF8" s="14"/>
      <c r="AG8" s="125" t="str">
        <f t="shared" si="2"/>
        <v/>
      </c>
      <c r="AH8" s="20"/>
      <c r="AI8" s="20"/>
      <c r="AJ8" s="125" t="str">
        <f t="shared" si="3"/>
        <v/>
      </c>
      <c r="AK8" s="14"/>
      <c r="AL8" s="125" t="str">
        <f t="shared" si="4"/>
        <v/>
      </c>
      <c r="AM8" s="20"/>
      <c r="AN8" s="20"/>
      <c r="AO8" s="125" t="str">
        <f t="shared" si="5"/>
        <v/>
      </c>
      <c r="AP8" s="125" t="str">
        <f t="shared" si="6"/>
        <v/>
      </c>
      <c r="AQ8" s="125" t="str">
        <f t="shared" si="7"/>
        <v/>
      </c>
      <c r="AR8" s="129" t="str">
        <f t="shared" si="8"/>
        <v/>
      </c>
      <c r="AS8" s="14"/>
      <c r="AT8" s="32"/>
      <c r="AU8" s="32"/>
      <c r="AV8" s="117" t="str">
        <f>IF(_xlfn.XLOOKUP(AT8, AutoFill_classes!$A:$A, AutoFill_classes!$B:$B,"")=0,"",_xlfn.XLOOKUP(AT8, AutoFill_classes!$A:$A, AutoFill_classes!$B:$B,""))</f>
        <v/>
      </c>
      <c r="AW8" s="108"/>
      <c r="AX8" s="11"/>
      <c r="AY8" s="11"/>
      <c r="AZ8" s="11"/>
      <c r="BA8" s="13"/>
      <c r="BB8" s="13"/>
      <c r="BC8" s="62"/>
      <c r="BD8" s="19"/>
      <c r="BE8" s="121" t="str">
        <f t="shared" si="9"/>
        <v/>
      </c>
      <c r="BF8" s="20"/>
      <c r="BG8" s="20"/>
      <c r="BH8" s="20"/>
      <c r="BI8" s="20"/>
      <c r="BJ8" s="125" t="str">
        <f t="shared" si="10"/>
        <v/>
      </c>
      <c r="BK8" s="14"/>
      <c r="BL8" s="125" t="str">
        <f t="shared" si="11"/>
        <v/>
      </c>
      <c r="BM8" s="20"/>
      <c r="BN8" s="20"/>
      <c r="BO8" s="125" t="str">
        <f t="shared" si="12"/>
        <v/>
      </c>
      <c r="BP8" s="14"/>
      <c r="BQ8" s="125" t="str">
        <f t="shared" si="13"/>
        <v/>
      </c>
      <c r="BR8" s="20"/>
      <c r="BS8" s="20"/>
      <c r="BT8" s="125" t="str">
        <f t="shared" si="14"/>
        <v/>
      </c>
      <c r="BU8" s="125" t="str">
        <f t="shared" si="15"/>
        <v/>
      </c>
      <c r="BV8" s="125" t="str">
        <f t="shared" si="16"/>
        <v/>
      </c>
      <c r="BW8" s="129" t="str">
        <f t="shared" si="17"/>
        <v/>
      </c>
      <c r="BX8" s="11"/>
      <c r="BY8" s="15"/>
      <c r="BZ8" s="14"/>
      <c r="CA8" s="117" t="str">
        <f>IF(_xlfn.XLOOKUP(BY8, AutoFill_classes!$A:$A, AutoFill_classes!$B:$B,"")=0,"",_xlfn.XLOOKUP(BY8, AutoFill_classes!$A:$A, AutoFill_classes!$B:$B,""))</f>
        <v/>
      </c>
      <c r="CB8" s="108"/>
      <c r="CC8" s="14"/>
      <c r="CD8" s="14"/>
      <c r="CE8" s="14"/>
      <c r="CF8" s="21"/>
      <c r="CG8" s="22"/>
      <c r="CH8" s="62"/>
      <c r="CI8" s="23"/>
      <c r="CJ8" s="121" t="str">
        <f t="shared" si="18"/>
        <v/>
      </c>
      <c r="CK8" s="20"/>
      <c r="CL8" s="20"/>
      <c r="CM8" s="20"/>
      <c r="CN8" s="20"/>
      <c r="CO8" s="125" t="str">
        <f t="shared" si="19"/>
        <v/>
      </c>
      <c r="CP8" s="14"/>
      <c r="CQ8" s="125" t="str">
        <f t="shared" si="20"/>
        <v/>
      </c>
      <c r="CR8" s="20"/>
      <c r="CS8" s="20"/>
      <c r="CT8" s="125" t="str">
        <f t="shared" si="21"/>
        <v/>
      </c>
      <c r="CU8" s="14"/>
      <c r="CV8" s="125" t="str">
        <f t="shared" si="22"/>
        <v/>
      </c>
      <c r="CW8" s="20"/>
      <c r="CX8" s="20"/>
      <c r="CY8" s="125" t="str">
        <f t="shared" si="23"/>
        <v/>
      </c>
      <c r="CZ8" s="125" t="str">
        <f t="shared" si="24"/>
        <v/>
      </c>
      <c r="DA8" s="125" t="str">
        <f t="shared" si="25"/>
        <v/>
      </c>
      <c r="DB8" s="129" t="str">
        <f t="shared" si="26"/>
        <v/>
      </c>
      <c r="DC8" s="14"/>
      <c r="DD8" s="62"/>
      <c r="DE8" s="105">
        <v>6</v>
      </c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</row>
    <row r="9" spans="1:176" s="1" customFormat="1" ht="13" hidden="1" customHeight="1" outlineLevel="1" x14ac:dyDescent="0.2">
      <c r="A9" s="4"/>
      <c r="B9" s="115" t="str">
        <f>IF(_xlfn.XLOOKUP(A9, AutoFill_names!B:B, AutoFill_names!C:C,"")=0,"",_xlfn.XLOOKUP(A9, AutoFill_names!B:B, AutoFill_names!C:C,""))</f>
        <v/>
      </c>
      <c r="C9" s="115" t="str">
        <f>IF(_xlfn.XLOOKUP(A9, AutoFill_names!B:B, AutoFill_names!D:D,"")=0,"",_xlfn.XLOOKUP(A9, AutoFill_names!B:B, AutoFill_names!D:D,""))</f>
        <v/>
      </c>
      <c r="D9" s="115" t="str">
        <f>IF(_xlfn.XLOOKUP(A9, AutoFill_names!B:B, AutoFill_names!E:E,"")=0,"",_xlfn.XLOOKUP(A9, AutoFill_names!B:B, AutoFill_names!E:E,""))</f>
        <v/>
      </c>
      <c r="E9" s="115" t="str">
        <f>IF(_xlfn.XLOOKUP(A9, AutoFill_names!B:B, AutoFill_names!F:F,"")=0,"",_xlfn.XLOOKUP(A9, AutoFill_names!B:B, AutoFill_names!F:F,""))</f>
        <v/>
      </c>
      <c r="F9" s="92"/>
      <c r="J9" s="115" t="str">
        <f>IF(_xlfn.XLOOKUP(A9, AutoFill_names!B:B, AutoFill_names!K:K,"")=0,"",_xlfn.XLOOKUP(A9, AutoFill_names!B:B, AutoFill_names!K:K,""))</f>
        <v/>
      </c>
      <c r="K9" s="115" t="str">
        <f>IF(_xlfn.XLOOKUP(A9, AutoFill_names!B:B, AutoFill_names!L:L,"")=0,"",_xlfn.XLOOKUP(A9, AutoFill_names!B:B, AutoFill_names!L:L,""))</f>
        <v/>
      </c>
      <c r="L9" s="31"/>
      <c r="M9" s="31"/>
      <c r="N9" s="117" t="str">
        <f>IF(_xlfn.XLOOKUP(L9, AutoFill_classes!A:A, AutoFill_classes!B:B,"")=0,"",_xlfn.XLOOKUP(L9, AutoFill_classes!A:A, AutoFill_classes!B:B,""))</f>
        <v/>
      </c>
      <c r="O9" s="108"/>
      <c r="P9" s="6"/>
      <c r="Q9" s="6"/>
      <c r="R9" s="6"/>
      <c r="X9" s="62"/>
      <c r="Y9" s="18"/>
      <c r="Z9" s="121" t="str">
        <f t="shared" si="0"/>
        <v/>
      </c>
      <c r="AA9" s="20"/>
      <c r="AB9" s="20"/>
      <c r="AC9" s="20"/>
      <c r="AD9" s="20"/>
      <c r="AE9" s="125" t="str">
        <f t="shared" si="1"/>
        <v/>
      </c>
      <c r="AF9" s="14"/>
      <c r="AG9" s="125" t="str">
        <f t="shared" si="2"/>
        <v/>
      </c>
      <c r="AH9" s="20"/>
      <c r="AI9" s="20"/>
      <c r="AJ9" s="125" t="str">
        <f t="shared" si="3"/>
        <v/>
      </c>
      <c r="AK9" s="14"/>
      <c r="AL9" s="125" t="str">
        <f t="shared" si="4"/>
        <v/>
      </c>
      <c r="AM9" s="20"/>
      <c r="AN9" s="20"/>
      <c r="AO9" s="125" t="str">
        <f t="shared" si="5"/>
        <v/>
      </c>
      <c r="AP9" s="125" t="str">
        <f t="shared" si="6"/>
        <v/>
      </c>
      <c r="AQ9" s="125" t="str">
        <f t="shared" si="7"/>
        <v/>
      </c>
      <c r="AR9" s="129" t="str">
        <f t="shared" si="8"/>
        <v/>
      </c>
      <c r="AS9" s="14"/>
      <c r="AT9" s="32"/>
      <c r="AU9" s="32"/>
      <c r="AV9" s="117" t="str">
        <f>IF(_xlfn.XLOOKUP(AT9, AutoFill_classes!$A:$A, AutoFill_classes!$B:$B,"")=0,"",_xlfn.XLOOKUP(AT9, AutoFill_classes!$A:$A, AutoFill_classes!$B:$B,""))</f>
        <v/>
      </c>
      <c r="AW9" s="108"/>
      <c r="AX9" s="11"/>
      <c r="AY9" s="11"/>
      <c r="AZ9" s="11"/>
      <c r="BA9" s="13"/>
      <c r="BB9" s="13"/>
      <c r="BC9" s="62"/>
      <c r="BD9" s="19"/>
      <c r="BE9" s="121" t="str">
        <f t="shared" si="9"/>
        <v/>
      </c>
      <c r="BF9" s="20"/>
      <c r="BG9" s="20"/>
      <c r="BH9" s="20"/>
      <c r="BI9" s="20"/>
      <c r="BJ9" s="125" t="str">
        <f t="shared" si="10"/>
        <v/>
      </c>
      <c r="BK9" s="14"/>
      <c r="BL9" s="125" t="str">
        <f t="shared" si="11"/>
        <v/>
      </c>
      <c r="BM9" s="20"/>
      <c r="BN9" s="20"/>
      <c r="BO9" s="125" t="str">
        <f t="shared" si="12"/>
        <v/>
      </c>
      <c r="BP9" s="14"/>
      <c r="BQ9" s="125" t="str">
        <f t="shared" si="13"/>
        <v/>
      </c>
      <c r="BR9" s="20"/>
      <c r="BS9" s="20"/>
      <c r="BT9" s="125" t="str">
        <f t="shared" si="14"/>
        <v/>
      </c>
      <c r="BU9" s="125" t="str">
        <f t="shared" si="15"/>
        <v/>
      </c>
      <c r="BV9" s="125" t="str">
        <f t="shared" si="16"/>
        <v/>
      </c>
      <c r="BW9" s="129" t="str">
        <f t="shared" si="17"/>
        <v/>
      </c>
      <c r="BX9" s="11"/>
      <c r="BY9" s="15"/>
      <c r="BZ9" s="14"/>
      <c r="CA9" s="117" t="str">
        <f>IF(_xlfn.XLOOKUP(BY9, AutoFill_classes!$A:$A, AutoFill_classes!$B:$B,"")=0,"",_xlfn.XLOOKUP(BY9, AutoFill_classes!$A:$A, AutoFill_classes!$B:$B,""))</f>
        <v/>
      </c>
      <c r="CB9" s="108"/>
      <c r="CC9" s="14"/>
      <c r="CD9" s="14"/>
      <c r="CE9" s="14"/>
      <c r="CF9" s="21"/>
      <c r="CG9" s="22"/>
      <c r="CH9" s="62"/>
      <c r="CI9" s="23"/>
      <c r="CJ9" s="121" t="str">
        <f t="shared" si="18"/>
        <v/>
      </c>
      <c r="CK9" s="20"/>
      <c r="CL9" s="20"/>
      <c r="CM9" s="20"/>
      <c r="CN9" s="20"/>
      <c r="CO9" s="125" t="str">
        <f t="shared" si="19"/>
        <v/>
      </c>
      <c r="CP9" s="14"/>
      <c r="CQ9" s="125" t="str">
        <f t="shared" si="20"/>
        <v/>
      </c>
      <c r="CR9" s="20"/>
      <c r="CS9" s="20"/>
      <c r="CT9" s="125" t="str">
        <f t="shared" si="21"/>
        <v/>
      </c>
      <c r="CU9" s="14"/>
      <c r="CV9" s="125" t="str">
        <f t="shared" si="22"/>
        <v/>
      </c>
      <c r="CW9" s="20"/>
      <c r="CX9" s="20"/>
      <c r="CY9" s="125" t="str">
        <f t="shared" si="23"/>
        <v/>
      </c>
      <c r="CZ9" s="125" t="str">
        <f t="shared" si="24"/>
        <v/>
      </c>
      <c r="DA9" s="125" t="str">
        <f t="shared" si="25"/>
        <v/>
      </c>
      <c r="DB9" s="129" t="str">
        <f t="shared" si="26"/>
        <v/>
      </c>
      <c r="DC9" s="14"/>
      <c r="DD9" s="62"/>
      <c r="DE9" s="105">
        <v>7</v>
      </c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</row>
    <row r="10" spans="1:176" s="1" customFormat="1" ht="13" hidden="1" customHeight="1" outlineLevel="1" x14ac:dyDescent="0.2">
      <c r="A10" s="4"/>
      <c r="B10" s="115" t="str">
        <f>IF(_xlfn.XLOOKUP(A10, AutoFill_names!B:B, AutoFill_names!C:C,"")=0,"",_xlfn.XLOOKUP(A10, AutoFill_names!B:B, AutoFill_names!C:C,""))</f>
        <v/>
      </c>
      <c r="C10" s="115" t="str">
        <f>IF(_xlfn.XLOOKUP(A10, AutoFill_names!B:B, AutoFill_names!D:D,"")=0,"",_xlfn.XLOOKUP(A10, AutoFill_names!B:B, AutoFill_names!D:D,""))</f>
        <v/>
      </c>
      <c r="D10" s="115" t="str">
        <f>IF(_xlfn.XLOOKUP(A10, AutoFill_names!B:B, AutoFill_names!E:E,"")=0,"",_xlfn.XLOOKUP(A10, AutoFill_names!B:B, AutoFill_names!E:E,""))</f>
        <v/>
      </c>
      <c r="E10" s="115" t="str">
        <f>IF(_xlfn.XLOOKUP(A10, AutoFill_names!B:B, AutoFill_names!F:F,"")=0,"",_xlfn.XLOOKUP(A10, AutoFill_names!B:B, AutoFill_names!F:F,""))</f>
        <v/>
      </c>
      <c r="F10" s="92"/>
      <c r="J10" s="115" t="str">
        <f>IF(_xlfn.XLOOKUP(A10, AutoFill_names!B:B, AutoFill_names!K:K,"")=0,"",_xlfn.XLOOKUP(A10, AutoFill_names!B:B, AutoFill_names!K:K,""))</f>
        <v/>
      </c>
      <c r="K10" s="115" t="str">
        <f>IF(_xlfn.XLOOKUP(A10, AutoFill_names!B:B, AutoFill_names!L:L,"")=0,"",_xlfn.XLOOKUP(A10, AutoFill_names!B:B, AutoFill_names!L:L,""))</f>
        <v/>
      </c>
      <c r="L10" s="31"/>
      <c r="M10" s="31"/>
      <c r="N10" s="117" t="str">
        <f>IF(_xlfn.XLOOKUP(L10, AutoFill_classes!A:A, AutoFill_classes!B:B,"")=0,"",_xlfn.XLOOKUP(L10, AutoFill_classes!A:A, AutoFill_classes!B:B,""))</f>
        <v/>
      </c>
      <c r="O10" s="108"/>
      <c r="P10" s="6"/>
      <c r="Q10" s="6"/>
      <c r="R10" s="6"/>
      <c r="X10" s="62"/>
      <c r="Y10" s="18"/>
      <c r="Z10" s="121" t="str">
        <f t="shared" si="0"/>
        <v/>
      </c>
      <c r="AA10" s="20"/>
      <c r="AB10" s="20"/>
      <c r="AC10" s="20"/>
      <c r="AD10" s="20"/>
      <c r="AE10" s="125" t="str">
        <f t="shared" si="1"/>
        <v/>
      </c>
      <c r="AF10" s="14"/>
      <c r="AG10" s="125" t="str">
        <f t="shared" si="2"/>
        <v/>
      </c>
      <c r="AH10" s="20"/>
      <c r="AI10" s="20"/>
      <c r="AJ10" s="125" t="str">
        <f t="shared" si="3"/>
        <v/>
      </c>
      <c r="AK10" s="14"/>
      <c r="AL10" s="125" t="str">
        <f t="shared" si="4"/>
        <v/>
      </c>
      <c r="AM10" s="20"/>
      <c r="AN10" s="20"/>
      <c r="AO10" s="125" t="str">
        <f t="shared" si="5"/>
        <v/>
      </c>
      <c r="AP10" s="125" t="str">
        <f t="shared" si="6"/>
        <v/>
      </c>
      <c r="AQ10" s="125" t="str">
        <f t="shared" si="7"/>
        <v/>
      </c>
      <c r="AR10" s="129" t="str">
        <f t="shared" si="8"/>
        <v/>
      </c>
      <c r="AS10" s="14"/>
      <c r="AT10" s="32"/>
      <c r="AU10" s="32"/>
      <c r="AV10" s="117" t="str">
        <f>IF(_xlfn.XLOOKUP(AT10, AutoFill_classes!$A:$A, AutoFill_classes!$B:$B,"")=0,"",_xlfn.XLOOKUP(AT10, AutoFill_classes!$A:$A, AutoFill_classes!$B:$B,""))</f>
        <v/>
      </c>
      <c r="AW10" s="108"/>
      <c r="AX10" s="11"/>
      <c r="AY10" s="11"/>
      <c r="AZ10" s="11"/>
      <c r="BA10" s="13"/>
      <c r="BB10" s="13"/>
      <c r="BC10" s="62"/>
      <c r="BD10" s="19"/>
      <c r="BE10" s="121" t="str">
        <f t="shared" si="9"/>
        <v/>
      </c>
      <c r="BF10" s="20"/>
      <c r="BG10" s="20"/>
      <c r="BH10" s="20"/>
      <c r="BI10" s="20"/>
      <c r="BJ10" s="125" t="str">
        <f t="shared" si="10"/>
        <v/>
      </c>
      <c r="BK10" s="14"/>
      <c r="BL10" s="125" t="str">
        <f t="shared" si="11"/>
        <v/>
      </c>
      <c r="BM10" s="20"/>
      <c r="BN10" s="20"/>
      <c r="BO10" s="125" t="str">
        <f t="shared" si="12"/>
        <v/>
      </c>
      <c r="BP10" s="14"/>
      <c r="BQ10" s="125" t="str">
        <f t="shared" si="13"/>
        <v/>
      </c>
      <c r="BR10" s="20"/>
      <c r="BS10" s="20"/>
      <c r="BT10" s="125" t="str">
        <f t="shared" si="14"/>
        <v/>
      </c>
      <c r="BU10" s="125" t="str">
        <f t="shared" si="15"/>
        <v/>
      </c>
      <c r="BV10" s="125" t="str">
        <f t="shared" si="16"/>
        <v/>
      </c>
      <c r="BW10" s="129" t="str">
        <f t="shared" si="17"/>
        <v/>
      </c>
      <c r="BX10" s="11"/>
      <c r="BY10" s="15"/>
      <c r="BZ10" s="14"/>
      <c r="CA10" s="117" t="str">
        <f>IF(_xlfn.XLOOKUP(BY10, AutoFill_classes!$A:$A, AutoFill_classes!$B:$B,"")=0,"",_xlfn.XLOOKUP(BY10, AutoFill_classes!$A:$A, AutoFill_classes!$B:$B,""))</f>
        <v/>
      </c>
      <c r="CB10" s="108"/>
      <c r="CC10" s="14"/>
      <c r="CD10" s="14"/>
      <c r="CE10" s="14"/>
      <c r="CF10" s="21"/>
      <c r="CG10" s="22"/>
      <c r="CH10" s="62"/>
      <c r="CI10" s="23"/>
      <c r="CJ10" s="121" t="str">
        <f t="shared" si="18"/>
        <v/>
      </c>
      <c r="CK10" s="20"/>
      <c r="CL10" s="20"/>
      <c r="CM10" s="20"/>
      <c r="CN10" s="20"/>
      <c r="CO10" s="125" t="str">
        <f t="shared" si="19"/>
        <v/>
      </c>
      <c r="CP10" s="14"/>
      <c r="CQ10" s="125" t="str">
        <f t="shared" si="20"/>
        <v/>
      </c>
      <c r="CR10" s="20"/>
      <c r="CS10" s="20"/>
      <c r="CT10" s="125" t="str">
        <f t="shared" si="21"/>
        <v/>
      </c>
      <c r="CU10" s="14"/>
      <c r="CV10" s="125" t="str">
        <f t="shared" si="22"/>
        <v/>
      </c>
      <c r="CW10" s="20"/>
      <c r="CX10" s="20"/>
      <c r="CY10" s="125" t="str">
        <f t="shared" si="23"/>
        <v/>
      </c>
      <c r="CZ10" s="125" t="str">
        <f t="shared" si="24"/>
        <v/>
      </c>
      <c r="DA10" s="125" t="str">
        <f t="shared" si="25"/>
        <v/>
      </c>
      <c r="DB10" s="129" t="str">
        <f t="shared" si="26"/>
        <v/>
      </c>
      <c r="DC10" s="14"/>
      <c r="DD10" s="62"/>
      <c r="DE10" s="105">
        <v>8</v>
      </c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</row>
    <row r="11" spans="1:176" s="1" customFormat="1" ht="13" hidden="1" customHeight="1" outlineLevel="1" x14ac:dyDescent="0.2">
      <c r="A11" s="4"/>
      <c r="B11" s="115" t="str">
        <f>IF(_xlfn.XLOOKUP(A11, AutoFill_names!B:B, AutoFill_names!C:C,"")=0,"",_xlfn.XLOOKUP(A11, AutoFill_names!B:B, AutoFill_names!C:C,""))</f>
        <v/>
      </c>
      <c r="C11" s="115" t="str">
        <f>IF(_xlfn.XLOOKUP(A11, AutoFill_names!B:B, AutoFill_names!D:D,"")=0,"",_xlfn.XLOOKUP(A11, AutoFill_names!B:B, AutoFill_names!D:D,""))</f>
        <v/>
      </c>
      <c r="D11" s="115" t="str">
        <f>IF(_xlfn.XLOOKUP(A11, AutoFill_names!B:B, AutoFill_names!E:E,"")=0,"",_xlfn.XLOOKUP(A11, AutoFill_names!B:B, AutoFill_names!E:E,""))</f>
        <v/>
      </c>
      <c r="E11" s="115" t="str">
        <f>IF(_xlfn.XLOOKUP(A11, AutoFill_names!B:B, AutoFill_names!F:F,"")=0,"",_xlfn.XLOOKUP(A11, AutoFill_names!B:B, AutoFill_names!F:F,""))</f>
        <v/>
      </c>
      <c r="F11" s="92"/>
      <c r="J11" s="115" t="str">
        <f>IF(_xlfn.XLOOKUP(A11, AutoFill_names!B:B, AutoFill_names!K:K,"")=0,"",_xlfn.XLOOKUP(A11, AutoFill_names!B:B, AutoFill_names!K:K,""))</f>
        <v/>
      </c>
      <c r="K11" s="115" t="str">
        <f>IF(_xlfn.XLOOKUP(A11, AutoFill_names!B:B, AutoFill_names!L:L,"")=0,"",_xlfn.XLOOKUP(A11, AutoFill_names!B:B, AutoFill_names!L:L,""))</f>
        <v/>
      </c>
      <c r="L11" s="31"/>
      <c r="M11" s="31"/>
      <c r="N11" s="117" t="str">
        <f>IF(_xlfn.XLOOKUP(L11, AutoFill_classes!A:A, AutoFill_classes!B:B,"")=0,"",_xlfn.XLOOKUP(L11, AutoFill_classes!A:A, AutoFill_classes!B:B,""))</f>
        <v/>
      </c>
      <c r="O11" s="108"/>
      <c r="P11" s="6"/>
      <c r="Q11" s="6"/>
      <c r="R11" s="6"/>
      <c r="X11" s="62"/>
      <c r="Y11" s="18"/>
      <c r="Z11" s="121" t="str">
        <f t="shared" si="0"/>
        <v/>
      </c>
      <c r="AA11" s="20"/>
      <c r="AB11" s="20"/>
      <c r="AC11" s="20"/>
      <c r="AD11" s="20"/>
      <c r="AE11" s="125" t="str">
        <f t="shared" si="1"/>
        <v/>
      </c>
      <c r="AF11" s="14"/>
      <c r="AG11" s="125" t="str">
        <f t="shared" si="2"/>
        <v/>
      </c>
      <c r="AH11" s="20"/>
      <c r="AI11" s="20"/>
      <c r="AJ11" s="125" t="str">
        <f t="shared" si="3"/>
        <v/>
      </c>
      <c r="AK11" s="14"/>
      <c r="AL11" s="125" t="str">
        <f t="shared" si="4"/>
        <v/>
      </c>
      <c r="AM11" s="20"/>
      <c r="AN11" s="20"/>
      <c r="AO11" s="125" t="str">
        <f t="shared" si="5"/>
        <v/>
      </c>
      <c r="AP11" s="125" t="str">
        <f t="shared" si="6"/>
        <v/>
      </c>
      <c r="AQ11" s="125" t="str">
        <f t="shared" si="7"/>
        <v/>
      </c>
      <c r="AR11" s="129" t="str">
        <f t="shared" si="8"/>
        <v/>
      </c>
      <c r="AS11" s="14"/>
      <c r="AT11" s="32"/>
      <c r="AU11" s="32"/>
      <c r="AV11" s="117" t="str">
        <f>IF(_xlfn.XLOOKUP(AT11, AutoFill_classes!$A:$A, AutoFill_classes!$B:$B,"")=0,"",_xlfn.XLOOKUP(AT11, AutoFill_classes!$A:$A, AutoFill_classes!$B:$B,""))</f>
        <v/>
      </c>
      <c r="AW11" s="108"/>
      <c r="AX11" s="11"/>
      <c r="AY11" s="11"/>
      <c r="AZ11" s="11"/>
      <c r="BA11" s="13"/>
      <c r="BB11" s="13"/>
      <c r="BC11" s="62"/>
      <c r="BD11" s="19"/>
      <c r="BE11" s="121" t="str">
        <f t="shared" si="9"/>
        <v/>
      </c>
      <c r="BF11" s="20"/>
      <c r="BG11" s="20"/>
      <c r="BH11" s="20"/>
      <c r="BI11" s="20"/>
      <c r="BJ11" s="125" t="str">
        <f t="shared" si="10"/>
        <v/>
      </c>
      <c r="BK11" s="14"/>
      <c r="BL11" s="125" t="str">
        <f t="shared" si="11"/>
        <v/>
      </c>
      <c r="BM11" s="20"/>
      <c r="BN11" s="20"/>
      <c r="BO11" s="125" t="str">
        <f t="shared" si="12"/>
        <v/>
      </c>
      <c r="BP11" s="14"/>
      <c r="BQ11" s="125" t="str">
        <f t="shared" si="13"/>
        <v/>
      </c>
      <c r="BR11" s="20"/>
      <c r="BS11" s="20"/>
      <c r="BT11" s="125" t="str">
        <f t="shared" si="14"/>
        <v/>
      </c>
      <c r="BU11" s="125" t="str">
        <f t="shared" si="15"/>
        <v/>
      </c>
      <c r="BV11" s="125" t="str">
        <f t="shared" si="16"/>
        <v/>
      </c>
      <c r="BW11" s="129" t="str">
        <f t="shared" si="17"/>
        <v/>
      </c>
      <c r="BX11" s="11"/>
      <c r="BY11" s="15"/>
      <c r="BZ11" s="14"/>
      <c r="CA11" s="117" t="str">
        <f>IF(_xlfn.XLOOKUP(BY11, AutoFill_classes!$A:$A, AutoFill_classes!$B:$B,"")=0,"",_xlfn.XLOOKUP(BY11, AutoFill_classes!$A:$A, AutoFill_classes!$B:$B,""))</f>
        <v/>
      </c>
      <c r="CB11" s="108"/>
      <c r="CC11" s="14"/>
      <c r="CD11" s="14"/>
      <c r="CE11" s="14"/>
      <c r="CF11" s="21"/>
      <c r="CG11" s="22"/>
      <c r="CH11" s="62"/>
      <c r="CI11" s="23"/>
      <c r="CJ11" s="121" t="str">
        <f t="shared" si="18"/>
        <v/>
      </c>
      <c r="CK11" s="20"/>
      <c r="CL11" s="20"/>
      <c r="CM11" s="20"/>
      <c r="CN11" s="20"/>
      <c r="CO11" s="125" t="str">
        <f t="shared" si="19"/>
        <v/>
      </c>
      <c r="CP11" s="14"/>
      <c r="CQ11" s="125" t="str">
        <f t="shared" si="20"/>
        <v/>
      </c>
      <c r="CR11" s="20"/>
      <c r="CS11" s="20"/>
      <c r="CT11" s="125" t="str">
        <f t="shared" si="21"/>
        <v/>
      </c>
      <c r="CU11" s="14"/>
      <c r="CV11" s="125" t="str">
        <f t="shared" si="22"/>
        <v/>
      </c>
      <c r="CW11" s="20"/>
      <c r="CX11" s="20"/>
      <c r="CY11" s="125" t="str">
        <f t="shared" si="23"/>
        <v/>
      </c>
      <c r="CZ11" s="125" t="str">
        <f t="shared" si="24"/>
        <v/>
      </c>
      <c r="DA11" s="125" t="str">
        <f t="shared" si="25"/>
        <v/>
      </c>
      <c r="DB11" s="129" t="str">
        <f t="shared" si="26"/>
        <v/>
      </c>
      <c r="DC11" s="14"/>
      <c r="DD11" s="62"/>
      <c r="DE11" s="105">
        <v>9</v>
      </c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</row>
    <row r="12" spans="1:176" s="1" customFormat="1" ht="13" hidden="1" customHeight="1" outlineLevel="1" x14ac:dyDescent="0.2">
      <c r="A12" s="4"/>
      <c r="B12" s="115" t="str">
        <f>IF(_xlfn.XLOOKUP(A12, AutoFill_names!B:B, AutoFill_names!C:C,"")=0,"",_xlfn.XLOOKUP(A12, AutoFill_names!B:B, AutoFill_names!C:C,""))</f>
        <v/>
      </c>
      <c r="C12" s="115" t="str">
        <f>IF(_xlfn.XLOOKUP(A12, AutoFill_names!B:B, AutoFill_names!D:D,"")=0,"",_xlfn.XLOOKUP(A12, AutoFill_names!B:B, AutoFill_names!D:D,""))</f>
        <v/>
      </c>
      <c r="D12" s="115" t="str">
        <f>IF(_xlfn.XLOOKUP(A12, AutoFill_names!B:B, AutoFill_names!E:E,"")=0,"",_xlfn.XLOOKUP(A12, AutoFill_names!B:B, AutoFill_names!E:E,""))</f>
        <v/>
      </c>
      <c r="E12" s="115" t="str">
        <f>IF(_xlfn.XLOOKUP(A12, AutoFill_names!B:B, AutoFill_names!F:F,"")=0,"",_xlfn.XLOOKUP(A12, AutoFill_names!B:B, AutoFill_names!F:F,""))</f>
        <v/>
      </c>
      <c r="F12" s="92"/>
      <c r="J12" s="115" t="str">
        <f>IF(_xlfn.XLOOKUP(A12, AutoFill_names!B:B, AutoFill_names!K:K,"")=0,"",_xlfn.XLOOKUP(A12, AutoFill_names!B:B, AutoFill_names!K:K,""))</f>
        <v/>
      </c>
      <c r="K12" s="115" t="str">
        <f>IF(_xlfn.XLOOKUP(A12, AutoFill_names!B:B, AutoFill_names!L:L,"")=0,"",_xlfn.XLOOKUP(A12, AutoFill_names!B:B, AutoFill_names!L:L,""))</f>
        <v/>
      </c>
      <c r="L12" s="137"/>
      <c r="M12" s="31"/>
      <c r="N12" s="117" t="str">
        <f>IF(_xlfn.XLOOKUP(L12, AutoFill_classes!A:A, AutoFill_classes!B:B,"")=0,"",_xlfn.XLOOKUP(L12, AutoFill_classes!A:A, AutoFill_classes!B:B,""))</f>
        <v/>
      </c>
      <c r="O12" s="108"/>
      <c r="P12" s="6"/>
      <c r="Q12" s="6"/>
      <c r="R12" s="6"/>
      <c r="X12" s="62"/>
      <c r="Y12" s="18"/>
      <c r="Z12" s="121" t="str">
        <f t="shared" si="0"/>
        <v/>
      </c>
      <c r="AA12" s="20"/>
      <c r="AB12" s="20"/>
      <c r="AC12" s="20"/>
      <c r="AD12" s="20"/>
      <c r="AE12" s="125" t="str">
        <f t="shared" si="1"/>
        <v/>
      </c>
      <c r="AF12" s="14"/>
      <c r="AG12" s="125" t="str">
        <f t="shared" si="2"/>
        <v/>
      </c>
      <c r="AH12" s="20"/>
      <c r="AI12" s="20"/>
      <c r="AJ12" s="125" t="str">
        <f t="shared" si="3"/>
        <v/>
      </c>
      <c r="AK12" s="14"/>
      <c r="AL12" s="125" t="str">
        <f t="shared" si="4"/>
        <v/>
      </c>
      <c r="AM12" s="20"/>
      <c r="AN12" s="20"/>
      <c r="AO12" s="125" t="str">
        <f t="shared" si="5"/>
        <v/>
      </c>
      <c r="AP12" s="125" t="str">
        <f t="shared" si="6"/>
        <v/>
      </c>
      <c r="AQ12" s="125" t="str">
        <f t="shared" si="7"/>
        <v/>
      </c>
      <c r="AR12" s="129" t="str">
        <f t="shared" si="8"/>
        <v/>
      </c>
      <c r="AS12" s="14"/>
      <c r="AT12" s="32"/>
      <c r="AU12" s="32"/>
      <c r="AV12" s="117" t="str">
        <f>IF(_xlfn.XLOOKUP(AT12, AutoFill_classes!$A:$A, AutoFill_classes!$B:$B,"")=0,"",_xlfn.XLOOKUP(AT12, AutoFill_classes!$A:$A, AutoFill_classes!$B:$B,""))</f>
        <v/>
      </c>
      <c r="AW12" s="108"/>
      <c r="AX12" s="11"/>
      <c r="AY12" s="11"/>
      <c r="AZ12" s="11"/>
      <c r="BA12" s="13"/>
      <c r="BB12" s="13"/>
      <c r="BC12" s="62"/>
      <c r="BD12" s="19"/>
      <c r="BE12" s="121" t="str">
        <f t="shared" si="9"/>
        <v/>
      </c>
      <c r="BF12" s="20"/>
      <c r="BG12" s="20"/>
      <c r="BH12" s="20"/>
      <c r="BI12" s="20"/>
      <c r="BJ12" s="125" t="str">
        <f t="shared" si="10"/>
        <v/>
      </c>
      <c r="BK12" s="14"/>
      <c r="BL12" s="125" t="str">
        <f t="shared" si="11"/>
        <v/>
      </c>
      <c r="BM12" s="20"/>
      <c r="BN12" s="20"/>
      <c r="BO12" s="125" t="str">
        <f t="shared" si="12"/>
        <v/>
      </c>
      <c r="BP12" s="14"/>
      <c r="BQ12" s="125" t="str">
        <f t="shared" si="13"/>
        <v/>
      </c>
      <c r="BR12" s="20"/>
      <c r="BS12" s="20"/>
      <c r="BT12" s="125" t="str">
        <f t="shared" si="14"/>
        <v/>
      </c>
      <c r="BU12" s="125" t="str">
        <f t="shared" si="15"/>
        <v/>
      </c>
      <c r="BV12" s="125" t="str">
        <f t="shared" si="16"/>
        <v/>
      </c>
      <c r="BW12" s="129" t="str">
        <f t="shared" si="17"/>
        <v/>
      </c>
      <c r="BX12" s="11"/>
      <c r="BY12" s="15"/>
      <c r="BZ12" s="14"/>
      <c r="CA12" s="117" t="str">
        <f>IF(_xlfn.XLOOKUP(BY12, AutoFill_classes!$A:$A, AutoFill_classes!$B:$B,"")=0,"",_xlfn.XLOOKUP(BY12, AutoFill_classes!$A:$A, AutoFill_classes!$B:$B,""))</f>
        <v/>
      </c>
      <c r="CB12" s="108"/>
      <c r="CC12" s="14"/>
      <c r="CD12" s="14"/>
      <c r="CE12" s="14"/>
      <c r="CF12" s="21"/>
      <c r="CG12" s="22"/>
      <c r="CH12" s="62"/>
      <c r="CI12" s="23"/>
      <c r="CJ12" s="121" t="str">
        <f t="shared" si="18"/>
        <v/>
      </c>
      <c r="CK12" s="20"/>
      <c r="CL12" s="20"/>
      <c r="CM12" s="20"/>
      <c r="CN12" s="20"/>
      <c r="CO12" s="125" t="str">
        <f t="shared" si="19"/>
        <v/>
      </c>
      <c r="CP12" s="14"/>
      <c r="CQ12" s="125" t="str">
        <f t="shared" si="20"/>
        <v/>
      </c>
      <c r="CR12" s="20"/>
      <c r="CS12" s="20"/>
      <c r="CT12" s="125" t="str">
        <f t="shared" si="21"/>
        <v/>
      </c>
      <c r="CU12" s="14"/>
      <c r="CV12" s="125" t="str">
        <f t="shared" si="22"/>
        <v/>
      </c>
      <c r="CW12" s="20"/>
      <c r="CX12" s="20"/>
      <c r="CY12" s="125" t="str">
        <f t="shared" si="23"/>
        <v/>
      </c>
      <c r="CZ12" s="125" t="str">
        <f t="shared" si="24"/>
        <v/>
      </c>
      <c r="DA12" s="125" t="str">
        <f t="shared" si="25"/>
        <v/>
      </c>
      <c r="DB12" s="129" t="str">
        <f t="shared" si="26"/>
        <v/>
      </c>
      <c r="DC12" s="14"/>
      <c r="DD12" s="62"/>
      <c r="DE12" s="105">
        <v>10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</row>
    <row r="13" spans="1:176" s="1" customFormat="1" ht="13" hidden="1" customHeight="1" outlineLevel="1" x14ac:dyDescent="0.2">
      <c r="A13" s="4"/>
      <c r="B13" s="115" t="str">
        <f>IF(_xlfn.XLOOKUP(A13, AutoFill_names!B:B, AutoFill_names!C:C,"")=0,"",_xlfn.XLOOKUP(A13, AutoFill_names!B:B, AutoFill_names!C:C,""))</f>
        <v/>
      </c>
      <c r="C13" s="115" t="str">
        <f>IF(_xlfn.XLOOKUP(A13, AutoFill_names!B:B, AutoFill_names!D:D,"")=0,"",_xlfn.XLOOKUP(A13, AutoFill_names!B:B, AutoFill_names!D:D,""))</f>
        <v/>
      </c>
      <c r="D13" s="115" t="str">
        <f>IF(_xlfn.XLOOKUP(A13, AutoFill_names!B:B, AutoFill_names!E:E,"")=0,"",_xlfn.XLOOKUP(A13, AutoFill_names!B:B, AutoFill_names!E:E,""))</f>
        <v/>
      </c>
      <c r="E13" s="115" t="str">
        <f>IF(_xlfn.XLOOKUP(A13, AutoFill_names!B:B, AutoFill_names!F:F,"")=0,"",_xlfn.XLOOKUP(A13, AutoFill_names!B:B, AutoFill_names!F:F,""))</f>
        <v/>
      </c>
      <c r="F13" s="92"/>
      <c r="J13" s="115" t="str">
        <f>IF(_xlfn.XLOOKUP(A13, AutoFill_names!B:B, AutoFill_names!K:K,"")=0,"",_xlfn.XLOOKUP(A13, AutoFill_names!B:B, AutoFill_names!K:K,""))</f>
        <v/>
      </c>
      <c r="K13" s="115" t="str">
        <f>IF(_xlfn.XLOOKUP(A13, AutoFill_names!B:B, AutoFill_names!L:L,"")=0,"",_xlfn.XLOOKUP(A13, AutoFill_names!B:B, AutoFill_names!L:L,""))</f>
        <v/>
      </c>
      <c r="L13" s="31"/>
      <c r="M13" s="31"/>
      <c r="N13" s="117" t="str">
        <f>IF(_xlfn.XLOOKUP(L13, AutoFill_classes!A:A, AutoFill_classes!B:B,"")=0,"",_xlfn.XLOOKUP(L13, AutoFill_classes!A:A, AutoFill_classes!B:B,""))</f>
        <v/>
      </c>
      <c r="O13" s="108"/>
      <c r="P13" s="6"/>
      <c r="Q13" s="6"/>
      <c r="R13" s="6"/>
      <c r="X13" s="62"/>
      <c r="Y13" s="18"/>
      <c r="Z13" s="121" t="str">
        <f t="shared" si="0"/>
        <v/>
      </c>
      <c r="AA13" s="20"/>
      <c r="AB13" s="20"/>
      <c r="AC13" s="20"/>
      <c r="AD13" s="20"/>
      <c r="AE13" s="125" t="str">
        <f t="shared" si="1"/>
        <v/>
      </c>
      <c r="AF13" s="14"/>
      <c r="AG13" s="125" t="str">
        <f t="shared" si="2"/>
        <v/>
      </c>
      <c r="AH13" s="20"/>
      <c r="AI13" s="20"/>
      <c r="AJ13" s="125" t="str">
        <f t="shared" si="3"/>
        <v/>
      </c>
      <c r="AK13" s="14"/>
      <c r="AL13" s="125" t="str">
        <f t="shared" si="4"/>
        <v/>
      </c>
      <c r="AM13" s="20"/>
      <c r="AN13" s="20"/>
      <c r="AO13" s="125" t="str">
        <f t="shared" si="5"/>
        <v/>
      </c>
      <c r="AP13" s="125" t="str">
        <f t="shared" si="6"/>
        <v/>
      </c>
      <c r="AQ13" s="125" t="str">
        <f t="shared" si="7"/>
        <v/>
      </c>
      <c r="AR13" s="129" t="str">
        <f t="shared" si="8"/>
        <v/>
      </c>
      <c r="AS13" s="14"/>
      <c r="AT13" s="32"/>
      <c r="AU13" s="32"/>
      <c r="AV13" s="117" t="str">
        <f>IF(_xlfn.XLOOKUP(AT13, AutoFill_classes!$A:$A, AutoFill_classes!$B:$B,"")=0,"",_xlfn.XLOOKUP(AT13, AutoFill_classes!$A:$A, AutoFill_classes!$B:$B,""))</f>
        <v/>
      </c>
      <c r="AW13" s="108"/>
      <c r="AX13" s="11"/>
      <c r="AY13" s="11"/>
      <c r="AZ13" s="11"/>
      <c r="BA13" s="13"/>
      <c r="BB13" s="13"/>
      <c r="BC13" s="62"/>
      <c r="BD13" s="19"/>
      <c r="BE13" s="121" t="str">
        <f t="shared" si="9"/>
        <v/>
      </c>
      <c r="BF13" s="20"/>
      <c r="BG13" s="20"/>
      <c r="BH13" s="20"/>
      <c r="BI13" s="20"/>
      <c r="BJ13" s="125" t="str">
        <f t="shared" si="10"/>
        <v/>
      </c>
      <c r="BK13" s="14"/>
      <c r="BL13" s="125" t="str">
        <f t="shared" si="11"/>
        <v/>
      </c>
      <c r="BM13" s="20"/>
      <c r="BN13" s="20"/>
      <c r="BO13" s="125" t="str">
        <f t="shared" si="12"/>
        <v/>
      </c>
      <c r="BP13" s="14"/>
      <c r="BQ13" s="125" t="str">
        <f t="shared" si="13"/>
        <v/>
      </c>
      <c r="BR13" s="20"/>
      <c r="BS13" s="20"/>
      <c r="BT13" s="125" t="str">
        <f t="shared" si="14"/>
        <v/>
      </c>
      <c r="BU13" s="125" t="str">
        <f t="shared" si="15"/>
        <v/>
      </c>
      <c r="BV13" s="125" t="str">
        <f t="shared" si="16"/>
        <v/>
      </c>
      <c r="BW13" s="129" t="str">
        <f t="shared" si="17"/>
        <v/>
      </c>
      <c r="BX13" s="11"/>
      <c r="BY13" s="15"/>
      <c r="BZ13" s="14"/>
      <c r="CA13" s="117" t="str">
        <f>IF(_xlfn.XLOOKUP(BY13, AutoFill_classes!$A:$A, AutoFill_classes!$B:$B,"")=0,"",_xlfn.XLOOKUP(BY13, AutoFill_classes!$A:$A, AutoFill_classes!$B:$B,""))</f>
        <v/>
      </c>
      <c r="CB13" s="108"/>
      <c r="CC13" s="14"/>
      <c r="CD13" s="14"/>
      <c r="CE13" s="14"/>
      <c r="CF13" s="21"/>
      <c r="CG13" s="22"/>
      <c r="CH13" s="62"/>
      <c r="CI13" s="23"/>
      <c r="CJ13" s="121" t="str">
        <f t="shared" si="18"/>
        <v/>
      </c>
      <c r="CK13" s="20"/>
      <c r="CL13" s="20"/>
      <c r="CM13" s="20"/>
      <c r="CN13" s="20"/>
      <c r="CO13" s="125" t="str">
        <f t="shared" si="19"/>
        <v/>
      </c>
      <c r="CP13" s="14"/>
      <c r="CQ13" s="125" t="str">
        <f t="shared" si="20"/>
        <v/>
      </c>
      <c r="CR13" s="20"/>
      <c r="CS13" s="20"/>
      <c r="CT13" s="125" t="str">
        <f t="shared" si="21"/>
        <v/>
      </c>
      <c r="CU13" s="14"/>
      <c r="CV13" s="125" t="str">
        <f t="shared" si="22"/>
        <v/>
      </c>
      <c r="CW13" s="20"/>
      <c r="CX13" s="20"/>
      <c r="CY13" s="125" t="str">
        <f t="shared" si="23"/>
        <v/>
      </c>
      <c r="CZ13" s="125" t="str">
        <f t="shared" si="24"/>
        <v/>
      </c>
      <c r="DA13" s="125" t="str">
        <f t="shared" si="25"/>
        <v/>
      </c>
      <c r="DB13" s="129" t="str">
        <f t="shared" si="26"/>
        <v/>
      </c>
      <c r="DC13" s="14"/>
      <c r="DD13" s="62"/>
      <c r="DE13" s="105">
        <v>11</v>
      </c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</row>
    <row r="14" spans="1:176" s="1" customFormat="1" ht="13" hidden="1" customHeight="1" outlineLevel="1" x14ac:dyDescent="0.2">
      <c r="A14" s="4"/>
      <c r="B14" s="115" t="str">
        <f>IF(_xlfn.XLOOKUP(A14, AutoFill_names!B:B, AutoFill_names!C:C,"")=0,"",_xlfn.XLOOKUP(A14, AutoFill_names!B:B, AutoFill_names!C:C,""))</f>
        <v/>
      </c>
      <c r="C14" s="115" t="str">
        <f>IF(_xlfn.XLOOKUP(A14, AutoFill_names!B:B, AutoFill_names!D:D,"")=0,"",_xlfn.XLOOKUP(A14, AutoFill_names!B:B, AutoFill_names!D:D,""))</f>
        <v/>
      </c>
      <c r="D14" s="115" t="str">
        <f>IF(_xlfn.XLOOKUP(A14, AutoFill_names!B:B, AutoFill_names!E:E,"")=0,"",_xlfn.XLOOKUP(A14, AutoFill_names!B:B, AutoFill_names!E:E,""))</f>
        <v/>
      </c>
      <c r="E14" s="115" t="str">
        <f>IF(_xlfn.XLOOKUP(A14, AutoFill_names!B:B, AutoFill_names!F:F,"")=0,"",_xlfn.XLOOKUP(A14, AutoFill_names!B:B, AutoFill_names!F:F,""))</f>
        <v/>
      </c>
      <c r="F14" s="92"/>
      <c r="J14" s="115" t="str">
        <f>IF(_xlfn.XLOOKUP(A14, AutoFill_names!B:B, AutoFill_names!K:K,"")=0,"",_xlfn.XLOOKUP(A14, AutoFill_names!B:B, AutoFill_names!K:K,""))</f>
        <v/>
      </c>
      <c r="K14" s="115" t="str">
        <f>IF(_xlfn.XLOOKUP(A14, AutoFill_names!B:B, AutoFill_names!L:L,"")=0,"",_xlfn.XLOOKUP(A14, AutoFill_names!B:B, AutoFill_names!L:L,""))</f>
        <v/>
      </c>
      <c r="L14" s="31"/>
      <c r="M14" s="31"/>
      <c r="N14" s="117" t="str">
        <f>IF(_xlfn.XLOOKUP(L14, AutoFill_classes!A:A, AutoFill_classes!B:B,"")=0,"",_xlfn.XLOOKUP(L14, AutoFill_classes!A:A, AutoFill_classes!B:B,""))</f>
        <v/>
      </c>
      <c r="O14" s="108"/>
      <c r="P14" s="6"/>
      <c r="Q14" s="6"/>
      <c r="R14" s="6"/>
      <c r="X14" s="62"/>
      <c r="Y14" s="18"/>
      <c r="Z14" s="121" t="str">
        <f t="shared" si="0"/>
        <v/>
      </c>
      <c r="AA14" s="20"/>
      <c r="AB14" s="20"/>
      <c r="AC14" s="20"/>
      <c r="AD14" s="20"/>
      <c r="AE14" s="125" t="str">
        <f t="shared" si="1"/>
        <v/>
      </c>
      <c r="AF14" s="14"/>
      <c r="AG14" s="125" t="str">
        <f t="shared" si="2"/>
        <v/>
      </c>
      <c r="AH14" s="20"/>
      <c r="AI14" s="20"/>
      <c r="AJ14" s="125" t="str">
        <f t="shared" si="3"/>
        <v/>
      </c>
      <c r="AK14" s="14"/>
      <c r="AL14" s="125" t="str">
        <f t="shared" si="4"/>
        <v/>
      </c>
      <c r="AM14" s="20"/>
      <c r="AN14" s="20"/>
      <c r="AO14" s="125" t="str">
        <f t="shared" si="5"/>
        <v/>
      </c>
      <c r="AP14" s="125" t="str">
        <f t="shared" si="6"/>
        <v/>
      </c>
      <c r="AQ14" s="125" t="str">
        <f t="shared" si="7"/>
        <v/>
      </c>
      <c r="AR14" s="129" t="str">
        <f t="shared" si="8"/>
        <v/>
      </c>
      <c r="AS14" s="14"/>
      <c r="AT14" s="32"/>
      <c r="AU14" s="32"/>
      <c r="AV14" s="117" t="str">
        <f>IF(_xlfn.XLOOKUP(AT14, AutoFill_classes!$A:$A, AutoFill_classes!$B:$B,"")=0,"",_xlfn.XLOOKUP(AT14, AutoFill_classes!$A:$A, AutoFill_classes!$B:$B,""))</f>
        <v/>
      </c>
      <c r="AW14" s="108"/>
      <c r="AX14" s="11"/>
      <c r="AY14" s="11"/>
      <c r="AZ14" s="11"/>
      <c r="BA14" s="13"/>
      <c r="BB14" s="13"/>
      <c r="BC14" s="62"/>
      <c r="BD14" s="19"/>
      <c r="BE14" s="121" t="str">
        <f t="shared" si="9"/>
        <v/>
      </c>
      <c r="BF14" s="20"/>
      <c r="BG14" s="20"/>
      <c r="BH14" s="20"/>
      <c r="BI14" s="20"/>
      <c r="BJ14" s="125" t="str">
        <f t="shared" si="10"/>
        <v/>
      </c>
      <c r="BK14" s="14"/>
      <c r="BL14" s="125" t="str">
        <f t="shared" si="11"/>
        <v/>
      </c>
      <c r="BM14" s="20"/>
      <c r="BN14" s="20"/>
      <c r="BO14" s="125" t="str">
        <f t="shared" si="12"/>
        <v/>
      </c>
      <c r="BP14" s="14"/>
      <c r="BQ14" s="125" t="str">
        <f t="shared" si="13"/>
        <v/>
      </c>
      <c r="BR14" s="20"/>
      <c r="BS14" s="20"/>
      <c r="BT14" s="125" t="str">
        <f t="shared" si="14"/>
        <v/>
      </c>
      <c r="BU14" s="125" t="str">
        <f t="shared" si="15"/>
        <v/>
      </c>
      <c r="BV14" s="125" t="str">
        <f t="shared" si="16"/>
        <v/>
      </c>
      <c r="BW14" s="129" t="str">
        <f t="shared" si="17"/>
        <v/>
      </c>
      <c r="BX14" s="11"/>
      <c r="BY14" s="15"/>
      <c r="BZ14" s="14"/>
      <c r="CA14" s="117" t="str">
        <f>IF(_xlfn.XLOOKUP(BY14, AutoFill_classes!$A:$A, AutoFill_classes!$B:$B,"")=0,"",_xlfn.XLOOKUP(BY14, AutoFill_classes!$A:$A, AutoFill_classes!$B:$B,""))</f>
        <v/>
      </c>
      <c r="CB14" s="108"/>
      <c r="CC14" s="14"/>
      <c r="CD14" s="14"/>
      <c r="CE14" s="14"/>
      <c r="CF14" s="21"/>
      <c r="CG14" s="22"/>
      <c r="CH14" s="62"/>
      <c r="CI14" s="23"/>
      <c r="CJ14" s="121" t="str">
        <f t="shared" si="18"/>
        <v/>
      </c>
      <c r="CK14" s="20"/>
      <c r="CL14" s="20"/>
      <c r="CM14" s="20"/>
      <c r="CN14" s="20"/>
      <c r="CO14" s="125" t="str">
        <f t="shared" si="19"/>
        <v/>
      </c>
      <c r="CP14" s="14"/>
      <c r="CQ14" s="125" t="str">
        <f t="shared" si="20"/>
        <v/>
      </c>
      <c r="CR14" s="20"/>
      <c r="CS14" s="20"/>
      <c r="CT14" s="125" t="str">
        <f t="shared" si="21"/>
        <v/>
      </c>
      <c r="CU14" s="14"/>
      <c r="CV14" s="125" t="str">
        <f t="shared" si="22"/>
        <v/>
      </c>
      <c r="CW14" s="20"/>
      <c r="CX14" s="20"/>
      <c r="CY14" s="125" t="str">
        <f t="shared" si="23"/>
        <v/>
      </c>
      <c r="CZ14" s="125" t="str">
        <f t="shared" si="24"/>
        <v/>
      </c>
      <c r="DA14" s="125" t="str">
        <f t="shared" si="25"/>
        <v/>
      </c>
      <c r="DB14" s="129" t="str">
        <f t="shared" si="26"/>
        <v/>
      </c>
      <c r="DC14" s="14"/>
      <c r="DD14" s="62"/>
      <c r="DE14" s="105">
        <v>12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</row>
    <row r="15" spans="1:176" s="1" customFormat="1" ht="13" hidden="1" customHeight="1" outlineLevel="1" x14ac:dyDescent="0.2">
      <c r="A15" s="4"/>
      <c r="B15" s="115" t="str">
        <f>IF(_xlfn.XLOOKUP(A15, AutoFill_names!B:B, AutoFill_names!C:C,"")=0,"",_xlfn.XLOOKUP(A15, AutoFill_names!B:B, AutoFill_names!C:C,""))</f>
        <v/>
      </c>
      <c r="C15" s="115" t="str">
        <f>IF(_xlfn.XLOOKUP(A15, AutoFill_names!B:B, AutoFill_names!D:D,"")=0,"",_xlfn.XLOOKUP(A15, AutoFill_names!B:B, AutoFill_names!D:D,""))</f>
        <v/>
      </c>
      <c r="D15" s="115" t="str">
        <f>IF(_xlfn.XLOOKUP(A15, AutoFill_names!B:B, AutoFill_names!E:E,"")=0,"",_xlfn.XLOOKUP(A15, AutoFill_names!B:B, AutoFill_names!E:E,""))</f>
        <v/>
      </c>
      <c r="E15" s="115" t="str">
        <f>IF(_xlfn.XLOOKUP(A15, AutoFill_names!B:B, AutoFill_names!F:F,"")=0,"",_xlfn.XLOOKUP(A15, AutoFill_names!B:B, AutoFill_names!F:F,""))</f>
        <v/>
      </c>
      <c r="F15" s="92"/>
      <c r="J15" s="115" t="str">
        <f>IF(_xlfn.XLOOKUP(A15, AutoFill_names!B:B, AutoFill_names!K:K,"")=0,"",_xlfn.XLOOKUP(A15, AutoFill_names!B:B, AutoFill_names!K:K,""))</f>
        <v/>
      </c>
      <c r="K15" s="115" t="str">
        <f>IF(_xlfn.XLOOKUP(A15, AutoFill_names!B:B, AutoFill_names!L:L,"")=0,"",_xlfn.XLOOKUP(A15, AutoFill_names!B:B, AutoFill_names!L:L,""))</f>
        <v/>
      </c>
      <c r="L15" s="31"/>
      <c r="M15" s="31"/>
      <c r="N15" s="117" t="str">
        <f>IF(_xlfn.XLOOKUP(L15, AutoFill_classes!A:A, AutoFill_classes!B:B,"")=0,"",_xlfn.XLOOKUP(L15, AutoFill_classes!A:A, AutoFill_classes!B:B,""))</f>
        <v/>
      </c>
      <c r="O15" s="108"/>
      <c r="P15" s="6"/>
      <c r="Q15" s="6"/>
      <c r="R15" s="6"/>
      <c r="X15" s="62"/>
      <c r="Y15" s="18"/>
      <c r="Z15" s="121" t="str">
        <f t="shared" si="0"/>
        <v/>
      </c>
      <c r="AA15" s="20"/>
      <c r="AB15" s="20"/>
      <c r="AC15" s="20"/>
      <c r="AD15" s="20"/>
      <c r="AE15" s="125" t="str">
        <f t="shared" si="1"/>
        <v/>
      </c>
      <c r="AF15" s="14"/>
      <c r="AG15" s="125" t="str">
        <f t="shared" si="2"/>
        <v/>
      </c>
      <c r="AH15" s="20"/>
      <c r="AI15" s="20"/>
      <c r="AJ15" s="125" t="str">
        <f t="shared" si="3"/>
        <v/>
      </c>
      <c r="AK15" s="14"/>
      <c r="AL15" s="125" t="str">
        <f t="shared" si="4"/>
        <v/>
      </c>
      <c r="AM15" s="20"/>
      <c r="AN15" s="20"/>
      <c r="AO15" s="125" t="str">
        <f t="shared" si="5"/>
        <v/>
      </c>
      <c r="AP15" s="125" t="str">
        <f t="shared" si="6"/>
        <v/>
      </c>
      <c r="AQ15" s="125" t="str">
        <f t="shared" si="7"/>
        <v/>
      </c>
      <c r="AR15" s="129" t="str">
        <f t="shared" si="8"/>
        <v/>
      </c>
      <c r="AS15" s="14"/>
      <c r="AT15" s="32"/>
      <c r="AU15" s="32"/>
      <c r="AV15" s="117" t="str">
        <f>IF(_xlfn.XLOOKUP(AT15, AutoFill_classes!$A:$A, AutoFill_classes!$B:$B,"")=0,"",_xlfn.XLOOKUP(AT15, AutoFill_classes!$A:$A, AutoFill_classes!$B:$B,""))</f>
        <v/>
      </c>
      <c r="AW15" s="108"/>
      <c r="AX15" s="11"/>
      <c r="AY15" s="11"/>
      <c r="AZ15" s="11"/>
      <c r="BA15" s="13"/>
      <c r="BB15" s="13"/>
      <c r="BC15" s="62"/>
      <c r="BD15" s="19"/>
      <c r="BE15" s="121" t="str">
        <f t="shared" si="9"/>
        <v/>
      </c>
      <c r="BF15" s="20"/>
      <c r="BG15" s="20"/>
      <c r="BH15" s="20"/>
      <c r="BI15" s="20"/>
      <c r="BJ15" s="125" t="str">
        <f t="shared" si="10"/>
        <v/>
      </c>
      <c r="BK15" s="14"/>
      <c r="BL15" s="125" t="str">
        <f t="shared" si="11"/>
        <v/>
      </c>
      <c r="BM15" s="20"/>
      <c r="BN15" s="20"/>
      <c r="BO15" s="125" t="str">
        <f t="shared" si="12"/>
        <v/>
      </c>
      <c r="BP15" s="14"/>
      <c r="BQ15" s="125" t="str">
        <f t="shared" si="13"/>
        <v/>
      </c>
      <c r="BR15" s="20"/>
      <c r="BS15" s="20"/>
      <c r="BT15" s="125" t="str">
        <f t="shared" si="14"/>
        <v/>
      </c>
      <c r="BU15" s="125" t="str">
        <f t="shared" si="15"/>
        <v/>
      </c>
      <c r="BV15" s="125" t="str">
        <f t="shared" si="16"/>
        <v/>
      </c>
      <c r="BW15" s="129" t="str">
        <f t="shared" si="17"/>
        <v/>
      </c>
      <c r="BX15" s="11"/>
      <c r="BY15" s="15"/>
      <c r="BZ15" s="14"/>
      <c r="CA15" s="117" t="str">
        <f>IF(_xlfn.XLOOKUP(BY15, AutoFill_classes!$A:$A, AutoFill_classes!$B:$B,"")=0,"",_xlfn.XLOOKUP(BY15, AutoFill_classes!$A:$A, AutoFill_classes!$B:$B,""))</f>
        <v/>
      </c>
      <c r="CB15" s="108"/>
      <c r="CC15" s="14"/>
      <c r="CD15" s="14"/>
      <c r="CE15" s="14"/>
      <c r="CF15" s="21"/>
      <c r="CG15" s="22"/>
      <c r="CH15" s="62"/>
      <c r="CI15" s="23"/>
      <c r="CJ15" s="121" t="str">
        <f t="shared" si="18"/>
        <v/>
      </c>
      <c r="CK15" s="20"/>
      <c r="CL15" s="20"/>
      <c r="CM15" s="20"/>
      <c r="CN15" s="20"/>
      <c r="CO15" s="125" t="str">
        <f t="shared" si="19"/>
        <v/>
      </c>
      <c r="CP15" s="14"/>
      <c r="CQ15" s="125" t="str">
        <f t="shared" si="20"/>
        <v/>
      </c>
      <c r="CR15" s="20"/>
      <c r="CS15" s="20"/>
      <c r="CT15" s="125" t="str">
        <f t="shared" si="21"/>
        <v/>
      </c>
      <c r="CU15" s="14"/>
      <c r="CV15" s="125" t="str">
        <f t="shared" si="22"/>
        <v/>
      </c>
      <c r="CW15" s="20"/>
      <c r="CX15" s="20"/>
      <c r="CY15" s="125" t="str">
        <f t="shared" si="23"/>
        <v/>
      </c>
      <c r="CZ15" s="125" t="str">
        <f t="shared" si="24"/>
        <v/>
      </c>
      <c r="DA15" s="125" t="str">
        <f t="shared" si="25"/>
        <v/>
      </c>
      <c r="DB15" s="129" t="str">
        <f t="shared" si="26"/>
        <v/>
      </c>
      <c r="DC15" s="14"/>
      <c r="DD15" s="62"/>
      <c r="DE15" s="105">
        <v>13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</row>
    <row r="16" spans="1:176" s="1" customFormat="1" ht="13" hidden="1" customHeight="1" outlineLevel="1" x14ac:dyDescent="0.2">
      <c r="A16" s="4"/>
      <c r="B16" s="115" t="str">
        <f>IF(_xlfn.XLOOKUP(A16, AutoFill_names!B:B, AutoFill_names!C:C,"")=0,"",_xlfn.XLOOKUP(A16, AutoFill_names!B:B, AutoFill_names!C:C,""))</f>
        <v/>
      </c>
      <c r="C16" s="115" t="str">
        <f>IF(_xlfn.XLOOKUP(A16, AutoFill_names!B:B, AutoFill_names!D:D,"")=0,"",_xlfn.XLOOKUP(A16, AutoFill_names!B:B, AutoFill_names!D:D,""))</f>
        <v/>
      </c>
      <c r="D16" s="115" t="str">
        <f>IF(_xlfn.XLOOKUP(A16, AutoFill_names!B:B, AutoFill_names!E:E,"")=0,"",_xlfn.XLOOKUP(A16, AutoFill_names!B:B, AutoFill_names!E:E,""))</f>
        <v/>
      </c>
      <c r="E16" s="115" t="str">
        <f>IF(_xlfn.XLOOKUP(A16, AutoFill_names!B:B, AutoFill_names!F:F,"")=0,"",_xlfn.XLOOKUP(A16, AutoFill_names!B:B, AutoFill_names!F:F,""))</f>
        <v/>
      </c>
      <c r="F16" s="92"/>
      <c r="J16" s="115" t="str">
        <f>IF(_xlfn.XLOOKUP(A16, AutoFill_names!B:B, AutoFill_names!K:K,"")=0,"",_xlfn.XLOOKUP(A16, AutoFill_names!B:B, AutoFill_names!K:K,""))</f>
        <v/>
      </c>
      <c r="K16" s="115" t="str">
        <f>IF(_xlfn.XLOOKUP(A16, AutoFill_names!B:B, AutoFill_names!L:L,"")=0,"",_xlfn.XLOOKUP(A16, AutoFill_names!B:B, AutoFill_names!L:L,""))</f>
        <v/>
      </c>
      <c r="L16" s="31"/>
      <c r="M16" s="31"/>
      <c r="N16" s="117" t="str">
        <f>IF(_xlfn.XLOOKUP(L16, AutoFill_classes!A:A, AutoFill_classes!B:B,"")=0,"",_xlfn.XLOOKUP(L16, AutoFill_classes!A:A, AutoFill_classes!B:B,""))</f>
        <v/>
      </c>
      <c r="O16" s="108"/>
      <c r="P16" s="6"/>
      <c r="Q16" s="6"/>
      <c r="R16" s="6"/>
      <c r="X16" s="62"/>
      <c r="Y16" s="18"/>
      <c r="Z16" s="121" t="str">
        <f t="shared" si="0"/>
        <v/>
      </c>
      <c r="AA16" s="20"/>
      <c r="AB16" s="20"/>
      <c r="AC16" s="20"/>
      <c r="AD16" s="20"/>
      <c r="AE16" s="125" t="str">
        <f t="shared" si="1"/>
        <v/>
      </c>
      <c r="AF16" s="14"/>
      <c r="AG16" s="125" t="str">
        <f t="shared" si="2"/>
        <v/>
      </c>
      <c r="AH16" s="20"/>
      <c r="AI16" s="20"/>
      <c r="AJ16" s="125" t="str">
        <f t="shared" si="3"/>
        <v/>
      </c>
      <c r="AK16" s="14"/>
      <c r="AL16" s="125" t="str">
        <f t="shared" si="4"/>
        <v/>
      </c>
      <c r="AM16" s="20"/>
      <c r="AN16" s="20"/>
      <c r="AO16" s="125" t="str">
        <f t="shared" si="5"/>
        <v/>
      </c>
      <c r="AP16" s="125" t="str">
        <f t="shared" si="6"/>
        <v/>
      </c>
      <c r="AQ16" s="125" t="str">
        <f t="shared" si="7"/>
        <v/>
      </c>
      <c r="AR16" s="129" t="str">
        <f t="shared" si="8"/>
        <v/>
      </c>
      <c r="AS16" s="14"/>
      <c r="AT16" s="32"/>
      <c r="AU16" s="32"/>
      <c r="AV16" s="117" t="str">
        <f>IF(_xlfn.XLOOKUP(AT16, AutoFill_classes!$A:$A, AutoFill_classes!$B:$B,"")=0,"",_xlfn.XLOOKUP(AT16, AutoFill_classes!$A:$A, AutoFill_classes!$B:$B,""))</f>
        <v/>
      </c>
      <c r="AW16" s="108"/>
      <c r="AX16" s="11"/>
      <c r="AY16" s="11"/>
      <c r="AZ16" s="11"/>
      <c r="BA16" s="13"/>
      <c r="BB16" s="13"/>
      <c r="BC16" s="62"/>
      <c r="BD16" s="19"/>
      <c r="BE16" s="121" t="str">
        <f t="shared" si="9"/>
        <v/>
      </c>
      <c r="BF16" s="20"/>
      <c r="BG16" s="20"/>
      <c r="BH16" s="20"/>
      <c r="BI16" s="20"/>
      <c r="BJ16" s="125" t="str">
        <f t="shared" si="10"/>
        <v/>
      </c>
      <c r="BK16" s="14"/>
      <c r="BL16" s="125" t="str">
        <f t="shared" si="11"/>
        <v/>
      </c>
      <c r="BM16" s="20"/>
      <c r="BN16" s="20"/>
      <c r="BO16" s="125" t="str">
        <f t="shared" si="12"/>
        <v/>
      </c>
      <c r="BP16" s="14"/>
      <c r="BQ16" s="125" t="str">
        <f t="shared" si="13"/>
        <v/>
      </c>
      <c r="BR16" s="20"/>
      <c r="BS16" s="20"/>
      <c r="BT16" s="125" t="str">
        <f t="shared" si="14"/>
        <v/>
      </c>
      <c r="BU16" s="125" t="str">
        <f t="shared" si="15"/>
        <v/>
      </c>
      <c r="BV16" s="125" t="str">
        <f t="shared" si="16"/>
        <v/>
      </c>
      <c r="BW16" s="129" t="str">
        <f t="shared" si="17"/>
        <v/>
      </c>
      <c r="BX16" s="11"/>
      <c r="BY16" s="15"/>
      <c r="BZ16" s="14"/>
      <c r="CA16" s="117" t="str">
        <f>IF(_xlfn.XLOOKUP(BY16, AutoFill_classes!$A:$A, AutoFill_classes!$B:$B,"")=0,"",_xlfn.XLOOKUP(BY16, AutoFill_classes!$A:$A, AutoFill_classes!$B:$B,""))</f>
        <v/>
      </c>
      <c r="CB16" s="108"/>
      <c r="CC16" s="14"/>
      <c r="CD16" s="14"/>
      <c r="CE16" s="14"/>
      <c r="CF16" s="21"/>
      <c r="CG16" s="22"/>
      <c r="CH16" s="62"/>
      <c r="CI16" s="23"/>
      <c r="CJ16" s="121" t="str">
        <f t="shared" si="18"/>
        <v/>
      </c>
      <c r="CK16" s="20"/>
      <c r="CL16" s="20"/>
      <c r="CM16" s="20"/>
      <c r="CN16" s="20"/>
      <c r="CO16" s="125" t="str">
        <f t="shared" si="19"/>
        <v/>
      </c>
      <c r="CP16" s="14"/>
      <c r="CQ16" s="125" t="str">
        <f t="shared" si="20"/>
        <v/>
      </c>
      <c r="CR16" s="20"/>
      <c r="CS16" s="20"/>
      <c r="CT16" s="125" t="str">
        <f t="shared" si="21"/>
        <v/>
      </c>
      <c r="CU16" s="14"/>
      <c r="CV16" s="125" t="str">
        <f t="shared" si="22"/>
        <v/>
      </c>
      <c r="CW16" s="20"/>
      <c r="CX16" s="20"/>
      <c r="CY16" s="125" t="str">
        <f t="shared" si="23"/>
        <v/>
      </c>
      <c r="CZ16" s="125" t="str">
        <f t="shared" si="24"/>
        <v/>
      </c>
      <c r="DA16" s="125" t="str">
        <f t="shared" si="25"/>
        <v/>
      </c>
      <c r="DB16" s="129" t="str">
        <f t="shared" si="26"/>
        <v/>
      </c>
      <c r="DC16" s="14"/>
      <c r="DD16" s="62"/>
      <c r="DE16" s="105">
        <v>14</v>
      </c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</row>
    <row r="17" spans="1:176" s="1" customFormat="1" ht="13" hidden="1" customHeight="1" outlineLevel="1" x14ac:dyDescent="0.2">
      <c r="A17" s="4"/>
      <c r="B17" s="115" t="str">
        <f>IF(_xlfn.XLOOKUP(A17, AutoFill_names!B:B, AutoFill_names!C:C,"")=0,"",_xlfn.XLOOKUP(A17, AutoFill_names!B:B, AutoFill_names!C:C,""))</f>
        <v/>
      </c>
      <c r="C17" s="115" t="str">
        <f>IF(_xlfn.XLOOKUP(A17, AutoFill_names!B:B, AutoFill_names!D:D,"")=0,"",_xlfn.XLOOKUP(A17, AutoFill_names!B:B, AutoFill_names!D:D,""))</f>
        <v/>
      </c>
      <c r="D17" s="115" t="str">
        <f>IF(_xlfn.XLOOKUP(A17, AutoFill_names!B:B, AutoFill_names!E:E,"")=0,"",_xlfn.XLOOKUP(A17, AutoFill_names!B:B, AutoFill_names!E:E,""))</f>
        <v/>
      </c>
      <c r="E17" s="115" t="str">
        <f>IF(_xlfn.XLOOKUP(A17, AutoFill_names!B:B, AutoFill_names!F:F,"")=0,"",_xlfn.XLOOKUP(A17, AutoFill_names!B:B, AutoFill_names!F:F,""))</f>
        <v/>
      </c>
      <c r="F17" s="92"/>
      <c r="J17" s="115" t="str">
        <f>IF(_xlfn.XLOOKUP(A17, AutoFill_names!B:B, AutoFill_names!K:K,"")=0,"",_xlfn.XLOOKUP(A17, AutoFill_names!B:B, AutoFill_names!K:K,""))</f>
        <v/>
      </c>
      <c r="K17" s="115" t="str">
        <f>IF(_xlfn.XLOOKUP(A17, AutoFill_names!B:B, AutoFill_names!L:L,"")=0,"",_xlfn.XLOOKUP(A17, AutoFill_names!B:B, AutoFill_names!L:L,""))</f>
        <v/>
      </c>
      <c r="L17" s="31"/>
      <c r="M17" s="31"/>
      <c r="N17" s="117" t="str">
        <f>IF(_xlfn.XLOOKUP(L17, AutoFill_classes!A:A, AutoFill_classes!B:B,"")=0,"",_xlfn.XLOOKUP(L17, AutoFill_classes!A:A, AutoFill_classes!B:B,""))</f>
        <v/>
      </c>
      <c r="O17" s="108"/>
      <c r="P17" s="6"/>
      <c r="Q17" s="6"/>
      <c r="R17" s="6"/>
      <c r="X17" s="62"/>
      <c r="Y17" s="18"/>
      <c r="Z17" s="121" t="str">
        <f t="shared" si="0"/>
        <v/>
      </c>
      <c r="AA17" s="20"/>
      <c r="AB17" s="20"/>
      <c r="AC17" s="20"/>
      <c r="AD17" s="20"/>
      <c r="AE17" s="125" t="str">
        <f t="shared" si="1"/>
        <v/>
      </c>
      <c r="AF17" s="14"/>
      <c r="AG17" s="125" t="str">
        <f t="shared" si="2"/>
        <v/>
      </c>
      <c r="AH17" s="20"/>
      <c r="AI17" s="20"/>
      <c r="AJ17" s="125" t="str">
        <f t="shared" si="3"/>
        <v/>
      </c>
      <c r="AK17" s="14"/>
      <c r="AL17" s="125" t="str">
        <f t="shared" si="4"/>
        <v/>
      </c>
      <c r="AM17" s="20"/>
      <c r="AN17" s="20"/>
      <c r="AO17" s="125" t="str">
        <f t="shared" si="5"/>
        <v/>
      </c>
      <c r="AP17" s="125" t="str">
        <f t="shared" si="6"/>
        <v/>
      </c>
      <c r="AQ17" s="125" t="str">
        <f t="shared" si="7"/>
        <v/>
      </c>
      <c r="AR17" s="129" t="str">
        <f t="shared" si="8"/>
        <v/>
      </c>
      <c r="AS17" s="14"/>
      <c r="AT17" s="32"/>
      <c r="AU17" s="32"/>
      <c r="AV17" s="117" t="str">
        <f>IF(_xlfn.XLOOKUP(AT17, AutoFill_classes!$A:$A, AutoFill_classes!$B:$B,"")=0,"",_xlfn.XLOOKUP(AT17, AutoFill_classes!$A:$A, AutoFill_classes!$B:$B,""))</f>
        <v/>
      </c>
      <c r="AW17" s="108"/>
      <c r="AX17" s="11"/>
      <c r="AY17" s="11"/>
      <c r="AZ17" s="11"/>
      <c r="BA17" s="13"/>
      <c r="BB17" s="13"/>
      <c r="BC17" s="62"/>
      <c r="BD17" s="19"/>
      <c r="BE17" s="121" t="str">
        <f t="shared" si="9"/>
        <v/>
      </c>
      <c r="BF17" s="20"/>
      <c r="BG17" s="20"/>
      <c r="BH17" s="20"/>
      <c r="BI17" s="20"/>
      <c r="BJ17" s="125" t="str">
        <f t="shared" si="10"/>
        <v/>
      </c>
      <c r="BK17" s="14"/>
      <c r="BL17" s="125" t="str">
        <f t="shared" si="11"/>
        <v/>
      </c>
      <c r="BM17" s="20"/>
      <c r="BN17" s="20"/>
      <c r="BO17" s="125" t="str">
        <f t="shared" si="12"/>
        <v/>
      </c>
      <c r="BP17" s="14"/>
      <c r="BQ17" s="125" t="str">
        <f t="shared" si="13"/>
        <v/>
      </c>
      <c r="BR17" s="20"/>
      <c r="BS17" s="20"/>
      <c r="BT17" s="125" t="str">
        <f t="shared" si="14"/>
        <v/>
      </c>
      <c r="BU17" s="125" t="str">
        <f t="shared" si="15"/>
        <v/>
      </c>
      <c r="BV17" s="125" t="str">
        <f t="shared" si="16"/>
        <v/>
      </c>
      <c r="BW17" s="129" t="str">
        <f t="shared" si="17"/>
        <v/>
      </c>
      <c r="BX17" s="11"/>
      <c r="BY17" s="15"/>
      <c r="BZ17" s="14"/>
      <c r="CA17" s="117" t="str">
        <f>IF(_xlfn.XLOOKUP(BY17, AutoFill_classes!$A:$A, AutoFill_classes!$B:$B,"")=0,"",_xlfn.XLOOKUP(BY17, AutoFill_classes!$A:$A, AutoFill_classes!$B:$B,""))</f>
        <v/>
      </c>
      <c r="CB17" s="108"/>
      <c r="CC17" s="14"/>
      <c r="CD17" s="14"/>
      <c r="CE17" s="14"/>
      <c r="CF17" s="21"/>
      <c r="CG17" s="22"/>
      <c r="CH17" s="62"/>
      <c r="CI17" s="23"/>
      <c r="CJ17" s="121" t="str">
        <f t="shared" si="18"/>
        <v/>
      </c>
      <c r="CK17" s="20"/>
      <c r="CL17" s="20"/>
      <c r="CM17" s="20"/>
      <c r="CN17" s="20"/>
      <c r="CO17" s="125" t="str">
        <f t="shared" si="19"/>
        <v/>
      </c>
      <c r="CP17" s="14"/>
      <c r="CQ17" s="125" t="str">
        <f t="shared" si="20"/>
        <v/>
      </c>
      <c r="CR17" s="20"/>
      <c r="CS17" s="20"/>
      <c r="CT17" s="125" t="str">
        <f t="shared" si="21"/>
        <v/>
      </c>
      <c r="CU17" s="14"/>
      <c r="CV17" s="125" t="str">
        <f t="shared" si="22"/>
        <v/>
      </c>
      <c r="CW17" s="20"/>
      <c r="CX17" s="20"/>
      <c r="CY17" s="125" t="str">
        <f t="shared" si="23"/>
        <v/>
      </c>
      <c r="CZ17" s="125" t="str">
        <f t="shared" si="24"/>
        <v/>
      </c>
      <c r="DA17" s="125" t="str">
        <f t="shared" si="25"/>
        <v/>
      </c>
      <c r="DB17" s="129" t="str">
        <f t="shared" si="26"/>
        <v/>
      </c>
      <c r="DC17" s="14"/>
      <c r="DD17" s="62"/>
      <c r="DE17" s="105">
        <v>15</v>
      </c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 s="1" customFormat="1" ht="13" hidden="1" customHeight="1" outlineLevel="1" x14ac:dyDescent="0.2">
      <c r="A18" s="4"/>
      <c r="B18" s="115" t="str">
        <f>IF(_xlfn.XLOOKUP(A18, AutoFill_names!B:B, AutoFill_names!C:C,"")=0,"",_xlfn.XLOOKUP(A18, AutoFill_names!B:B, AutoFill_names!C:C,""))</f>
        <v/>
      </c>
      <c r="C18" s="115" t="str">
        <f>IF(_xlfn.XLOOKUP(A18, AutoFill_names!B:B, AutoFill_names!D:D,"")=0,"",_xlfn.XLOOKUP(A18, AutoFill_names!B:B, AutoFill_names!D:D,""))</f>
        <v/>
      </c>
      <c r="D18" s="115" t="str">
        <f>IF(_xlfn.XLOOKUP(A18, AutoFill_names!B:B, AutoFill_names!E:E,"")=0,"",_xlfn.XLOOKUP(A18, AutoFill_names!B:B, AutoFill_names!E:E,""))</f>
        <v/>
      </c>
      <c r="E18" s="115" t="str">
        <f>IF(_xlfn.XLOOKUP(A18, AutoFill_names!B:B, AutoFill_names!F:F,"")=0,"",_xlfn.XLOOKUP(A18, AutoFill_names!B:B, AutoFill_names!F:F,""))</f>
        <v/>
      </c>
      <c r="F18" s="92"/>
      <c r="J18" s="115" t="str">
        <f>IF(_xlfn.XLOOKUP(A18, AutoFill_names!B:B, AutoFill_names!K:K,"")=0,"",_xlfn.XLOOKUP(A18, AutoFill_names!B:B, AutoFill_names!K:K,""))</f>
        <v/>
      </c>
      <c r="K18" s="115" t="str">
        <f>IF(_xlfn.XLOOKUP(A18, AutoFill_names!B:B, AutoFill_names!L:L,"")=0,"",_xlfn.XLOOKUP(A18, AutoFill_names!B:B, AutoFill_names!L:L,""))</f>
        <v/>
      </c>
      <c r="L18" s="31"/>
      <c r="M18" s="31"/>
      <c r="N18" s="117" t="str">
        <f>IF(_xlfn.XLOOKUP(L18, AutoFill_classes!A:A, AutoFill_classes!B:B,"")=0,"",_xlfn.XLOOKUP(L18, AutoFill_classes!A:A, AutoFill_classes!B:B,""))</f>
        <v/>
      </c>
      <c r="O18" s="108"/>
      <c r="P18" s="6"/>
      <c r="Q18" s="6"/>
      <c r="R18" s="6"/>
      <c r="X18" s="62"/>
      <c r="Y18" s="18"/>
      <c r="Z18" s="121" t="str">
        <f t="shared" si="0"/>
        <v/>
      </c>
      <c r="AA18" s="20"/>
      <c r="AB18" s="20"/>
      <c r="AC18" s="20"/>
      <c r="AD18" s="20"/>
      <c r="AE18" s="125" t="str">
        <f t="shared" si="1"/>
        <v/>
      </c>
      <c r="AF18" s="14"/>
      <c r="AG18" s="125" t="str">
        <f t="shared" si="2"/>
        <v/>
      </c>
      <c r="AH18" s="20"/>
      <c r="AI18" s="20"/>
      <c r="AJ18" s="125" t="str">
        <f t="shared" si="3"/>
        <v/>
      </c>
      <c r="AK18" s="14"/>
      <c r="AL18" s="125" t="str">
        <f t="shared" si="4"/>
        <v/>
      </c>
      <c r="AM18" s="20"/>
      <c r="AN18" s="20"/>
      <c r="AO18" s="125" t="str">
        <f t="shared" si="5"/>
        <v/>
      </c>
      <c r="AP18" s="125" t="str">
        <f t="shared" si="6"/>
        <v/>
      </c>
      <c r="AQ18" s="125" t="str">
        <f t="shared" si="7"/>
        <v/>
      </c>
      <c r="AR18" s="129" t="str">
        <f t="shared" si="8"/>
        <v/>
      </c>
      <c r="AS18" s="14"/>
      <c r="AT18" s="32"/>
      <c r="AU18" s="32"/>
      <c r="AV18" s="117" t="str">
        <f>IF(_xlfn.XLOOKUP(AT18, AutoFill_classes!$A:$A, AutoFill_classes!$B:$B,"")=0,"",_xlfn.XLOOKUP(AT18, AutoFill_classes!$A:$A, AutoFill_classes!$B:$B,""))</f>
        <v/>
      </c>
      <c r="AW18" s="108"/>
      <c r="AX18" s="11"/>
      <c r="AY18" s="11"/>
      <c r="AZ18" s="11"/>
      <c r="BA18" s="13"/>
      <c r="BB18" s="13"/>
      <c r="BC18" s="62"/>
      <c r="BD18" s="19"/>
      <c r="BE18" s="121" t="str">
        <f t="shared" si="9"/>
        <v/>
      </c>
      <c r="BF18" s="20"/>
      <c r="BG18" s="20"/>
      <c r="BH18" s="20"/>
      <c r="BI18" s="20"/>
      <c r="BJ18" s="125" t="str">
        <f t="shared" si="10"/>
        <v/>
      </c>
      <c r="BK18" s="14"/>
      <c r="BL18" s="125" t="str">
        <f t="shared" si="11"/>
        <v/>
      </c>
      <c r="BM18" s="20"/>
      <c r="BN18" s="20"/>
      <c r="BO18" s="125" t="str">
        <f t="shared" si="12"/>
        <v/>
      </c>
      <c r="BP18" s="14"/>
      <c r="BQ18" s="125" t="str">
        <f t="shared" si="13"/>
        <v/>
      </c>
      <c r="BR18" s="20"/>
      <c r="BS18" s="20"/>
      <c r="BT18" s="125" t="str">
        <f t="shared" si="14"/>
        <v/>
      </c>
      <c r="BU18" s="125" t="str">
        <f t="shared" si="15"/>
        <v/>
      </c>
      <c r="BV18" s="125" t="str">
        <f t="shared" si="16"/>
        <v/>
      </c>
      <c r="BW18" s="129" t="str">
        <f t="shared" si="17"/>
        <v/>
      </c>
      <c r="BX18" s="11"/>
      <c r="BY18" s="15"/>
      <c r="BZ18" s="14"/>
      <c r="CA18" s="117" t="str">
        <f>IF(_xlfn.XLOOKUP(BY18, AutoFill_classes!$A:$A, AutoFill_classes!$B:$B,"")=0,"",_xlfn.XLOOKUP(BY18, AutoFill_classes!$A:$A, AutoFill_classes!$B:$B,""))</f>
        <v/>
      </c>
      <c r="CB18" s="108"/>
      <c r="CC18" s="14"/>
      <c r="CD18" s="14"/>
      <c r="CE18" s="14"/>
      <c r="CF18" s="21"/>
      <c r="CG18" s="22"/>
      <c r="CH18" s="62"/>
      <c r="CI18" s="23"/>
      <c r="CJ18" s="121" t="str">
        <f t="shared" si="18"/>
        <v/>
      </c>
      <c r="CK18" s="20"/>
      <c r="CL18" s="20"/>
      <c r="CM18" s="20"/>
      <c r="CN18" s="20"/>
      <c r="CO18" s="125" t="str">
        <f t="shared" si="19"/>
        <v/>
      </c>
      <c r="CP18" s="14"/>
      <c r="CQ18" s="125" t="str">
        <f t="shared" si="20"/>
        <v/>
      </c>
      <c r="CR18" s="20"/>
      <c r="CS18" s="20"/>
      <c r="CT18" s="125" t="str">
        <f t="shared" si="21"/>
        <v/>
      </c>
      <c r="CU18" s="14"/>
      <c r="CV18" s="125" t="str">
        <f t="shared" si="22"/>
        <v/>
      </c>
      <c r="CW18" s="20"/>
      <c r="CX18" s="20"/>
      <c r="CY18" s="125" t="str">
        <f t="shared" si="23"/>
        <v/>
      </c>
      <c r="CZ18" s="125" t="str">
        <f t="shared" si="24"/>
        <v/>
      </c>
      <c r="DA18" s="125" t="str">
        <f t="shared" si="25"/>
        <v/>
      </c>
      <c r="DB18" s="129" t="str">
        <f t="shared" si="26"/>
        <v/>
      </c>
      <c r="DC18" s="14"/>
      <c r="DD18" s="62"/>
      <c r="DE18" s="105">
        <v>16</v>
      </c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</row>
    <row r="19" spans="1:176" s="1" customFormat="1" ht="13" hidden="1" customHeight="1" outlineLevel="1" x14ac:dyDescent="0.2">
      <c r="A19" s="4"/>
      <c r="B19" s="115" t="str">
        <f>IF(_xlfn.XLOOKUP(A19, AutoFill_names!B:B, AutoFill_names!C:C,"")=0,"",_xlfn.XLOOKUP(A19, AutoFill_names!B:B, AutoFill_names!C:C,""))</f>
        <v/>
      </c>
      <c r="C19" s="115" t="str">
        <f>IF(_xlfn.XLOOKUP(A19, AutoFill_names!B:B, AutoFill_names!D:D,"")=0,"",_xlfn.XLOOKUP(A19, AutoFill_names!B:B, AutoFill_names!D:D,""))</f>
        <v/>
      </c>
      <c r="D19" s="115" t="str">
        <f>IF(_xlfn.XLOOKUP(A19, AutoFill_names!B:B, AutoFill_names!E:E,"")=0,"",_xlfn.XLOOKUP(A19, AutoFill_names!B:B, AutoFill_names!E:E,""))</f>
        <v/>
      </c>
      <c r="E19" s="115" t="str">
        <f>IF(_xlfn.XLOOKUP(A19, AutoFill_names!B:B, AutoFill_names!F:F,"")=0,"",_xlfn.XLOOKUP(A19, AutoFill_names!B:B, AutoFill_names!F:F,""))</f>
        <v/>
      </c>
      <c r="F19" s="92"/>
      <c r="J19" s="115" t="str">
        <f>IF(_xlfn.XLOOKUP(A19, AutoFill_names!B:B, AutoFill_names!K:K,"")=0,"",_xlfn.XLOOKUP(A19, AutoFill_names!B:B, AutoFill_names!K:K,""))</f>
        <v/>
      </c>
      <c r="K19" s="115" t="str">
        <f>IF(_xlfn.XLOOKUP(A19, AutoFill_names!B:B, AutoFill_names!L:L,"")=0,"",_xlfn.XLOOKUP(A19, AutoFill_names!B:B, AutoFill_names!L:L,""))</f>
        <v/>
      </c>
      <c r="L19" s="31"/>
      <c r="M19" s="31"/>
      <c r="N19" s="117" t="str">
        <f>IF(_xlfn.XLOOKUP(L19, AutoFill_classes!A:A, AutoFill_classes!B:B,"")=0,"",_xlfn.XLOOKUP(L19, AutoFill_classes!A:A, AutoFill_classes!B:B,""))</f>
        <v/>
      </c>
      <c r="O19" s="108"/>
      <c r="P19" s="6"/>
      <c r="Q19" s="6"/>
      <c r="R19" s="6"/>
      <c r="X19" s="62"/>
      <c r="Y19" s="18"/>
      <c r="Z19" s="121" t="str">
        <f t="shared" si="0"/>
        <v/>
      </c>
      <c r="AA19" s="20"/>
      <c r="AB19" s="20"/>
      <c r="AC19" s="20"/>
      <c r="AD19" s="20"/>
      <c r="AE19" s="125" t="str">
        <f t="shared" si="1"/>
        <v/>
      </c>
      <c r="AF19" s="14"/>
      <c r="AG19" s="125" t="str">
        <f t="shared" si="2"/>
        <v/>
      </c>
      <c r="AH19" s="20"/>
      <c r="AI19" s="20"/>
      <c r="AJ19" s="125" t="str">
        <f t="shared" si="3"/>
        <v/>
      </c>
      <c r="AK19" s="14"/>
      <c r="AL19" s="125" t="str">
        <f t="shared" si="4"/>
        <v/>
      </c>
      <c r="AM19" s="20"/>
      <c r="AN19" s="20"/>
      <c r="AO19" s="125" t="str">
        <f t="shared" si="5"/>
        <v/>
      </c>
      <c r="AP19" s="125" t="str">
        <f t="shared" si="6"/>
        <v/>
      </c>
      <c r="AQ19" s="125" t="str">
        <f t="shared" si="7"/>
        <v/>
      </c>
      <c r="AR19" s="129" t="str">
        <f t="shared" si="8"/>
        <v/>
      </c>
      <c r="AS19" s="14"/>
      <c r="AT19" s="32"/>
      <c r="AU19" s="32"/>
      <c r="AV19" s="117" t="str">
        <f>IF(_xlfn.XLOOKUP(AT19, AutoFill_classes!$A:$A, AutoFill_classes!$B:$B,"")=0,"",_xlfn.XLOOKUP(AT19, AutoFill_classes!$A:$A, AutoFill_classes!$B:$B,""))</f>
        <v/>
      </c>
      <c r="AW19" s="108"/>
      <c r="AX19" s="11"/>
      <c r="AY19" s="11"/>
      <c r="AZ19" s="11"/>
      <c r="BA19" s="13"/>
      <c r="BB19" s="13"/>
      <c r="BC19" s="62"/>
      <c r="BD19" s="19"/>
      <c r="BE19" s="121" t="str">
        <f t="shared" si="9"/>
        <v/>
      </c>
      <c r="BF19" s="20"/>
      <c r="BG19" s="20"/>
      <c r="BH19" s="20"/>
      <c r="BI19" s="20"/>
      <c r="BJ19" s="125" t="str">
        <f t="shared" si="10"/>
        <v/>
      </c>
      <c r="BK19" s="14"/>
      <c r="BL19" s="125" t="str">
        <f t="shared" si="11"/>
        <v/>
      </c>
      <c r="BM19" s="20"/>
      <c r="BN19" s="20"/>
      <c r="BO19" s="125" t="str">
        <f t="shared" si="12"/>
        <v/>
      </c>
      <c r="BP19" s="14"/>
      <c r="BQ19" s="125" t="str">
        <f t="shared" si="13"/>
        <v/>
      </c>
      <c r="BR19" s="20"/>
      <c r="BS19" s="20"/>
      <c r="BT19" s="125" t="str">
        <f t="shared" si="14"/>
        <v/>
      </c>
      <c r="BU19" s="125" t="str">
        <f t="shared" si="15"/>
        <v/>
      </c>
      <c r="BV19" s="125" t="str">
        <f t="shared" si="16"/>
        <v/>
      </c>
      <c r="BW19" s="129" t="str">
        <f t="shared" si="17"/>
        <v/>
      </c>
      <c r="BX19" s="11"/>
      <c r="BY19" s="15"/>
      <c r="BZ19" s="14"/>
      <c r="CA19" s="117" t="str">
        <f>IF(_xlfn.XLOOKUP(BY19, AutoFill_classes!$A:$A, AutoFill_classes!$B:$B,"")=0,"",_xlfn.XLOOKUP(BY19, AutoFill_classes!$A:$A, AutoFill_classes!$B:$B,""))</f>
        <v/>
      </c>
      <c r="CB19" s="108"/>
      <c r="CC19" s="14"/>
      <c r="CD19" s="14"/>
      <c r="CE19" s="14"/>
      <c r="CF19" s="21"/>
      <c r="CG19" s="22"/>
      <c r="CH19" s="62"/>
      <c r="CI19" s="23"/>
      <c r="CJ19" s="121" t="str">
        <f t="shared" si="18"/>
        <v/>
      </c>
      <c r="CK19" s="20"/>
      <c r="CL19" s="20"/>
      <c r="CM19" s="20"/>
      <c r="CN19" s="20"/>
      <c r="CO19" s="125" t="str">
        <f t="shared" si="19"/>
        <v/>
      </c>
      <c r="CP19" s="14"/>
      <c r="CQ19" s="125" t="str">
        <f t="shared" si="20"/>
        <v/>
      </c>
      <c r="CR19" s="20"/>
      <c r="CS19" s="20"/>
      <c r="CT19" s="125" t="str">
        <f t="shared" si="21"/>
        <v/>
      </c>
      <c r="CU19" s="14"/>
      <c r="CV19" s="125" t="str">
        <f t="shared" si="22"/>
        <v/>
      </c>
      <c r="CW19" s="20"/>
      <c r="CX19" s="20"/>
      <c r="CY19" s="125" t="str">
        <f t="shared" si="23"/>
        <v/>
      </c>
      <c r="CZ19" s="125" t="str">
        <f t="shared" si="24"/>
        <v/>
      </c>
      <c r="DA19" s="125" t="str">
        <f t="shared" si="25"/>
        <v/>
      </c>
      <c r="DB19" s="129" t="str">
        <f t="shared" si="26"/>
        <v/>
      </c>
      <c r="DC19" s="14"/>
      <c r="DD19" s="62"/>
      <c r="DE19" s="105">
        <v>17</v>
      </c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 s="1" customFormat="1" ht="13" hidden="1" customHeight="1" outlineLevel="1" x14ac:dyDescent="0.2">
      <c r="A20" s="4"/>
      <c r="B20" s="115" t="str">
        <f>IF(_xlfn.XLOOKUP(A20, AutoFill_names!B:B, AutoFill_names!C:C,"")=0,"",_xlfn.XLOOKUP(A20, AutoFill_names!B:B, AutoFill_names!C:C,""))</f>
        <v/>
      </c>
      <c r="C20" s="115" t="str">
        <f>IF(_xlfn.XLOOKUP(A20, AutoFill_names!B:B, AutoFill_names!D:D,"")=0,"",_xlfn.XLOOKUP(A20, AutoFill_names!B:B, AutoFill_names!D:D,""))</f>
        <v/>
      </c>
      <c r="D20" s="115" t="str">
        <f>IF(_xlfn.XLOOKUP(A20, AutoFill_names!B:B, AutoFill_names!E:E,"")=0,"",_xlfn.XLOOKUP(A20, AutoFill_names!B:B, AutoFill_names!E:E,""))</f>
        <v/>
      </c>
      <c r="E20" s="115" t="str">
        <f>IF(_xlfn.XLOOKUP(A20, AutoFill_names!B:B, AutoFill_names!F:F,"")=0,"",_xlfn.XLOOKUP(A20, AutoFill_names!B:B, AutoFill_names!F:F,""))</f>
        <v/>
      </c>
      <c r="F20" s="92"/>
      <c r="J20" s="115" t="str">
        <f>IF(_xlfn.XLOOKUP(A20, AutoFill_names!B:B, AutoFill_names!K:K,"")=0,"",_xlfn.XLOOKUP(A20, AutoFill_names!B:B, AutoFill_names!K:K,""))</f>
        <v/>
      </c>
      <c r="K20" s="115" t="str">
        <f>IF(_xlfn.XLOOKUP(A20, AutoFill_names!B:B, AutoFill_names!L:L,"")=0,"",_xlfn.XLOOKUP(A20, AutoFill_names!B:B, AutoFill_names!L:L,""))</f>
        <v/>
      </c>
      <c r="L20" s="31"/>
      <c r="M20" s="31"/>
      <c r="N20" s="117" t="str">
        <f>IF(_xlfn.XLOOKUP(L20, AutoFill_classes!A:A, AutoFill_classes!B:B,"")=0,"",_xlfn.XLOOKUP(L20, AutoFill_classes!A:A, AutoFill_classes!B:B,""))</f>
        <v/>
      </c>
      <c r="O20" s="108"/>
      <c r="P20" s="6"/>
      <c r="Q20" s="6"/>
      <c r="R20" s="6"/>
      <c r="X20" s="62"/>
      <c r="Y20" s="18"/>
      <c r="Z20" s="121" t="str">
        <f t="shared" si="0"/>
        <v/>
      </c>
      <c r="AA20" s="20"/>
      <c r="AB20" s="20"/>
      <c r="AC20" s="20"/>
      <c r="AD20" s="20"/>
      <c r="AE20" s="125" t="str">
        <f t="shared" si="1"/>
        <v/>
      </c>
      <c r="AF20" s="14"/>
      <c r="AG20" s="125" t="str">
        <f t="shared" si="2"/>
        <v/>
      </c>
      <c r="AH20" s="20"/>
      <c r="AI20" s="20"/>
      <c r="AJ20" s="125" t="str">
        <f t="shared" si="3"/>
        <v/>
      </c>
      <c r="AK20" s="14"/>
      <c r="AL20" s="125" t="str">
        <f t="shared" si="4"/>
        <v/>
      </c>
      <c r="AM20" s="20"/>
      <c r="AN20" s="20"/>
      <c r="AO20" s="125" t="str">
        <f t="shared" si="5"/>
        <v/>
      </c>
      <c r="AP20" s="125" t="str">
        <f t="shared" si="6"/>
        <v/>
      </c>
      <c r="AQ20" s="125" t="str">
        <f t="shared" si="7"/>
        <v/>
      </c>
      <c r="AR20" s="129" t="str">
        <f t="shared" si="8"/>
        <v/>
      </c>
      <c r="AS20" s="14"/>
      <c r="AT20" s="32"/>
      <c r="AU20" s="32"/>
      <c r="AV20" s="117" t="str">
        <f>IF(_xlfn.XLOOKUP(AT20, AutoFill_classes!$A:$A, AutoFill_classes!$B:$B,"")=0,"",_xlfn.XLOOKUP(AT20, AutoFill_classes!$A:$A, AutoFill_classes!$B:$B,""))</f>
        <v/>
      </c>
      <c r="AW20" s="108"/>
      <c r="AX20" s="11"/>
      <c r="AY20" s="11"/>
      <c r="AZ20" s="11"/>
      <c r="BA20" s="13"/>
      <c r="BB20" s="13"/>
      <c r="BC20" s="62"/>
      <c r="BD20" s="19"/>
      <c r="BE20" s="121" t="str">
        <f t="shared" si="9"/>
        <v/>
      </c>
      <c r="BF20" s="20"/>
      <c r="BG20" s="20"/>
      <c r="BH20" s="20"/>
      <c r="BI20" s="20"/>
      <c r="BJ20" s="125" t="str">
        <f t="shared" si="10"/>
        <v/>
      </c>
      <c r="BK20" s="14"/>
      <c r="BL20" s="125" t="str">
        <f t="shared" si="11"/>
        <v/>
      </c>
      <c r="BM20" s="20"/>
      <c r="BN20" s="20"/>
      <c r="BO20" s="125" t="str">
        <f t="shared" si="12"/>
        <v/>
      </c>
      <c r="BP20" s="14"/>
      <c r="BQ20" s="125" t="str">
        <f t="shared" si="13"/>
        <v/>
      </c>
      <c r="BR20" s="20"/>
      <c r="BS20" s="20"/>
      <c r="BT20" s="125" t="str">
        <f t="shared" si="14"/>
        <v/>
      </c>
      <c r="BU20" s="125" t="str">
        <f t="shared" si="15"/>
        <v/>
      </c>
      <c r="BV20" s="125" t="str">
        <f t="shared" si="16"/>
        <v/>
      </c>
      <c r="BW20" s="129" t="str">
        <f t="shared" si="17"/>
        <v/>
      </c>
      <c r="BX20" s="11"/>
      <c r="BY20" s="15"/>
      <c r="BZ20" s="14"/>
      <c r="CA20" s="117" t="str">
        <f>IF(_xlfn.XLOOKUP(BY20, AutoFill_classes!$A:$A, AutoFill_classes!$B:$B,"")=0,"",_xlfn.XLOOKUP(BY20, AutoFill_classes!$A:$A, AutoFill_classes!$B:$B,""))</f>
        <v/>
      </c>
      <c r="CB20" s="108"/>
      <c r="CC20" s="14"/>
      <c r="CD20" s="14"/>
      <c r="CE20" s="14"/>
      <c r="CF20" s="21"/>
      <c r="CG20" s="22"/>
      <c r="CH20" s="62"/>
      <c r="CI20" s="23"/>
      <c r="CJ20" s="121" t="str">
        <f t="shared" si="18"/>
        <v/>
      </c>
      <c r="CK20" s="20"/>
      <c r="CL20" s="20"/>
      <c r="CM20" s="20"/>
      <c r="CN20" s="20"/>
      <c r="CO20" s="125" t="str">
        <f t="shared" si="19"/>
        <v/>
      </c>
      <c r="CP20" s="14"/>
      <c r="CQ20" s="125" t="str">
        <f t="shared" si="20"/>
        <v/>
      </c>
      <c r="CR20" s="20"/>
      <c r="CS20" s="20"/>
      <c r="CT20" s="125" t="str">
        <f t="shared" si="21"/>
        <v/>
      </c>
      <c r="CU20" s="14"/>
      <c r="CV20" s="125" t="str">
        <f t="shared" si="22"/>
        <v/>
      </c>
      <c r="CW20" s="20"/>
      <c r="CX20" s="20"/>
      <c r="CY20" s="125" t="str">
        <f t="shared" si="23"/>
        <v/>
      </c>
      <c r="CZ20" s="125" t="str">
        <f t="shared" si="24"/>
        <v/>
      </c>
      <c r="DA20" s="125" t="str">
        <f t="shared" si="25"/>
        <v/>
      </c>
      <c r="DB20" s="129" t="str">
        <f t="shared" si="26"/>
        <v/>
      </c>
      <c r="DC20" s="14"/>
      <c r="DD20" s="62"/>
      <c r="DE20" s="105">
        <v>18</v>
      </c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</row>
    <row r="21" spans="1:176" s="1" customFormat="1" ht="13" hidden="1" customHeight="1" outlineLevel="1" x14ac:dyDescent="0.2">
      <c r="A21" s="4"/>
      <c r="B21" s="115" t="str">
        <f>IF(_xlfn.XLOOKUP(A21, AutoFill_names!B:B, AutoFill_names!C:C,"")=0,"",_xlfn.XLOOKUP(A21, AutoFill_names!B:B, AutoFill_names!C:C,""))</f>
        <v/>
      </c>
      <c r="C21" s="115" t="str">
        <f>IF(_xlfn.XLOOKUP(A21, AutoFill_names!B:B, AutoFill_names!D:D,"")=0,"",_xlfn.XLOOKUP(A21, AutoFill_names!B:B, AutoFill_names!D:D,""))</f>
        <v/>
      </c>
      <c r="D21" s="115" t="str">
        <f>IF(_xlfn.XLOOKUP(A21, AutoFill_names!B:B, AutoFill_names!E:E,"")=0,"",_xlfn.XLOOKUP(A21, AutoFill_names!B:B, AutoFill_names!E:E,""))</f>
        <v/>
      </c>
      <c r="E21" s="115" t="str">
        <f>IF(_xlfn.XLOOKUP(A21, AutoFill_names!B:B, AutoFill_names!F:F,"")=0,"",_xlfn.XLOOKUP(A21, AutoFill_names!B:B, AutoFill_names!F:F,""))</f>
        <v/>
      </c>
      <c r="F21" s="92"/>
      <c r="J21" s="115" t="str">
        <f>IF(_xlfn.XLOOKUP(A21, AutoFill_names!B:B, AutoFill_names!K:K,"")=0,"",_xlfn.XLOOKUP(A21, AutoFill_names!B:B, AutoFill_names!K:K,""))</f>
        <v/>
      </c>
      <c r="K21" s="115" t="str">
        <f>IF(_xlfn.XLOOKUP(A21, AutoFill_names!B:B, AutoFill_names!L:L,"")=0,"",_xlfn.XLOOKUP(A21, AutoFill_names!B:B, AutoFill_names!L:L,""))</f>
        <v/>
      </c>
      <c r="L21" s="31"/>
      <c r="M21" s="31"/>
      <c r="N21" s="117" t="str">
        <f>IF(_xlfn.XLOOKUP(L21, AutoFill_classes!A:A, AutoFill_classes!B:B,"")=0,"",_xlfn.XLOOKUP(L21, AutoFill_classes!A:A, AutoFill_classes!B:B,""))</f>
        <v/>
      </c>
      <c r="O21" s="108"/>
      <c r="P21" s="6"/>
      <c r="Q21" s="6"/>
      <c r="R21" s="6"/>
      <c r="X21" s="62"/>
      <c r="Y21" s="18"/>
      <c r="Z21" s="121" t="str">
        <f t="shared" si="0"/>
        <v/>
      </c>
      <c r="AA21" s="20"/>
      <c r="AB21" s="20"/>
      <c r="AC21" s="20"/>
      <c r="AD21" s="20"/>
      <c r="AE21" s="125" t="str">
        <f t="shared" si="1"/>
        <v/>
      </c>
      <c r="AF21" s="14"/>
      <c r="AG21" s="125" t="str">
        <f t="shared" si="2"/>
        <v/>
      </c>
      <c r="AH21" s="20"/>
      <c r="AI21" s="20"/>
      <c r="AJ21" s="125" t="str">
        <f t="shared" si="3"/>
        <v/>
      </c>
      <c r="AK21" s="14"/>
      <c r="AL21" s="125" t="str">
        <f t="shared" si="4"/>
        <v/>
      </c>
      <c r="AM21" s="20"/>
      <c r="AN21" s="20"/>
      <c r="AO21" s="125" t="str">
        <f t="shared" si="5"/>
        <v/>
      </c>
      <c r="AP21" s="125" t="str">
        <f t="shared" si="6"/>
        <v/>
      </c>
      <c r="AQ21" s="125" t="str">
        <f t="shared" si="7"/>
        <v/>
      </c>
      <c r="AR21" s="129" t="str">
        <f t="shared" si="8"/>
        <v/>
      </c>
      <c r="AS21" s="14"/>
      <c r="AT21" s="32"/>
      <c r="AU21" s="32"/>
      <c r="AV21" s="117" t="str">
        <f>IF(_xlfn.XLOOKUP(AT21, AutoFill_classes!$A:$A, AutoFill_classes!$B:$B,"")=0,"",_xlfn.XLOOKUP(AT21, AutoFill_classes!$A:$A, AutoFill_classes!$B:$B,""))</f>
        <v/>
      </c>
      <c r="AW21" s="108"/>
      <c r="AX21" s="11"/>
      <c r="AY21" s="11"/>
      <c r="AZ21" s="11"/>
      <c r="BA21" s="13"/>
      <c r="BB21" s="13"/>
      <c r="BC21" s="62"/>
      <c r="BD21" s="19"/>
      <c r="BE21" s="121" t="str">
        <f t="shared" si="9"/>
        <v/>
      </c>
      <c r="BF21" s="20"/>
      <c r="BG21" s="20"/>
      <c r="BH21" s="20"/>
      <c r="BI21" s="20"/>
      <c r="BJ21" s="125" t="str">
        <f t="shared" si="10"/>
        <v/>
      </c>
      <c r="BK21" s="14"/>
      <c r="BL21" s="125" t="str">
        <f t="shared" si="11"/>
        <v/>
      </c>
      <c r="BM21" s="20"/>
      <c r="BN21" s="20"/>
      <c r="BO21" s="125" t="str">
        <f t="shared" si="12"/>
        <v/>
      </c>
      <c r="BP21" s="14"/>
      <c r="BQ21" s="125" t="str">
        <f t="shared" si="13"/>
        <v/>
      </c>
      <c r="BR21" s="20"/>
      <c r="BS21" s="20"/>
      <c r="BT21" s="125" t="str">
        <f t="shared" si="14"/>
        <v/>
      </c>
      <c r="BU21" s="125" t="str">
        <f t="shared" si="15"/>
        <v/>
      </c>
      <c r="BV21" s="125" t="str">
        <f t="shared" si="16"/>
        <v/>
      </c>
      <c r="BW21" s="129" t="str">
        <f t="shared" si="17"/>
        <v/>
      </c>
      <c r="BX21" s="11"/>
      <c r="BY21" s="15"/>
      <c r="BZ21" s="14"/>
      <c r="CA21" s="117" t="str">
        <f>IF(_xlfn.XLOOKUP(BY21, AutoFill_classes!$A:$A, AutoFill_classes!$B:$B,"")=0,"",_xlfn.XLOOKUP(BY21, AutoFill_classes!$A:$A, AutoFill_classes!$B:$B,""))</f>
        <v/>
      </c>
      <c r="CB21" s="108"/>
      <c r="CC21" s="14"/>
      <c r="CD21" s="14"/>
      <c r="CE21" s="14"/>
      <c r="CF21" s="21"/>
      <c r="CG21" s="22"/>
      <c r="CH21" s="62"/>
      <c r="CI21" s="23"/>
      <c r="CJ21" s="121" t="str">
        <f t="shared" si="18"/>
        <v/>
      </c>
      <c r="CK21" s="20"/>
      <c r="CL21" s="20"/>
      <c r="CM21" s="20"/>
      <c r="CN21" s="20"/>
      <c r="CO21" s="125" t="str">
        <f t="shared" si="19"/>
        <v/>
      </c>
      <c r="CP21" s="14"/>
      <c r="CQ21" s="125" t="str">
        <f t="shared" si="20"/>
        <v/>
      </c>
      <c r="CR21" s="20"/>
      <c r="CS21" s="20"/>
      <c r="CT21" s="125" t="str">
        <f t="shared" si="21"/>
        <v/>
      </c>
      <c r="CU21" s="14"/>
      <c r="CV21" s="125" t="str">
        <f t="shared" si="22"/>
        <v/>
      </c>
      <c r="CW21" s="20"/>
      <c r="CX21" s="20"/>
      <c r="CY21" s="125" t="str">
        <f t="shared" si="23"/>
        <v/>
      </c>
      <c r="CZ21" s="125" t="str">
        <f t="shared" si="24"/>
        <v/>
      </c>
      <c r="DA21" s="125" t="str">
        <f t="shared" si="25"/>
        <v/>
      </c>
      <c r="DB21" s="129" t="str">
        <f t="shared" si="26"/>
        <v/>
      </c>
      <c r="DC21" s="14"/>
      <c r="DD21" s="62"/>
      <c r="DE21" s="105">
        <v>19</v>
      </c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</row>
    <row r="22" spans="1:176" s="1" customFormat="1" ht="13" hidden="1" customHeight="1" outlineLevel="1" x14ac:dyDescent="0.2">
      <c r="A22" s="4"/>
      <c r="B22" s="115" t="str">
        <f>IF(_xlfn.XLOOKUP(A22, AutoFill_names!B:B, AutoFill_names!C:C,"")=0,"",_xlfn.XLOOKUP(A22, AutoFill_names!B:B, AutoFill_names!C:C,""))</f>
        <v/>
      </c>
      <c r="C22" s="115" t="str">
        <f>IF(_xlfn.XLOOKUP(A22, AutoFill_names!B:B, AutoFill_names!D:D,"")=0,"",_xlfn.XLOOKUP(A22, AutoFill_names!B:B, AutoFill_names!D:D,""))</f>
        <v/>
      </c>
      <c r="D22" s="115" t="str">
        <f>IF(_xlfn.XLOOKUP(A22, AutoFill_names!B:B, AutoFill_names!E:E,"")=0,"",_xlfn.XLOOKUP(A22, AutoFill_names!B:B, AutoFill_names!E:E,""))</f>
        <v/>
      </c>
      <c r="E22" s="115" t="str">
        <f>IF(_xlfn.XLOOKUP(A22, AutoFill_names!B:B, AutoFill_names!F:F,"")=0,"",_xlfn.XLOOKUP(A22, AutoFill_names!B:B, AutoFill_names!F:F,""))</f>
        <v/>
      </c>
      <c r="F22" s="92"/>
      <c r="J22" s="115" t="str">
        <f>IF(_xlfn.XLOOKUP(A22, AutoFill_names!B:B, AutoFill_names!K:K,"")=0,"",_xlfn.XLOOKUP(A22, AutoFill_names!B:B, AutoFill_names!K:K,""))</f>
        <v/>
      </c>
      <c r="K22" s="115" t="str">
        <f>IF(_xlfn.XLOOKUP(A22, AutoFill_names!B:B, AutoFill_names!L:L,"")=0,"",_xlfn.XLOOKUP(A22, AutoFill_names!B:B, AutoFill_names!L:L,""))</f>
        <v/>
      </c>
      <c r="L22" s="31"/>
      <c r="M22" s="31"/>
      <c r="N22" s="117" t="str">
        <f>IF(_xlfn.XLOOKUP(L22, AutoFill_classes!A:A, AutoFill_classes!B:B,"")=0,"",_xlfn.XLOOKUP(L22, AutoFill_classes!A:A, AutoFill_classes!B:B,""))</f>
        <v/>
      </c>
      <c r="O22" s="108"/>
      <c r="P22" s="6"/>
      <c r="Q22" s="6"/>
      <c r="R22" s="6"/>
      <c r="X22" s="62"/>
      <c r="Y22" s="18"/>
      <c r="Z22" s="121" t="str">
        <f t="shared" si="0"/>
        <v/>
      </c>
      <c r="AA22" s="20"/>
      <c r="AB22" s="20"/>
      <c r="AC22" s="20"/>
      <c r="AD22" s="20"/>
      <c r="AE22" s="125" t="str">
        <f t="shared" si="1"/>
        <v/>
      </c>
      <c r="AF22" s="14"/>
      <c r="AG22" s="125" t="str">
        <f t="shared" si="2"/>
        <v/>
      </c>
      <c r="AH22" s="20"/>
      <c r="AI22" s="20"/>
      <c r="AJ22" s="125" t="str">
        <f t="shared" si="3"/>
        <v/>
      </c>
      <c r="AK22" s="14"/>
      <c r="AL22" s="125" t="str">
        <f t="shared" si="4"/>
        <v/>
      </c>
      <c r="AM22" s="20"/>
      <c r="AN22" s="20"/>
      <c r="AO22" s="125" t="str">
        <f t="shared" si="5"/>
        <v/>
      </c>
      <c r="AP22" s="125" t="str">
        <f t="shared" si="6"/>
        <v/>
      </c>
      <c r="AQ22" s="125" t="str">
        <f t="shared" si="7"/>
        <v/>
      </c>
      <c r="AR22" s="129" t="str">
        <f t="shared" si="8"/>
        <v/>
      </c>
      <c r="AS22" s="14"/>
      <c r="AT22" s="32"/>
      <c r="AU22" s="32"/>
      <c r="AV22" s="117" t="str">
        <f>IF(_xlfn.XLOOKUP(AT22, AutoFill_classes!$A:$A, AutoFill_classes!$B:$B,"")=0,"",_xlfn.XLOOKUP(AT22, AutoFill_classes!$A:$A, AutoFill_classes!$B:$B,""))</f>
        <v/>
      </c>
      <c r="AW22" s="108"/>
      <c r="AX22" s="11"/>
      <c r="AY22" s="11"/>
      <c r="AZ22" s="11"/>
      <c r="BA22" s="13"/>
      <c r="BB22" s="13"/>
      <c r="BC22" s="62"/>
      <c r="BD22" s="19"/>
      <c r="BE22" s="121" t="str">
        <f t="shared" si="9"/>
        <v/>
      </c>
      <c r="BF22" s="20"/>
      <c r="BG22" s="20"/>
      <c r="BH22" s="20"/>
      <c r="BI22" s="20"/>
      <c r="BJ22" s="125" t="str">
        <f t="shared" si="10"/>
        <v/>
      </c>
      <c r="BK22" s="14"/>
      <c r="BL22" s="125" t="str">
        <f t="shared" si="11"/>
        <v/>
      </c>
      <c r="BM22" s="20"/>
      <c r="BN22" s="20"/>
      <c r="BO22" s="125" t="str">
        <f t="shared" si="12"/>
        <v/>
      </c>
      <c r="BP22" s="14"/>
      <c r="BQ22" s="125" t="str">
        <f t="shared" si="13"/>
        <v/>
      </c>
      <c r="BR22" s="20"/>
      <c r="BS22" s="20"/>
      <c r="BT22" s="125" t="str">
        <f t="shared" si="14"/>
        <v/>
      </c>
      <c r="BU22" s="125" t="str">
        <f t="shared" si="15"/>
        <v/>
      </c>
      <c r="BV22" s="125" t="str">
        <f t="shared" si="16"/>
        <v/>
      </c>
      <c r="BW22" s="129" t="str">
        <f t="shared" si="17"/>
        <v/>
      </c>
      <c r="BX22" s="11"/>
      <c r="BY22" s="15"/>
      <c r="BZ22" s="14"/>
      <c r="CA22" s="117" t="str">
        <f>IF(_xlfn.XLOOKUP(BY22, AutoFill_classes!$A:$A, AutoFill_classes!$B:$B,"")=0,"",_xlfn.XLOOKUP(BY22, AutoFill_classes!$A:$A, AutoFill_classes!$B:$B,""))</f>
        <v/>
      </c>
      <c r="CB22" s="108"/>
      <c r="CC22" s="14"/>
      <c r="CD22" s="14"/>
      <c r="CE22" s="14"/>
      <c r="CF22" s="21"/>
      <c r="CG22" s="22"/>
      <c r="CH22" s="62"/>
      <c r="CI22" s="23"/>
      <c r="CJ22" s="121" t="str">
        <f t="shared" si="18"/>
        <v/>
      </c>
      <c r="CK22" s="20"/>
      <c r="CL22" s="20"/>
      <c r="CM22" s="20"/>
      <c r="CN22" s="20"/>
      <c r="CO22" s="125" t="str">
        <f t="shared" si="19"/>
        <v/>
      </c>
      <c r="CP22" s="14"/>
      <c r="CQ22" s="125" t="str">
        <f t="shared" si="20"/>
        <v/>
      </c>
      <c r="CR22" s="20"/>
      <c r="CS22" s="20"/>
      <c r="CT22" s="125" t="str">
        <f t="shared" si="21"/>
        <v/>
      </c>
      <c r="CU22" s="14"/>
      <c r="CV22" s="125" t="str">
        <f t="shared" si="22"/>
        <v/>
      </c>
      <c r="CW22" s="20"/>
      <c r="CX22" s="20"/>
      <c r="CY22" s="125" t="str">
        <f t="shared" si="23"/>
        <v/>
      </c>
      <c r="CZ22" s="125" t="str">
        <f t="shared" si="24"/>
        <v/>
      </c>
      <c r="DA22" s="125" t="str">
        <f t="shared" si="25"/>
        <v/>
      </c>
      <c r="DB22" s="129" t="str">
        <f t="shared" si="26"/>
        <v/>
      </c>
      <c r="DC22" s="14"/>
      <c r="DD22" s="62"/>
      <c r="DE22" s="105">
        <v>20</v>
      </c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</row>
    <row r="23" spans="1:176" s="1" customFormat="1" ht="13" hidden="1" customHeight="1" outlineLevel="1" x14ac:dyDescent="0.2">
      <c r="A23" s="4"/>
      <c r="B23" s="115" t="str">
        <f>IF(_xlfn.XLOOKUP(A23, AutoFill_names!B:B, AutoFill_names!C:C,"")=0,"",_xlfn.XLOOKUP(A23, AutoFill_names!B:B, AutoFill_names!C:C,""))</f>
        <v/>
      </c>
      <c r="C23" s="115" t="str">
        <f>IF(_xlfn.XLOOKUP(A23, AutoFill_names!B:B, AutoFill_names!D:D,"")=0,"",_xlfn.XLOOKUP(A23, AutoFill_names!B:B, AutoFill_names!D:D,""))</f>
        <v/>
      </c>
      <c r="D23" s="115" t="str">
        <f>IF(_xlfn.XLOOKUP(A23, AutoFill_names!B:B, AutoFill_names!E:E,"")=0,"",_xlfn.XLOOKUP(A23, AutoFill_names!B:B, AutoFill_names!E:E,""))</f>
        <v/>
      </c>
      <c r="E23" s="115" t="str">
        <f>IF(_xlfn.XLOOKUP(A23, AutoFill_names!B:B, AutoFill_names!F:F,"")=0,"",_xlfn.XLOOKUP(A23, AutoFill_names!B:B, AutoFill_names!F:F,""))</f>
        <v/>
      </c>
      <c r="F23" s="92"/>
      <c r="J23" s="115" t="str">
        <f>IF(_xlfn.XLOOKUP(A23, AutoFill_names!B:B, AutoFill_names!K:K,"")=0,"",_xlfn.XLOOKUP(A23, AutoFill_names!B:B, AutoFill_names!K:K,""))</f>
        <v/>
      </c>
      <c r="K23" s="115" t="str">
        <f>IF(_xlfn.XLOOKUP(A23, AutoFill_names!B:B, AutoFill_names!L:L,"")=0,"",_xlfn.XLOOKUP(A23, AutoFill_names!B:B, AutoFill_names!L:L,""))</f>
        <v/>
      </c>
      <c r="L23" s="31"/>
      <c r="M23" s="31"/>
      <c r="N23" s="117" t="str">
        <f>IF(_xlfn.XLOOKUP(L23, AutoFill_classes!A:A, AutoFill_classes!B:B,"")=0,"",_xlfn.XLOOKUP(L23, AutoFill_classes!A:A, AutoFill_classes!B:B,""))</f>
        <v/>
      </c>
      <c r="O23" s="108"/>
      <c r="P23" s="6"/>
      <c r="Q23" s="6"/>
      <c r="R23" s="6"/>
      <c r="X23" s="62"/>
      <c r="Y23" s="18"/>
      <c r="Z23" s="121" t="str">
        <f t="shared" si="0"/>
        <v/>
      </c>
      <c r="AA23" s="20"/>
      <c r="AB23" s="20"/>
      <c r="AC23" s="20"/>
      <c r="AD23" s="20"/>
      <c r="AE23" s="125" t="str">
        <f t="shared" si="1"/>
        <v/>
      </c>
      <c r="AF23" s="14"/>
      <c r="AG23" s="125" t="str">
        <f t="shared" si="2"/>
        <v/>
      </c>
      <c r="AH23" s="20"/>
      <c r="AI23" s="20"/>
      <c r="AJ23" s="125" t="str">
        <f t="shared" si="3"/>
        <v/>
      </c>
      <c r="AK23" s="14"/>
      <c r="AL23" s="125" t="str">
        <f t="shared" si="4"/>
        <v/>
      </c>
      <c r="AM23" s="20"/>
      <c r="AN23" s="20"/>
      <c r="AO23" s="125" t="str">
        <f t="shared" si="5"/>
        <v/>
      </c>
      <c r="AP23" s="125" t="str">
        <f t="shared" si="6"/>
        <v/>
      </c>
      <c r="AQ23" s="125" t="str">
        <f t="shared" si="7"/>
        <v/>
      </c>
      <c r="AR23" s="129" t="str">
        <f t="shared" si="8"/>
        <v/>
      </c>
      <c r="AS23" s="14"/>
      <c r="AT23" s="32"/>
      <c r="AU23" s="32"/>
      <c r="AV23" s="117" t="str">
        <f>IF(_xlfn.XLOOKUP(AT23, AutoFill_classes!$A:$A, AutoFill_classes!$B:$B,"")=0,"",_xlfn.XLOOKUP(AT23, AutoFill_classes!$A:$A, AutoFill_classes!$B:$B,""))</f>
        <v/>
      </c>
      <c r="AW23" s="108"/>
      <c r="AX23" s="11"/>
      <c r="AY23" s="11"/>
      <c r="AZ23" s="11"/>
      <c r="BA23" s="13"/>
      <c r="BB23" s="13"/>
      <c r="BC23" s="62"/>
      <c r="BD23" s="19"/>
      <c r="BE23" s="121" t="str">
        <f t="shared" si="9"/>
        <v/>
      </c>
      <c r="BF23" s="20"/>
      <c r="BG23" s="20"/>
      <c r="BH23" s="20"/>
      <c r="BI23" s="20"/>
      <c r="BJ23" s="125" t="str">
        <f t="shared" si="10"/>
        <v/>
      </c>
      <c r="BK23" s="14"/>
      <c r="BL23" s="125" t="str">
        <f t="shared" si="11"/>
        <v/>
      </c>
      <c r="BM23" s="20"/>
      <c r="BN23" s="20"/>
      <c r="BO23" s="125" t="str">
        <f t="shared" si="12"/>
        <v/>
      </c>
      <c r="BP23" s="14"/>
      <c r="BQ23" s="125" t="str">
        <f t="shared" si="13"/>
        <v/>
      </c>
      <c r="BR23" s="20"/>
      <c r="BS23" s="20"/>
      <c r="BT23" s="125" t="str">
        <f t="shared" si="14"/>
        <v/>
      </c>
      <c r="BU23" s="125" t="str">
        <f t="shared" si="15"/>
        <v/>
      </c>
      <c r="BV23" s="125" t="str">
        <f t="shared" si="16"/>
        <v/>
      </c>
      <c r="BW23" s="129" t="str">
        <f t="shared" si="17"/>
        <v/>
      </c>
      <c r="BX23" s="11"/>
      <c r="BY23" s="15"/>
      <c r="BZ23" s="14"/>
      <c r="CA23" s="117" t="str">
        <f>IF(_xlfn.XLOOKUP(BY23, AutoFill_classes!$A:$A, AutoFill_classes!$B:$B,"")=0,"",_xlfn.XLOOKUP(BY23, AutoFill_classes!$A:$A, AutoFill_classes!$B:$B,""))</f>
        <v/>
      </c>
      <c r="CB23" s="108"/>
      <c r="CC23" s="14"/>
      <c r="CD23" s="14"/>
      <c r="CE23" s="14"/>
      <c r="CF23" s="21"/>
      <c r="CG23" s="22"/>
      <c r="CH23" s="62"/>
      <c r="CI23" s="23"/>
      <c r="CJ23" s="121" t="str">
        <f t="shared" si="18"/>
        <v/>
      </c>
      <c r="CK23" s="20"/>
      <c r="CL23" s="20"/>
      <c r="CM23" s="20"/>
      <c r="CN23" s="20"/>
      <c r="CO23" s="125" t="str">
        <f t="shared" si="19"/>
        <v/>
      </c>
      <c r="CP23" s="14"/>
      <c r="CQ23" s="125" t="str">
        <f t="shared" si="20"/>
        <v/>
      </c>
      <c r="CR23" s="20"/>
      <c r="CS23" s="20"/>
      <c r="CT23" s="125" t="str">
        <f t="shared" si="21"/>
        <v/>
      </c>
      <c r="CU23" s="14"/>
      <c r="CV23" s="125" t="str">
        <f t="shared" si="22"/>
        <v/>
      </c>
      <c r="CW23" s="20"/>
      <c r="CX23" s="20"/>
      <c r="CY23" s="125" t="str">
        <f t="shared" si="23"/>
        <v/>
      </c>
      <c r="CZ23" s="125" t="str">
        <f t="shared" si="24"/>
        <v/>
      </c>
      <c r="DA23" s="125" t="str">
        <f t="shared" si="25"/>
        <v/>
      </c>
      <c r="DB23" s="129" t="str">
        <f t="shared" si="26"/>
        <v/>
      </c>
      <c r="DC23" s="14"/>
      <c r="DD23" s="62"/>
      <c r="DE23" s="105">
        <v>21</v>
      </c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 s="1" customFormat="1" ht="13" hidden="1" customHeight="1" outlineLevel="1" x14ac:dyDescent="0.2">
      <c r="A24" s="4"/>
      <c r="B24" s="115" t="str">
        <f>IF(_xlfn.XLOOKUP(A24, AutoFill_names!B:B, AutoFill_names!C:C,"")=0,"",_xlfn.XLOOKUP(A24, AutoFill_names!B:B, AutoFill_names!C:C,""))</f>
        <v/>
      </c>
      <c r="C24" s="115" t="str">
        <f>IF(_xlfn.XLOOKUP(A24, AutoFill_names!B:B, AutoFill_names!D:D,"")=0,"",_xlfn.XLOOKUP(A24, AutoFill_names!B:B, AutoFill_names!D:D,""))</f>
        <v/>
      </c>
      <c r="D24" s="115" t="str">
        <f>IF(_xlfn.XLOOKUP(A24, AutoFill_names!B:B, AutoFill_names!E:E,"")=0,"",_xlfn.XLOOKUP(A24, AutoFill_names!B:B, AutoFill_names!E:E,""))</f>
        <v/>
      </c>
      <c r="E24" s="115" t="str">
        <f>IF(_xlfn.XLOOKUP(A24, AutoFill_names!B:B, AutoFill_names!F:F,"")=0,"",_xlfn.XLOOKUP(A24, AutoFill_names!B:B, AutoFill_names!F:F,""))</f>
        <v/>
      </c>
      <c r="F24" s="92"/>
      <c r="J24" s="115" t="str">
        <f>IF(_xlfn.XLOOKUP(A24, AutoFill_names!B:B, AutoFill_names!K:K,"")=0,"",_xlfn.XLOOKUP(A24, AutoFill_names!B:B, AutoFill_names!K:K,""))</f>
        <v/>
      </c>
      <c r="K24" s="115" t="str">
        <f>IF(_xlfn.XLOOKUP(A24, AutoFill_names!B:B, AutoFill_names!L:L,"")=0,"",_xlfn.XLOOKUP(A24, AutoFill_names!B:B, AutoFill_names!L:L,""))</f>
        <v/>
      </c>
      <c r="L24" s="31"/>
      <c r="M24" s="31"/>
      <c r="N24" s="117" t="str">
        <f>IF(_xlfn.XLOOKUP(L24, AutoFill_classes!A:A, AutoFill_classes!B:B,"")=0,"",_xlfn.XLOOKUP(L24, AutoFill_classes!A:A, AutoFill_classes!B:B,""))</f>
        <v/>
      </c>
      <c r="O24" s="108"/>
      <c r="P24" s="6"/>
      <c r="Q24" s="6"/>
      <c r="R24" s="6"/>
      <c r="X24" s="62"/>
      <c r="Y24" s="18"/>
      <c r="Z24" s="121" t="str">
        <f t="shared" si="0"/>
        <v/>
      </c>
      <c r="AA24" s="20"/>
      <c r="AB24" s="20"/>
      <c r="AC24" s="20"/>
      <c r="AD24" s="20"/>
      <c r="AE24" s="125" t="str">
        <f t="shared" si="1"/>
        <v/>
      </c>
      <c r="AF24" s="14"/>
      <c r="AG24" s="125" t="str">
        <f t="shared" si="2"/>
        <v/>
      </c>
      <c r="AH24" s="20"/>
      <c r="AI24" s="20"/>
      <c r="AJ24" s="125" t="str">
        <f t="shared" si="3"/>
        <v/>
      </c>
      <c r="AK24" s="14"/>
      <c r="AL24" s="125" t="str">
        <f t="shared" si="4"/>
        <v/>
      </c>
      <c r="AM24" s="20"/>
      <c r="AN24" s="20"/>
      <c r="AO24" s="125" t="str">
        <f t="shared" si="5"/>
        <v/>
      </c>
      <c r="AP24" s="125" t="str">
        <f t="shared" si="6"/>
        <v/>
      </c>
      <c r="AQ24" s="125" t="str">
        <f t="shared" si="7"/>
        <v/>
      </c>
      <c r="AR24" s="129" t="str">
        <f t="shared" si="8"/>
        <v/>
      </c>
      <c r="AS24" s="14"/>
      <c r="AT24" s="32"/>
      <c r="AU24" s="32"/>
      <c r="AV24" s="117" t="str">
        <f>IF(_xlfn.XLOOKUP(AT24, AutoFill_classes!$A:$A, AutoFill_classes!$B:$B,"")=0,"",_xlfn.XLOOKUP(AT24, AutoFill_classes!$A:$A, AutoFill_classes!$B:$B,""))</f>
        <v/>
      </c>
      <c r="AW24" s="108"/>
      <c r="AX24" s="11"/>
      <c r="AY24" s="11"/>
      <c r="AZ24" s="11"/>
      <c r="BA24" s="13"/>
      <c r="BB24" s="13"/>
      <c r="BC24" s="62"/>
      <c r="BD24" s="19"/>
      <c r="BE24" s="121" t="str">
        <f t="shared" si="9"/>
        <v/>
      </c>
      <c r="BF24" s="20"/>
      <c r="BG24" s="20"/>
      <c r="BH24" s="20"/>
      <c r="BI24" s="20"/>
      <c r="BJ24" s="125" t="str">
        <f t="shared" si="10"/>
        <v/>
      </c>
      <c r="BK24" s="14"/>
      <c r="BL24" s="125" t="str">
        <f t="shared" si="11"/>
        <v/>
      </c>
      <c r="BM24" s="20"/>
      <c r="BN24" s="20"/>
      <c r="BO24" s="125" t="str">
        <f t="shared" si="12"/>
        <v/>
      </c>
      <c r="BP24" s="14"/>
      <c r="BQ24" s="125" t="str">
        <f t="shared" si="13"/>
        <v/>
      </c>
      <c r="BR24" s="20"/>
      <c r="BS24" s="20"/>
      <c r="BT24" s="125" t="str">
        <f t="shared" si="14"/>
        <v/>
      </c>
      <c r="BU24" s="125" t="str">
        <f t="shared" si="15"/>
        <v/>
      </c>
      <c r="BV24" s="125" t="str">
        <f t="shared" si="16"/>
        <v/>
      </c>
      <c r="BW24" s="129" t="str">
        <f t="shared" si="17"/>
        <v/>
      </c>
      <c r="BX24" s="11"/>
      <c r="BY24" s="15"/>
      <c r="BZ24" s="14"/>
      <c r="CA24" s="117" t="str">
        <f>IF(_xlfn.XLOOKUP(BY24, AutoFill_classes!$A:$A, AutoFill_classes!$B:$B,"")=0,"",_xlfn.XLOOKUP(BY24, AutoFill_classes!$A:$A, AutoFill_classes!$B:$B,""))</f>
        <v/>
      </c>
      <c r="CB24" s="108"/>
      <c r="CC24" s="14"/>
      <c r="CD24" s="14"/>
      <c r="CE24" s="14"/>
      <c r="CF24" s="21"/>
      <c r="CG24" s="22"/>
      <c r="CH24" s="62"/>
      <c r="CI24" s="23"/>
      <c r="CJ24" s="121" t="str">
        <f t="shared" si="18"/>
        <v/>
      </c>
      <c r="CK24" s="20"/>
      <c r="CL24" s="20"/>
      <c r="CM24" s="20"/>
      <c r="CN24" s="20"/>
      <c r="CO24" s="125" t="str">
        <f t="shared" si="19"/>
        <v/>
      </c>
      <c r="CP24" s="14"/>
      <c r="CQ24" s="125" t="str">
        <f t="shared" si="20"/>
        <v/>
      </c>
      <c r="CR24" s="20"/>
      <c r="CS24" s="20"/>
      <c r="CT24" s="125" t="str">
        <f t="shared" si="21"/>
        <v/>
      </c>
      <c r="CU24" s="14"/>
      <c r="CV24" s="125" t="str">
        <f t="shared" si="22"/>
        <v/>
      </c>
      <c r="CW24" s="20"/>
      <c r="CX24" s="20"/>
      <c r="CY24" s="125" t="str">
        <f t="shared" si="23"/>
        <v/>
      </c>
      <c r="CZ24" s="125" t="str">
        <f t="shared" si="24"/>
        <v/>
      </c>
      <c r="DA24" s="125" t="str">
        <f t="shared" si="25"/>
        <v/>
      </c>
      <c r="DB24" s="129" t="str">
        <f t="shared" si="26"/>
        <v/>
      </c>
      <c r="DC24" s="14"/>
      <c r="DD24" s="62"/>
      <c r="DE24" s="105">
        <v>22</v>
      </c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</row>
    <row r="25" spans="1:176" s="1" customFormat="1" ht="13" hidden="1" customHeight="1" outlineLevel="1" x14ac:dyDescent="0.2">
      <c r="A25" s="4"/>
      <c r="B25" s="115" t="str">
        <f>IF(_xlfn.XLOOKUP(A25, AutoFill_names!B:B, AutoFill_names!C:C,"")=0,"",_xlfn.XLOOKUP(A25, AutoFill_names!B:B, AutoFill_names!C:C,""))</f>
        <v/>
      </c>
      <c r="C25" s="115" t="str">
        <f>IF(_xlfn.XLOOKUP(A25, AutoFill_names!B:B, AutoFill_names!D:D,"")=0,"",_xlfn.XLOOKUP(A25, AutoFill_names!B:B, AutoFill_names!D:D,""))</f>
        <v/>
      </c>
      <c r="D25" s="115" t="str">
        <f>IF(_xlfn.XLOOKUP(A25, AutoFill_names!B:B, AutoFill_names!E:E,"")=0,"",_xlfn.XLOOKUP(A25, AutoFill_names!B:B, AutoFill_names!E:E,""))</f>
        <v/>
      </c>
      <c r="E25" s="115" t="str">
        <f>IF(_xlfn.XLOOKUP(A25, AutoFill_names!B:B, AutoFill_names!F:F,"")=0,"",_xlfn.XLOOKUP(A25, AutoFill_names!B:B, AutoFill_names!F:F,""))</f>
        <v/>
      </c>
      <c r="F25" s="92"/>
      <c r="J25" s="115" t="str">
        <f>IF(_xlfn.XLOOKUP(A25, AutoFill_names!B:B, AutoFill_names!K:K,"")=0,"",_xlfn.XLOOKUP(A25, AutoFill_names!B:B, AutoFill_names!K:K,""))</f>
        <v/>
      </c>
      <c r="K25" s="115" t="str">
        <f>IF(_xlfn.XLOOKUP(A25, AutoFill_names!B:B, AutoFill_names!L:L,"")=0,"",_xlfn.XLOOKUP(A25, AutoFill_names!B:B, AutoFill_names!L:L,""))</f>
        <v/>
      </c>
      <c r="L25" s="31"/>
      <c r="M25" s="31"/>
      <c r="N25" s="117" t="str">
        <f>IF(_xlfn.XLOOKUP(L25, AutoFill_classes!A:A, AutoFill_classes!B:B,"")=0,"",_xlfn.XLOOKUP(L25, AutoFill_classes!A:A, AutoFill_classes!B:B,""))</f>
        <v/>
      </c>
      <c r="O25" s="108"/>
      <c r="P25" s="6"/>
      <c r="Q25" s="6"/>
      <c r="R25" s="6"/>
      <c r="X25" s="62"/>
      <c r="Y25" s="18"/>
      <c r="Z25" s="121" t="str">
        <f t="shared" si="0"/>
        <v/>
      </c>
      <c r="AA25" s="20"/>
      <c r="AB25" s="20"/>
      <c r="AC25" s="20"/>
      <c r="AD25" s="20"/>
      <c r="AE25" s="125" t="str">
        <f t="shared" si="1"/>
        <v/>
      </c>
      <c r="AF25" s="14"/>
      <c r="AG25" s="125" t="str">
        <f t="shared" si="2"/>
        <v/>
      </c>
      <c r="AH25" s="20"/>
      <c r="AI25" s="20"/>
      <c r="AJ25" s="125" t="str">
        <f t="shared" si="3"/>
        <v/>
      </c>
      <c r="AK25" s="14"/>
      <c r="AL25" s="125" t="str">
        <f t="shared" si="4"/>
        <v/>
      </c>
      <c r="AM25" s="20"/>
      <c r="AN25" s="20"/>
      <c r="AO25" s="125" t="str">
        <f t="shared" si="5"/>
        <v/>
      </c>
      <c r="AP25" s="125" t="str">
        <f t="shared" si="6"/>
        <v/>
      </c>
      <c r="AQ25" s="125" t="str">
        <f t="shared" si="7"/>
        <v/>
      </c>
      <c r="AR25" s="129" t="str">
        <f t="shared" si="8"/>
        <v/>
      </c>
      <c r="AS25" s="14"/>
      <c r="AT25" s="32"/>
      <c r="AU25" s="32"/>
      <c r="AV25" s="117" t="str">
        <f>IF(_xlfn.XLOOKUP(AT25, AutoFill_classes!$A:$A, AutoFill_classes!$B:$B,"")=0,"",_xlfn.XLOOKUP(AT25, AutoFill_classes!$A:$A, AutoFill_classes!$B:$B,""))</f>
        <v/>
      </c>
      <c r="AW25" s="108"/>
      <c r="AX25" s="11"/>
      <c r="AY25" s="11"/>
      <c r="AZ25" s="11"/>
      <c r="BA25" s="13"/>
      <c r="BB25" s="13"/>
      <c r="BC25" s="62"/>
      <c r="BD25" s="19"/>
      <c r="BE25" s="121" t="str">
        <f t="shared" si="9"/>
        <v/>
      </c>
      <c r="BF25" s="20"/>
      <c r="BG25" s="20"/>
      <c r="BH25" s="20"/>
      <c r="BI25" s="20"/>
      <c r="BJ25" s="125" t="str">
        <f t="shared" si="10"/>
        <v/>
      </c>
      <c r="BK25" s="14"/>
      <c r="BL25" s="125" t="str">
        <f t="shared" si="11"/>
        <v/>
      </c>
      <c r="BM25" s="20"/>
      <c r="BN25" s="20"/>
      <c r="BO25" s="125" t="str">
        <f t="shared" si="12"/>
        <v/>
      </c>
      <c r="BP25" s="14"/>
      <c r="BQ25" s="125" t="str">
        <f t="shared" si="13"/>
        <v/>
      </c>
      <c r="BR25" s="20"/>
      <c r="BS25" s="20"/>
      <c r="BT25" s="125" t="str">
        <f t="shared" si="14"/>
        <v/>
      </c>
      <c r="BU25" s="125" t="str">
        <f t="shared" si="15"/>
        <v/>
      </c>
      <c r="BV25" s="125" t="str">
        <f t="shared" si="16"/>
        <v/>
      </c>
      <c r="BW25" s="129" t="str">
        <f t="shared" si="17"/>
        <v/>
      </c>
      <c r="BX25" s="11"/>
      <c r="BY25" s="15"/>
      <c r="BZ25" s="14"/>
      <c r="CA25" s="117" t="str">
        <f>IF(_xlfn.XLOOKUP(BY25, AutoFill_classes!$A:$A, AutoFill_classes!$B:$B,"")=0,"",_xlfn.XLOOKUP(BY25, AutoFill_classes!$A:$A, AutoFill_classes!$B:$B,""))</f>
        <v/>
      </c>
      <c r="CB25" s="108"/>
      <c r="CC25" s="14"/>
      <c r="CD25" s="14"/>
      <c r="CE25" s="14"/>
      <c r="CF25" s="21"/>
      <c r="CG25" s="22"/>
      <c r="CH25" s="62"/>
      <c r="CI25" s="23"/>
      <c r="CJ25" s="121" t="str">
        <f t="shared" si="18"/>
        <v/>
      </c>
      <c r="CK25" s="20"/>
      <c r="CL25" s="20"/>
      <c r="CM25" s="20"/>
      <c r="CN25" s="20"/>
      <c r="CO25" s="125" t="str">
        <f t="shared" si="19"/>
        <v/>
      </c>
      <c r="CP25" s="14"/>
      <c r="CQ25" s="125" t="str">
        <f t="shared" si="20"/>
        <v/>
      </c>
      <c r="CR25" s="20"/>
      <c r="CS25" s="20"/>
      <c r="CT25" s="125" t="str">
        <f t="shared" si="21"/>
        <v/>
      </c>
      <c r="CU25" s="14"/>
      <c r="CV25" s="125" t="str">
        <f t="shared" si="22"/>
        <v/>
      </c>
      <c r="CW25" s="20"/>
      <c r="CX25" s="20"/>
      <c r="CY25" s="125" t="str">
        <f t="shared" si="23"/>
        <v/>
      </c>
      <c r="CZ25" s="125" t="str">
        <f t="shared" si="24"/>
        <v/>
      </c>
      <c r="DA25" s="125" t="str">
        <f t="shared" si="25"/>
        <v/>
      </c>
      <c r="DB25" s="129" t="str">
        <f t="shared" si="26"/>
        <v/>
      </c>
      <c r="DC25" s="14"/>
      <c r="DD25" s="62"/>
      <c r="DE25" s="105">
        <v>23</v>
      </c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6" spans="1:176" s="1" customFormat="1" ht="13" hidden="1" customHeight="1" outlineLevel="1" x14ac:dyDescent="0.2">
      <c r="A26" s="4"/>
      <c r="B26" s="115" t="str">
        <f>IF(_xlfn.XLOOKUP(A26, AutoFill_names!B:B, AutoFill_names!C:C,"")=0,"",_xlfn.XLOOKUP(A26, AutoFill_names!B:B, AutoFill_names!C:C,""))</f>
        <v/>
      </c>
      <c r="C26" s="115" t="str">
        <f>IF(_xlfn.XLOOKUP(A26, AutoFill_names!B:B, AutoFill_names!D:D,"")=0,"",_xlfn.XLOOKUP(A26, AutoFill_names!B:B, AutoFill_names!D:D,""))</f>
        <v/>
      </c>
      <c r="D26" s="115" t="str">
        <f>IF(_xlfn.XLOOKUP(A26, AutoFill_names!B:B, AutoFill_names!E:E,"")=0,"",_xlfn.XLOOKUP(A26, AutoFill_names!B:B, AutoFill_names!E:E,""))</f>
        <v/>
      </c>
      <c r="E26" s="115" t="str">
        <f>IF(_xlfn.XLOOKUP(A26, AutoFill_names!B:B, AutoFill_names!F:F,"")=0,"",_xlfn.XLOOKUP(A26, AutoFill_names!B:B, AutoFill_names!F:F,""))</f>
        <v/>
      </c>
      <c r="F26" s="92"/>
      <c r="J26" s="115" t="str">
        <f>IF(_xlfn.XLOOKUP(A26, AutoFill_names!B:B, AutoFill_names!K:K,"")=0,"",_xlfn.XLOOKUP(A26, AutoFill_names!B:B, AutoFill_names!K:K,""))</f>
        <v/>
      </c>
      <c r="K26" s="115" t="str">
        <f>IF(_xlfn.XLOOKUP(A26, AutoFill_names!B:B, AutoFill_names!L:L,"")=0,"",_xlfn.XLOOKUP(A26, AutoFill_names!B:B, AutoFill_names!L:L,""))</f>
        <v/>
      </c>
      <c r="L26" s="31"/>
      <c r="M26" s="31"/>
      <c r="N26" s="117" t="str">
        <f>IF(_xlfn.XLOOKUP(L26, AutoFill_classes!A:A, AutoFill_classes!B:B,"")=0,"",_xlfn.XLOOKUP(L26, AutoFill_classes!A:A, AutoFill_classes!B:B,""))</f>
        <v/>
      </c>
      <c r="O26" s="108"/>
      <c r="P26" s="6"/>
      <c r="Q26" s="6"/>
      <c r="R26" s="6"/>
      <c r="X26" s="62"/>
      <c r="Y26" s="18"/>
      <c r="Z26" s="121" t="str">
        <f t="shared" si="0"/>
        <v/>
      </c>
      <c r="AA26" s="20"/>
      <c r="AB26" s="20"/>
      <c r="AC26" s="20"/>
      <c r="AD26" s="20"/>
      <c r="AE26" s="125" t="str">
        <f t="shared" si="1"/>
        <v/>
      </c>
      <c r="AF26" s="14"/>
      <c r="AG26" s="125" t="str">
        <f t="shared" si="2"/>
        <v/>
      </c>
      <c r="AH26" s="20"/>
      <c r="AI26" s="20"/>
      <c r="AJ26" s="125" t="str">
        <f t="shared" si="3"/>
        <v/>
      </c>
      <c r="AK26" s="14"/>
      <c r="AL26" s="125" t="str">
        <f t="shared" si="4"/>
        <v/>
      </c>
      <c r="AM26" s="20"/>
      <c r="AN26" s="20"/>
      <c r="AO26" s="125" t="str">
        <f t="shared" si="5"/>
        <v/>
      </c>
      <c r="AP26" s="125" t="str">
        <f t="shared" si="6"/>
        <v/>
      </c>
      <c r="AQ26" s="125" t="str">
        <f t="shared" si="7"/>
        <v/>
      </c>
      <c r="AR26" s="129" t="str">
        <f t="shared" si="8"/>
        <v/>
      </c>
      <c r="AS26" s="14"/>
      <c r="AT26" s="32"/>
      <c r="AU26" s="32"/>
      <c r="AV26" s="117" t="str">
        <f>IF(_xlfn.XLOOKUP(AT26, AutoFill_classes!$A:$A, AutoFill_classes!$B:$B,"")=0,"",_xlfn.XLOOKUP(AT26, AutoFill_classes!$A:$A, AutoFill_classes!$B:$B,""))</f>
        <v/>
      </c>
      <c r="AW26" s="108"/>
      <c r="AX26" s="11"/>
      <c r="AY26" s="11"/>
      <c r="AZ26" s="11"/>
      <c r="BA26" s="13"/>
      <c r="BB26" s="13"/>
      <c r="BC26" s="62"/>
      <c r="BD26" s="19"/>
      <c r="BE26" s="121" t="str">
        <f t="shared" si="9"/>
        <v/>
      </c>
      <c r="BF26" s="20"/>
      <c r="BG26" s="20"/>
      <c r="BH26" s="20"/>
      <c r="BI26" s="20"/>
      <c r="BJ26" s="125" t="str">
        <f t="shared" si="10"/>
        <v/>
      </c>
      <c r="BK26" s="14"/>
      <c r="BL26" s="125" t="str">
        <f t="shared" si="11"/>
        <v/>
      </c>
      <c r="BM26" s="20"/>
      <c r="BN26" s="20"/>
      <c r="BO26" s="125" t="str">
        <f t="shared" si="12"/>
        <v/>
      </c>
      <c r="BP26" s="14"/>
      <c r="BQ26" s="125" t="str">
        <f t="shared" si="13"/>
        <v/>
      </c>
      <c r="BR26" s="20"/>
      <c r="BS26" s="20"/>
      <c r="BT26" s="125" t="str">
        <f t="shared" si="14"/>
        <v/>
      </c>
      <c r="BU26" s="125" t="str">
        <f t="shared" si="15"/>
        <v/>
      </c>
      <c r="BV26" s="125" t="str">
        <f t="shared" si="16"/>
        <v/>
      </c>
      <c r="BW26" s="129" t="str">
        <f t="shared" si="17"/>
        <v/>
      </c>
      <c r="BX26" s="11"/>
      <c r="BY26" s="15"/>
      <c r="BZ26" s="14"/>
      <c r="CA26" s="117" t="str">
        <f>IF(_xlfn.XLOOKUP(BY26, AutoFill_classes!$A:$A, AutoFill_classes!$B:$B,"")=0,"",_xlfn.XLOOKUP(BY26, AutoFill_classes!$A:$A, AutoFill_classes!$B:$B,""))</f>
        <v/>
      </c>
      <c r="CB26" s="108"/>
      <c r="CC26" s="14"/>
      <c r="CD26" s="14"/>
      <c r="CE26" s="14"/>
      <c r="CF26" s="21"/>
      <c r="CG26" s="22"/>
      <c r="CH26" s="62"/>
      <c r="CI26" s="23"/>
      <c r="CJ26" s="121" t="str">
        <f t="shared" si="18"/>
        <v/>
      </c>
      <c r="CK26" s="20"/>
      <c r="CL26" s="20"/>
      <c r="CM26" s="20"/>
      <c r="CN26" s="20"/>
      <c r="CO26" s="125" t="str">
        <f t="shared" si="19"/>
        <v/>
      </c>
      <c r="CP26" s="14"/>
      <c r="CQ26" s="125" t="str">
        <f t="shared" si="20"/>
        <v/>
      </c>
      <c r="CR26" s="20"/>
      <c r="CS26" s="20"/>
      <c r="CT26" s="125" t="str">
        <f t="shared" si="21"/>
        <v/>
      </c>
      <c r="CU26" s="14"/>
      <c r="CV26" s="125" t="str">
        <f t="shared" si="22"/>
        <v/>
      </c>
      <c r="CW26" s="20"/>
      <c r="CX26" s="20"/>
      <c r="CY26" s="125" t="str">
        <f t="shared" si="23"/>
        <v/>
      </c>
      <c r="CZ26" s="125" t="str">
        <f t="shared" si="24"/>
        <v/>
      </c>
      <c r="DA26" s="125" t="str">
        <f t="shared" si="25"/>
        <v/>
      </c>
      <c r="DB26" s="129" t="str">
        <f t="shared" si="26"/>
        <v/>
      </c>
      <c r="DC26" s="14"/>
      <c r="DD26" s="62"/>
      <c r="DE26" s="105">
        <v>24</v>
      </c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</row>
    <row r="27" spans="1:176" s="1" customFormat="1" ht="13" hidden="1" customHeight="1" outlineLevel="1" x14ac:dyDescent="0.2">
      <c r="A27" s="4"/>
      <c r="B27" s="115" t="str">
        <f>IF(_xlfn.XLOOKUP(A27, AutoFill_names!B:B, AutoFill_names!C:C,"")=0,"",_xlfn.XLOOKUP(A27, AutoFill_names!B:B, AutoFill_names!C:C,""))</f>
        <v/>
      </c>
      <c r="C27" s="115" t="str">
        <f>IF(_xlfn.XLOOKUP(A27, AutoFill_names!B:B, AutoFill_names!D:D,"")=0,"",_xlfn.XLOOKUP(A27, AutoFill_names!B:B, AutoFill_names!D:D,""))</f>
        <v/>
      </c>
      <c r="D27" s="115" t="str">
        <f>IF(_xlfn.XLOOKUP(A27, AutoFill_names!B:B, AutoFill_names!E:E,"")=0,"",_xlfn.XLOOKUP(A27, AutoFill_names!B:B, AutoFill_names!E:E,""))</f>
        <v/>
      </c>
      <c r="E27" s="115" t="str">
        <f>IF(_xlfn.XLOOKUP(A27, AutoFill_names!B:B, AutoFill_names!F:F,"")=0,"",_xlfn.XLOOKUP(A27, AutoFill_names!B:B, AutoFill_names!F:F,""))</f>
        <v/>
      </c>
      <c r="F27" s="92"/>
      <c r="J27" s="115" t="str">
        <f>IF(_xlfn.XLOOKUP(A27, AutoFill_names!B:B, AutoFill_names!K:K,"")=0,"",_xlfn.XLOOKUP(A27, AutoFill_names!B:B, AutoFill_names!K:K,""))</f>
        <v/>
      </c>
      <c r="K27" s="115" t="str">
        <f>IF(_xlfn.XLOOKUP(A27, AutoFill_names!B:B, AutoFill_names!L:L,"")=0,"",_xlfn.XLOOKUP(A27, AutoFill_names!B:B, AutoFill_names!L:L,""))</f>
        <v/>
      </c>
      <c r="L27" s="31"/>
      <c r="M27" s="31"/>
      <c r="N27" s="117" t="str">
        <f>IF(_xlfn.XLOOKUP(L27, AutoFill_classes!A:A, AutoFill_classes!B:B,"")=0,"",_xlfn.XLOOKUP(L27, AutoFill_classes!A:A, AutoFill_classes!B:B,""))</f>
        <v/>
      </c>
      <c r="O27" s="108"/>
      <c r="P27" s="6"/>
      <c r="Q27" s="6"/>
      <c r="R27" s="6"/>
      <c r="X27" s="62"/>
      <c r="Y27" s="18"/>
      <c r="Z27" s="121" t="str">
        <f t="shared" si="0"/>
        <v/>
      </c>
      <c r="AA27" s="20"/>
      <c r="AB27" s="20"/>
      <c r="AC27" s="20"/>
      <c r="AD27" s="20"/>
      <c r="AE27" s="125" t="str">
        <f t="shared" si="1"/>
        <v/>
      </c>
      <c r="AF27" s="14"/>
      <c r="AG27" s="125" t="str">
        <f t="shared" si="2"/>
        <v/>
      </c>
      <c r="AH27" s="20"/>
      <c r="AI27" s="20"/>
      <c r="AJ27" s="125" t="str">
        <f t="shared" si="3"/>
        <v/>
      </c>
      <c r="AK27" s="14"/>
      <c r="AL27" s="125" t="str">
        <f t="shared" si="4"/>
        <v/>
      </c>
      <c r="AM27" s="20"/>
      <c r="AN27" s="20"/>
      <c r="AO27" s="125" t="str">
        <f t="shared" si="5"/>
        <v/>
      </c>
      <c r="AP27" s="125" t="str">
        <f t="shared" si="6"/>
        <v/>
      </c>
      <c r="AQ27" s="125" t="str">
        <f t="shared" si="7"/>
        <v/>
      </c>
      <c r="AR27" s="129" t="str">
        <f t="shared" si="8"/>
        <v/>
      </c>
      <c r="AS27" s="14"/>
      <c r="AT27" s="32"/>
      <c r="AU27" s="32"/>
      <c r="AV27" s="117" t="str">
        <f>IF(_xlfn.XLOOKUP(AT27, AutoFill_classes!$A:$A, AutoFill_classes!$B:$B,"")=0,"",_xlfn.XLOOKUP(AT27, AutoFill_classes!$A:$A, AutoFill_classes!$B:$B,""))</f>
        <v/>
      </c>
      <c r="AW27" s="108"/>
      <c r="AX27" s="11"/>
      <c r="AY27" s="11"/>
      <c r="AZ27" s="11"/>
      <c r="BA27" s="13"/>
      <c r="BB27" s="13"/>
      <c r="BC27" s="62"/>
      <c r="BD27" s="19"/>
      <c r="BE27" s="121" t="str">
        <f t="shared" si="9"/>
        <v/>
      </c>
      <c r="BF27" s="20"/>
      <c r="BG27" s="20"/>
      <c r="BH27" s="20"/>
      <c r="BI27" s="20"/>
      <c r="BJ27" s="125" t="str">
        <f t="shared" si="10"/>
        <v/>
      </c>
      <c r="BK27" s="14"/>
      <c r="BL27" s="125" t="str">
        <f t="shared" si="11"/>
        <v/>
      </c>
      <c r="BM27" s="20"/>
      <c r="BN27" s="20"/>
      <c r="BO27" s="125" t="str">
        <f t="shared" si="12"/>
        <v/>
      </c>
      <c r="BP27" s="14"/>
      <c r="BQ27" s="125" t="str">
        <f t="shared" si="13"/>
        <v/>
      </c>
      <c r="BR27" s="20"/>
      <c r="BS27" s="20"/>
      <c r="BT27" s="125" t="str">
        <f t="shared" si="14"/>
        <v/>
      </c>
      <c r="BU27" s="125" t="str">
        <f t="shared" si="15"/>
        <v/>
      </c>
      <c r="BV27" s="125" t="str">
        <f t="shared" si="16"/>
        <v/>
      </c>
      <c r="BW27" s="129" t="str">
        <f t="shared" si="17"/>
        <v/>
      </c>
      <c r="BX27" s="11"/>
      <c r="BY27" s="15"/>
      <c r="BZ27" s="14"/>
      <c r="CA27" s="117" t="str">
        <f>IF(_xlfn.XLOOKUP(BY27, AutoFill_classes!$A:$A, AutoFill_classes!$B:$B,"")=0,"",_xlfn.XLOOKUP(BY27, AutoFill_classes!$A:$A, AutoFill_classes!$B:$B,""))</f>
        <v/>
      </c>
      <c r="CB27" s="108"/>
      <c r="CC27" s="14"/>
      <c r="CD27" s="14"/>
      <c r="CE27" s="14"/>
      <c r="CF27" s="21"/>
      <c r="CG27" s="22"/>
      <c r="CH27" s="62"/>
      <c r="CI27" s="23"/>
      <c r="CJ27" s="121" t="str">
        <f t="shared" si="18"/>
        <v/>
      </c>
      <c r="CK27" s="20"/>
      <c r="CL27" s="20"/>
      <c r="CM27" s="20"/>
      <c r="CN27" s="20"/>
      <c r="CO27" s="125" t="str">
        <f t="shared" si="19"/>
        <v/>
      </c>
      <c r="CP27" s="14"/>
      <c r="CQ27" s="125" t="str">
        <f t="shared" si="20"/>
        <v/>
      </c>
      <c r="CR27" s="20"/>
      <c r="CS27" s="20"/>
      <c r="CT27" s="125" t="str">
        <f t="shared" si="21"/>
        <v/>
      </c>
      <c r="CU27" s="14"/>
      <c r="CV27" s="125" t="str">
        <f t="shared" si="22"/>
        <v/>
      </c>
      <c r="CW27" s="20"/>
      <c r="CX27" s="20"/>
      <c r="CY27" s="125" t="str">
        <f t="shared" si="23"/>
        <v/>
      </c>
      <c r="CZ27" s="125" t="str">
        <f t="shared" si="24"/>
        <v/>
      </c>
      <c r="DA27" s="125" t="str">
        <f t="shared" si="25"/>
        <v/>
      </c>
      <c r="DB27" s="129" t="str">
        <f t="shared" si="26"/>
        <v/>
      </c>
      <c r="DC27" s="14"/>
      <c r="DD27" s="62"/>
      <c r="DE27" s="105">
        <v>25</v>
      </c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</row>
    <row r="28" spans="1:176" s="1" customFormat="1" ht="13" hidden="1" customHeight="1" outlineLevel="1" x14ac:dyDescent="0.2">
      <c r="A28" s="4"/>
      <c r="B28" s="115" t="str">
        <f>IF(_xlfn.XLOOKUP(A28, AutoFill_names!B:B, AutoFill_names!C:C,"")=0,"",_xlfn.XLOOKUP(A28, AutoFill_names!B:B, AutoFill_names!C:C,""))</f>
        <v/>
      </c>
      <c r="C28" s="115" t="str">
        <f>IF(_xlfn.XLOOKUP(A28, AutoFill_names!B:B, AutoFill_names!D:D,"")=0,"",_xlfn.XLOOKUP(A28, AutoFill_names!B:B, AutoFill_names!D:D,""))</f>
        <v/>
      </c>
      <c r="D28" s="115" t="str">
        <f>IF(_xlfn.XLOOKUP(A28, AutoFill_names!B:B, AutoFill_names!E:E,"")=0,"",_xlfn.XLOOKUP(A28, AutoFill_names!B:B, AutoFill_names!E:E,""))</f>
        <v/>
      </c>
      <c r="E28" s="115" t="str">
        <f>IF(_xlfn.XLOOKUP(A28, AutoFill_names!B:B, AutoFill_names!F:F,"")=0,"",_xlfn.XLOOKUP(A28, AutoFill_names!B:B, AutoFill_names!F:F,""))</f>
        <v/>
      </c>
      <c r="F28" s="92"/>
      <c r="J28" s="115" t="str">
        <f>IF(_xlfn.XLOOKUP(A28, AutoFill_names!B:B, AutoFill_names!K:K,"")=0,"",_xlfn.XLOOKUP(A28, AutoFill_names!B:B, AutoFill_names!K:K,""))</f>
        <v/>
      </c>
      <c r="K28" s="115" t="str">
        <f>IF(_xlfn.XLOOKUP(A28, AutoFill_names!B:B, AutoFill_names!L:L,"")=0,"",_xlfn.XLOOKUP(A28, AutoFill_names!B:B, AutoFill_names!L:L,""))</f>
        <v/>
      </c>
      <c r="L28" s="31"/>
      <c r="M28" s="31"/>
      <c r="N28" s="117" t="str">
        <f>IF(_xlfn.XLOOKUP(L28, AutoFill_classes!A:A, AutoFill_classes!B:B,"")=0,"",_xlfn.XLOOKUP(L28, AutoFill_classes!A:A, AutoFill_classes!B:B,""))</f>
        <v/>
      </c>
      <c r="O28" s="108"/>
      <c r="P28" s="6"/>
      <c r="Q28" s="6"/>
      <c r="R28" s="6"/>
      <c r="X28" s="62"/>
      <c r="Y28" s="18"/>
      <c r="Z28" s="121" t="str">
        <f t="shared" si="0"/>
        <v/>
      </c>
      <c r="AA28" s="20"/>
      <c r="AB28" s="20"/>
      <c r="AC28" s="20"/>
      <c r="AD28" s="20"/>
      <c r="AE28" s="125" t="str">
        <f t="shared" si="1"/>
        <v/>
      </c>
      <c r="AF28" s="14"/>
      <c r="AG28" s="125" t="str">
        <f t="shared" si="2"/>
        <v/>
      </c>
      <c r="AH28" s="20"/>
      <c r="AI28" s="20"/>
      <c r="AJ28" s="125" t="str">
        <f t="shared" si="3"/>
        <v/>
      </c>
      <c r="AK28" s="14"/>
      <c r="AL28" s="125" t="str">
        <f t="shared" si="4"/>
        <v/>
      </c>
      <c r="AM28" s="20"/>
      <c r="AN28" s="20"/>
      <c r="AO28" s="125" t="str">
        <f t="shared" si="5"/>
        <v/>
      </c>
      <c r="AP28" s="125" t="str">
        <f t="shared" si="6"/>
        <v/>
      </c>
      <c r="AQ28" s="125" t="str">
        <f t="shared" si="7"/>
        <v/>
      </c>
      <c r="AR28" s="129" t="str">
        <f t="shared" si="8"/>
        <v/>
      </c>
      <c r="AS28" s="14"/>
      <c r="AT28" s="32"/>
      <c r="AU28" s="32"/>
      <c r="AV28" s="117" t="str">
        <f>IF(_xlfn.XLOOKUP(AT28, AutoFill_classes!$A:$A, AutoFill_classes!$B:$B,"")=0,"",_xlfn.XLOOKUP(AT28, AutoFill_classes!$A:$A, AutoFill_classes!$B:$B,""))</f>
        <v/>
      </c>
      <c r="AW28" s="108"/>
      <c r="AX28" s="11"/>
      <c r="AY28" s="11"/>
      <c r="AZ28" s="11"/>
      <c r="BA28" s="13"/>
      <c r="BB28" s="13"/>
      <c r="BC28" s="62"/>
      <c r="BD28" s="19"/>
      <c r="BE28" s="121" t="str">
        <f t="shared" si="9"/>
        <v/>
      </c>
      <c r="BF28" s="20"/>
      <c r="BG28" s="20"/>
      <c r="BH28" s="20"/>
      <c r="BI28" s="20"/>
      <c r="BJ28" s="125" t="str">
        <f t="shared" si="10"/>
        <v/>
      </c>
      <c r="BK28" s="14"/>
      <c r="BL28" s="125" t="str">
        <f t="shared" si="11"/>
        <v/>
      </c>
      <c r="BM28" s="20"/>
      <c r="BN28" s="20"/>
      <c r="BO28" s="125" t="str">
        <f t="shared" si="12"/>
        <v/>
      </c>
      <c r="BP28" s="14"/>
      <c r="BQ28" s="125" t="str">
        <f t="shared" si="13"/>
        <v/>
      </c>
      <c r="BR28" s="20"/>
      <c r="BS28" s="20"/>
      <c r="BT28" s="125" t="str">
        <f t="shared" si="14"/>
        <v/>
      </c>
      <c r="BU28" s="125" t="str">
        <f t="shared" si="15"/>
        <v/>
      </c>
      <c r="BV28" s="125" t="str">
        <f t="shared" si="16"/>
        <v/>
      </c>
      <c r="BW28" s="129" t="str">
        <f t="shared" si="17"/>
        <v/>
      </c>
      <c r="BX28" s="11"/>
      <c r="BY28" s="15"/>
      <c r="BZ28" s="14"/>
      <c r="CA28" s="117" t="str">
        <f>IF(_xlfn.XLOOKUP(BY28, AutoFill_classes!$A:$A, AutoFill_classes!$B:$B,"")=0,"",_xlfn.XLOOKUP(BY28, AutoFill_classes!$A:$A, AutoFill_classes!$B:$B,""))</f>
        <v/>
      </c>
      <c r="CB28" s="108"/>
      <c r="CC28" s="14"/>
      <c r="CD28" s="14"/>
      <c r="CE28" s="14"/>
      <c r="CF28" s="21"/>
      <c r="CG28" s="22"/>
      <c r="CH28" s="62"/>
      <c r="CI28" s="23"/>
      <c r="CJ28" s="121" t="str">
        <f t="shared" si="18"/>
        <v/>
      </c>
      <c r="CK28" s="20"/>
      <c r="CL28" s="20"/>
      <c r="CM28" s="20"/>
      <c r="CN28" s="20"/>
      <c r="CO28" s="125" t="str">
        <f t="shared" si="19"/>
        <v/>
      </c>
      <c r="CP28" s="14"/>
      <c r="CQ28" s="125" t="str">
        <f t="shared" si="20"/>
        <v/>
      </c>
      <c r="CR28" s="20"/>
      <c r="CS28" s="20"/>
      <c r="CT28" s="125" t="str">
        <f t="shared" si="21"/>
        <v/>
      </c>
      <c r="CU28" s="14"/>
      <c r="CV28" s="125" t="str">
        <f t="shared" si="22"/>
        <v/>
      </c>
      <c r="CW28" s="20"/>
      <c r="CX28" s="20"/>
      <c r="CY28" s="125" t="str">
        <f t="shared" si="23"/>
        <v/>
      </c>
      <c r="CZ28" s="125" t="str">
        <f t="shared" si="24"/>
        <v/>
      </c>
      <c r="DA28" s="125" t="str">
        <f t="shared" si="25"/>
        <v/>
      </c>
      <c r="DB28" s="129" t="str">
        <f t="shared" si="26"/>
        <v/>
      </c>
      <c r="DC28" s="14"/>
      <c r="DD28" s="62"/>
      <c r="DE28" s="105">
        <v>26</v>
      </c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spans="1:176" s="1" customFormat="1" ht="13" hidden="1" customHeight="1" outlineLevel="1" x14ac:dyDescent="0.2">
      <c r="A29" s="4"/>
      <c r="B29" s="115" t="str">
        <f>IF(_xlfn.XLOOKUP(A29, AutoFill_names!B:B, AutoFill_names!C:C,"")=0,"",_xlfn.XLOOKUP(A29, AutoFill_names!B:B, AutoFill_names!C:C,""))</f>
        <v/>
      </c>
      <c r="C29" s="115" t="str">
        <f>IF(_xlfn.XLOOKUP(A29, AutoFill_names!B:B, AutoFill_names!D:D,"")=0,"",_xlfn.XLOOKUP(A29, AutoFill_names!B:B, AutoFill_names!D:D,""))</f>
        <v/>
      </c>
      <c r="D29" s="115" t="str">
        <f>IF(_xlfn.XLOOKUP(A29, AutoFill_names!B:B, AutoFill_names!E:E,"")=0,"",_xlfn.XLOOKUP(A29, AutoFill_names!B:B, AutoFill_names!E:E,""))</f>
        <v/>
      </c>
      <c r="E29" s="115" t="str">
        <f>IF(_xlfn.XLOOKUP(A29, AutoFill_names!B:B, AutoFill_names!F:F,"")=0,"",_xlfn.XLOOKUP(A29, AutoFill_names!B:B, AutoFill_names!F:F,""))</f>
        <v/>
      </c>
      <c r="F29" s="92"/>
      <c r="J29" s="115" t="str">
        <f>IF(_xlfn.XLOOKUP(A29, AutoFill_names!B:B, AutoFill_names!K:K,"")=0,"",_xlfn.XLOOKUP(A29, AutoFill_names!B:B, AutoFill_names!K:K,""))</f>
        <v/>
      </c>
      <c r="K29" s="115" t="str">
        <f>IF(_xlfn.XLOOKUP(A29, AutoFill_names!B:B, AutoFill_names!L:L,"")=0,"",_xlfn.XLOOKUP(A29, AutoFill_names!B:B, AutoFill_names!L:L,""))</f>
        <v/>
      </c>
      <c r="L29" s="31"/>
      <c r="M29" s="31"/>
      <c r="N29" s="117" t="str">
        <f>IF(_xlfn.XLOOKUP(L29, AutoFill_classes!A:A, AutoFill_classes!B:B,"")=0,"",_xlfn.XLOOKUP(L29, AutoFill_classes!A:A, AutoFill_classes!B:B,""))</f>
        <v/>
      </c>
      <c r="O29" s="108"/>
      <c r="P29" s="6"/>
      <c r="Q29" s="6"/>
      <c r="R29" s="6"/>
      <c r="X29" s="62"/>
      <c r="Y29" s="18"/>
      <c r="Z29" s="121" t="str">
        <f t="shared" si="0"/>
        <v/>
      </c>
      <c r="AA29" s="20"/>
      <c r="AB29" s="20"/>
      <c r="AC29" s="20"/>
      <c r="AD29" s="20"/>
      <c r="AE29" s="125" t="str">
        <f t="shared" si="1"/>
        <v/>
      </c>
      <c r="AF29" s="14"/>
      <c r="AG29" s="125" t="str">
        <f t="shared" si="2"/>
        <v/>
      </c>
      <c r="AH29" s="20"/>
      <c r="AI29" s="20"/>
      <c r="AJ29" s="125" t="str">
        <f t="shared" si="3"/>
        <v/>
      </c>
      <c r="AK29" s="14"/>
      <c r="AL29" s="125" t="str">
        <f t="shared" si="4"/>
        <v/>
      </c>
      <c r="AM29" s="20"/>
      <c r="AN29" s="20"/>
      <c r="AO29" s="125" t="str">
        <f t="shared" si="5"/>
        <v/>
      </c>
      <c r="AP29" s="125" t="str">
        <f t="shared" si="6"/>
        <v/>
      </c>
      <c r="AQ29" s="125" t="str">
        <f t="shared" si="7"/>
        <v/>
      </c>
      <c r="AR29" s="129" t="str">
        <f t="shared" si="8"/>
        <v/>
      </c>
      <c r="AS29" s="14"/>
      <c r="AT29" s="32"/>
      <c r="AU29" s="32"/>
      <c r="AV29" s="117" t="str">
        <f>IF(_xlfn.XLOOKUP(AT29, AutoFill_classes!$A:$A, AutoFill_classes!$B:$B,"")=0,"",_xlfn.XLOOKUP(AT29, AutoFill_classes!$A:$A, AutoFill_classes!$B:$B,""))</f>
        <v/>
      </c>
      <c r="AW29" s="108"/>
      <c r="AX29" s="11"/>
      <c r="AY29" s="11"/>
      <c r="AZ29" s="11"/>
      <c r="BA29" s="13"/>
      <c r="BB29" s="13"/>
      <c r="BC29" s="62"/>
      <c r="BD29" s="19"/>
      <c r="BE29" s="121" t="str">
        <f t="shared" si="9"/>
        <v/>
      </c>
      <c r="BF29" s="20"/>
      <c r="BG29" s="20"/>
      <c r="BH29" s="20"/>
      <c r="BI29" s="20"/>
      <c r="BJ29" s="125" t="str">
        <f t="shared" si="10"/>
        <v/>
      </c>
      <c r="BK29" s="14"/>
      <c r="BL29" s="125" t="str">
        <f t="shared" si="11"/>
        <v/>
      </c>
      <c r="BM29" s="20"/>
      <c r="BN29" s="20"/>
      <c r="BO29" s="125" t="str">
        <f t="shared" si="12"/>
        <v/>
      </c>
      <c r="BP29" s="14"/>
      <c r="BQ29" s="125" t="str">
        <f t="shared" si="13"/>
        <v/>
      </c>
      <c r="BR29" s="20"/>
      <c r="BS29" s="20"/>
      <c r="BT29" s="125" t="str">
        <f t="shared" si="14"/>
        <v/>
      </c>
      <c r="BU29" s="125" t="str">
        <f t="shared" si="15"/>
        <v/>
      </c>
      <c r="BV29" s="125" t="str">
        <f t="shared" si="16"/>
        <v/>
      </c>
      <c r="BW29" s="129" t="str">
        <f t="shared" si="17"/>
        <v/>
      </c>
      <c r="BX29" s="11"/>
      <c r="BY29" s="15"/>
      <c r="BZ29" s="14"/>
      <c r="CA29" s="117" t="str">
        <f>IF(_xlfn.XLOOKUP(BY29, AutoFill_classes!$A:$A, AutoFill_classes!$B:$B,"")=0,"",_xlfn.XLOOKUP(BY29, AutoFill_classes!$A:$A, AutoFill_classes!$B:$B,""))</f>
        <v/>
      </c>
      <c r="CB29" s="108"/>
      <c r="CC29" s="14"/>
      <c r="CD29" s="14"/>
      <c r="CE29" s="14"/>
      <c r="CF29" s="21"/>
      <c r="CG29" s="22"/>
      <c r="CH29" s="62"/>
      <c r="CI29" s="23"/>
      <c r="CJ29" s="121" t="str">
        <f t="shared" si="18"/>
        <v/>
      </c>
      <c r="CK29" s="20"/>
      <c r="CL29" s="20"/>
      <c r="CM29" s="20"/>
      <c r="CN29" s="20"/>
      <c r="CO29" s="125" t="str">
        <f t="shared" si="19"/>
        <v/>
      </c>
      <c r="CP29" s="14"/>
      <c r="CQ29" s="125" t="str">
        <f t="shared" si="20"/>
        <v/>
      </c>
      <c r="CR29" s="20"/>
      <c r="CS29" s="20"/>
      <c r="CT29" s="125" t="str">
        <f t="shared" si="21"/>
        <v/>
      </c>
      <c r="CU29" s="14"/>
      <c r="CV29" s="125" t="str">
        <f t="shared" si="22"/>
        <v/>
      </c>
      <c r="CW29" s="20"/>
      <c r="CX29" s="20"/>
      <c r="CY29" s="125" t="str">
        <f t="shared" si="23"/>
        <v/>
      </c>
      <c r="CZ29" s="125" t="str">
        <f t="shared" si="24"/>
        <v/>
      </c>
      <c r="DA29" s="125" t="str">
        <f t="shared" si="25"/>
        <v/>
      </c>
      <c r="DB29" s="129" t="str">
        <f t="shared" si="26"/>
        <v/>
      </c>
      <c r="DC29" s="14"/>
      <c r="DD29" s="62"/>
      <c r="DE29" s="105">
        <v>27</v>
      </c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1:176" s="1" customFormat="1" ht="13" hidden="1" customHeight="1" outlineLevel="1" x14ac:dyDescent="0.2">
      <c r="A30" s="4"/>
      <c r="B30" s="115" t="str">
        <f>IF(_xlfn.XLOOKUP(A30, AutoFill_names!B:B, AutoFill_names!C:C,"")=0,"",_xlfn.XLOOKUP(A30, AutoFill_names!B:B, AutoFill_names!C:C,""))</f>
        <v/>
      </c>
      <c r="C30" s="115" t="str">
        <f>IF(_xlfn.XLOOKUP(A30, AutoFill_names!B:B, AutoFill_names!D:D,"")=0,"",_xlfn.XLOOKUP(A30, AutoFill_names!B:B, AutoFill_names!D:D,""))</f>
        <v/>
      </c>
      <c r="D30" s="115" t="str">
        <f>IF(_xlfn.XLOOKUP(A30, AutoFill_names!B:B, AutoFill_names!E:E,"")=0,"",_xlfn.XLOOKUP(A30, AutoFill_names!B:B, AutoFill_names!E:E,""))</f>
        <v/>
      </c>
      <c r="E30" s="115" t="str">
        <f>IF(_xlfn.XLOOKUP(A30, AutoFill_names!B:B, AutoFill_names!F:F,"")=0,"",_xlfn.XLOOKUP(A30, AutoFill_names!B:B, AutoFill_names!F:F,""))</f>
        <v/>
      </c>
      <c r="F30" s="92"/>
      <c r="J30" s="115" t="str">
        <f>IF(_xlfn.XLOOKUP(A30, AutoFill_names!B:B, AutoFill_names!K:K,"")=0,"",_xlfn.XLOOKUP(A30, AutoFill_names!B:B, AutoFill_names!K:K,""))</f>
        <v/>
      </c>
      <c r="K30" s="115" t="str">
        <f>IF(_xlfn.XLOOKUP(A30, AutoFill_names!B:B, AutoFill_names!L:L,"")=0,"",_xlfn.XLOOKUP(A30, AutoFill_names!B:B, AutoFill_names!L:L,""))</f>
        <v/>
      </c>
      <c r="L30" s="31"/>
      <c r="M30" s="31"/>
      <c r="N30" s="117" t="str">
        <f>IF(_xlfn.XLOOKUP(L30, AutoFill_classes!A:A, AutoFill_classes!B:B,"")=0,"",_xlfn.XLOOKUP(L30, AutoFill_classes!A:A, AutoFill_classes!B:B,""))</f>
        <v/>
      </c>
      <c r="O30" s="108"/>
      <c r="P30" s="6"/>
      <c r="Q30" s="6"/>
      <c r="R30" s="6"/>
      <c r="S30" s="2"/>
      <c r="T30" s="2"/>
      <c r="U30" s="2"/>
      <c r="X30" s="63"/>
      <c r="Y30" s="19"/>
      <c r="Z30" s="121" t="str">
        <f t="shared" si="0"/>
        <v/>
      </c>
      <c r="AA30" s="20"/>
      <c r="AB30" s="20"/>
      <c r="AC30" s="20"/>
      <c r="AD30" s="20"/>
      <c r="AE30" s="125" t="str">
        <f t="shared" si="1"/>
        <v/>
      </c>
      <c r="AF30" s="14"/>
      <c r="AG30" s="125" t="str">
        <f t="shared" si="2"/>
        <v/>
      </c>
      <c r="AH30" s="20"/>
      <c r="AI30" s="20"/>
      <c r="AJ30" s="125" t="str">
        <f t="shared" si="3"/>
        <v/>
      </c>
      <c r="AK30" s="14"/>
      <c r="AL30" s="125" t="str">
        <f t="shared" si="4"/>
        <v/>
      </c>
      <c r="AM30" s="20"/>
      <c r="AN30" s="20"/>
      <c r="AO30" s="125" t="str">
        <f t="shared" si="5"/>
        <v/>
      </c>
      <c r="AP30" s="125" t="str">
        <f t="shared" si="6"/>
        <v/>
      </c>
      <c r="AQ30" s="125" t="str">
        <f t="shared" si="7"/>
        <v/>
      </c>
      <c r="AR30" s="129" t="str">
        <f t="shared" si="8"/>
        <v/>
      </c>
      <c r="AS30" s="14"/>
      <c r="AT30" s="11"/>
      <c r="AU30" s="11"/>
      <c r="AV30" s="117" t="str">
        <f>IF(_xlfn.XLOOKUP(AT30, AutoFill_classes!$A:$A, AutoFill_classes!$B:$B,"")=0,"",_xlfn.XLOOKUP(AT30, AutoFill_classes!$A:$A, AutoFill_classes!$B:$B,""))</f>
        <v/>
      </c>
      <c r="AW30" s="108"/>
      <c r="AX30" s="11"/>
      <c r="AY30" s="12"/>
      <c r="AZ30" s="11"/>
      <c r="BA30" s="13"/>
      <c r="BB30" s="13"/>
      <c r="BC30" s="63"/>
      <c r="BD30" s="19"/>
      <c r="BE30" s="121" t="str">
        <f t="shared" si="9"/>
        <v/>
      </c>
      <c r="BF30" s="20"/>
      <c r="BG30" s="20"/>
      <c r="BH30" s="20"/>
      <c r="BI30" s="20"/>
      <c r="BJ30" s="125" t="str">
        <f t="shared" si="10"/>
        <v/>
      </c>
      <c r="BK30" s="14"/>
      <c r="BL30" s="125" t="str">
        <f t="shared" si="11"/>
        <v/>
      </c>
      <c r="BM30" s="20"/>
      <c r="BN30" s="20"/>
      <c r="BO30" s="125" t="str">
        <f t="shared" si="12"/>
        <v/>
      </c>
      <c r="BP30" s="14"/>
      <c r="BQ30" s="125" t="str">
        <f t="shared" si="13"/>
        <v/>
      </c>
      <c r="BR30" s="20"/>
      <c r="BS30" s="20"/>
      <c r="BT30" s="125" t="str">
        <f t="shared" si="14"/>
        <v/>
      </c>
      <c r="BU30" s="125" t="str">
        <f t="shared" si="15"/>
        <v/>
      </c>
      <c r="BV30" s="125" t="str">
        <f t="shared" si="16"/>
        <v/>
      </c>
      <c r="BW30" s="129" t="str">
        <f t="shared" si="17"/>
        <v/>
      </c>
      <c r="BX30" s="11"/>
      <c r="BY30" s="15"/>
      <c r="BZ30" s="14"/>
      <c r="CA30" s="117" t="str">
        <f>IF(_xlfn.XLOOKUP(BY30, AutoFill_classes!$A:$A, AutoFill_classes!$B:$B,"")=0,"",_xlfn.XLOOKUP(BY30, AutoFill_classes!$A:$A, AutoFill_classes!$B:$B,""))</f>
        <v/>
      </c>
      <c r="CB30" s="108"/>
      <c r="CC30" s="14"/>
      <c r="CD30" s="14"/>
      <c r="CE30" s="14"/>
      <c r="CF30" s="21"/>
      <c r="CG30" s="22"/>
      <c r="CH30" s="63"/>
      <c r="CI30" s="23"/>
      <c r="CJ30" s="121" t="str">
        <f t="shared" si="18"/>
        <v/>
      </c>
      <c r="CK30" s="20"/>
      <c r="CL30" s="20"/>
      <c r="CM30" s="20"/>
      <c r="CN30" s="20"/>
      <c r="CO30" s="125" t="str">
        <f t="shared" si="19"/>
        <v/>
      </c>
      <c r="CP30" s="14"/>
      <c r="CQ30" s="125" t="str">
        <f t="shared" si="20"/>
        <v/>
      </c>
      <c r="CR30" s="20"/>
      <c r="CS30" s="20"/>
      <c r="CT30" s="125" t="str">
        <f t="shared" si="21"/>
        <v/>
      </c>
      <c r="CU30" s="14"/>
      <c r="CV30" s="125" t="str">
        <f t="shared" si="22"/>
        <v/>
      </c>
      <c r="CW30" s="20"/>
      <c r="CX30" s="20"/>
      <c r="CY30" s="125" t="str">
        <f t="shared" si="23"/>
        <v/>
      </c>
      <c r="CZ30" s="125" t="str">
        <f t="shared" si="24"/>
        <v/>
      </c>
      <c r="DA30" s="125" t="str">
        <f t="shared" si="25"/>
        <v/>
      </c>
      <c r="DB30" s="129" t="str">
        <f t="shared" si="26"/>
        <v/>
      </c>
      <c r="DC30" s="14"/>
      <c r="DD30" s="62"/>
      <c r="DE30" s="105">
        <v>28</v>
      </c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spans="1:176" s="1" customFormat="1" ht="13" hidden="1" customHeight="1" outlineLevel="1" x14ac:dyDescent="0.2">
      <c r="A31" s="4"/>
      <c r="B31" s="115" t="str">
        <f>IF(_xlfn.XLOOKUP(A31, AutoFill_names!B:B, AutoFill_names!C:C,"")=0,"",_xlfn.XLOOKUP(A31, AutoFill_names!B:B, AutoFill_names!C:C,""))</f>
        <v/>
      </c>
      <c r="C31" s="115" t="str">
        <f>IF(_xlfn.XLOOKUP(A31, AutoFill_names!B:B, AutoFill_names!D:D,"")=0,"",_xlfn.XLOOKUP(A31, AutoFill_names!B:B, AutoFill_names!D:D,""))</f>
        <v/>
      </c>
      <c r="D31" s="115" t="str">
        <f>IF(_xlfn.XLOOKUP(A31, AutoFill_names!B:B, AutoFill_names!E:E,"")=0,"",_xlfn.XLOOKUP(A31, AutoFill_names!B:B, AutoFill_names!E:E,""))</f>
        <v/>
      </c>
      <c r="E31" s="115" t="str">
        <f>IF(_xlfn.XLOOKUP(A31, AutoFill_names!B:B, AutoFill_names!F:F,"")=0,"",_xlfn.XLOOKUP(A31, AutoFill_names!B:B, AutoFill_names!F:F,""))</f>
        <v/>
      </c>
      <c r="F31" s="92"/>
      <c r="J31" s="115" t="str">
        <f>IF(_xlfn.XLOOKUP(A31, AutoFill_names!B:B, AutoFill_names!K:K,"")=0,"",_xlfn.XLOOKUP(A31, AutoFill_names!B:B, AutoFill_names!K:K,""))</f>
        <v/>
      </c>
      <c r="K31" s="115" t="str">
        <f>IF(_xlfn.XLOOKUP(A31, AutoFill_names!B:B, AutoFill_names!L:L,"")=0,"",_xlfn.XLOOKUP(A31, AutoFill_names!B:B, AutoFill_names!L:L,""))</f>
        <v/>
      </c>
      <c r="L31" s="31"/>
      <c r="M31" s="31"/>
      <c r="N31" s="117" t="str">
        <f>IF(_xlfn.XLOOKUP(L31, AutoFill_classes!A:A, AutoFill_classes!B:B,"")=0,"",_xlfn.XLOOKUP(L31, AutoFill_classes!A:A, AutoFill_classes!B:B,""))</f>
        <v/>
      </c>
      <c r="O31" s="108"/>
      <c r="P31" s="6"/>
      <c r="Q31" s="6"/>
      <c r="R31" s="6"/>
      <c r="X31" s="63"/>
      <c r="Y31" s="19"/>
      <c r="Z31" s="121" t="str">
        <f t="shared" si="0"/>
        <v/>
      </c>
      <c r="AA31" s="20"/>
      <c r="AB31" s="20"/>
      <c r="AC31" s="20"/>
      <c r="AD31" s="20"/>
      <c r="AE31" s="125" t="str">
        <f t="shared" si="1"/>
        <v/>
      </c>
      <c r="AF31" s="14"/>
      <c r="AG31" s="125" t="str">
        <f t="shared" si="2"/>
        <v/>
      </c>
      <c r="AH31" s="20"/>
      <c r="AI31" s="20"/>
      <c r="AJ31" s="125" t="str">
        <f t="shared" si="3"/>
        <v/>
      </c>
      <c r="AK31" s="14"/>
      <c r="AL31" s="125" t="str">
        <f t="shared" si="4"/>
        <v/>
      </c>
      <c r="AM31" s="20"/>
      <c r="AN31" s="20"/>
      <c r="AO31" s="125" t="str">
        <f t="shared" si="5"/>
        <v/>
      </c>
      <c r="AP31" s="125" t="str">
        <f t="shared" si="6"/>
        <v/>
      </c>
      <c r="AQ31" s="125" t="str">
        <f t="shared" si="7"/>
        <v/>
      </c>
      <c r="AR31" s="129" t="str">
        <f t="shared" si="8"/>
        <v/>
      </c>
      <c r="AS31" s="14"/>
      <c r="AT31" s="33"/>
      <c r="AU31" s="33"/>
      <c r="AV31" s="117" t="str">
        <f>IF(_xlfn.XLOOKUP(AT31, AutoFill_classes!$A:$A, AutoFill_classes!$B:$B,"")=0,"",_xlfn.XLOOKUP(AT31, AutoFill_classes!$A:$A, AutoFill_classes!$B:$B,""))</f>
        <v/>
      </c>
      <c r="AW31" s="108"/>
      <c r="AX31" s="11"/>
      <c r="AY31" s="12"/>
      <c r="AZ31" s="11"/>
      <c r="BA31" s="13"/>
      <c r="BB31" s="13"/>
      <c r="BC31" s="63"/>
      <c r="BD31" s="19"/>
      <c r="BE31" s="121" t="str">
        <f t="shared" si="9"/>
        <v/>
      </c>
      <c r="BF31" s="20"/>
      <c r="BG31" s="20"/>
      <c r="BH31" s="20"/>
      <c r="BI31" s="20"/>
      <c r="BJ31" s="125" t="str">
        <f t="shared" si="10"/>
        <v/>
      </c>
      <c r="BK31" s="14"/>
      <c r="BL31" s="125" t="str">
        <f t="shared" si="11"/>
        <v/>
      </c>
      <c r="BM31" s="20"/>
      <c r="BN31" s="20"/>
      <c r="BO31" s="125" t="str">
        <f t="shared" si="12"/>
        <v/>
      </c>
      <c r="BP31" s="14"/>
      <c r="BQ31" s="125" t="str">
        <f t="shared" si="13"/>
        <v/>
      </c>
      <c r="BR31" s="20"/>
      <c r="BS31" s="20"/>
      <c r="BT31" s="125" t="str">
        <f t="shared" si="14"/>
        <v/>
      </c>
      <c r="BU31" s="125" t="str">
        <f t="shared" si="15"/>
        <v/>
      </c>
      <c r="BV31" s="125" t="str">
        <f t="shared" si="16"/>
        <v/>
      </c>
      <c r="BW31" s="129" t="str">
        <f t="shared" si="17"/>
        <v/>
      </c>
      <c r="BX31" s="11"/>
      <c r="BY31" s="15"/>
      <c r="BZ31" s="14"/>
      <c r="CA31" s="117" t="str">
        <f>IF(_xlfn.XLOOKUP(BY31, AutoFill_classes!$A:$A, AutoFill_classes!$B:$B,"")=0,"",_xlfn.XLOOKUP(BY31, AutoFill_classes!$A:$A, AutoFill_classes!$B:$B,""))</f>
        <v/>
      </c>
      <c r="CB31" s="108"/>
      <c r="CC31" s="14"/>
      <c r="CD31" s="14"/>
      <c r="CE31" s="14"/>
      <c r="CF31" s="21"/>
      <c r="CG31" s="22"/>
      <c r="CH31" s="63"/>
      <c r="CI31" s="23"/>
      <c r="CJ31" s="121" t="str">
        <f t="shared" si="18"/>
        <v/>
      </c>
      <c r="CK31" s="20"/>
      <c r="CL31" s="20"/>
      <c r="CM31" s="20"/>
      <c r="CN31" s="20"/>
      <c r="CO31" s="125" t="str">
        <f t="shared" si="19"/>
        <v/>
      </c>
      <c r="CP31" s="14"/>
      <c r="CQ31" s="125" t="str">
        <f t="shared" si="20"/>
        <v/>
      </c>
      <c r="CR31" s="20"/>
      <c r="CS31" s="20"/>
      <c r="CT31" s="125" t="str">
        <f t="shared" si="21"/>
        <v/>
      </c>
      <c r="CU31" s="14"/>
      <c r="CV31" s="125" t="str">
        <f t="shared" si="22"/>
        <v/>
      </c>
      <c r="CW31" s="20"/>
      <c r="CX31" s="20"/>
      <c r="CY31" s="125" t="str">
        <f t="shared" si="23"/>
        <v/>
      </c>
      <c r="CZ31" s="125" t="str">
        <f t="shared" si="24"/>
        <v/>
      </c>
      <c r="DA31" s="125" t="str">
        <f t="shared" si="25"/>
        <v/>
      </c>
      <c r="DB31" s="129" t="str">
        <f t="shared" si="26"/>
        <v/>
      </c>
      <c r="DC31" s="14"/>
      <c r="DD31" s="62"/>
      <c r="DE31" s="105">
        <v>29</v>
      </c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 s="116" customFormat="1" ht="34" customHeight="1" collapsed="1" x14ac:dyDescent="0.2">
      <c r="A32" s="66" t="s">
        <v>2051</v>
      </c>
      <c r="B32" s="112" t="str">
        <f>"Total Credits: " &amp; IFERROR(IF(DD32=0,"",DD32),"")</f>
        <v>Total Credits: 9</v>
      </c>
      <c r="F32" s="138"/>
      <c r="L32" s="118"/>
      <c r="M32" s="118"/>
      <c r="N32" s="118"/>
      <c r="O32" s="118"/>
      <c r="P32" s="139"/>
      <c r="Q32" s="139"/>
      <c r="R32" s="139"/>
      <c r="S32" s="118"/>
      <c r="T32" s="118"/>
      <c r="U32" s="118"/>
      <c r="V32" s="136"/>
      <c r="W32" s="136"/>
      <c r="X32" s="140">
        <f>IF(SUM(X33:X61)=0,"", SUM(X33:X61))</f>
        <v>3</v>
      </c>
      <c r="Y32" s="122"/>
      <c r="Z32" s="122"/>
      <c r="AA32" s="141"/>
      <c r="AB32" s="141"/>
      <c r="AC32" s="141"/>
      <c r="AD32" s="141"/>
      <c r="AE32" s="124"/>
      <c r="AF32" s="124"/>
      <c r="AG32" s="124"/>
      <c r="AH32" s="141"/>
      <c r="AI32" s="141"/>
      <c r="AJ32" s="124"/>
      <c r="AK32" s="124"/>
      <c r="AL32" s="124"/>
      <c r="AM32" s="141"/>
      <c r="AN32" s="141"/>
      <c r="AO32" s="127"/>
      <c r="AP32" s="127"/>
      <c r="AQ32" s="127"/>
      <c r="AR32" s="127"/>
      <c r="AS32" s="127"/>
      <c r="AT32" s="145"/>
      <c r="AU32" s="145"/>
      <c r="AV32" s="130"/>
      <c r="AW32" s="118"/>
      <c r="AX32" s="145"/>
      <c r="AY32" s="145"/>
      <c r="AZ32" s="145"/>
      <c r="BA32" s="144"/>
      <c r="BB32" s="144"/>
      <c r="BC32" s="140">
        <f>IF(SUM(BC33:BC61)=0, "", SUM(BC33:BC61))</f>
        <v>3</v>
      </c>
      <c r="BD32" s="123"/>
      <c r="BE32" s="123"/>
      <c r="BF32" s="146"/>
      <c r="BG32" s="146"/>
      <c r="BH32" s="146"/>
      <c r="BI32" s="146"/>
      <c r="BJ32" s="134"/>
      <c r="BK32" s="134"/>
      <c r="BL32" s="134"/>
      <c r="BM32" s="146"/>
      <c r="BN32" s="146"/>
      <c r="BO32" s="134"/>
      <c r="BP32" s="134"/>
      <c r="BQ32" s="134"/>
      <c r="BR32" s="146"/>
      <c r="BS32" s="146"/>
      <c r="BT32" s="134"/>
      <c r="BU32" s="134"/>
      <c r="BV32" s="134"/>
      <c r="BW32" s="127"/>
      <c r="BX32" s="134"/>
      <c r="BY32" s="145"/>
      <c r="BZ32" s="145"/>
      <c r="CA32" s="130"/>
      <c r="CB32" s="118"/>
      <c r="CC32" s="145"/>
      <c r="CD32" s="145"/>
      <c r="CE32" s="145"/>
      <c r="CF32" s="136"/>
      <c r="CG32" s="120"/>
      <c r="CH32" s="140">
        <f>IF(SUM(CH33:CH61)=0, "", SUM(CH33:CH61))</f>
        <v>3</v>
      </c>
      <c r="CI32" s="123"/>
      <c r="CJ32" s="123"/>
      <c r="CK32" s="146"/>
      <c r="CL32" s="146"/>
      <c r="CM32" s="146"/>
      <c r="CN32" s="146"/>
      <c r="CP32" s="134"/>
      <c r="CR32" s="146"/>
      <c r="CS32" s="146"/>
      <c r="CU32" s="134"/>
      <c r="CW32" s="146"/>
      <c r="CX32" s="146"/>
      <c r="DB32" s="127"/>
      <c r="DC32" s="134"/>
      <c r="DD32" s="140">
        <f>IF(SUM(L32:DC32)=0, "", SUM(L32:DC32))</f>
        <v>9</v>
      </c>
      <c r="DE32" s="105">
        <v>30</v>
      </c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</row>
    <row r="33" spans="1:176" s="1" customFormat="1" ht="13" hidden="1" customHeight="1" outlineLevel="1" x14ac:dyDescent="0.2">
      <c r="A33" s="4" t="s">
        <v>2052</v>
      </c>
      <c r="B33" s="115" t="str">
        <f>IF(_xlfn.XLOOKUP(A33, AutoFill_names!B:B, AutoFill_names!C:C,"")=0,"",_xlfn.XLOOKUP(A33, AutoFill_names!B:B, AutoFill_names!C:C,""))</f>
        <v/>
      </c>
      <c r="C33" s="115" t="str">
        <f>IF(_xlfn.XLOOKUP(A33, AutoFill_names!B:B, AutoFill_names!D:D,"")=0,"",_xlfn.XLOOKUP(A33, AutoFill_names!B:B, AutoFill_names!D:D,""))</f>
        <v/>
      </c>
      <c r="D33" s="115" t="str">
        <f>IF(_xlfn.XLOOKUP(A33, AutoFill_names!B:B, AutoFill_names!E:E,"")=0,"",_xlfn.XLOOKUP(A33, AutoFill_names!B:B, AutoFill_names!E:E,""))</f>
        <v/>
      </c>
      <c r="E33" s="115" t="str">
        <f>IF(_xlfn.XLOOKUP(A33, AutoFill_names!B:B, AutoFill_names!F:F,"")=0,"",_xlfn.XLOOKUP(A33, AutoFill_names!B:B, AutoFill_names!F:F,""))</f>
        <v/>
      </c>
      <c r="F33" s="92"/>
      <c r="J33" s="115" t="str">
        <f>IF(_xlfn.XLOOKUP(A33, AutoFill_names!B:B, AutoFill_names!K:K,"")=0,"",_xlfn.XLOOKUP(A33, AutoFill_names!B:B, AutoFill_names!K:K,""))</f>
        <v/>
      </c>
      <c r="K33" s="115" t="str">
        <f>IF(_xlfn.XLOOKUP(A33, AutoFill_names!B:B, AutoFill_names!L:L,"")=0,"",_xlfn.XLOOKUP(A33, AutoFill_names!B:B, AutoFill_names!L:L,""))</f>
        <v/>
      </c>
      <c r="L33" s="31" t="s">
        <v>1543</v>
      </c>
      <c r="M33" s="31"/>
      <c r="N33" s="117" t="str">
        <f>IF(_xlfn.XLOOKUP(L33, AutoFill_classes!A:A, AutoFill_classes!B:B,"")=0,"",_xlfn.XLOOKUP(L33, AutoFill_classes!A:A, AutoFill_classes!B:B,""))</f>
        <v>Principles of Christian Ethics</v>
      </c>
      <c r="O33" s="108"/>
      <c r="P33" s="6" t="s">
        <v>52</v>
      </c>
      <c r="Q33" s="6"/>
      <c r="R33" s="6"/>
      <c r="S33" s="2" t="s">
        <v>53</v>
      </c>
      <c r="T33" s="2" t="s">
        <v>54</v>
      </c>
      <c r="U33" s="2" t="s">
        <v>167</v>
      </c>
      <c r="V33" s="1" t="s">
        <v>55</v>
      </c>
      <c r="W33" s="1" t="s">
        <v>56</v>
      </c>
      <c r="X33" s="62">
        <v>3</v>
      </c>
      <c r="Y33" s="18"/>
      <c r="Z33" s="121" t="str">
        <f t="shared" ref="Z33:Z61" si="27">IF(X33*Y33=0,"",X33*Y33)</f>
        <v/>
      </c>
      <c r="AA33" s="20"/>
      <c r="AB33" s="20"/>
      <c r="AC33" s="20"/>
      <c r="AD33" s="20"/>
      <c r="AE33" s="125" t="str">
        <f t="shared" ref="AE33:AE61" si="28">IF(ROUNDUP((AD33-AC33)/7,0)=0,"",ROUNDUP((AD33-AC33)/7,0))</f>
        <v/>
      </c>
      <c r="AF33" s="14"/>
      <c r="AG33" s="125" t="str">
        <f t="shared" ref="AG33:AG61" si="29">IFERROR(IF(AE33*AF33=0,"",AE33*AF33), "")</f>
        <v/>
      </c>
      <c r="AH33" s="20"/>
      <c r="AI33" s="20"/>
      <c r="AJ33" s="125" t="str">
        <f t="shared" ref="AJ33:AJ61" si="30">IF(ROUNDUP((AI33-AH33)/7,0)=0,"",ROUNDUP((AI33-AH33)/7,0))</f>
        <v/>
      </c>
      <c r="AK33" s="14"/>
      <c r="AL33" s="125" t="str">
        <f t="shared" ref="AL33:AL61" si="31">IFERROR(IF(AJ33*AK33=0,"",AJ33*AK33), "")</f>
        <v/>
      </c>
      <c r="AM33" s="20"/>
      <c r="AN33" s="20"/>
      <c r="AO33" s="125" t="str">
        <f t="shared" ref="AO33:AO61" si="32">IF(ROUNDUP((AN33-AM33)/7,0)=0,"",ROUNDUP((AN33-AM33)/7,0))</f>
        <v/>
      </c>
      <c r="AP33" s="125" t="str">
        <f t="shared" ref="AP33:AP61" si="33">IFERROR(IF((AS33-(AF33+AK33))/AO33=0,"",ROUNDUP((AS33-(AF33+AK33))/AO33,0)), "")</f>
        <v/>
      </c>
      <c r="AQ33" s="125" t="str">
        <f t="shared" ref="AQ33:AQ61" si="34">IFERROR(IF((AS33-(AG33+AL33))=0, "", (AS33-(AG33+AL33))), "")</f>
        <v/>
      </c>
      <c r="AR33" s="129" t="str">
        <f t="shared" ref="AR33:AR61" si="35">IFERROR(IF((AE33+AJ33+AO33)=0, "", (AE33+AJ33+AO33)), "")</f>
        <v/>
      </c>
      <c r="AS33" s="14"/>
      <c r="AT33" s="13" t="s">
        <v>1538</v>
      </c>
      <c r="AU33" s="13" t="s">
        <v>453</v>
      </c>
      <c r="AV33" s="117" t="str">
        <f>IF(_xlfn.XLOOKUP(AT33, AutoFill_classes!$A:$A, AutoFill_classes!$B:$B,"")=0,"",_xlfn.XLOOKUP(AT33, AutoFill_classes!$A:$A, AutoFill_classes!$B:$B,""))</f>
        <v>Christian Theology I</v>
      </c>
      <c r="AW33" s="108"/>
      <c r="AX33" s="13" t="s">
        <v>53</v>
      </c>
      <c r="AY33" s="13" t="s">
        <v>54</v>
      </c>
      <c r="AZ33" s="13" t="s">
        <v>167</v>
      </c>
      <c r="BA33" s="13" t="s">
        <v>55</v>
      </c>
      <c r="BB33" s="13" t="s">
        <v>56</v>
      </c>
      <c r="BC33" s="62">
        <v>3</v>
      </c>
      <c r="BD33" s="18"/>
      <c r="BE33" s="121" t="str">
        <f t="shared" ref="BE33:BE61" si="36">IF(BC33*BD33=0,"",BC33*BD33)</f>
        <v/>
      </c>
      <c r="BF33" s="20"/>
      <c r="BG33" s="20"/>
      <c r="BH33" s="20"/>
      <c r="BI33" s="20"/>
      <c r="BJ33" s="125" t="str">
        <f t="shared" ref="BJ33:BJ61" si="37">IF(ROUNDUP((BI33-BH33)/7,0)=0,"",ROUNDUP((BI33-BH33)/7,0))</f>
        <v/>
      </c>
      <c r="BK33" s="14"/>
      <c r="BL33" s="125" t="str">
        <f t="shared" ref="BL33:BL61" si="38">IFERROR(IF(BJ33*BK33=0,"",BJ33*BK33), "")</f>
        <v/>
      </c>
      <c r="BM33" s="20"/>
      <c r="BN33" s="20"/>
      <c r="BO33" s="125" t="str">
        <f t="shared" ref="BO33:BO61" si="39">IF(ROUNDUP((BN33-BM33)/7,0)=0,"",ROUNDUP((BN33-BM33)/7,0))</f>
        <v/>
      </c>
      <c r="BP33" s="14"/>
      <c r="BQ33" s="125" t="str">
        <f t="shared" ref="BQ33:BQ61" si="40">IFERROR(IF(BO33*BP33=0,"",BO33*BP33), "")</f>
        <v/>
      </c>
      <c r="BR33" s="20"/>
      <c r="BS33" s="20"/>
      <c r="BT33" s="125" t="str">
        <f t="shared" ref="BT33:BT61" si="41">IF(ROUNDUP((BS33-BR33)/7,0)=0,"",ROUNDUP((BS33-BR33)/7,0))</f>
        <v/>
      </c>
      <c r="BU33" s="125" t="str">
        <f t="shared" ref="BU33:BU61" si="42">IFERROR(IF((BX33-(BK33+BP33))/BT33=0,"",ROUNDUP((BX33-(BK33+BP33))/BT33,0)), "")</f>
        <v/>
      </c>
      <c r="BV33" s="125" t="str">
        <f t="shared" ref="BV33:BV61" si="43">IFERROR(IF((BX33-(BL33+BQ33))=0, "", (BX33-(BL33+BQ33))), "")</f>
        <v/>
      </c>
      <c r="BW33" s="129" t="str">
        <f t="shared" ref="BW33:BW61" si="44">IFERROR(IF((BJ33+BO33+BT33)=0, "", (BJ33+BO33+BT33)), "")</f>
        <v/>
      </c>
      <c r="BX33" s="13"/>
      <c r="BY33" s="15" t="s">
        <v>1539</v>
      </c>
      <c r="BZ33" s="14" t="s">
        <v>453</v>
      </c>
      <c r="CA33" s="117" t="str">
        <f>IF(_xlfn.XLOOKUP(BY33, AutoFill_classes!$A:$A, AutoFill_classes!$B:$B,"")=0,"",_xlfn.XLOOKUP(BY33, AutoFill_classes!$A:$A, AutoFill_classes!$B:$B,""))</f>
        <v>Christian Theology II</v>
      </c>
      <c r="CB33" s="108"/>
      <c r="CC33" s="14" t="s">
        <v>102</v>
      </c>
      <c r="CD33" s="14" t="s">
        <v>54</v>
      </c>
      <c r="CE33" s="14" t="s">
        <v>167</v>
      </c>
      <c r="CF33" s="21" t="s">
        <v>55</v>
      </c>
      <c r="CG33" s="22" t="s">
        <v>56</v>
      </c>
      <c r="CH33" s="62">
        <v>3</v>
      </c>
      <c r="CI33" s="23"/>
      <c r="CJ33" s="121" t="str">
        <f t="shared" ref="CJ33:CJ61" si="45">IF(CH33*CI33=0,"",CH33*CI33)</f>
        <v/>
      </c>
      <c r="CK33" s="20"/>
      <c r="CL33" s="20"/>
      <c r="CM33" s="20"/>
      <c r="CN33" s="20"/>
      <c r="CO33" s="125" t="str">
        <f t="shared" ref="CO33:CO61" si="46">IF(ROUNDUP((CN33-CM33)/7,0)=0,"",ROUNDUP((CN33-CM33)/7,0))</f>
        <v/>
      </c>
      <c r="CP33" s="14"/>
      <c r="CQ33" s="125" t="str">
        <f t="shared" ref="CQ33:CQ61" si="47">IFERROR(IF(CO33*CP33=0,"",CO33*CP33), "")</f>
        <v/>
      </c>
      <c r="CR33" s="20"/>
      <c r="CS33" s="20"/>
      <c r="CT33" s="125" t="str">
        <f t="shared" ref="CT33:CT61" si="48">IF(ROUNDUP((CS33-CR33)/7,0)=0,"",ROUNDUP((CS33-CR33)/7,0))</f>
        <v/>
      </c>
      <c r="CU33" s="14"/>
      <c r="CV33" s="125" t="str">
        <f t="shared" ref="CV33:CV61" si="49">IFERROR(IF(CT33*CU33=0,"",CT33*CU33), "")</f>
        <v/>
      </c>
      <c r="CW33" s="20"/>
      <c r="CX33" s="20"/>
      <c r="CY33" s="125" t="str">
        <f t="shared" ref="CY33:CY61" si="50">IF(ROUNDUP((CX33-CW33)/7,0)=0,"",ROUNDUP((CX33-CW33)/7,0))</f>
        <v/>
      </c>
      <c r="CZ33" s="125" t="str">
        <f t="shared" ref="CZ33:CZ61" si="51">IFERROR(IF((DC33-(CP33+CU33))/CY33=0,"",ROUNDUP((DC33-(CP33+CU33))/CY33,0)), "")</f>
        <v/>
      </c>
      <c r="DA33" s="125" t="str">
        <f t="shared" ref="DA33:DA61" si="52">IFERROR(IF((DC33-(CQ33+CV33))=0, "", (DC33-(CQ33+CV33))), "")</f>
        <v/>
      </c>
      <c r="DB33" s="129" t="str">
        <f t="shared" ref="DB33:DB61" si="53">IFERROR(IF((CO33+CT33+CY33)=0, "", (CO33+CT33+CY33)), "")</f>
        <v/>
      </c>
      <c r="DC33" s="14"/>
      <c r="DD33" s="63"/>
      <c r="DE33" s="105">
        <v>31</v>
      </c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 s="1" customFormat="1" ht="13" hidden="1" customHeight="1" outlineLevel="1" x14ac:dyDescent="0.2">
      <c r="A34" s="4"/>
      <c r="B34" s="115" t="str">
        <f>IF(_xlfn.XLOOKUP(A34, AutoFill_names!B:B, AutoFill_names!C:C,"")=0,"",_xlfn.XLOOKUP(A34, AutoFill_names!B:B, AutoFill_names!C:C,""))</f>
        <v/>
      </c>
      <c r="C34" s="115" t="str">
        <f>IF(_xlfn.XLOOKUP(A34, AutoFill_names!B:B, AutoFill_names!D:D,"")=0,"",_xlfn.XLOOKUP(A34, AutoFill_names!B:B, AutoFill_names!D:D,""))</f>
        <v/>
      </c>
      <c r="D34" s="115" t="str">
        <f>IF(_xlfn.XLOOKUP(A34, AutoFill_names!B:B, AutoFill_names!E:E,"")=0,"",_xlfn.XLOOKUP(A34, AutoFill_names!B:B, AutoFill_names!E:E,""))</f>
        <v/>
      </c>
      <c r="E34" s="115" t="str">
        <f>IF(_xlfn.XLOOKUP(A34, AutoFill_names!B:B, AutoFill_names!F:F,"")=0,"",_xlfn.XLOOKUP(A34, AutoFill_names!B:B, AutoFill_names!F:F,""))</f>
        <v/>
      </c>
      <c r="F34" s="92"/>
      <c r="J34" s="115" t="str">
        <f>IF(_xlfn.XLOOKUP(A34, AutoFill_names!B:B, AutoFill_names!K:K,"")=0,"",_xlfn.XLOOKUP(A34, AutoFill_names!B:B, AutoFill_names!K:K,""))</f>
        <v/>
      </c>
      <c r="K34" s="115" t="str">
        <f>IF(_xlfn.XLOOKUP(A34, AutoFill_names!B:B, AutoFill_names!L:L,"")=0,"",_xlfn.XLOOKUP(A34, AutoFill_names!B:B, AutoFill_names!L:L,""))</f>
        <v/>
      </c>
      <c r="L34" s="31"/>
      <c r="M34" s="31"/>
      <c r="N34" s="117" t="str">
        <f>IF(_xlfn.XLOOKUP(L34, AutoFill_classes!A:A, AutoFill_classes!B:B,"")=0,"",_xlfn.XLOOKUP(L34, AutoFill_classes!A:A, AutoFill_classes!B:B,""))</f>
        <v/>
      </c>
      <c r="O34" s="108"/>
      <c r="P34" s="6"/>
      <c r="Q34" s="6"/>
      <c r="R34" s="6"/>
      <c r="S34" s="2"/>
      <c r="T34" s="2"/>
      <c r="U34" s="2"/>
      <c r="X34" s="62"/>
      <c r="Y34" s="18"/>
      <c r="Z34" s="121" t="str">
        <f t="shared" si="27"/>
        <v/>
      </c>
      <c r="AA34" s="20"/>
      <c r="AB34" s="20"/>
      <c r="AC34" s="20"/>
      <c r="AD34" s="20"/>
      <c r="AE34" s="125" t="str">
        <f t="shared" si="28"/>
        <v/>
      </c>
      <c r="AF34" s="14"/>
      <c r="AG34" s="125" t="str">
        <f t="shared" si="29"/>
        <v/>
      </c>
      <c r="AH34" s="20"/>
      <c r="AI34" s="20"/>
      <c r="AJ34" s="125" t="str">
        <f t="shared" si="30"/>
        <v/>
      </c>
      <c r="AK34" s="14"/>
      <c r="AL34" s="125" t="str">
        <f t="shared" si="31"/>
        <v/>
      </c>
      <c r="AM34" s="20"/>
      <c r="AN34" s="20"/>
      <c r="AO34" s="125" t="str">
        <f t="shared" si="32"/>
        <v/>
      </c>
      <c r="AP34" s="125" t="str">
        <f t="shared" si="33"/>
        <v/>
      </c>
      <c r="AQ34" s="125" t="str">
        <f t="shared" si="34"/>
        <v/>
      </c>
      <c r="AR34" s="129" t="str">
        <f t="shared" si="35"/>
        <v/>
      </c>
      <c r="AS34" s="14"/>
      <c r="AT34" s="13"/>
      <c r="AU34" s="13"/>
      <c r="AV34" s="117" t="str">
        <f>IF(_xlfn.XLOOKUP(AT34, AutoFill_classes!$A:$A, AutoFill_classes!$B:$B,"")=0,"",_xlfn.XLOOKUP(AT34, AutoFill_classes!$A:$A, AutoFill_classes!$B:$B,""))</f>
        <v/>
      </c>
      <c r="AW34" s="108"/>
      <c r="AX34" s="13"/>
      <c r="AY34" s="13"/>
      <c r="AZ34" s="13"/>
      <c r="BA34" s="13"/>
      <c r="BB34" s="13"/>
      <c r="BC34" s="62"/>
      <c r="BD34" s="18"/>
      <c r="BE34" s="121" t="str">
        <f t="shared" si="36"/>
        <v/>
      </c>
      <c r="BF34" s="20"/>
      <c r="BG34" s="20"/>
      <c r="BH34" s="20"/>
      <c r="BI34" s="20"/>
      <c r="BJ34" s="125" t="str">
        <f t="shared" si="37"/>
        <v/>
      </c>
      <c r="BK34" s="14"/>
      <c r="BL34" s="125" t="str">
        <f t="shared" si="38"/>
        <v/>
      </c>
      <c r="BM34" s="20"/>
      <c r="BN34" s="20"/>
      <c r="BO34" s="125" t="str">
        <f t="shared" si="39"/>
        <v/>
      </c>
      <c r="BP34" s="14"/>
      <c r="BQ34" s="125" t="str">
        <f t="shared" si="40"/>
        <v/>
      </c>
      <c r="BR34" s="20"/>
      <c r="BS34" s="20"/>
      <c r="BT34" s="125" t="str">
        <f t="shared" si="41"/>
        <v/>
      </c>
      <c r="BU34" s="125" t="str">
        <f t="shared" si="42"/>
        <v/>
      </c>
      <c r="BV34" s="125" t="str">
        <f t="shared" si="43"/>
        <v/>
      </c>
      <c r="BW34" s="129" t="str">
        <f t="shared" si="44"/>
        <v/>
      </c>
      <c r="BX34" s="13"/>
      <c r="BY34" s="15"/>
      <c r="BZ34" s="14"/>
      <c r="CA34" s="117" t="str">
        <f>IF(_xlfn.XLOOKUP(BY34, AutoFill_classes!$A:$A, AutoFill_classes!$B:$B,"")=0,"",_xlfn.XLOOKUP(BY34, AutoFill_classes!$A:$A, AutoFill_classes!$B:$B,""))</f>
        <v/>
      </c>
      <c r="CB34" s="108"/>
      <c r="CC34" s="14"/>
      <c r="CD34" s="14"/>
      <c r="CE34" s="14"/>
      <c r="CF34" s="21"/>
      <c r="CG34" s="22"/>
      <c r="CH34" s="62"/>
      <c r="CI34" s="23"/>
      <c r="CJ34" s="121" t="str">
        <f t="shared" si="45"/>
        <v/>
      </c>
      <c r="CK34" s="20"/>
      <c r="CL34" s="20"/>
      <c r="CM34" s="20"/>
      <c r="CN34" s="20"/>
      <c r="CO34" s="125" t="str">
        <f t="shared" si="46"/>
        <v/>
      </c>
      <c r="CP34" s="14"/>
      <c r="CQ34" s="125" t="str">
        <f t="shared" si="47"/>
        <v/>
      </c>
      <c r="CR34" s="20"/>
      <c r="CS34" s="20"/>
      <c r="CT34" s="125" t="str">
        <f t="shared" si="48"/>
        <v/>
      </c>
      <c r="CU34" s="14"/>
      <c r="CV34" s="125" t="str">
        <f t="shared" si="49"/>
        <v/>
      </c>
      <c r="CW34" s="20"/>
      <c r="CX34" s="20"/>
      <c r="CY34" s="125" t="str">
        <f t="shared" si="50"/>
        <v/>
      </c>
      <c r="CZ34" s="125" t="str">
        <f t="shared" si="51"/>
        <v/>
      </c>
      <c r="DA34" s="125" t="str">
        <f t="shared" si="52"/>
        <v/>
      </c>
      <c r="DB34" s="129" t="str">
        <f t="shared" si="53"/>
        <v/>
      </c>
      <c r="DC34" s="14"/>
      <c r="DD34" s="63"/>
      <c r="DE34" s="105">
        <v>32</v>
      </c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spans="1:176" s="1" customFormat="1" ht="13" hidden="1" customHeight="1" outlineLevel="1" x14ac:dyDescent="0.2">
      <c r="A35" s="4"/>
      <c r="B35" s="115" t="str">
        <f>IF(_xlfn.XLOOKUP(A35, AutoFill_names!B:B, AutoFill_names!C:C,"")=0,"",_xlfn.XLOOKUP(A35, AutoFill_names!B:B, AutoFill_names!C:C,""))</f>
        <v/>
      </c>
      <c r="C35" s="115" t="str">
        <f>IF(_xlfn.XLOOKUP(A35, AutoFill_names!B:B, AutoFill_names!D:D,"")=0,"",_xlfn.XLOOKUP(A35, AutoFill_names!B:B, AutoFill_names!D:D,""))</f>
        <v/>
      </c>
      <c r="D35" s="115" t="str">
        <f>IF(_xlfn.XLOOKUP(A35, AutoFill_names!B:B, AutoFill_names!E:E,"")=0,"",_xlfn.XLOOKUP(A35, AutoFill_names!B:B, AutoFill_names!E:E,""))</f>
        <v/>
      </c>
      <c r="E35" s="115" t="str">
        <f>IF(_xlfn.XLOOKUP(A35, AutoFill_names!B:B, AutoFill_names!F:F,"")=0,"",_xlfn.XLOOKUP(A35, AutoFill_names!B:B, AutoFill_names!F:F,""))</f>
        <v/>
      </c>
      <c r="F35" s="92"/>
      <c r="J35" s="115" t="str">
        <f>IF(_xlfn.XLOOKUP(A35, AutoFill_names!B:B, AutoFill_names!K:K,"")=0,"",_xlfn.XLOOKUP(A35, AutoFill_names!B:B, AutoFill_names!K:K,""))</f>
        <v/>
      </c>
      <c r="K35" s="115" t="str">
        <f>IF(_xlfn.XLOOKUP(A35, AutoFill_names!B:B, AutoFill_names!L:L,"")=0,"",_xlfn.XLOOKUP(A35, AutoFill_names!B:B, AutoFill_names!L:L,""))</f>
        <v/>
      </c>
      <c r="L35" s="31"/>
      <c r="M35" s="31"/>
      <c r="N35" s="117" t="str">
        <f>IF(_xlfn.XLOOKUP(L35, AutoFill_classes!A:A, AutoFill_classes!B:B,"")=0,"",_xlfn.XLOOKUP(L35, AutoFill_classes!A:A, AutoFill_classes!B:B,""))</f>
        <v/>
      </c>
      <c r="O35" s="108"/>
      <c r="P35" s="6"/>
      <c r="Q35" s="6"/>
      <c r="R35" s="6"/>
      <c r="S35" s="2"/>
      <c r="T35" s="2"/>
      <c r="U35" s="2"/>
      <c r="X35" s="62"/>
      <c r="Y35" s="18"/>
      <c r="Z35" s="121" t="str">
        <f t="shared" si="27"/>
        <v/>
      </c>
      <c r="AA35" s="20"/>
      <c r="AB35" s="20"/>
      <c r="AC35" s="20"/>
      <c r="AD35" s="20"/>
      <c r="AE35" s="125" t="str">
        <f t="shared" si="28"/>
        <v/>
      </c>
      <c r="AF35" s="14"/>
      <c r="AG35" s="125" t="str">
        <f t="shared" si="29"/>
        <v/>
      </c>
      <c r="AH35" s="20"/>
      <c r="AI35" s="20"/>
      <c r="AJ35" s="125" t="str">
        <f t="shared" si="30"/>
        <v/>
      </c>
      <c r="AK35" s="14"/>
      <c r="AL35" s="125" t="str">
        <f t="shared" si="31"/>
        <v/>
      </c>
      <c r="AM35" s="20"/>
      <c r="AN35" s="20"/>
      <c r="AO35" s="125" t="str">
        <f t="shared" si="32"/>
        <v/>
      </c>
      <c r="AP35" s="125" t="str">
        <f t="shared" si="33"/>
        <v/>
      </c>
      <c r="AQ35" s="125" t="str">
        <f t="shared" si="34"/>
        <v/>
      </c>
      <c r="AR35" s="129" t="str">
        <f t="shared" si="35"/>
        <v/>
      </c>
      <c r="AS35" s="14"/>
      <c r="AT35" s="13"/>
      <c r="AU35" s="13"/>
      <c r="AV35" s="117" t="str">
        <f>IF(_xlfn.XLOOKUP(AT35, AutoFill_classes!$A:$A, AutoFill_classes!$B:$B,"")=0,"",_xlfn.XLOOKUP(AT35, AutoFill_classes!$A:$A, AutoFill_classes!$B:$B,""))</f>
        <v/>
      </c>
      <c r="AW35" s="108"/>
      <c r="AX35" s="13"/>
      <c r="AY35" s="13"/>
      <c r="AZ35" s="13"/>
      <c r="BA35" s="13"/>
      <c r="BB35" s="13"/>
      <c r="BC35" s="62"/>
      <c r="BD35" s="18"/>
      <c r="BE35" s="121" t="str">
        <f t="shared" si="36"/>
        <v/>
      </c>
      <c r="BF35" s="20"/>
      <c r="BG35" s="20"/>
      <c r="BH35" s="20"/>
      <c r="BI35" s="20"/>
      <c r="BJ35" s="125" t="str">
        <f t="shared" si="37"/>
        <v/>
      </c>
      <c r="BK35" s="14"/>
      <c r="BL35" s="125" t="str">
        <f t="shared" si="38"/>
        <v/>
      </c>
      <c r="BM35" s="20"/>
      <c r="BN35" s="20"/>
      <c r="BO35" s="125" t="str">
        <f t="shared" si="39"/>
        <v/>
      </c>
      <c r="BP35" s="14"/>
      <c r="BQ35" s="125" t="str">
        <f t="shared" si="40"/>
        <v/>
      </c>
      <c r="BR35" s="20"/>
      <c r="BS35" s="20"/>
      <c r="BT35" s="125" t="str">
        <f t="shared" si="41"/>
        <v/>
      </c>
      <c r="BU35" s="125" t="str">
        <f t="shared" si="42"/>
        <v/>
      </c>
      <c r="BV35" s="125" t="str">
        <f t="shared" si="43"/>
        <v/>
      </c>
      <c r="BW35" s="129" t="str">
        <f t="shared" si="44"/>
        <v/>
      </c>
      <c r="BX35" s="13"/>
      <c r="BY35" s="15"/>
      <c r="BZ35" s="14"/>
      <c r="CA35" s="117" t="str">
        <f>IF(_xlfn.XLOOKUP(BY35, AutoFill_classes!$A:$A, AutoFill_classes!$B:$B,"")=0,"",_xlfn.XLOOKUP(BY35, AutoFill_classes!$A:$A, AutoFill_classes!$B:$B,""))</f>
        <v/>
      </c>
      <c r="CB35" s="108"/>
      <c r="CC35" s="14"/>
      <c r="CD35" s="14"/>
      <c r="CE35" s="14"/>
      <c r="CF35" s="21"/>
      <c r="CG35" s="22"/>
      <c r="CH35" s="62"/>
      <c r="CI35" s="23"/>
      <c r="CJ35" s="121" t="str">
        <f t="shared" si="45"/>
        <v/>
      </c>
      <c r="CK35" s="20"/>
      <c r="CL35" s="20"/>
      <c r="CM35" s="20"/>
      <c r="CN35" s="20"/>
      <c r="CO35" s="125" t="str">
        <f t="shared" si="46"/>
        <v/>
      </c>
      <c r="CP35" s="14"/>
      <c r="CQ35" s="125" t="str">
        <f t="shared" si="47"/>
        <v/>
      </c>
      <c r="CR35" s="20"/>
      <c r="CS35" s="20"/>
      <c r="CT35" s="125" t="str">
        <f t="shared" si="48"/>
        <v/>
      </c>
      <c r="CU35" s="14"/>
      <c r="CV35" s="125" t="str">
        <f t="shared" si="49"/>
        <v/>
      </c>
      <c r="CW35" s="20"/>
      <c r="CX35" s="20"/>
      <c r="CY35" s="125" t="str">
        <f t="shared" si="50"/>
        <v/>
      </c>
      <c r="CZ35" s="125" t="str">
        <f t="shared" si="51"/>
        <v/>
      </c>
      <c r="DA35" s="125" t="str">
        <f t="shared" si="52"/>
        <v/>
      </c>
      <c r="DB35" s="129" t="str">
        <f t="shared" si="53"/>
        <v/>
      </c>
      <c r="DC35" s="14"/>
      <c r="DD35" s="63"/>
      <c r="DE35" s="105">
        <v>33</v>
      </c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spans="1:176" s="1" customFormat="1" ht="13" hidden="1" customHeight="1" outlineLevel="1" x14ac:dyDescent="0.2">
      <c r="A36" s="4"/>
      <c r="B36" s="115" t="str">
        <f>IF(_xlfn.XLOOKUP(A36, AutoFill_names!B:B, AutoFill_names!C:C,"")=0,"",_xlfn.XLOOKUP(A36, AutoFill_names!B:B, AutoFill_names!C:C,""))</f>
        <v/>
      </c>
      <c r="C36" s="115" t="str">
        <f>IF(_xlfn.XLOOKUP(A36, AutoFill_names!B:B, AutoFill_names!D:D,"")=0,"",_xlfn.XLOOKUP(A36, AutoFill_names!B:B, AutoFill_names!D:D,""))</f>
        <v/>
      </c>
      <c r="D36" s="115" t="str">
        <f>IF(_xlfn.XLOOKUP(A36, AutoFill_names!B:B, AutoFill_names!E:E,"")=0,"",_xlfn.XLOOKUP(A36, AutoFill_names!B:B, AutoFill_names!E:E,""))</f>
        <v/>
      </c>
      <c r="E36" s="115" t="str">
        <f>IF(_xlfn.XLOOKUP(A36, AutoFill_names!B:B, AutoFill_names!F:F,"")=0,"",_xlfn.XLOOKUP(A36, AutoFill_names!B:B, AutoFill_names!F:F,""))</f>
        <v/>
      </c>
      <c r="F36" s="92"/>
      <c r="J36" s="115" t="str">
        <f>IF(_xlfn.XLOOKUP(A36, AutoFill_names!B:B, AutoFill_names!K:K,"")=0,"",_xlfn.XLOOKUP(A36, AutoFill_names!B:B, AutoFill_names!K:K,""))</f>
        <v/>
      </c>
      <c r="K36" s="115" t="str">
        <f>IF(_xlfn.XLOOKUP(A36, AutoFill_names!B:B, AutoFill_names!L:L,"")=0,"",_xlfn.XLOOKUP(A36, AutoFill_names!B:B, AutoFill_names!L:L,""))</f>
        <v/>
      </c>
      <c r="L36" s="31"/>
      <c r="M36" s="31"/>
      <c r="N36" s="117" t="str">
        <f>IF(_xlfn.XLOOKUP(L36, AutoFill_classes!A:A, AutoFill_classes!B:B,"")=0,"",_xlfn.XLOOKUP(L36, AutoFill_classes!A:A, AutoFill_classes!B:B,""))</f>
        <v/>
      </c>
      <c r="O36" s="108"/>
      <c r="P36" s="6"/>
      <c r="Q36" s="6"/>
      <c r="R36" s="6"/>
      <c r="S36" s="2"/>
      <c r="T36" s="2"/>
      <c r="U36" s="2"/>
      <c r="X36" s="62"/>
      <c r="Y36" s="18"/>
      <c r="Z36" s="121" t="str">
        <f t="shared" si="27"/>
        <v/>
      </c>
      <c r="AA36" s="20"/>
      <c r="AB36" s="20"/>
      <c r="AC36" s="20"/>
      <c r="AD36" s="20"/>
      <c r="AE36" s="125" t="str">
        <f t="shared" si="28"/>
        <v/>
      </c>
      <c r="AF36" s="14"/>
      <c r="AG36" s="125" t="str">
        <f t="shared" si="29"/>
        <v/>
      </c>
      <c r="AH36" s="20"/>
      <c r="AI36" s="20"/>
      <c r="AJ36" s="125" t="str">
        <f t="shared" si="30"/>
        <v/>
      </c>
      <c r="AK36" s="14"/>
      <c r="AL36" s="125" t="str">
        <f t="shared" si="31"/>
        <v/>
      </c>
      <c r="AM36" s="20"/>
      <c r="AN36" s="20"/>
      <c r="AO36" s="125" t="str">
        <f t="shared" si="32"/>
        <v/>
      </c>
      <c r="AP36" s="125" t="str">
        <f t="shared" si="33"/>
        <v/>
      </c>
      <c r="AQ36" s="125" t="str">
        <f t="shared" si="34"/>
        <v/>
      </c>
      <c r="AR36" s="129" t="str">
        <f t="shared" si="35"/>
        <v/>
      </c>
      <c r="AS36" s="14"/>
      <c r="AT36" s="13"/>
      <c r="AU36" s="13"/>
      <c r="AV36" s="117" t="str">
        <f>IF(_xlfn.XLOOKUP(AT36, AutoFill_classes!$A:$A, AutoFill_classes!$B:$B,"")=0,"",_xlfn.XLOOKUP(AT36, AutoFill_classes!$A:$A, AutoFill_classes!$B:$B,""))</f>
        <v/>
      </c>
      <c r="AW36" s="108"/>
      <c r="AX36" s="13"/>
      <c r="AY36" s="13"/>
      <c r="AZ36" s="13"/>
      <c r="BA36" s="13"/>
      <c r="BB36" s="13"/>
      <c r="BC36" s="62"/>
      <c r="BD36" s="18"/>
      <c r="BE36" s="121" t="str">
        <f t="shared" si="36"/>
        <v/>
      </c>
      <c r="BF36" s="20"/>
      <c r="BG36" s="20"/>
      <c r="BH36" s="20"/>
      <c r="BI36" s="20"/>
      <c r="BJ36" s="125" t="str">
        <f t="shared" si="37"/>
        <v/>
      </c>
      <c r="BK36" s="14"/>
      <c r="BL36" s="125" t="str">
        <f t="shared" si="38"/>
        <v/>
      </c>
      <c r="BM36" s="20"/>
      <c r="BN36" s="20"/>
      <c r="BO36" s="125" t="str">
        <f t="shared" si="39"/>
        <v/>
      </c>
      <c r="BP36" s="14"/>
      <c r="BQ36" s="125" t="str">
        <f t="shared" si="40"/>
        <v/>
      </c>
      <c r="BR36" s="20"/>
      <c r="BS36" s="20"/>
      <c r="BT36" s="125" t="str">
        <f t="shared" si="41"/>
        <v/>
      </c>
      <c r="BU36" s="125" t="str">
        <f t="shared" si="42"/>
        <v/>
      </c>
      <c r="BV36" s="125" t="str">
        <f t="shared" si="43"/>
        <v/>
      </c>
      <c r="BW36" s="129" t="str">
        <f t="shared" si="44"/>
        <v/>
      </c>
      <c r="BX36" s="13"/>
      <c r="BY36" s="15"/>
      <c r="BZ36" s="14"/>
      <c r="CA36" s="117" t="str">
        <f>IF(_xlfn.XLOOKUP(BY36, AutoFill_classes!$A:$A, AutoFill_classes!$B:$B,"")=0,"",_xlfn.XLOOKUP(BY36, AutoFill_classes!$A:$A, AutoFill_classes!$B:$B,""))</f>
        <v/>
      </c>
      <c r="CB36" s="108"/>
      <c r="CC36" s="14"/>
      <c r="CD36" s="14"/>
      <c r="CE36" s="14"/>
      <c r="CF36" s="21"/>
      <c r="CG36" s="22"/>
      <c r="CH36" s="62"/>
      <c r="CI36" s="23"/>
      <c r="CJ36" s="121" t="str">
        <f t="shared" si="45"/>
        <v/>
      </c>
      <c r="CK36" s="20"/>
      <c r="CL36" s="20"/>
      <c r="CM36" s="20"/>
      <c r="CN36" s="20"/>
      <c r="CO36" s="125" t="str">
        <f t="shared" si="46"/>
        <v/>
      </c>
      <c r="CP36" s="14"/>
      <c r="CQ36" s="125" t="str">
        <f t="shared" si="47"/>
        <v/>
      </c>
      <c r="CR36" s="20"/>
      <c r="CS36" s="20"/>
      <c r="CT36" s="125" t="str">
        <f t="shared" si="48"/>
        <v/>
      </c>
      <c r="CU36" s="14"/>
      <c r="CV36" s="125" t="str">
        <f t="shared" si="49"/>
        <v/>
      </c>
      <c r="CW36" s="20"/>
      <c r="CX36" s="20"/>
      <c r="CY36" s="125" t="str">
        <f t="shared" si="50"/>
        <v/>
      </c>
      <c r="CZ36" s="125" t="str">
        <f t="shared" si="51"/>
        <v/>
      </c>
      <c r="DA36" s="125" t="str">
        <f t="shared" si="52"/>
        <v/>
      </c>
      <c r="DB36" s="129" t="str">
        <f t="shared" si="53"/>
        <v/>
      </c>
      <c r="DC36" s="14"/>
      <c r="DD36" s="63"/>
      <c r="DE36" s="105">
        <v>34</v>
      </c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spans="1:176" s="1" customFormat="1" ht="13" hidden="1" customHeight="1" outlineLevel="1" x14ac:dyDescent="0.2">
      <c r="A37" s="4"/>
      <c r="B37" s="115" t="str">
        <f>IF(_xlfn.XLOOKUP(A37, AutoFill_names!B:B, AutoFill_names!C:C,"")=0,"",_xlfn.XLOOKUP(A37, AutoFill_names!B:B, AutoFill_names!C:C,""))</f>
        <v/>
      </c>
      <c r="C37" s="115" t="str">
        <f>IF(_xlfn.XLOOKUP(A37, AutoFill_names!B:B, AutoFill_names!D:D,"")=0,"",_xlfn.XLOOKUP(A37, AutoFill_names!B:B, AutoFill_names!D:D,""))</f>
        <v/>
      </c>
      <c r="D37" s="115" t="str">
        <f>IF(_xlfn.XLOOKUP(A37, AutoFill_names!B:B, AutoFill_names!E:E,"")=0,"",_xlfn.XLOOKUP(A37, AutoFill_names!B:B, AutoFill_names!E:E,""))</f>
        <v/>
      </c>
      <c r="E37" s="115" t="str">
        <f>IF(_xlfn.XLOOKUP(A37, AutoFill_names!B:B, AutoFill_names!F:F,"")=0,"",_xlfn.XLOOKUP(A37, AutoFill_names!B:B, AutoFill_names!F:F,""))</f>
        <v/>
      </c>
      <c r="F37" s="92"/>
      <c r="J37" s="115" t="str">
        <f>IF(_xlfn.XLOOKUP(A37, AutoFill_names!B:B, AutoFill_names!K:K,"")=0,"",_xlfn.XLOOKUP(A37, AutoFill_names!B:B, AutoFill_names!K:K,""))</f>
        <v/>
      </c>
      <c r="K37" s="115" t="str">
        <f>IF(_xlfn.XLOOKUP(A37, AutoFill_names!B:B, AutoFill_names!L:L,"")=0,"",_xlfn.XLOOKUP(A37, AutoFill_names!B:B, AutoFill_names!L:L,""))</f>
        <v/>
      </c>
      <c r="L37" s="31"/>
      <c r="M37" s="31"/>
      <c r="N37" s="117" t="str">
        <f>IF(_xlfn.XLOOKUP(L37, AutoFill_classes!A:A, AutoFill_classes!B:B,"")=0,"",_xlfn.XLOOKUP(L37, AutoFill_classes!A:A, AutoFill_classes!B:B,""))</f>
        <v/>
      </c>
      <c r="O37" s="108"/>
      <c r="P37" s="6"/>
      <c r="Q37" s="6"/>
      <c r="R37" s="6"/>
      <c r="S37" s="2"/>
      <c r="T37" s="2"/>
      <c r="U37" s="2"/>
      <c r="X37" s="62"/>
      <c r="Y37" s="18"/>
      <c r="Z37" s="121" t="str">
        <f t="shared" si="27"/>
        <v/>
      </c>
      <c r="AA37" s="20"/>
      <c r="AB37" s="20"/>
      <c r="AC37" s="20"/>
      <c r="AD37" s="20"/>
      <c r="AE37" s="125" t="str">
        <f t="shared" si="28"/>
        <v/>
      </c>
      <c r="AF37" s="14"/>
      <c r="AG37" s="125" t="str">
        <f t="shared" si="29"/>
        <v/>
      </c>
      <c r="AH37" s="20"/>
      <c r="AI37" s="20"/>
      <c r="AJ37" s="125" t="str">
        <f t="shared" si="30"/>
        <v/>
      </c>
      <c r="AK37" s="14"/>
      <c r="AL37" s="125" t="str">
        <f t="shared" si="31"/>
        <v/>
      </c>
      <c r="AM37" s="20"/>
      <c r="AN37" s="20"/>
      <c r="AO37" s="125" t="str">
        <f t="shared" si="32"/>
        <v/>
      </c>
      <c r="AP37" s="125" t="str">
        <f t="shared" si="33"/>
        <v/>
      </c>
      <c r="AQ37" s="125" t="str">
        <f t="shared" si="34"/>
        <v/>
      </c>
      <c r="AR37" s="129" t="str">
        <f t="shared" si="35"/>
        <v/>
      </c>
      <c r="AS37" s="14"/>
      <c r="AT37" s="13"/>
      <c r="AU37" s="13"/>
      <c r="AV37" s="117" t="str">
        <f>IF(_xlfn.XLOOKUP(AT37, AutoFill_classes!$A:$A, AutoFill_classes!$B:$B,"")=0,"",_xlfn.XLOOKUP(AT37, AutoFill_classes!$A:$A, AutoFill_classes!$B:$B,""))</f>
        <v/>
      </c>
      <c r="AW37" s="108"/>
      <c r="AX37" s="13"/>
      <c r="AY37" s="13"/>
      <c r="AZ37" s="13"/>
      <c r="BA37" s="13"/>
      <c r="BB37" s="13"/>
      <c r="BC37" s="62"/>
      <c r="BD37" s="18"/>
      <c r="BE37" s="121" t="str">
        <f t="shared" si="36"/>
        <v/>
      </c>
      <c r="BF37" s="20"/>
      <c r="BG37" s="20"/>
      <c r="BH37" s="20"/>
      <c r="BI37" s="20"/>
      <c r="BJ37" s="125" t="str">
        <f t="shared" si="37"/>
        <v/>
      </c>
      <c r="BK37" s="14"/>
      <c r="BL37" s="125" t="str">
        <f t="shared" si="38"/>
        <v/>
      </c>
      <c r="BM37" s="20"/>
      <c r="BN37" s="20"/>
      <c r="BO37" s="125" t="str">
        <f t="shared" si="39"/>
        <v/>
      </c>
      <c r="BP37" s="14"/>
      <c r="BQ37" s="125" t="str">
        <f t="shared" si="40"/>
        <v/>
      </c>
      <c r="BR37" s="20"/>
      <c r="BS37" s="20"/>
      <c r="BT37" s="125" t="str">
        <f t="shared" si="41"/>
        <v/>
      </c>
      <c r="BU37" s="125" t="str">
        <f t="shared" si="42"/>
        <v/>
      </c>
      <c r="BV37" s="125" t="str">
        <f t="shared" si="43"/>
        <v/>
      </c>
      <c r="BW37" s="129" t="str">
        <f t="shared" si="44"/>
        <v/>
      </c>
      <c r="BX37" s="13"/>
      <c r="BY37" s="15"/>
      <c r="BZ37" s="14"/>
      <c r="CA37" s="117" t="str">
        <f>IF(_xlfn.XLOOKUP(BY37, AutoFill_classes!$A:$A, AutoFill_classes!$B:$B,"")=0,"",_xlfn.XLOOKUP(BY37, AutoFill_classes!$A:$A, AutoFill_classes!$B:$B,""))</f>
        <v/>
      </c>
      <c r="CB37" s="108"/>
      <c r="CC37" s="14"/>
      <c r="CD37" s="14"/>
      <c r="CE37" s="14"/>
      <c r="CF37" s="21"/>
      <c r="CG37" s="22"/>
      <c r="CH37" s="62"/>
      <c r="CI37" s="23"/>
      <c r="CJ37" s="121" t="str">
        <f t="shared" si="45"/>
        <v/>
      </c>
      <c r="CK37" s="20"/>
      <c r="CL37" s="20"/>
      <c r="CM37" s="20"/>
      <c r="CN37" s="20"/>
      <c r="CO37" s="125" t="str">
        <f t="shared" si="46"/>
        <v/>
      </c>
      <c r="CP37" s="14"/>
      <c r="CQ37" s="125" t="str">
        <f t="shared" si="47"/>
        <v/>
      </c>
      <c r="CR37" s="20"/>
      <c r="CS37" s="20"/>
      <c r="CT37" s="125" t="str">
        <f t="shared" si="48"/>
        <v/>
      </c>
      <c r="CU37" s="14"/>
      <c r="CV37" s="125" t="str">
        <f t="shared" si="49"/>
        <v/>
      </c>
      <c r="CW37" s="20"/>
      <c r="CX37" s="20"/>
      <c r="CY37" s="125" t="str">
        <f t="shared" si="50"/>
        <v/>
      </c>
      <c r="CZ37" s="125" t="str">
        <f t="shared" si="51"/>
        <v/>
      </c>
      <c r="DA37" s="125" t="str">
        <f t="shared" si="52"/>
        <v/>
      </c>
      <c r="DB37" s="129" t="str">
        <f t="shared" si="53"/>
        <v/>
      </c>
      <c r="DC37" s="14"/>
      <c r="DD37" s="63"/>
      <c r="DE37" s="105">
        <v>35</v>
      </c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spans="1:176" s="1" customFormat="1" ht="13" hidden="1" customHeight="1" outlineLevel="1" x14ac:dyDescent="0.2">
      <c r="A38" s="4"/>
      <c r="B38" s="115" t="str">
        <f>IF(_xlfn.XLOOKUP(A38, AutoFill_names!B:B, AutoFill_names!C:C,"")=0,"",_xlfn.XLOOKUP(A38, AutoFill_names!B:B, AutoFill_names!C:C,""))</f>
        <v/>
      </c>
      <c r="C38" s="115" t="str">
        <f>IF(_xlfn.XLOOKUP(A38, AutoFill_names!B:B, AutoFill_names!D:D,"")=0,"",_xlfn.XLOOKUP(A38, AutoFill_names!B:B, AutoFill_names!D:D,""))</f>
        <v/>
      </c>
      <c r="D38" s="115" t="str">
        <f>IF(_xlfn.XLOOKUP(A38, AutoFill_names!B:B, AutoFill_names!E:E,"")=0,"",_xlfn.XLOOKUP(A38, AutoFill_names!B:B, AutoFill_names!E:E,""))</f>
        <v/>
      </c>
      <c r="E38" s="115" t="str">
        <f>IF(_xlfn.XLOOKUP(A38, AutoFill_names!B:B, AutoFill_names!F:F,"")=0,"",_xlfn.XLOOKUP(A38, AutoFill_names!B:B, AutoFill_names!F:F,""))</f>
        <v/>
      </c>
      <c r="F38" s="92"/>
      <c r="J38" s="115" t="str">
        <f>IF(_xlfn.XLOOKUP(A38, AutoFill_names!B:B, AutoFill_names!K:K,"")=0,"",_xlfn.XLOOKUP(A38, AutoFill_names!B:B, AutoFill_names!K:K,""))</f>
        <v/>
      </c>
      <c r="K38" s="115" t="str">
        <f>IF(_xlfn.XLOOKUP(A38, AutoFill_names!B:B, AutoFill_names!L:L,"")=0,"",_xlfn.XLOOKUP(A38, AutoFill_names!B:B, AutoFill_names!L:L,""))</f>
        <v/>
      </c>
      <c r="L38" s="31"/>
      <c r="M38" s="31"/>
      <c r="N38" s="117" t="str">
        <f>IF(_xlfn.XLOOKUP(L38, AutoFill_classes!A:A, AutoFill_classes!B:B,"")=0,"",_xlfn.XLOOKUP(L38, AutoFill_classes!A:A, AutoFill_classes!B:B,""))</f>
        <v/>
      </c>
      <c r="O38" s="108"/>
      <c r="P38" s="6"/>
      <c r="Q38" s="6"/>
      <c r="R38" s="6"/>
      <c r="S38" s="2"/>
      <c r="T38" s="2"/>
      <c r="U38" s="2"/>
      <c r="X38" s="62"/>
      <c r="Y38" s="18"/>
      <c r="Z38" s="121" t="str">
        <f t="shared" si="27"/>
        <v/>
      </c>
      <c r="AA38" s="20"/>
      <c r="AB38" s="20"/>
      <c r="AC38" s="20"/>
      <c r="AD38" s="20"/>
      <c r="AE38" s="125" t="str">
        <f t="shared" si="28"/>
        <v/>
      </c>
      <c r="AF38" s="14"/>
      <c r="AG38" s="125" t="str">
        <f t="shared" si="29"/>
        <v/>
      </c>
      <c r="AH38" s="20"/>
      <c r="AI38" s="20"/>
      <c r="AJ38" s="125" t="str">
        <f t="shared" si="30"/>
        <v/>
      </c>
      <c r="AK38" s="14"/>
      <c r="AL38" s="125" t="str">
        <f t="shared" si="31"/>
        <v/>
      </c>
      <c r="AM38" s="20"/>
      <c r="AN38" s="20"/>
      <c r="AO38" s="125" t="str">
        <f t="shared" si="32"/>
        <v/>
      </c>
      <c r="AP38" s="125" t="str">
        <f t="shared" si="33"/>
        <v/>
      </c>
      <c r="AQ38" s="125" t="str">
        <f t="shared" si="34"/>
        <v/>
      </c>
      <c r="AR38" s="129" t="str">
        <f t="shared" si="35"/>
        <v/>
      </c>
      <c r="AS38" s="14"/>
      <c r="AT38" s="13"/>
      <c r="AU38" s="13"/>
      <c r="AV38" s="117" t="str">
        <f>IF(_xlfn.XLOOKUP(AT38, AutoFill_classes!$A:$A, AutoFill_classes!$B:$B,"")=0,"",_xlfn.XLOOKUP(AT38, AutoFill_classes!$A:$A, AutoFill_classes!$B:$B,""))</f>
        <v/>
      </c>
      <c r="AW38" s="108"/>
      <c r="AX38" s="13"/>
      <c r="AY38" s="13"/>
      <c r="AZ38" s="13"/>
      <c r="BA38" s="13"/>
      <c r="BB38" s="13"/>
      <c r="BC38" s="62"/>
      <c r="BD38" s="18"/>
      <c r="BE38" s="121" t="str">
        <f t="shared" si="36"/>
        <v/>
      </c>
      <c r="BF38" s="20"/>
      <c r="BG38" s="20"/>
      <c r="BH38" s="20"/>
      <c r="BI38" s="20"/>
      <c r="BJ38" s="125" t="str">
        <f t="shared" si="37"/>
        <v/>
      </c>
      <c r="BK38" s="14"/>
      <c r="BL38" s="125" t="str">
        <f t="shared" si="38"/>
        <v/>
      </c>
      <c r="BM38" s="20"/>
      <c r="BN38" s="20"/>
      <c r="BO38" s="125" t="str">
        <f t="shared" si="39"/>
        <v/>
      </c>
      <c r="BP38" s="14"/>
      <c r="BQ38" s="125" t="str">
        <f t="shared" si="40"/>
        <v/>
      </c>
      <c r="BR38" s="20"/>
      <c r="BS38" s="20"/>
      <c r="BT38" s="125" t="str">
        <f t="shared" si="41"/>
        <v/>
      </c>
      <c r="BU38" s="125" t="str">
        <f t="shared" si="42"/>
        <v/>
      </c>
      <c r="BV38" s="125" t="str">
        <f t="shared" si="43"/>
        <v/>
      </c>
      <c r="BW38" s="129" t="str">
        <f t="shared" si="44"/>
        <v/>
      </c>
      <c r="BX38" s="13"/>
      <c r="BY38" s="15"/>
      <c r="BZ38" s="14"/>
      <c r="CA38" s="117" t="str">
        <f>IF(_xlfn.XLOOKUP(BY38, AutoFill_classes!$A:$A, AutoFill_classes!$B:$B,"")=0,"",_xlfn.XLOOKUP(BY38, AutoFill_classes!$A:$A, AutoFill_classes!$B:$B,""))</f>
        <v/>
      </c>
      <c r="CB38" s="108"/>
      <c r="CC38" s="14"/>
      <c r="CD38" s="14"/>
      <c r="CE38" s="14"/>
      <c r="CF38" s="21"/>
      <c r="CG38" s="22"/>
      <c r="CH38" s="62"/>
      <c r="CI38" s="23"/>
      <c r="CJ38" s="121" t="str">
        <f t="shared" si="45"/>
        <v/>
      </c>
      <c r="CK38" s="20"/>
      <c r="CL38" s="20"/>
      <c r="CM38" s="20"/>
      <c r="CN38" s="20"/>
      <c r="CO38" s="125" t="str">
        <f t="shared" si="46"/>
        <v/>
      </c>
      <c r="CP38" s="14"/>
      <c r="CQ38" s="125" t="str">
        <f t="shared" si="47"/>
        <v/>
      </c>
      <c r="CR38" s="20"/>
      <c r="CS38" s="20"/>
      <c r="CT38" s="125" t="str">
        <f t="shared" si="48"/>
        <v/>
      </c>
      <c r="CU38" s="14"/>
      <c r="CV38" s="125" t="str">
        <f t="shared" si="49"/>
        <v/>
      </c>
      <c r="CW38" s="20"/>
      <c r="CX38" s="20"/>
      <c r="CY38" s="125" t="str">
        <f t="shared" si="50"/>
        <v/>
      </c>
      <c r="CZ38" s="125" t="str">
        <f t="shared" si="51"/>
        <v/>
      </c>
      <c r="DA38" s="125" t="str">
        <f t="shared" si="52"/>
        <v/>
      </c>
      <c r="DB38" s="129" t="str">
        <f t="shared" si="53"/>
        <v/>
      </c>
      <c r="DC38" s="14"/>
      <c r="DD38" s="63"/>
      <c r="DE38" s="105">
        <v>36</v>
      </c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spans="1:176" s="1" customFormat="1" ht="13" hidden="1" customHeight="1" outlineLevel="1" x14ac:dyDescent="0.2">
      <c r="A39" s="4"/>
      <c r="B39" s="115" t="str">
        <f>IF(_xlfn.XLOOKUP(A39, AutoFill_names!B:B, AutoFill_names!C:C,"")=0,"",_xlfn.XLOOKUP(A39, AutoFill_names!B:B, AutoFill_names!C:C,""))</f>
        <v/>
      </c>
      <c r="C39" s="115" t="str">
        <f>IF(_xlfn.XLOOKUP(A39, AutoFill_names!B:B, AutoFill_names!D:D,"")=0,"",_xlfn.XLOOKUP(A39, AutoFill_names!B:B, AutoFill_names!D:D,""))</f>
        <v/>
      </c>
      <c r="D39" s="115" t="str">
        <f>IF(_xlfn.XLOOKUP(A39, AutoFill_names!B:B, AutoFill_names!E:E,"")=0,"",_xlfn.XLOOKUP(A39, AutoFill_names!B:B, AutoFill_names!E:E,""))</f>
        <v/>
      </c>
      <c r="E39" s="115" t="str">
        <f>IF(_xlfn.XLOOKUP(A39, AutoFill_names!B:B, AutoFill_names!F:F,"")=0,"",_xlfn.XLOOKUP(A39, AutoFill_names!B:B, AutoFill_names!F:F,""))</f>
        <v/>
      </c>
      <c r="F39" s="92"/>
      <c r="J39" s="115" t="str">
        <f>IF(_xlfn.XLOOKUP(A39, AutoFill_names!B:B, AutoFill_names!K:K,"")=0,"",_xlfn.XLOOKUP(A39, AutoFill_names!B:B, AutoFill_names!K:K,""))</f>
        <v/>
      </c>
      <c r="K39" s="115" t="str">
        <f>IF(_xlfn.XLOOKUP(A39, AutoFill_names!B:B, AutoFill_names!L:L,"")=0,"",_xlfn.XLOOKUP(A39, AutoFill_names!B:B, AutoFill_names!L:L,""))</f>
        <v/>
      </c>
      <c r="L39" s="31"/>
      <c r="M39" s="31"/>
      <c r="N39" s="117" t="str">
        <f>IF(_xlfn.XLOOKUP(L39, AutoFill_classes!A:A, AutoFill_classes!B:B,"")=0,"",_xlfn.XLOOKUP(L39, AutoFill_classes!A:A, AutoFill_classes!B:B,""))</f>
        <v/>
      </c>
      <c r="O39" s="108"/>
      <c r="P39" s="6"/>
      <c r="Q39" s="6"/>
      <c r="R39" s="6"/>
      <c r="S39" s="2"/>
      <c r="T39" s="2"/>
      <c r="U39" s="2"/>
      <c r="X39" s="62"/>
      <c r="Y39" s="18"/>
      <c r="Z39" s="121" t="str">
        <f t="shared" si="27"/>
        <v/>
      </c>
      <c r="AA39" s="20"/>
      <c r="AB39" s="20"/>
      <c r="AC39" s="20"/>
      <c r="AD39" s="20"/>
      <c r="AE39" s="125" t="str">
        <f t="shared" si="28"/>
        <v/>
      </c>
      <c r="AF39" s="14"/>
      <c r="AG39" s="125" t="str">
        <f t="shared" si="29"/>
        <v/>
      </c>
      <c r="AH39" s="20"/>
      <c r="AI39" s="20"/>
      <c r="AJ39" s="125" t="str">
        <f t="shared" si="30"/>
        <v/>
      </c>
      <c r="AK39" s="14"/>
      <c r="AL39" s="125" t="str">
        <f t="shared" si="31"/>
        <v/>
      </c>
      <c r="AM39" s="20"/>
      <c r="AN39" s="20"/>
      <c r="AO39" s="125" t="str">
        <f t="shared" si="32"/>
        <v/>
      </c>
      <c r="AP39" s="125" t="str">
        <f t="shared" si="33"/>
        <v/>
      </c>
      <c r="AQ39" s="125" t="str">
        <f t="shared" si="34"/>
        <v/>
      </c>
      <c r="AR39" s="129" t="str">
        <f t="shared" si="35"/>
        <v/>
      </c>
      <c r="AS39" s="14"/>
      <c r="AT39" s="13"/>
      <c r="AU39" s="13"/>
      <c r="AV39" s="117" t="str">
        <f>IF(_xlfn.XLOOKUP(AT39, AutoFill_classes!$A:$A, AutoFill_classes!$B:$B,"")=0,"",_xlfn.XLOOKUP(AT39, AutoFill_classes!$A:$A, AutoFill_classes!$B:$B,""))</f>
        <v/>
      </c>
      <c r="AW39" s="108"/>
      <c r="AX39" s="13"/>
      <c r="AY39" s="13"/>
      <c r="AZ39" s="13"/>
      <c r="BA39" s="13"/>
      <c r="BB39" s="13"/>
      <c r="BC39" s="62"/>
      <c r="BD39" s="18"/>
      <c r="BE39" s="121" t="str">
        <f t="shared" si="36"/>
        <v/>
      </c>
      <c r="BF39" s="20"/>
      <c r="BG39" s="20"/>
      <c r="BH39" s="20"/>
      <c r="BI39" s="20"/>
      <c r="BJ39" s="125" t="str">
        <f t="shared" si="37"/>
        <v/>
      </c>
      <c r="BK39" s="14"/>
      <c r="BL39" s="125" t="str">
        <f t="shared" si="38"/>
        <v/>
      </c>
      <c r="BM39" s="20"/>
      <c r="BN39" s="20"/>
      <c r="BO39" s="125" t="str">
        <f t="shared" si="39"/>
        <v/>
      </c>
      <c r="BP39" s="14"/>
      <c r="BQ39" s="125" t="str">
        <f t="shared" si="40"/>
        <v/>
      </c>
      <c r="BR39" s="20"/>
      <c r="BS39" s="20"/>
      <c r="BT39" s="125" t="str">
        <f t="shared" si="41"/>
        <v/>
      </c>
      <c r="BU39" s="125" t="str">
        <f t="shared" si="42"/>
        <v/>
      </c>
      <c r="BV39" s="125" t="str">
        <f t="shared" si="43"/>
        <v/>
      </c>
      <c r="BW39" s="129" t="str">
        <f t="shared" si="44"/>
        <v/>
      </c>
      <c r="BX39" s="13"/>
      <c r="BY39" s="15"/>
      <c r="BZ39" s="14"/>
      <c r="CA39" s="117" t="str">
        <f>IF(_xlfn.XLOOKUP(BY39, AutoFill_classes!$A:$A, AutoFill_classes!$B:$B,"")=0,"",_xlfn.XLOOKUP(BY39, AutoFill_classes!$A:$A, AutoFill_classes!$B:$B,""))</f>
        <v/>
      </c>
      <c r="CB39" s="108"/>
      <c r="CC39" s="14"/>
      <c r="CD39" s="14"/>
      <c r="CE39" s="14"/>
      <c r="CF39" s="21"/>
      <c r="CG39" s="22"/>
      <c r="CH39" s="62"/>
      <c r="CI39" s="23"/>
      <c r="CJ39" s="121" t="str">
        <f t="shared" si="45"/>
        <v/>
      </c>
      <c r="CK39" s="20"/>
      <c r="CL39" s="20"/>
      <c r="CM39" s="20"/>
      <c r="CN39" s="20"/>
      <c r="CO39" s="125" t="str">
        <f t="shared" si="46"/>
        <v/>
      </c>
      <c r="CP39" s="14"/>
      <c r="CQ39" s="125" t="str">
        <f t="shared" si="47"/>
        <v/>
      </c>
      <c r="CR39" s="20"/>
      <c r="CS39" s="20"/>
      <c r="CT39" s="125" t="str">
        <f t="shared" si="48"/>
        <v/>
      </c>
      <c r="CU39" s="14"/>
      <c r="CV39" s="125" t="str">
        <f t="shared" si="49"/>
        <v/>
      </c>
      <c r="CW39" s="20"/>
      <c r="CX39" s="20"/>
      <c r="CY39" s="125" t="str">
        <f t="shared" si="50"/>
        <v/>
      </c>
      <c r="CZ39" s="125" t="str">
        <f t="shared" si="51"/>
        <v/>
      </c>
      <c r="DA39" s="125" t="str">
        <f t="shared" si="52"/>
        <v/>
      </c>
      <c r="DB39" s="129" t="str">
        <f t="shared" si="53"/>
        <v/>
      </c>
      <c r="DC39" s="14"/>
      <c r="DD39" s="63"/>
      <c r="DE39" s="105">
        <v>37</v>
      </c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spans="1:176" s="1" customFormat="1" ht="13" hidden="1" customHeight="1" outlineLevel="1" x14ac:dyDescent="0.2">
      <c r="A40" s="4"/>
      <c r="B40" s="115" t="str">
        <f>IF(_xlfn.XLOOKUP(A40, AutoFill_names!B:B, AutoFill_names!C:C,"")=0,"",_xlfn.XLOOKUP(A40, AutoFill_names!B:B, AutoFill_names!C:C,""))</f>
        <v/>
      </c>
      <c r="C40" s="115" t="str">
        <f>IF(_xlfn.XLOOKUP(A40, AutoFill_names!B:B, AutoFill_names!D:D,"")=0,"",_xlfn.XLOOKUP(A40, AutoFill_names!B:B, AutoFill_names!D:D,""))</f>
        <v/>
      </c>
      <c r="D40" s="115" t="str">
        <f>IF(_xlfn.XLOOKUP(A40, AutoFill_names!B:B, AutoFill_names!E:E,"")=0,"",_xlfn.XLOOKUP(A40, AutoFill_names!B:B, AutoFill_names!E:E,""))</f>
        <v/>
      </c>
      <c r="E40" s="115" t="str">
        <f>IF(_xlfn.XLOOKUP(A40, AutoFill_names!B:B, AutoFill_names!F:F,"")=0,"",_xlfn.XLOOKUP(A40, AutoFill_names!B:B, AutoFill_names!F:F,""))</f>
        <v/>
      </c>
      <c r="F40" s="92"/>
      <c r="J40" s="115" t="str">
        <f>IF(_xlfn.XLOOKUP(A40, AutoFill_names!B:B, AutoFill_names!K:K,"")=0,"",_xlfn.XLOOKUP(A40, AutoFill_names!B:B, AutoFill_names!K:K,""))</f>
        <v/>
      </c>
      <c r="K40" s="115" t="str">
        <f>IF(_xlfn.XLOOKUP(A40, AutoFill_names!B:B, AutoFill_names!L:L,"")=0,"",_xlfn.XLOOKUP(A40, AutoFill_names!B:B, AutoFill_names!L:L,""))</f>
        <v/>
      </c>
      <c r="L40" s="31"/>
      <c r="M40" s="31"/>
      <c r="N40" s="117" t="str">
        <f>IF(_xlfn.XLOOKUP(L40, AutoFill_classes!A:A, AutoFill_classes!B:B,"")=0,"",_xlfn.XLOOKUP(L40, AutoFill_classes!A:A, AutoFill_classes!B:B,""))</f>
        <v/>
      </c>
      <c r="O40" s="108"/>
      <c r="P40" s="6"/>
      <c r="Q40" s="6"/>
      <c r="R40" s="6"/>
      <c r="S40" s="2"/>
      <c r="T40" s="2"/>
      <c r="U40" s="2"/>
      <c r="X40" s="62"/>
      <c r="Y40" s="18"/>
      <c r="Z40" s="121" t="str">
        <f t="shared" si="27"/>
        <v/>
      </c>
      <c r="AA40" s="20"/>
      <c r="AB40" s="20"/>
      <c r="AC40" s="20"/>
      <c r="AD40" s="20"/>
      <c r="AE40" s="125" t="str">
        <f t="shared" si="28"/>
        <v/>
      </c>
      <c r="AF40" s="14"/>
      <c r="AG40" s="125" t="str">
        <f t="shared" si="29"/>
        <v/>
      </c>
      <c r="AH40" s="20"/>
      <c r="AI40" s="20"/>
      <c r="AJ40" s="125" t="str">
        <f t="shared" si="30"/>
        <v/>
      </c>
      <c r="AK40" s="14"/>
      <c r="AL40" s="125" t="str">
        <f t="shared" si="31"/>
        <v/>
      </c>
      <c r="AM40" s="20"/>
      <c r="AN40" s="20"/>
      <c r="AO40" s="125" t="str">
        <f t="shared" si="32"/>
        <v/>
      </c>
      <c r="AP40" s="125" t="str">
        <f t="shared" si="33"/>
        <v/>
      </c>
      <c r="AQ40" s="125" t="str">
        <f t="shared" si="34"/>
        <v/>
      </c>
      <c r="AR40" s="129" t="str">
        <f t="shared" si="35"/>
        <v/>
      </c>
      <c r="AS40" s="14"/>
      <c r="AT40" s="13"/>
      <c r="AU40" s="13"/>
      <c r="AV40" s="117" t="str">
        <f>IF(_xlfn.XLOOKUP(AT40, AutoFill_classes!$A:$A, AutoFill_classes!$B:$B,"")=0,"",_xlfn.XLOOKUP(AT40, AutoFill_classes!$A:$A, AutoFill_classes!$B:$B,""))</f>
        <v/>
      </c>
      <c r="AW40" s="108"/>
      <c r="AX40" s="13"/>
      <c r="AY40" s="13"/>
      <c r="AZ40" s="13"/>
      <c r="BA40" s="13"/>
      <c r="BB40" s="13"/>
      <c r="BC40" s="62"/>
      <c r="BD40" s="18"/>
      <c r="BE40" s="121" t="str">
        <f t="shared" si="36"/>
        <v/>
      </c>
      <c r="BF40" s="20"/>
      <c r="BG40" s="20"/>
      <c r="BH40" s="20"/>
      <c r="BI40" s="20"/>
      <c r="BJ40" s="125" t="str">
        <f t="shared" si="37"/>
        <v/>
      </c>
      <c r="BK40" s="14"/>
      <c r="BL40" s="125" t="str">
        <f t="shared" si="38"/>
        <v/>
      </c>
      <c r="BM40" s="20"/>
      <c r="BN40" s="20"/>
      <c r="BO40" s="125" t="str">
        <f t="shared" si="39"/>
        <v/>
      </c>
      <c r="BP40" s="14"/>
      <c r="BQ40" s="125" t="str">
        <f t="shared" si="40"/>
        <v/>
      </c>
      <c r="BR40" s="20"/>
      <c r="BS40" s="20"/>
      <c r="BT40" s="125" t="str">
        <f t="shared" si="41"/>
        <v/>
      </c>
      <c r="BU40" s="125" t="str">
        <f t="shared" si="42"/>
        <v/>
      </c>
      <c r="BV40" s="125" t="str">
        <f t="shared" si="43"/>
        <v/>
      </c>
      <c r="BW40" s="129" t="str">
        <f t="shared" si="44"/>
        <v/>
      </c>
      <c r="BX40" s="13"/>
      <c r="BY40" s="15"/>
      <c r="BZ40" s="14"/>
      <c r="CA40" s="117" t="str">
        <f>IF(_xlfn.XLOOKUP(BY40, AutoFill_classes!$A:$A, AutoFill_classes!$B:$B,"")=0,"",_xlfn.XLOOKUP(BY40, AutoFill_classes!$A:$A, AutoFill_classes!$B:$B,""))</f>
        <v/>
      </c>
      <c r="CB40" s="108"/>
      <c r="CC40" s="14"/>
      <c r="CD40" s="14"/>
      <c r="CE40" s="14"/>
      <c r="CF40" s="21"/>
      <c r="CG40" s="22"/>
      <c r="CH40" s="62"/>
      <c r="CI40" s="23"/>
      <c r="CJ40" s="121" t="str">
        <f t="shared" si="45"/>
        <v/>
      </c>
      <c r="CK40" s="20"/>
      <c r="CL40" s="20"/>
      <c r="CM40" s="20"/>
      <c r="CN40" s="20"/>
      <c r="CO40" s="125" t="str">
        <f t="shared" si="46"/>
        <v/>
      </c>
      <c r="CP40" s="14"/>
      <c r="CQ40" s="125" t="str">
        <f t="shared" si="47"/>
        <v/>
      </c>
      <c r="CR40" s="20"/>
      <c r="CS40" s="20"/>
      <c r="CT40" s="125" t="str">
        <f t="shared" si="48"/>
        <v/>
      </c>
      <c r="CU40" s="14"/>
      <c r="CV40" s="125" t="str">
        <f t="shared" si="49"/>
        <v/>
      </c>
      <c r="CW40" s="20"/>
      <c r="CX40" s="20"/>
      <c r="CY40" s="125" t="str">
        <f t="shared" si="50"/>
        <v/>
      </c>
      <c r="CZ40" s="125" t="str">
        <f t="shared" si="51"/>
        <v/>
      </c>
      <c r="DA40" s="125" t="str">
        <f t="shared" si="52"/>
        <v/>
      </c>
      <c r="DB40" s="129" t="str">
        <f t="shared" si="53"/>
        <v/>
      </c>
      <c r="DC40" s="14"/>
      <c r="DD40" s="63"/>
      <c r="DE40" s="105">
        <v>38</v>
      </c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spans="1:176" s="1" customFormat="1" ht="13" hidden="1" customHeight="1" outlineLevel="1" x14ac:dyDescent="0.2">
      <c r="A41" s="4"/>
      <c r="B41" s="115" t="str">
        <f>IF(_xlfn.XLOOKUP(A41, AutoFill_names!B:B, AutoFill_names!C:C,"")=0,"",_xlfn.XLOOKUP(A41, AutoFill_names!B:B, AutoFill_names!C:C,""))</f>
        <v/>
      </c>
      <c r="C41" s="115" t="str">
        <f>IF(_xlfn.XLOOKUP(A41, AutoFill_names!B:B, AutoFill_names!D:D,"")=0,"",_xlfn.XLOOKUP(A41, AutoFill_names!B:B, AutoFill_names!D:D,""))</f>
        <v/>
      </c>
      <c r="D41" s="115" t="str">
        <f>IF(_xlfn.XLOOKUP(A41, AutoFill_names!B:B, AutoFill_names!E:E,"")=0,"",_xlfn.XLOOKUP(A41, AutoFill_names!B:B, AutoFill_names!E:E,""))</f>
        <v/>
      </c>
      <c r="E41" s="115" t="str">
        <f>IF(_xlfn.XLOOKUP(A41, AutoFill_names!B:B, AutoFill_names!F:F,"")=0,"",_xlfn.XLOOKUP(A41, AutoFill_names!B:B, AutoFill_names!F:F,""))</f>
        <v/>
      </c>
      <c r="F41" s="92"/>
      <c r="J41" s="115" t="str">
        <f>IF(_xlfn.XLOOKUP(A41, AutoFill_names!B:B, AutoFill_names!K:K,"")=0,"",_xlfn.XLOOKUP(A41, AutoFill_names!B:B, AutoFill_names!K:K,""))</f>
        <v/>
      </c>
      <c r="K41" s="115" t="str">
        <f>IF(_xlfn.XLOOKUP(A41, AutoFill_names!B:B, AutoFill_names!L:L,"")=0,"",_xlfn.XLOOKUP(A41, AutoFill_names!B:B, AutoFill_names!L:L,""))</f>
        <v/>
      </c>
      <c r="L41" s="31"/>
      <c r="M41" s="31"/>
      <c r="N41" s="117" t="str">
        <f>IF(_xlfn.XLOOKUP(L41, AutoFill_classes!A:A, AutoFill_classes!B:B,"")=0,"",_xlfn.XLOOKUP(L41, AutoFill_classes!A:A, AutoFill_classes!B:B,""))</f>
        <v/>
      </c>
      <c r="O41" s="108"/>
      <c r="P41" s="6"/>
      <c r="Q41" s="6"/>
      <c r="R41" s="6"/>
      <c r="S41" s="2"/>
      <c r="T41" s="2"/>
      <c r="U41" s="2"/>
      <c r="X41" s="62"/>
      <c r="Y41" s="18"/>
      <c r="Z41" s="121" t="str">
        <f t="shared" si="27"/>
        <v/>
      </c>
      <c r="AA41" s="20"/>
      <c r="AB41" s="20"/>
      <c r="AC41" s="20"/>
      <c r="AD41" s="20"/>
      <c r="AE41" s="125" t="str">
        <f t="shared" si="28"/>
        <v/>
      </c>
      <c r="AF41" s="14"/>
      <c r="AG41" s="125" t="str">
        <f t="shared" si="29"/>
        <v/>
      </c>
      <c r="AH41" s="20"/>
      <c r="AI41" s="20"/>
      <c r="AJ41" s="125" t="str">
        <f t="shared" si="30"/>
        <v/>
      </c>
      <c r="AK41" s="14"/>
      <c r="AL41" s="125" t="str">
        <f t="shared" si="31"/>
        <v/>
      </c>
      <c r="AM41" s="20"/>
      <c r="AN41" s="20"/>
      <c r="AO41" s="125" t="str">
        <f t="shared" si="32"/>
        <v/>
      </c>
      <c r="AP41" s="125" t="str">
        <f t="shared" si="33"/>
        <v/>
      </c>
      <c r="AQ41" s="125" t="str">
        <f t="shared" si="34"/>
        <v/>
      </c>
      <c r="AR41" s="129" t="str">
        <f t="shared" si="35"/>
        <v/>
      </c>
      <c r="AS41" s="14"/>
      <c r="AT41" s="13"/>
      <c r="AU41" s="13"/>
      <c r="AV41" s="117" t="str">
        <f>IF(_xlfn.XLOOKUP(AT41, AutoFill_classes!$A:$A, AutoFill_classes!$B:$B,"")=0,"",_xlfn.XLOOKUP(AT41, AutoFill_classes!$A:$A, AutoFill_classes!$B:$B,""))</f>
        <v/>
      </c>
      <c r="AW41" s="108"/>
      <c r="AX41" s="13"/>
      <c r="AY41" s="13"/>
      <c r="AZ41" s="13"/>
      <c r="BA41" s="13"/>
      <c r="BB41" s="13"/>
      <c r="BC41" s="62"/>
      <c r="BD41" s="18"/>
      <c r="BE41" s="121" t="str">
        <f t="shared" si="36"/>
        <v/>
      </c>
      <c r="BF41" s="20"/>
      <c r="BG41" s="20"/>
      <c r="BH41" s="20"/>
      <c r="BI41" s="20"/>
      <c r="BJ41" s="125" t="str">
        <f t="shared" si="37"/>
        <v/>
      </c>
      <c r="BK41" s="14"/>
      <c r="BL41" s="125" t="str">
        <f t="shared" si="38"/>
        <v/>
      </c>
      <c r="BM41" s="20"/>
      <c r="BN41" s="20"/>
      <c r="BO41" s="125" t="str">
        <f t="shared" si="39"/>
        <v/>
      </c>
      <c r="BP41" s="14"/>
      <c r="BQ41" s="125" t="str">
        <f t="shared" si="40"/>
        <v/>
      </c>
      <c r="BR41" s="20"/>
      <c r="BS41" s="20"/>
      <c r="BT41" s="125" t="str">
        <f t="shared" si="41"/>
        <v/>
      </c>
      <c r="BU41" s="125" t="str">
        <f t="shared" si="42"/>
        <v/>
      </c>
      <c r="BV41" s="125" t="str">
        <f t="shared" si="43"/>
        <v/>
      </c>
      <c r="BW41" s="129" t="str">
        <f t="shared" si="44"/>
        <v/>
      </c>
      <c r="BX41" s="13"/>
      <c r="BY41" s="15"/>
      <c r="BZ41" s="14"/>
      <c r="CA41" s="117" t="str">
        <f>IF(_xlfn.XLOOKUP(BY41, AutoFill_classes!$A:$A, AutoFill_classes!$B:$B,"")=0,"",_xlfn.XLOOKUP(BY41, AutoFill_classes!$A:$A, AutoFill_classes!$B:$B,""))</f>
        <v/>
      </c>
      <c r="CB41" s="108"/>
      <c r="CC41" s="14"/>
      <c r="CD41" s="14"/>
      <c r="CE41" s="14"/>
      <c r="CF41" s="21"/>
      <c r="CG41" s="22"/>
      <c r="CH41" s="62"/>
      <c r="CI41" s="23"/>
      <c r="CJ41" s="121" t="str">
        <f t="shared" si="45"/>
        <v/>
      </c>
      <c r="CK41" s="20"/>
      <c r="CL41" s="20"/>
      <c r="CM41" s="20"/>
      <c r="CN41" s="20"/>
      <c r="CO41" s="125" t="str">
        <f t="shared" si="46"/>
        <v/>
      </c>
      <c r="CP41" s="14"/>
      <c r="CQ41" s="125" t="str">
        <f t="shared" si="47"/>
        <v/>
      </c>
      <c r="CR41" s="20"/>
      <c r="CS41" s="20"/>
      <c r="CT41" s="125" t="str">
        <f t="shared" si="48"/>
        <v/>
      </c>
      <c r="CU41" s="14"/>
      <c r="CV41" s="125" t="str">
        <f t="shared" si="49"/>
        <v/>
      </c>
      <c r="CW41" s="20"/>
      <c r="CX41" s="20"/>
      <c r="CY41" s="125" t="str">
        <f t="shared" si="50"/>
        <v/>
      </c>
      <c r="CZ41" s="125" t="str">
        <f t="shared" si="51"/>
        <v/>
      </c>
      <c r="DA41" s="125" t="str">
        <f t="shared" si="52"/>
        <v/>
      </c>
      <c r="DB41" s="129" t="str">
        <f t="shared" si="53"/>
        <v/>
      </c>
      <c r="DC41" s="14"/>
      <c r="DD41" s="63"/>
      <c r="DE41" s="105">
        <v>39</v>
      </c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spans="1:176" s="1" customFormat="1" ht="13" hidden="1" customHeight="1" outlineLevel="1" x14ac:dyDescent="0.2">
      <c r="A42" s="4"/>
      <c r="B42" s="115" t="str">
        <f>IF(_xlfn.XLOOKUP(A42, AutoFill_names!B:B, AutoFill_names!C:C,"")=0,"",_xlfn.XLOOKUP(A42, AutoFill_names!B:B, AutoFill_names!C:C,""))</f>
        <v/>
      </c>
      <c r="C42" s="115" t="str">
        <f>IF(_xlfn.XLOOKUP(A42, AutoFill_names!B:B, AutoFill_names!D:D,"")=0,"",_xlfn.XLOOKUP(A42, AutoFill_names!B:B, AutoFill_names!D:D,""))</f>
        <v/>
      </c>
      <c r="D42" s="115" t="str">
        <f>IF(_xlfn.XLOOKUP(A42, AutoFill_names!B:B, AutoFill_names!E:E,"")=0,"",_xlfn.XLOOKUP(A42, AutoFill_names!B:B, AutoFill_names!E:E,""))</f>
        <v/>
      </c>
      <c r="E42" s="115" t="str">
        <f>IF(_xlfn.XLOOKUP(A42, AutoFill_names!B:B, AutoFill_names!F:F,"")=0,"",_xlfn.XLOOKUP(A42, AutoFill_names!B:B, AutoFill_names!F:F,""))</f>
        <v/>
      </c>
      <c r="F42" s="92"/>
      <c r="J42" s="115" t="str">
        <f>IF(_xlfn.XLOOKUP(A42, AutoFill_names!B:B, AutoFill_names!K:K,"")=0,"",_xlfn.XLOOKUP(A42, AutoFill_names!B:B, AutoFill_names!K:K,""))</f>
        <v/>
      </c>
      <c r="K42" s="115" t="str">
        <f>IF(_xlfn.XLOOKUP(A42, AutoFill_names!B:B, AutoFill_names!L:L,"")=0,"",_xlfn.XLOOKUP(A42, AutoFill_names!B:B, AutoFill_names!L:L,""))</f>
        <v/>
      </c>
      <c r="L42" s="31"/>
      <c r="M42" s="31"/>
      <c r="N42" s="117" t="str">
        <f>IF(_xlfn.XLOOKUP(L42, AutoFill_classes!A:A, AutoFill_classes!B:B,"")=0,"",_xlfn.XLOOKUP(L42, AutoFill_classes!A:A, AutoFill_classes!B:B,""))</f>
        <v/>
      </c>
      <c r="O42" s="108"/>
      <c r="P42" s="6"/>
      <c r="Q42" s="6"/>
      <c r="R42" s="6"/>
      <c r="S42" s="2"/>
      <c r="T42" s="2"/>
      <c r="U42" s="2"/>
      <c r="X42" s="62"/>
      <c r="Y42" s="18"/>
      <c r="Z42" s="121" t="str">
        <f t="shared" si="27"/>
        <v/>
      </c>
      <c r="AA42" s="20"/>
      <c r="AB42" s="20"/>
      <c r="AC42" s="20"/>
      <c r="AD42" s="20"/>
      <c r="AE42" s="125" t="str">
        <f t="shared" si="28"/>
        <v/>
      </c>
      <c r="AF42" s="14"/>
      <c r="AG42" s="125" t="str">
        <f t="shared" si="29"/>
        <v/>
      </c>
      <c r="AH42" s="20"/>
      <c r="AI42" s="20"/>
      <c r="AJ42" s="125" t="str">
        <f t="shared" si="30"/>
        <v/>
      </c>
      <c r="AK42" s="14"/>
      <c r="AL42" s="125" t="str">
        <f t="shared" si="31"/>
        <v/>
      </c>
      <c r="AM42" s="20"/>
      <c r="AN42" s="20"/>
      <c r="AO42" s="125" t="str">
        <f t="shared" si="32"/>
        <v/>
      </c>
      <c r="AP42" s="125" t="str">
        <f t="shared" si="33"/>
        <v/>
      </c>
      <c r="AQ42" s="125" t="str">
        <f t="shared" si="34"/>
        <v/>
      </c>
      <c r="AR42" s="129" t="str">
        <f t="shared" si="35"/>
        <v/>
      </c>
      <c r="AS42" s="14"/>
      <c r="AT42" s="13"/>
      <c r="AU42" s="13"/>
      <c r="AV42" s="117" t="str">
        <f>IF(_xlfn.XLOOKUP(AT42, AutoFill_classes!$A:$A, AutoFill_classes!$B:$B,"")=0,"",_xlfn.XLOOKUP(AT42, AutoFill_classes!$A:$A, AutoFill_classes!$B:$B,""))</f>
        <v/>
      </c>
      <c r="AW42" s="108"/>
      <c r="AX42" s="13"/>
      <c r="AY42" s="13"/>
      <c r="AZ42" s="13"/>
      <c r="BA42" s="13"/>
      <c r="BB42" s="13"/>
      <c r="BC42" s="62"/>
      <c r="BD42" s="18"/>
      <c r="BE42" s="121" t="str">
        <f t="shared" si="36"/>
        <v/>
      </c>
      <c r="BF42" s="20"/>
      <c r="BG42" s="20"/>
      <c r="BH42" s="20"/>
      <c r="BI42" s="20"/>
      <c r="BJ42" s="125" t="str">
        <f t="shared" si="37"/>
        <v/>
      </c>
      <c r="BK42" s="14"/>
      <c r="BL42" s="125" t="str">
        <f t="shared" si="38"/>
        <v/>
      </c>
      <c r="BM42" s="20"/>
      <c r="BN42" s="20"/>
      <c r="BO42" s="125" t="str">
        <f t="shared" si="39"/>
        <v/>
      </c>
      <c r="BP42" s="14"/>
      <c r="BQ42" s="125" t="str">
        <f t="shared" si="40"/>
        <v/>
      </c>
      <c r="BR42" s="20"/>
      <c r="BS42" s="20"/>
      <c r="BT42" s="125" t="str">
        <f t="shared" si="41"/>
        <v/>
      </c>
      <c r="BU42" s="125" t="str">
        <f t="shared" si="42"/>
        <v/>
      </c>
      <c r="BV42" s="125" t="str">
        <f t="shared" si="43"/>
        <v/>
      </c>
      <c r="BW42" s="129" t="str">
        <f t="shared" si="44"/>
        <v/>
      </c>
      <c r="BX42" s="13"/>
      <c r="BY42" s="15"/>
      <c r="BZ42" s="14"/>
      <c r="CA42" s="117" t="str">
        <f>IF(_xlfn.XLOOKUP(BY42, AutoFill_classes!$A:$A, AutoFill_classes!$B:$B,"")=0,"",_xlfn.XLOOKUP(BY42, AutoFill_classes!$A:$A, AutoFill_classes!$B:$B,""))</f>
        <v/>
      </c>
      <c r="CB42" s="108"/>
      <c r="CC42" s="14"/>
      <c r="CD42" s="14"/>
      <c r="CE42" s="14"/>
      <c r="CF42" s="21"/>
      <c r="CG42" s="22"/>
      <c r="CH42" s="62"/>
      <c r="CI42" s="23"/>
      <c r="CJ42" s="121" t="str">
        <f t="shared" si="45"/>
        <v/>
      </c>
      <c r="CK42" s="20"/>
      <c r="CL42" s="20"/>
      <c r="CM42" s="20"/>
      <c r="CN42" s="20"/>
      <c r="CO42" s="125" t="str">
        <f t="shared" si="46"/>
        <v/>
      </c>
      <c r="CP42" s="14"/>
      <c r="CQ42" s="125" t="str">
        <f t="shared" si="47"/>
        <v/>
      </c>
      <c r="CR42" s="20"/>
      <c r="CS42" s="20"/>
      <c r="CT42" s="125" t="str">
        <f t="shared" si="48"/>
        <v/>
      </c>
      <c r="CU42" s="14"/>
      <c r="CV42" s="125" t="str">
        <f t="shared" si="49"/>
        <v/>
      </c>
      <c r="CW42" s="20"/>
      <c r="CX42" s="20"/>
      <c r="CY42" s="125" t="str">
        <f t="shared" si="50"/>
        <v/>
      </c>
      <c r="CZ42" s="125" t="str">
        <f t="shared" si="51"/>
        <v/>
      </c>
      <c r="DA42" s="125" t="str">
        <f t="shared" si="52"/>
        <v/>
      </c>
      <c r="DB42" s="129" t="str">
        <f t="shared" si="53"/>
        <v/>
      </c>
      <c r="DC42" s="14"/>
      <c r="DD42" s="63"/>
      <c r="DE42" s="105">
        <v>40</v>
      </c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spans="1:176" s="1" customFormat="1" ht="13" hidden="1" customHeight="1" outlineLevel="1" x14ac:dyDescent="0.2">
      <c r="A43" s="4"/>
      <c r="B43" s="115" t="str">
        <f>IF(_xlfn.XLOOKUP(A43, AutoFill_names!B:B, AutoFill_names!C:C,"")=0,"",_xlfn.XLOOKUP(A43, AutoFill_names!B:B, AutoFill_names!C:C,""))</f>
        <v/>
      </c>
      <c r="C43" s="115" t="str">
        <f>IF(_xlfn.XLOOKUP(A43, AutoFill_names!B:B, AutoFill_names!D:D,"")=0,"",_xlfn.XLOOKUP(A43, AutoFill_names!B:B, AutoFill_names!D:D,""))</f>
        <v/>
      </c>
      <c r="D43" s="115" t="str">
        <f>IF(_xlfn.XLOOKUP(A43, AutoFill_names!B:B, AutoFill_names!E:E,"")=0,"",_xlfn.XLOOKUP(A43, AutoFill_names!B:B, AutoFill_names!E:E,""))</f>
        <v/>
      </c>
      <c r="E43" s="115" t="str">
        <f>IF(_xlfn.XLOOKUP(A43, AutoFill_names!B:B, AutoFill_names!F:F,"")=0,"",_xlfn.XLOOKUP(A43, AutoFill_names!B:B, AutoFill_names!F:F,""))</f>
        <v/>
      </c>
      <c r="F43" s="92"/>
      <c r="J43" s="115" t="str">
        <f>IF(_xlfn.XLOOKUP(A43, AutoFill_names!B:B, AutoFill_names!K:K,"")=0,"",_xlfn.XLOOKUP(A43, AutoFill_names!B:B, AutoFill_names!K:K,""))</f>
        <v/>
      </c>
      <c r="K43" s="115" t="str">
        <f>IF(_xlfn.XLOOKUP(A43, AutoFill_names!B:B, AutoFill_names!L:L,"")=0,"",_xlfn.XLOOKUP(A43, AutoFill_names!B:B, AutoFill_names!L:L,""))</f>
        <v/>
      </c>
      <c r="L43" s="31"/>
      <c r="M43" s="31"/>
      <c r="N43" s="117" t="str">
        <f>IF(_xlfn.XLOOKUP(L43, AutoFill_classes!A:A, AutoFill_classes!B:B,"")=0,"",_xlfn.XLOOKUP(L43, AutoFill_classes!A:A, AutoFill_classes!B:B,""))</f>
        <v/>
      </c>
      <c r="O43" s="108"/>
      <c r="P43" s="6"/>
      <c r="Q43" s="6"/>
      <c r="R43" s="6"/>
      <c r="S43" s="2"/>
      <c r="T43" s="2"/>
      <c r="U43" s="2"/>
      <c r="X43" s="62"/>
      <c r="Y43" s="18"/>
      <c r="Z43" s="121" t="str">
        <f t="shared" si="27"/>
        <v/>
      </c>
      <c r="AA43" s="20"/>
      <c r="AB43" s="20"/>
      <c r="AC43" s="20"/>
      <c r="AD43" s="20"/>
      <c r="AE43" s="125" t="str">
        <f t="shared" si="28"/>
        <v/>
      </c>
      <c r="AF43" s="14"/>
      <c r="AG43" s="125" t="str">
        <f t="shared" si="29"/>
        <v/>
      </c>
      <c r="AH43" s="20"/>
      <c r="AI43" s="20"/>
      <c r="AJ43" s="125" t="str">
        <f t="shared" si="30"/>
        <v/>
      </c>
      <c r="AK43" s="14"/>
      <c r="AL43" s="125" t="str">
        <f t="shared" si="31"/>
        <v/>
      </c>
      <c r="AM43" s="20"/>
      <c r="AN43" s="20"/>
      <c r="AO43" s="125" t="str">
        <f t="shared" si="32"/>
        <v/>
      </c>
      <c r="AP43" s="125" t="str">
        <f t="shared" si="33"/>
        <v/>
      </c>
      <c r="AQ43" s="125" t="str">
        <f t="shared" si="34"/>
        <v/>
      </c>
      <c r="AR43" s="129" t="str">
        <f t="shared" si="35"/>
        <v/>
      </c>
      <c r="AS43" s="14"/>
      <c r="AT43" s="13"/>
      <c r="AU43" s="13"/>
      <c r="AV43" s="117" t="str">
        <f>IF(_xlfn.XLOOKUP(AT43, AutoFill_classes!$A:$A, AutoFill_classes!$B:$B,"")=0,"",_xlfn.XLOOKUP(AT43, AutoFill_classes!$A:$A, AutoFill_classes!$B:$B,""))</f>
        <v/>
      </c>
      <c r="AW43" s="108"/>
      <c r="AX43" s="13"/>
      <c r="AY43" s="13"/>
      <c r="AZ43" s="13"/>
      <c r="BA43" s="13"/>
      <c r="BB43" s="13"/>
      <c r="BC43" s="62"/>
      <c r="BD43" s="18"/>
      <c r="BE43" s="121" t="str">
        <f t="shared" si="36"/>
        <v/>
      </c>
      <c r="BF43" s="20"/>
      <c r="BG43" s="20"/>
      <c r="BH43" s="20"/>
      <c r="BI43" s="20"/>
      <c r="BJ43" s="125" t="str">
        <f t="shared" si="37"/>
        <v/>
      </c>
      <c r="BK43" s="14"/>
      <c r="BL43" s="125" t="str">
        <f t="shared" si="38"/>
        <v/>
      </c>
      <c r="BM43" s="20"/>
      <c r="BN43" s="20"/>
      <c r="BO43" s="125" t="str">
        <f t="shared" si="39"/>
        <v/>
      </c>
      <c r="BP43" s="14"/>
      <c r="BQ43" s="125" t="str">
        <f t="shared" si="40"/>
        <v/>
      </c>
      <c r="BR43" s="20"/>
      <c r="BS43" s="20"/>
      <c r="BT43" s="125" t="str">
        <f t="shared" si="41"/>
        <v/>
      </c>
      <c r="BU43" s="125" t="str">
        <f t="shared" si="42"/>
        <v/>
      </c>
      <c r="BV43" s="125" t="str">
        <f t="shared" si="43"/>
        <v/>
      </c>
      <c r="BW43" s="129" t="str">
        <f t="shared" si="44"/>
        <v/>
      </c>
      <c r="BX43" s="13"/>
      <c r="BY43" s="15"/>
      <c r="BZ43" s="14"/>
      <c r="CA43" s="117" t="str">
        <f>IF(_xlfn.XLOOKUP(BY43, AutoFill_classes!$A:$A, AutoFill_classes!$B:$B,"")=0,"",_xlfn.XLOOKUP(BY43, AutoFill_classes!$A:$A, AutoFill_classes!$B:$B,""))</f>
        <v/>
      </c>
      <c r="CB43" s="108"/>
      <c r="CC43" s="14"/>
      <c r="CD43" s="14"/>
      <c r="CE43" s="14"/>
      <c r="CF43" s="21"/>
      <c r="CG43" s="22"/>
      <c r="CH43" s="62"/>
      <c r="CI43" s="23"/>
      <c r="CJ43" s="121" t="str">
        <f t="shared" si="45"/>
        <v/>
      </c>
      <c r="CK43" s="20"/>
      <c r="CL43" s="20"/>
      <c r="CM43" s="20"/>
      <c r="CN43" s="20"/>
      <c r="CO43" s="125" t="str">
        <f t="shared" si="46"/>
        <v/>
      </c>
      <c r="CP43" s="14"/>
      <c r="CQ43" s="125" t="str">
        <f t="shared" si="47"/>
        <v/>
      </c>
      <c r="CR43" s="20"/>
      <c r="CS43" s="20"/>
      <c r="CT43" s="125" t="str">
        <f t="shared" si="48"/>
        <v/>
      </c>
      <c r="CU43" s="14"/>
      <c r="CV43" s="125" t="str">
        <f t="shared" si="49"/>
        <v/>
      </c>
      <c r="CW43" s="20"/>
      <c r="CX43" s="20"/>
      <c r="CY43" s="125" t="str">
        <f t="shared" si="50"/>
        <v/>
      </c>
      <c r="CZ43" s="125" t="str">
        <f t="shared" si="51"/>
        <v/>
      </c>
      <c r="DA43" s="125" t="str">
        <f t="shared" si="52"/>
        <v/>
      </c>
      <c r="DB43" s="129" t="str">
        <f t="shared" si="53"/>
        <v/>
      </c>
      <c r="DC43" s="14"/>
      <c r="DD43" s="63"/>
      <c r="DE43" s="105">
        <v>41</v>
      </c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 s="1" customFormat="1" ht="13" hidden="1" customHeight="1" outlineLevel="1" x14ac:dyDescent="0.2">
      <c r="A44" s="4"/>
      <c r="B44" s="115" t="str">
        <f>IF(_xlfn.XLOOKUP(A44, AutoFill_names!B:B, AutoFill_names!C:C,"")=0,"",_xlfn.XLOOKUP(A44, AutoFill_names!B:B, AutoFill_names!C:C,""))</f>
        <v/>
      </c>
      <c r="C44" s="115" t="str">
        <f>IF(_xlfn.XLOOKUP(A44, AutoFill_names!B:B, AutoFill_names!D:D,"")=0,"",_xlfn.XLOOKUP(A44, AutoFill_names!B:B, AutoFill_names!D:D,""))</f>
        <v/>
      </c>
      <c r="D44" s="115" t="str">
        <f>IF(_xlfn.XLOOKUP(A44, AutoFill_names!B:B, AutoFill_names!E:E,"")=0,"",_xlfn.XLOOKUP(A44, AutoFill_names!B:B, AutoFill_names!E:E,""))</f>
        <v/>
      </c>
      <c r="E44" s="115" t="str">
        <f>IF(_xlfn.XLOOKUP(A44, AutoFill_names!B:B, AutoFill_names!F:F,"")=0,"",_xlfn.XLOOKUP(A44, AutoFill_names!B:B, AutoFill_names!F:F,""))</f>
        <v/>
      </c>
      <c r="F44" s="92"/>
      <c r="J44" s="115" t="str">
        <f>IF(_xlfn.XLOOKUP(A44, AutoFill_names!B:B, AutoFill_names!K:K,"")=0,"",_xlfn.XLOOKUP(A44, AutoFill_names!B:B, AutoFill_names!K:K,""))</f>
        <v/>
      </c>
      <c r="K44" s="115" t="str">
        <f>IF(_xlfn.XLOOKUP(A44, AutoFill_names!B:B, AutoFill_names!L:L,"")=0,"",_xlfn.XLOOKUP(A44, AutoFill_names!B:B, AutoFill_names!L:L,""))</f>
        <v/>
      </c>
      <c r="L44" s="31"/>
      <c r="M44" s="31"/>
      <c r="N44" s="117" t="str">
        <f>IF(_xlfn.XLOOKUP(L44, AutoFill_classes!A:A, AutoFill_classes!B:B,"")=0,"",_xlfn.XLOOKUP(L44, AutoFill_classes!A:A, AutoFill_classes!B:B,""))</f>
        <v/>
      </c>
      <c r="O44" s="108"/>
      <c r="P44" s="6"/>
      <c r="Q44" s="6"/>
      <c r="R44" s="6"/>
      <c r="S44" s="2"/>
      <c r="T44" s="2"/>
      <c r="U44" s="2"/>
      <c r="X44" s="62"/>
      <c r="Y44" s="18"/>
      <c r="Z44" s="121" t="str">
        <f t="shared" si="27"/>
        <v/>
      </c>
      <c r="AA44" s="20"/>
      <c r="AB44" s="20"/>
      <c r="AC44" s="20"/>
      <c r="AD44" s="20"/>
      <c r="AE44" s="125" t="str">
        <f t="shared" si="28"/>
        <v/>
      </c>
      <c r="AF44" s="14"/>
      <c r="AG44" s="125" t="str">
        <f t="shared" si="29"/>
        <v/>
      </c>
      <c r="AH44" s="20"/>
      <c r="AI44" s="20"/>
      <c r="AJ44" s="125" t="str">
        <f t="shared" si="30"/>
        <v/>
      </c>
      <c r="AK44" s="14"/>
      <c r="AL44" s="125" t="str">
        <f t="shared" si="31"/>
        <v/>
      </c>
      <c r="AM44" s="20"/>
      <c r="AN44" s="20"/>
      <c r="AO44" s="125" t="str">
        <f t="shared" si="32"/>
        <v/>
      </c>
      <c r="AP44" s="125" t="str">
        <f t="shared" si="33"/>
        <v/>
      </c>
      <c r="AQ44" s="125" t="str">
        <f t="shared" si="34"/>
        <v/>
      </c>
      <c r="AR44" s="129" t="str">
        <f t="shared" si="35"/>
        <v/>
      </c>
      <c r="AS44" s="14"/>
      <c r="AT44" s="13"/>
      <c r="AU44" s="13"/>
      <c r="AV44" s="117" t="str">
        <f>IF(_xlfn.XLOOKUP(AT44, AutoFill_classes!$A:$A, AutoFill_classes!$B:$B,"")=0,"",_xlfn.XLOOKUP(AT44, AutoFill_classes!$A:$A, AutoFill_classes!$B:$B,""))</f>
        <v/>
      </c>
      <c r="AW44" s="108"/>
      <c r="AX44" s="13"/>
      <c r="AY44" s="13"/>
      <c r="AZ44" s="13"/>
      <c r="BA44" s="13"/>
      <c r="BB44" s="13"/>
      <c r="BC44" s="62"/>
      <c r="BD44" s="18"/>
      <c r="BE44" s="121" t="str">
        <f t="shared" si="36"/>
        <v/>
      </c>
      <c r="BF44" s="20"/>
      <c r="BG44" s="20"/>
      <c r="BH44" s="20"/>
      <c r="BI44" s="20"/>
      <c r="BJ44" s="125" t="str">
        <f t="shared" si="37"/>
        <v/>
      </c>
      <c r="BK44" s="14"/>
      <c r="BL44" s="125" t="str">
        <f t="shared" si="38"/>
        <v/>
      </c>
      <c r="BM44" s="20"/>
      <c r="BN44" s="20"/>
      <c r="BO44" s="125" t="str">
        <f t="shared" si="39"/>
        <v/>
      </c>
      <c r="BP44" s="14"/>
      <c r="BQ44" s="125" t="str">
        <f t="shared" si="40"/>
        <v/>
      </c>
      <c r="BR44" s="20"/>
      <c r="BS44" s="20"/>
      <c r="BT44" s="125" t="str">
        <f t="shared" si="41"/>
        <v/>
      </c>
      <c r="BU44" s="125" t="str">
        <f t="shared" si="42"/>
        <v/>
      </c>
      <c r="BV44" s="125" t="str">
        <f t="shared" si="43"/>
        <v/>
      </c>
      <c r="BW44" s="129" t="str">
        <f t="shared" si="44"/>
        <v/>
      </c>
      <c r="BX44" s="13"/>
      <c r="BY44" s="15"/>
      <c r="BZ44" s="14"/>
      <c r="CA44" s="117" t="str">
        <f>IF(_xlfn.XLOOKUP(BY44, AutoFill_classes!$A:$A, AutoFill_classes!$B:$B,"")=0,"",_xlfn.XLOOKUP(BY44, AutoFill_classes!$A:$A, AutoFill_classes!$B:$B,""))</f>
        <v/>
      </c>
      <c r="CB44" s="108"/>
      <c r="CC44" s="14"/>
      <c r="CD44" s="14"/>
      <c r="CE44" s="14"/>
      <c r="CF44" s="21"/>
      <c r="CG44" s="22"/>
      <c r="CH44" s="62"/>
      <c r="CI44" s="23"/>
      <c r="CJ44" s="121" t="str">
        <f t="shared" si="45"/>
        <v/>
      </c>
      <c r="CK44" s="20"/>
      <c r="CL44" s="20"/>
      <c r="CM44" s="20"/>
      <c r="CN44" s="20"/>
      <c r="CO44" s="125" t="str">
        <f t="shared" si="46"/>
        <v/>
      </c>
      <c r="CP44" s="14"/>
      <c r="CQ44" s="125" t="str">
        <f t="shared" si="47"/>
        <v/>
      </c>
      <c r="CR44" s="20"/>
      <c r="CS44" s="20"/>
      <c r="CT44" s="125" t="str">
        <f t="shared" si="48"/>
        <v/>
      </c>
      <c r="CU44" s="14"/>
      <c r="CV44" s="125" t="str">
        <f t="shared" si="49"/>
        <v/>
      </c>
      <c r="CW44" s="20"/>
      <c r="CX44" s="20"/>
      <c r="CY44" s="125" t="str">
        <f t="shared" si="50"/>
        <v/>
      </c>
      <c r="CZ44" s="125" t="str">
        <f t="shared" si="51"/>
        <v/>
      </c>
      <c r="DA44" s="125" t="str">
        <f t="shared" si="52"/>
        <v/>
      </c>
      <c r="DB44" s="129" t="str">
        <f t="shared" si="53"/>
        <v/>
      </c>
      <c r="DC44" s="14"/>
      <c r="DD44" s="63"/>
      <c r="DE44" s="105">
        <v>42</v>
      </c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spans="1:176" s="1" customFormat="1" ht="13" hidden="1" customHeight="1" outlineLevel="1" x14ac:dyDescent="0.2">
      <c r="A45" s="4"/>
      <c r="B45" s="115" t="str">
        <f>IF(_xlfn.XLOOKUP(A45, AutoFill_names!B:B, AutoFill_names!C:C,"")=0,"",_xlfn.XLOOKUP(A45, AutoFill_names!B:B, AutoFill_names!C:C,""))</f>
        <v/>
      </c>
      <c r="C45" s="115" t="str">
        <f>IF(_xlfn.XLOOKUP(A45, AutoFill_names!B:B, AutoFill_names!D:D,"")=0,"",_xlfn.XLOOKUP(A45, AutoFill_names!B:B, AutoFill_names!D:D,""))</f>
        <v/>
      </c>
      <c r="D45" s="115" t="str">
        <f>IF(_xlfn.XLOOKUP(A45, AutoFill_names!B:B, AutoFill_names!E:E,"")=0,"",_xlfn.XLOOKUP(A45, AutoFill_names!B:B, AutoFill_names!E:E,""))</f>
        <v/>
      </c>
      <c r="E45" s="115" t="str">
        <f>IF(_xlfn.XLOOKUP(A45, AutoFill_names!B:B, AutoFill_names!F:F,"")=0,"",_xlfn.XLOOKUP(A45, AutoFill_names!B:B, AutoFill_names!F:F,""))</f>
        <v/>
      </c>
      <c r="F45" s="92"/>
      <c r="J45" s="115" t="str">
        <f>IF(_xlfn.XLOOKUP(A45, AutoFill_names!B:B, AutoFill_names!K:K,"")=0,"",_xlfn.XLOOKUP(A45, AutoFill_names!B:B, AutoFill_names!K:K,""))</f>
        <v/>
      </c>
      <c r="K45" s="115" t="str">
        <f>IF(_xlfn.XLOOKUP(A45, AutoFill_names!B:B, AutoFill_names!L:L,"")=0,"",_xlfn.XLOOKUP(A45, AutoFill_names!B:B, AutoFill_names!L:L,""))</f>
        <v/>
      </c>
      <c r="L45" s="31"/>
      <c r="M45" s="31"/>
      <c r="N45" s="117" t="str">
        <f>IF(_xlfn.XLOOKUP(L45, AutoFill_classes!A:A, AutoFill_classes!B:B,"")=0,"",_xlfn.XLOOKUP(L45, AutoFill_classes!A:A, AutoFill_classes!B:B,""))</f>
        <v/>
      </c>
      <c r="O45" s="108"/>
      <c r="P45" s="6"/>
      <c r="Q45" s="6"/>
      <c r="R45" s="6"/>
      <c r="S45" s="2"/>
      <c r="T45" s="2"/>
      <c r="U45" s="2"/>
      <c r="X45" s="62"/>
      <c r="Y45" s="18"/>
      <c r="Z45" s="121" t="str">
        <f t="shared" si="27"/>
        <v/>
      </c>
      <c r="AA45" s="20"/>
      <c r="AB45" s="20"/>
      <c r="AC45" s="20"/>
      <c r="AD45" s="20"/>
      <c r="AE45" s="125" t="str">
        <f t="shared" si="28"/>
        <v/>
      </c>
      <c r="AF45" s="14"/>
      <c r="AG45" s="125" t="str">
        <f t="shared" si="29"/>
        <v/>
      </c>
      <c r="AH45" s="20"/>
      <c r="AI45" s="20"/>
      <c r="AJ45" s="125" t="str">
        <f t="shared" si="30"/>
        <v/>
      </c>
      <c r="AK45" s="14"/>
      <c r="AL45" s="125" t="str">
        <f t="shared" si="31"/>
        <v/>
      </c>
      <c r="AM45" s="20"/>
      <c r="AN45" s="20"/>
      <c r="AO45" s="125" t="str">
        <f t="shared" si="32"/>
        <v/>
      </c>
      <c r="AP45" s="125" t="str">
        <f t="shared" si="33"/>
        <v/>
      </c>
      <c r="AQ45" s="125" t="str">
        <f t="shared" si="34"/>
        <v/>
      </c>
      <c r="AR45" s="129" t="str">
        <f t="shared" si="35"/>
        <v/>
      </c>
      <c r="AS45" s="14"/>
      <c r="AT45" s="13"/>
      <c r="AU45" s="13"/>
      <c r="AV45" s="117" t="str">
        <f>IF(_xlfn.XLOOKUP(AT45, AutoFill_classes!$A:$A, AutoFill_classes!$B:$B,"")=0,"",_xlfn.XLOOKUP(AT45, AutoFill_classes!$A:$A, AutoFill_classes!$B:$B,""))</f>
        <v/>
      </c>
      <c r="AW45" s="108"/>
      <c r="AX45" s="13"/>
      <c r="AY45" s="13"/>
      <c r="AZ45" s="13"/>
      <c r="BA45" s="13"/>
      <c r="BB45" s="13"/>
      <c r="BC45" s="62"/>
      <c r="BD45" s="18"/>
      <c r="BE45" s="121" t="str">
        <f t="shared" si="36"/>
        <v/>
      </c>
      <c r="BF45" s="20"/>
      <c r="BG45" s="20"/>
      <c r="BH45" s="20"/>
      <c r="BI45" s="20"/>
      <c r="BJ45" s="125" t="str">
        <f t="shared" si="37"/>
        <v/>
      </c>
      <c r="BK45" s="14"/>
      <c r="BL45" s="125" t="str">
        <f t="shared" si="38"/>
        <v/>
      </c>
      <c r="BM45" s="20"/>
      <c r="BN45" s="20"/>
      <c r="BO45" s="125" t="str">
        <f t="shared" si="39"/>
        <v/>
      </c>
      <c r="BP45" s="14"/>
      <c r="BQ45" s="125" t="str">
        <f t="shared" si="40"/>
        <v/>
      </c>
      <c r="BR45" s="20"/>
      <c r="BS45" s="20"/>
      <c r="BT45" s="125" t="str">
        <f t="shared" si="41"/>
        <v/>
      </c>
      <c r="BU45" s="125" t="str">
        <f t="shared" si="42"/>
        <v/>
      </c>
      <c r="BV45" s="125" t="str">
        <f t="shared" si="43"/>
        <v/>
      </c>
      <c r="BW45" s="129" t="str">
        <f t="shared" si="44"/>
        <v/>
      </c>
      <c r="BX45" s="13"/>
      <c r="BY45" s="15"/>
      <c r="BZ45" s="14"/>
      <c r="CA45" s="117" t="str">
        <f>IF(_xlfn.XLOOKUP(BY45, AutoFill_classes!$A:$A, AutoFill_classes!$B:$B,"")=0,"",_xlfn.XLOOKUP(BY45, AutoFill_classes!$A:$A, AutoFill_classes!$B:$B,""))</f>
        <v/>
      </c>
      <c r="CB45" s="108"/>
      <c r="CC45" s="14"/>
      <c r="CD45" s="14"/>
      <c r="CE45" s="14"/>
      <c r="CF45" s="21"/>
      <c r="CG45" s="22"/>
      <c r="CH45" s="62"/>
      <c r="CI45" s="23"/>
      <c r="CJ45" s="121" t="str">
        <f t="shared" si="45"/>
        <v/>
      </c>
      <c r="CK45" s="20"/>
      <c r="CL45" s="20"/>
      <c r="CM45" s="20"/>
      <c r="CN45" s="20"/>
      <c r="CO45" s="125" t="str">
        <f t="shared" si="46"/>
        <v/>
      </c>
      <c r="CP45" s="14"/>
      <c r="CQ45" s="125" t="str">
        <f t="shared" si="47"/>
        <v/>
      </c>
      <c r="CR45" s="20"/>
      <c r="CS45" s="20"/>
      <c r="CT45" s="125" t="str">
        <f t="shared" si="48"/>
        <v/>
      </c>
      <c r="CU45" s="14"/>
      <c r="CV45" s="125" t="str">
        <f t="shared" si="49"/>
        <v/>
      </c>
      <c r="CW45" s="20"/>
      <c r="CX45" s="20"/>
      <c r="CY45" s="125" t="str">
        <f t="shared" si="50"/>
        <v/>
      </c>
      <c r="CZ45" s="125" t="str">
        <f t="shared" si="51"/>
        <v/>
      </c>
      <c r="DA45" s="125" t="str">
        <f t="shared" si="52"/>
        <v/>
      </c>
      <c r="DB45" s="129" t="str">
        <f t="shared" si="53"/>
        <v/>
      </c>
      <c r="DC45" s="14"/>
      <c r="DD45" s="63"/>
      <c r="DE45" s="105">
        <v>43</v>
      </c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 s="1" customFormat="1" ht="13" hidden="1" customHeight="1" outlineLevel="1" x14ac:dyDescent="0.2">
      <c r="A46" s="4"/>
      <c r="B46" s="115" t="str">
        <f>IF(_xlfn.XLOOKUP(A46, AutoFill_names!B:B, AutoFill_names!C:C,"")=0,"",_xlfn.XLOOKUP(A46, AutoFill_names!B:B, AutoFill_names!C:C,""))</f>
        <v/>
      </c>
      <c r="C46" s="115" t="str">
        <f>IF(_xlfn.XLOOKUP(A46, AutoFill_names!B:B, AutoFill_names!D:D,"")=0,"",_xlfn.XLOOKUP(A46, AutoFill_names!B:B, AutoFill_names!D:D,""))</f>
        <v/>
      </c>
      <c r="D46" s="115" t="str">
        <f>IF(_xlfn.XLOOKUP(A46, AutoFill_names!B:B, AutoFill_names!E:E,"")=0,"",_xlfn.XLOOKUP(A46, AutoFill_names!B:B, AutoFill_names!E:E,""))</f>
        <v/>
      </c>
      <c r="E46" s="115" t="str">
        <f>IF(_xlfn.XLOOKUP(A46, AutoFill_names!B:B, AutoFill_names!F:F,"")=0,"",_xlfn.XLOOKUP(A46, AutoFill_names!B:B, AutoFill_names!F:F,""))</f>
        <v/>
      </c>
      <c r="F46" s="92"/>
      <c r="J46" s="115" t="str">
        <f>IF(_xlfn.XLOOKUP(A46, AutoFill_names!B:B, AutoFill_names!K:K,"")=0,"",_xlfn.XLOOKUP(A46, AutoFill_names!B:B, AutoFill_names!K:K,""))</f>
        <v/>
      </c>
      <c r="K46" s="115" t="str">
        <f>IF(_xlfn.XLOOKUP(A46, AutoFill_names!B:B, AutoFill_names!L:L,"")=0,"",_xlfn.XLOOKUP(A46, AutoFill_names!B:B, AutoFill_names!L:L,""))</f>
        <v/>
      </c>
      <c r="L46" s="31"/>
      <c r="M46" s="31"/>
      <c r="N46" s="117" t="str">
        <f>IF(_xlfn.XLOOKUP(L46, AutoFill_classes!A:A, AutoFill_classes!B:B,"")=0,"",_xlfn.XLOOKUP(L46, AutoFill_classes!A:A, AutoFill_classes!B:B,""))</f>
        <v/>
      </c>
      <c r="O46" s="108"/>
      <c r="P46" s="6"/>
      <c r="Q46" s="6"/>
      <c r="R46" s="6"/>
      <c r="S46" s="2"/>
      <c r="T46" s="2"/>
      <c r="U46" s="2"/>
      <c r="X46" s="62"/>
      <c r="Y46" s="18"/>
      <c r="Z46" s="121" t="str">
        <f t="shared" si="27"/>
        <v/>
      </c>
      <c r="AA46" s="20"/>
      <c r="AB46" s="20"/>
      <c r="AC46" s="20"/>
      <c r="AD46" s="20"/>
      <c r="AE46" s="125" t="str">
        <f t="shared" si="28"/>
        <v/>
      </c>
      <c r="AF46" s="14"/>
      <c r="AG46" s="125" t="str">
        <f t="shared" si="29"/>
        <v/>
      </c>
      <c r="AH46" s="20"/>
      <c r="AI46" s="20"/>
      <c r="AJ46" s="125" t="str">
        <f t="shared" si="30"/>
        <v/>
      </c>
      <c r="AK46" s="14"/>
      <c r="AL46" s="125" t="str">
        <f t="shared" si="31"/>
        <v/>
      </c>
      <c r="AM46" s="20"/>
      <c r="AN46" s="20"/>
      <c r="AO46" s="125" t="str">
        <f t="shared" si="32"/>
        <v/>
      </c>
      <c r="AP46" s="125" t="str">
        <f t="shared" si="33"/>
        <v/>
      </c>
      <c r="AQ46" s="125" t="str">
        <f t="shared" si="34"/>
        <v/>
      </c>
      <c r="AR46" s="129" t="str">
        <f t="shared" si="35"/>
        <v/>
      </c>
      <c r="AS46" s="14"/>
      <c r="AT46" s="13"/>
      <c r="AU46" s="13"/>
      <c r="AV46" s="117" t="str">
        <f>IF(_xlfn.XLOOKUP(AT46, AutoFill_classes!$A:$A, AutoFill_classes!$B:$B,"")=0,"",_xlfn.XLOOKUP(AT46, AutoFill_classes!$A:$A, AutoFill_classes!$B:$B,""))</f>
        <v/>
      </c>
      <c r="AW46" s="108"/>
      <c r="AX46" s="13"/>
      <c r="AY46" s="13"/>
      <c r="AZ46" s="13"/>
      <c r="BA46" s="13"/>
      <c r="BB46" s="13"/>
      <c r="BC46" s="62"/>
      <c r="BD46" s="18"/>
      <c r="BE46" s="121" t="str">
        <f t="shared" si="36"/>
        <v/>
      </c>
      <c r="BF46" s="20"/>
      <c r="BG46" s="20"/>
      <c r="BH46" s="20"/>
      <c r="BI46" s="20"/>
      <c r="BJ46" s="125" t="str">
        <f t="shared" si="37"/>
        <v/>
      </c>
      <c r="BK46" s="14"/>
      <c r="BL46" s="125" t="str">
        <f t="shared" si="38"/>
        <v/>
      </c>
      <c r="BM46" s="20"/>
      <c r="BN46" s="20"/>
      <c r="BO46" s="125" t="str">
        <f t="shared" si="39"/>
        <v/>
      </c>
      <c r="BP46" s="14"/>
      <c r="BQ46" s="125" t="str">
        <f t="shared" si="40"/>
        <v/>
      </c>
      <c r="BR46" s="20"/>
      <c r="BS46" s="20"/>
      <c r="BT46" s="125" t="str">
        <f t="shared" si="41"/>
        <v/>
      </c>
      <c r="BU46" s="125" t="str">
        <f t="shared" si="42"/>
        <v/>
      </c>
      <c r="BV46" s="125" t="str">
        <f t="shared" si="43"/>
        <v/>
      </c>
      <c r="BW46" s="129" t="str">
        <f t="shared" si="44"/>
        <v/>
      </c>
      <c r="BX46" s="13"/>
      <c r="BY46" s="15"/>
      <c r="BZ46" s="14"/>
      <c r="CA46" s="117" t="str">
        <f>IF(_xlfn.XLOOKUP(BY46, AutoFill_classes!$A:$A, AutoFill_classes!$B:$B,"")=0,"",_xlfn.XLOOKUP(BY46, AutoFill_classes!$A:$A, AutoFill_classes!$B:$B,""))</f>
        <v/>
      </c>
      <c r="CB46" s="108"/>
      <c r="CC46" s="14"/>
      <c r="CD46" s="14"/>
      <c r="CE46" s="14"/>
      <c r="CF46" s="21"/>
      <c r="CG46" s="22"/>
      <c r="CH46" s="62"/>
      <c r="CI46" s="23"/>
      <c r="CJ46" s="121" t="str">
        <f t="shared" si="45"/>
        <v/>
      </c>
      <c r="CK46" s="20"/>
      <c r="CL46" s="20"/>
      <c r="CM46" s="20"/>
      <c r="CN46" s="20"/>
      <c r="CO46" s="125" t="str">
        <f t="shared" si="46"/>
        <v/>
      </c>
      <c r="CP46" s="14"/>
      <c r="CQ46" s="125" t="str">
        <f t="shared" si="47"/>
        <v/>
      </c>
      <c r="CR46" s="20"/>
      <c r="CS46" s="20"/>
      <c r="CT46" s="125" t="str">
        <f t="shared" si="48"/>
        <v/>
      </c>
      <c r="CU46" s="14"/>
      <c r="CV46" s="125" t="str">
        <f t="shared" si="49"/>
        <v/>
      </c>
      <c r="CW46" s="20"/>
      <c r="CX46" s="20"/>
      <c r="CY46" s="125" t="str">
        <f t="shared" si="50"/>
        <v/>
      </c>
      <c r="CZ46" s="125" t="str">
        <f t="shared" si="51"/>
        <v/>
      </c>
      <c r="DA46" s="125" t="str">
        <f t="shared" si="52"/>
        <v/>
      </c>
      <c r="DB46" s="129" t="str">
        <f t="shared" si="53"/>
        <v/>
      </c>
      <c r="DC46" s="14"/>
      <c r="DD46" s="63"/>
      <c r="DE46" s="105">
        <v>44</v>
      </c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spans="1:176" s="1" customFormat="1" ht="13" hidden="1" customHeight="1" outlineLevel="1" x14ac:dyDescent="0.2">
      <c r="A47" s="4"/>
      <c r="B47" s="115" t="str">
        <f>IF(_xlfn.XLOOKUP(A47, AutoFill_names!B:B, AutoFill_names!C:C,"")=0,"",_xlfn.XLOOKUP(A47, AutoFill_names!B:B, AutoFill_names!C:C,""))</f>
        <v/>
      </c>
      <c r="C47" s="115" t="str">
        <f>IF(_xlfn.XLOOKUP(A47, AutoFill_names!B:B, AutoFill_names!D:D,"")=0,"",_xlfn.XLOOKUP(A47, AutoFill_names!B:B, AutoFill_names!D:D,""))</f>
        <v/>
      </c>
      <c r="D47" s="115" t="str">
        <f>IF(_xlfn.XLOOKUP(A47, AutoFill_names!B:B, AutoFill_names!E:E,"")=0,"",_xlfn.XLOOKUP(A47, AutoFill_names!B:B, AutoFill_names!E:E,""))</f>
        <v/>
      </c>
      <c r="E47" s="115" t="str">
        <f>IF(_xlfn.XLOOKUP(A47, AutoFill_names!B:B, AutoFill_names!F:F,"")=0,"",_xlfn.XLOOKUP(A47, AutoFill_names!B:B, AutoFill_names!F:F,""))</f>
        <v/>
      </c>
      <c r="F47" s="92"/>
      <c r="J47" s="115" t="str">
        <f>IF(_xlfn.XLOOKUP(A47, AutoFill_names!B:B, AutoFill_names!K:K,"")=0,"",_xlfn.XLOOKUP(A47, AutoFill_names!B:B, AutoFill_names!K:K,""))</f>
        <v/>
      </c>
      <c r="K47" s="115" t="str">
        <f>IF(_xlfn.XLOOKUP(A47, AutoFill_names!B:B, AutoFill_names!L:L,"")=0,"",_xlfn.XLOOKUP(A47, AutoFill_names!B:B, AutoFill_names!L:L,""))</f>
        <v/>
      </c>
      <c r="L47" s="31"/>
      <c r="M47" s="31"/>
      <c r="N47" s="117" t="str">
        <f>IF(_xlfn.XLOOKUP(L47, AutoFill_classes!A:A, AutoFill_classes!B:B,"")=0,"",_xlfn.XLOOKUP(L47, AutoFill_classes!A:A, AutoFill_classes!B:B,""))</f>
        <v/>
      </c>
      <c r="O47" s="108"/>
      <c r="P47" s="6"/>
      <c r="Q47" s="6"/>
      <c r="R47" s="6"/>
      <c r="S47" s="2"/>
      <c r="T47" s="2"/>
      <c r="U47" s="2"/>
      <c r="X47" s="62"/>
      <c r="Y47" s="18"/>
      <c r="Z47" s="121" t="str">
        <f t="shared" si="27"/>
        <v/>
      </c>
      <c r="AA47" s="20"/>
      <c r="AB47" s="20"/>
      <c r="AC47" s="20"/>
      <c r="AD47" s="20"/>
      <c r="AE47" s="125" t="str">
        <f t="shared" si="28"/>
        <v/>
      </c>
      <c r="AF47" s="14"/>
      <c r="AG47" s="125" t="str">
        <f t="shared" si="29"/>
        <v/>
      </c>
      <c r="AH47" s="20"/>
      <c r="AI47" s="20"/>
      <c r="AJ47" s="125" t="str">
        <f t="shared" si="30"/>
        <v/>
      </c>
      <c r="AK47" s="14"/>
      <c r="AL47" s="125" t="str">
        <f t="shared" si="31"/>
        <v/>
      </c>
      <c r="AM47" s="20"/>
      <c r="AN47" s="20"/>
      <c r="AO47" s="125" t="str">
        <f t="shared" si="32"/>
        <v/>
      </c>
      <c r="AP47" s="125" t="str">
        <f t="shared" si="33"/>
        <v/>
      </c>
      <c r="AQ47" s="125" t="str">
        <f t="shared" si="34"/>
        <v/>
      </c>
      <c r="AR47" s="129" t="str">
        <f t="shared" si="35"/>
        <v/>
      </c>
      <c r="AS47" s="14"/>
      <c r="AT47" s="13"/>
      <c r="AU47" s="13"/>
      <c r="AV47" s="117" t="str">
        <f>IF(_xlfn.XLOOKUP(AT47, AutoFill_classes!$A:$A, AutoFill_classes!$B:$B,"")=0,"",_xlfn.XLOOKUP(AT47, AutoFill_classes!$A:$A, AutoFill_classes!$B:$B,""))</f>
        <v/>
      </c>
      <c r="AW47" s="108"/>
      <c r="AX47" s="13"/>
      <c r="AY47" s="13"/>
      <c r="AZ47" s="13"/>
      <c r="BA47" s="13"/>
      <c r="BB47" s="13"/>
      <c r="BC47" s="62"/>
      <c r="BD47" s="18"/>
      <c r="BE47" s="121" t="str">
        <f t="shared" si="36"/>
        <v/>
      </c>
      <c r="BF47" s="20"/>
      <c r="BG47" s="20"/>
      <c r="BH47" s="20"/>
      <c r="BI47" s="20"/>
      <c r="BJ47" s="125" t="str">
        <f t="shared" si="37"/>
        <v/>
      </c>
      <c r="BK47" s="14"/>
      <c r="BL47" s="125" t="str">
        <f t="shared" si="38"/>
        <v/>
      </c>
      <c r="BM47" s="20"/>
      <c r="BN47" s="20"/>
      <c r="BO47" s="125" t="str">
        <f t="shared" si="39"/>
        <v/>
      </c>
      <c r="BP47" s="14"/>
      <c r="BQ47" s="125" t="str">
        <f t="shared" si="40"/>
        <v/>
      </c>
      <c r="BR47" s="20"/>
      <c r="BS47" s="20"/>
      <c r="BT47" s="125" t="str">
        <f t="shared" si="41"/>
        <v/>
      </c>
      <c r="BU47" s="125" t="str">
        <f t="shared" si="42"/>
        <v/>
      </c>
      <c r="BV47" s="125" t="str">
        <f t="shared" si="43"/>
        <v/>
      </c>
      <c r="BW47" s="129" t="str">
        <f t="shared" si="44"/>
        <v/>
      </c>
      <c r="BX47" s="13"/>
      <c r="BY47" s="15"/>
      <c r="BZ47" s="14"/>
      <c r="CA47" s="117" t="str">
        <f>IF(_xlfn.XLOOKUP(BY47, AutoFill_classes!$A:$A, AutoFill_classes!$B:$B,"")=0,"",_xlfn.XLOOKUP(BY47, AutoFill_classes!$A:$A, AutoFill_classes!$B:$B,""))</f>
        <v/>
      </c>
      <c r="CB47" s="108"/>
      <c r="CC47" s="14"/>
      <c r="CD47" s="14"/>
      <c r="CE47" s="14"/>
      <c r="CF47" s="21"/>
      <c r="CG47" s="22"/>
      <c r="CH47" s="62"/>
      <c r="CI47" s="23"/>
      <c r="CJ47" s="121" t="str">
        <f t="shared" si="45"/>
        <v/>
      </c>
      <c r="CK47" s="20"/>
      <c r="CL47" s="20"/>
      <c r="CM47" s="20"/>
      <c r="CN47" s="20"/>
      <c r="CO47" s="125" t="str">
        <f t="shared" si="46"/>
        <v/>
      </c>
      <c r="CP47" s="14"/>
      <c r="CQ47" s="125" t="str">
        <f t="shared" si="47"/>
        <v/>
      </c>
      <c r="CR47" s="20"/>
      <c r="CS47" s="20"/>
      <c r="CT47" s="125" t="str">
        <f t="shared" si="48"/>
        <v/>
      </c>
      <c r="CU47" s="14"/>
      <c r="CV47" s="125" t="str">
        <f t="shared" si="49"/>
        <v/>
      </c>
      <c r="CW47" s="20"/>
      <c r="CX47" s="20"/>
      <c r="CY47" s="125" t="str">
        <f t="shared" si="50"/>
        <v/>
      </c>
      <c r="CZ47" s="125" t="str">
        <f t="shared" si="51"/>
        <v/>
      </c>
      <c r="DA47" s="125" t="str">
        <f t="shared" si="52"/>
        <v/>
      </c>
      <c r="DB47" s="129" t="str">
        <f t="shared" si="53"/>
        <v/>
      </c>
      <c r="DC47" s="14"/>
      <c r="DD47" s="63"/>
      <c r="DE47" s="105">
        <v>45</v>
      </c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spans="1:176" s="1" customFormat="1" ht="13" hidden="1" customHeight="1" outlineLevel="1" x14ac:dyDescent="0.2">
      <c r="A48" s="4"/>
      <c r="B48" s="115" t="str">
        <f>IF(_xlfn.XLOOKUP(A48, AutoFill_names!B:B, AutoFill_names!C:C,"")=0,"",_xlfn.XLOOKUP(A48, AutoFill_names!B:B, AutoFill_names!C:C,""))</f>
        <v/>
      </c>
      <c r="C48" s="115" t="str">
        <f>IF(_xlfn.XLOOKUP(A48, AutoFill_names!B:B, AutoFill_names!D:D,"")=0,"",_xlfn.XLOOKUP(A48, AutoFill_names!B:B, AutoFill_names!D:D,""))</f>
        <v/>
      </c>
      <c r="D48" s="115" t="str">
        <f>IF(_xlfn.XLOOKUP(A48, AutoFill_names!B:B, AutoFill_names!E:E,"")=0,"",_xlfn.XLOOKUP(A48, AutoFill_names!B:B, AutoFill_names!E:E,""))</f>
        <v/>
      </c>
      <c r="E48" s="115" t="str">
        <f>IF(_xlfn.XLOOKUP(A48, AutoFill_names!B:B, AutoFill_names!F:F,"")=0,"",_xlfn.XLOOKUP(A48, AutoFill_names!B:B, AutoFill_names!F:F,""))</f>
        <v/>
      </c>
      <c r="F48" s="92"/>
      <c r="J48" s="115" t="str">
        <f>IF(_xlfn.XLOOKUP(A48, AutoFill_names!B:B, AutoFill_names!K:K,"")=0,"",_xlfn.XLOOKUP(A48, AutoFill_names!B:B, AutoFill_names!K:K,""))</f>
        <v/>
      </c>
      <c r="K48" s="115" t="str">
        <f>IF(_xlfn.XLOOKUP(A48, AutoFill_names!B:B, AutoFill_names!L:L,"")=0,"",_xlfn.XLOOKUP(A48, AutoFill_names!B:B, AutoFill_names!L:L,""))</f>
        <v/>
      </c>
      <c r="L48" s="31"/>
      <c r="M48" s="31"/>
      <c r="N48" s="117" t="str">
        <f>IF(_xlfn.XLOOKUP(L48, AutoFill_classes!A:A, AutoFill_classes!B:B,"")=0,"",_xlfn.XLOOKUP(L48, AutoFill_classes!A:A, AutoFill_classes!B:B,""))</f>
        <v/>
      </c>
      <c r="O48" s="108"/>
      <c r="P48" s="6"/>
      <c r="Q48" s="6"/>
      <c r="R48" s="6"/>
      <c r="S48" s="2"/>
      <c r="T48" s="2"/>
      <c r="U48" s="2"/>
      <c r="X48" s="62"/>
      <c r="Y48" s="18"/>
      <c r="Z48" s="121" t="str">
        <f t="shared" si="27"/>
        <v/>
      </c>
      <c r="AA48" s="20"/>
      <c r="AB48" s="20"/>
      <c r="AC48" s="20"/>
      <c r="AD48" s="20"/>
      <c r="AE48" s="125" t="str">
        <f t="shared" si="28"/>
        <v/>
      </c>
      <c r="AF48" s="14"/>
      <c r="AG48" s="125" t="str">
        <f t="shared" si="29"/>
        <v/>
      </c>
      <c r="AH48" s="20"/>
      <c r="AI48" s="20"/>
      <c r="AJ48" s="125" t="str">
        <f t="shared" si="30"/>
        <v/>
      </c>
      <c r="AK48" s="14"/>
      <c r="AL48" s="125" t="str">
        <f t="shared" si="31"/>
        <v/>
      </c>
      <c r="AM48" s="20"/>
      <c r="AN48" s="20"/>
      <c r="AO48" s="125" t="str">
        <f t="shared" si="32"/>
        <v/>
      </c>
      <c r="AP48" s="125" t="str">
        <f t="shared" si="33"/>
        <v/>
      </c>
      <c r="AQ48" s="125" t="str">
        <f t="shared" si="34"/>
        <v/>
      </c>
      <c r="AR48" s="129" t="str">
        <f t="shared" si="35"/>
        <v/>
      </c>
      <c r="AS48" s="14"/>
      <c r="AT48" s="13"/>
      <c r="AU48" s="13"/>
      <c r="AV48" s="117" t="str">
        <f>IF(_xlfn.XLOOKUP(AT48, AutoFill_classes!$A:$A, AutoFill_classes!$B:$B,"")=0,"",_xlfn.XLOOKUP(AT48, AutoFill_classes!$A:$A, AutoFill_classes!$B:$B,""))</f>
        <v/>
      </c>
      <c r="AW48" s="108"/>
      <c r="AX48" s="13"/>
      <c r="AY48" s="13"/>
      <c r="AZ48" s="13"/>
      <c r="BA48" s="13"/>
      <c r="BB48" s="13"/>
      <c r="BC48" s="62"/>
      <c r="BD48" s="18"/>
      <c r="BE48" s="121" t="str">
        <f t="shared" si="36"/>
        <v/>
      </c>
      <c r="BF48" s="20"/>
      <c r="BG48" s="20"/>
      <c r="BH48" s="20"/>
      <c r="BI48" s="20"/>
      <c r="BJ48" s="125" t="str">
        <f t="shared" si="37"/>
        <v/>
      </c>
      <c r="BK48" s="14"/>
      <c r="BL48" s="125" t="str">
        <f t="shared" si="38"/>
        <v/>
      </c>
      <c r="BM48" s="20"/>
      <c r="BN48" s="20"/>
      <c r="BO48" s="125" t="str">
        <f t="shared" si="39"/>
        <v/>
      </c>
      <c r="BP48" s="14"/>
      <c r="BQ48" s="125" t="str">
        <f t="shared" si="40"/>
        <v/>
      </c>
      <c r="BR48" s="20"/>
      <c r="BS48" s="20"/>
      <c r="BT48" s="125" t="str">
        <f t="shared" si="41"/>
        <v/>
      </c>
      <c r="BU48" s="125" t="str">
        <f t="shared" si="42"/>
        <v/>
      </c>
      <c r="BV48" s="125" t="str">
        <f t="shared" si="43"/>
        <v/>
      </c>
      <c r="BW48" s="129" t="str">
        <f t="shared" si="44"/>
        <v/>
      </c>
      <c r="BX48" s="13"/>
      <c r="BY48" s="15"/>
      <c r="BZ48" s="14"/>
      <c r="CA48" s="117" t="str">
        <f>IF(_xlfn.XLOOKUP(BY48, AutoFill_classes!$A:$A, AutoFill_classes!$B:$B,"")=0,"",_xlfn.XLOOKUP(BY48, AutoFill_classes!$A:$A, AutoFill_classes!$B:$B,""))</f>
        <v/>
      </c>
      <c r="CB48" s="108"/>
      <c r="CC48" s="14"/>
      <c r="CD48" s="14"/>
      <c r="CE48" s="14"/>
      <c r="CF48" s="21"/>
      <c r="CG48" s="22"/>
      <c r="CH48" s="62"/>
      <c r="CI48" s="23"/>
      <c r="CJ48" s="121" t="str">
        <f t="shared" si="45"/>
        <v/>
      </c>
      <c r="CK48" s="20"/>
      <c r="CL48" s="20"/>
      <c r="CM48" s="20"/>
      <c r="CN48" s="20"/>
      <c r="CO48" s="125" t="str">
        <f t="shared" si="46"/>
        <v/>
      </c>
      <c r="CP48" s="14"/>
      <c r="CQ48" s="125" t="str">
        <f t="shared" si="47"/>
        <v/>
      </c>
      <c r="CR48" s="20"/>
      <c r="CS48" s="20"/>
      <c r="CT48" s="125" t="str">
        <f t="shared" si="48"/>
        <v/>
      </c>
      <c r="CU48" s="14"/>
      <c r="CV48" s="125" t="str">
        <f t="shared" si="49"/>
        <v/>
      </c>
      <c r="CW48" s="20"/>
      <c r="CX48" s="20"/>
      <c r="CY48" s="125" t="str">
        <f t="shared" si="50"/>
        <v/>
      </c>
      <c r="CZ48" s="125" t="str">
        <f t="shared" si="51"/>
        <v/>
      </c>
      <c r="DA48" s="125" t="str">
        <f t="shared" si="52"/>
        <v/>
      </c>
      <c r="DB48" s="129" t="str">
        <f t="shared" si="53"/>
        <v/>
      </c>
      <c r="DC48" s="14"/>
      <c r="DD48" s="63"/>
      <c r="DE48" s="105">
        <v>46</v>
      </c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spans="1:176" s="1" customFormat="1" ht="13" hidden="1" customHeight="1" outlineLevel="1" x14ac:dyDescent="0.2">
      <c r="A49" s="4"/>
      <c r="B49" s="115" t="str">
        <f>IF(_xlfn.XLOOKUP(A49, AutoFill_names!B:B, AutoFill_names!C:C,"")=0,"",_xlfn.XLOOKUP(A49, AutoFill_names!B:B, AutoFill_names!C:C,""))</f>
        <v/>
      </c>
      <c r="C49" s="115" t="str">
        <f>IF(_xlfn.XLOOKUP(A49, AutoFill_names!B:B, AutoFill_names!D:D,"")=0,"",_xlfn.XLOOKUP(A49, AutoFill_names!B:B, AutoFill_names!D:D,""))</f>
        <v/>
      </c>
      <c r="D49" s="115" t="str">
        <f>IF(_xlfn.XLOOKUP(A49, AutoFill_names!B:B, AutoFill_names!E:E,"")=0,"",_xlfn.XLOOKUP(A49, AutoFill_names!B:B, AutoFill_names!E:E,""))</f>
        <v/>
      </c>
      <c r="E49" s="115" t="str">
        <f>IF(_xlfn.XLOOKUP(A49, AutoFill_names!B:B, AutoFill_names!F:F,"")=0,"",_xlfn.XLOOKUP(A49, AutoFill_names!B:B, AutoFill_names!F:F,""))</f>
        <v/>
      </c>
      <c r="F49" s="92"/>
      <c r="J49" s="115" t="str">
        <f>IF(_xlfn.XLOOKUP(A49, AutoFill_names!B:B, AutoFill_names!K:K,"")=0,"",_xlfn.XLOOKUP(A49, AutoFill_names!B:B, AutoFill_names!K:K,""))</f>
        <v/>
      </c>
      <c r="K49" s="115" t="str">
        <f>IF(_xlfn.XLOOKUP(A49, AutoFill_names!B:B, AutoFill_names!L:L,"")=0,"",_xlfn.XLOOKUP(A49, AutoFill_names!B:B, AutoFill_names!L:L,""))</f>
        <v/>
      </c>
      <c r="L49" s="31"/>
      <c r="M49" s="31"/>
      <c r="N49" s="117" t="str">
        <f>IF(_xlfn.XLOOKUP(L49, AutoFill_classes!A:A, AutoFill_classes!B:B,"")=0,"",_xlfn.XLOOKUP(L49, AutoFill_classes!A:A, AutoFill_classes!B:B,""))</f>
        <v/>
      </c>
      <c r="O49" s="108"/>
      <c r="P49" s="6"/>
      <c r="Q49" s="6"/>
      <c r="R49" s="6"/>
      <c r="S49" s="2"/>
      <c r="T49" s="2"/>
      <c r="U49" s="2"/>
      <c r="X49" s="62"/>
      <c r="Y49" s="18"/>
      <c r="Z49" s="121" t="str">
        <f t="shared" si="27"/>
        <v/>
      </c>
      <c r="AA49" s="20"/>
      <c r="AB49" s="20"/>
      <c r="AC49" s="20"/>
      <c r="AD49" s="20"/>
      <c r="AE49" s="125" t="str">
        <f t="shared" si="28"/>
        <v/>
      </c>
      <c r="AF49" s="14"/>
      <c r="AG49" s="125" t="str">
        <f t="shared" si="29"/>
        <v/>
      </c>
      <c r="AH49" s="20"/>
      <c r="AI49" s="20"/>
      <c r="AJ49" s="125" t="str">
        <f t="shared" si="30"/>
        <v/>
      </c>
      <c r="AK49" s="14"/>
      <c r="AL49" s="125" t="str">
        <f t="shared" si="31"/>
        <v/>
      </c>
      <c r="AM49" s="20"/>
      <c r="AN49" s="20"/>
      <c r="AO49" s="125" t="str">
        <f t="shared" si="32"/>
        <v/>
      </c>
      <c r="AP49" s="125" t="str">
        <f t="shared" si="33"/>
        <v/>
      </c>
      <c r="AQ49" s="125" t="str">
        <f t="shared" si="34"/>
        <v/>
      </c>
      <c r="AR49" s="129" t="str">
        <f t="shared" si="35"/>
        <v/>
      </c>
      <c r="AS49" s="14"/>
      <c r="AT49" s="13"/>
      <c r="AU49" s="13"/>
      <c r="AV49" s="117" t="str">
        <f>IF(_xlfn.XLOOKUP(AT49, AutoFill_classes!$A:$A, AutoFill_classes!$B:$B,"")=0,"",_xlfn.XLOOKUP(AT49, AutoFill_classes!$A:$A, AutoFill_classes!$B:$B,""))</f>
        <v/>
      </c>
      <c r="AW49" s="108"/>
      <c r="AX49" s="13"/>
      <c r="AY49" s="13"/>
      <c r="AZ49" s="13"/>
      <c r="BA49" s="13"/>
      <c r="BB49" s="13"/>
      <c r="BC49" s="62"/>
      <c r="BD49" s="18"/>
      <c r="BE49" s="121" t="str">
        <f t="shared" si="36"/>
        <v/>
      </c>
      <c r="BF49" s="20"/>
      <c r="BG49" s="20"/>
      <c r="BH49" s="20"/>
      <c r="BI49" s="20"/>
      <c r="BJ49" s="125" t="str">
        <f t="shared" si="37"/>
        <v/>
      </c>
      <c r="BK49" s="14"/>
      <c r="BL49" s="125" t="str">
        <f t="shared" si="38"/>
        <v/>
      </c>
      <c r="BM49" s="20"/>
      <c r="BN49" s="20"/>
      <c r="BO49" s="125" t="str">
        <f t="shared" si="39"/>
        <v/>
      </c>
      <c r="BP49" s="14"/>
      <c r="BQ49" s="125" t="str">
        <f t="shared" si="40"/>
        <v/>
      </c>
      <c r="BR49" s="20"/>
      <c r="BS49" s="20"/>
      <c r="BT49" s="125" t="str">
        <f t="shared" si="41"/>
        <v/>
      </c>
      <c r="BU49" s="125" t="str">
        <f t="shared" si="42"/>
        <v/>
      </c>
      <c r="BV49" s="125" t="str">
        <f t="shared" si="43"/>
        <v/>
      </c>
      <c r="BW49" s="129" t="str">
        <f t="shared" si="44"/>
        <v/>
      </c>
      <c r="BX49" s="13"/>
      <c r="BY49" s="15"/>
      <c r="BZ49" s="14"/>
      <c r="CA49" s="117" t="str">
        <f>IF(_xlfn.XLOOKUP(BY49, AutoFill_classes!$A:$A, AutoFill_classes!$B:$B,"")=0,"",_xlfn.XLOOKUP(BY49, AutoFill_classes!$A:$A, AutoFill_classes!$B:$B,""))</f>
        <v/>
      </c>
      <c r="CB49" s="108"/>
      <c r="CC49" s="14"/>
      <c r="CD49" s="14"/>
      <c r="CE49" s="14"/>
      <c r="CF49" s="21"/>
      <c r="CG49" s="22"/>
      <c r="CH49" s="62"/>
      <c r="CI49" s="23"/>
      <c r="CJ49" s="121" t="str">
        <f t="shared" si="45"/>
        <v/>
      </c>
      <c r="CK49" s="20"/>
      <c r="CL49" s="20"/>
      <c r="CM49" s="20"/>
      <c r="CN49" s="20"/>
      <c r="CO49" s="125" t="str">
        <f t="shared" si="46"/>
        <v/>
      </c>
      <c r="CP49" s="14"/>
      <c r="CQ49" s="125" t="str">
        <f t="shared" si="47"/>
        <v/>
      </c>
      <c r="CR49" s="20"/>
      <c r="CS49" s="20"/>
      <c r="CT49" s="125" t="str">
        <f t="shared" si="48"/>
        <v/>
      </c>
      <c r="CU49" s="14"/>
      <c r="CV49" s="125" t="str">
        <f t="shared" si="49"/>
        <v/>
      </c>
      <c r="CW49" s="20"/>
      <c r="CX49" s="20"/>
      <c r="CY49" s="125" t="str">
        <f t="shared" si="50"/>
        <v/>
      </c>
      <c r="CZ49" s="125" t="str">
        <f t="shared" si="51"/>
        <v/>
      </c>
      <c r="DA49" s="125" t="str">
        <f t="shared" si="52"/>
        <v/>
      </c>
      <c r="DB49" s="129" t="str">
        <f t="shared" si="53"/>
        <v/>
      </c>
      <c r="DC49" s="14"/>
      <c r="DD49" s="63"/>
      <c r="DE49" s="105">
        <v>47</v>
      </c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spans="1:176" s="1" customFormat="1" ht="13" hidden="1" customHeight="1" outlineLevel="1" x14ac:dyDescent="0.2">
      <c r="A50" s="4"/>
      <c r="B50" s="115" t="str">
        <f>IF(_xlfn.XLOOKUP(A50, AutoFill_names!B:B, AutoFill_names!C:C,"")=0,"",_xlfn.XLOOKUP(A50, AutoFill_names!B:B, AutoFill_names!C:C,""))</f>
        <v/>
      </c>
      <c r="C50" s="115" t="str">
        <f>IF(_xlfn.XLOOKUP(A50, AutoFill_names!B:B, AutoFill_names!D:D,"")=0,"",_xlfn.XLOOKUP(A50, AutoFill_names!B:B, AutoFill_names!D:D,""))</f>
        <v/>
      </c>
      <c r="D50" s="115" t="str">
        <f>IF(_xlfn.XLOOKUP(A50, AutoFill_names!B:B, AutoFill_names!E:E,"")=0,"",_xlfn.XLOOKUP(A50, AutoFill_names!B:B, AutoFill_names!E:E,""))</f>
        <v/>
      </c>
      <c r="E50" s="115" t="str">
        <f>IF(_xlfn.XLOOKUP(A50, AutoFill_names!B:B, AutoFill_names!F:F,"")=0,"",_xlfn.XLOOKUP(A50, AutoFill_names!B:B, AutoFill_names!F:F,""))</f>
        <v/>
      </c>
      <c r="F50" s="92"/>
      <c r="J50" s="115" t="str">
        <f>IF(_xlfn.XLOOKUP(A50, AutoFill_names!B:B, AutoFill_names!K:K,"")=0,"",_xlfn.XLOOKUP(A50, AutoFill_names!B:B, AutoFill_names!K:K,""))</f>
        <v/>
      </c>
      <c r="K50" s="115" t="str">
        <f>IF(_xlfn.XLOOKUP(A50, AutoFill_names!B:B, AutoFill_names!L:L,"")=0,"",_xlfn.XLOOKUP(A50, AutoFill_names!B:B, AutoFill_names!L:L,""))</f>
        <v/>
      </c>
      <c r="L50" s="31"/>
      <c r="M50" s="31"/>
      <c r="N50" s="117" t="str">
        <f>IF(_xlfn.XLOOKUP(L50, AutoFill_classes!A:A, AutoFill_classes!B:B,"")=0,"",_xlfn.XLOOKUP(L50, AutoFill_classes!A:A, AutoFill_classes!B:B,""))</f>
        <v/>
      </c>
      <c r="O50" s="108"/>
      <c r="P50" s="6"/>
      <c r="Q50" s="6"/>
      <c r="R50" s="6"/>
      <c r="S50" s="2"/>
      <c r="T50" s="2"/>
      <c r="U50" s="2"/>
      <c r="X50" s="62"/>
      <c r="Y50" s="18"/>
      <c r="Z50" s="121" t="str">
        <f t="shared" si="27"/>
        <v/>
      </c>
      <c r="AA50" s="20"/>
      <c r="AB50" s="20"/>
      <c r="AC50" s="20"/>
      <c r="AD50" s="20"/>
      <c r="AE50" s="125" t="str">
        <f t="shared" si="28"/>
        <v/>
      </c>
      <c r="AF50" s="14"/>
      <c r="AG50" s="125" t="str">
        <f t="shared" si="29"/>
        <v/>
      </c>
      <c r="AH50" s="20"/>
      <c r="AI50" s="20"/>
      <c r="AJ50" s="125" t="str">
        <f t="shared" si="30"/>
        <v/>
      </c>
      <c r="AK50" s="14"/>
      <c r="AL50" s="125" t="str">
        <f t="shared" si="31"/>
        <v/>
      </c>
      <c r="AM50" s="20"/>
      <c r="AN50" s="20"/>
      <c r="AO50" s="125" t="str">
        <f t="shared" si="32"/>
        <v/>
      </c>
      <c r="AP50" s="125" t="str">
        <f t="shared" si="33"/>
        <v/>
      </c>
      <c r="AQ50" s="125" t="str">
        <f t="shared" si="34"/>
        <v/>
      </c>
      <c r="AR50" s="129" t="str">
        <f t="shared" si="35"/>
        <v/>
      </c>
      <c r="AS50" s="14"/>
      <c r="AT50" s="13"/>
      <c r="AU50" s="13"/>
      <c r="AV50" s="117" t="str">
        <f>IF(_xlfn.XLOOKUP(AT50, AutoFill_classes!$A:$A, AutoFill_classes!$B:$B,"")=0,"",_xlfn.XLOOKUP(AT50, AutoFill_classes!$A:$A, AutoFill_classes!$B:$B,""))</f>
        <v/>
      </c>
      <c r="AW50" s="108"/>
      <c r="AX50" s="13"/>
      <c r="AY50" s="13"/>
      <c r="AZ50" s="13"/>
      <c r="BA50" s="13"/>
      <c r="BB50" s="13"/>
      <c r="BC50" s="62"/>
      <c r="BD50" s="18"/>
      <c r="BE50" s="121" t="str">
        <f t="shared" si="36"/>
        <v/>
      </c>
      <c r="BF50" s="20"/>
      <c r="BG50" s="20"/>
      <c r="BH50" s="20"/>
      <c r="BI50" s="20"/>
      <c r="BJ50" s="125" t="str">
        <f t="shared" si="37"/>
        <v/>
      </c>
      <c r="BK50" s="14"/>
      <c r="BL50" s="125" t="str">
        <f t="shared" si="38"/>
        <v/>
      </c>
      <c r="BM50" s="20"/>
      <c r="BN50" s="20"/>
      <c r="BO50" s="125" t="str">
        <f t="shared" si="39"/>
        <v/>
      </c>
      <c r="BP50" s="14"/>
      <c r="BQ50" s="125" t="str">
        <f t="shared" si="40"/>
        <v/>
      </c>
      <c r="BR50" s="20"/>
      <c r="BS50" s="20"/>
      <c r="BT50" s="125" t="str">
        <f t="shared" si="41"/>
        <v/>
      </c>
      <c r="BU50" s="125" t="str">
        <f t="shared" si="42"/>
        <v/>
      </c>
      <c r="BV50" s="125" t="str">
        <f t="shared" si="43"/>
        <v/>
      </c>
      <c r="BW50" s="129" t="str">
        <f t="shared" si="44"/>
        <v/>
      </c>
      <c r="BX50" s="13"/>
      <c r="BY50" s="15"/>
      <c r="BZ50" s="14"/>
      <c r="CA50" s="117" t="str">
        <f>IF(_xlfn.XLOOKUP(BY50, AutoFill_classes!$A:$A, AutoFill_classes!$B:$B,"")=0,"",_xlfn.XLOOKUP(BY50, AutoFill_classes!$A:$A, AutoFill_classes!$B:$B,""))</f>
        <v/>
      </c>
      <c r="CB50" s="108"/>
      <c r="CC50" s="14"/>
      <c r="CD50" s="14"/>
      <c r="CE50" s="14"/>
      <c r="CF50" s="21"/>
      <c r="CG50" s="22"/>
      <c r="CH50" s="62"/>
      <c r="CI50" s="23"/>
      <c r="CJ50" s="121" t="str">
        <f t="shared" si="45"/>
        <v/>
      </c>
      <c r="CK50" s="20"/>
      <c r="CL50" s="20"/>
      <c r="CM50" s="20"/>
      <c r="CN50" s="20"/>
      <c r="CO50" s="125" t="str">
        <f t="shared" si="46"/>
        <v/>
      </c>
      <c r="CP50" s="14"/>
      <c r="CQ50" s="125" t="str">
        <f t="shared" si="47"/>
        <v/>
      </c>
      <c r="CR50" s="20"/>
      <c r="CS50" s="20"/>
      <c r="CT50" s="125" t="str">
        <f t="shared" si="48"/>
        <v/>
      </c>
      <c r="CU50" s="14"/>
      <c r="CV50" s="125" t="str">
        <f t="shared" si="49"/>
        <v/>
      </c>
      <c r="CW50" s="20"/>
      <c r="CX50" s="20"/>
      <c r="CY50" s="125" t="str">
        <f t="shared" si="50"/>
        <v/>
      </c>
      <c r="CZ50" s="125" t="str">
        <f t="shared" si="51"/>
        <v/>
      </c>
      <c r="DA50" s="125" t="str">
        <f t="shared" si="52"/>
        <v/>
      </c>
      <c r="DB50" s="129" t="str">
        <f t="shared" si="53"/>
        <v/>
      </c>
      <c r="DC50" s="14"/>
      <c r="DD50" s="63"/>
      <c r="DE50" s="105">
        <v>48</v>
      </c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</row>
    <row r="51" spans="1:176" s="1" customFormat="1" ht="13" hidden="1" customHeight="1" outlineLevel="1" x14ac:dyDescent="0.2">
      <c r="A51" s="4"/>
      <c r="B51" s="115" t="str">
        <f>IF(_xlfn.XLOOKUP(A51, AutoFill_names!B:B, AutoFill_names!C:C,"")=0,"",_xlfn.XLOOKUP(A51, AutoFill_names!B:B, AutoFill_names!C:C,""))</f>
        <v/>
      </c>
      <c r="C51" s="115" t="str">
        <f>IF(_xlfn.XLOOKUP(A51, AutoFill_names!B:B, AutoFill_names!D:D,"")=0,"",_xlfn.XLOOKUP(A51, AutoFill_names!B:B, AutoFill_names!D:D,""))</f>
        <v/>
      </c>
      <c r="D51" s="115" t="str">
        <f>IF(_xlfn.XLOOKUP(A51, AutoFill_names!B:B, AutoFill_names!E:E,"")=0,"",_xlfn.XLOOKUP(A51, AutoFill_names!B:B, AutoFill_names!E:E,""))</f>
        <v/>
      </c>
      <c r="E51" s="115" t="str">
        <f>IF(_xlfn.XLOOKUP(A51, AutoFill_names!B:B, AutoFill_names!F:F,"")=0,"",_xlfn.XLOOKUP(A51, AutoFill_names!B:B, AutoFill_names!F:F,""))</f>
        <v/>
      </c>
      <c r="F51" s="92"/>
      <c r="J51" s="115" t="str">
        <f>IF(_xlfn.XLOOKUP(A51, AutoFill_names!B:B, AutoFill_names!K:K,"")=0,"",_xlfn.XLOOKUP(A51, AutoFill_names!B:B, AutoFill_names!K:K,""))</f>
        <v/>
      </c>
      <c r="K51" s="115" t="str">
        <f>IF(_xlfn.XLOOKUP(A51, AutoFill_names!B:B, AutoFill_names!L:L,"")=0,"",_xlfn.XLOOKUP(A51, AutoFill_names!B:B, AutoFill_names!L:L,""))</f>
        <v/>
      </c>
      <c r="L51" s="31"/>
      <c r="M51" s="31"/>
      <c r="N51" s="117" t="str">
        <f>IF(_xlfn.XLOOKUP(L51, AutoFill_classes!A:A, AutoFill_classes!B:B,"")=0,"",_xlfn.XLOOKUP(L51, AutoFill_classes!A:A, AutoFill_classes!B:B,""))</f>
        <v/>
      </c>
      <c r="O51" s="108"/>
      <c r="P51" s="6"/>
      <c r="Q51" s="6"/>
      <c r="R51" s="6"/>
      <c r="S51" s="2"/>
      <c r="T51" s="2"/>
      <c r="U51" s="2"/>
      <c r="X51" s="62"/>
      <c r="Y51" s="18"/>
      <c r="Z51" s="121" t="str">
        <f t="shared" si="27"/>
        <v/>
      </c>
      <c r="AA51" s="20"/>
      <c r="AB51" s="20"/>
      <c r="AC51" s="20"/>
      <c r="AD51" s="20"/>
      <c r="AE51" s="125" t="str">
        <f t="shared" si="28"/>
        <v/>
      </c>
      <c r="AF51" s="14"/>
      <c r="AG51" s="125" t="str">
        <f t="shared" si="29"/>
        <v/>
      </c>
      <c r="AH51" s="20"/>
      <c r="AI51" s="20"/>
      <c r="AJ51" s="125" t="str">
        <f t="shared" si="30"/>
        <v/>
      </c>
      <c r="AK51" s="14"/>
      <c r="AL51" s="125" t="str">
        <f t="shared" si="31"/>
        <v/>
      </c>
      <c r="AM51" s="20"/>
      <c r="AN51" s="20"/>
      <c r="AO51" s="125" t="str">
        <f t="shared" si="32"/>
        <v/>
      </c>
      <c r="AP51" s="125" t="str">
        <f t="shared" si="33"/>
        <v/>
      </c>
      <c r="AQ51" s="125" t="str">
        <f t="shared" si="34"/>
        <v/>
      </c>
      <c r="AR51" s="129" t="str">
        <f t="shared" si="35"/>
        <v/>
      </c>
      <c r="AS51" s="14"/>
      <c r="AT51" s="13"/>
      <c r="AU51" s="13"/>
      <c r="AV51" s="117" t="str">
        <f>IF(_xlfn.XLOOKUP(AT51, AutoFill_classes!$A:$A, AutoFill_classes!$B:$B,"")=0,"",_xlfn.XLOOKUP(AT51, AutoFill_classes!$A:$A, AutoFill_classes!$B:$B,""))</f>
        <v/>
      </c>
      <c r="AW51" s="108"/>
      <c r="AX51" s="13"/>
      <c r="AY51" s="13"/>
      <c r="AZ51" s="13"/>
      <c r="BA51" s="13"/>
      <c r="BB51" s="13"/>
      <c r="BC51" s="62"/>
      <c r="BD51" s="18"/>
      <c r="BE51" s="121" t="str">
        <f t="shared" si="36"/>
        <v/>
      </c>
      <c r="BF51" s="20"/>
      <c r="BG51" s="20"/>
      <c r="BH51" s="20"/>
      <c r="BI51" s="20"/>
      <c r="BJ51" s="125" t="str">
        <f t="shared" si="37"/>
        <v/>
      </c>
      <c r="BK51" s="14"/>
      <c r="BL51" s="125" t="str">
        <f t="shared" si="38"/>
        <v/>
      </c>
      <c r="BM51" s="20"/>
      <c r="BN51" s="20"/>
      <c r="BO51" s="125" t="str">
        <f t="shared" si="39"/>
        <v/>
      </c>
      <c r="BP51" s="14"/>
      <c r="BQ51" s="125" t="str">
        <f t="shared" si="40"/>
        <v/>
      </c>
      <c r="BR51" s="20"/>
      <c r="BS51" s="20"/>
      <c r="BT51" s="125" t="str">
        <f t="shared" si="41"/>
        <v/>
      </c>
      <c r="BU51" s="125" t="str">
        <f t="shared" si="42"/>
        <v/>
      </c>
      <c r="BV51" s="125" t="str">
        <f t="shared" si="43"/>
        <v/>
      </c>
      <c r="BW51" s="129" t="str">
        <f t="shared" si="44"/>
        <v/>
      </c>
      <c r="BX51" s="13"/>
      <c r="BY51" s="15"/>
      <c r="BZ51" s="14"/>
      <c r="CA51" s="117" t="str">
        <f>IF(_xlfn.XLOOKUP(BY51, AutoFill_classes!$A:$A, AutoFill_classes!$B:$B,"")=0,"",_xlfn.XLOOKUP(BY51, AutoFill_classes!$A:$A, AutoFill_classes!$B:$B,""))</f>
        <v/>
      </c>
      <c r="CB51" s="108"/>
      <c r="CC51" s="14"/>
      <c r="CD51" s="14"/>
      <c r="CE51" s="14"/>
      <c r="CF51" s="21"/>
      <c r="CG51" s="22"/>
      <c r="CH51" s="62"/>
      <c r="CI51" s="23"/>
      <c r="CJ51" s="121" t="str">
        <f t="shared" si="45"/>
        <v/>
      </c>
      <c r="CK51" s="20"/>
      <c r="CL51" s="20"/>
      <c r="CM51" s="20"/>
      <c r="CN51" s="20"/>
      <c r="CO51" s="125" t="str">
        <f t="shared" si="46"/>
        <v/>
      </c>
      <c r="CP51" s="14"/>
      <c r="CQ51" s="125" t="str">
        <f t="shared" si="47"/>
        <v/>
      </c>
      <c r="CR51" s="20"/>
      <c r="CS51" s="20"/>
      <c r="CT51" s="125" t="str">
        <f t="shared" si="48"/>
        <v/>
      </c>
      <c r="CU51" s="14"/>
      <c r="CV51" s="125" t="str">
        <f t="shared" si="49"/>
        <v/>
      </c>
      <c r="CW51" s="20"/>
      <c r="CX51" s="20"/>
      <c r="CY51" s="125" t="str">
        <f t="shared" si="50"/>
        <v/>
      </c>
      <c r="CZ51" s="125" t="str">
        <f t="shared" si="51"/>
        <v/>
      </c>
      <c r="DA51" s="125" t="str">
        <f t="shared" si="52"/>
        <v/>
      </c>
      <c r="DB51" s="129" t="str">
        <f t="shared" si="53"/>
        <v/>
      </c>
      <c r="DC51" s="14"/>
      <c r="DD51" s="63"/>
      <c r="DE51" s="105">
        <v>49</v>
      </c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spans="1:176" s="1" customFormat="1" ht="13" hidden="1" customHeight="1" outlineLevel="1" x14ac:dyDescent="0.2">
      <c r="A52" s="4"/>
      <c r="B52" s="115" t="str">
        <f>IF(_xlfn.XLOOKUP(A52, AutoFill_names!B:B, AutoFill_names!C:C,"")=0,"",_xlfn.XLOOKUP(A52, AutoFill_names!B:B, AutoFill_names!C:C,""))</f>
        <v/>
      </c>
      <c r="C52" s="115" t="str">
        <f>IF(_xlfn.XLOOKUP(A52, AutoFill_names!B:B, AutoFill_names!D:D,"")=0,"",_xlfn.XLOOKUP(A52, AutoFill_names!B:B, AutoFill_names!D:D,""))</f>
        <v/>
      </c>
      <c r="D52" s="115" t="str">
        <f>IF(_xlfn.XLOOKUP(A52, AutoFill_names!B:B, AutoFill_names!E:E,"")=0,"",_xlfn.XLOOKUP(A52, AutoFill_names!B:B, AutoFill_names!E:E,""))</f>
        <v/>
      </c>
      <c r="E52" s="115" t="str">
        <f>IF(_xlfn.XLOOKUP(A52, AutoFill_names!B:B, AutoFill_names!F:F,"")=0,"",_xlfn.XLOOKUP(A52, AutoFill_names!B:B, AutoFill_names!F:F,""))</f>
        <v/>
      </c>
      <c r="F52" s="92"/>
      <c r="J52" s="115" t="str">
        <f>IF(_xlfn.XLOOKUP(A52, AutoFill_names!B:B, AutoFill_names!K:K,"")=0,"",_xlfn.XLOOKUP(A52, AutoFill_names!B:B, AutoFill_names!K:K,""))</f>
        <v/>
      </c>
      <c r="K52" s="115" t="str">
        <f>IF(_xlfn.XLOOKUP(A52, AutoFill_names!B:B, AutoFill_names!L:L,"")=0,"",_xlfn.XLOOKUP(A52, AutoFill_names!B:B, AutoFill_names!L:L,""))</f>
        <v/>
      </c>
      <c r="L52" s="31"/>
      <c r="M52" s="31"/>
      <c r="N52" s="117" t="str">
        <f>IF(_xlfn.XLOOKUP(L52, AutoFill_classes!A:A, AutoFill_classes!B:B,"")=0,"",_xlfn.XLOOKUP(L52, AutoFill_classes!A:A, AutoFill_classes!B:B,""))</f>
        <v/>
      </c>
      <c r="O52" s="108"/>
      <c r="P52" s="6"/>
      <c r="Q52" s="6"/>
      <c r="R52" s="6"/>
      <c r="S52" s="2"/>
      <c r="T52" s="2"/>
      <c r="U52" s="2"/>
      <c r="X52" s="62"/>
      <c r="Y52" s="18"/>
      <c r="Z52" s="121" t="str">
        <f t="shared" si="27"/>
        <v/>
      </c>
      <c r="AA52" s="20"/>
      <c r="AB52" s="20"/>
      <c r="AC52" s="20"/>
      <c r="AD52" s="20"/>
      <c r="AE52" s="125" t="str">
        <f t="shared" si="28"/>
        <v/>
      </c>
      <c r="AF52" s="14"/>
      <c r="AG52" s="125" t="str">
        <f t="shared" si="29"/>
        <v/>
      </c>
      <c r="AH52" s="20"/>
      <c r="AI52" s="20"/>
      <c r="AJ52" s="125" t="str">
        <f t="shared" si="30"/>
        <v/>
      </c>
      <c r="AK52" s="14"/>
      <c r="AL52" s="125" t="str">
        <f t="shared" si="31"/>
        <v/>
      </c>
      <c r="AM52" s="20"/>
      <c r="AN52" s="20"/>
      <c r="AO52" s="125" t="str">
        <f t="shared" si="32"/>
        <v/>
      </c>
      <c r="AP52" s="125" t="str">
        <f t="shared" si="33"/>
        <v/>
      </c>
      <c r="AQ52" s="125" t="str">
        <f t="shared" si="34"/>
        <v/>
      </c>
      <c r="AR52" s="129" t="str">
        <f t="shared" si="35"/>
        <v/>
      </c>
      <c r="AS52" s="14"/>
      <c r="AT52" s="13"/>
      <c r="AU52" s="13"/>
      <c r="AV52" s="117" t="str">
        <f>IF(_xlfn.XLOOKUP(AT52, AutoFill_classes!$A:$A, AutoFill_classes!$B:$B,"")=0,"",_xlfn.XLOOKUP(AT52, AutoFill_classes!$A:$A, AutoFill_classes!$B:$B,""))</f>
        <v/>
      </c>
      <c r="AW52" s="108"/>
      <c r="AX52" s="13"/>
      <c r="AY52" s="13"/>
      <c r="AZ52" s="13"/>
      <c r="BA52" s="13"/>
      <c r="BB52" s="13"/>
      <c r="BC52" s="62"/>
      <c r="BD52" s="18"/>
      <c r="BE52" s="121" t="str">
        <f t="shared" si="36"/>
        <v/>
      </c>
      <c r="BF52" s="20"/>
      <c r="BG52" s="20"/>
      <c r="BH52" s="20"/>
      <c r="BI52" s="20"/>
      <c r="BJ52" s="125" t="str">
        <f t="shared" si="37"/>
        <v/>
      </c>
      <c r="BK52" s="14"/>
      <c r="BL52" s="125" t="str">
        <f t="shared" si="38"/>
        <v/>
      </c>
      <c r="BM52" s="20"/>
      <c r="BN52" s="20"/>
      <c r="BO52" s="125" t="str">
        <f t="shared" si="39"/>
        <v/>
      </c>
      <c r="BP52" s="14"/>
      <c r="BQ52" s="125" t="str">
        <f t="shared" si="40"/>
        <v/>
      </c>
      <c r="BR52" s="20"/>
      <c r="BS52" s="20"/>
      <c r="BT52" s="125" t="str">
        <f t="shared" si="41"/>
        <v/>
      </c>
      <c r="BU52" s="125" t="str">
        <f t="shared" si="42"/>
        <v/>
      </c>
      <c r="BV52" s="125" t="str">
        <f t="shared" si="43"/>
        <v/>
      </c>
      <c r="BW52" s="129" t="str">
        <f t="shared" si="44"/>
        <v/>
      </c>
      <c r="BX52" s="13"/>
      <c r="BY52" s="15"/>
      <c r="BZ52" s="14"/>
      <c r="CA52" s="117" t="str">
        <f>IF(_xlfn.XLOOKUP(BY52, AutoFill_classes!$A:$A, AutoFill_classes!$B:$B,"")=0,"",_xlfn.XLOOKUP(BY52, AutoFill_classes!$A:$A, AutoFill_classes!$B:$B,""))</f>
        <v/>
      </c>
      <c r="CB52" s="108"/>
      <c r="CC52" s="14"/>
      <c r="CD52" s="14"/>
      <c r="CE52" s="14"/>
      <c r="CF52" s="21"/>
      <c r="CG52" s="22"/>
      <c r="CH52" s="62"/>
      <c r="CI52" s="23"/>
      <c r="CJ52" s="121" t="str">
        <f t="shared" si="45"/>
        <v/>
      </c>
      <c r="CK52" s="20"/>
      <c r="CL52" s="20"/>
      <c r="CM52" s="20"/>
      <c r="CN52" s="20"/>
      <c r="CO52" s="125" t="str">
        <f t="shared" si="46"/>
        <v/>
      </c>
      <c r="CP52" s="14"/>
      <c r="CQ52" s="125" t="str">
        <f t="shared" si="47"/>
        <v/>
      </c>
      <c r="CR52" s="20"/>
      <c r="CS52" s="20"/>
      <c r="CT52" s="125" t="str">
        <f t="shared" si="48"/>
        <v/>
      </c>
      <c r="CU52" s="14"/>
      <c r="CV52" s="125" t="str">
        <f t="shared" si="49"/>
        <v/>
      </c>
      <c r="CW52" s="20"/>
      <c r="CX52" s="20"/>
      <c r="CY52" s="125" t="str">
        <f t="shared" si="50"/>
        <v/>
      </c>
      <c r="CZ52" s="125" t="str">
        <f t="shared" si="51"/>
        <v/>
      </c>
      <c r="DA52" s="125" t="str">
        <f t="shared" si="52"/>
        <v/>
      </c>
      <c r="DB52" s="129" t="str">
        <f t="shared" si="53"/>
        <v/>
      </c>
      <c r="DC52" s="14"/>
      <c r="DD52" s="63"/>
      <c r="DE52" s="105">
        <v>50</v>
      </c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</row>
    <row r="53" spans="1:176" s="1" customFormat="1" ht="13" hidden="1" customHeight="1" outlineLevel="1" x14ac:dyDescent="0.2">
      <c r="A53" s="4"/>
      <c r="B53" s="115" t="str">
        <f>IF(_xlfn.XLOOKUP(A53, AutoFill_names!B:B, AutoFill_names!C:C,"")=0,"",_xlfn.XLOOKUP(A53, AutoFill_names!B:B, AutoFill_names!C:C,""))</f>
        <v/>
      </c>
      <c r="C53" s="115" t="str">
        <f>IF(_xlfn.XLOOKUP(A53, AutoFill_names!B:B, AutoFill_names!D:D,"")=0,"",_xlfn.XLOOKUP(A53, AutoFill_names!B:B, AutoFill_names!D:D,""))</f>
        <v/>
      </c>
      <c r="D53" s="115" t="str">
        <f>IF(_xlfn.XLOOKUP(A53, AutoFill_names!B:B, AutoFill_names!E:E,"")=0,"",_xlfn.XLOOKUP(A53, AutoFill_names!B:B, AutoFill_names!E:E,""))</f>
        <v/>
      </c>
      <c r="E53" s="115" t="str">
        <f>IF(_xlfn.XLOOKUP(A53, AutoFill_names!B:B, AutoFill_names!F:F,"")=0,"",_xlfn.XLOOKUP(A53, AutoFill_names!B:B, AutoFill_names!F:F,""))</f>
        <v/>
      </c>
      <c r="F53" s="92"/>
      <c r="J53" s="115" t="str">
        <f>IF(_xlfn.XLOOKUP(A53, AutoFill_names!B:B, AutoFill_names!K:K,"")=0,"",_xlfn.XLOOKUP(A53, AutoFill_names!B:B, AutoFill_names!K:K,""))</f>
        <v/>
      </c>
      <c r="K53" s="115" t="str">
        <f>IF(_xlfn.XLOOKUP(A53, AutoFill_names!B:B, AutoFill_names!L:L,"")=0,"",_xlfn.XLOOKUP(A53, AutoFill_names!B:B, AutoFill_names!L:L,""))</f>
        <v/>
      </c>
      <c r="L53" s="31"/>
      <c r="M53" s="31"/>
      <c r="N53" s="117" t="str">
        <f>IF(_xlfn.XLOOKUP(L53, AutoFill_classes!A:A, AutoFill_classes!B:B,"")=0,"",_xlfn.XLOOKUP(L53, AutoFill_classes!A:A, AutoFill_classes!B:B,""))</f>
        <v/>
      </c>
      <c r="O53" s="108"/>
      <c r="P53" s="6"/>
      <c r="Q53" s="6"/>
      <c r="R53" s="6"/>
      <c r="S53" s="2"/>
      <c r="T53" s="2"/>
      <c r="U53" s="2"/>
      <c r="X53" s="62"/>
      <c r="Y53" s="18"/>
      <c r="Z53" s="121" t="str">
        <f t="shared" si="27"/>
        <v/>
      </c>
      <c r="AA53" s="20"/>
      <c r="AB53" s="20"/>
      <c r="AC53" s="20"/>
      <c r="AD53" s="20"/>
      <c r="AE53" s="125" t="str">
        <f t="shared" si="28"/>
        <v/>
      </c>
      <c r="AF53" s="14"/>
      <c r="AG53" s="125" t="str">
        <f t="shared" si="29"/>
        <v/>
      </c>
      <c r="AH53" s="20"/>
      <c r="AI53" s="20"/>
      <c r="AJ53" s="125" t="str">
        <f t="shared" si="30"/>
        <v/>
      </c>
      <c r="AK53" s="14"/>
      <c r="AL53" s="125" t="str">
        <f t="shared" si="31"/>
        <v/>
      </c>
      <c r="AM53" s="20"/>
      <c r="AN53" s="20"/>
      <c r="AO53" s="125" t="str">
        <f t="shared" si="32"/>
        <v/>
      </c>
      <c r="AP53" s="125" t="str">
        <f t="shared" si="33"/>
        <v/>
      </c>
      <c r="AQ53" s="125" t="str">
        <f t="shared" si="34"/>
        <v/>
      </c>
      <c r="AR53" s="129" t="str">
        <f t="shared" si="35"/>
        <v/>
      </c>
      <c r="AS53" s="14"/>
      <c r="AT53" s="13"/>
      <c r="AU53" s="13"/>
      <c r="AV53" s="117" t="str">
        <f>IF(_xlfn.XLOOKUP(AT53, AutoFill_classes!$A:$A, AutoFill_classes!$B:$B,"")=0,"",_xlfn.XLOOKUP(AT53, AutoFill_classes!$A:$A, AutoFill_classes!$B:$B,""))</f>
        <v/>
      </c>
      <c r="AW53" s="108"/>
      <c r="AX53" s="13"/>
      <c r="AY53" s="13"/>
      <c r="AZ53" s="13"/>
      <c r="BA53" s="13"/>
      <c r="BB53" s="13"/>
      <c r="BC53" s="62"/>
      <c r="BD53" s="18"/>
      <c r="BE53" s="121" t="str">
        <f t="shared" si="36"/>
        <v/>
      </c>
      <c r="BF53" s="20"/>
      <c r="BG53" s="20"/>
      <c r="BH53" s="20"/>
      <c r="BI53" s="20"/>
      <c r="BJ53" s="125" t="str">
        <f t="shared" si="37"/>
        <v/>
      </c>
      <c r="BK53" s="14"/>
      <c r="BL53" s="125" t="str">
        <f t="shared" si="38"/>
        <v/>
      </c>
      <c r="BM53" s="20"/>
      <c r="BN53" s="20"/>
      <c r="BO53" s="125" t="str">
        <f t="shared" si="39"/>
        <v/>
      </c>
      <c r="BP53" s="14"/>
      <c r="BQ53" s="125" t="str">
        <f t="shared" si="40"/>
        <v/>
      </c>
      <c r="BR53" s="20"/>
      <c r="BS53" s="20"/>
      <c r="BT53" s="125" t="str">
        <f t="shared" si="41"/>
        <v/>
      </c>
      <c r="BU53" s="125" t="str">
        <f t="shared" si="42"/>
        <v/>
      </c>
      <c r="BV53" s="125" t="str">
        <f t="shared" si="43"/>
        <v/>
      </c>
      <c r="BW53" s="129" t="str">
        <f t="shared" si="44"/>
        <v/>
      </c>
      <c r="BX53" s="13"/>
      <c r="BY53" s="15"/>
      <c r="BZ53" s="14"/>
      <c r="CA53" s="117" t="str">
        <f>IF(_xlfn.XLOOKUP(BY53, AutoFill_classes!$A:$A, AutoFill_classes!$B:$B,"")=0,"",_xlfn.XLOOKUP(BY53, AutoFill_classes!$A:$A, AutoFill_classes!$B:$B,""))</f>
        <v/>
      </c>
      <c r="CB53" s="108"/>
      <c r="CC53" s="14"/>
      <c r="CD53" s="14"/>
      <c r="CE53" s="14"/>
      <c r="CF53" s="21"/>
      <c r="CG53" s="22"/>
      <c r="CH53" s="62"/>
      <c r="CI53" s="23"/>
      <c r="CJ53" s="121" t="str">
        <f t="shared" si="45"/>
        <v/>
      </c>
      <c r="CK53" s="20"/>
      <c r="CL53" s="20"/>
      <c r="CM53" s="20"/>
      <c r="CN53" s="20"/>
      <c r="CO53" s="125" t="str">
        <f t="shared" si="46"/>
        <v/>
      </c>
      <c r="CP53" s="14"/>
      <c r="CQ53" s="125" t="str">
        <f t="shared" si="47"/>
        <v/>
      </c>
      <c r="CR53" s="20"/>
      <c r="CS53" s="20"/>
      <c r="CT53" s="125" t="str">
        <f t="shared" si="48"/>
        <v/>
      </c>
      <c r="CU53" s="14"/>
      <c r="CV53" s="125" t="str">
        <f t="shared" si="49"/>
        <v/>
      </c>
      <c r="CW53" s="20"/>
      <c r="CX53" s="20"/>
      <c r="CY53" s="125" t="str">
        <f t="shared" si="50"/>
        <v/>
      </c>
      <c r="CZ53" s="125" t="str">
        <f t="shared" si="51"/>
        <v/>
      </c>
      <c r="DA53" s="125" t="str">
        <f t="shared" si="52"/>
        <v/>
      </c>
      <c r="DB53" s="129" t="str">
        <f t="shared" si="53"/>
        <v/>
      </c>
      <c r="DC53" s="14"/>
      <c r="DD53" s="63"/>
      <c r="DE53" s="105">
        <v>51</v>
      </c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spans="1:176" s="1" customFormat="1" ht="13" hidden="1" customHeight="1" outlineLevel="1" x14ac:dyDescent="0.2">
      <c r="A54" s="4"/>
      <c r="B54" s="115" t="str">
        <f>IF(_xlfn.XLOOKUP(A54, AutoFill_names!B:B, AutoFill_names!C:C,"")=0,"",_xlfn.XLOOKUP(A54, AutoFill_names!B:B, AutoFill_names!C:C,""))</f>
        <v/>
      </c>
      <c r="C54" s="115" t="str">
        <f>IF(_xlfn.XLOOKUP(A54, AutoFill_names!B:B, AutoFill_names!D:D,"")=0,"",_xlfn.XLOOKUP(A54, AutoFill_names!B:B, AutoFill_names!D:D,""))</f>
        <v/>
      </c>
      <c r="D54" s="115" t="str">
        <f>IF(_xlfn.XLOOKUP(A54, AutoFill_names!B:B, AutoFill_names!E:E,"")=0,"",_xlfn.XLOOKUP(A54, AutoFill_names!B:B, AutoFill_names!E:E,""))</f>
        <v/>
      </c>
      <c r="E54" s="115" t="str">
        <f>IF(_xlfn.XLOOKUP(A54, AutoFill_names!B:B, AutoFill_names!F:F,"")=0,"",_xlfn.XLOOKUP(A54, AutoFill_names!B:B, AutoFill_names!F:F,""))</f>
        <v/>
      </c>
      <c r="F54" s="92"/>
      <c r="J54" s="115" t="str">
        <f>IF(_xlfn.XLOOKUP(A54, AutoFill_names!B:B, AutoFill_names!K:K,"")=0,"",_xlfn.XLOOKUP(A54, AutoFill_names!B:B, AutoFill_names!K:K,""))</f>
        <v/>
      </c>
      <c r="K54" s="115" t="str">
        <f>IF(_xlfn.XLOOKUP(A54, AutoFill_names!B:B, AutoFill_names!L:L,"")=0,"",_xlfn.XLOOKUP(A54, AutoFill_names!B:B, AutoFill_names!L:L,""))</f>
        <v/>
      </c>
      <c r="L54" s="31"/>
      <c r="M54" s="31"/>
      <c r="N54" s="117" t="str">
        <f>IF(_xlfn.XLOOKUP(L54, AutoFill_classes!A:A, AutoFill_classes!B:B,"")=0,"",_xlfn.XLOOKUP(L54, AutoFill_classes!A:A, AutoFill_classes!B:B,""))</f>
        <v/>
      </c>
      <c r="O54" s="108"/>
      <c r="P54" s="6"/>
      <c r="Q54" s="6"/>
      <c r="R54" s="6"/>
      <c r="S54" s="2"/>
      <c r="T54" s="2"/>
      <c r="U54" s="2"/>
      <c r="X54" s="62"/>
      <c r="Y54" s="18"/>
      <c r="Z54" s="121" t="str">
        <f t="shared" si="27"/>
        <v/>
      </c>
      <c r="AA54" s="20"/>
      <c r="AB54" s="20"/>
      <c r="AC54" s="20"/>
      <c r="AD54" s="20"/>
      <c r="AE54" s="125" t="str">
        <f t="shared" si="28"/>
        <v/>
      </c>
      <c r="AF54" s="14"/>
      <c r="AG54" s="125" t="str">
        <f t="shared" si="29"/>
        <v/>
      </c>
      <c r="AH54" s="20"/>
      <c r="AI54" s="20"/>
      <c r="AJ54" s="125" t="str">
        <f t="shared" si="30"/>
        <v/>
      </c>
      <c r="AK54" s="14"/>
      <c r="AL54" s="125" t="str">
        <f t="shared" si="31"/>
        <v/>
      </c>
      <c r="AM54" s="20"/>
      <c r="AN54" s="20"/>
      <c r="AO54" s="125" t="str">
        <f t="shared" si="32"/>
        <v/>
      </c>
      <c r="AP54" s="125" t="str">
        <f t="shared" si="33"/>
        <v/>
      </c>
      <c r="AQ54" s="125" t="str">
        <f t="shared" si="34"/>
        <v/>
      </c>
      <c r="AR54" s="129" t="str">
        <f t="shared" si="35"/>
        <v/>
      </c>
      <c r="AS54" s="14"/>
      <c r="AT54" s="13"/>
      <c r="AU54" s="13"/>
      <c r="AV54" s="117" t="str">
        <f>IF(_xlfn.XLOOKUP(AT54, AutoFill_classes!$A:$A, AutoFill_classes!$B:$B,"")=0,"",_xlfn.XLOOKUP(AT54, AutoFill_classes!$A:$A, AutoFill_classes!$B:$B,""))</f>
        <v/>
      </c>
      <c r="AW54" s="108"/>
      <c r="AX54" s="13"/>
      <c r="AY54" s="13"/>
      <c r="AZ54" s="13"/>
      <c r="BA54" s="13"/>
      <c r="BB54" s="13"/>
      <c r="BC54" s="62"/>
      <c r="BD54" s="18"/>
      <c r="BE54" s="121" t="str">
        <f t="shared" si="36"/>
        <v/>
      </c>
      <c r="BF54" s="20"/>
      <c r="BG54" s="20"/>
      <c r="BH54" s="20"/>
      <c r="BI54" s="20"/>
      <c r="BJ54" s="125" t="str">
        <f t="shared" si="37"/>
        <v/>
      </c>
      <c r="BK54" s="14"/>
      <c r="BL54" s="125" t="str">
        <f t="shared" si="38"/>
        <v/>
      </c>
      <c r="BM54" s="20"/>
      <c r="BN54" s="20"/>
      <c r="BO54" s="125" t="str">
        <f t="shared" si="39"/>
        <v/>
      </c>
      <c r="BP54" s="14"/>
      <c r="BQ54" s="125" t="str">
        <f t="shared" si="40"/>
        <v/>
      </c>
      <c r="BR54" s="20"/>
      <c r="BS54" s="20"/>
      <c r="BT54" s="125" t="str">
        <f t="shared" si="41"/>
        <v/>
      </c>
      <c r="BU54" s="125" t="str">
        <f t="shared" si="42"/>
        <v/>
      </c>
      <c r="BV54" s="125" t="str">
        <f t="shared" si="43"/>
        <v/>
      </c>
      <c r="BW54" s="129" t="str">
        <f t="shared" si="44"/>
        <v/>
      </c>
      <c r="BX54" s="13"/>
      <c r="BY54" s="15"/>
      <c r="BZ54" s="14"/>
      <c r="CA54" s="117" t="str">
        <f>IF(_xlfn.XLOOKUP(BY54, AutoFill_classes!$A:$A, AutoFill_classes!$B:$B,"")=0,"",_xlfn.XLOOKUP(BY54, AutoFill_classes!$A:$A, AutoFill_classes!$B:$B,""))</f>
        <v/>
      </c>
      <c r="CB54" s="108"/>
      <c r="CC54" s="14"/>
      <c r="CD54" s="14"/>
      <c r="CE54" s="14"/>
      <c r="CF54" s="21"/>
      <c r="CG54" s="22"/>
      <c r="CH54" s="62"/>
      <c r="CI54" s="23"/>
      <c r="CJ54" s="121" t="str">
        <f t="shared" si="45"/>
        <v/>
      </c>
      <c r="CK54" s="20"/>
      <c r="CL54" s="20"/>
      <c r="CM54" s="20"/>
      <c r="CN54" s="20"/>
      <c r="CO54" s="125" t="str">
        <f t="shared" si="46"/>
        <v/>
      </c>
      <c r="CP54" s="14"/>
      <c r="CQ54" s="125" t="str">
        <f t="shared" si="47"/>
        <v/>
      </c>
      <c r="CR54" s="20"/>
      <c r="CS54" s="20"/>
      <c r="CT54" s="125" t="str">
        <f t="shared" si="48"/>
        <v/>
      </c>
      <c r="CU54" s="14"/>
      <c r="CV54" s="125" t="str">
        <f t="shared" si="49"/>
        <v/>
      </c>
      <c r="CW54" s="20"/>
      <c r="CX54" s="20"/>
      <c r="CY54" s="125" t="str">
        <f t="shared" si="50"/>
        <v/>
      </c>
      <c r="CZ54" s="125" t="str">
        <f t="shared" si="51"/>
        <v/>
      </c>
      <c r="DA54" s="125" t="str">
        <f t="shared" si="52"/>
        <v/>
      </c>
      <c r="DB54" s="129" t="str">
        <f t="shared" si="53"/>
        <v/>
      </c>
      <c r="DC54" s="14"/>
      <c r="DD54" s="63"/>
      <c r="DE54" s="105">
        <v>52</v>
      </c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</row>
    <row r="55" spans="1:176" s="1" customFormat="1" ht="13" hidden="1" customHeight="1" outlineLevel="1" x14ac:dyDescent="0.2">
      <c r="A55" s="4"/>
      <c r="B55" s="115" t="str">
        <f>IF(_xlfn.XLOOKUP(A55, AutoFill_names!B:B, AutoFill_names!C:C,"")=0,"",_xlfn.XLOOKUP(A55, AutoFill_names!B:B, AutoFill_names!C:C,""))</f>
        <v/>
      </c>
      <c r="C55" s="115" t="str">
        <f>IF(_xlfn.XLOOKUP(A55, AutoFill_names!B:B, AutoFill_names!D:D,"")=0,"",_xlfn.XLOOKUP(A55, AutoFill_names!B:B, AutoFill_names!D:D,""))</f>
        <v/>
      </c>
      <c r="D55" s="115" t="str">
        <f>IF(_xlfn.XLOOKUP(A55, AutoFill_names!B:B, AutoFill_names!E:E,"")=0,"",_xlfn.XLOOKUP(A55, AutoFill_names!B:B, AutoFill_names!E:E,""))</f>
        <v/>
      </c>
      <c r="E55" s="115" t="str">
        <f>IF(_xlfn.XLOOKUP(A55, AutoFill_names!B:B, AutoFill_names!F:F,"")=0,"",_xlfn.XLOOKUP(A55, AutoFill_names!B:B, AutoFill_names!F:F,""))</f>
        <v/>
      </c>
      <c r="F55" s="92"/>
      <c r="J55" s="115" t="str">
        <f>IF(_xlfn.XLOOKUP(A55, AutoFill_names!B:B, AutoFill_names!K:K,"")=0,"",_xlfn.XLOOKUP(A55, AutoFill_names!B:B, AutoFill_names!K:K,""))</f>
        <v/>
      </c>
      <c r="K55" s="115" t="str">
        <f>IF(_xlfn.XLOOKUP(A55, AutoFill_names!B:B, AutoFill_names!L:L,"")=0,"",_xlfn.XLOOKUP(A55, AutoFill_names!B:B, AutoFill_names!L:L,""))</f>
        <v/>
      </c>
      <c r="L55" s="31"/>
      <c r="M55" s="31"/>
      <c r="N55" s="117" t="str">
        <f>IF(_xlfn.XLOOKUP(L55, AutoFill_classes!A:A, AutoFill_classes!B:B,"")=0,"",_xlfn.XLOOKUP(L55, AutoFill_classes!A:A, AutoFill_classes!B:B,""))</f>
        <v/>
      </c>
      <c r="O55" s="108"/>
      <c r="P55" s="6"/>
      <c r="Q55" s="6"/>
      <c r="R55" s="6"/>
      <c r="S55" s="2"/>
      <c r="T55" s="2"/>
      <c r="U55" s="2"/>
      <c r="X55" s="62"/>
      <c r="Y55" s="18"/>
      <c r="Z55" s="121" t="str">
        <f t="shared" si="27"/>
        <v/>
      </c>
      <c r="AA55" s="20"/>
      <c r="AB55" s="20"/>
      <c r="AC55" s="20"/>
      <c r="AD55" s="20"/>
      <c r="AE55" s="125" t="str">
        <f t="shared" si="28"/>
        <v/>
      </c>
      <c r="AF55" s="14"/>
      <c r="AG55" s="125" t="str">
        <f t="shared" si="29"/>
        <v/>
      </c>
      <c r="AH55" s="20"/>
      <c r="AI55" s="20"/>
      <c r="AJ55" s="125" t="str">
        <f t="shared" si="30"/>
        <v/>
      </c>
      <c r="AK55" s="14"/>
      <c r="AL55" s="125" t="str">
        <f t="shared" si="31"/>
        <v/>
      </c>
      <c r="AM55" s="20"/>
      <c r="AN55" s="20"/>
      <c r="AO55" s="125" t="str">
        <f t="shared" si="32"/>
        <v/>
      </c>
      <c r="AP55" s="125" t="str">
        <f t="shared" si="33"/>
        <v/>
      </c>
      <c r="AQ55" s="125" t="str">
        <f t="shared" si="34"/>
        <v/>
      </c>
      <c r="AR55" s="129" t="str">
        <f t="shared" si="35"/>
        <v/>
      </c>
      <c r="AS55" s="14"/>
      <c r="AT55" s="13"/>
      <c r="AU55" s="13"/>
      <c r="AV55" s="117" t="str">
        <f>IF(_xlfn.XLOOKUP(AT55, AutoFill_classes!$A:$A, AutoFill_classes!$B:$B,"")=0,"",_xlfn.XLOOKUP(AT55, AutoFill_classes!$A:$A, AutoFill_classes!$B:$B,""))</f>
        <v/>
      </c>
      <c r="AW55" s="108"/>
      <c r="AX55" s="13"/>
      <c r="AY55" s="13"/>
      <c r="AZ55" s="13"/>
      <c r="BA55" s="13"/>
      <c r="BB55" s="13"/>
      <c r="BC55" s="62"/>
      <c r="BD55" s="18"/>
      <c r="BE55" s="121" t="str">
        <f t="shared" si="36"/>
        <v/>
      </c>
      <c r="BF55" s="20"/>
      <c r="BG55" s="20"/>
      <c r="BH55" s="20"/>
      <c r="BI55" s="20"/>
      <c r="BJ55" s="125" t="str">
        <f t="shared" si="37"/>
        <v/>
      </c>
      <c r="BK55" s="14"/>
      <c r="BL55" s="125" t="str">
        <f t="shared" si="38"/>
        <v/>
      </c>
      <c r="BM55" s="20"/>
      <c r="BN55" s="20"/>
      <c r="BO55" s="125" t="str">
        <f t="shared" si="39"/>
        <v/>
      </c>
      <c r="BP55" s="14"/>
      <c r="BQ55" s="125" t="str">
        <f t="shared" si="40"/>
        <v/>
      </c>
      <c r="BR55" s="20"/>
      <c r="BS55" s="20"/>
      <c r="BT55" s="125" t="str">
        <f t="shared" si="41"/>
        <v/>
      </c>
      <c r="BU55" s="125" t="str">
        <f t="shared" si="42"/>
        <v/>
      </c>
      <c r="BV55" s="125" t="str">
        <f t="shared" si="43"/>
        <v/>
      </c>
      <c r="BW55" s="129" t="str">
        <f t="shared" si="44"/>
        <v/>
      </c>
      <c r="BX55" s="13"/>
      <c r="BY55" s="15"/>
      <c r="BZ55" s="14"/>
      <c r="CA55" s="117" t="str">
        <f>IF(_xlfn.XLOOKUP(BY55, AutoFill_classes!$A:$A, AutoFill_classes!$B:$B,"")=0,"",_xlfn.XLOOKUP(BY55, AutoFill_classes!$A:$A, AutoFill_classes!$B:$B,""))</f>
        <v/>
      </c>
      <c r="CB55" s="108"/>
      <c r="CC55" s="14"/>
      <c r="CD55" s="14"/>
      <c r="CE55" s="14"/>
      <c r="CF55" s="21"/>
      <c r="CG55" s="22"/>
      <c r="CH55" s="62"/>
      <c r="CI55" s="23"/>
      <c r="CJ55" s="121" t="str">
        <f t="shared" si="45"/>
        <v/>
      </c>
      <c r="CK55" s="20"/>
      <c r="CL55" s="20"/>
      <c r="CM55" s="20"/>
      <c r="CN55" s="20"/>
      <c r="CO55" s="125" t="str">
        <f t="shared" si="46"/>
        <v/>
      </c>
      <c r="CP55" s="14"/>
      <c r="CQ55" s="125" t="str">
        <f t="shared" si="47"/>
        <v/>
      </c>
      <c r="CR55" s="20"/>
      <c r="CS55" s="20"/>
      <c r="CT55" s="125" t="str">
        <f t="shared" si="48"/>
        <v/>
      </c>
      <c r="CU55" s="14"/>
      <c r="CV55" s="125" t="str">
        <f t="shared" si="49"/>
        <v/>
      </c>
      <c r="CW55" s="20"/>
      <c r="CX55" s="20"/>
      <c r="CY55" s="125" t="str">
        <f t="shared" si="50"/>
        <v/>
      </c>
      <c r="CZ55" s="125" t="str">
        <f t="shared" si="51"/>
        <v/>
      </c>
      <c r="DA55" s="125" t="str">
        <f t="shared" si="52"/>
        <v/>
      </c>
      <c r="DB55" s="129" t="str">
        <f t="shared" si="53"/>
        <v/>
      </c>
      <c r="DC55" s="14"/>
      <c r="DD55" s="63"/>
      <c r="DE55" s="105">
        <v>53</v>
      </c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spans="1:176" s="1" customFormat="1" ht="13" hidden="1" customHeight="1" outlineLevel="1" x14ac:dyDescent="0.2">
      <c r="A56" s="4"/>
      <c r="B56" s="115" t="str">
        <f>IF(_xlfn.XLOOKUP(A56, AutoFill_names!B:B, AutoFill_names!C:C,"")=0,"",_xlfn.XLOOKUP(A56, AutoFill_names!B:B, AutoFill_names!C:C,""))</f>
        <v/>
      </c>
      <c r="C56" s="115" t="str">
        <f>IF(_xlfn.XLOOKUP(A56, AutoFill_names!B:B, AutoFill_names!D:D,"")=0,"",_xlfn.XLOOKUP(A56, AutoFill_names!B:B, AutoFill_names!D:D,""))</f>
        <v/>
      </c>
      <c r="D56" s="115" t="str">
        <f>IF(_xlfn.XLOOKUP(A56, AutoFill_names!B:B, AutoFill_names!E:E,"")=0,"",_xlfn.XLOOKUP(A56, AutoFill_names!B:B, AutoFill_names!E:E,""))</f>
        <v/>
      </c>
      <c r="E56" s="115" t="str">
        <f>IF(_xlfn.XLOOKUP(A56, AutoFill_names!B:B, AutoFill_names!F:F,"")=0,"",_xlfn.XLOOKUP(A56, AutoFill_names!B:B, AutoFill_names!F:F,""))</f>
        <v/>
      </c>
      <c r="F56" s="92"/>
      <c r="J56" s="115" t="str">
        <f>IF(_xlfn.XLOOKUP(A56, AutoFill_names!B:B, AutoFill_names!K:K,"")=0,"",_xlfn.XLOOKUP(A56, AutoFill_names!B:B, AutoFill_names!K:K,""))</f>
        <v/>
      </c>
      <c r="K56" s="115" t="str">
        <f>IF(_xlfn.XLOOKUP(A56, AutoFill_names!B:B, AutoFill_names!L:L,"")=0,"",_xlfn.XLOOKUP(A56, AutoFill_names!B:B, AutoFill_names!L:L,""))</f>
        <v/>
      </c>
      <c r="L56" s="31"/>
      <c r="M56" s="31"/>
      <c r="N56" s="117" t="str">
        <f>IF(_xlfn.XLOOKUP(L56, AutoFill_classes!A:A, AutoFill_classes!B:B,"")=0,"",_xlfn.XLOOKUP(L56, AutoFill_classes!A:A, AutoFill_classes!B:B,""))</f>
        <v/>
      </c>
      <c r="O56" s="108"/>
      <c r="P56" s="6"/>
      <c r="Q56" s="6"/>
      <c r="R56" s="6"/>
      <c r="S56" s="2"/>
      <c r="T56" s="2"/>
      <c r="U56" s="2"/>
      <c r="X56" s="62"/>
      <c r="Y56" s="18"/>
      <c r="Z56" s="121" t="str">
        <f t="shared" si="27"/>
        <v/>
      </c>
      <c r="AA56" s="20"/>
      <c r="AB56" s="20"/>
      <c r="AC56" s="20"/>
      <c r="AD56" s="20"/>
      <c r="AE56" s="125" t="str">
        <f t="shared" si="28"/>
        <v/>
      </c>
      <c r="AF56" s="14"/>
      <c r="AG56" s="125" t="str">
        <f t="shared" si="29"/>
        <v/>
      </c>
      <c r="AH56" s="20"/>
      <c r="AI56" s="20"/>
      <c r="AJ56" s="125" t="str">
        <f t="shared" si="30"/>
        <v/>
      </c>
      <c r="AK56" s="14"/>
      <c r="AL56" s="125" t="str">
        <f t="shared" si="31"/>
        <v/>
      </c>
      <c r="AM56" s="20"/>
      <c r="AN56" s="20"/>
      <c r="AO56" s="125" t="str">
        <f t="shared" si="32"/>
        <v/>
      </c>
      <c r="AP56" s="125" t="str">
        <f t="shared" si="33"/>
        <v/>
      </c>
      <c r="AQ56" s="125" t="str">
        <f t="shared" si="34"/>
        <v/>
      </c>
      <c r="AR56" s="129" t="str">
        <f t="shared" si="35"/>
        <v/>
      </c>
      <c r="AS56" s="14"/>
      <c r="AT56" s="13"/>
      <c r="AU56" s="13"/>
      <c r="AV56" s="117" t="str">
        <f>IF(_xlfn.XLOOKUP(AT56, AutoFill_classes!$A:$A, AutoFill_classes!$B:$B,"")=0,"",_xlfn.XLOOKUP(AT56, AutoFill_classes!$A:$A, AutoFill_classes!$B:$B,""))</f>
        <v/>
      </c>
      <c r="AW56" s="108"/>
      <c r="AX56" s="13"/>
      <c r="AY56" s="13"/>
      <c r="AZ56" s="13"/>
      <c r="BA56" s="13"/>
      <c r="BB56" s="13"/>
      <c r="BC56" s="62"/>
      <c r="BD56" s="18"/>
      <c r="BE56" s="121" t="str">
        <f t="shared" si="36"/>
        <v/>
      </c>
      <c r="BF56" s="20"/>
      <c r="BG56" s="20"/>
      <c r="BH56" s="20"/>
      <c r="BI56" s="20"/>
      <c r="BJ56" s="125" t="str">
        <f t="shared" si="37"/>
        <v/>
      </c>
      <c r="BK56" s="14"/>
      <c r="BL56" s="125" t="str">
        <f t="shared" si="38"/>
        <v/>
      </c>
      <c r="BM56" s="20"/>
      <c r="BN56" s="20"/>
      <c r="BO56" s="125" t="str">
        <f t="shared" si="39"/>
        <v/>
      </c>
      <c r="BP56" s="14"/>
      <c r="BQ56" s="125" t="str">
        <f t="shared" si="40"/>
        <v/>
      </c>
      <c r="BR56" s="20"/>
      <c r="BS56" s="20"/>
      <c r="BT56" s="125" t="str">
        <f t="shared" si="41"/>
        <v/>
      </c>
      <c r="BU56" s="125" t="str">
        <f t="shared" si="42"/>
        <v/>
      </c>
      <c r="BV56" s="125" t="str">
        <f t="shared" si="43"/>
        <v/>
      </c>
      <c r="BW56" s="129" t="str">
        <f t="shared" si="44"/>
        <v/>
      </c>
      <c r="BX56" s="13"/>
      <c r="BY56" s="15"/>
      <c r="BZ56" s="14"/>
      <c r="CA56" s="117" t="str">
        <f>IF(_xlfn.XLOOKUP(BY56, AutoFill_classes!$A:$A, AutoFill_classes!$B:$B,"")=0,"",_xlfn.XLOOKUP(BY56, AutoFill_classes!$A:$A, AutoFill_classes!$B:$B,""))</f>
        <v/>
      </c>
      <c r="CB56" s="108"/>
      <c r="CC56" s="14"/>
      <c r="CD56" s="14"/>
      <c r="CE56" s="14"/>
      <c r="CF56" s="21"/>
      <c r="CG56" s="22"/>
      <c r="CH56" s="62"/>
      <c r="CI56" s="23"/>
      <c r="CJ56" s="121" t="str">
        <f t="shared" si="45"/>
        <v/>
      </c>
      <c r="CK56" s="20"/>
      <c r="CL56" s="20"/>
      <c r="CM56" s="20"/>
      <c r="CN56" s="20"/>
      <c r="CO56" s="125" t="str">
        <f t="shared" si="46"/>
        <v/>
      </c>
      <c r="CP56" s="14"/>
      <c r="CQ56" s="125" t="str">
        <f t="shared" si="47"/>
        <v/>
      </c>
      <c r="CR56" s="20"/>
      <c r="CS56" s="20"/>
      <c r="CT56" s="125" t="str">
        <f t="shared" si="48"/>
        <v/>
      </c>
      <c r="CU56" s="14"/>
      <c r="CV56" s="125" t="str">
        <f t="shared" si="49"/>
        <v/>
      </c>
      <c r="CW56" s="20"/>
      <c r="CX56" s="20"/>
      <c r="CY56" s="125" t="str">
        <f t="shared" si="50"/>
        <v/>
      </c>
      <c r="CZ56" s="125" t="str">
        <f t="shared" si="51"/>
        <v/>
      </c>
      <c r="DA56" s="125" t="str">
        <f t="shared" si="52"/>
        <v/>
      </c>
      <c r="DB56" s="129" t="str">
        <f t="shared" si="53"/>
        <v/>
      </c>
      <c r="DC56" s="14"/>
      <c r="DD56" s="63"/>
      <c r="DE56" s="105">
        <v>54</v>
      </c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</row>
    <row r="57" spans="1:176" s="1" customFormat="1" ht="13" hidden="1" customHeight="1" outlineLevel="1" x14ac:dyDescent="0.2">
      <c r="A57" s="4"/>
      <c r="B57" s="115" t="str">
        <f>IF(_xlfn.XLOOKUP(A57, AutoFill_names!B:B, AutoFill_names!C:C,"")=0,"",_xlfn.XLOOKUP(A57, AutoFill_names!B:B, AutoFill_names!C:C,""))</f>
        <v/>
      </c>
      <c r="C57" s="115" t="str">
        <f>IF(_xlfn.XLOOKUP(A57, AutoFill_names!B:B, AutoFill_names!D:D,"")=0,"",_xlfn.XLOOKUP(A57, AutoFill_names!B:B, AutoFill_names!D:D,""))</f>
        <v/>
      </c>
      <c r="D57" s="115" t="str">
        <f>IF(_xlfn.XLOOKUP(A57, AutoFill_names!B:B, AutoFill_names!E:E,"")=0,"",_xlfn.XLOOKUP(A57, AutoFill_names!B:B, AutoFill_names!E:E,""))</f>
        <v/>
      </c>
      <c r="E57" s="115" t="str">
        <f>IF(_xlfn.XLOOKUP(A57, AutoFill_names!B:B, AutoFill_names!F:F,"")=0,"",_xlfn.XLOOKUP(A57, AutoFill_names!B:B, AutoFill_names!F:F,""))</f>
        <v/>
      </c>
      <c r="F57" s="92"/>
      <c r="J57" s="115" t="str">
        <f>IF(_xlfn.XLOOKUP(A57, AutoFill_names!B:B, AutoFill_names!K:K,"")=0,"",_xlfn.XLOOKUP(A57, AutoFill_names!B:B, AutoFill_names!K:K,""))</f>
        <v/>
      </c>
      <c r="K57" s="115" t="str">
        <f>IF(_xlfn.XLOOKUP(A57, AutoFill_names!B:B, AutoFill_names!L:L,"")=0,"",_xlfn.XLOOKUP(A57, AutoFill_names!B:B, AutoFill_names!L:L,""))</f>
        <v/>
      </c>
      <c r="L57" s="31"/>
      <c r="M57" s="31"/>
      <c r="N57" s="117" t="str">
        <f>IF(_xlfn.XLOOKUP(L57, AutoFill_classes!A:A, AutoFill_classes!B:B,"")=0,"",_xlfn.XLOOKUP(L57, AutoFill_classes!A:A, AutoFill_classes!B:B,""))</f>
        <v/>
      </c>
      <c r="O57" s="108"/>
      <c r="P57" s="6"/>
      <c r="Q57" s="6"/>
      <c r="R57" s="6"/>
      <c r="S57" s="2"/>
      <c r="T57" s="2"/>
      <c r="U57" s="2"/>
      <c r="X57" s="62"/>
      <c r="Y57" s="18"/>
      <c r="Z57" s="121" t="str">
        <f t="shared" si="27"/>
        <v/>
      </c>
      <c r="AA57" s="20"/>
      <c r="AB57" s="20"/>
      <c r="AC57" s="20"/>
      <c r="AD57" s="20"/>
      <c r="AE57" s="125" t="str">
        <f t="shared" si="28"/>
        <v/>
      </c>
      <c r="AF57" s="14"/>
      <c r="AG57" s="125" t="str">
        <f t="shared" si="29"/>
        <v/>
      </c>
      <c r="AH57" s="20"/>
      <c r="AI57" s="20"/>
      <c r="AJ57" s="125" t="str">
        <f t="shared" si="30"/>
        <v/>
      </c>
      <c r="AK57" s="14"/>
      <c r="AL57" s="125" t="str">
        <f t="shared" si="31"/>
        <v/>
      </c>
      <c r="AM57" s="20"/>
      <c r="AN57" s="20"/>
      <c r="AO57" s="125" t="str">
        <f t="shared" si="32"/>
        <v/>
      </c>
      <c r="AP57" s="125" t="str">
        <f t="shared" si="33"/>
        <v/>
      </c>
      <c r="AQ57" s="125" t="str">
        <f t="shared" si="34"/>
        <v/>
      </c>
      <c r="AR57" s="129" t="str">
        <f t="shared" si="35"/>
        <v/>
      </c>
      <c r="AS57" s="14"/>
      <c r="AT57" s="13"/>
      <c r="AU57" s="13"/>
      <c r="AV57" s="117" t="str">
        <f>IF(_xlfn.XLOOKUP(AT57, AutoFill_classes!$A:$A, AutoFill_classes!$B:$B,"")=0,"",_xlfn.XLOOKUP(AT57, AutoFill_classes!$A:$A, AutoFill_classes!$B:$B,""))</f>
        <v/>
      </c>
      <c r="AW57" s="108"/>
      <c r="AX57" s="13"/>
      <c r="AY57" s="13"/>
      <c r="AZ57" s="13"/>
      <c r="BA57" s="13"/>
      <c r="BB57" s="13"/>
      <c r="BC57" s="62"/>
      <c r="BD57" s="18"/>
      <c r="BE57" s="121" t="str">
        <f t="shared" si="36"/>
        <v/>
      </c>
      <c r="BF57" s="20"/>
      <c r="BG57" s="20"/>
      <c r="BH57" s="20"/>
      <c r="BI57" s="20"/>
      <c r="BJ57" s="125" t="str">
        <f t="shared" si="37"/>
        <v/>
      </c>
      <c r="BK57" s="14"/>
      <c r="BL57" s="125" t="str">
        <f t="shared" si="38"/>
        <v/>
      </c>
      <c r="BM57" s="20"/>
      <c r="BN57" s="20"/>
      <c r="BO57" s="125" t="str">
        <f t="shared" si="39"/>
        <v/>
      </c>
      <c r="BP57" s="14"/>
      <c r="BQ57" s="125" t="str">
        <f t="shared" si="40"/>
        <v/>
      </c>
      <c r="BR57" s="20"/>
      <c r="BS57" s="20"/>
      <c r="BT57" s="125" t="str">
        <f t="shared" si="41"/>
        <v/>
      </c>
      <c r="BU57" s="125" t="str">
        <f t="shared" si="42"/>
        <v/>
      </c>
      <c r="BV57" s="125" t="str">
        <f t="shared" si="43"/>
        <v/>
      </c>
      <c r="BW57" s="129" t="str">
        <f t="shared" si="44"/>
        <v/>
      </c>
      <c r="BX57" s="13"/>
      <c r="BY57" s="15"/>
      <c r="BZ57" s="14"/>
      <c r="CA57" s="117" t="str">
        <f>IF(_xlfn.XLOOKUP(BY57, AutoFill_classes!$A:$A, AutoFill_classes!$B:$B,"")=0,"",_xlfn.XLOOKUP(BY57, AutoFill_classes!$A:$A, AutoFill_classes!$B:$B,""))</f>
        <v/>
      </c>
      <c r="CB57" s="108"/>
      <c r="CC57" s="14"/>
      <c r="CD57" s="14"/>
      <c r="CE57" s="14"/>
      <c r="CF57" s="21"/>
      <c r="CG57" s="22"/>
      <c r="CH57" s="62"/>
      <c r="CI57" s="23"/>
      <c r="CJ57" s="121" t="str">
        <f t="shared" si="45"/>
        <v/>
      </c>
      <c r="CK57" s="20"/>
      <c r="CL57" s="20"/>
      <c r="CM57" s="20"/>
      <c r="CN57" s="20"/>
      <c r="CO57" s="125" t="str">
        <f t="shared" si="46"/>
        <v/>
      </c>
      <c r="CP57" s="14"/>
      <c r="CQ57" s="125" t="str">
        <f t="shared" si="47"/>
        <v/>
      </c>
      <c r="CR57" s="20"/>
      <c r="CS57" s="20"/>
      <c r="CT57" s="125" t="str">
        <f t="shared" si="48"/>
        <v/>
      </c>
      <c r="CU57" s="14"/>
      <c r="CV57" s="125" t="str">
        <f t="shared" si="49"/>
        <v/>
      </c>
      <c r="CW57" s="20"/>
      <c r="CX57" s="20"/>
      <c r="CY57" s="125" t="str">
        <f t="shared" si="50"/>
        <v/>
      </c>
      <c r="CZ57" s="125" t="str">
        <f t="shared" si="51"/>
        <v/>
      </c>
      <c r="DA57" s="125" t="str">
        <f t="shared" si="52"/>
        <v/>
      </c>
      <c r="DB57" s="129" t="str">
        <f t="shared" si="53"/>
        <v/>
      </c>
      <c r="DC57" s="14"/>
      <c r="DD57" s="63"/>
      <c r="DE57" s="105">
        <v>55</v>
      </c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</row>
    <row r="58" spans="1:176" s="1" customFormat="1" ht="13" hidden="1" customHeight="1" outlineLevel="1" x14ac:dyDescent="0.2">
      <c r="A58" s="4"/>
      <c r="B58" s="115" t="str">
        <f>IF(_xlfn.XLOOKUP(A58, AutoFill_names!B:B, AutoFill_names!C:C,"")=0,"",_xlfn.XLOOKUP(A58, AutoFill_names!B:B, AutoFill_names!C:C,""))</f>
        <v/>
      </c>
      <c r="C58" s="115" t="str">
        <f>IF(_xlfn.XLOOKUP(A58, AutoFill_names!B:B, AutoFill_names!D:D,"")=0,"",_xlfn.XLOOKUP(A58, AutoFill_names!B:B, AutoFill_names!D:D,""))</f>
        <v/>
      </c>
      <c r="D58" s="115" t="str">
        <f>IF(_xlfn.XLOOKUP(A58, AutoFill_names!B:B, AutoFill_names!E:E,"")=0,"",_xlfn.XLOOKUP(A58, AutoFill_names!B:B, AutoFill_names!E:E,""))</f>
        <v/>
      </c>
      <c r="E58" s="115" t="str">
        <f>IF(_xlfn.XLOOKUP(A58, AutoFill_names!B:B, AutoFill_names!F:F,"")=0,"",_xlfn.XLOOKUP(A58, AutoFill_names!B:B, AutoFill_names!F:F,""))</f>
        <v/>
      </c>
      <c r="F58" s="92"/>
      <c r="J58" s="115" t="str">
        <f>IF(_xlfn.XLOOKUP(A58, AutoFill_names!B:B, AutoFill_names!K:K,"")=0,"",_xlfn.XLOOKUP(A58, AutoFill_names!B:B, AutoFill_names!K:K,""))</f>
        <v/>
      </c>
      <c r="K58" s="115" t="str">
        <f>IF(_xlfn.XLOOKUP(A58, AutoFill_names!B:B, AutoFill_names!L:L,"")=0,"",_xlfn.XLOOKUP(A58, AutoFill_names!B:B, AutoFill_names!L:L,""))</f>
        <v/>
      </c>
      <c r="L58" s="31"/>
      <c r="M58" s="31"/>
      <c r="N58" s="117" t="str">
        <f>IF(_xlfn.XLOOKUP(L58, AutoFill_classes!A:A, AutoFill_classes!B:B,"")=0,"",_xlfn.XLOOKUP(L58, AutoFill_classes!A:A, AutoFill_classes!B:B,""))</f>
        <v/>
      </c>
      <c r="O58" s="108"/>
      <c r="P58" s="6"/>
      <c r="Q58" s="6"/>
      <c r="R58" s="6"/>
      <c r="S58" s="2"/>
      <c r="T58" s="2"/>
      <c r="U58" s="2"/>
      <c r="X58" s="62"/>
      <c r="Y58" s="18"/>
      <c r="Z58" s="121" t="str">
        <f t="shared" si="27"/>
        <v/>
      </c>
      <c r="AA58" s="20"/>
      <c r="AB58" s="20"/>
      <c r="AC58" s="20"/>
      <c r="AD58" s="20"/>
      <c r="AE58" s="125" t="str">
        <f t="shared" si="28"/>
        <v/>
      </c>
      <c r="AF58" s="14"/>
      <c r="AG58" s="125" t="str">
        <f t="shared" si="29"/>
        <v/>
      </c>
      <c r="AH58" s="20"/>
      <c r="AI58" s="20"/>
      <c r="AJ58" s="125" t="str">
        <f t="shared" si="30"/>
        <v/>
      </c>
      <c r="AK58" s="14"/>
      <c r="AL58" s="125" t="str">
        <f t="shared" si="31"/>
        <v/>
      </c>
      <c r="AM58" s="20"/>
      <c r="AN58" s="20"/>
      <c r="AO58" s="125" t="str">
        <f t="shared" si="32"/>
        <v/>
      </c>
      <c r="AP58" s="125" t="str">
        <f t="shared" si="33"/>
        <v/>
      </c>
      <c r="AQ58" s="125" t="str">
        <f t="shared" si="34"/>
        <v/>
      </c>
      <c r="AR58" s="129" t="str">
        <f t="shared" si="35"/>
        <v/>
      </c>
      <c r="AS58" s="14"/>
      <c r="AT58" s="13"/>
      <c r="AU58" s="13"/>
      <c r="AV58" s="117" t="str">
        <f>IF(_xlfn.XLOOKUP(AT58, AutoFill_classes!$A:$A, AutoFill_classes!$B:$B,"")=0,"",_xlfn.XLOOKUP(AT58, AutoFill_classes!$A:$A, AutoFill_classes!$B:$B,""))</f>
        <v/>
      </c>
      <c r="AW58" s="108"/>
      <c r="AX58" s="13"/>
      <c r="AY58" s="13"/>
      <c r="AZ58" s="13"/>
      <c r="BA58" s="13"/>
      <c r="BB58" s="13"/>
      <c r="BC58" s="62"/>
      <c r="BD58" s="18"/>
      <c r="BE58" s="121" t="str">
        <f t="shared" si="36"/>
        <v/>
      </c>
      <c r="BF58" s="20"/>
      <c r="BG58" s="20"/>
      <c r="BH58" s="20"/>
      <c r="BI58" s="20"/>
      <c r="BJ58" s="125" t="str">
        <f t="shared" si="37"/>
        <v/>
      </c>
      <c r="BK58" s="14"/>
      <c r="BL58" s="125" t="str">
        <f t="shared" si="38"/>
        <v/>
      </c>
      <c r="BM58" s="20"/>
      <c r="BN58" s="20"/>
      <c r="BO58" s="125" t="str">
        <f t="shared" si="39"/>
        <v/>
      </c>
      <c r="BP58" s="14"/>
      <c r="BQ58" s="125" t="str">
        <f t="shared" si="40"/>
        <v/>
      </c>
      <c r="BR58" s="20"/>
      <c r="BS58" s="20"/>
      <c r="BT58" s="125" t="str">
        <f t="shared" si="41"/>
        <v/>
      </c>
      <c r="BU58" s="125" t="str">
        <f t="shared" si="42"/>
        <v/>
      </c>
      <c r="BV58" s="125" t="str">
        <f t="shared" si="43"/>
        <v/>
      </c>
      <c r="BW58" s="129" t="str">
        <f t="shared" si="44"/>
        <v/>
      </c>
      <c r="BX58" s="13"/>
      <c r="BY58" s="15"/>
      <c r="BZ58" s="14"/>
      <c r="CA58" s="117" t="str">
        <f>IF(_xlfn.XLOOKUP(BY58, AutoFill_classes!$A:$A, AutoFill_classes!$B:$B,"")=0,"",_xlfn.XLOOKUP(BY58, AutoFill_classes!$A:$A, AutoFill_classes!$B:$B,""))</f>
        <v/>
      </c>
      <c r="CB58" s="108"/>
      <c r="CC58" s="14"/>
      <c r="CD58" s="14"/>
      <c r="CE58" s="14"/>
      <c r="CF58" s="21"/>
      <c r="CG58" s="22"/>
      <c r="CH58" s="62"/>
      <c r="CI58" s="23"/>
      <c r="CJ58" s="121" t="str">
        <f t="shared" si="45"/>
        <v/>
      </c>
      <c r="CK58" s="20"/>
      <c r="CL58" s="20"/>
      <c r="CM58" s="20"/>
      <c r="CN58" s="20"/>
      <c r="CO58" s="125" t="str">
        <f t="shared" si="46"/>
        <v/>
      </c>
      <c r="CP58" s="14"/>
      <c r="CQ58" s="125" t="str">
        <f t="shared" si="47"/>
        <v/>
      </c>
      <c r="CR58" s="20"/>
      <c r="CS58" s="20"/>
      <c r="CT58" s="125" t="str">
        <f t="shared" si="48"/>
        <v/>
      </c>
      <c r="CU58" s="14"/>
      <c r="CV58" s="125" t="str">
        <f t="shared" si="49"/>
        <v/>
      </c>
      <c r="CW58" s="20"/>
      <c r="CX58" s="20"/>
      <c r="CY58" s="125" t="str">
        <f t="shared" si="50"/>
        <v/>
      </c>
      <c r="CZ58" s="125" t="str">
        <f t="shared" si="51"/>
        <v/>
      </c>
      <c r="DA58" s="125" t="str">
        <f t="shared" si="52"/>
        <v/>
      </c>
      <c r="DB58" s="129" t="str">
        <f t="shared" si="53"/>
        <v/>
      </c>
      <c r="DC58" s="14"/>
      <c r="DD58" s="63"/>
      <c r="DE58" s="105">
        <v>56</v>
      </c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</row>
    <row r="59" spans="1:176" s="1" customFormat="1" ht="13" hidden="1" customHeight="1" outlineLevel="1" x14ac:dyDescent="0.2">
      <c r="A59" s="4"/>
      <c r="B59" s="115" t="str">
        <f>IF(_xlfn.XLOOKUP(A59, AutoFill_names!B:B, AutoFill_names!C:C,"")=0,"",_xlfn.XLOOKUP(A59, AutoFill_names!B:B, AutoFill_names!C:C,""))</f>
        <v/>
      </c>
      <c r="C59" s="115" t="str">
        <f>IF(_xlfn.XLOOKUP(A59, AutoFill_names!B:B, AutoFill_names!D:D,"")=0,"",_xlfn.XLOOKUP(A59, AutoFill_names!B:B, AutoFill_names!D:D,""))</f>
        <v/>
      </c>
      <c r="D59" s="115" t="str">
        <f>IF(_xlfn.XLOOKUP(A59, AutoFill_names!B:B, AutoFill_names!E:E,"")=0,"",_xlfn.XLOOKUP(A59, AutoFill_names!B:B, AutoFill_names!E:E,""))</f>
        <v/>
      </c>
      <c r="E59" s="115" t="str">
        <f>IF(_xlfn.XLOOKUP(A59, AutoFill_names!B:B, AutoFill_names!F:F,"")=0,"",_xlfn.XLOOKUP(A59, AutoFill_names!B:B, AutoFill_names!F:F,""))</f>
        <v/>
      </c>
      <c r="F59" s="92"/>
      <c r="J59" s="115" t="str">
        <f>IF(_xlfn.XLOOKUP(A59, AutoFill_names!B:B, AutoFill_names!K:K,"")=0,"",_xlfn.XLOOKUP(A59, AutoFill_names!B:B, AutoFill_names!K:K,""))</f>
        <v/>
      </c>
      <c r="K59" s="115" t="str">
        <f>IF(_xlfn.XLOOKUP(A59, AutoFill_names!B:B, AutoFill_names!L:L,"")=0,"",_xlfn.XLOOKUP(A59, AutoFill_names!B:B, AutoFill_names!L:L,""))</f>
        <v/>
      </c>
      <c r="L59" s="31"/>
      <c r="M59" s="31"/>
      <c r="N59" s="117" t="str">
        <f>IF(_xlfn.XLOOKUP(L59, AutoFill_classes!A:A, AutoFill_classes!B:B,"")=0,"",_xlfn.XLOOKUP(L59, AutoFill_classes!A:A, AutoFill_classes!B:B,""))</f>
        <v/>
      </c>
      <c r="O59" s="108"/>
      <c r="P59" s="6"/>
      <c r="Q59" s="6"/>
      <c r="R59" s="6"/>
      <c r="S59" s="2"/>
      <c r="T59" s="2"/>
      <c r="U59" s="2"/>
      <c r="X59" s="62"/>
      <c r="Y59" s="18"/>
      <c r="Z59" s="121" t="str">
        <f t="shared" si="27"/>
        <v/>
      </c>
      <c r="AA59" s="20"/>
      <c r="AB59" s="20"/>
      <c r="AC59" s="20"/>
      <c r="AD59" s="20"/>
      <c r="AE59" s="125" t="str">
        <f t="shared" si="28"/>
        <v/>
      </c>
      <c r="AF59" s="14"/>
      <c r="AG59" s="125" t="str">
        <f t="shared" si="29"/>
        <v/>
      </c>
      <c r="AH59" s="20"/>
      <c r="AI59" s="20"/>
      <c r="AJ59" s="125" t="str">
        <f t="shared" si="30"/>
        <v/>
      </c>
      <c r="AK59" s="14"/>
      <c r="AL59" s="125" t="str">
        <f t="shared" si="31"/>
        <v/>
      </c>
      <c r="AM59" s="20"/>
      <c r="AN59" s="20"/>
      <c r="AO59" s="125" t="str">
        <f t="shared" si="32"/>
        <v/>
      </c>
      <c r="AP59" s="125" t="str">
        <f t="shared" si="33"/>
        <v/>
      </c>
      <c r="AQ59" s="125" t="str">
        <f t="shared" si="34"/>
        <v/>
      </c>
      <c r="AR59" s="129" t="str">
        <f t="shared" si="35"/>
        <v/>
      </c>
      <c r="AS59" s="14"/>
      <c r="AT59" s="13"/>
      <c r="AU59" s="13"/>
      <c r="AV59" s="117" t="str">
        <f>IF(_xlfn.XLOOKUP(AT59, AutoFill_classes!$A:$A, AutoFill_classes!$B:$B,"")=0,"",_xlfn.XLOOKUP(AT59, AutoFill_classes!$A:$A, AutoFill_classes!$B:$B,""))</f>
        <v/>
      </c>
      <c r="AW59" s="108"/>
      <c r="AX59" s="13"/>
      <c r="AY59" s="13"/>
      <c r="AZ59" s="13"/>
      <c r="BA59" s="13"/>
      <c r="BB59" s="13"/>
      <c r="BC59" s="62"/>
      <c r="BD59" s="18"/>
      <c r="BE59" s="121" t="str">
        <f t="shared" si="36"/>
        <v/>
      </c>
      <c r="BF59" s="20"/>
      <c r="BG59" s="20"/>
      <c r="BH59" s="20"/>
      <c r="BI59" s="20"/>
      <c r="BJ59" s="125" t="str">
        <f t="shared" si="37"/>
        <v/>
      </c>
      <c r="BK59" s="14"/>
      <c r="BL59" s="125" t="str">
        <f t="shared" si="38"/>
        <v/>
      </c>
      <c r="BM59" s="20"/>
      <c r="BN59" s="20"/>
      <c r="BO59" s="125" t="str">
        <f t="shared" si="39"/>
        <v/>
      </c>
      <c r="BP59" s="14"/>
      <c r="BQ59" s="125" t="str">
        <f t="shared" si="40"/>
        <v/>
      </c>
      <c r="BR59" s="20"/>
      <c r="BS59" s="20"/>
      <c r="BT59" s="125" t="str">
        <f t="shared" si="41"/>
        <v/>
      </c>
      <c r="BU59" s="125" t="str">
        <f t="shared" si="42"/>
        <v/>
      </c>
      <c r="BV59" s="125" t="str">
        <f t="shared" si="43"/>
        <v/>
      </c>
      <c r="BW59" s="129" t="str">
        <f t="shared" si="44"/>
        <v/>
      </c>
      <c r="BX59" s="13"/>
      <c r="BY59" s="15"/>
      <c r="BZ59" s="14"/>
      <c r="CA59" s="117" t="str">
        <f>IF(_xlfn.XLOOKUP(BY59, AutoFill_classes!$A:$A, AutoFill_classes!$B:$B,"")=0,"",_xlfn.XLOOKUP(BY59, AutoFill_classes!$A:$A, AutoFill_classes!$B:$B,""))</f>
        <v/>
      </c>
      <c r="CB59" s="108"/>
      <c r="CC59" s="14"/>
      <c r="CD59" s="14"/>
      <c r="CE59" s="14"/>
      <c r="CF59" s="21"/>
      <c r="CG59" s="22"/>
      <c r="CH59" s="62"/>
      <c r="CI59" s="23"/>
      <c r="CJ59" s="121" t="str">
        <f t="shared" si="45"/>
        <v/>
      </c>
      <c r="CK59" s="20"/>
      <c r="CL59" s="20"/>
      <c r="CM59" s="20"/>
      <c r="CN59" s="20"/>
      <c r="CO59" s="125" t="str">
        <f t="shared" si="46"/>
        <v/>
      </c>
      <c r="CP59" s="14"/>
      <c r="CQ59" s="125" t="str">
        <f t="shared" si="47"/>
        <v/>
      </c>
      <c r="CR59" s="20"/>
      <c r="CS59" s="20"/>
      <c r="CT59" s="125" t="str">
        <f t="shared" si="48"/>
        <v/>
      </c>
      <c r="CU59" s="14"/>
      <c r="CV59" s="125" t="str">
        <f t="shared" si="49"/>
        <v/>
      </c>
      <c r="CW59" s="20"/>
      <c r="CX59" s="20"/>
      <c r="CY59" s="125" t="str">
        <f t="shared" si="50"/>
        <v/>
      </c>
      <c r="CZ59" s="125" t="str">
        <f t="shared" si="51"/>
        <v/>
      </c>
      <c r="DA59" s="125" t="str">
        <f t="shared" si="52"/>
        <v/>
      </c>
      <c r="DB59" s="129" t="str">
        <f t="shared" si="53"/>
        <v/>
      </c>
      <c r="DC59" s="14"/>
      <c r="DD59" s="63"/>
      <c r="DE59" s="105">
        <v>57</v>
      </c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spans="1:176" s="1" customFormat="1" ht="13" hidden="1" customHeight="1" outlineLevel="1" x14ac:dyDescent="0.2">
      <c r="A60" s="4"/>
      <c r="B60" s="115" t="str">
        <f>IF(_xlfn.XLOOKUP(A60, AutoFill_names!B:B, AutoFill_names!C:C,"")=0,"",_xlfn.XLOOKUP(A60, AutoFill_names!B:B, AutoFill_names!C:C,""))</f>
        <v/>
      </c>
      <c r="C60" s="115" t="str">
        <f>IF(_xlfn.XLOOKUP(A60, AutoFill_names!B:B, AutoFill_names!D:D,"")=0,"",_xlfn.XLOOKUP(A60, AutoFill_names!B:B, AutoFill_names!D:D,""))</f>
        <v/>
      </c>
      <c r="D60" s="115" t="str">
        <f>IF(_xlfn.XLOOKUP(A60, AutoFill_names!B:B, AutoFill_names!E:E,"")=0,"",_xlfn.XLOOKUP(A60, AutoFill_names!B:B, AutoFill_names!E:E,""))</f>
        <v/>
      </c>
      <c r="E60" s="115" t="str">
        <f>IF(_xlfn.XLOOKUP(A60, AutoFill_names!B:B, AutoFill_names!F:F,"")=0,"",_xlfn.XLOOKUP(A60, AutoFill_names!B:B, AutoFill_names!F:F,""))</f>
        <v/>
      </c>
      <c r="F60" s="92"/>
      <c r="J60" s="115" t="str">
        <f>IF(_xlfn.XLOOKUP(A60, AutoFill_names!B:B, AutoFill_names!K:K,"")=0,"",_xlfn.XLOOKUP(A60, AutoFill_names!B:B, AutoFill_names!K:K,""))</f>
        <v/>
      </c>
      <c r="K60" s="115" t="str">
        <f>IF(_xlfn.XLOOKUP(A60, AutoFill_names!B:B, AutoFill_names!L:L,"")=0,"",_xlfn.XLOOKUP(A60, AutoFill_names!B:B, AutoFill_names!L:L,""))</f>
        <v/>
      </c>
      <c r="L60" s="31"/>
      <c r="M60" s="31"/>
      <c r="N60" s="117" t="str">
        <f>IF(_xlfn.XLOOKUP(L60, AutoFill_classes!A:A, AutoFill_classes!B:B,"")=0,"",_xlfn.XLOOKUP(L60, AutoFill_classes!A:A, AutoFill_classes!B:B,""))</f>
        <v/>
      </c>
      <c r="O60" s="108"/>
      <c r="P60" s="6"/>
      <c r="Q60" s="6"/>
      <c r="R60" s="6"/>
      <c r="S60" s="2"/>
      <c r="T60" s="2"/>
      <c r="U60" s="2"/>
      <c r="X60" s="62"/>
      <c r="Y60" s="18"/>
      <c r="Z60" s="121" t="str">
        <f t="shared" si="27"/>
        <v/>
      </c>
      <c r="AA60" s="20"/>
      <c r="AB60" s="20"/>
      <c r="AC60" s="20"/>
      <c r="AD60" s="20"/>
      <c r="AE60" s="125" t="str">
        <f t="shared" si="28"/>
        <v/>
      </c>
      <c r="AF60" s="14"/>
      <c r="AG60" s="125" t="str">
        <f t="shared" si="29"/>
        <v/>
      </c>
      <c r="AH60" s="20"/>
      <c r="AI60" s="20"/>
      <c r="AJ60" s="125" t="str">
        <f t="shared" si="30"/>
        <v/>
      </c>
      <c r="AK60" s="14"/>
      <c r="AL60" s="125" t="str">
        <f t="shared" si="31"/>
        <v/>
      </c>
      <c r="AM60" s="20"/>
      <c r="AN60" s="20"/>
      <c r="AO60" s="125" t="str">
        <f t="shared" si="32"/>
        <v/>
      </c>
      <c r="AP60" s="125" t="str">
        <f t="shared" si="33"/>
        <v/>
      </c>
      <c r="AQ60" s="125" t="str">
        <f t="shared" si="34"/>
        <v/>
      </c>
      <c r="AR60" s="129" t="str">
        <f t="shared" si="35"/>
        <v/>
      </c>
      <c r="AS60" s="14"/>
      <c r="AT60" s="13"/>
      <c r="AU60" s="13"/>
      <c r="AV60" s="117" t="str">
        <f>IF(_xlfn.XLOOKUP(AT60, AutoFill_classes!$A:$A, AutoFill_classes!$B:$B,"")=0,"",_xlfn.XLOOKUP(AT60, AutoFill_classes!$A:$A, AutoFill_classes!$B:$B,""))</f>
        <v/>
      </c>
      <c r="AW60" s="108"/>
      <c r="AX60" s="13"/>
      <c r="AY60" s="13"/>
      <c r="AZ60" s="13"/>
      <c r="BA60" s="13"/>
      <c r="BB60" s="13"/>
      <c r="BC60" s="62"/>
      <c r="BD60" s="18"/>
      <c r="BE60" s="121" t="str">
        <f t="shared" si="36"/>
        <v/>
      </c>
      <c r="BF60" s="20"/>
      <c r="BG60" s="20"/>
      <c r="BH60" s="20"/>
      <c r="BI60" s="20"/>
      <c r="BJ60" s="125" t="str">
        <f t="shared" si="37"/>
        <v/>
      </c>
      <c r="BK60" s="14"/>
      <c r="BL60" s="125" t="str">
        <f t="shared" si="38"/>
        <v/>
      </c>
      <c r="BM60" s="20"/>
      <c r="BN60" s="20"/>
      <c r="BO60" s="125" t="str">
        <f t="shared" si="39"/>
        <v/>
      </c>
      <c r="BP60" s="14"/>
      <c r="BQ60" s="125" t="str">
        <f t="shared" si="40"/>
        <v/>
      </c>
      <c r="BR60" s="20"/>
      <c r="BS60" s="20"/>
      <c r="BT60" s="125" t="str">
        <f t="shared" si="41"/>
        <v/>
      </c>
      <c r="BU60" s="125" t="str">
        <f t="shared" si="42"/>
        <v/>
      </c>
      <c r="BV60" s="125" t="str">
        <f t="shared" si="43"/>
        <v/>
      </c>
      <c r="BW60" s="129" t="str">
        <f t="shared" si="44"/>
        <v/>
      </c>
      <c r="BX60" s="13"/>
      <c r="BY60" s="15"/>
      <c r="BZ60" s="14"/>
      <c r="CA60" s="117" t="str">
        <f>IF(_xlfn.XLOOKUP(BY60, AutoFill_classes!$A:$A, AutoFill_classes!$B:$B,"")=0,"",_xlfn.XLOOKUP(BY60, AutoFill_classes!$A:$A, AutoFill_classes!$B:$B,""))</f>
        <v/>
      </c>
      <c r="CB60" s="108"/>
      <c r="CC60" s="14"/>
      <c r="CD60" s="14"/>
      <c r="CE60" s="14"/>
      <c r="CF60" s="21"/>
      <c r="CG60" s="22"/>
      <c r="CH60" s="62"/>
      <c r="CI60" s="23"/>
      <c r="CJ60" s="121" t="str">
        <f t="shared" si="45"/>
        <v/>
      </c>
      <c r="CK60" s="20"/>
      <c r="CL60" s="20"/>
      <c r="CM60" s="20"/>
      <c r="CN60" s="20"/>
      <c r="CO60" s="125" t="str">
        <f t="shared" si="46"/>
        <v/>
      </c>
      <c r="CP60" s="14"/>
      <c r="CQ60" s="125" t="str">
        <f t="shared" si="47"/>
        <v/>
      </c>
      <c r="CR60" s="20"/>
      <c r="CS60" s="20"/>
      <c r="CT60" s="125" t="str">
        <f t="shared" si="48"/>
        <v/>
      </c>
      <c r="CU60" s="14"/>
      <c r="CV60" s="125" t="str">
        <f t="shared" si="49"/>
        <v/>
      </c>
      <c r="CW60" s="20"/>
      <c r="CX60" s="20"/>
      <c r="CY60" s="125" t="str">
        <f t="shared" si="50"/>
        <v/>
      </c>
      <c r="CZ60" s="125" t="str">
        <f t="shared" si="51"/>
        <v/>
      </c>
      <c r="DA60" s="125" t="str">
        <f t="shared" si="52"/>
        <v/>
      </c>
      <c r="DB60" s="129" t="str">
        <f t="shared" si="53"/>
        <v/>
      </c>
      <c r="DC60" s="14"/>
      <c r="DD60" s="63"/>
      <c r="DE60" s="105">
        <v>58</v>
      </c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</row>
    <row r="61" spans="1:176" s="1" customFormat="1" ht="13" hidden="1" customHeight="1" outlineLevel="1" x14ac:dyDescent="0.2">
      <c r="A61" s="4"/>
      <c r="B61" s="115" t="str">
        <f>IF(_xlfn.XLOOKUP(A61, AutoFill_names!B:B, AutoFill_names!C:C,"")=0,"",_xlfn.XLOOKUP(A61, AutoFill_names!B:B, AutoFill_names!C:C,""))</f>
        <v/>
      </c>
      <c r="C61" s="115" t="str">
        <f>IF(_xlfn.XLOOKUP(A61, AutoFill_names!B:B, AutoFill_names!D:D,"")=0,"",_xlfn.XLOOKUP(A61, AutoFill_names!B:B, AutoFill_names!D:D,""))</f>
        <v/>
      </c>
      <c r="D61" s="115" t="str">
        <f>IF(_xlfn.XLOOKUP(A61, AutoFill_names!B:B, AutoFill_names!E:E,"")=0,"",_xlfn.XLOOKUP(A61, AutoFill_names!B:B, AutoFill_names!E:E,""))</f>
        <v/>
      </c>
      <c r="E61" s="115" t="str">
        <f>IF(_xlfn.XLOOKUP(A61, AutoFill_names!B:B, AutoFill_names!F:F,"")=0,"",_xlfn.XLOOKUP(A61, AutoFill_names!B:B, AutoFill_names!F:F,""))</f>
        <v/>
      </c>
      <c r="F61" s="92"/>
      <c r="J61" s="115" t="str">
        <f>IF(_xlfn.XLOOKUP(A61, AutoFill_names!B:B, AutoFill_names!K:K,"")=0,"",_xlfn.XLOOKUP(A61, AutoFill_names!B:B, AutoFill_names!K:K,""))</f>
        <v/>
      </c>
      <c r="K61" s="115" t="str">
        <f>IF(_xlfn.XLOOKUP(A61, AutoFill_names!B:B, AutoFill_names!L:L,"")=0,"",_xlfn.XLOOKUP(A61, AutoFill_names!B:B, AutoFill_names!L:L,""))</f>
        <v/>
      </c>
      <c r="L61" s="2"/>
      <c r="M61" s="2"/>
      <c r="N61" s="117" t="str">
        <f>IF(_xlfn.XLOOKUP(L61, AutoFill_classes!A:A, AutoFill_classes!B:B,"")=0,"",_xlfn.XLOOKUP(L61, AutoFill_classes!A:A, AutoFill_classes!B:B,""))</f>
        <v/>
      </c>
      <c r="O61" s="108"/>
      <c r="P61" s="6"/>
      <c r="Q61" s="6"/>
      <c r="R61" s="6"/>
      <c r="S61" s="2"/>
      <c r="T61" s="2"/>
      <c r="U61" s="2"/>
      <c r="X61" s="62"/>
      <c r="Y61" s="18"/>
      <c r="Z61" s="121" t="str">
        <f t="shared" si="27"/>
        <v/>
      </c>
      <c r="AA61" s="20"/>
      <c r="AB61" s="20"/>
      <c r="AC61" s="20"/>
      <c r="AD61" s="20"/>
      <c r="AE61" s="125" t="str">
        <f t="shared" si="28"/>
        <v/>
      </c>
      <c r="AF61" s="14"/>
      <c r="AG61" s="125" t="str">
        <f t="shared" si="29"/>
        <v/>
      </c>
      <c r="AH61" s="20"/>
      <c r="AI61" s="20"/>
      <c r="AJ61" s="125" t="str">
        <f t="shared" si="30"/>
        <v/>
      </c>
      <c r="AK61" s="14"/>
      <c r="AL61" s="125" t="str">
        <f t="shared" si="31"/>
        <v/>
      </c>
      <c r="AM61" s="20"/>
      <c r="AN61" s="20"/>
      <c r="AO61" s="125" t="str">
        <f t="shared" si="32"/>
        <v/>
      </c>
      <c r="AP61" s="125" t="str">
        <f t="shared" si="33"/>
        <v/>
      </c>
      <c r="AQ61" s="125" t="str">
        <f t="shared" si="34"/>
        <v/>
      </c>
      <c r="AR61" s="129" t="str">
        <f t="shared" si="35"/>
        <v/>
      </c>
      <c r="AS61" s="14"/>
      <c r="AT61" s="13"/>
      <c r="AU61" s="13"/>
      <c r="AV61" s="117" t="str">
        <f>IF(_xlfn.XLOOKUP(AT61, AutoFill_classes!$A:$A, AutoFill_classes!$B:$B,"")=0,"",_xlfn.XLOOKUP(AT61, AutoFill_classes!$A:$A, AutoFill_classes!$B:$B,""))</f>
        <v/>
      </c>
      <c r="AW61" s="108"/>
      <c r="AX61" s="13"/>
      <c r="AY61" s="13"/>
      <c r="AZ61" s="13"/>
      <c r="BA61" s="13"/>
      <c r="BB61" s="13"/>
      <c r="BC61" s="62"/>
      <c r="BD61" s="18"/>
      <c r="BE61" s="121" t="str">
        <f t="shared" si="36"/>
        <v/>
      </c>
      <c r="BF61" s="20"/>
      <c r="BG61" s="20"/>
      <c r="BH61" s="20"/>
      <c r="BI61" s="20"/>
      <c r="BJ61" s="125" t="str">
        <f t="shared" si="37"/>
        <v/>
      </c>
      <c r="BK61" s="14"/>
      <c r="BL61" s="125" t="str">
        <f t="shared" si="38"/>
        <v/>
      </c>
      <c r="BM61" s="20"/>
      <c r="BN61" s="20"/>
      <c r="BO61" s="125" t="str">
        <f t="shared" si="39"/>
        <v/>
      </c>
      <c r="BP61" s="14"/>
      <c r="BQ61" s="125" t="str">
        <f t="shared" si="40"/>
        <v/>
      </c>
      <c r="BR61" s="20"/>
      <c r="BS61" s="20"/>
      <c r="BT61" s="125" t="str">
        <f t="shared" si="41"/>
        <v/>
      </c>
      <c r="BU61" s="125" t="str">
        <f t="shared" si="42"/>
        <v/>
      </c>
      <c r="BV61" s="125" t="str">
        <f t="shared" si="43"/>
        <v/>
      </c>
      <c r="BW61" s="129" t="str">
        <f t="shared" si="44"/>
        <v/>
      </c>
      <c r="BX61" s="13"/>
      <c r="BY61" s="15"/>
      <c r="BZ61" s="14"/>
      <c r="CA61" s="117" t="str">
        <f>IF(_xlfn.XLOOKUP(BY61, AutoFill_classes!$A:$A, AutoFill_classes!$B:$B,"")=0,"",_xlfn.XLOOKUP(BY61, AutoFill_classes!$A:$A, AutoFill_classes!$B:$B,""))</f>
        <v/>
      </c>
      <c r="CB61" s="108"/>
      <c r="CC61" s="14"/>
      <c r="CD61" s="14"/>
      <c r="CE61" s="14"/>
      <c r="CF61" s="21"/>
      <c r="CG61" s="22"/>
      <c r="CH61" s="62"/>
      <c r="CI61" s="23"/>
      <c r="CJ61" s="121" t="str">
        <f t="shared" si="45"/>
        <v/>
      </c>
      <c r="CK61" s="20"/>
      <c r="CL61" s="20"/>
      <c r="CM61" s="20"/>
      <c r="CN61" s="20"/>
      <c r="CO61" s="125" t="str">
        <f t="shared" si="46"/>
        <v/>
      </c>
      <c r="CP61" s="14"/>
      <c r="CQ61" s="125" t="str">
        <f t="shared" si="47"/>
        <v/>
      </c>
      <c r="CR61" s="20"/>
      <c r="CS61" s="20"/>
      <c r="CT61" s="125" t="str">
        <f t="shared" si="48"/>
        <v/>
      </c>
      <c r="CU61" s="14"/>
      <c r="CV61" s="125" t="str">
        <f t="shared" si="49"/>
        <v/>
      </c>
      <c r="CW61" s="20"/>
      <c r="CX61" s="20"/>
      <c r="CY61" s="125" t="str">
        <f t="shared" si="50"/>
        <v/>
      </c>
      <c r="CZ61" s="125" t="str">
        <f t="shared" si="51"/>
        <v/>
      </c>
      <c r="DA61" s="125" t="str">
        <f t="shared" si="52"/>
        <v/>
      </c>
      <c r="DB61" s="129" t="str">
        <f t="shared" si="53"/>
        <v/>
      </c>
      <c r="DC61" s="14"/>
      <c r="DD61" s="63"/>
      <c r="DE61" s="105">
        <v>59</v>
      </c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spans="1:176" s="116" customFormat="1" ht="34" customHeight="1" collapsed="1" x14ac:dyDescent="0.2">
      <c r="A62" s="66" t="s">
        <v>2053</v>
      </c>
      <c r="B62" s="112" t="str">
        <f>"Total Credits: " &amp; IFERROR(IF(DD62=0,"",DD62),"")</f>
        <v>Total Credits: 12</v>
      </c>
      <c r="F62" s="138"/>
      <c r="P62" s="139"/>
      <c r="Q62" s="139"/>
      <c r="R62" s="139"/>
      <c r="V62" s="136"/>
      <c r="W62" s="136"/>
      <c r="X62" s="140" t="str">
        <f>IF(SUM(X63:X91)=0, "", SUM(X63:X91))</f>
        <v/>
      </c>
      <c r="Y62" s="123"/>
      <c r="Z62" s="123"/>
      <c r="AA62" s="141"/>
      <c r="AB62" s="141"/>
      <c r="AC62" s="141"/>
      <c r="AD62" s="141"/>
      <c r="AE62" s="124"/>
      <c r="AF62" s="124"/>
      <c r="AG62" s="124"/>
      <c r="AH62" s="141"/>
      <c r="AI62" s="141"/>
      <c r="AJ62" s="124"/>
      <c r="AK62" s="124"/>
      <c r="AL62" s="124"/>
      <c r="AM62" s="141"/>
      <c r="AN62" s="141"/>
      <c r="AO62" s="127"/>
      <c r="AP62" s="127"/>
      <c r="AQ62" s="127"/>
      <c r="AR62" s="127"/>
      <c r="AS62" s="127"/>
      <c r="AT62" s="134"/>
      <c r="AU62" s="134"/>
      <c r="AX62" s="134"/>
      <c r="AY62" s="134"/>
      <c r="AZ62" s="134"/>
      <c r="BA62" s="144"/>
      <c r="BB62" s="144"/>
      <c r="BC62" s="140">
        <f>IF(SUM(BC63:BC91)=0, "", SUM(BC63:BC91))</f>
        <v>12</v>
      </c>
      <c r="BD62" s="123"/>
      <c r="BE62" s="123"/>
      <c r="BF62" s="146"/>
      <c r="BG62" s="146"/>
      <c r="BH62" s="146"/>
      <c r="BI62" s="146"/>
      <c r="BJ62" s="134"/>
      <c r="BK62" s="134"/>
      <c r="BL62" s="134"/>
      <c r="BM62" s="146"/>
      <c r="BN62" s="146"/>
      <c r="BO62" s="134"/>
      <c r="BP62" s="134"/>
      <c r="BQ62" s="134"/>
      <c r="BR62" s="146"/>
      <c r="BS62" s="146"/>
      <c r="BT62" s="134"/>
      <c r="BU62" s="134"/>
      <c r="BV62" s="134"/>
      <c r="BW62" s="127"/>
      <c r="BX62" s="134"/>
      <c r="BY62" s="145"/>
      <c r="BZ62" s="145"/>
      <c r="CC62" s="145"/>
      <c r="CD62" s="145"/>
      <c r="CE62" s="145"/>
      <c r="CF62" s="136"/>
      <c r="CG62" s="120"/>
      <c r="CH62" s="140" t="str">
        <f>IF(SUM(CH63:CH91)=0, "", SUM(CH63:CH91))</f>
        <v/>
      </c>
      <c r="CI62" s="123"/>
      <c r="CJ62" s="123"/>
      <c r="CK62" s="146"/>
      <c r="CL62" s="146"/>
      <c r="CM62" s="146"/>
      <c r="CN62" s="146"/>
      <c r="CP62" s="134"/>
      <c r="CR62" s="146"/>
      <c r="CS62" s="146"/>
      <c r="CU62" s="134"/>
      <c r="CW62" s="146"/>
      <c r="CX62" s="146"/>
      <c r="DB62" s="127"/>
      <c r="DC62" s="134"/>
      <c r="DD62" s="140">
        <f>IF(SUM(L62:DC62)=0, "", SUM(L62:DC62))</f>
        <v>12</v>
      </c>
      <c r="DE62" s="105">
        <v>60</v>
      </c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</row>
    <row r="63" spans="1:176" s="1" customFormat="1" ht="13" hidden="1" customHeight="1" outlineLevel="1" x14ac:dyDescent="0.2">
      <c r="A63" s="4" t="s">
        <v>1053</v>
      </c>
      <c r="B63" s="115" t="str">
        <f>IF(_xlfn.XLOOKUP(A63, AutoFill_names!B:B, AutoFill_names!C:C,"")=0,"",_xlfn.XLOOKUP(A63, AutoFill_names!B:B, AutoFill_names!C:C,""))</f>
        <v>000066942</v>
      </c>
      <c r="C63" s="115" t="str">
        <f>IF(_xlfn.XLOOKUP(A63, AutoFill_names!B:B, AutoFill_names!D:D,"")=0,"",_xlfn.XLOOKUP(A63, AutoFill_names!B:B, AutoFill_names!D:D,""))</f>
        <v>jeroncic@andrews.edu</v>
      </c>
      <c r="D63" s="115" t="str">
        <f>IF(_xlfn.XLOOKUP(A63, AutoFill_names!B:B, AutoFill_names!E:E,"")=0,"",_xlfn.XLOOKUP(A63, AutoFill_names!B:B, AutoFill_names!E:E,""))</f>
        <v/>
      </c>
      <c r="E63" s="115" t="str">
        <f>IF(_xlfn.XLOOKUP(A63, AutoFill_names!B:B, AutoFill_names!F:F,"")=0,"",_xlfn.XLOOKUP(A63, AutoFill_names!B:B, AutoFill_names!F:F,""))</f>
        <v/>
      </c>
      <c r="F63" s="92"/>
      <c r="J63" s="115" t="str">
        <f>IF(_xlfn.XLOOKUP(A63, AutoFill_names!B:B, AutoFill_names!K:K,"")=0,"",_xlfn.XLOOKUP(A63, AutoFill_names!B:B, AutoFill_names!K:K,""))</f>
        <v>Jeroncic, Ante</v>
      </c>
      <c r="K63" s="115" t="str">
        <f>IF(_xlfn.XLOOKUP(A63, AutoFill_names!B:B, AutoFill_names!L:L,"")=0,"",_xlfn.XLOOKUP(A63, AutoFill_names!B:B, AutoFill_names!L:L,""))</f>
        <v>000066942</v>
      </c>
      <c r="L63" s="31"/>
      <c r="M63" s="31"/>
      <c r="N63" s="117" t="str">
        <f>IF(_xlfn.XLOOKUP(L63, AutoFill_classes!A:A, AutoFill_classes!B:B,"")=0,"",_xlfn.XLOOKUP(L63, AutoFill_classes!A:A, AutoFill_classes!B:B,""))</f>
        <v/>
      </c>
      <c r="O63" s="108"/>
      <c r="P63" s="6"/>
      <c r="Q63" s="6"/>
      <c r="R63" s="6"/>
      <c r="X63" s="62"/>
      <c r="Y63" s="18"/>
      <c r="Z63" s="121" t="str">
        <f t="shared" ref="Z63:Z91" si="54">IF(X63*Y63=0,"",X63*Y63)</f>
        <v/>
      </c>
      <c r="AA63" s="20"/>
      <c r="AB63" s="20"/>
      <c r="AC63" s="20"/>
      <c r="AD63" s="20"/>
      <c r="AE63" s="125" t="str">
        <f t="shared" ref="AE63:AE91" si="55">IF(ROUNDUP((AD63-AC63)/7,0)=0,"",ROUNDUP((AD63-AC63)/7,0))</f>
        <v/>
      </c>
      <c r="AF63" s="14"/>
      <c r="AG63" s="125" t="str">
        <f t="shared" ref="AG63:AG91" si="56">IFERROR(IF(AE63*AF63=0,"",AE63*AF63), "")</f>
        <v/>
      </c>
      <c r="AH63" s="20"/>
      <c r="AI63" s="20"/>
      <c r="AJ63" s="125" t="str">
        <f t="shared" ref="AJ63:AJ91" si="57">IF(ROUNDUP((AI63-AH63)/7,0)=0,"",ROUNDUP((AI63-AH63)/7,0))</f>
        <v/>
      </c>
      <c r="AK63" s="14"/>
      <c r="AL63" s="125" t="str">
        <f t="shared" ref="AL63:AL91" si="58">IFERROR(IF(AJ63*AK63=0,"",AJ63*AK63), "")</f>
        <v/>
      </c>
      <c r="AM63" s="20"/>
      <c r="AN63" s="20"/>
      <c r="AO63" s="125" t="str">
        <f t="shared" ref="AO63:AO91" si="59">IF(ROUNDUP((AN63-AM63)/7,0)=0,"",ROUNDUP((AN63-AM63)/7,0))</f>
        <v/>
      </c>
      <c r="AP63" s="125" t="str">
        <f t="shared" ref="AP63:AP91" si="60">IFERROR(IF((AS63-(AF63+AK63))/AO63=0,"",ROUNDUP((AS63-(AF63+AK63))/AO63,0)), "")</f>
        <v/>
      </c>
      <c r="AQ63" s="125" t="str">
        <f t="shared" ref="AQ63:AQ91" si="61">IFERROR(IF((AS63-(AG63+AL63))=0, "", (AS63-(AG63+AL63))), "")</f>
        <v/>
      </c>
      <c r="AR63" s="129" t="str">
        <f t="shared" ref="AR63:AR91" si="62">IFERROR(IF((AE63+AJ63+AO63)=0, "", (AE63+AJ63+AO63)), "")</f>
        <v/>
      </c>
      <c r="AS63" s="14"/>
      <c r="AT63" s="13" t="s">
        <v>1538</v>
      </c>
      <c r="AU63" s="13"/>
      <c r="AV63" s="117" t="str">
        <f>IF(_xlfn.XLOOKUP(AT63, AutoFill_classes!$A:$A, AutoFill_classes!$B:$B,"")=0,"",_xlfn.XLOOKUP(AT63, AutoFill_classes!$A:$A, AutoFill_classes!$B:$B,""))</f>
        <v>Christian Theology I</v>
      </c>
      <c r="AW63" s="108"/>
      <c r="AX63" s="13" t="s">
        <v>53</v>
      </c>
      <c r="AY63" s="13" t="s">
        <v>54</v>
      </c>
      <c r="AZ63" s="13" t="s">
        <v>167</v>
      </c>
      <c r="BA63" s="13" t="s">
        <v>55</v>
      </c>
      <c r="BB63" s="13" t="s">
        <v>56</v>
      </c>
      <c r="BC63" s="62">
        <v>3</v>
      </c>
      <c r="BD63" s="18"/>
      <c r="BE63" s="121" t="str">
        <f t="shared" ref="BE63:BE91" si="63">IF(BC63*BD63=0,"",BC63*BD63)</f>
        <v/>
      </c>
      <c r="BF63" s="20"/>
      <c r="BG63" s="20"/>
      <c r="BH63" s="20"/>
      <c r="BI63" s="20"/>
      <c r="BJ63" s="125" t="str">
        <f t="shared" ref="BJ63:BJ91" si="64">IF(ROUNDUP((BI63-BH63)/7,0)=0,"",ROUNDUP((BI63-BH63)/7,0))</f>
        <v/>
      </c>
      <c r="BK63" s="14"/>
      <c r="BL63" s="125" t="str">
        <f t="shared" ref="BL63:BL91" si="65">IFERROR(IF(BJ63*BK63=0,"",BJ63*BK63), "")</f>
        <v/>
      </c>
      <c r="BM63" s="20"/>
      <c r="BN63" s="20"/>
      <c r="BO63" s="125" t="str">
        <f t="shared" ref="BO63:BO91" si="66">IF(ROUNDUP((BN63-BM63)/7,0)=0,"",ROUNDUP((BN63-BM63)/7,0))</f>
        <v/>
      </c>
      <c r="BP63" s="14"/>
      <c r="BQ63" s="125" t="str">
        <f t="shared" ref="BQ63:BQ91" si="67">IFERROR(IF(BO63*BP63=0,"",BO63*BP63), "")</f>
        <v/>
      </c>
      <c r="BR63" s="20"/>
      <c r="BS63" s="20"/>
      <c r="BT63" s="125" t="str">
        <f t="shared" ref="BT63:BT91" si="68">IF(ROUNDUP((BS63-BR63)/7,0)=0,"",ROUNDUP((BS63-BR63)/7,0))</f>
        <v/>
      </c>
      <c r="BU63" s="125" t="str">
        <f t="shared" ref="BU63:BU91" si="69">IFERROR(IF((BX63-(BK63+BP63))/BT63=0,"",ROUNDUP((BX63-(BK63+BP63))/BT63,0)), "")</f>
        <v/>
      </c>
      <c r="BV63" s="125" t="str">
        <f t="shared" ref="BV63:BV91" si="70">IFERROR(IF((BX63-(BL63+BQ63))=0, "", (BX63-(BL63+BQ63))), "")</f>
        <v/>
      </c>
      <c r="BW63" s="129" t="str">
        <f t="shared" ref="BW63:BW91" si="71">IFERROR(IF((BJ63+BO63+BT63)=0, "", (BJ63+BO63+BT63)), "")</f>
        <v/>
      </c>
      <c r="BX63" s="13"/>
      <c r="BY63" s="15"/>
      <c r="BZ63" s="14"/>
      <c r="CA63" s="117" t="str">
        <f>IF(_xlfn.XLOOKUP(BY63, AutoFill_classes!$A:$A, AutoFill_classes!$B:$B,"")=0,"",_xlfn.XLOOKUP(BY63, AutoFill_classes!$A:$A, AutoFill_classes!$B:$B,""))</f>
        <v/>
      </c>
      <c r="CB63" s="108"/>
      <c r="CC63" s="14"/>
      <c r="CD63" s="14"/>
      <c r="CE63" s="14"/>
      <c r="CF63" s="21"/>
      <c r="CG63" s="22"/>
      <c r="CH63" s="62"/>
      <c r="CI63" s="23"/>
      <c r="CJ63" s="121" t="str">
        <f t="shared" ref="CJ63:CJ91" si="72">IF(CH63*CI63=0,"",CH63*CI63)</f>
        <v/>
      </c>
      <c r="CK63" s="20"/>
      <c r="CL63" s="20"/>
      <c r="CM63" s="20"/>
      <c r="CN63" s="20"/>
      <c r="CO63" s="125" t="str">
        <f t="shared" ref="CO63:CO91" si="73">IF(ROUNDUP((CN63-CM63)/7,0)=0,"",ROUNDUP((CN63-CM63)/7,0))</f>
        <v/>
      </c>
      <c r="CP63" s="14"/>
      <c r="CQ63" s="125" t="str">
        <f t="shared" ref="CQ63:CQ91" si="74">IFERROR(IF(CO63*CP63=0,"",CO63*CP63), "")</f>
        <v/>
      </c>
      <c r="CR63" s="20"/>
      <c r="CS63" s="20"/>
      <c r="CT63" s="125" t="str">
        <f t="shared" ref="CT63:CT91" si="75">IF(ROUNDUP((CS63-CR63)/7,0)=0,"",ROUNDUP((CS63-CR63)/7,0))</f>
        <v/>
      </c>
      <c r="CU63" s="14"/>
      <c r="CV63" s="125" t="str">
        <f t="shared" ref="CV63:CV91" si="76">IFERROR(IF(CT63*CU63=0,"",CT63*CU63), "")</f>
        <v/>
      </c>
      <c r="CW63" s="20"/>
      <c r="CX63" s="20"/>
      <c r="CY63" s="125" t="str">
        <f t="shared" ref="CY63:CY91" si="77">IF(ROUNDUP((CX63-CW63)/7,0)=0,"",ROUNDUP((CX63-CW63)/7,0))</f>
        <v/>
      </c>
      <c r="CZ63" s="125" t="str">
        <f t="shared" ref="CZ63:CZ91" si="78">IFERROR(IF((DC63-(CP63+CU63))/CY63=0,"",ROUNDUP((DC63-(CP63+CU63))/CY63,0)), "")</f>
        <v/>
      </c>
      <c r="DA63" s="125" t="str">
        <f t="shared" ref="DA63:DA91" si="79">IFERROR(IF((DC63-(CQ63+CV63))=0, "", (DC63-(CQ63+CV63))), "")</f>
        <v/>
      </c>
      <c r="DB63" s="129" t="str">
        <f t="shared" ref="DB63:DB91" si="80">IFERROR(IF((CO63+CT63+CY63)=0, "", (CO63+CT63+CY63)), "")</f>
        <v/>
      </c>
      <c r="DC63" s="14"/>
      <c r="DD63" s="62"/>
      <c r="DE63" s="105">
        <v>61</v>
      </c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spans="1:176" s="1" customFormat="1" ht="13" hidden="1" customHeight="1" outlineLevel="1" x14ac:dyDescent="0.2">
      <c r="A64" s="4" t="s">
        <v>1053</v>
      </c>
      <c r="B64" s="115" t="str">
        <f>IF(_xlfn.XLOOKUP(A64, AutoFill_names!B:B, AutoFill_names!C:C,"")=0,"",_xlfn.XLOOKUP(A64, AutoFill_names!B:B, AutoFill_names!C:C,""))</f>
        <v>000066942</v>
      </c>
      <c r="C64" s="115" t="str">
        <f>IF(_xlfn.XLOOKUP(A64, AutoFill_names!B:B, AutoFill_names!D:D,"")=0,"",_xlfn.XLOOKUP(A64, AutoFill_names!B:B, AutoFill_names!D:D,""))</f>
        <v>jeroncic@andrews.edu</v>
      </c>
      <c r="D64" s="115" t="str">
        <f>IF(_xlfn.XLOOKUP(A64, AutoFill_names!B:B, AutoFill_names!E:E,"")=0,"",_xlfn.XLOOKUP(A64, AutoFill_names!B:B, AutoFill_names!E:E,""))</f>
        <v/>
      </c>
      <c r="E64" s="115" t="str">
        <f>IF(_xlfn.XLOOKUP(A64, AutoFill_names!B:B, AutoFill_names!F:F,"")=0,"",_xlfn.XLOOKUP(A64, AutoFill_names!B:B, AutoFill_names!F:F,""))</f>
        <v/>
      </c>
      <c r="F64" s="92"/>
      <c r="J64" s="115" t="str">
        <f>IF(_xlfn.XLOOKUP(A64, AutoFill_names!B:B, AutoFill_names!K:K,"")=0,"",_xlfn.XLOOKUP(A64, AutoFill_names!B:B, AutoFill_names!K:K,""))</f>
        <v>Jeroncic, Ante</v>
      </c>
      <c r="K64" s="115" t="str">
        <f>IF(_xlfn.XLOOKUP(A64, AutoFill_names!B:B, AutoFill_names!L:L,"")=0,"",_xlfn.XLOOKUP(A64, AutoFill_names!B:B, AutoFill_names!L:L,""))</f>
        <v>000066942</v>
      </c>
      <c r="L64" s="31"/>
      <c r="M64" s="31"/>
      <c r="N64" s="117" t="str">
        <f>IF(_xlfn.XLOOKUP(L64, AutoFill_classes!A:A, AutoFill_classes!B:B,"")=0,"",_xlfn.XLOOKUP(L64, AutoFill_classes!A:A, AutoFill_classes!B:B,""))</f>
        <v/>
      </c>
      <c r="O64" s="108"/>
      <c r="P64" s="6"/>
      <c r="Q64" s="6"/>
      <c r="R64" s="6"/>
      <c r="X64" s="62"/>
      <c r="Y64" s="18"/>
      <c r="Z64" s="121" t="str">
        <f t="shared" si="54"/>
        <v/>
      </c>
      <c r="AA64" s="20"/>
      <c r="AB64" s="20"/>
      <c r="AC64" s="20"/>
      <c r="AD64" s="20"/>
      <c r="AE64" s="125" t="str">
        <f t="shared" si="55"/>
        <v/>
      </c>
      <c r="AF64" s="14"/>
      <c r="AG64" s="125" t="str">
        <f t="shared" si="56"/>
        <v/>
      </c>
      <c r="AH64" s="20"/>
      <c r="AI64" s="20"/>
      <c r="AJ64" s="125" t="str">
        <f t="shared" si="57"/>
        <v/>
      </c>
      <c r="AK64" s="14"/>
      <c r="AL64" s="125" t="str">
        <f t="shared" si="58"/>
        <v/>
      </c>
      <c r="AM64" s="20"/>
      <c r="AN64" s="20"/>
      <c r="AO64" s="125" t="str">
        <f t="shared" si="59"/>
        <v/>
      </c>
      <c r="AP64" s="125" t="str">
        <f t="shared" si="60"/>
        <v/>
      </c>
      <c r="AQ64" s="125" t="str">
        <f t="shared" si="61"/>
        <v/>
      </c>
      <c r="AR64" s="129" t="str">
        <f t="shared" si="62"/>
        <v/>
      </c>
      <c r="AS64" s="14"/>
      <c r="AT64" s="13" t="s">
        <v>1543</v>
      </c>
      <c r="AU64" s="13" t="s">
        <v>453</v>
      </c>
      <c r="AV64" s="117" t="str">
        <f>IF(_xlfn.XLOOKUP(AT64, AutoFill_classes!$A:$A, AutoFill_classes!$B:$B,"")=0,"",_xlfn.XLOOKUP(AT64, AutoFill_classes!$A:$A, AutoFill_classes!$B:$B,""))</f>
        <v>Principles of Christian Ethics</v>
      </c>
      <c r="AW64" s="108"/>
      <c r="AX64" s="13" t="s">
        <v>102</v>
      </c>
      <c r="AY64" s="13" t="s">
        <v>54</v>
      </c>
      <c r="AZ64" s="13" t="s">
        <v>167</v>
      </c>
      <c r="BA64" s="13" t="s">
        <v>55</v>
      </c>
      <c r="BB64" s="13" t="s">
        <v>56</v>
      </c>
      <c r="BC64" s="62">
        <v>3</v>
      </c>
      <c r="BD64" s="18"/>
      <c r="BE64" s="121" t="str">
        <f t="shared" si="63"/>
        <v/>
      </c>
      <c r="BF64" s="20"/>
      <c r="BG64" s="20"/>
      <c r="BH64" s="20"/>
      <c r="BI64" s="20"/>
      <c r="BJ64" s="125" t="str">
        <f t="shared" si="64"/>
        <v/>
      </c>
      <c r="BK64" s="14"/>
      <c r="BL64" s="125" t="str">
        <f t="shared" si="65"/>
        <v/>
      </c>
      <c r="BM64" s="20"/>
      <c r="BN64" s="20"/>
      <c r="BO64" s="125" t="str">
        <f t="shared" si="66"/>
        <v/>
      </c>
      <c r="BP64" s="14"/>
      <c r="BQ64" s="125" t="str">
        <f t="shared" si="67"/>
        <v/>
      </c>
      <c r="BR64" s="20"/>
      <c r="BS64" s="20"/>
      <c r="BT64" s="125" t="str">
        <f t="shared" si="68"/>
        <v/>
      </c>
      <c r="BU64" s="125" t="str">
        <f t="shared" si="69"/>
        <v/>
      </c>
      <c r="BV64" s="125" t="str">
        <f t="shared" si="70"/>
        <v/>
      </c>
      <c r="BW64" s="129" t="str">
        <f t="shared" si="71"/>
        <v/>
      </c>
      <c r="BX64" s="13"/>
      <c r="BY64" s="15"/>
      <c r="BZ64" s="14"/>
      <c r="CA64" s="117" t="str">
        <f>IF(_xlfn.XLOOKUP(BY64, AutoFill_classes!$A:$A, AutoFill_classes!$B:$B,"")=0,"",_xlfn.XLOOKUP(BY64, AutoFill_classes!$A:$A, AutoFill_classes!$B:$B,""))</f>
        <v/>
      </c>
      <c r="CB64" s="108"/>
      <c r="CC64" s="14"/>
      <c r="CD64" s="14"/>
      <c r="CE64" s="14"/>
      <c r="CF64" s="21"/>
      <c r="CG64" s="22"/>
      <c r="CH64" s="62"/>
      <c r="CI64" s="23"/>
      <c r="CJ64" s="121" t="str">
        <f t="shared" si="72"/>
        <v/>
      </c>
      <c r="CK64" s="20"/>
      <c r="CL64" s="20"/>
      <c r="CM64" s="20"/>
      <c r="CN64" s="20"/>
      <c r="CO64" s="125" t="str">
        <f t="shared" si="73"/>
        <v/>
      </c>
      <c r="CP64" s="14"/>
      <c r="CQ64" s="125" t="str">
        <f t="shared" si="74"/>
        <v/>
      </c>
      <c r="CR64" s="20"/>
      <c r="CS64" s="20"/>
      <c r="CT64" s="125" t="str">
        <f t="shared" si="75"/>
        <v/>
      </c>
      <c r="CU64" s="14"/>
      <c r="CV64" s="125" t="str">
        <f t="shared" si="76"/>
        <v/>
      </c>
      <c r="CW64" s="20"/>
      <c r="CX64" s="20"/>
      <c r="CY64" s="125" t="str">
        <f t="shared" si="77"/>
        <v/>
      </c>
      <c r="CZ64" s="125" t="str">
        <f t="shared" si="78"/>
        <v/>
      </c>
      <c r="DA64" s="125" t="str">
        <f t="shared" si="79"/>
        <v/>
      </c>
      <c r="DB64" s="129" t="str">
        <f t="shared" si="80"/>
        <v/>
      </c>
      <c r="DC64" s="14"/>
      <c r="DD64" s="62"/>
      <c r="DE64" s="105">
        <v>62</v>
      </c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</row>
    <row r="65" spans="1:176" s="1" customFormat="1" ht="13" hidden="1" customHeight="1" outlineLevel="1" x14ac:dyDescent="0.2">
      <c r="A65" s="4" t="s">
        <v>1053</v>
      </c>
      <c r="B65" s="115" t="str">
        <f>IF(_xlfn.XLOOKUP(A65, AutoFill_names!B:B, AutoFill_names!C:C,"")=0,"",_xlfn.XLOOKUP(A65, AutoFill_names!B:B, AutoFill_names!C:C,""))</f>
        <v>000066942</v>
      </c>
      <c r="C65" s="115" t="str">
        <f>IF(_xlfn.XLOOKUP(A65, AutoFill_names!B:B, AutoFill_names!D:D,"")=0,"",_xlfn.XLOOKUP(A65, AutoFill_names!B:B, AutoFill_names!D:D,""))</f>
        <v>jeroncic@andrews.edu</v>
      </c>
      <c r="D65" s="115" t="str">
        <f>IF(_xlfn.XLOOKUP(A65, AutoFill_names!B:B, AutoFill_names!E:E,"")=0,"",_xlfn.XLOOKUP(A65, AutoFill_names!B:B, AutoFill_names!E:E,""))</f>
        <v/>
      </c>
      <c r="E65" s="115" t="str">
        <f>IF(_xlfn.XLOOKUP(A65, AutoFill_names!B:B, AutoFill_names!F:F,"")=0,"",_xlfn.XLOOKUP(A65, AutoFill_names!B:B, AutoFill_names!F:F,""))</f>
        <v/>
      </c>
      <c r="F65" s="92"/>
      <c r="J65" s="115" t="str">
        <f>IF(_xlfn.XLOOKUP(A65, AutoFill_names!B:B, AutoFill_names!K:K,"")=0,"",_xlfn.XLOOKUP(A65, AutoFill_names!B:B, AutoFill_names!K:K,""))</f>
        <v>Jeroncic, Ante</v>
      </c>
      <c r="K65" s="115" t="str">
        <f>IF(_xlfn.XLOOKUP(A65, AutoFill_names!B:B, AutoFill_names!L:L,"")=0,"",_xlfn.XLOOKUP(A65, AutoFill_names!B:B, AutoFill_names!L:L,""))</f>
        <v>000066942</v>
      </c>
      <c r="L65" s="31"/>
      <c r="M65" s="31"/>
      <c r="N65" s="117" t="str">
        <f>IF(_xlfn.XLOOKUP(L65, AutoFill_classes!A:A, AutoFill_classes!B:B,"")=0,"",_xlfn.XLOOKUP(L65, AutoFill_classes!A:A, AutoFill_classes!B:B,""))</f>
        <v/>
      </c>
      <c r="O65" s="108"/>
      <c r="P65" s="6"/>
      <c r="Q65" s="6"/>
      <c r="R65" s="6"/>
      <c r="X65" s="62"/>
      <c r="Y65" s="18"/>
      <c r="Z65" s="121" t="str">
        <f t="shared" si="54"/>
        <v/>
      </c>
      <c r="AA65" s="20"/>
      <c r="AB65" s="20"/>
      <c r="AC65" s="20"/>
      <c r="AD65" s="20"/>
      <c r="AE65" s="125" t="str">
        <f t="shared" si="55"/>
        <v/>
      </c>
      <c r="AF65" s="14"/>
      <c r="AG65" s="125" t="str">
        <f t="shared" si="56"/>
        <v/>
      </c>
      <c r="AH65" s="20"/>
      <c r="AI65" s="20"/>
      <c r="AJ65" s="125" t="str">
        <f t="shared" si="57"/>
        <v/>
      </c>
      <c r="AK65" s="14"/>
      <c r="AL65" s="125" t="str">
        <f t="shared" si="58"/>
        <v/>
      </c>
      <c r="AM65" s="20"/>
      <c r="AN65" s="20"/>
      <c r="AO65" s="125" t="str">
        <f t="shared" si="59"/>
        <v/>
      </c>
      <c r="AP65" s="125" t="str">
        <f t="shared" si="60"/>
        <v/>
      </c>
      <c r="AQ65" s="125" t="str">
        <f t="shared" si="61"/>
        <v/>
      </c>
      <c r="AR65" s="129" t="str">
        <f t="shared" si="62"/>
        <v/>
      </c>
      <c r="AS65" s="14"/>
      <c r="AT65" s="13" t="s">
        <v>1560</v>
      </c>
      <c r="AU65" s="13"/>
      <c r="AV65" s="117" t="str">
        <f>IF(_xlfn.XLOOKUP(AT65, AutoFill_classes!$A:$A, AutoFill_classes!$B:$B,"")=0,"",_xlfn.XLOOKUP(AT65, AutoFill_classes!$A:$A, AutoFill_classes!$B:$B,""))</f>
        <v>Ethics and the Good Life</v>
      </c>
      <c r="AW65" s="108"/>
      <c r="AX65" s="13" t="s">
        <v>53</v>
      </c>
      <c r="AY65" s="13" t="s">
        <v>54</v>
      </c>
      <c r="AZ65" s="13" t="s">
        <v>167</v>
      </c>
      <c r="BA65" s="13" t="s">
        <v>55</v>
      </c>
      <c r="BB65" s="13" t="s">
        <v>56</v>
      </c>
      <c r="BC65" s="62">
        <v>3</v>
      </c>
      <c r="BD65" s="18"/>
      <c r="BE65" s="121" t="str">
        <f t="shared" si="63"/>
        <v/>
      </c>
      <c r="BF65" s="20"/>
      <c r="BG65" s="20"/>
      <c r="BH65" s="20"/>
      <c r="BI65" s="20"/>
      <c r="BJ65" s="125" t="str">
        <f t="shared" si="64"/>
        <v/>
      </c>
      <c r="BK65" s="14"/>
      <c r="BL65" s="125" t="str">
        <f t="shared" si="65"/>
        <v/>
      </c>
      <c r="BM65" s="20"/>
      <c r="BN65" s="20"/>
      <c r="BO65" s="125" t="str">
        <f t="shared" si="66"/>
        <v/>
      </c>
      <c r="BP65" s="14"/>
      <c r="BQ65" s="125" t="str">
        <f t="shared" si="67"/>
        <v/>
      </c>
      <c r="BR65" s="20"/>
      <c r="BS65" s="20"/>
      <c r="BT65" s="125" t="str">
        <f t="shared" si="68"/>
        <v/>
      </c>
      <c r="BU65" s="125" t="str">
        <f t="shared" si="69"/>
        <v/>
      </c>
      <c r="BV65" s="125" t="str">
        <f t="shared" si="70"/>
        <v/>
      </c>
      <c r="BW65" s="129" t="str">
        <f t="shared" si="71"/>
        <v/>
      </c>
      <c r="BX65" s="13"/>
      <c r="BY65" s="15"/>
      <c r="BZ65" s="14"/>
      <c r="CA65" s="117" t="str">
        <f>IF(_xlfn.XLOOKUP(BY65, AutoFill_classes!$A:$A, AutoFill_classes!$B:$B,"")=0,"",_xlfn.XLOOKUP(BY65, AutoFill_classes!$A:$A, AutoFill_classes!$B:$B,""))</f>
        <v/>
      </c>
      <c r="CB65" s="108"/>
      <c r="CC65" s="14"/>
      <c r="CD65" s="14"/>
      <c r="CE65" s="14"/>
      <c r="CF65" s="21"/>
      <c r="CG65" s="22"/>
      <c r="CH65" s="62"/>
      <c r="CI65" s="23"/>
      <c r="CJ65" s="121" t="str">
        <f t="shared" si="72"/>
        <v/>
      </c>
      <c r="CK65" s="20"/>
      <c r="CL65" s="20"/>
      <c r="CM65" s="20"/>
      <c r="CN65" s="20"/>
      <c r="CO65" s="125" t="str">
        <f t="shared" si="73"/>
        <v/>
      </c>
      <c r="CP65" s="14"/>
      <c r="CQ65" s="125" t="str">
        <f t="shared" si="74"/>
        <v/>
      </c>
      <c r="CR65" s="20"/>
      <c r="CS65" s="20"/>
      <c r="CT65" s="125" t="str">
        <f t="shared" si="75"/>
        <v/>
      </c>
      <c r="CU65" s="14"/>
      <c r="CV65" s="125" t="str">
        <f t="shared" si="76"/>
        <v/>
      </c>
      <c r="CW65" s="20"/>
      <c r="CX65" s="20"/>
      <c r="CY65" s="125" t="str">
        <f t="shared" si="77"/>
        <v/>
      </c>
      <c r="CZ65" s="125" t="str">
        <f t="shared" si="78"/>
        <v/>
      </c>
      <c r="DA65" s="125" t="str">
        <f t="shared" si="79"/>
        <v/>
      </c>
      <c r="DB65" s="129" t="str">
        <f t="shared" si="80"/>
        <v/>
      </c>
      <c r="DC65" s="14"/>
      <c r="DD65" s="62"/>
      <c r="DE65" s="105">
        <v>63</v>
      </c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spans="1:176" s="1" customFormat="1" ht="13" hidden="1" customHeight="1" outlineLevel="1" x14ac:dyDescent="0.2">
      <c r="A66" s="4" t="s">
        <v>1053</v>
      </c>
      <c r="B66" s="115" t="str">
        <f>IF(_xlfn.XLOOKUP(A66, AutoFill_names!B:B, AutoFill_names!C:C,"")=0,"",_xlfn.XLOOKUP(A66, AutoFill_names!B:B, AutoFill_names!C:C,""))</f>
        <v>000066942</v>
      </c>
      <c r="C66" s="115" t="str">
        <f>IF(_xlfn.XLOOKUP(A66, AutoFill_names!B:B, AutoFill_names!D:D,"")=0,"",_xlfn.XLOOKUP(A66, AutoFill_names!B:B, AutoFill_names!D:D,""))</f>
        <v>jeroncic@andrews.edu</v>
      </c>
      <c r="D66" s="115" t="str">
        <f>IF(_xlfn.XLOOKUP(A66, AutoFill_names!B:B, AutoFill_names!E:E,"")=0,"",_xlfn.XLOOKUP(A66, AutoFill_names!B:B, AutoFill_names!E:E,""))</f>
        <v/>
      </c>
      <c r="E66" s="115" t="str">
        <f>IF(_xlfn.XLOOKUP(A66, AutoFill_names!B:B, AutoFill_names!F:F,"")=0,"",_xlfn.XLOOKUP(A66, AutoFill_names!B:B, AutoFill_names!F:F,""))</f>
        <v/>
      </c>
      <c r="F66" s="92"/>
      <c r="J66" s="115" t="str">
        <f>IF(_xlfn.XLOOKUP(A66, AutoFill_names!B:B, AutoFill_names!K:K,"")=0,"",_xlfn.XLOOKUP(A66, AutoFill_names!B:B, AutoFill_names!K:K,""))</f>
        <v>Jeroncic, Ante</v>
      </c>
      <c r="K66" s="115" t="str">
        <f>IF(_xlfn.XLOOKUP(A66, AutoFill_names!B:B, AutoFill_names!L:L,"")=0,"",_xlfn.XLOOKUP(A66, AutoFill_names!B:B, AutoFill_names!L:L,""))</f>
        <v>000066942</v>
      </c>
      <c r="L66" s="31"/>
      <c r="M66" s="31"/>
      <c r="N66" s="117" t="str">
        <f>IF(_xlfn.XLOOKUP(L66, AutoFill_classes!A:A, AutoFill_classes!B:B,"")=0,"",_xlfn.XLOOKUP(L66, AutoFill_classes!A:A, AutoFill_classes!B:B,""))</f>
        <v/>
      </c>
      <c r="O66" s="108"/>
      <c r="P66" s="6"/>
      <c r="Q66" s="6"/>
      <c r="R66" s="6"/>
      <c r="X66" s="62"/>
      <c r="Y66" s="18"/>
      <c r="Z66" s="121" t="str">
        <f t="shared" si="54"/>
        <v/>
      </c>
      <c r="AA66" s="20"/>
      <c r="AB66" s="20"/>
      <c r="AC66" s="20"/>
      <c r="AD66" s="20"/>
      <c r="AE66" s="125" t="str">
        <f t="shared" si="55"/>
        <v/>
      </c>
      <c r="AF66" s="14"/>
      <c r="AG66" s="125" t="str">
        <f t="shared" si="56"/>
        <v/>
      </c>
      <c r="AH66" s="20"/>
      <c r="AI66" s="20"/>
      <c r="AJ66" s="125" t="str">
        <f t="shared" si="57"/>
        <v/>
      </c>
      <c r="AK66" s="14"/>
      <c r="AL66" s="125" t="str">
        <f t="shared" si="58"/>
        <v/>
      </c>
      <c r="AM66" s="20"/>
      <c r="AN66" s="20"/>
      <c r="AO66" s="125" t="str">
        <f t="shared" si="59"/>
        <v/>
      </c>
      <c r="AP66" s="125" t="str">
        <f t="shared" si="60"/>
        <v/>
      </c>
      <c r="AQ66" s="125" t="str">
        <f t="shared" si="61"/>
        <v/>
      </c>
      <c r="AR66" s="129" t="str">
        <f t="shared" si="62"/>
        <v/>
      </c>
      <c r="AS66" s="14"/>
      <c r="AT66" s="13" t="s">
        <v>1581</v>
      </c>
      <c r="AU66" s="13" t="s">
        <v>265</v>
      </c>
      <c r="AV66" s="117" t="str">
        <f>IF(_xlfn.XLOOKUP(AT66, AutoFill_classes!$A:$A, AutoFill_classes!$B:$B,"")=0,"",_xlfn.XLOOKUP(AT66, AutoFill_classes!$A:$A, AutoFill_classes!$B:$B,""))</f>
        <v>Top:</v>
      </c>
      <c r="AW66" s="108"/>
      <c r="AX66" s="13" t="s">
        <v>53</v>
      </c>
      <c r="AY66" s="13" t="s">
        <v>54</v>
      </c>
      <c r="AZ66" s="13" t="s">
        <v>167</v>
      </c>
      <c r="BA66" s="13" t="s">
        <v>59</v>
      </c>
      <c r="BB66" s="13" t="s">
        <v>56</v>
      </c>
      <c r="BC66" s="62">
        <v>0</v>
      </c>
      <c r="BD66" s="18"/>
      <c r="BE66" s="121" t="str">
        <f t="shared" si="63"/>
        <v/>
      </c>
      <c r="BF66" s="20"/>
      <c r="BG66" s="20"/>
      <c r="BH66" s="20"/>
      <c r="BI66" s="20"/>
      <c r="BJ66" s="125" t="str">
        <f t="shared" si="64"/>
        <v/>
      </c>
      <c r="BK66" s="14"/>
      <c r="BL66" s="125" t="str">
        <f t="shared" si="65"/>
        <v/>
      </c>
      <c r="BM66" s="20"/>
      <c r="BN66" s="20"/>
      <c r="BO66" s="125" t="str">
        <f t="shared" si="66"/>
        <v/>
      </c>
      <c r="BP66" s="14"/>
      <c r="BQ66" s="125" t="str">
        <f t="shared" si="67"/>
        <v/>
      </c>
      <c r="BR66" s="20"/>
      <c r="BS66" s="20"/>
      <c r="BT66" s="125" t="str">
        <f t="shared" si="68"/>
        <v/>
      </c>
      <c r="BU66" s="125" t="str">
        <f t="shared" si="69"/>
        <v/>
      </c>
      <c r="BV66" s="125" t="str">
        <f t="shared" si="70"/>
        <v/>
      </c>
      <c r="BW66" s="129" t="str">
        <f t="shared" si="71"/>
        <v/>
      </c>
      <c r="BX66" s="13"/>
      <c r="BY66" s="15"/>
      <c r="BZ66" s="14"/>
      <c r="CA66" s="117" t="str">
        <f>IF(_xlfn.XLOOKUP(BY66, AutoFill_classes!$A:$A, AutoFill_classes!$B:$B,"")=0,"",_xlfn.XLOOKUP(BY66, AutoFill_classes!$A:$A, AutoFill_classes!$B:$B,""))</f>
        <v/>
      </c>
      <c r="CB66" s="108"/>
      <c r="CC66" s="14"/>
      <c r="CD66" s="14"/>
      <c r="CE66" s="14"/>
      <c r="CF66" s="21"/>
      <c r="CG66" s="22"/>
      <c r="CH66" s="62"/>
      <c r="CI66" s="23"/>
      <c r="CJ66" s="121" t="str">
        <f t="shared" si="72"/>
        <v/>
      </c>
      <c r="CK66" s="20"/>
      <c r="CL66" s="20"/>
      <c r="CM66" s="20"/>
      <c r="CN66" s="20"/>
      <c r="CO66" s="125" t="str">
        <f t="shared" si="73"/>
        <v/>
      </c>
      <c r="CP66" s="14"/>
      <c r="CQ66" s="125" t="str">
        <f t="shared" si="74"/>
        <v/>
      </c>
      <c r="CR66" s="20"/>
      <c r="CS66" s="20"/>
      <c r="CT66" s="125" t="str">
        <f t="shared" si="75"/>
        <v/>
      </c>
      <c r="CU66" s="14"/>
      <c r="CV66" s="125" t="str">
        <f t="shared" si="76"/>
        <v/>
      </c>
      <c r="CW66" s="20"/>
      <c r="CX66" s="20"/>
      <c r="CY66" s="125" t="str">
        <f t="shared" si="77"/>
        <v/>
      </c>
      <c r="CZ66" s="125" t="str">
        <f t="shared" si="78"/>
        <v/>
      </c>
      <c r="DA66" s="125" t="str">
        <f t="shared" si="79"/>
        <v/>
      </c>
      <c r="DB66" s="129" t="str">
        <f t="shared" si="80"/>
        <v/>
      </c>
      <c r="DC66" s="14"/>
      <c r="DD66" s="62"/>
      <c r="DE66" s="105">
        <v>64</v>
      </c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</row>
    <row r="67" spans="1:176" s="1" customFormat="1" ht="13" hidden="1" customHeight="1" outlineLevel="1" x14ac:dyDescent="0.2">
      <c r="A67" s="4" t="s">
        <v>1053</v>
      </c>
      <c r="B67" s="115" t="str">
        <f>IF(_xlfn.XLOOKUP(A67, AutoFill_names!B:B, AutoFill_names!C:C,"")=0,"",_xlfn.XLOOKUP(A67, AutoFill_names!B:B, AutoFill_names!C:C,""))</f>
        <v>000066942</v>
      </c>
      <c r="C67" s="115" t="str">
        <f>IF(_xlfn.XLOOKUP(A67, AutoFill_names!B:B, AutoFill_names!D:D,"")=0,"",_xlfn.XLOOKUP(A67, AutoFill_names!B:B, AutoFill_names!D:D,""))</f>
        <v>jeroncic@andrews.edu</v>
      </c>
      <c r="D67" s="115" t="str">
        <f>IF(_xlfn.XLOOKUP(A67, AutoFill_names!B:B, AutoFill_names!E:E,"")=0,"",_xlfn.XLOOKUP(A67, AutoFill_names!B:B, AutoFill_names!E:E,""))</f>
        <v/>
      </c>
      <c r="E67" s="115" t="str">
        <f>IF(_xlfn.XLOOKUP(A67, AutoFill_names!B:B, AutoFill_names!F:F,"")=0,"",_xlfn.XLOOKUP(A67, AutoFill_names!B:B, AutoFill_names!F:F,""))</f>
        <v/>
      </c>
      <c r="F67" s="92"/>
      <c r="J67" s="115" t="str">
        <f>IF(_xlfn.XLOOKUP(A67, AutoFill_names!B:B, AutoFill_names!K:K,"")=0,"",_xlfn.XLOOKUP(A67, AutoFill_names!B:B, AutoFill_names!K:K,""))</f>
        <v>Jeroncic, Ante</v>
      </c>
      <c r="K67" s="115" t="str">
        <f>IF(_xlfn.XLOOKUP(A67, AutoFill_names!B:B, AutoFill_names!L:L,"")=0,"",_xlfn.XLOOKUP(A67, AutoFill_names!B:B, AutoFill_names!L:L,""))</f>
        <v>000066942</v>
      </c>
      <c r="L67" s="31"/>
      <c r="M67" s="31"/>
      <c r="N67" s="117" t="str">
        <f>IF(_xlfn.XLOOKUP(L67, AutoFill_classes!A:A, AutoFill_classes!B:B,"")=0,"",_xlfn.XLOOKUP(L67, AutoFill_classes!A:A, AutoFill_classes!B:B,""))</f>
        <v/>
      </c>
      <c r="O67" s="108"/>
      <c r="P67" s="6"/>
      <c r="Q67" s="6"/>
      <c r="R67" s="6"/>
      <c r="X67" s="62"/>
      <c r="Y67" s="18"/>
      <c r="Z67" s="121" t="str">
        <f t="shared" si="54"/>
        <v/>
      </c>
      <c r="AA67" s="20"/>
      <c r="AB67" s="20"/>
      <c r="AC67" s="20"/>
      <c r="AD67" s="20"/>
      <c r="AE67" s="125" t="str">
        <f t="shared" si="55"/>
        <v/>
      </c>
      <c r="AF67" s="14"/>
      <c r="AG67" s="125" t="str">
        <f t="shared" si="56"/>
        <v/>
      </c>
      <c r="AH67" s="20"/>
      <c r="AI67" s="20"/>
      <c r="AJ67" s="125" t="str">
        <f t="shared" si="57"/>
        <v/>
      </c>
      <c r="AK67" s="14"/>
      <c r="AL67" s="125" t="str">
        <f t="shared" si="58"/>
        <v/>
      </c>
      <c r="AM67" s="20"/>
      <c r="AN67" s="20"/>
      <c r="AO67" s="125" t="str">
        <f t="shared" si="59"/>
        <v/>
      </c>
      <c r="AP67" s="125" t="str">
        <f t="shared" si="60"/>
        <v/>
      </c>
      <c r="AQ67" s="125" t="str">
        <f t="shared" si="61"/>
        <v/>
      </c>
      <c r="AR67" s="129" t="str">
        <f t="shared" si="62"/>
        <v/>
      </c>
      <c r="AS67" s="14"/>
      <c r="AT67" s="13" t="s">
        <v>1568</v>
      </c>
      <c r="AU67" s="13"/>
      <c r="AV67" s="117" t="str">
        <f>IF(_xlfn.XLOOKUP(AT67, AutoFill_classes!$A:$A, AutoFill_classes!$B:$B,"")=0,"",_xlfn.XLOOKUP(AT67, AutoFill_classes!$A:$A, AutoFill_classes!$B:$B,""))</f>
        <v>Human Nature &amp; Destiny</v>
      </c>
      <c r="AW67" s="108"/>
      <c r="AX67" s="13" t="s">
        <v>53</v>
      </c>
      <c r="AY67" s="13" t="s">
        <v>112</v>
      </c>
      <c r="AZ67" s="13" t="s">
        <v>325</v>
      </c>
      <c r="BA67" s="13" t="s">
        <v>55</v>
      </c>
      <c r="BB67" s="13" t="s">
        <v>56</v>
      </c>
      <c r="BC67" s="62">
        <v>3</v>
      </c>
      <c r="BD67" s="18"/>
      <c r="BE67" s="121" t="str">
        <f t="shared" si="63"/>
        <v/>
      </c>
      <c r="BF67" s="20"/>
      <c r="BG67" s="20"/>
      <c r="BH67" s="20"/>
      <c r="BI67" s="20"/>
      <c r="BJ67" s="125" t="str">
        <f t="shared" si="64"/>
        <v/>
      </c>
      <c r="BK67" s="14"/>
      <c r="BL67" s="125" t="str">
        <f t="shared" si="65"/>
        <v/>
      </c>
      <c r="BM67" s="20"/>
      <c r="BN67" s="20"/>
      <c r="BO67" s="125" t="str">
        <f t="shared" si="66"/>
        <v/>
      </c>
      <c r="BP67" s="14"/>
      <c r="BQ67" s="125" t="str">
        <f t="shared" si="67"/>
        <v/>
      </c>
      <c r="BR67" s="20"/>
      <c r="BS67" s="20"/>
      <c r="BT67" s="125" t="str">
        <f t="shared" si="68"/>
        <v/>
      </c>
      <c r="BU67" s="125" t="str">
        <f t="shared" si="69"/>
        <v/>
      </c>
      <c r="BV67" s="125" t="str">
        <f t="shared" si="70"/>
        <v/>
      </c>
      <c r="BW67" s="129" t="str">
        <f t="shared" si="71"/>
        <v/>
      </c>
      <c r="BX67" s="13"/>
      <c r="BY67" s="15"/>
      <c r="BZ67" s="14"/>
      <c r="CA67" s="117" t="str">
        <f>IF(_xlfn.XLOOKUP(BY67, AutoFill_classes!$A:$A, AutoFill_classes!$B:$B,"")=0,"",_xlfn.XLOOKUP(BY67, AutoFill_classes!$A:$A, AutoFill_classes!$B:$B,""))</f>
        <v/>
      </c>
      <c r="CB67" s="108"/>
      <c r="CC67" s="14"/>
      <c r="CD67" s="14"/>
      <c r="CE67" s="14"/>
      <c r="CF67" s="21"/>
      <c r="CG67" s="22"/>
      <c r="CH67" s="62"/>
      <c r="CI67" s="23"/>
      <c r="CJ67" s="121" t="str">
        <f t="shared" si="72"/>
        <v/>
      </c>
      <c r="CK67" s="20"/>
      <c r="CL67" s="20"/>
      <c r="CM67" s="20"/>
      <c r="CN67" s="20"/>
      <c r="CO67" s="125" t="str">
        <f t="shared" si="73"/>
        <v/>
      </c>
      <c r="CP67" s="14"/>
      <c r="CQ67" s="125" t="str">
        <f t="shared" si="74"/>
        <v/>
      </c>
      <c r="CR67" s="20"/>
      <c r="CS67" s="20"/>
      <c r="CT67" s="125" t="str">
        <f t="shared" si="75"/>
        <v/>
      </c>
      <c r="CU67" s="14"/>
      <c r="CV67" s="125" t="str">
        <f t="shared" si="76"/>
        <v/>
      </c>
      <c r="CW67" s="20"/>
      <c r="CX67" s="20"/>
      <c r="CY67" s="125" t="str">
        <f t="shared" si="77"/>
        <v/>
      </c>
      <c r="CZ67" s="125" t="str">
        <f t="shared" si="78"/>
        <v/>
      </c>
      <c r="DA67" s="125" t="str">
        <f t="shared" si="79"/>
        <v/>
      </c>
      <c r="DB67" s="129" t="str">
        <f t="shared" si="80"/>
        <v/>
      </c>
      <c r="DC67" s="14"/>
      <c r="DD67" s="62"/>
      <c r="DE67" s="105">
        <v>65</v>
      </c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spans="1:176" s="1" customFormat="1" ht="13" hidden="1" customHeight="1" outlineLevel="1" x14ac:dyDescent="0.2">
      <c r="A68" s="4"/>
      <c r="B68" s="115" t="str">
        <f>IF(_xlfn.XLOOKUP(A68, AutoFill_names!B:B, AutoFill_names!C:C,"")=0,"",_xlfn.XLOOKUP(A68, AutoFill_names!B:B, AutoFill_names!C:C,""))</f>
        <v/>
      </c>
      <c r="C68" s="115" t="str">
        <f>IF(_xlfn.XLOOKUP(A68, AutoFill_names!B:B, AutoFill_names!D:D,"")=0,"",_xlfn.XLOOKUP(A68, AutoFill_names!B:B, AutoFill_names!D:D,""))</f>
        <v/>
      </c>
      <c r="D68" s="115" t="str">
        <f>IF(_xlfn.XLOOKUP(A68, AutoFill_names!B:B, AutoFill_names!E:E,"")=0,"",_xlfn.XLOOKUP(A68, AutoFill_names!B:B, AutoFill_names!E:E,""))</f>
        <v/>
      </c>
      <c r="E68" s="115" t="str">
        <f>IF(_xlfn.XLOOKUP(A68, AutoFill_names!B:B, AutoFill_names!F:F,"")=0,"",_xlfn.XLOOKUP(A68, AutoFill_names!B:B, AutoFill_names!F:F,""))</f>
        <v/>
      </c>
      <c r="F68" s="92"/>
      <c r="J68" s="115" t="str">
        <f>IF(_xlfn.XLOOKUP(A68, AutoFill_names!B:B, AutoFill_names!K:K,"")=0,"",_xlfn.XLOOKUP(A68, AutoFill_names!B:B, AutoFill_names!K:K,""))</f>
        <v/>
      </c>
      <c r="K68" s="115" t="str">
        <f>IF(_xlfn.XLOOKUP(A68, AutoFill_names!B:B, AutoFill_names!L:L,"")=0,"",_xlfn.XLOOKUP(A68, AutoFill_names!B:B, AutoFill_names!L:L,""))</f>
        <v/>
      </c>
      <c r="L68" s="31"/>
      <c r="M68" s="31"/>
      <c r="N68" s="117" t="str">
        <f>IF(_xlfn.XLOOKUP(L68, AutoFill_classes!A:A, AutoFill_classes!B:B,"")=0,"",_xlfn.XLOOKUP(L68, AutoFill_classes!A:A, AutoFill_classes!B:B,""))</f>
        <v/>
      </c>
      <c r="O68" s="108"/>
      <c r="P68" s="6"/>
      <c r="Q68" s="6"/>
      <c r="R68" s="6"/>
      <c r="X68" s="62"/>
      <c r="Y68" s="18"/>
      <c r="Z68" s="121" t="str">
        <f t="shared" si="54"/>
        <v/>
      </c>
      <c r="AA68" s="20"/>
      <c r="AB68" s="20"/>
      <c r="AC68" s="20"/>
      <c r="AD68" s="20"/>
      <c r="AE68" s="125" t="str">
        <f t="shared" si="55"/>
        <v/>
      </c>
      <c r="AF68" s="14"/>
      <c r="AG68" s="125" t="str">
        <f t="shared" si="56"/>
        <v/>
      </c>
      <c r="AH68" s="20"/>
      <c r="AI68" s="20"/>
      <c r="AJ68" s="125" t="str">
        <f t="shared" si="57"/>
        <v/>
      </c>
      <c r="AK68" s="14"/>
      <c r="AL68" s="125" t="str">
        <f t="shared" si="58"/>
        <v/>
      </c>
      <c r="AM68" s="20"/>
      <c r="AN68" s="20"/>
      <c r="AO68" s="125" t="str">
        <f t="shared" si="59"/>
        <v/>
      </c>
      <c r="AP68" s="125" t="str">
        <f t="shared" si="60"/>
        <v/>
      </c>
      <c r="AQ68" s="125" t="str">
        <f t="shared" si="61"/>
        <v/>
      </c>
      <c r="AR68" s="129" t="str">
        <f t="shared" si="62"/>
        <v/>
      </c>
      <c r="AS68" s="14"/>
      <c r="AT68" s="13"/>
      <c r="AU68" s="13"/>
      <c r="AV68" s="117" t="str">
        <f>IF(_xlfn.XLOOKUP(AT68, AutoFill_classes!$A:$A, AutoFill_classes!$B:$B,"")=0,"",_xlfn.XLOOKUP(AT68, AutoFill_classes!$A:$A, AutoFill_classes!$B:$B,""))</f>
        <v/>
      </c>
      <c r="AW68" s="108"/>
      <c r="AX68" s="13"/>
      <c r="AY68" s="13"/>
      <c r="AZ68" s="13"/>
      <c r="BA68" s="13"/>
      <c r="BB68" s="13"/>
      <c r="BC68" s="62"/>
      <c r="BD68" s="18"/>
      <c r="BE68" s="121" t="str">
        <f t="shared" si="63"/>
        <v/>
      </c>
      <c r="BF68" s="20"/>
      <c r="BG68" s="20"/>
      <c r="BH68" s="20"/>
      <c r="BI68" s="20"/>
      <c r="BJ68" s="125" t="str">
        <f t="shared" si="64"/>
        <v/>
      </c>
      <c r="BK68" s="14"/>
      <c r="BL68" s="125" t="str">
        <f t="shared" si="65"/>
        <v/>
      </c>
      <c r="BM68" s="20"/>
      <c r="BN68" s="20"/>
      <c r="BO68" s="125" t="str">
        <f t="shared" si="66"/>
        <v/>
      </c>
      <c r="BP68" s="14"/>
      <c r="BQ68" s="125" t="str">
        <f t="shared" si="67"/>
        <v/>
      </c>
      <c r="BR68" s="20"/>
      <c r="BS68" s="20"/>
      <c r="BT68" s="125" t="str">
        <f t="shared" si="68"/>
        <v/>
      </c>
      <c r="BU68" s="125" t="str">
        <f t="shared" si="69"/>
        <v/>
      </c>
      <c r="BV68" s="125" t="str">
        <f t="shared" si="70"/>
        <v/>
      </c>
      <c r="BW68" s="129" t="str">
        <f t="shared" si="71"/>
        <v/>
      </c>
      <c r="BX68" s="13"/>
      <c r="BY68" s="15"/>
      <c r="BZ68" s="14"/>
      <c r="CA68" s="117" t="str">
        <f>IF(_xlfn.XLOOKUP(BY68, AutoFill_classes!$A:$A, AutoFill_classes!$B:$B,"")=0,"",_xlfn.XLOOKUP(BY68, AutoFill_classes!$A:$A, AutoFill_classes!$B:$B,""))</f>
        <v/>
      </c>
      <c r="CB68" s="108"/>
      <c r="CC68" s="14"/>
      <c r="CD68" s="14"/>
      <c r="CE68" s="14"/>
      <c r="CF68" s="21"/>
      <c r="CG68" s="22"/>
      <c r="CH68" s="62"/>
      <c r="CI68" s="23"/>
      <c r="CJ68" s="121" t="str">
        <f t="shared" si="72"/>
        <v/>
      </c>
      <c r="CK68" s="20"/>
      <c r="CL68" s="20"/>
      <c r="CM68" s="20"/>
      <c r="CN68" s="20"/>
      <c r="CO68" s="125" t="str">
        <f t="shared" si="73"/>
        <v/>
      </c>
      <c r="CP68" s="14"/>
      <c r="CQ68" s="125" t="str">
        <f t="shared" si="74"/>
        <v/>
      </c>
      <c r="CR68" s="20"/>
      <c r="CS68" s="20"/>
      <c r="CT68" s="125" t="str">
        <f t="shared" si="75"/>
        <v/>
      </c>
      <c r="CU68" s="14"/>
      <c r="CV68" s="125" t="str">
        <f t="shared" si="76"/>
        <v/>
      </c>
      <c r="CW68" s="20"/>
      <c r="CX68" s="20"/>
      <c r="CY68" s="125" t="str">
        <f t="shared" si="77"/>
        <v/>
      </c>
      <c r="CZ68" s="125" t="str">
        <f t="shared" si="78"/>
        <v/>
      </c>
      <c r="DA68" s="125" t="str">
        <f t="shared" si="79"/>
        <v/>
      </c>
      <c r="DB68" s="129" t="str">
        <f t="shared" si="80"/>
        <v/>
      </c>
      <c r="DC68" s="14"/>
      <c r="DD68" s="62"/>
      <c r="DE68" s="105">
        <v>66</v>
      </c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</row>
    <row r="69" spans="1:176" s="1" customFormat="1" ht="13" hidden="1" customHeight="1" outlineLevel="1" x14ac:dyDescent="0.2">
      <c r="A69" s="4"/>
      <c r="B69" s="115" t="str">
        <f>IF(_xlfn.XLOOKUP(A69, AutoFill_names!B:B, AutoFill_names!C:C,"")=0,"",_xlfn.XLOOKUP(A69, AutoFill_names!B:B, AutoFill_names!C:C,""))</f>
        <v/>
      </c>
      <c r="C69" s="115" t="str">
        <f>IF(_xlfn.XLOOKUP(A69, AutoFill_names!B:B, AutoFill_names!D:D,"")=0,"",_xlfn.XLOOKUP(A69, AutoFill_names!B:B, AutoFill_names!D:D,""))</f>
        <v/>
      </c>
      <c r="D69" s="115" t="str">
        <f>IF(_xlfn.XLOOKUP(A69, AutoFill_names!B:B, AutoFill_names!E:E,"")=0,"",_xlfn.XLOOKUP(A69, AutoFill_names!B:B, AutoFill_names!E:E,""))</f>
        <v/>
      </c>
      <c r="E69" s="115" t="str">
        <f>IF(_xlfn.XLOOKUP(A69, AutoFill_names!B:B, AutoFill_names!F:F,"")=0,"",_xlfn.XLOOKUP(A69, AutoFill_names!B:B, AutoFill_names!F:F,""))</f>
        <v/>
      </c>
      <c r="F69" s="92"/>
      <c r="J69" s="115" t="str">
        <f>IF(_xlfn.XLOOKUP(A69, AutoFill_names!B:B, AutoFill_names!K:K,"")=0,"",_xlfn.XLOOKUP(A69, AutoFill_names!B:B, AutoFill_names!K:K,""))</f>
        <v/>
      </c>
      <c r="K69" s="115" t="str">
        <f>IF(_xlfn.XLOOKUP(A69, AutoFill_names!B:B, AutoFill_names!L:L,"")=0,"",_xlfn.XLOOKUP(A69, AutoFill_names!B:B, AutoFill_names!L:L,""))</f>
        <v/>
      </c>
      <c r="L69" s="31"/>
      <c r="M69" s="31"/>
      <c r="N69" s="117" t="str">
        <f>IF(_xlfn.XLOOKUP(L69, AutoFill_classes!A:A, AutoFill_classes!B:B,"")=0,"",_xlfn.XLOOKUP(L69, AutoFill_classes!A:A, AutoFill_classes!B:B,""))</f>
        <v/>
      </c>
      <c r="O69" s="108"/>
      <c r="P69" s="6"/>
      <c r="Q69" s="6"/>
      <c r="R69" s="6"/>
      <c r="X69" s="62"/>
      <c r="Y69" s="18"/>
      <c r="Z69" s="121" t="str">
        <f t="shared" si="54"/>
        <v/>
      </c>
      <c r="AA69" s="20"/>
      <c r="AB69" s="20"/>
      <c r="AC69" s="20"/>
      <c r="AD69" s="20"/>
      <c r="AE69" s="125" t="str">
        <f t="shared" si="55"/>
        <v/>
      </c>
      <c r="AF69" s="14"/>
      <c r="AG69" s="125" t="str">
        <f t="shared" si="56"/>
        <v/>
      </c>
      <c r="AH69" s="20"/>
      <c r="AI69" s="20"/>
      <c r="AJ69" s="125" t="str">
        <f t="shared" si="57"/>
        <v/>
      </c>
      <c r="AK69" s="14"/>
      <c r="AL69" s="125" t="str">
        <f t="shared" si="58"/>
        <v/>
      </c>
      <c r="AM69" s="20"/>
      <c r="AN69" s="20"/>
      <c r="AO69" s="125" t="str">
        <f t="shared" si="59"/>
        <v/>
      </c>
      <c r="AP69" s="125" t="str">
        <f t="shared" si="60"/>
        <v/>
      </c>
      <c r="AQ69" s="125" t="str">
        <f t="shared" si="61"/>
        <v/>
      </c>
      <c r="AR69" s="129" t="str">
        <f t="shared" si="62"/>
        <v/>
      </c>
      <c r="AS69" s="14"/>
      <c r="AT69" s="13"/>
      <c r="AU69" s="13"/>
      <c r="AV69" s="117" t="str">
        <f>IF(_xlfn.XLOOKUP(AT69, AutoFill_classes!$A:$A, AutoFill_classes!$B:$B,"")=0,"",_xlfn.XLOOKUP(AT69, AutoFill_classes!$A:$A, AutoFill_classes!$B:$B,""))</f>
        <v/>
      </c>
      <c r="AW69" s="108"/>
      <c r="AX69" s="13"/>
      <c r="AY69" s="13"/>
      <c r="AZ69" s="13"/>
      <c r="BA69" s="13"/>
      <c r="BB69" s="13"/>
      <c r="BC69" s="62"/>
      <c r="BD69" s="18"/>
      <c r="BE69" s="121" t="str">
        <f t="shared" si="63"/>
        <v/>
      </c>
      <c r="BF69" s="20"/>
      <c r="BG69" s="20"/>
      <c r="BH69" s="20"/>
      <c r="BI69" s="20"/>
      <c r="BJ69" s="125" t="str">
        <f t="shared" si="64"/>
        <v/>
      </c>
      <c r="BK69" s="14"/>
      <c r="BL69" s="125" t="str">
        <f t="shared" si="65"/>
        <v/>
      </c>
      <c r="BM69" s="20"/>
      <c r="BN69" s="20"/>
      <c r="BO69" s="125" t="str">
        <f t="shared" si="66"/>
        <v/>
      </c>
      <c r="BP69" s="14"/>
      <c r="BQ69" s="125" t="str">
        <f t="shared" si="67"/>
        <v/>
      </c>
      <c r="BR69" s="20"/>
      <c r="BS69" s="20"/>
      <c r="BT69" s="125" t="str">
        <f t="shared" si="68"/>
        <v/>
      </c>
      <c r="BU69" s="125" t="str">
        <f t="shared" si="69"/>
        <v/>
      </c>
      <c r="BV69" s="125" t="str">
        <f t="shared" si="70"/>
        <v/>
      </c>
      <c r="BW69" s="129" t="str">
        <f t="shared" si="71"/>
        <v/>
      </c>
      <c r="BX69" s="13"/>
      <c r="BY69" s="15"/>
      <c r="BZ69" s="14"/>
      <c r="CA69" s="117" t="str">
        <f>IF(_xlfn.XLOOKUP(BY69, AutoFill_classes!$A:$A, AutoFill_classes!$B:$B,"")=0,"",_xlfn.XLOOKUP(BY69, AutoFill_classes!$A:$A, AutoFill_classes!$B:$B,""))</f>
        <v/>
      </c>
      <c r="CB69" s="108"/>
      <c r="CC69" s="14"/>
      <c r="CD69" s="14"/>
      <c r="CE69" s="14"/>
      <c r="CF69" s="21"/>
      <c r="CG69" s="22"/>
      <c r="CH69" s="62"/>
      <c r="CI69" s="23"/>
      <c r="CJ69" s="121" t="str">
        <f t="shared" si="72"/>
        <v/>
      </c>
      <c r="CK69" s="20"/>
      <c r="CL69" s="20"/>
      <c r="CM69" s="20"/>
      <c r="CN69" s="20"/>
      <c r="CO69" s="125" t="str">
        <f t="shared" si="73"/>
        <v/>
      </c>
      <c r="CP69" s="14"/>
      <c r="CQ69" s="125" t="str">
        <f t="shared" si="74"/>
        <v/>
      </c>
      <c r="CR69" s="20"/>
      <c r="CS69" s="20"/>
      <c r="CT69" s="125" t="str">
        <f t="shared" si="75"/>
        <v/>
      </c>
      <c r="CU69" s="14"/>
      <c r="CV69" s="125" t="str">
        <f t="shared" si="76"/>
        <v/>
      </c>
      <c r="CW69" s="20"/>
      <c r="CX69" s="20"/>
      <c r="CY69" s="125" t="str">
        <f t="shared" si="77"/>
        <v/>
      </c>
      <c r="CZ69" s="125" t="str">
        <f t="shared" si="78"/>
        <v/>
      </c>
      <c r="DA69" s="125" t="str">
        <f t="shared" si="79"/>
        <v/>
      </c>
      <c r="DB69" s="129" t="str">
        <f t="shared" si="80"/>
        <v/>
      </c>
      <c r="DC69" s="14"/>
      <c r="DD69" s="62"/>
      <c r="DE69" s="105">
        <v>67</v>
      </c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spans="1:176" s="1" customFormat="1" ht="13" hidden="1" customHeight="1" outlineLevel="1" x14ac:dyDescent="0.2">
      <c r="A70" s="4"/>
      <c r="B70" s="115" t="str">
        <f>IF(_xlfn.XLOOKUP(A70, AutoFill_names!B:B, AutoFill_names!C:C,"")=0,"",_xlfn.XLOOKUP(A70, AutoFill_names!B:B, AutoFill_names!C:C,""))</f>
        <v/>
      </c>
      <c r="C70" s="115" t="str">
        <f>IF(_xlfn.XLOOKUP(A70, AutoFill_names!B:B, AutoFill_names!D:D,"")=0,"",_xlfn.XLOOKUP(A70, AutoFill_names!B:B, AutoFill_names!D:D,""))</f>
        <v/>
      </c>
      <c r="D70" s="115" t="str">
        <f>IF(_xlfn.XLOOKUP(A70, AutoFill_names!B:B, AutoFill_names!E:E,"")=0,"",_xlfn.XLOOKUP(A70, AutoFill_names!B:B, AutoFill_names!E:E,""))</f>
        <v/>
      </c>
      <c r="E70" s="115" t="str">
        <f>IF(_xlfn.XLOOKUP(A70, AutoFill_names!B:B, AutoFill_names!F:F,"")=0,"",_xlfn.XLOOKUP(A70, AutoFill_names!B:B, AutoFill_names!F:F,""))</f>
        <v/>
      </c>
      <c r="F70" s="92"/>
      <c r="J70" s="115" t="str">
        <f>IF(_xlfn.XLOOKUP(A70, AutoFill_names!B:B, AutoFill_names!K:K,"")=0,"",_xlfn.XLOOKUP(A70, AutoFill_names!B:B, AutoFill_names!K:K,""))</f>
        <v/>
      </c>
      <c r="K70" s="115" t="str">
        <f>IF(_xlfn.XLOOKUP(A70, AutoFill_names!B:B, AutoFill_names!L:L,"")=0,"",_xlfn.XLOOKUP(A70, AutoFill_names!B:B, AutoFill_names!L:L,""))</f>
        <v/>
      </c>
      <c r="L70" s="31"/>
      <c r="M70" s="31"/>
      <c r="N70" s="117" t="str">
        <f>IF(_xlfn.XLOOKUP(L70, AutoFill_classes!A:A, AutoFill_classes!B:B,"")=0,"",_xlfn.XLOOKUP(L70, AutoFill_classes!A:A, AutoFill_classes!B:B,""))</f>
        <v/>
      </c>
      <c r="O70" s="108"/>
      <c r="P70" s="6"/>
      <c r="Q70" s="6"/>
      <c r="R70" s="6"/>
      <c r="X70" s="62"/>
      <c r="Y70" s="18"/>
      <c r="Z70" s="121" t="str">
        <f t="shared" si="54"/>
        <v/>
      </c>
      <c r="AA70" s="20"/>
      <c r="AB70" s="20"/>
      <c r="AC70" s="20"/>
      <c r="AD70" s="20"/>
      <c r="AE70" s="125" t="str">
        <f t="shared" si="55"/>
        <v/>
      </c>
      <c r="AF70" s="14"/>
      <c r="AG70" s="125" t="str">
        <f t="shared" si="56"/>
        <v/>
      </c>
      <c r="AH70" s="20"/>
      <c r="AI70" s="20"/>
      <c r="AJ70" s="125" t="str">
        <f t="shared" si="57"/>
        <v/>
      </c>
      <c r="AK70" s="14"/>
      <c r="AL70" s="125" t="str">
        <f t="shared" si="58"/>
        <v/>
      </c>
      <c r="AM70" s="20"/>
      <c r="AN70" s="20"/>
      <c r="AO70" s="125" t="str">
        <f t="shared" si="59"/>
        <v/>
      </c>
      <c r="AP70" s="125" t="str">
        <f t="shared" si="60"/>
        <v/>
      </c>
      <c r="AQ70" s="125" t="str">
        <f t="shared" si="61"/>
        <v/>
      </c>
      <c r="AR70" s="129" t="str">
        <f t="shared" si="62"/>
        <v/>
      </c>
      <c r="AS70" s="14"/>
      <c r="AT70" s="13"/>
      <c r="AU70" s="13"/>
      <c r="AV70" s="117" t="str">
        <f>IF(_xlfn.XLOOKUP(AT70, AutoFill_classes!$A:$A, AutoFill_classes!$B:$B,"")=0,"",_xlfn.XLOOKUP(AT70, AutoFill_classes!$A:$A, AutoFill_classes!$B:$B,""))</f>
        <v/>
      </c>
      <c r="AW70" s="108"/>
      <c r="AX70" s="13"/>
      <c r="AY70" s="13"/>
      <c r="AZ70" s="13"/>
      <c r="BA70" s="13"/>
      <c r="BB70" s="13"/>
      <c r="BC70" s="62"/>
      <c r="BD70" s="18"/>
      <c r="BE70" s="121" t="str">
        <f t="shared" si="63"/>
        <v/>
      </c>
      <c r="BF70" s="20"/>
      <c r="BG70" s="20"/>
      <c r="BH70" s="20"/>
      <c r="BI70" s="20"/>
      <c r="BJ70" s="125" t="str">
        <f t="shared" si="64"/>
        <v/>
      </c>
      <c r="BK70" s="14"/>
      <c r="BL70" s="125" t="str">
        <f t="shared" si="65"/>
        <v/>
      </c>
      <c r="BM70" s="20"/>
      <c r="BN70" s="20"/>
      <c r="BO70" s="125" t="str">
        <f t="shared" si="66"/>
        <v/>
      </c>
      <c r="BP70" s="14"/>
      <c r="BQ70" s="125" t="str">
        <f t="shared" si="67"/>
        <v/>
      </c>
      <c r="BR70" s="20"/>
      <c r="BS70" s="20"/>
      <c r="BT70" s="125" t="str">
        <f t="shared" si="68"/>
        <v/>
      </c>
      <c r="BU70" s="125" t="str">
        <f t="shared" si="69"/>
        <v/>
      </c>
      <c r="BV70" s="125" t="str">
        <f t="shared" si="70"/>
        <v/>
      </c>
      <c r="BW70" s="129" t="str">
        <f t="shared" si="71"/>
        <v/>
      </c>
      <c r="BX70" s="13"/>
      <c r="BY70" s="15"/>
      <c r="BZ70" s="14"/>
      <c r="CA70" s="117" t="str">
        <f>IF(_xlfn.XLOOKUP(BY70, AutoFill_classes!$A:$A, AutoFill_classes!$B:$B,"")=0,"",_xlfn.XLOOKUP(BY70, AutoFill_classes!$A:$A, AutoFill_classes!$B:$B,""))</f>
        <v/>
      </c>
      <c r="CB70" s="108"/>
      <c r="CC70" s="14"/>
      <c r="CD70" s="14"/>
      <c r="CE70" s="14"/>
      <c r="CF70" s="21"/>
      <c r="CG70" s="22"/>
      <c r="CH70" s="62"/>
      <c r="CI70" s="23"/>
      <c r="CJ70" s="121" t="str">
        <f t="shared" si="72"/>
        <v/>
      </c>
      <c r="CK70" s="20"/>
      <c r="CL70" s="20"/>
      <c r="CM70" s="20"/>
      <c r="CN70" s="20"/>
      <c r="CO70" s="125" t="str">
        <f t="shared" si="73"/>
        <v/>
      </c>
      <c r="CP70" s="14"/>
      <c r="CQ70" s="125" t="str">
        <f t="shared" si="74"/>
        <v/>
      </c>
      <c r="CR70" s="20"/>
      <c r="CS70" s="20"/>
      <c r="CT70" s="125" t="str">
        <f t="shared" si="75"/>
        <v/>
      </c>
      <c r="CU70" s="14"/>
      <c r="CV70" s="125" t="str">
        <f t="shared" si="76"/>
        <v/>
      </c>
      <c r="CW70" s="20"/>
      <c r="CX70" s="20"/>
      <c r="CY70" s="125" t="str">
        <f t="shared" si="77"/>
        <v/>
      </c>
      <c r="CZ70" s="125" t="str">
        <f t="shared" si="78"/>
        <v/>
      </c>
      <c r="DA70" s="125" t="str">
        <f t="shared" si="79"/>
        <v/>
      </c>
      <c r="DB70" s="129" t="str">
        <f t="shared" si="80"/>
        <v/>
      </c>
      <c r="DC70" s="14"/>
      <c r="DD70" s="62"/>
      <c r="DE70" s="105">
        <v>68</v>
      </c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</row>
    <row r="71" spans="1:176" s="1" customFormat="1" ht="13" hidden="1" customHeight="1" outlineLevel="1" x14ac:dyDescent="0.2">
      <c r="A71" s="4"/>
      <c r="B71" s="115" t="str">
        <f>IF(_xlfn.XLOOKUP(A71, AutoFill_names!B:B, AutoFill_names!C:C,"")=0,"",_xlfn.XLOOKUP(A71, AutoFill_names!B:B, AutoFill_names!C:C,""))</f>
        <v/>
      </c>
      <c r="C71" s="115" t="str">
        <f>IF(_xlfn.XLOOKUP(A71, AutoFill_names!B:B, AutoFill_names!D:D,"")=0,"",_xlfn.XLOOKUP(A71, AutoFill_names!B:B, AutoFill_names!D:D,""))</f>
        <v/>
      </c>
      <c r="D71" s="115" t="str">
        <f>IF(_xlfn.XLOOKUP(A71, AutoFill_names!B:B, AutoFill_names!E:E,"")=0,"",_xlfn.XLOOKUP(A71, AutoFill_names!B:B, AutoFill_names!E:E,""))</f>
        <v/>
      </c>
      <c r="E71" s="115" t="str">
        <f>IF(_xlfn.XLOOKUP(A71, AutoFill_names!B:B, AutoFill_names!F:F,"")=0,"",_xlfn.XLOOKUP(A71, AutoFill_names!B:B, AutoFill_names!F:F,""))</f>
        <v/>
      </c>
      <c r="F71" s="92"/>
      <c r="J71" s="115" t="str">
        <f>IF(_xlfn.XLOOKUP(A71, AutoFill_names!B:B, AutoFill_names!K:K,"")=0,"",_xlfn.XLOOKUP(A71, AutoFill_names!B:B, AutoFill_names!K:K,""))</f>
        <v/>
      </c>
      <c r="K71" s="115" t="str">
        <f>IF(_xlfn.XLOOKUP(A71, AutoFill_names!B:B, AutoFill_names!L:L,"")=0,"",_xlfn.XLOOKUP(A71, AutoFill_names!B:B, AutoFill_names!L:L,""))</f>
        <v/>
      </c>
      <c r="L71" s="31"/>
      <c r="M71" s="31"/>
      <c r="N71" s="117" t="str">
        <f>IF(_xlfn.XLOOKUP(L71, AutoFill_classes!A:A, AutoFill_classes!B:B,"")=0,"",_xlfn.XLOOKUP(L71, AutoFill_classes!A:A, AutoFill_classes!B:B,""))</f>
        <v/>
      </c>
      <c r="O71" s="108"/>
      <c r="P71" s="6"/>
      <c r="Q71" s="6"/>
      <c r="R71" s="6"/>
      <c r="X71" s="62"/>
      <c r="Y71" s="18"/>
      <c r="Z71" s="121" t="str">
        <f t="shared" si="54"/>
        <v/>
      </c>
      <c r="AA71" s="20"/>
      <c r="AB71" s="20"/>
      <c r="AC71" s="20"/>
      <c r="AD71" s="20"/>
      <c r="AE71" s="125" t="str">
        <f t="shared" si="55"/>
        <v/>
      </c>
      <c r="AF71" s="14"/>
      <c r="AG71" s="125" t="str">
        <f t="shared" si="56"/>
        <v/>
      </c>
      <c r="AH71" s="20"/>
      <c r="AI71" s="20"/>
      <c r="AJ71" s="125" t="str">
        <f t="shared" si="57"/>
        <v/>
      </c>
      <c r="AK71" s="14"/>
      <c r="AL71" s="125" t="str">
        <f t="shared" si="58"/>
        <v/>
      </c>
      <c r="AM71" s="20"/>
      <c r="AN71" s="20"/>
      <c r="AO71" s="125" t="str">
        <f t="shared" si="59"/>
        <v/>
      </c>
      <c r="AP71" s="125" t="str">
        <f t="shared" si="60"/>
        <v/>
      </c>
      <c r="AQ71" s="125" t="str">
        <f t="shared" si="61"/>
        <v/>
      </c>
      <c r="AR71" s="129" t="str">
        <f t="shared" si="62"/>
        <v/>
      </c>
      <c r="AS71" s="14"/>
      <c r="AT71" s="13"/>
      <c r="AU71" s="13"/>
      <c r="AV71" s="117" t="str">
        <f>IF(_xlfn.XLOOKUP(AT71, AutoFill_classes!$A:$A, AutoFill_classes!$B:$B,"")=0,"",_xlfn.XLOOKUP(AT71, AutoFill_classes!$A:$A, AutoFill_classes!$B:$B,""))</f>
        <v/>
      </c>
      <c r="AW71" s="108"/>
      <c r="AX71" s="13"/>
      <c r="AY71" s="13"/>
      <c r="AZ71" s="13"/>
      <c r="BA71" s="13"/>
      <c r="BB71" s="13"/>
      <c r="BC71" s="62"/>
      <c r="BD71" s="18"/>
      <c r="BE71" s="121" t="str">
        <f t="shared" si="63"/>
        <v/>
      </c>
      <c r="BF71" s="20"/>
      <c r="BG71" s="20"/>
      <c r="BH71" s="20"/>
      <c r="BI71" s="20"/>
      <c r="BJ71" s="125" t="str">
        <f t="shared" si="64"/>
        <v/>
      </c>
      <c r="BK71" s="14"/>
      <c r="BL71" s="125" t="str">
        <f t="shared" si="65"/>
        <v/>
      </c>
      <c r="BM71" s="20"/>
      <c r="BN71" s="20"/>
      <c r="BO71" s="125" t="str">
        <f t="shared" si="66"/>
        <v/>
      </c>
      <c r="BP71" s="14"/>
      <c r="BQ71" s="125" t="str">
        <f t="shared" si="67"/>
        <v/>
      </c>
      <c r="BR71" s="20"/>
      <c r="BS71" s="20"/>
      <c r="BT71" s="125" t="str">
        <f t="shared" si="68"/>
        <v/>
      </c>
      <c r="BU71" s="125" t="str">
        <f t="shared" si="69"/>
        <v/>
      </c>
      <c r="BV71" s="125" t="str">
        <f t="shared" si="70"/>
        <v/>
      </c>
      <c r="BW71" s="129" t="str">
        <f t="shared" si="71"/>
        <v/>
      </c>
      <c r="BX71" s="13"/>
      <c r="BY71" s="15"/>
      <c r="BZ71" s="14"/>
      <c r="CA71" s="117" t="str">
        <f>IF(_xlfn.XLOOKUP(BY71, AutoFill_classes!$A:$A, AutoFill_classes!$B:$B,"")=0,"",_xlfn.XLOOKUP(BY71, AutoFill_classes!$A:$A, AutoFill_classes!$B:$B,""))</f>
        <v/>
      </c>
      <c r="CB71" s="108"/>
      <c r="CC71" s="14"/>
      <c r="CD71" s="14"/>
      <c r="CE71" s="14"/>
      <c r="CF71" s="21"/>
      <c r="CG71" s="22"/>
      <c r="CH71" s="62"/>
      <c r="CI71" s="23"/>
      <c r="CJ71" s="121" t="str">
        <f t="shared" si="72"/>
        <v/>
      </c>
      <c r="CK71" s="20"/>
      <c r="CL71" s="20"/>
      <c r="CM71" s="20"/>
      <c r="CN71" s="20"/>
      <c r="CO71" s="125" t="str">
        <f t="shared" si="73"/>
        <v/>
      </c>
      <c r="CP71" s="14"/>
      <c r="CQ71" s="125" t="str">
        <f t="shared" si="74"/>
        <v/>
      </c>
      <c r="CR71" s="20"/>
      <c r="CS71" s="20"/>
      <c r="CT71" s="125" t="str">
        <f t="shared" si="75"/>
        <v/>
      </c>
      <c r="CU71" s="14"/>
      <c r="CV71" s="125" t="str">
        <f t="shared" si="76"/>
        <v/>
      </c>
      <c r="CW71" s="20"/>
      <c r="CX71" s="20"/>
      <c r="CY71" s="125" t="str">
        <f t="shared" si="77"/>
        <v/>
      </c>
      <c r="CZ71" s="125" t="str">
        <f t="shared" si="78"/>
        <v/>
      </c>
      <c r="DA71" s="125" t="str">
        <f t="shared" si="79"/>
        <v/>
      </c>
      <c r="DB71" s="129" t="str">
        <f t="shared" si="80"/>
        <v/>
      </c>
      <c r="DC71" s="14"/>
      <c r="DD71" s="62"/>
      <c r="DE71" s="105">
        <v>69</v>
      </c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spans="1:176" s="1" customFormat="1" ht="13" hidden="1" customHeight="1" outlineLevel="1" x14ac:dyDescent="0.2">
      <c r="A72" s="4"/>
      <c r="B72" s="115" t="str">
        <f>IF(_xlfn.XLOOKUP(A72, AutoFill_names!B:B, AutoFill_names!C:C,"")=0,"",_xlfn.XLOOKUP(A72, AutoFill_names!B:B, AutoFill_names!C:C,""))</f>
        <v/>
      </c>
      <c r="C72" s="115" t="str">
        <f>IF(_xlfn.XLOOKUP(A72, AutoFill_names!B:B, AutoFill_names!D:D,"")=0,"",_xlfn.XLOOKUP(A72, AutoFill_names!B:B, AutoFill_names!D:D,""))</f>
        <v/>
      </c>
      <c r="D72" s="115" t="str">
        <f>IF(_xlfn.XLOOKUP(A72, AutoFill_names!B:B, AutoFill_names!E:E,"")=0,"",_xlfn.XLOOKUP(A72, AutoFill_names!B:B, AutoFill_names!E:E,""))</f>
        <v/>
      </c>
      <c r="E72" s="115" t="str">
        <f>IF(_xlfn.XLOOKUP(A72, AutoFill_names!B:B, AutoFill_names!F:F,"")=0,"",_xlfn.XLOOKUP(A72, AutoFill_names!B:B, AutoFill_names!F:F,""))</f>
        <v/>
      </c>
      <c r="F72" s="92"/>
      <c r="J72" s="115" t="str">
        <f>IF(_xlfn.XLOOKUP(A72, AutoFill_names!B:B, AutoFill_names!K:K,"")=0,"",_xlfn.XLOOKUP(A72, AutoFill_names!B:B, AutoFill_names!K:K,""))</f>
        <v/>
      </c>
      <c r="K72" s="115" t="str">
        <f>IF(_xlfn.XLOOKUP(A72, AutoFill_names!B:B, AutoFill_names!L:L,"")=0,"",_xlfn.XLOOKUP(A72, AutoFill_names!B:B, AutoFill_names!L:L,""))</f>
        <v/>
      </c>
      <c r="L72" s="31"/>
      <c r="M72" s="31"/>
      <c r="N72" s="117" t="str">
        <f>IF(_xlfn.XLOOKUP(L72, AutoFill_classes!A:A, AutoFill_classes!B:B,"")=0,"",_xlfn.XLOOKUP(L72, AutoFill_classes!A:A, AutoFill_classes!B:B,""))</f>
        <v/>
      </c>
      <c r="O72" s="108"/>
      <c r="P72" s="6"/>
      <c r="Q72" s="6"/>
      <c r="R72" s="6"/>
      <c r="X72" s="62"/>
      <c r="Y72" s="18"/>
      <c r="Z72" s="121" t="str">
        <f t="shared" si="54"/>
        <v/>
      </c>
      <c r="AA72" s="20"/>
      <c r="AB72" s="20"/>
      <c r="AC72" s="20"/>
      <c r="AD72" s="20"/>
      <c r="AE72" s="125" t="str">
        <f t="shared" si="55"/>
        <v/>
      </c>
      <c r="AF72" s="14"/>
      <c r="AG72" s="125" t="str">
        <f t="shared" si="56"/>
        <v/>
      </c>
      <c r="AH72" s="20"/>
      <c r="AI72" s="20"/>
      <c r="AJ72" s="125" t="str">
        <f t="shared" si="57"/>
        <v/>
      </c>
      <c r="AK72" s="14"/>
      <c r="AL72" s="125" t="str">
        <f t="shared" si="58"/>
        <v/>
      </c>
      <c r="AM72" s="20"/>
      <c r="AN72" s="20"/>
      <c r="AO72" s="125" t="str">
        <f t="shared" si="59"/>
        <v/>
      </c>
      <c r="AP72" s="125" t="str">
        <f t="shared" si="60"/>
        <v/>
      </c>
      <c r="AQ72" s="125" t="str">
        <f t="shared" si="61"/>
        <v/>
      </c>
      <c r="AR72" s="129" t="str">
        <f t="shared" si="62"/>
        <v/>
      </c>
      <c r="AS72" s="14"/>
      <c r="AT72" s="13"/>
      <c r="AU72" s="13"/>
      <c r="AV72" s="117" t="str">
        <f>IF(_xlfn.XLOOKUP(AT72, AutoFill_classes!$A:$A, AutoFill_classes!$B:$B,"")=0,"",_xlfn.XLOOKUP(AT72, AutoFill_classes!$A:$A, AutoFill_classes!$B:$B,""))</f>
        <v/>
      </c>
      <c r="AW72" s="108"/>
      <c r="AX72" s="13"/>
      <c r="AY72" s="13"/>
      <c r="AZ72" s="13"/>
      <c r="BA72" s="13"/>
      <c r="BB72" s="13"/>
      <c r="BC72" s="62"/>
      <c r="BD72" s="18"/>
      <c r="BE72" s="121" t="str">
        <f t="shared" si="63"/>
        <v/>
      </c>
      <c r="BF72" s="20"/>
      <c r="BG72" s="20"/>
      <c r="BH72" s="20"/>
      <c r="BI72" s="20"/>
      <c r="BJ72" s="125" t="str">
        <f t="shared" si="64"/>
        <v/>
      </c>
      <c r="BK72" s="14"/>
      <c r="BL72" s="125" t="str">
        <f t="shared" si="65"/>
        <v/>
      </c>
      <c r="BM72" s="20"/>
      <c r="BN72" s="20"/>
      <c r="BO72" s="125" t="str">
        <f t="shared" si="66"/>
        <v/>
      </c>
      <c r="BP72" s="14"/>
      <c r="BQ72" s="125" t="str">
        <f t="shared" si="67"/>
        <v/>
      </c>
      <c r="BR72" s="20"/>
      <c r="BS72" s="20"/>
      <c r="BT72" s="125" t="str">
        <f t="shared" si="68"/>
        <v/>
      </c>
      <c r="BU72" s="125" t="str">
        <f t="shared" si="69"/>
        <v/>
      </c>
      <c r="BV72" s="125" t="str">
        <f t="shared" si="70"/>
        <v/>
      </c>
      <c r="BW72" s="129" t="str">
        <f t="shared" si="71"/>
        <v/>
      </c>
      <c r="BX72" s="13"/>
      <c r="BY72" s="15"/>
      <c r="BZ72" s="14"/>
      <c r="CA72" s="117" t="str">
        <f>IF(_xlfn.XLOOKUP(BY72, AutoFill_classes!$A:$A, AutoFill_classes!$B:$B,"")=0,"",_xlfn.XLOOKUP(BY72, AutoFill_classes!$A:$A, AutoFill_classes!$B:$B,""))</f>
        <v/>
      </c>
      <c r="CB72" s="108"/>
      <c r="CC72" s="14"/>
      <c r="CD72" s="14"/>
      <c r="CE72" s="14"/>
      <c r="CF72" s="21"/>
      <c r="CG72" s="22"/>
      <c r="CH72" s="62"/>
      <c r="CI72" s="23"/>
      <c r="CJ72" s="121" t="str">
        <f t="shared" si="72"/>
        <v/>
      </c>
      <c r="CK72" s="20"/>
      <c r="CL72" s="20"/>
      <c r="CM72" s="20"/>
      <c r="CN72" s="20"/>
      <c r="CO72" s="125" t="str">
        <f t="shared" si="73"/>
        <v/>
      </c>
      <c r="CP72" s="14"/>
      <c r="CQ72" s="125" t="str">
        <f t="shared" si="74"/>
        <v/>
      </c>
      <c r="CR72" s="20"/>
      <c r="CS72" s="20"/>
      <c r="CT72" s="125" t="str">
        <f t="shared" si="75"/>
        <v/>
      </c>
      <c r="CU72" s="14"/>
      <c r="CV72" s="125" t="str">
        <f t="shared" si="76"/>
        <v/>
      </c>
      <c r="CW72" s="20"/>
      <c r="CX72" s="20"/>
      <c r="CY72" s="125" t="str">
        <f t="shared" si="77"/>
        <v/>
      </c>
      <c r="CZ72" s="125" t="str">
        <f t="shared" si="78"/>
        <v/>
      </c>
      <c r="DA72" s="125" t="str">
        <f t="shared" si="79"/>
        <v/>
      </c>
      <c r="DB72" s="129" t="str">
        <f t="shared" si="80"/>
        <v/>
      </c>
      <c r="DC72" s="14"/>
      <c r="DD72" s="62"/>
      <c r="DE72" s="105">
        <v>70</v>
      </c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</row>
    <row r="73" spans="1:176" s="1" customFormat="1" ht="13" hidden="1" customHeight="1" outlineLevel="1" x14ac:dyDescent="0.2">
      <c r="A73" s="4"/>
      <c r="B73" s="115" t="str">
        <f>IF(_xlfn.XLOOKUP(A73, AutoFill_names!B:B, AutoFill_names!C:C,"")=0,"",_xlfn.XLOOKUP(A73, AutoFill_names!B:B, AutoFill_names!C:C,""))</f>
        <v/>
      </c>
      <c r="C73" s="115" t="str">
        <f>IF(_xlfn.XLOOKUP(A73, AutoFill_names!B:B, AutoFill_names!D:D,"")=0,"",_xlfn.XLOOKUP(A73, AutoFill_names!B:B, AutoFill_names!D:D,""))</f>
        <v/>
      </c>
      <c r="D73" s="115" t="str">
        <f>IF(_xlfn.XLOOKUP(A73, AutoFill_names!B:B, AutoFill_names!E:E,"")=0,"",_xlfn.XLOOKUP(A73, AutoFill_names!B:B, AutoFill_names!E:E,""))</f>
        <v/>
      </c>
      <c r="E73" s="115" t="str">
        <f>IF(_xlfn.XLOOKUP(A73, AutoFill_names!B:B, AutoFill_names!F:F,"")=0,"",_xlfn.XLOOKUP(A73, AutoFill_names!B:B, AutoFill_names!F:F,""))</f>
        <v/>
      </c>
      <c r="F73" s="92"/>
      <c r="J73" s="115" t="str">
        <f>IF(_xlfn.XLOOKUP(A73, AutoFill_names!B:B, AutoFill_names!K:K,"")=0,"",_xlfn.XLOOKUP(A73, AutoFill_names!B:B, AutoFill_names!K:K,""))</f>
        <v/>
      </c>
      <c r="K73" s="115" t="str">
        <f>IF(_xlfn.XLOOKUP(A73, AutoFill_names!B:B, AutoFill_names!L:L,"")=0,"",_xlfn.XLOOKUP(A73, AutoFill_names!B:B, AutoFill_names!L:L,""))</f>
        <v/>
      </c>
      <c r="L73" s="31"/>
      <c r="M73" s="31"/>
      <c r="N73" s="117" t="str">
        <f>IF(_xlfn.XLOOKUP(L73, AutoFill_classes!A:A, AutoFill_classes!B:B,"")=0,"",_xlfn.XLOOKUP(L73, AutoFill_classes!A:A, AutoFill_classes!B:B,""))</f>
        <v/>
      </c>
      <c r="O73" s="108"/>
      <c r="P73" s="6"/>
      <c r="Q73" s="6"/>
      <c r="R73" s="6"/>
      <c r="X73" s="62"/>
      <c r="Y73" s="18"/>
      <c r="Z73" s="121" t="str">
        <f t="shared" si="54"/>
        <v/>
      </c>
      <c r="AA73" s="20"/>
      <c r="AB73" s="20"/>
      <c r="AC73" s="20"/>
      <c r="AD73" s="20"/>
      <c r="AE73" s="125" t="str">
        <f t="shared" si="55"/>
        <v/>
      </c>
      <c r="AF73" s="14"/>
      <c r="AG73" s="125" t="str">
        <f t="shared" si="56"/>
        <v/>
      </c>
      <c r="AH73" s="20"/>
      <c r="AI73" s="20"/>
      <c r="AJ73" s="125" t="str">
        <f t="shared" si="57"/>
        <v/>
      </c>
      <c r="AK73" s="14"/>
      <c r="AL73" s="125" t="str">
        <f t="shared" si="58"/>
        <v/>
      </c>
      <c r="AM73" s="20"/>
      <c r="AN73" s="20"/>
      <c r="AO73" s="125" t="str">
        <f t="shared" si="59"/>
        <v/>
      </c>
      <c r="AP73" s="125" t="str">
        <f t="shared" si="60"/>
        <v/>
      </c>
      <c r="AQ73" s="125" t="str">
        <f t="shared" si="61"/>
        <v/>
      </c>
      <c r="AR73" s="129" t="str">
        <f t="shared" si="62"/>
        <v/>
      </c>
      <c r="AS73" s="14"/>
      <c r="AT73" s="13"/>
      <c r="AU73" s="13"/>
      <c r="AV73" s="117" t="str">
        <f>IF(_xlfn.XLOOKUP(AT73, AutoFill_classes!$A:$A, AutoFill_classes!$B:$B,"")=0,"",_xlfn.XLOOKUP(AT73, AutoFill_classes!$A:$A, AutoFill_classes!$B:$B,""))</f>
        <v/>
      </c>
      <c r="AW73" s="108"/>
      <c r="AX73" s="13"/>
      <c r="AY73" s="13"/>
      <c r="AZ73" s="13"/>
      <c r="BA73" s="13"/>
      <c r="BB73" s="13"/>
      <c r="BC73" s="62"/>
      <c r="BD73" s="18"/>
      <c r="BE73" s="121" t="str">
        <f t="shared" si="63"/>
        <v/>
      </c>
      <c r="BF73" s="20"/>
      <c r="BG73" s="20"/>
      <c r="BH73" s="20"/>
      <c r="BI73" s="20"/>
      <c r="BJ73" s="125" t="str">
        <f t="shared" si="64"/>
        <v/>
      </c>
      <c r="BK73" s="14"/>
      <c r="BL73" s="125" t="str">
        <f t="shared" si="65"/>
        <v/>
      </c>
      <c r="BM73" s="20"/>
      <c r="BN73" s="20"/>
      <c r="BO73" s="125" t="str">
        <f t="shared" si="66"/>
        <v/>
      </c>
      <c r="BP73" s="14"/>
      <c r="BQ73" s="125" t="str">
        <f t="shared" si="67"/>
        <v/>
      </c>
      <c r="BR73" s="20"/>
      <c r="BS73" s="20"/>
      <c r="BT73" s="125" t="str">
        <f t="shared" si="68"/>
        <v/>
      </c>
      <c r="BU73" s="125" t="str">
        <f t="shared" si="69"/>
        <v/>
      </c>
      <c r="BV73" s="125" t="str">
        <f t="shared" si="70"/>
        <v/>
      </c>
      <c r="BW73" s="129" t="str">
        <f t="shared" si="71"/>
        <v/>
      </c>
      <c r="BX73" s="13"/>
      <c r="BY73" s="15"/>
      <c r="BZ73" s="14"/>
      <c r="CA73" s="117" t="str">
        <f>IF(_xlfn.XLOOKUP(BY73, AutoFill_classes!$A:$A, AutoFill_classes!$B:$B,"")=0,"",_xlfn.XLOOKUP(BY73, AutoFill_classes!$A:$A, AutoFill_classes!$B:$B,""))</f>
        <v/>
      </c>
      <c r="CB73" s="108"/>
      <c r="CC73" s="14"/>
      <c r="CD73" s="14"/>
      <c r="CE73" s="14"/>
      <c r="CF73" s="21"/>
      <c r="CG73" s="22"/>
      <c r="CH73" s="62"/>
      <c r="CI73" s="23"/>
      <c r="CJ73" s="121" t="str">
        <f t="shared" si="72"/>
        <v/>
      </c>
      <c r="CK73" s="20"/>
      <c r="CL73" s="20"/>
      <c r="CM73" s="20"/>
      <c r="CN73" s="20"/>
      <c r="CO73" s="125" t="str">
        <f t="shared" si="73"/>
        <v/>
      </c>
      <c r="CP73" s="14"/>
      <c r="CQ73" s="125" t="str">
        <f t="shared" si="74"/>
        <v/>
      </c>
      <c r="CR73" s="20"/>
      <c r="CS73" s="20"/>
      <c r="CT73" s="125" t="str">
        <f t="shared" si="75"/>
        <v/>
      </c>
      <c r="CU73" s="14"/>
      <c r="CV73" s="125" t="str">
        <f t="shared" si="76"/>
        <v/>
      </c>
      <c r="CW73" s="20"/>
      <c r="CX73" s="20"/>
      <c r="CY73" s="125" t="str">
        <f t="shared" si="77"/>
        <v/>
      </c>
      <c r="CZ73" s="125" t="str">
        <f t="shared" si="78"/>
        <v/>
      </c>
      <c r="DA73" s="125" t="str">
        <f t="shared" si="79"/>
        <v/>
      </c>
      <c r="DB73" s="129" t="str">
        <f t="shared" si="80"/>
        <v/>
      </c>
      <c r="DC73" s="14"/>
      <c r="DD73" s="62"/>
      <c r="DE73" s="105">
        <v>71</v>
      </c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spans="1:176" s="1" customFormat="1" ht="13" hidden="1" customHeight="1" outlineLevel="1" x14ac:dyDescent="0.2">
      <c r="A74" s="4"/>
      <c r="B74" s="115" t="str">
        <f>IF(_xlfn.XLOOKUP(A74, AutoFill_names!B:B, AutoFill_names!C:C,"")=0,"",_xlfn.XLOOKUP(A74, AutoFill_names!B:B, AutoFill_names!C:C,""))</f>
        <v/>
      </c>
      <c r="C74" s="115" t="str">
        <f>IF(_xlfn.XLOOKUP(A74, AutoFill_names!B:B, AutoFill_names!D:D,"")=0,"",_xlfn.XLOOKUP(A74, AutoFill_names!B:B, AutoFill_names!D:D,""))</f>
        <v/>
      </c>
      <c r="D74" s="115" t="str">
        <f>IF(_xlfn.XLOOKUP(A74, AutoFill_names!B:B, AutoFill_names!E:E,"")=0,"",_xlfn.XLOOKUP(A74, AutoFill_names!B:B, AutoFill_names!E:E,""))</f>
        <v/>
      </c>
      <c r="E74" s="115" t="str">
        <f>IF(_xlfn.XLOOKUP(A74, AutoFill_names!B:B, AutoFill_names!F:F,"")=0,"",_xlfn.XLOOKUP(A74, AutoFill_names!B:B, AutoFill_names!F:F,""))</f>
        <v/>
      </c>
      <c r="F74" s="92"/>
      <c r="J74" s="115" t="str">
        <f>IF(_xlfn.XLOOKUP(A74, AutoFill_names!B:B, AutoFill_names!K:K,"")=0,"",_xlfn.XLOOKUP(A74, AutoFill_names!B:B, AutoFill_names!K:K,""))</f>
        <v/>
      </c>
      <c r="K74" s="115" t="str">
        <f>IF(_xlfn.XLOOKUP(A74, AutoFill_names!B:B, AutoFill_names!L:L,"")=0,"",_xlfn.XLOOKUP(A74, AutoFill_names!B:B, AutoFill_names!L:L,""))</f>
        <v/>
      </c>
      <c r="L74" s="31"/>
      <c r="M74" s="31"/>
      <c r="N74" s="117" t="str">
        <f>IF(_xlfn.XLOOKUP(L74, AutoFill_classes!A:A, AutoFill_classes!B:B,"")=0,"",_xlfn.XLOOKUP(L74, AutoFill_classes!A:A, AutoFill_classes!B:B,""))</f>
        <v/>
      </c>
      <c r="O74" s="108"/>
      <c r="P74" s="6"/>
      <c r="Q74" s="6"/>
      <c r="R74" s="6"/>
      <c r="X74" s="62"/>
      <c r="Y74" s="18"/>
      <c r="Z74" s="121" t="str">
        <f t="shared" si="54"/>
        <v/>
      </c>
      <c r="AA74" s="20"/>
      <c r="AB74" s="20"/>
      <c r="AC74" s="20"/>
      <c r="AD74" s="20"/>
      <c r="AE74" s="125" t="str">
        <f t="shared" si="55"/>
        <v/>
      </c>
      <c r="AF74" s="14"/>
      <c r="AG74" s="125" t="str">
        <f t="shared" si="56"/>
        <v/>
      </c>
      <c r="AH74" s="20"/>
      <c r="AI74" s="20"/>
      <c r="AJ74" s="125" t="str">
        <f t="shared" si="57"/>
        <v/>
      </c>
      <c r="AK74" s="14"/>
      <c r="AL74" s="125" t="str">
        <f t="shared" si="58"/>
        <v/>
      </c>
      <c r="AM74" s="20"/>
      <c r="AN74" s="20"/>
      <c r="AO74" s="125" t="str">
        <f t="shared" si="59"/>
        <v/>
      </c>
      <c r="AP74" s="125" t="str">
        <f t="shared" si="60"/>
        <v/>
      </c>
      <c r="AQ74" s="125" t="str">
        <f t="shared" si="61"/>
        <v/>
      </c>
      <c r="AR74" s="129" t="str">
        <f t="shared" si="62"/>
        <v/>
      </c>
      <c r="AS74" s="14"/>
      <c r="AT74" s="13"/>
      <c r="AU74" s="13"/>
      <c r="AV74" s="117" t="str">
        <f>IF(_xlfn.XLOOKUP(AT74, AutoFill_classes!$A:$A, AutoFill_classes!$B:$B,"")=0,"",_xlfn.XLOOKUP(AT74, AutoFill_classes!$A:$A, AutoFill_classes!$B:$B,""))</f>
        <v/>
      </c>
      <c r="AW74" s="108"/>
      <c r="AX74" s="13"/>
      <c r="AY74" s="13"/>
      <c r="AZ74" s="13"/>
      <c r="BA74" s="13"/>
      <c r="BB74" s="13"/>
      <c r="BC74" s="62"/>
      <c r="BD74" s="18"/>
      <c r="BE74" s="121" t="str">
        <f t="shared" si="63"/>
        <v/>
      </c>
      <c r="BF74" s="20"/>
      <c r="BG74" s="20"/>
      <c r="BH74" s="20"/>
      <c r="BI74" s="20"/>
      <c r="BJ74" s="125" t="str">
        <f t="shared" si="64"/>
        <v/>
      </c>
      <c r="BK74" s="14"/>
      <c r="BL74" s="125" t="str">
        <f t="shared" si="65"/>
        <v/>
      </c>
      <c r="BM74" s="20"/>
      <c r="BN74" s="20"/>
      <c r="BO74" s="125" t="str">
        <f t="shared" si="66"/>
        <v/>
      </c>
      <c r="BP74" s="14"/>
      <c r="BQ74" s="125" t="str">
        <f t="shared" si="67"/>
        <v/>
      </c>
      <c r="BR74" s="20"/>
      <c r="BS74" s="20"/>
      <c r="BT74" s="125" t="str">
        <f t="shared" si="68"/>
        <v/>
      </c>
      <c r="BU74" s="125" t="str">
        <f t="shared" si="69"/>
        <v/>
      </c>
      <c r="BV74" s="125" t="str">
        <f t="shared" si="70"/>
        <v/>
      </c>
      <c r="BW74" s="129" t="str">
        <f t="shared" si="71"/>
        <v/>
      </c>
      <c r="BX74" s="13"/>
      <c r="BY74" s="15"/>
      <c r="BZ74" s="14"/>
      <c r="CA74" s="117" t="str">
        <f>IF(_xlfn.XLOOKUP(BY74, AutoFill_classes!$A:$A, AutoFill_classes!$B:$B,"")=0,"",_xlfn.XLOOKUP(BY74, AutoFill_classes!$A:$A, AutoFill_classes!$B:$B,""))</f>
        <v/>
      </c>
      <c r="CB74" s="108"/>
      <c r="CC74" s="14"/>
      <c r="CD74" s="14"/>
      <c r="CE74" s="14"/>
      <c r="CF74" s="21"/>
      <c r="CG74" s="22"/>
      <c r="CH74" s="62"/>
      <c r="CI74" s="23"/>
      <c r="CJ74" s="121" t="str">
        <f t="shared" si="72"/>
        <v/>
      </c>
      <c r="CK74" s="20"/>
      <c r="CL74" s="20"/>
      <c r="CM74" s="20"/>
      <c r="CN74" s="20"/>
      <c r="CO74" s="125" t="str">
        <f t="shared" si="73"/>
        <v/>
      </c>
      <c r="CP74" s="14"/>
      <c r="CQ74" s="125" t="str">
        <f t="shared" si="74"/>
        <v/>
      </c>
      <c r="CR74" s="20"/>
      <c r="CS74" s="20"/>
      <c r="CT74" s="125" t="str">
        <f t="shared" si="75"/>
        <v/>
      </c>
      <c r="CU74" s="14"/>
      <c r="CV74" s="125" t="str">
        <f t="shared" si="76"/>
        <v/>
      </c>
      <c r="CW74" s="20"/>
      <c r="CX74" s="20"/>
      <c r="CY74" s="125" t="str">
        <f t="shared" si="77"/>
        <v/>
      </c>
      <c r="CZ74" s="125" t="str">
        <f t="shared" si="78"/>
        <v/>
      </c>
      <c r="DA74" s="125" t="str">
        <f t="shared" si="79"/>
        <v/>
      </c>
      <c r="DB74" s="129" t="str">
        <f t="shared" si="80"/>
        <v/>
      </c>
      <c r="DC74" s="14"/>
      <c r="DD74" s="62"/>
      <c r="DE74" s="105">
        <v>72</v>
      </c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</row>
    <row r="75" spans="1:176" s="1" customFormat="1" ht="13" hidden="1" customHeight="1" outlineLevel="1" x14ac:dyDescent="0.2">
      <c r="A75" s="4"/>
      <c r="B75" s="115" t="str">
        <f>IF(_xlfn.XLOOKUP(A75, AutoFill_names!B:B, AutoFill_names!C:C,"")=0,"",_xlfn.XLOOKUP(A75, AutoFill_names!B:B, AutoFill_names!C:C,""))</f>
        <v/>
      </c>
      <c r="C75" s="115" t="str">
        <f>IF(_xlfn.XLOOKUP(A75, AutoFill_names!B:B, AutoFill_names!D:D,"")=0,"",_xlfn.XLOOKUP(A75, AutoFill_names!B:B, AutoFill_names!D:D,""))</f>
        <v/>
      </c>
      <c r="D75" s="115" t="str">
        <f>IF(_xlfn.XLOOKUP(A75, AutoFill_names!B:B, AutoFill_names!E:E,"")=0,"",_xlfn.XLOOKUP(A75, AutoFill_names!B:B, AutoFill_names!E:E,""))</f>
        <v/>
      </c>
      <c r="E75" s="115" t="str">
        <f>IF(_xlfn.XLOOKUP(A75, AutoFill_names!B:B, AutoFill_names!F:F,"")=0,"",_xlfn.XLOOKUP(A75, AutoFill_names!B:B, AutoFill_names!F:F,""))</f>
        <v/>
      </c>
      <c r="F75" s="92"/>
      <c r="J75" s="115" t="str">
        <f>IF(_xlfn.XLOOKUP(A75, AutoFill_names!B:B, AutoFill_names!K:K,"")=0,"",_xlfn.XLOOKUP(A75, AutoFill_names!B:B, AutoFill_names!K:K,""))</f>
        <v/>
      </c>
      <c r="K75" s="115" t="str">
        <f>IF(_xlfn.XLOOKUP(A75, AutoFill_names!B:B, AutoFill_names!L:L,"")=0,"",_xlfn.XLOOKUP(A75, AutoFill_names!B:B, AutoFill_names!L:L,""))</f>
        <v/>
      </c>
      <c r="L75" s="31"/>
      <c r="M75" s="31"/>
      <c r="N75" s="117" t="str">
        <f>IF(_xlfn.XLOOKUP(L75, AutoFill_classes!A:A, AutoFill_classes!B:B,"")=0,"",_xlfn.XLOOKUP(L75, AutoFill_classes!A:A, AutoFill_classes!B:B,""))</f>
        <v/>
      </c>
      <c r="O75" s="108"/>
      <c r="P75" s="6"/>
      <c r="Q75" s="6"/>
      <c r="R75" s="6"/>
      <c r="X75" s="62"/>
      <c r="Y75" s="18"/>
      <c r="Z75" s="121" t="str">
        <f t="shared" si="54"/>
        <v/>
      </c>
      <c r="AA75" s="20"/>
      <c r="AB75" s="20"/>
      <c r="AC75" s="20"/>
      <c r="AD75" s="20"/>
      <c r="AE75" s="125" t="str">
        <f t="shared" si="55"/>
        <v/>
      </c>
      <c r="AF75" s="14"/>
      <c r="AG75" s="125" t="str">
        <f t="shared" si="56"/>
        <v/>
      </c>
      <c r="AH75" s="20"/>
      <c r="AI75" s="20"/>
      <c r="AJ75" s="125" t="str">
        <f t="shared" si="57"/>
        <v/>
      </c>
      <c r="AK75" s="14"/>
      <c r="AL75" s="125" t="str">
        <f t="shared" si="58"/>
        <v/>
      </c>
      <c r="AM75" s="20"/>
      <c r="AN75" s="20"/>
      <c r="AO75" s="125" t="str">
        <f t="shared" si="59"/>
        <v/>
      </c>
      <c r="AP75" s="125" t="str">
        <f t="shared" si="60"/>
        <v/>
      </c>
      <c r="AQ75" s="125" t="str">
        <f t="shared" si="61"/>
        <v/>
      </c>
      <c r="AR75" s="129" t="str">
        <f t="shared" si="62"/>
        <v/>
      </c>
      <c r="AS75" s="14"/>
      <c r="AT75" s="13"/>
      <c r="AU75" s="13"/>
      <c r="AV75" s="117" t="str">
        <f>IF(_xlfn.XLOOKUP(AT75, AutoFill_classes!$A:$A, AutoFill_classes!$B:$B,"")=0,"",_xlfn.XLOOKUP(AT75, AutoFill_classes!$A:$A, AutoFill_classes!$B:$B,""))</f>
        <v/>
      </c>
      <c r="AW75" s="108"/>
      <c r="AX75" s="13"/>
      <c r="AY75" s="13"/>
      <c r="AZ75" s="13"/>
      <c r="BA75" s="13"/>
      <c r="BB75" s="13"/>
      <c r="BC75" s="62"/>
      <c r="BD75" s="18"/>
      <c r="BE75" s="121" t="str">
        <f t="shared" si="63"/>
        <v/>
      </c>
      <c r="BF75" s="20"/>
      <c r="BG75" s="20"/>
      <c r="BH75" s="20"/>
      <c r="BI75" s="20"/>
      <c r="BJ75" s="125" t="str">
        <f t="shared" si="64"/>
        <v/>
      </c>
      <c r="BK75" s="14"/>
      <c r="BL75" s="125" t="str">
        <f t="shared" si="65"/>
        <v/>
      </c>
      <c r="BM75" s="20"/>
      <c r="BN75" s="20"/>
      <c r="BO75" s="125" t="str">
        <f t="shared" si="66"/>
        <v/>
      </c>
      <c r="BP75" s="14"/>
      <c r="BQ75" s="125" t="str">
        <f t="shared" si="67"/>
        <v/>
      </c>
      <c r="BR75" s="20"/>
      <c r="BS75" s="20"/>
      <c r="BT75" s="125" t="str">
        <f t="shared" si="68"/>
        <v/>
      </c>
      <c r="BU75" s="125" t="str">
        <f t="shared" si="69"/>
        <v/>
      </c>
      <c r="BV75" s="125" t="str">
        <f t="shared" si="70"/>
        <v/>
      </c>
      <c r="BW75" s="129" t="str">
        <f t="shared" si="71"/>
        <v/>
      </c>
      <c r="BX75" s="13"/>
      <c r="BY75" s="15"/>
      <c r="BZ75" s="14"/>
      <c r="CA75" s="117" t="str">
        <f>IF(_xlfn.XLOOKUP(BY75, AutoFill_classes!$A:$A, AutoFill_classes!$B:$B,"")=0,"",_xlfn.XLOOKUP(BY75, AutoFill_classes!$A:$A, AutoFill_classes!$B:$B,""))</f>
        <v/>
      </c>
      <c r="CB75" s="108"/>
      <c r="CC75" s="14"/>
      <c r="CD75" s="14"/>
      <c r="CE75" s="14"/>
      <c r="CF75" s="21"/>
      <c r="CG75" s="22"/>
      <c r="CH75" s="62"/>
      <c r="CI75" s="23"/>
      <c r="CJ75" s="121" t="str">
        <f t="shared" si="72"/>
        <v/>
      </c>
      <c r="CK75" s="20"/>
      <c r="CL75" s="20"/>
      <c r="CM75" s="20"/>
      <c r="CN75" s="20"/>
      <c r="CO75" s="125" t="str">
        <f t="shared" si="73"/>
        <v/>
      </c>
      <c r="CP75" s="14"/>
      <c r="CQ75" s="125" t="str">
        <f t="shared" si="74"/>
        <v/>
      </c>
      <c r="CR75" s="20"/>
      <c r="CS75" s="20"/>
      <c r="CT75" s="125" t="str">
        <f t="shared" si="75"/>
        <v/>
      </c>
      <c r="CU75" s="14"/>
      <c r="CV75" s="125" t="str">
        <f t="shared" si="76"/>
        <v/>
      </c>
      <c r="CW75" s="20"/>
      <c r="CX75" s="20"/>
      <c r="CY75" s="125" t="str">
        <f t="shared" si="77"/>
        <v/>
      </c>
      <c r="CZ75" s="125" t="str">
        <f t="shared" si="78"/>
        <v/>
      </c>
      <c r="DA75" s="125" t="str">
        <f t="shared" si="79"/>
        <v/>
      </c>
      <c r="DB75" s="129" t="str">
        <f t="shared" si="80"/>
        <v/>
      </c>
      <c r="DC75" s="14"/>
      <c r="DD75" s="62"/>
      <c r="DE75" s="105">
        <v>73</v>
      </c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spans="1:176" s="1" customFormat="1" ht="13" hidden="1" customHeight="1" outlineLevel="1" x14ac:dyDescent="0.2">
      <c r="A76" s="4"/>
      <c r="B76" s="115" t="str">
        <f>IF(_xlfn.XLOOKUP(A76, AutoFill_names!B:B, AutoFill_names!C:C,"")=0,"",_xlfn.XLOOKUP(A76, AutoFill_names!B:B, AutoFill_names!C:C,""))</f>
        <v/>
      </c>
      <c r="C76" s="115" t="str">
        <f>IF(_xlfn.XLOOKUP(A76, AutoFill_names!B:B, AutoFill_names!D:D,"")=0,"",_xlfn.XLOOKUP(A76, AutoFill_names!B:B, AutoFill_names!D:D,""))</f>
        <v/>
      </c>
      <c r="D76" s="115" t="str">
        <f>IF(_xlfn.XLOOKUP(A76, AutoFill_names!B:B, AutoFill_names!E:E,"")=0,"",_xlfn.XLOOKUP(A76, AutoFill_names!B:B, AutoFill_names!E:E,""))</f>
        <v/>
      </c>
      <c r="E76" s="115" t="str">
        <f>IF(_xlfn.XLOOKUP(A76, AutoFill_names!B:B, AutoFill_names!F:F,"")=0,"",_xlfn.XLOOKUP(A76, AutoFill_names!B:B, AutoFill_names!F:F,""))</f>
        <v/>
      </c>
      <c r="F76" s="92"/>
      <c r="J76" s="115" t="str">
        <f>IF(_xlfn.XLOOKUP(A76, AutoFill_names!B:B, AutoFill_names!K:K,"")=0,"",_xlfn.XLOOKUP(A76, AutoFill_names!B:B, AutoFill_names!K:K,""))</f>
        <v/>
      </c>
      <c r="K76" s="115" t="str">
        <f>IF(_xlfn.XLOOKUP(A76, AutoFill_names!B:B, AutoFill_names!L:L,"")=0,"",_xlfn.XLOOKUP(A76, AutoFill_names!B:B, AutoFill_names!L:L,""))</f>
        <v/>
      </c>
      <c r="L76" s="31"/>
      <c r="M76" s="31"/>
      <c r="N76" s="117" t="str">
        <f>IF(_xlfn.XLOOKUP(L76, AutoFill_classes!A:A, AutoFill_classes!B:B,"")=0,"",_xlfn.XLOOKUP(L76, AutoFill_classes!A:A, AutoFill_classes!B:B,""))</f>
        <v/>
      </c>
      <c r="O76" s="108"/>
      <c r="P76" s="6"/>
      <c r="Q76" s="6"/>
      <c r="R76" s="6"/>
      <c r="X76" s="62"/>
      <c r="Y76" s="18"/>
      <c r="Z76" s="121" t="str">
        <f t="shared" si="54"/>
        <v/>
      </c>
      <c r="AA76" s="20"/>
      <c r="AB76" s="20"/>
      <c r="AC76" s="20"/>
      <c r="AD76" s="20"/>
      <c r="AE76" s="125" t="str">
        <f t="shared" si="55"/>
        <v/>
      </c>
      <c r="AF76" s="14"/>
      <c r="AG76" s="125" t="str">
        <f t="shared" si="56"/>
        <v/>
      </c>
      <c r="AH76" s="20"/>
      <c r="AI76" s="20"/>
      <c r="AJ76" s="125" t="str">
        <f t="shared" si="57"/>
        <v/>
      </c>
      <c r="AK76" s="14"/>
      <c r="AL76" s="125" t="str">
        <f t="shared" si="58"/>
        <v/>
      </c>
      <c r="AM76" s="20"/>
      <c r="AN76" s="20"/>
      <c r="AO76" s="125" t="str">
        <f t="shared" si="59"/>
        <v/>
      </c>
      <c r="AP76" s="125" t="str">
        <f t="shared" si="60"/>
        <v/>
      </c>
      <c r="AQ76" s="125" t="str">
        <f t="shared" si="61"/>
        <v/>
      </c>
      <c r="AR76" s="129" t="str">
        <f t="shared" si="62"/>
        <v/>
      </c>
      <c r="AS76" s="14"/>
      <c r="AT76" s="13"/>
      <c r="AU76" s="13"/>
      <c r="AV76" s="117" t="str">
        <f>IF(_xlfn.XLOOKUP(AT76, AutoFill_classes!$A:$A, AutoFill_classes!$B:$B,"")=0,"",_xlfn.XLOOKUP(AT76, AutoFill_classes!$A:$A, AutoFill_classes!$B:$B,""))</f>
        <v/>
      </c>
      <c r="AW76" s="108"/>
      <c r="AX76" s="13"/>
      <c r="AY76" s="13"/>
      <c r="AZ76" s="13"/>
      <c r="BA76" s="13"/>
      <c r="BB76" s="13"/>
      <c r="BC76" s="62"/>
      <c r="BD76" s="18"/>
      <c r="BE76" s="121" t="str">
        <f t="shared" si="63"/>
        <v/>
      </c>
      <c r="BF76" s="20"/>
      <c r="BG76" s="20"/>
      <c r="BH76" s="20"/>
      <c r="BI76" s="20"/>
      <c r="BJ76" s="125" t="str">
        <f t="shared" si="64"/>
        <v/>
      </c>
      <c r="BK76" s="14"/>
      <c r="BL76" s="125" t="str">
        <f t="shared" si="65"/>
        <v/>
      </c>
      <c r="BM76" s="20"/>
      <c r="BN76" s="20"/>
      <c r="BO76" s="125" t="str">
        <f t="shared" si="66"/>
        <v/>
      </c>
      <c r="BP76" s="14"/>
      <c r="BQ76" s="125" t="str">
        <f t="shared" si="67"/>
        <v/>
      </c>
      <c r="BR76" s="20"/>
      <c r="BS76" s="20"/>
      <c r="BT76" s="125" t="str">
        <f t="shared" si="68"/>
        <v/>
      </c>
      <c r="BU76" s="125" t="str">
        <f t="shared" si="69"/>
        <v/>
      </c>
      <c r="BV76" s="125" t="str">
        <f t="shared" si="70"/>
        <v/>
      </c>
      <c r="BW76" s="129" t="str">
        <f t="shared" si="71"/>
        <v/>
      </c>
      <c r="BX76" s="13"/>
      <c r="BY76" s="15"/>
      <c r="BZ76" s="14"/>
      <c r="CA76" s="117" t="str">
        <f>IF(_xlfn.XLOOKUP(BY76, AutoFill_classes!$A:$A, AutoFill_classes!$B:$B,"")=0,"",_xlfn.XLOOKUP(BY76, AutoFill_classes!$A:$A, AutoFill_classes!$B:$B,""))</f>
        <v/>
      </c>
      <c r="CB76" s="108"/>
      <c r="CC76" s="14"/>
      <c r="CD76" s="14"/>
      <c r="CE76" s="14"/>
      <c r="CF76" s="21"/>
      <c r="CG76" s="22"/>
      <c r="CH76" s="62"/>
      <c r="CI76" s="23"/>
      <c r="CJ76" s="121" t="str">
        <f t="shared" si="72"/>
        <v/>
      </c>
      <c r="CK76" s="20"/>
      <c r="CL76" s="20"/>
      <c r="CM76" s="20"/>
      <c r="CN76" s="20"/>
      <c r="CO76" s="125" t="str">
        <f t="shared" si="73"/>
        <v/>
      </c>
      <c r="CP76" s="14"/>
      <c r="CQ76" s="125" t="str">
        <f t="shared" si="74"/>
        <v/>
      </c>
      <c r="CR76" s="20"/>
      <c r="CS76" s="20"/>
      <c r="CT76" s="125" t="str">
        <f t="shared" si="75"/>
        <v/>
      </c>
      <c r="CU76" s="14"/>
      <c r="CV76" s="125" t="str">
        <f t="shared" si="76"/>
        <v/>
      </c>
      <c r="CW76" s="20"/>
      <c r="CX76" s="20"/>
      <c r="CY76" s="125" t="str">
        <f t="shared" si="77"/>
        <v/>
      </c>
      <c r="CZ76" s="125" t="str">
        <f t="shared" si="78"/>
        <v/>
      </c>
      <c r="DA76" s="125" t="str">
        <f t="shared" si="79"/>
        <v/>
      </c>
      <c r="DB76" s="129" t="str">
        <f t="shared" si="80"/>
        <v/>
      </c>
      <c r="DC76" s="14"/>
      <c r="DD76" s="62"/>
      <c r="DE76" s="105">
        <v>74</v>
      </c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</row>
    <row r="77" spans="1:176" s="1" customFormat="1" ht="13" hidden="1" customHeight="1" outlineLevel="1" x14ac:dyDescent="0.2">
      <c r="A77" s="4"/>
      <c r="B77" s="115" t="str">
        <f>IF(_xlfn.XLOOKUP(A77, AutoFill_names!B:B, AutoFill_names!C:C,"")=0,"",_xlfn.XLOOKUP(A77, AutoFill_names!B:B, AutoFill_names!C:C,""))</f>
        <v/>
      </c>
      <c r="C77" s="115" t="str">
        <f>IF(_xlfn.XLOOKUP(A77, AutoFill_names!B:B, AutoFill_names!D:D,"")=0,"",_xlfn.XLOOKUP(A77, AutoFill_names!B:B, AutoFill_names!D:D,""))</f>
        <v/>
      </c>
      <c r="D77" s="115" t="str">
        <f>IF(_xlfn.XLOOKUP(A77, AutoFill_names!B:B, AutoFill_names!E:E,"")=0,"",_xlfn.XLOOKUP(A77, AutoFill_names!B:B, AutoFill_names!E:E,""))</f>
        <v/>
      </c>
      <c r="E77" s="115" t="str">
        <f>IF(_xlfn.XLOOKUP(A77, AutoFill_names!B:B, AutoFill_names!F:F,"")=0,"",_xlfn.XLOOKUP(A77, AutoFill_names!B:B, AutoFill_names!F:F,""))</f>
        <v/>
      </c>
      <c r="F77" s="92"/>
      <c r="J77" s="115" t="str">
        <f>IF(_xlfn.XLOOKUP(A77, AutoFill_names!B:B, AutoFill_names!K:K,"")=0,"",_xlfn.XLOOKUP(A77, AutoFill_names!B:B, AutoFill_names!K:K,""))</f>
        <v/>
      </c>
      <c r="K77" s="115" t="str">
        <f>IF(_xlfn.XLOOKUP(A77, AutoFill_names!B:B, AutoFill_names!L:L,"")=0,"",_xlfn.XLOOKUP(A77, AutoFill_names!B:B, AutoFill_names!L:L,""))</f>
        <v/>
      </c>
      <c r="L77" s="31"/>
      <c r="M77" s="31"/>
      <c r="N77" s="117" t="str">
        <f>IF(_xlfn.XLOOKUP(L77, AutoFill_classes!A:A, AutoFill_classes!B:B,"")=0,"",_xlfn.XLOOKUP(L77, AutoFill_classes!A:A, AutoFill_classes!B:B,""))</f>
        <v/>
      </c>
      <c r="O77" s="108"/>
      <c r="P77" s="6"/>
      <c r="Q77" s="6"/>
      <c r="R77" s="6"/>
      <c r="X77" s="62"/>
      <c r="Y77" s="18"/>
      <c r="Z77" s="121" t="str">
        <f t="shared" si="54"/>
        <v/>
      </c>
      <c r="AA77" s="20"/>
      <c r="AB77" s="20"/>
      <c r="AC77" s="20"/>
      <c r="AD77" s="20"/>
      <c r="AE77" s="125" t="str">
        <f t="shared" si="55"/>
        <v/>
      </c>
      <c r="AF77" s="14"/>
      <c r="AG77" s="125" t="str">
        <f t="shared" si="56"/>
        <v/>
      </c>
      <c r="AH77" s="20"/>
      <c r="AI77" s="20"/>
      <c r="AJ77" s="125" t="str">
        <f t="shared" si="57"/>
        <v/>
      </c>
      <c r="AK77" s="14"/>
      <c r="AL77" s="125" t="str">
        <f t="shared" si="58"/>
        <v/>
      </c>
      <c r="AM77" s="20"/>
      <c r="AN77" s="20"/>
      <c r="AO77" s="125" t="str">
        <f t="shared" si="59"/>
        <v/>
      </c>
      <c r="AP77" s="125" t="str">
        <f t="shared" si="60"/>
        <v/>
      </c>
      <c r="AQ77" s="125" t="str">
        <f t="shared" si="61"/>
        <v/>
      </c>
      <c r="AR77" s="129" t="str">
        <f t="shared" si="62"/>
        <v/>
      </c>
      <c r="AS77" s="14"/>
      <c r="AT77" s="13"/>
      <c r="AU77" s="13"/>
      <c r="AV77" s="117" t="str">
        <f>IF(_xlfn.XLOOKUP(AT77, AutoFill_classes!$A:$A, AutoFill_classes!$B:$B,"")=0,"",_xlfn.XLOOKUP(AT77, AutoFill_classes!$A:$A, AutoFill_classes!$B:$B,""))</f>
        <v/>
      </c>
      <c r="AW77" s="108"/>
      <c r="AX77" s="13"/>
      <c r="AY77" s="13"/>
      <c r="AZ77" s="13"/>
      <c r="BA77" s="13"/>
      <c r="BB77" s="13"/>
      <c r="BC77" s="62"/>
      <c r="BD77" s="18"/>
      <c r="BE77" s="121" t="str">
        <f t="shared" si="63"/>
        <v/>
      </c>
      <c r="BF77" s="20"/>
      <c r="BG77" s="20"/>
      <c r="BH77" s="20"/>
      <c r="BI77" s="20"/>
      <c r="BJ77" s="125" t="str">
        <f t="shared" si="64"/>
        <v/>
      </c>
      <c r="BK77" s="14"/>
      <c r="BL77" s="125" t="str">
        <f t="shared" si="65"/>
        <v/>
      </c>
      <c r="BM77" s="20"/>
      <c r="BN77" s="20"/>
      <c r="BO77" s="125" t="str">
        <f t="shared" si="66"/>
        <v/>
      </c>
      <c r="BP77" s="14"/>
      <c r="BQ77" s="125" t="str">
        <f t="shared" si="67"/>
        <v/>
      </c>
      <c r="BR77" s="20"/>
      <c r="BS77" s="20"/>
      <c r="BT77" s="125" t="str">
        <f t="shared" si="68"/>
        <v/>
      </c>
      <c r="BU77" s="125" t="str">
        <f t="shared" si="69"/>
        <v/>
      </c>
      <c r="BV77" s="125" t="str">
        <f t="shared" si="70"/>
        <v/>
      </c>
      <c r="BW77" s="129" t="str">
        <f t="shared" si="71"/>
        <v/>
      </c>
      <c r="BX77" s="13"/>
      <c r="BY77" s="15"/>
      <c r="BZ77" s="14"/>
      <c r="CA77" s="117" t="str">
        <f>IF(_xlfn.XLOOKUP(BY77, AutoFill_classes!$A:$A, AutoFill_classes!$B:$B,"")=0,"",_xlfn.XLOOKUP(BY77, AutoFill_classes!$A:$A, AutoFill_classes!$B:$B,""))</f>
        <v/>
      </c>
      <c r="CB77" s="108"/>
      <c r="CC77" s="14"/>
      <c r="CD77" s="14"/>
      <c r="CE77" s="14"/>
      <c r="CF77" s="21"/>
      <c r="CG77" s="22"/>
      <c r="CH77" s="62"/>
      <c r="CI77" s="23"/>
      <c r="CJ77" s="121" t="str">
        <f t="shared" si="72"/>
        <v/>
      </c>
      <c r="CK77" s="20"/>
      <c r="CL77" s="20"/>
      <c r="CM77" s="20"/>
      <c r="CN77" s="20"/>
      <c r="CO77" s="125" t="str">
        <f t="shared" si="73"/>
        <v/>
      </c>
      <c r="CP77" s="14"/>
      <c r="CQ77" s="125" t="str">
        <f t="shared" si="74"/>
        <v/>
      </c>
      <c r="CR77" s="20"/>
      <c r="CS77" s="20"/>
      <c r="CT77" s="125" t="str">
        <f t="shared" si="75"/>
        <v/>
      </c>
      <c r="CU77" s="14"/>
      <c r="CV77" s="125" t="str">
        <f t="shared" si="76"/>
        <v/>
      </c>
      <c r="CW77" s="20"/>
      <c r="CX77" s="20"/>
      <c r="CY77" s="125" t="str">
        <f t="shared" si="77"/>
        <v/>
      </c>
      <c r="CZ77" s="125" t="str">
        <f t="shared" si="78"/>
        <v/>
      </c>
      <c r="DA77" s="125" t="str">
        <f t="shared" si="79"/>
        <v/>
      </c>
      <c r="DB77" s="129" t="str">
        <f t="shared" si="80"/>
        <v/>
      </c>
      <c r="DC77" s="14"/>
      <c r="DD77" s="62"/>
      <c r="DE77" s="105">
        <v>75</v>
      </c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8" spans="1:176" s="1" customFormat="1" ht="13" hidden="1" customHeight="1" outlineLevel="1" x14ac:dyDescent="0.2">
      <c r="A78" s="4"/>
      <c r="B78" s="115" t="str">
        <f>IF(_xlfn.XLOOKUP(A78, AutoFill_names!B:B, AutoFill_names!C:C,"")=0,"",_xlfn.XLOOKUP(A78, AutoFill_names!B:B, AutoFill_names!C:C,""))</f>
        <v/>
      </c>
      <c r="C78" s="115" t="str">
        <f>IF(_xlfn.XLOOKUP(A78, AutoFill_names!B:B, AutoFill_names!D:D,"")=0,"",_xlfn.XLOOKUP(A78, AutoFill_names!B:B, AutoFill_names!D:D,""))</f>
        <v/>
      </c>
      <c r="D78" s="115" t="str">
        <f>IF(_xlfn.XLOOKUP(A78, AutoFill_names!B:B, AutoFill_names!E:E,"")=0,"",_xlfn.XLOOKUP(A78, AutoFill_names!B:B, AutoFill_names!E:E,""))</f>
        <v/>
      </c>
      <c r="E78" s="115" t="str">
        <f>IF(_xlfn.XLOOKUP(A78, AutoFill_names!B:B, AutoFill_names!F:F,"")=0,"",_xlfn.XLOOKUP(A78, AutoFill_names!B:B, AutoFill_names!F:F,""))</f>
        <v/>
      </c>
      <c r="F78" s="92"/>
      <c r="J78" s="115" t="str">
        <f>IF(_xlfn.XLOOKUP(A78, AutoFill_names!B:B, AutoFill_names!K:K,"")=0,"",_xlfn.XLOOKUP(A78, AutoFill_names!B:B, AutoFill_names!K:K,""))</f>
        <v/>
      </c>
      <c r="K78" s="115" t="str">
        <f>IF(_xlfn.XLOOKUP(A78, AutoFill_names!B:B, AutoFill_names!L:L,"")=0,"",_xlfn.XLOOKUP(A78, AutoFill_names!B:B, AutoFill_names!L:L,""))</f>
        <v/>
      </c>
      <c r="L78" s="31"/>
      <c r="M78" s="31"/>
      <c r="N78" s="117" t="str">
        <f>IF(_xlfn.XLOOKUP(L78, AutoFill_classes!A:A, AutoFill_classes!B:B,"")=0,"",_xlfn.XLOOKUP(L78, AutoFill_classes!A:A, AutoFill_classes!B:B,""))</f>
        <v/>
      </c>
      <c r="O78" s="108"/>
      <c r="P78" s="6"/>
      <c r="Q78" s="6"/>
      <c r="R78" s="6"/>
      <c r="X78" s="62"/>
      <c r="Y78" s="18"/>
      <c r="Z78" s="121" t="str">
        <f t="shared" si="54"/>
        <v/>
      </c>
      <c r="AA78" s="20"/>
      <c r="AB78" s="20"/>
      <c r="AC78" s="20"/>
      <c r="AD78" s="20"/>
      <c r="AE78" s="125" t="str">
        <f t="shared" si="55"/>
        <v/>
      </c>
      <c r="AF78" s="14"/>
      <c r="AG78" s="125" t="str">
        <f t="shared" si="56"/>
        <v/>
      </c>
      <c r="AH78" s="20"/>
      <c r="AI78" s="20"/>
      <c r="AJ78" s="125" t="str">
        <f t="shared" si="57"/>
        <v/>
      </c>
      <c r="AK78" s="14"/>
      <c r="AL78" s="125" t="str">
        <f t="shared" si="58"/>
        <v/>
      </c>
      <c r="AM78" s="20"/>
      <c r="AN78" s="20"/>
      <c r="AO78" s="125" t="str">
        <f t="shared" si="59"/>
        <v/>
      </c>
      <c r="AP78" s="125" t="str">
        <f t="shared" si="60"/>
        <v/>
      </c>
      <c r="AQ78" s="125" t="str">
        <f t="shared" si="61"/>
        <v/>
      </c>
      <c r="AR78" s="129" t="str">
        <f t="shared" si="62"/>
        <v/>
      </c>
      <c r="AS78" s="14"/>
      <c r="AT78" s="13"/>
      <c r="AU78" s="13"/>
      <c r="AV78" s="117" t="str">
        <f>IF(_xlfn.XLOOKUP(AT78, AutoFill_classes!$A:$A, AutoFill_classes!$B:$B,"")=0,"",_xlfn.XLOOKUP(AT78, AutoFill_classes!$A:$A, AutoFill_classes!$B:$B,""))</f>
        <v/>
      </c>
      <c r="AW78" s="108"/>
      <c r="AX78" s="13"/>
      <c r="AY78" s="13"/>
      <c r="AZ78" s="13"/>
      <c r="BA78" s="13"/>
      <c r="BB78" s="13"/>
      <c r="BC78" s="62"/>
      <c r="BD78" s="18"/>
      <c r="BE78" s="121" t="str">
        <f t="shared" si="63"/>
        <v/>
      </c>
      <c r="BF78" s="20"/>
      <c r="BG78" s="20"/>
      <c r="BH78" s="20"/>
      <c r="BI78" s="20"/>
      <c r="BJ78" s="125" t="str">
        <f t="shared" si="64"/>
        <v/>
      </c>
      <c r="BK78" s="14"/>
      <c r="BL78" s="125" t="str">
        <f t="shared" si="65"/>
        <v/>
      </c>
      <c r="BM78" s="20"/>
      <c r="BN78" s="20"/>
      <c r="BO78" s="125" t="str">
        <f t="shared" si="66"/>
        <v/>
      </c>
      <c r="BP78" s="14"/>
      <c r="BQ78" s="125" t="str">
        <f t="shared" si="67"/>
        <v/>
      </c>
      <c r="BR78" s="20"/>
      <c r="BS78" s="20"/>
      <c r="BT78" s="125" t="str">
        <f t="shared" si="68"/>
        <v/>
      </c>
      <c r="BU78" s="125" t="str">
        <f t="shared" si="69"/>
        <v/>
      </c>
      <c r="BV78" s="125" t="str">
        <f t="shared" si="70"/>
        <v/>
      </c>
      <c r="BW78" s="129" t="str">
        <f t="shared" si="71"/>
        <v/>
      </c>
      <c r="BX78" s="13"/>
      <c r="BY78" s="15"/>
      <c r="BZ78" s="14"/>
      <c r="CA78" s="117" t="str">
        <f>IF(_xlfn.XLOOKUP(BY78, AutoFill_classes!$A:$A, AutoFill_classes!$B:$B,"")=0,"",_xlfn.XLOOKUP(BY78, AutoFill_classes!$A:$A, AutoFill_classes!$B:$B,""))</f>
        <v/>
      </c>
      <c r="CB78" s="108"/>
      <c r="CC78" s="14"/>
      <c r="CD78" s="14"/>
      <c r="CE78" s="14"/>
      <c r="CF78" s="21"/>
      <c r="CG78" s="22"/>
      <c r="CH78" s="62"/>
      <c r="CI78" s="23"/>
      <c r="CJ78" s="121" t="str">
        <f t="shared" si="72"/>
        <v/>
      </c>
      <c r="CK78" s="20"/>
      <c r="CL78" s="20"/>
      <c r="CM78" s="20"/>
      <c r="CN78" s="20"/>
      <c r="CO78" s="125" t="str">
        <f t="shared" si="73"/>
        <v/>
      </c>
      <c r="CP78" s="14"/>
      <c r="CQ78" s="125" t="str">
        <f t="shared" si="74"/>
        <v/>
      </c>
      <c r="CR78" s="20"/>
      <c r="CS78" s="20"/>
      <c r="CT78" s="125" t="str">
        <f t="shared" si="75"/>
        <v/>
      </c>
      <c r="CU78" s="14"/>
      <c r="CV78" s="125" t="str">
        <f t="shared" si="76"/>
        <v/>
      </c>
      <c r="CW78" s="20"/>
      <c r="CX78" s="20"/>
      <c r="CY78" s="125" t="str">
        <f t="shared" si="77"/>
        <v/>
      </c>
      <c r="CZ78" s="125" t="str">
        <f t="shared" si="78"/>
        <v/>
      </c>
      <c r="DA78" s="125" t="str">
        <f t="shared" si="79"/>
        <v/>
      </c>
      <c r="DB78" s="129" t="str">
        <f t="shared" si="80"/>
        <v/>
      </c>
      <c r="DC78" s="14"/>
      <c r="DD78" s="62"/>
      <c r="DE78" s="105">
        <v>76</v>
      </c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</row>
    <row r="79" spans="1:176" s="1" customFormat="1" ht="13" hidden="1" customHeight="1" outlineLevel="1" x14ac:dyDescent="0.2">
      <c r="A79" s="4"/>
      <c r="B79" s="115" t="str">
        <f>IF(_xlfn.XLOOKUP(A79, AutoFill_names!B:B, AutoFill_names!C:C,"")=0,"",_xlfn.XLOOKUP(A79, AutoFill_names!B:B, AutoFill_names!C:C,""))</f>
        <v/>
      </c>
      <c r="C79" s="115" t="str">
        <f>IF(_xlfn.XLOOKUP(A79, AutoFill_names!B:B, AutoFill_names!D:D,"")=0,"",_xlfn.XLOOKUP(A79, AutoFill_names!B:B, AutoFill_names!D:D,""))</f>
        <v/>
      </c>
      <c r="D79" s="115" t="str">
        <f>IF(_xlfn.XLOOKUP(A79, AutoFill_names!B:B, AutoFill_names!E:E,"")=0,"",_xlfn.XLOOKUP(A79, AutoFill_names!B:B, AutoFill_names!E:E,""))</f>
        <v/>
      </c>
      <c r="E79" s="115" t="str">
        <f>IF(_xlfn.XLOOKUP(A79, AutoFill_names!B:B, AutoFill_names!F:F,"")=0,"",_xlfn.XLOOKUP(A79, AutoFill_names!B:B, AutoFill_names!F:F,""))</f>
        <v/>
      </c>
      <c r="F79" s="92"/>
      <c r="J79" s="115" t="str">
        <f>IF(_xlfn.XLOOKUP(A79, AutoFill_names!B:B, AutoFill_names!K:K,"")=0,"",_xlfn.XLOOKUP(A79, AutoFill_names!B:B, AutoFill_names!K:K,""))</f>
        <v/>
      </c>
      <c r="K79" s="115" t="str">
        <f>IF(_xlfn.XLOOKUP(A79, AutoFill_names!B:B, AutoFill_names!L:L,"")=0,"",_xlfn.XLOOKUP(A79, AutoFill_names!B:B, AutoFill_names!L:L,""))</f>
        <v/>
      </c>
      <c r="L79" s="31"/>
      <c r="M79" s="31"/>
      <c r="N79" s="117" t="str">
        <f>IF(_xlfn.XLOOKUP(L79, AutoFill_classes!A:A, AutoFill_classes!B:B,"")=0,"",_xlfn.XLOOKUP(L79, AutoFill_classes!A:A, AutoFill_classes!B:B,""))</f>
        <v/>
      </c>
      <c r="O79" s="108"/>
      <c r="P79" s="6"/>
      <c r="Q79" s="6"/>
      <c r="R79" s="6"/>
      <c r="X79" s="62"/>
      <c r="Y79" s="18"/>
      <c r="Z79" s="121" t="str">
        <f t="shared" si="54"/>
        <v/>
      </c>
      <c r="AA79" s="20"/>
      <c r="AB79" s="20"/>
      <c r="AC79" s="20"/>
      <c r="AD79" s="20"/>
      <c r="AE79" s="125" t="str">
        <f t="shared" si="55"/>
        <v/>
      </c>
      <c r="AF79" s="14"/>
      <c r="AG79" s="125" t="str">
        <f t="shared" si="56"/>
        <v/>
      </c>
      <c r="AH79" s="20"/>
      <c r="AI79" s="20"/>
      <c r="AJ79" s="125" t="str">
        <f t="shared" si="57"/>
        <v/>
      </c>
      <c r="AK79" s="14"/>
      <c r="AL79" s="125" t="str">
        <f t="shared" si="58"/>
        <v/>
      </c>
      <c r="AM79" s="20"/>
      <c r="AN79" s="20"/>
      <c r="AO79" s="125" t="str">
        <f t="shared" si="59"/>
        <v/>
      </c>
      <c r="AP79" s="125" t="str">
        <f t="shared" si="60"/>
        <v/>
      </c>
      <c r="AQ79" s="125" t="str">
        <f t="shared" si="61"/>
        <v/>
      </c>
      <c r="AR79" s="129" t="str">
        <f t="shared" si="62"/>
        <v/>
      </c>
      <c r="AS79" s="14"/>
      <c r="AT79" s="13"/>
      <c r="AU79" s="13"/>
      <c r="AV79" s="117" t="str">
        <f>IF(_xlfn.XLOOKUP(AT79, AutoFill_classes!$A:$A, AutoFill_classes!$B:$B,"")=0,"",_xlfn.XLOOKUP(AT79, AutoFill_classes!$A:$A, AutoFill_classes!$B:$B,""))</f>
        <v/>
      </c>
      <c r="AW79" s="108"/>
      <c r="AX79" s="13"/>
      <c r="AY79" s="13"/>
      <c r="AZ79" s="13"/>
      <c r="BA79" s="13"/>
      <c r="BB79" s="13"/>
      <c r="BC79" s="62"/>
      <c r="BD79" s="18"/>
      <c r="BE79" s="121" t="str">
        <f t="shared" si="63"/>
        <v/>
      </c>
      <c r="BF79" s="20"/>
      <c r="BG79" s="20"/>
      <c r="BH79" s="20"/>
      <c r="BI79" s="20"/>
      <c r="BJ79" s="125" t="str">
        <f t="shared" si="64"/>
        <v/>
      </c>
      <c r="BK79" s="14"/>
      <c r="BL79" s="125" t="str">
        <f t="shared" si="65"/>
        <v/>
      </c>
      <c r="BM79" s="20"/>
      <c r="BN79" s="20"/>
      <c r="BO79" s="125" t="str">
        <f t="shared" si="66"/>
        <v/>
      </c>
      <c r="BP79" s="14"/>
      <c r="BQ79" s="125" t="str">
        <f t="shared" si="67"/>
        <v/>
      </c>
      <c r="BR79" s="20"/>
      <c r="BS79" s="20"/>
      <c r="BT79" s="125" t="str">
        <f t="shared" si="68"/>
        <v/>
      </c>
      <c r="BU79" s="125" t="str">
        <f t="shared" si="69"/>
        <v/>
      </c>
      <c r="BV79" s="125" t="str">
        <f t="shared" si="70"/>
        <v/>
      </c>
      <c r="BW79" s="129" t="str">
        <f t="shared" si="71"/>
        <v/>
      </c>
      <c r="BX79" s="13"/>
      <c r="BY79" s="15"/>
      <c r="BZ79" s="14"/>
      <c r="CA79" s="117" t="str">
        <f>IF(_xlfn.XLOOKUP(BY79, AutoFill_classes!$A:$A, AutoFill_classes!$B:$B,"")=0,"",_xlfn.XLOOKUP(BY79, AutoFill_classes!$A:$A, AutoFill_classes!$B:$B,""))</f>
        <v/>
      </c>
      <c r="CB79" s="108"/>
      <c r="CC79" s="14"/>
      <c r="CD79" s="14"/>
      <c r="CE79" s="14"/>
      <c r="CF79" s="21"/>
      <c r="CG79" s="22"/>
      <c r="CH79" s="62"/>
      <c r="CI79" s="23"/>
      <c r="CJ79" s="121" t="str">
        <f t="shared" si="72"/>
        <v/>
      </c>
      <c r="CK79" s="20"/>
      <c r="CL79" s="20"/>
      <c r="CM79" s="20"/>
      <c r="CN79" s="20"/>
      <c r="CO79" s="125" t="str">
        <f t="shared" si="73"/>
        <v/>
      </c>
      <c r="CP79" s="14"/>
      <c r="CQ79" s="125" t="str">
        <f t="shared" si="74"/>
        <v/>
      </c>
      <c r="CR79" s="20"/>
      <c r="CS79" s="20"/>
      <c r="CT79" s="125" t="str">
        <f t="shared" si="75"/>
        <v/>
      </c>
      <c r="CU79" s="14"/>
      <c r="CV79" s="125" t="str">
        <f t="shared" si="76"/>
        <v/>
      </c>
      <c r="CW79" s="20"/>
      <c r="CX79" s="20"/>
      <c r="CY79" s="125" t="str">
        <f t="shared" si="77"/>
        <v/>
      </c>
      <c r="CZ79" s="125" t="str">
        <f t="shared" si="78"/>
        <v/>
      </c>
      <c r="DA79" s="125" t="str">
        <f t="shared" si="79"/>
        <v/>
      </c>
      <c r="DB79" s="129" t="str">
        <f t="shared" si="80"/>
        <v/>
      </c>
      <c r="DC79" s="14"/>
      <c r="DD79" s="62"/>
      <c r="DE79" s="105">
        <v>77</v>
      </c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</row>
    <row r="80" spans="1:176" s="1" customFormat="1" ht="13" hidden="1" customHeight="1" outlineLevel="1" x14ac:dyDescent="0.2">
      <c r="A80" s="4"/>
      <c r="B80" s="115" t="str">
        <f>IF(_xlfn.XLOOKUP(A80, AutoFill_names!B:B, AutoFill_names!C:C,"")=0,"",_xlfn.XLOOKUP(A80, AutoFill_names!B:B, AutoFill_names!C:C,""))</f>
        <v/>
      </c>
      <c r="C80" s="115" t="str">
        <f>IF(_xlfn.XLOOKUP(A80, AutoFill_names!B:B, AutoFill_names!D:D,"")=0,"",_xlfn.XLOOKUP(A80, AutoFill_names!B:B, AutoFill_names!D:D,""))</f>
        <v/>
      </c>
      <c r="D80" s="115" t="str">
        <f>IF(_xlfn.XLOOKUP(A80, AutoFill_names!B:B, AutoFill_names!E:E,"")=0,"",_xlfn.XLOOKUP(A80, AutoFill_names!B:B, AutoFill_names!E:E,""))</f>
        <v/>
      </c>
      <c r="E80" s="115" t="str">
        <f>IF(_xlfn.XLOOKUP(A80, AutoFill_names!B:B, AutoFill_names!F:F,"")=0,"",_xlfn.XLOOKUP(A80, AutoFill_names!B:B, AutoFill_names!F:F,""))</f>
        <v/>
      </c>
      <c r="F80" s="92"/>
      <c r="J80" s="115" t="str">
        <f>IF(_xlfn.XLOOKUP(A80, AutoFill_names!B:B, AutoFill_names!K:K,"")=0,"",_xlfn.XLOOKUP(A80, AutoFill_names!B:B, AutoFill_names!K:K,""))</f>
        <v/>
      </c>
      <c r="K80" s="115" t="str">
        <f>IF(_xlfn.XLOOKUP(A80, AutoFill_names!B:B, AutoFill_names!L:L,"")=0,"",_xlfn.XLOOKUP(A80, AutoFill_names!B:B, AutoFill_names!L:L,""))</f>
        <v/>
      </c>
      <c r="L80" s="31"/>
      <c r="M80" s="31"/>
      <c r="N80" s="117" t="str">
        <f>IF(_xlfn.XLOOKUP(L80, AutoFill_classes!A:A, AutoFill_classes!B:B,"")=0,"",_xlfn.XLOOKUP(L80, AutoFill_classes!A:A, AutoFill_classes!B:B,""))</f>
        <v/>
      </c>
      <c r="O80" s="108"/>
      <c r="P80" s="6"/>
      <c r="Q80" s="6"/>
      <c r="R80" s="6"/>
      <c r="X80" s="62"/>
      <c r="Y80" s="18"/>
      <c r="Z80" s="121" t="str">
        <f t="shared" si="54"/>
        <v/>
      </c>
      <c r="AA80" s="20"/>
      <c r="AB80" s="20"/>
      <c r="AC80" s="20"/>
      <c r="AD80" s="20"/>
      <c r="AE80" s="125" t="str">
        <f t="shared" si="55"/>
        <v/>
      </c>
      <c r="AF80" s="14"/>
      <c r="AG80" s="125" t="str">
        <f t="shared" si="56"/>
        <v/>
      </c>
      <c r="AH80" s="20"/>
      <c r="AI80" s="20"/>
      <c r="AJ80" s="125" t="str">
        <f t="shared" si="57"/>
        <v/>
      </c>
      <c r="AK80" s="14"/>
      <c r="AL80" s="125" t="str">
        <f t="shared" si="58"/>
        <v/>
      </c>
      <c r="AM80" s="20"/>
      <c r="AN80" s="20"/>
      <c r="AO80" s="125" t="str">
        <f t="shared" si="59"/>
        <v/>
      </c>
      <c r="AP80" s="125" t="str">
        <f t="shared" si="60"/>
        <v/>
      </c>
      <c r="AQ80" s="125" t="str">
        <f t="shared" si="61"/>
        <v/>
      </c>
      <c r="AR80" s="129" t="str">
        <f t="shared" si="62"/>
        <v/>
      </c>
      <c r="AS80" s="14"/>
      <c r="AT80" s="13"/>
      <c r="AU80" s="13"/>
      <c r="AV80" s="117" t="str">
        <f>IF(_xlfn.XLOOKUP(AT80, AutoFill_classes!$A:$A, AutoFill_classes!$B:$B,"")=0,"",_xlfn.XLOOKUP(AT80, AutoFill_classes!$A:$A, AutoFill_classes!$B:$B,""))</f>
        <v/>
      </c>
      <c r="AW80" s="108"/>
      <c r="AX80" s="13"/>
      <c r="AY80" s="13"/>
      <c r="AZ80" s="13"/>
      <c r="BA80" s="13"/>
      <c r="BB80" s="13"/>
      <c r="BC80" s="62"/>
      <c r="BD80" s="18"/>
      <c r="BE80" s="121" t="str">
        <f t="shared" si="63"/>
        <v/>
      </c>
      <c r="BF80" s="20"/>
      <c r="BG80" s="20"/>
      <c r="BH80" s="20"/>
      <c r="BI80" s="20"/>
      <c r="BJ80" s="125" t="str">
        <f t="shared" si="64"/>
        <v/>
      </c>
      <c r="BK80" s="14"/>
      <c r="BL80" s="125" t="str">
        <f t="shared" si="65"/>
        <v/>
      </c>
      <c r="BM80" s="20"/>
      <c r="BN80" s="20"/>
      <c r="BO80" s="125" t="str">
        <f t="shared" si="66"/>
        <v/>
      </c>
      <c r="BP80" s="14"/>
      <c r="BQ80" s="125" t="str">
        <f t="shared" si="67"/>
        <v/>
      </c>
      <c r="BR80" s="20"/>
      <c r="BS80" s="20"/>
      <c r="BT80" s="125" t="str">
        <f t="shared" si="68"/>
        <v/>
      </c>
      <c r="BU80" s="125" t="str">
        <f t="shared" si="69"/>
        <v/>
      </c>
      <c r="BV80" s="125" t="str">
        <f t="shared" si="70"/>
        <v/>
      </c>
      <c r="BW80" s="129" t="str">
        <f t="shared" si="71"/>
        <v/>
      </c>
      <c r="BX80" s="13"/>
      <c r="BY80" s="15"/>
      <c r="BZ80" s="14"/>
      <c r="CA80" s="117" t="str">
        <f>IF(_xlfn.XLOOKUP(BY80, AutoFill_classes!$A:$A, AutoFill_classes!$B:$B,"")=0,"",_xlfn.XLOOKUP(BY80, AutoFill_classes!$A:$A, AutoFill_classes!$B:$B,""))</f>
        <v/>
      </c>
      <c r="CB80" s="108"/>
      <c r="CC80" s="14"/>
      <c r="CD80" s="14"/>
      <c r="CE80" s="14"/>
      <c r="CF80" s="21"/>
      <c r="CG80" s="22"/>
      <c r="CH80" s="62"/>
      <c r="CI80" s="23"/>
      <c r="CJ80" s="121" t="str">
        <f t="shared" si="72"/>
        <v/>
      </c>
      <c r="CK80" s="20"/>
      <c r="CL80" s="20"/>
      <c r="CM80" s="20"/>
      <c r="CN80" s="20"/>
      <c r="CO80" s="125" t="str">
        <f t="shared" si="73"/>
        <v/>
      </c>
      <c r="CP80" s="14"/>
      <c r="CQ80" s="125" t="str">
        <f t="shared" si="74"/>
        <v/>
      </c>
      <c r="CR80" s="20"/>
      <c r="CS80" s="20"/>
      <c r="CT80" s="125" t="str">
        <f t="shared" si="75"/>
        <v/>
      </c>
      <c r="CU80" s="14"/>
      <c r="CV80" s="125" t="str">
        <f t="shared" si="76"/>
        <v/>
      </c>
      <c r="CW80" s="20"/>
      <c r="CX80" s="20"/>
      <c r="CY80" s="125" t="str">
        <f t="shared" si="77"/>
        <v/>
      </c>
      <c r="CZ80" s="125" t="str">
        <f t="shared" si="78"/>
        <v/>
      </c>
      <c r="DA80" s="125" t="str">
        <f t="shared" si="79"/>
        <v/>
      </c>
      <c r="DB80" s="129" t="str">
        <f t="shared" si="80"/>
        <v/>
      </c>
      <c r="DC80" s="14"/>
      <c r="DD80" s="62"/>
      <c r="DE80" s="105">
        <v>78</v>
      </c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spans="1:176" s="1" customFormat="1" ht="13" hidden="1" customHeight="1" outlineLevel="1" x14ac:dyDescent="0.2">
      <c r="A81" s="4"/>
      <c r="B81" s="115" t="str">
        <f>IF(_xlfn.XLOOKUP(A81, AutoFill_names!B:B, AutoFill_names!C:C,"")=0,"",_xlfn.XLOOKUP(A81, AutoFill_names!B:B, AutoFill_names!C:C,""))</f>
        <v/>
      </c>
      <c r="C81" s="115" t="str">
        <f>IF(_xlfn.XLOOKUP(A81, AutoFill_names!B:B, AutoFill_names!D:D,"")=0,"",_xlfn.XLOOKUP(A81, AutoFill_names!B:B, AutoFill_names!D:D,""))</f>
        <v/>
      </c>
      <c r="D81" s="115" t="str">
        <f>IF(_xlfn.XLOOKUP(A81, AutoFill_names!B:B, AutoFill_names!E:E,"")=0,"",_xlfn.XLOOKUP(A81, AutoFill_names!B:B, AutoFill_names!E:E,""))</f>
        <v/>
      </c>
      <c r="E81" s="115" t="str">
        <f>IF(_xlfn.XLOOKUP(A81, AutoFill_names!B:B, AutoFill_names!F:F,"")=0,"",_xlfn.XLOOKUP(A81, AutoFill_names!B:B, AutoFill_names!F:F,""))</f>
        <v/>
      </c>
      <c r="F81" s="92"/>
      <c r="J81" s="115" t="str">
        <f>IF(_xlfn.XLOOKUP(A81, AutoFill_names!B:B, AutoFill_names!K:K,"")=0,"",_xlfn.XLOOKUP(A81, AutoFill_names!B:B, AutoFill_names!K:K,""))</f>
        <v/>
      </c>
      <c r="K81" s="115" t="str">
        <f>IF(_xlfn.XLOOKUP(A81, AutoFill_names!B:B, AutoFill_names!L:L,"")=0,"",_xlfn.XLOOKUP(A81, AutoFill_names!B:B, AutoFill_names!L:L,""))</f>
        <v/>
      </c>
      <c r="L81" s="31"/>
      <c r="M81" s="31"/>
      <c r="N81" s="117" t="str">
        <f>IF(_xlfn.XLOOKUP(L81, AutoFill_classes!A:A, AutoFill_classes!B:B,"")=0,"",_xlfn.XLOOKUP(L81, AutoFill_classes!A:A, AutoFill_classes!B:B,""))</f>
        <v/>
      </c>
      <c r="O81" s="108"/>
      <c r="P81" s="6"/>
      <c r="Q81" s="6"/>
      <c r="R81" s="6"/>
      <c r="X81" s="62"/>
      <c r="Y81" s="18"/>
      <c r="Z81" s="121" t="str">
        <f t="shared" si="54"/>
        <v/>
      </c>
      <c r="AA81" s="20"/>
      <c r="AB81" s="20"/>
      <c r="AC81" s="20"/>
      <c r="AD81" s="20"/>
      <c r="AE81" s="125" t="str">
        <f t="shared" si="55"/>
        <v/>
      </c>
      <c r="AF81" s="14"/>
      <c r="AG81" s="125" t="str">
        <f t="shared" si="56"/>
        <v/>
      </c>
      <c r="AH81" s="20"/>
      <c r="AI81" s="20"/>
      <c r="AJ81" s="125" t="str">
        <f t="shared" si="57"/>
        <v/>
      </c>
      <c r="AK81" s="14"/>
      <c r="AL81" s="125" t="str">
        <f t="shared" si="58"/>
        <v/>
      </c>
      <c r="AM81" s="20"/>
      <c r="AN81" s="20"/>
      <c r="AO81" s="125" t="str">
        <f t="shared" si="59"/>
        <v/>
      </c>
      <c r="AP81" s="125" t="str">
        <f t="shared" si="60"/>
        <v/>
      </c>
      <c r="AQ81" s="125" t="str">
        <f t="shared" si="61"/>
        <v/>
      </c>
      <c r="AR81" s="129" t="str">
        <f t="shared" si="62"/>
        <v/>
      </c>
      <c r="AS81" s="14"/>
      <c r="AT81" s="13"/>
      <c r="AU81" s="13"/>
      <c r="AV81" s="117" t="str">
        <f>IF(_xlfn.XLOOKUP(AT81, AutoFill_classes!$A:$A, AutoFill_classes!$B:$B,"")=0,"",_xlfn.XLOOKUP(AT81, AutoFill_classes!$A:$A, AutoFill_classes!$B:$B,""))</f>
        <v/>
      </c>
      <c r="AW81" s="108"/>
      <c r="AX81" s="13"/>
      <c r="AY81" s="13"/>
      <c r="AZ81" s="13"/>
      <c r="BA81" s="13"/>
      <c r="BB81" s="13"/>
      <c r="BC81" s="62"/>
      <c r="BD81" s="18"/>
      <c r="BE81" s="121" t="str">
        <f t="shared" si="63"/>
        <v/>
      </c>
      <c r="BF81" s="20"/>
      <c r="BG81" s="20"/>
      <c r="BH81" s="20"/>
      <c r="BI81" s="20"/>
      <c r="BJ81" s="125" t="str">
        <f t="shared" si="64"/>
        <v/>
      </c>
      <c r="BK81" s="14"/>
      <c r="BL81" s="125" t="str">
        <f t="shared" si="65"/>
        <v/>
      </c>
      <c r="BM81" s="20"/>
      <c r="BN81" s="20"/>
      <c r="BO81" s="125" t="str">
        <f t="shared" si="66"/>
        <v/>
      </c>
      <c r="BP81" s="14"/>
      <c r="BQ81" s="125" t="str">
        <f t="shared" si="67"/>
        <v/>
      </c>
      <c r="BR81" s="20"/>
      <c r="BS81" s="20"/>
      <c r="BT81" s="125" t="str">
        <f t="shared" si="68"/>
        <v/>
      </c>
      <c r="BU81" s="125" t="str">
        <f t="shared" si="69"/>
        <v/>
      </c>
      <c r="BV81" s="125" t="str">
        <f t="shared" si="70"/>
        <v/>
      </c>
      <c r="BW81" s="129" t="str">
        <f t="shared" si="71"/>
        <v/>
      </c>
      <c r="BX81" s="13"/>
      <c r="BY81" s="15"/>
      <c r="BZ81" s="14"/>
      <c r="CA81" s="117" t="str">
        <f>IF(_xlfn.XLOOKUP(BY81, AutoFill_classes!$A:$A, AutoFill_classes!$B:$B,"")=0,"",_xlfn.XLOOKUP(BY81, AutoFill_classes!$A:$A, AutoFill_classes!$B:$B,""))</f>
        <v/>
      </c>
      <c r="CB81" s="108"/>
      <c r="CC81" s="14"/>
      <c r="CD81" s="14"/>
      <c r="CE81" s="14"/>
      <c r="CF81" s="21"/>
      <c r="CG81" s="22"/>
      <c r="CH81" s="62"/>
      <c r="CI81" s="23"/>
      <c r="CJ81" s="121" t="str">
        <f t="shared" si="72"/>
        <v/>
      </c>
      <c r="CK81" s="20"/>
      <c r="CL81" s="20"/>
      <c r="CM81" s="20"/>
      <c r="CN81" s="20"/>
      <c r="CO81" s="125" t="str">
        <f t="shared" si="73"/>
        <v/>
      </c>
      <c r="CP81" s="14"/>
      <c r="CQ81" s="125" t="str">
        <f t="shared" si="74"/>
        <v/>
      </c>
      <c r="CR81" s="20"/>
      <c r="CS81" s="20"/>
      <c r="CT81" s="125" t="str">
        <f t="shared" si="75"/>
        <v/>
      </c>
      <c r="CU81" s="14"/>
      <c r="CV81" s="125" t="str">
        <f t="shared" si="76"/>
        <v/>
      </c>
      <c r="CW81" s="20"/>
      <c r="CX81" s="20"/>
      <c r="CY81" s="125" t="str">
        <f t="shared" si="77"/>
        <v/>
      </c>
      <c r="CZ81" s="125" t="str">
        <f t="shared" si="78"/>
        <v/>
      </c>
      <c r="DA81" s="125" t="str">
        <f t="shared" si="79"/>
        <v/>
      </c>
      <c r="DB81" s="129" t="str">
        <f t="shared" si="80"/>
        <v/>
      </c>
      <c r="DC81" s="14"/>
      <c r="DD81" s="62"/>
      <c r="DE81" s="105">
        <v>79</v>
      </c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spans="1:176" s="1" customFormat="1" ht="13" hidden="1" customHeight="1" outlineLevel="1" x14ac:dyDescent="0.2">
      <c r="A82" s="4"/>
      <c r="B82" s="115" t="str">
        <f>IF(_xlfn.XLOOKUP(A82, AutoFill_names!B:B, AutoFill_names!C:C,"")=0,"",_xlfn.XLOOKUP(A82, AutoFill_names!B:B, AutoFill_names!C:C,""))</f>
        <v/>
      </c>
      <c r="C82" s="115" t="str">
        <f>IF(_xlfn.XLOOKUP(A82, AutoFill_names!B:B, AutoFill_names!D:D,"")=0,"",_xlfn.XLOOKUP(A82, AutoFill_names!B:B, AutoFill_names!D:D,""))</f>
        <v/>
      </c>
      <c r="D82" s="115" t="str">
        <f>IF(_xlfn.XLOOKUP(A82, AutoFill_names!B:B, AutoFill_names!E:E,"")=0,"",_xlfn.XLOOKUP(A82, AutoFill_names!B:B, AutoFill_names!E:E,""))</f>
        <v/>
      </c>
      <c r="E82" s="115" t="str">
        <f>IF(_xlfn.XLOOKUP(A82, AutoFill_names!B:B, AutoFill_names!F:F,"")=0,"",_xlfn.XLOOKUP(A82, AutoFill_names!B:B, AutoFill_names!F:F,""))</f>
        <v/>
      </c>
      <c r="F82" s="92"/>
      <c r="J82" s="115" t="str">
        <f>IF(_xlfn.XLOOKUP(A82, AutoFill_names!B:B, AutoFill_names!K:K,"")=0,"",_xlfn.XLOOKUP(A82, AutoFill_names!B:B, AutoFill_names!K:K,""))</f>
        <v/>
      </c>
      <c r="K82" s="115" t="str">
        <f>IF(_xlfn.XLOOKUP(A82, AutoFill_names!B:B, AutoFill_names!L:L,"")=0,"",_xlfn.XLOOKUP(A82, AutoFill_names!B:B, AutoFill_names!L:L,""))</f>
        <v/>
      </c>
      <c r="L82" s="31"/>
      <c r="M82" s="31"/>
      <c r="N82" s="117" t="str">
        <f>IF(_xlfn.XLOOKUP(L82, AutoFill_classes!A:A, AutoFill_classes!B:B,"")=0,"",_xlfn.XLOOKUP(L82, AutoFill_classes!A:A, AutoFill_classes!B:B,""))</f>
        <v/>
      </c>
      <c r="O82" s="108"/>
      <c r="P82" s="6"/>
      <c r="Q82" s="6"/>
      <c r="R82" s="6"/>
      <c r="X82" s="62"/>
      <c r="Y82" s="18"/>
      <c r="Z82" s="121" t="str">
        <f t="shared" si="54"/>
        <v/>
      </c>
      <c r="AA82" s="20"/>
      <c r="AB82" s="20"/>
      <c r="AC82" s="20"/>
      <c r="AD82" s="20"/>
      <c r="AE82" s="125" t="str">
        <f t="shared" si="55"/>
        <v/>
      </c>
      <c r="AF82" s="14"/>
      <c r="AG82" s="125" t="str">
        <f t="shared" si="56"/>
        <v/>
      </c>
      <c r="AH82" s="20"/>
      <c r="AI82" s="20"/>
      <c r="AJ82" s="125" t="str">
        <f t="shared" si="57"/>
        <v/>
      </c>
      <c r="AK82" s="14"/>
      <c r="AL82" s="125" t="str">
        <f t="shared" si="58"/>
        <v/>
      </c>
      <c r="AM82" s="20"/>
      <c r="AN82" s="20"/>
      <c r="AO82" s="125" t="str">
        <f t="shared" si="59"/>
        <v/>
      </c>
      <c r="AP82" s="125" t="str">
        <f t="shared" si="60"/>
        <v/>
      </c>
      <c r="AQ82" s="125" t="str">
        <f t="shared" si="61"/>
        <v/>
      </c>
      <c r="AR82" s="129" t="str">
        <f t="shared" si="62"/>
        <v/>
      </c>
      <c r="AS82" s="14"/>
      <c r="AT82" s="13"/>
      <c r="AU82" s="13"/>
      <c r="AV82" s="117" t="str">
        <f>IF(_xlfn.XLOOKUP(AT82, AutoFill_classes!$A:$A, AutoFill_classes!$B:$B,"")=0,"",_xlfn.XLOOKUP(AT82, AutoFill_classes!$A:$A, AutoFill_classes!$B:$B,""))</f>
        <v/>
      </c>
      <c r="AW82" s="108"/>
      <c r="AX82" s="13"/>
      <c r="AY82" s="13"/>
      <c r="AZ82" s="13"/>
      <c r="BA82" s="13"/>
      <c r="BB82" s="13"/>
      <c r="BC82" s="62"/>
      <c r="BD82" s="18"/>
      <c r="BE82" s="121" t="str">
        <f t="shared" si="63"/>
        <v/>
      </c>
      <c r="BF82" s="20"/>
      <c r="BG82" s="20"/>
      <c r="BH82" s="20"/>
      <c r="BI82" s="20"/>
      <c r="BJ82" s="125" t="str">
        <f t="shared" si="64"/>
        <v/>
      </c>
      <c r="BK82" s="14"/>
      <c r="BL82" s="125" t="str">
        <f t="shared" si="65"/>
        <v/>
      </c>
      <c r="BM82" s="20"/>
      <c r="BN82" s="20"/>
      <c r="BO82" s="125" t="str">
        <f t="shared" si="66"/>
        <v/>
      </c>
      <c r="BP82" s="14"/>
      <c r="BQ82" s="125" t="str">
        <f t="shared" si="67"/>
        <v/>
      </c>
      <c r="BR82" s="20"/>
      <c r="BS82" s="20"/>
      <c r="BT82" s="125" t="str">
        <f t="shared" si="68"/>
        <v/>
      </c>
      <c r="BU82" s="125" t="str">
        <f t="shared" si="69"/>
        <v/>
      </c>
      <c r="BV82" s="125" t="str">
        <f t="shared" si="70"/>
        <v/>
      </c>
      <c r="BW82" s="129" t="str">
        <f t="shared" si="71"/>
        <v/>
      </c>
      <c r="BX82" s="13"/>
      <c r="BY82" s="15"/>
      <c r="BZ82" s="14"/>
      <c r="CA82" s="117" t="str">
        <f>IF(_xlfn.XLOOKUP(BY82, AutoFill_classes!$A:$A, AutoFill_classes!$B:$B,"")=0,"",_xlfn.XLOOKUP(BY82, AutoFill_classes!$A:$A, AutoFill_classes!$B:$B,""))</f>
        <v/>
      </c>
      <c r="CB82" s="108"/>
      <c r="CC82" s="14"/>
      <c r="CD82" s="14"/>
      <c r="CE82" s="14"/>
      <c r="CF82" s="21"/>
      <c r="CG82" s="22"/>
      <c r="CH82" s="62"/>
      <c r="CI82" s="23"/>
      <c r="CJ82" s="121" t="str">
        <f t="shared" si="72"/>
        <v/>
      </c>
      <c r="CK82" s="20"/>
      <c r="CL82" s="20"/>
      <c r="CM82" s="20"/>
      <c r="CN82" s="20"/>
      <c r="CO82" s="125" t="str">
        <f t="shared" si="73"/>
        <v/>
      </c>
      <c r="CP82" s="14"/>
      <c r="CQ82" s="125" t="str">
        <f t="shared" si="74"/>
        <v/>
      </c>
      <c r="CR82" s="20"/>
      <c r="CS82" s="20"/>
      <c r="CT82" s="125" t="str">
        <f t="shared" si="75"/>
        <v/>
      </c>
      <c r="CU82" s="14"/>
      <c r="CV82" s="125" t="str">
        <f t="shared" si="76"/>
        <v/>
      </c>
      <c r="CW82" s="20"/>
      <c r="CX82" s="20"/>
      <c r="CY82" s="125" t="str">
        <f t="shared" si="77"/>
        <v/>
      </c>
      <c r="CZ82" s="125" t="str">
        <f t="shared" si="78"/>
        <v/>
      </c>
      <c r="DA82" s="125" t="str">
        <f t="shared" si="79"/>
        <v/>
      </c>
      <c r="DB82" s="129" t="str">
        <f t="shared" si="80"/>
        <v/>
      </c>
      <c r="DC82" s="14"/>
      <c r="DD82" s="62"/>
      <c r="DE82" s="105">
        <v>80</v>
      </c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</row>
    <row r="83" spans="1:176" s="1" customFormat="1" ht="13" hidden="1" customHeight="1" outlineLevel="1" x14ac:dyDescent="0.2">
      <c r="A83" s="4"/>
      <c r="B83" s="115" t="str">
        <f>IF(_xlfn.XLOOKUP(A83, AutoFill_names!B:B, AutoFill_names!C:C,"")=0,"",_xlfn.XLOOKUP(A83, AutoFill_names!B:B, AutoFill_names!C:C,""))</f>
        <v/>
      </c>
      <c r="C83" s="115" t="str">
        <f>IF(_xlfn.XLOOKUP(A83, AutoFill_names!B:B, AutoFill_names!D:D,"")=0,"",_xlfn.XLOOKUP(A83, AutoFill_names!B:B, AutoFill_names!D:D,""))</f>
        <v/>
      </c>
      <c r="D83" s="115" t="str">
        <f>IF(_xlfn.XLOOKUP(A83, AutoFill_names!B:B, AutoFill_names!E:E,"")=0,"",_xlfn.XLOOKUP(A83, AutoFill_names!B:B, AutoFill_names!E:E,""))</f>
        <v/>
      </c>
      <c r="E83" s="115" t="str">
        <f>IF(_xlfn.XLOOKUP(A83, AutoFill_names!B:B, AutoFill_names!F:F,"")=0,"",_xlfn.XLOOKUP(A83, AutoFill_names!B:B, AutoFill_names!F:F,""))</f>
        <v/>
      </c>
      <c r="F83" s="92"/>
      <c r="J83" s="115" t="str">
        <f>IF(_xlfn.XLOOKUP(A83, AutoFill_names!B:B, AutoFill_names!K:K,"")=0,"",_xlfn.XLOOKUP(A83, AutoFill_names!B:B, AutoFill_names!K:K,""))</f>
        <v/>
      </c>
      <c r="K83" s="115" t="str">
        <f>IF(_xlfn.XLOOKUP(A83, AutoFill_names!B:B, AutoFill_names!L:L,"")=0,"",_xlfn.XLOOKUP(A83, AutoFill_names!B:B, AutoFill_names!L:L,""))</f>
        <v/>
      </c>
      <c r="L83" s="31"/>
      <c r="M83" s="31"/>
      <c r="N83" s="117" t="str">
        <f>IF(_xlfn.XLOOKUP(L83, AutoFill_classes!A:A, AutoFill_classes!B:B,"")=0,"",_xlfn.XLOOKUP(L83, AutoFill_classes!A:A, AutoFill_classes!B:B,""))</f>
        <v/>
      </c>
      <c r="O83" s="108"/>
      <c r="P83" s="6"/>
      <c r="Q83" s="6"/>
      <c r="R83" s="6"/>
      <c r="X83" s="62"/>
      <c r="Y83" s="18"/>
      <c r="Z83" s="121" t="str">
        <f t="shared" si="54"/>
        <v/>
      </c>
      <c r="AA83" s="20"/>
      <c r="AB83" s="20"/>
      <c r="AC83" s="20"/>
      <c r="AD83" s="20"/>
      <c r="AE83" s="125" t="str">
        <f t="shared" si="55"/>
        <v/>
      </c>
      <c r="AF83" s="14"/>
      <c r="AG83" s="125" t="str">
        <f t="shared" si="56"/>
        <v/>
      </c>
      <c r="AH83" s="20"/>
      <c r="AI83" s="20"/>
      <c r="AJ83" s="125" t="str">
        <f t="shared" si="57"/>
        <v/>
      </c>
      <c r="AK83" s="14"/>
      <c r="AL83" s="125" t="str">
        <f t="shared" si="58"/>
        <v/>
      </c>
      <c r="AM83" s="20"/>
      <c r="AN83" s="20"/>
      <c r="AO83" s="125" t="str">
        <f t="shared" si="59"/>
        <v/>
      </c>
      <c r="AP83" s="125" t="str">
        <f t="shared" si="60"/>
        <v/>
      </c>
      <c r="AQ83" s="125" t="str">
        <f t="shared" si="61"/>
        <v/>
      </c>
      <c r="AR83" s="129" t="str">
        <f t="shared" si="62"/>
        <v/>
      </c>
      <c r="AS83" s="14"/>
      <c r="AT83" s="13"/>
      <c r="AU83" s="13"/>
      <c r="AV83" s="117" t="str">
        <f>IF(_xlfn.XLOOKUP(AT83, AutoFill_classes!$A:$A, AutoFill_classes!$B:$B,"")=0,"",_xlfn.XLOOKUP(AT83, AutoFill_classes!$A:$A, AutoFill_classes!$B:$B,""))</f>
        <v/>
      </c>
      <c r="AW83" s="108"/>
      <c r="AX83" s="13"/>
      <c r="AY83" s="13"/>
      <c r="AZ83" s="13"/>
      <c r="BA83" s="13"/>
      <c r="BB83" s="13"/>
      <c r="BC83" s="62"/>
      <c r="BD83" s="18"/>
      <c r="BE83" s="121" t="str">
        <f t="shared" si="63"/>
        <v/>
      </c>
      <c r="BF83" s="20"/>
      <c r="BG83" s="20"/>
      <c r="BH83" s="20"/>
      <c r="BI83" s="20"/>
      <c r="BJ83" s="125" t="str">
        <f t="shared" si="64"/>
        <v/>
      </c>
      <c r="BK83" s="14"/>
      <c r="BL83" s="125" t="str">
        <f t="shared" si="65"/>
        <v/>
      </c>
      <c r="BM83" s="20"/>
      <c r="BN83" s="20"/>
      <c r="BO83" s="125" t="str">
        <f t="shared" si="66"/>
        <v/>
      </c>
      <c r="BP83" s="14"/>
      <c r="BQ83" s="125" t="str">
        <f t="shared" si="67"/>
        <v/>
      </c>
      <c r="BR83" s="20"/>
      <c r="BS83" s="20"/>
      <c r="BT83" s="125" t="str">
        <f t="shared" si="68"/>
        <v/>
      </c>
      <c r="BU83" s="125" t="str">
        <f t="shared" si="69"/>
        <v/>
      </c>
      <c r="BV83" s="125" t="str">
        <f t="shared" si="70"/>
        <v/>
      </c>
      <c r="BW83" s="129" t="str">
        <f t="shared" si="71"/>
        <v/>
      </c>
      <c r="BX83" s="13"/>
      <c r="BY83" s="15"/>
      <c r="BZ83" s="14"/>
      <c r="CA83" s="117" t="str">
        <f>IF(_xlfn.XLOOKUP(BY83, AutoFill_classes!$A:$A, AutoFill_classes!$B:$B,"")=0,"",_xlfn.XLOOKUP(BY83, AutoFill_classes!$A:$A, AutoFill_classes!$B:$B,""))</f>
        <v/>
      </c>
      <c r="CB83" s="108"/>
      <c r="CC83" s="14"/>
      <c r="CD83" s="14"/>
      <c r="CE83" s="14"/>
      <c r="CF83" s="21"/>
      <c r="CG83" s="22"/>
      <c r="CH83" s="62"/>
      <c r="CI83" s="23"/>
      <c r="CJ83" s="121" t="str">
        <f t="shared" si="72"/>
        <v/>
      </c>
      <c r="CK83" s="20"/>
      <c r="CL83" s="20"/>
      <c r="CM83" s="20"/>
      <c r="CN83" s="20"/>
      <c r="CO83" s="125" t="str">
        <f t="shared" si="73"/>
        <v/>
      </c>
      <c r="CP83" s="14"/>
      <c r="CQ83" s="125" t="str">
        <f t="shared" si="74"/>
        <v/>
      </c>
      <c r="CR83" s="20"/>
      <c r="CS83" s="20"/>
      <c r="CT83" s="125" t="str">
        <f t="shared" si="75"/>
        <v/>
      </c>
      <c r="CU83" s="14"/>
      <c r="CV83" s="125" t="str">
        <f t="shared" si="76"/>
        <v/>
      </c>
      <c r="CW83" s="20"/>
      <c r="CX83" s="20"/>
      <c r="CY83" s="125" t="str">
        <f t="shared" si="77"/>
        <v/>
      </c>
      <c r="CZ83" s="125" t="str">
        <f t="shared" si="78"/>
        <v/>
      </c>
      <c r="DA83" s="125" t="str">
        <f t="shared" si="79"/>
        <v/>
      </c>
      <c r="DB83" s="129" t="str">
        <f t="shared" si="80"/>
        <v/>
      </c>
      <c r="DC83" s="14"/>
      <c r="DD83" s="62"/>
      <c r="DE83" s="105">
        <v>81</v>
      </c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spans="1:176" s="1" customFormat="1" ht="13" hidden="1" customHeight="1" outlineLevel="1" x14ac:dyDescent="0.2">
      <c r="A84" s="4"/>
      <c r="B84" s="115" t="str">
        <f>IF(_xlfn.XLOOKUP(A84, AutoFill_names!B:B, AutoFill_names!C:C,"")=0,"",_xlfn.XLOOKUP(A84, AutoFill_names!B:B, AutoFill_names!C:C,""))</f>
        <v/>
      </c>
      <c r="C84" s="115" t="str">
        <f>IF(_xlfn.XLOOKUP(A84, AutoFill_names!B:B, AutoFill_names!D:D,"")=0,"",_xlfn.XLOOKUP(A84, AutoFill_names!B:B, AutoFill_names!D:D,""))</f>
        <v/>
      </c>
      <c r="D84" s="115" t="str">
        <f>IF(_xlfn.XLOOKUP(A84, AutoFill_names!B:B, AutoFill_names!E:E,"")=0,"",_xlfn.XLOOKUP(A84, AutoFill_names!B:B, AutoFill_names!E:E,""))</f>
        <v/>
      </c>
      <c r="E84" s="115" t="str">
        <f>IF(_xlfn.XLOOKUP(A84, AutoFill_names!B:B, AutoFill_names!F:F,"")=0,"",_xlfn.XLOOKUP(A84, AutoFill_names!B:B, AutoFill_names!F:F,""))</f>
        <v/>
      </c>
      <c r="F84" s="92"/>
      <c r="J84" s="115" t="str">
        <f>IF(_xlfn.XLOOKUP(A84, AutoFill_names!B:B, AutoFill_names!K:K,"")=0,"",_xlfn.XLOOKUP(A84, AutoFill_names!B:B, AutoFill_names!K:K,""))</f>
        <v/>
      </c>
      <c r="K84" s="115" t="str">
        <f>IF(_xlfn.XLOOKUP(A84, AutoFill_names!B:B, AutoFill_names!L:L,"")=0,"",_xlfn.XLOOKUP(A84, AutoFill_names!B:B, AutoFill_names!L:L,""))</f>
        <v/>
      </c>
      <c r="L84" s="31"/>
      <c r="M84" s="31"/>
      <c r="N84" s="117" t="str">
        <f>IF(_xlfn.XLOOKUP(L84, AutoFill_classes!A:A, AutoFill_classes!B:B,"")=0,"",_xlfn.XLOOKUP(L84, AutoFill_classes!A:A, AutoFill_classes!B:B,""))</f>
        <v/>
      </c>
      <c r="O84" s="108"/>
      <c r="P84" s="6"/>
      <c r="Q84" s="6"/>
      <c r="R84" s="6"/>
      <c r="X84" s="62"/>
      <c r="Y84" s="18"/>
      <c r="Z84" s="121" t="str">
        <f t="shared" si="54"/>
        <v/>
      </c>
      <c r="AA84" s="20"/>
      <c r="AB84" s="20"/>
      <c r="AC84" s="20"/>
      <c r="AD84" s="20"/>
      <c r="AE84" s="125" t="str">
        <f t="shared" si="55"/>
        <v/>
      </c>
      <c r="AF84" s="14"/>
      <c r="AG84" s="125" t="str">
        <f t="shared" si="56"/>
        <v/>
      </c>
      <c r="AH84" s="20"/>
      <c r="AI84" s="20"/>
      <c r="AJ84" s="125" t="str">
        <f t="shared" si="57"/>
        <v/>
      </c>
      <c r="AK84" s="14"/>
      <c r="AL84" s="125" t="str">
        <f t="shared" si="58"/>
        <v/>
      </c>
      <c r="AM84" s="20"/>
      <c r="AN84" s="20"/>
      <c r="AO84" s="125" t="str">
        <f t="shared" si="59"/>
        <v/>
      </c>
      <c r="AP84" s="125" t="str">
        <f t="shared" si="60"/>
        <v/>
      </c>
      <c r="AQ84" s="125" t="str">
        <f t="shared" si="61"/>
        <v/>
      </c>
      <c r="AR84" s="129" t="str">
        <f t="shared" si="62"/>
        <v/>
      </c>
      <c r="AS84" s="14"/>
      <c r="AT84" s="13"/>
      <c r="AU84" s="13"/>
      <c r="AV84" s="117" t="str">
        <f>IF(_xlfn.XLOOKUP(AT84, AutoFill_classes!$A:$A, AutoFill_classes!$B:$B,"")=0,"",_xlfn.XLOOKUP(AT84, AutoFill_classes!$A:$A, AutoFill_classes!$B:$B,""))</f>
        <v/>
      </c>
      <c r="AW84" s="108"/>
      <c r="AX84" s="13"/>
      <c r="AY84" s="13"/>
      <c r="AZ84" s="13"/>
      <c r="BA84" s="13"/>
      <c r="BB84" s="13"/>
      <c r="BC84" s="62"/>
      <c r="BD84" s="18"/>
      <c r="BE84" s="121" t="str">
        <f t="shared" si="63"/>
        <v/>
      </c>
      <c r="BF84" s="20"/>
      <c r="BG84" s="20"/>
      <c r="BH84" s="20"/>
      <c r="BI84" s="20"/>
      <c r="BJ84" s="125" t="str">
        <f t="shared" si="64"/>
        <v/>
      </c>
      <c r="BK84" s="14"/>
      <c r="BL84" s="125" t="str">
        <f t="shared" si="65"/>
        <v/>
      </c>
      <c r="BM84" s="20"/>
      <c r="BN84" s="20"/>
      <c r="BO84" s="125" t="str">
        <f t="shared" si="66"/>
        <v/>
      </c>
      <c r="BP84" s="14"/>
      <c r="BQ84" s="125" t="str">
        <f t="shared" si="67"/>
        <v/>
      </c>
      <c r="BR84" s="20"/>
      <c r="BS84" s="20"/>
      <c r="BT84" s="125" t="str">
        <f t="shared" si="68"/>
        <v/>
      </c>
      <c r="BU84" s="125" t="str">
        <f t="shared" si="69"/>
        <v/>
      </c>
      <c r="BV84" s="125" t="str">
        <f t="shared" si="70"/>
        <v/>
      </c>
      <c r="BW84" s="129" t="str">
        <f t="shared" si="71"/>
        <v/>
      </c>
      <c r="BX84" s="13"/>
      <c r="BY84" s="15"/>
      <c r="BZ84" s="14"/>
      <c r="CA84" s="117" t="str">
        <f>IF(_xlfn.XLOOKUP(BY84, AutoFill_classes!$A:$A, AutoFill_classes!$B:$B,"")=0,"",_xlfn.XLOOKUP(BY84, AutoFill_classes!$A:$A, AutoFill_classes!$B:$B,""))</f>
        <v/>
      </c>
      <c r="CB84" s="108"/>
      <c r="CC84" s="14"/>
      <c r="CD84" s="14"/>
      <c r="CE84" s="14"/>
      <c r="CF84" s="21"/>
      <c r="CG84" s="22"/>
      <c r="CH84" s="62"/>
      <c r="CI84" s="23"/>
      <c r="CJ84" s="121" t="str">
        <f t="shared" si="72"/>
        <v/>
      </c>
      <c r="CK84" s="20"/>
      <c r="CL84" s="20"/>
      <c r="CM84" s="20"/>
      <c r="CN84" s="20"/>
      <c r="CO84" s="125" t="str">
        <f t="shared" si="73"/>
        <v/>
      </c>
      <c r="CP84" s="14"/>
      <c r="CQ84" s="125" t="str">
        <f t="shared" si="74"/>
        <v/>
      </c>
      <c r="CR84" s="20"/>
      <c r="CS84" s="20"/>
      <c r="CT84" s="125" t="str">
        <f t="shared" si="75"/>
        <v/>
      </c>
      <c r="CU84" s="14"/>
      <c r="CV84" s="125" t="str">
        <f t="shared" si="76"/>
        <v/>
      </c>
      <c r="CW84" s="20"/>
      <c r="CX84" s="20"/>
      <c r="CY84" s="125" t="str">
        <f t="shared" si="77"/>
        <v/>
      </c>
      <c r="CZ84" s="125" t="str">
        <f t="shared" si="78"/>
        <v/>
      </c>
      <c r="DA84" s="125" t="str">
        <f t="shared" si="79"/>
        <v/>
      </c>
      <c r="DB84" s="129" t="str">
        <f t="shared" si="80"/>
        <v/>
      </c>
      <c r="DC84" s="14"/>
      <c r="DD84" s="62"/>
      <c r="DE84" s="105">
        <v>82</v>
      </c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</row>
    <row r="85" spans="1:176" s="1" customFormat="1" ht="13" hidden="1" customHeight="1" outlineLevel="1" x14ac:dyDescent="0.2">
      <c r="A85" s="4"/>
      <c r="B85" s="115" t="str">
        <f>IF(_xlfn.XLOOKUP(A85, AutoFill_names!B:B, AutoFill_names!C:C,"")=0,"",_xlfn.XLOOKUP(A85, AutoFill_names!B:B, AutoFill_names!C:C,""))</f>
        <v/>
      </c>
      <c r="C85" s="115" t="str">
        <f>IF(_xlfn.XLOOKUP(A85, AutoFill_names!B:B, AutoFill_names!D:D,"")=0,"",_xlfn.XLOOKUP(A85, AutoFill_names!B:B, AutoFill_names!D:D,""))</f>
        <v/>
      </c>
      <c r="D85" s="115" t="str">
        <f>IF(_xlfn.XLOOKUP(A85, AutoFill_names!B:B, AutoFill_names!E:E,"")=0,"",_xlfn.XLOOKUP(A85, AutoFill_names!B:B, AutoFill_names!E:E,""))</f>
        <v/>
      </c>
      <c r="E85" s="115" t="str">
        <f>IF(_xlfn.XLOOKUP(A85, AutoFill_names!B:B, AutoFill_names!F:F,"")=0,"",_xlfn.XLOOKUP(A85, AutoFill_names!B:B, AutoFill_names!F:F,""))</f>
        <v/>
      </c>
      <c r="F85" s="92"/>
      <c r="J85" s="115" t="str">
        <f>IF(_xlfn.XLOOKUP(A85, AutoFill_names!B:B, AutoFill_names!K:K,"")=0,"",_xlfn.XLOOKUP(A85, AutoFill_names!B:B, AutoFill_names!K:K,""))</f>
        <v/>
      </c>
      <c r="K85" s="115" t="str">
        <f>IF(_xlfn.XLOOKUP(A85, AutoFill_names!B:B, AutoFill_names!L:L,"")=0,"",_xlfn.XLOOKUP(A85, AutoFill_names!B:B, AutoFill_names!L:L,""))</f>
        <v/>
      </c>
      <c r="L85" s="31"/>
      <c r="M85" s="31"/>
      <c r="N85" s="117" t="str">
        <f>IF(_xlfn.XLOOKUP(L85, AutoFill_classes!A:A, AutoFill_classes!B:B,"")=0,"",_xlfn.XLOOKUP(L85, AutoFill_classes!A:A, AutoFill_classes!B:B,""))</f>
        <v/>
      </c>
      <c r="O85" s="108"/>
      <c r="P85" s="6"/>
      <c r="Q85" s="6"/>
      <c r="R85" s="6"/>
      <c r="X85" s="62"/>
      <c r="Y85" s="18"/>
      <c r="Z85" s="121" t="str">
        <f t="shared" si="54"/>
        <v/>
      </c>
      <c r="AA85" s="20"/>
      <c r="AB85" s="20"/>
      <c r="AC85" s="20"/>
      <c r="AD85" s="20"/>
      <c r="AE85" s="125" t="str">
        <f t="shared" si="55"/>
        <v/>
      </c>
      <c r="AF85" s="14"/>
      <c r="AG85" s="125" t="str">
        <f t="shared" si="56"/>
        <v/>
      </c>
      <c r="AH85" s="20"/>
      <c r="AI85" s="20"/>
      <c r="AJ85" s="125" t="str">
        <f t="shared" si="57"/>
        <v/>
      </c>
      <c r="AK85" s="14"/>
      <c r="AL85" s="125" t="str">
        <f t="shared" si="58"/>
        <v/>
      </c>
      <c r="AM85" s="20"/>
      <c r="AN85" s="20"/>
      <c r="AO85" s="125" t="str">
        <f t="shared" si="59"/>
        <v/>
      </c>
      <c r="AP85" s="125" t="str">
        <f t="shared" si="60"/>
        <v/>
      </c>
      <c r="AQ85" s="125" t="str">
        <f t="shared" si="61"/>
        <v/>
      </c>
      <c r="AR85" s="129" t="str">
        <f t="shared" si="62"/>
        <v/>
      </c>
      <c r="AS85" s="14"/>
      <c r="AT85" s="13"/>
      <c r="AU85" s="13"/>
      <c r="AV85" s="117" t="str">
        <f>IF(_xlfn.XLOOKUP(AT85, AutoFill_classes!$A:$A, AutoFill_classes!$B:$B,"")=0,"",_xlfn.XLOOKUP(AT85, AutoFill_classes!$A:$A, AutoFill_classes!$B:$B,""))</f>
        <v/>
      </c>
      <c r="AW85" s="108"/>
      <c r="AX85" s="13"/>
      <c r="AY85" s="13"/>
      <c r="AZ85" s="13"/>
      <c r="BA85" s="13"/>
      <c r="BB85" s="13"/>
      <c r="BC85" s="62"/>
      <c r="BD85" s="18"/>
      <c r="BE85" s="121" t="str">
        <f t="shared" si="63"/>
        <v/>
      </c>
      <c r="BF85" s="20"/>
      <c r="BG85" s="20"/>
      <c r="BH85" s="20"/>
      <c r="BI85" s="20"/>
      <c r="BJ85" s="125" t="str">
        <f t="shared" si="64"/>
        <v/>
      </c>
      <c r="BK85" s="14"/>
      <c r="BL85" s="125" t="str">
        <f t="shared" si="65"/>
        <v/>
      </c>
      <c r="BM85" s="20"/>
      <c r="BN85" s="20"/>
      <c r="BO85" s="125" t="str">
        <f t="shared" si="66"/>
        <v/>
      </c>
      <c r="BP85" s="14"/>
      <c r="BQ85" s="125" t="str">
        <f t="shared" si="67"/>
        <v/>
      </c>
      <c r="BR85" s="20"/>
      <c r="BS85" s="20"/>
      <c r="BT85" s="125" t="str">
        <f t="shared" si="68"/>
        <v/>
      </c>
      <c r="BU85" s="125" t="str">
        <f t="shared" si="69"/>
        <v/>
      </c>
      <c r="BV85" s="125" t="str">
        <f t="shared" si="70"/>
        <v/>
      </c>
      <c r="BW85" s="129" t="str">
        <f t="shared" si="71"/>
        <v/>
      </c>
      <c r="BX85" s="13"/>
      <c r="BY85" s="15"/>
      <c r="BZ85" s="14"/>
      <c r="CA85" s="117" t="str">
        <f>IF(_xlfn.XLOOKUP(BY85, AutoFill_classes!$A:$A, AutoFill_classes!$B:$B,"")=0,"",_xlfn.XLOOKUP(BY85, AutoFill_classes!$A:$A, AutoFill_classes!$B:$B,""))</f>
        <v/>
      </c>
      <c r="CB85" s="108"/>
      <c r="CC85" s="14"/>
      <c r="CD85" s="14"/>
      <c r="CE85" s="14"/>
      <c r="CF85" s="21"/>
      <c r="CG85" s="22"/>
      <c r="CH85" s="62"/>
      <c r="CI85" s="23"/>
      <c r="CJ85" s="121" t="str">
        <f t="shared" si="72"/>
        <v/>
      </c>
      <c r="CK85" s="20"/>
      <c r="CL85" s="20"/>
      <c r="CM85" s="20"/>
      <c r="CN85" s="20"/>
      <c r="CO85" s="125" t="str">
        <f t="shared" si="73"/>
        <v/>
      </c>
      <c r="CP85" s="14"/>
      <c r="CQ85" s="125" t="str">
        <f t="shared" si="74"/>
        <v/>
      </c>
      <c r="CR85" s="20"/>
      <c r="CS85" s="20"/>
      <c r="CT85" s="125" t="str">
        <f t="shared" si="75"/>
        <v/>
      </c>
      <c r="CU85" s="14"/>
      <c r="CV85" s="125" t="str">
        <f t="shared" si="76"/>
        <v/>
      </c>
      <c r="CW85" s="20"/>
      <c r="CX85" s="20"/>
      <c r="CY85" s="125" t="str">
        <f t="shared" si="77"/>
        <v/>
      </c>
      <c r="CZ85" s="125" t="str">
        <f t="shared" si="78"/>
        <v/>
      </c>
      <c r="DA85" s="125" t="str">
        <f t="shared" si="79"/>
        <v/>
      </c>
      <c r="DB85" s="129" t="str">
        <f t="shared" si="80"/>
        <v/>
      </c>
      <c r="DC85" s="14"/>
      <c r="DD85" s="62"/>
      <c r="DE85" s="105">
        <v>83</v>
      </c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spans="1:176" s="1" customFormat="1" ht="13" hidden="1" customHeight="1" outlineLevel="1" x14ac:dyDescent="0.2">
      <c r="A86" s="4"/>
      <c r="B86" s="115" t="str">
        <f>IF(_xlfn.XLOOKUP(A86, AutoFill_names!B:B, AutoFill_names!C:C,"")=0,"",_xlfn.XLOOKUP(A86, AutoFill_names!B:B, AutoFill_names!C:C,""))</f>
        <v/>
      </c>
      <c r="C86" s="115" t="str">
        <f>IF(_xlfn.XLOOKUP(A86, AutoFill_names!B:B, AutoFill_names!D:D,"")=0,"",_xlfn.XLOOKUP(A86, AutoFill_names!B:B, AutoFill_names!D:D,""))</f>
        <v/>
      </c>
      <c r="D86" s="115" t="str">
        <f>IF(_xlfn.XLOOKUP(A86, AutoFill_names!B:B, AutoFill_names!E:E,"")=0,"",_xlfn.XLOOKUP(A86, AutoFill_names!B:B, AutoFill_names!E:E,""))</f>
        <v/>
      </c>
      <c r="E86" s="115" t="str">
        <f>IF(_xlfn.XLOOKUP(A86, AutoFill_names!B:B, AutoFill_names!F:F,"")=0,"",_xlfn.XLOOKUP(A86, AutoFill_names!B:B, AutoFill_names!F:F,""))</f>
        <v/>
      </c>
      <c r="F86" s="92"/>
      <c r="J86" s="115" t="str">
        <f>IF(_xlfn.XLOOKUP(A86, AutoFill_names!B:B, AutoFill_names!K:K,"")=0,"",_xlfn.XLOOKUP(A86, AutoFill_names!B:B, AutoFill_names!K:K,""))</f>
        <v/>
      </c>
      <c r="K86" s="115" t="str">
        <f>IF(_xlfn.XLOOKUP(A86, AutoFill_names!B:B, AutoFill_names!L:L,"")=0,"",_xlfn.XLOOKUP(A86, AutoFill_names!B:B, AutoFill_names!L:L,""))</f>
        <v/>
      </c>
      <c r="L86" s="31"/>
      <c r="M86" s="31"/>
      <c r="N86" s="117" t="str">
        <f>IF(_xlfn.XLOOKUP(L86, AutoFill_classes!A:A, AutoFill_classes!B:B,"")=0,"",_xlfn.XLOOKUP(L86, AutoFill_classes!A:A, AutoFill_classes!B:B,""))</f>
        <v/>
      </c>
      <c r="O86" s="108"/>
      <c r="P86" s="6"/>
      <c r="Q86" s="6"/>
      <c r="R86" s="6"/>
      <c r="X86" s="62"/>
      <c r="Y86" s="18"/>
      <c r="Z86" s="121" t="str">
        <f t="shared" si="54"/>
        <v/>
      </c>
      <c r="AA86" s="20"/>
      <c r="AB86" s="20"/>
      <c r="AC86" s="20"/>
      <c r="AD86" s="20"/>
      <c r="AE86" s="125" t="str">
        <f t="shared" si="55"/>
        <v/>
      </c>
      <c r="AF86" s="14"/>
      <c r="AG86" s="125" t="str">
        <f t="shared" si="56"/>
        <v/>
      </c>
      <c r="AH86" s="20"/>
      <c r="AI86" s="20"/>
      <c r="AJ86" s="125" t="str">
        <f t="shared" si="57"/>
        <v/>
      </c>
      <c r="AK86" s="14"/>
      <c r="AL86" s="125" t="str">
        <f t="shared" si="58"/>
        <v/>
      </c>
      <c r="AM86" s="20"/>
      <c r="AN86" s="20"/>
      <c r="AO86" s="125" t="str">
        <f t="shared" si="59"/>
        <v/>
      </c>
      <c r="AP86" s="125" t="str">
        <f t="shared" si="60"/>
        <v/>
      </c>
      <c r="AQ86" s="125" t="str">
        <f t="shared" si="61"/>
        <v/>
      </c>
      <c r="AR86" s="129" t="str">
        <f t="shared" si="62"/>
        <v/>
      </c>
      <c r="AS86" s="14"/>
      <c r="AT86" s="13"/>
      <c r="AU86" s="13"/>
      <c r="AV86" s="117" t="str">
        <f>IF(_xlfn.XLOOKUP(AT86, AutoFill_classes!$A:$A, AutoFill_classes!$B:$B,"")=0,"",_xlfn.XLOOKUP(AT86, AutoFill_classes!$A:$A, AutoFill_classes!$B:$B,""))</f>
        <v/>
      </c>
      <c r="AW86" s="108"/>
      <c r="AX86" s="13"/>
      <c r="AY86" s="13"/>
      <c r="AZ86" s="13"/>
      <c r="BA86" s="13"/>
      <c r="BB86" s="13"/>
      <c r="BC86" s="62"/>
      <c r="BD86" s="18"/>
      <c r="BE86" s="121" t="str">
        <f t="shared" si="63"/>
        <v/>
      </c>
      <c r="BF86" s="20"/>
      <c r="BG86" s="20"/>
      <c r="BH86" s="20"/>
      <c r="BI86" s="20"/>
      <c r="BJ86" s="125" t="str">
        <f t="shared" si="64"/>
        <v/>
      </c>
      <c r="BK86" s="14"/>
      <c r="BL86" s="125" t="str">
        <f t="shared" si="65"/>
        <v/>
      </c>
      <c r="BM86" s="20"/>
      <c r="BN86" s="20"/>
      <c r="BO86" s="125" t="str">
        <f t="shared" si="66"/>
        <v/>
      </c>
      <c r="BP86" s="14"/>
      <c r="BQ86" s="125" t="str">
        <f t="shared" si="67"/>
        <v/>
      </c>
      <c r="BR86" s="20"/>
      <c r="BS86" s="20"/>
      <c r="BT86" s="125" t="str">
        <f t="shared" si="68"/>
        <v/>
      </c>
      <c r="BU86" s="125" t="str">
        <f t="shared" si="69"/>
        <v/>
      </c>
      <c r="BV86" s="125" t="str">
        <f t="shared" si="70"/>
        <v/>
      </c>
      <c r="BW86" s="129" t="str">
        <f t="shared" si="71"/>
        <v/>
      </c>
      <c r="BX86" s="13"/>
      <c r="BY86" s="15"/>
      <c r="BZ86" s="14"/>
      <c r="CA86" s="117" t="str">
        <f>IF(_xlfn.XLOOKUP(BY86, AutoFill_classes!$A:$A, AutoFill_classes!$B:$B,"")=0,"",_xlfn.XLOOKUP(BY86, AutoFill_classes!$A:$A, AutoFill_classes!$B:$B,""))</f>
        <v/>
      </c>
      <c r="CB86" s="108"/>
      <c r="CC86" s="14"/>
      <c r="CD86" s="14"/>
      <c r="CE86" s="14"/>
      <c r="CF86" s="21"/>
      <c r="CG86" s="22"/>
      <c r="CH86" s="62"/>
      <c r="CI86" s="23"/>
      <c r="CJ86" s="121" t="str">
        <f t="shared" si="72"/>
        <v/>
      </c>
      <c r="CK86" s="20"/>
      <c r="CL86" s="20"/>
      <c r="CM86" s="20"/>
      <c r="CN86" s="20"/>
      <c r="CO86" s="125" t="str">
        <f t="shared" si="73"/>
        <v/>
      </c>
      <c r="CP86" s="14"/>
      <c r="CQ86" s="125" t="str">
        <f t="shared" si="74"/>
        <v/>
      </c>
      <c r="CR86" s="20"/>
      <c r="CS86" s="20"/>
      <c r="CT86" s="125" t="str">
        <f t="shared" si="75"/>
        <v/>
      </c>
      <c r="CU86" s="14"/>
      <c r="CV86" s="125" t="str">
        <f t="shared" si="76"/>
        <v/>
      </c>
      <c r="CW86" s="20"/>
      <c r="CX86" s="20"/>
      <c r="CY86" s="125" t="str">
        <f t="shared" si="77"/>
        <v/>
      </c>
      <c r="CZ86" s="125" t="str">
        <f t="shared" si="78"/>
        <v/>
      </c>
      <c r="DA86" s="125" t="str">
        <f t="shared" si="79"/>
        <v/>
      </c>
      <c r="DB86" s="129" t="str">
        <f t="shared" si="80"/>
        <v/>
      </c>
      <c r="DC86" s="14"/>
      <c r="DD86" s="62"/>
      <c r="DE86" s="105">
        <v>84</v>
      </c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</row>
    <row r="87" spans="1:176" s="1" customFormat="1" ht="13" hidden="1" customHeight="1" outlineLevel="1" x14ac:dyDescent="0.2">
      <c r="A87" s="4"/>
      <c r="B87" s="115" t="str">
        <f>IF(_xlfn.XLOOKUP(A87, AutoFill_names!B:B, AutoFill_names!C:C,"")=0,"",_xlfn.XLOOKUP(A87, AutoFill_names!B:B, AutoFill_names!C:C,""))</f>
        <v/>
      </c>
      <c r="C87" s="115" t="str">
        <f>IF(_xlfn.XLOOKUP(A87, AutoFill_names!B:B, AutoFill_names!D:D,"")=0,"",_xlfn.XLOOKUP(A87, AutoFill_names!B:B, AutoFill_names!D:D,""))</f>
        <v/>
      </c>
      <c r="D87" s="115" t="str">
        <f>IF(_xlfn.XLOOKUP(A87, AutoFill_names!B:B, AutoFill_names!E:E,"")=0,"",_xlfn.XLOOKUP(A87, AutoFill_names!B:B, AutoFill_names!E:E,""))</f>
        <v/>
      </c>
      <c r="E87" s="115" t="str">
        <f>IF(_xlfn.XLOOKUP(A87, AutoFill_names!B:B, AutoFill_names!F:F,"")=0,"",_xlfn.XLOOKUP(A87, AutoFill_names!B:B, AutoFill_names!F:F,""))</f>
        <v/>
      </c>
      <c r="F87" s="92"/>
      <c r="J87" s="115" t="str">
        <f>IF(_xlfn.XLOOKUP(A87, AutoFill_names!B:B, AutoFill_names!K:K,"")=0,"",_xlfn.XLOOKUP(A87, AutoFill_names!B:B, AutoFill_names!K:K,""))</f>
        <v/>
      </c>
      <c r="K87" s="115" t="str">
        <f>IF(_xlfn.XLOOKUP(A87, AutoFill_names!B:B, AutoFill_names!L:L,"")=0,"",_xlfn.XLOOKUP(A87, AutoFill_names!B:B, AutoFill_names!L:L,""))</f>
        <v/>
      </c>
      <c r="L87" s="31"/>
      <c r="M87" s="31"/>
      <c r="N87" s="117" t="str">
        <f>IF(_xlfn.XLOOKUP(L87, AutoFill_classes!A:A, AutoFill_classes!B:B,"")=0,"",_xlfn.XLOOKUP(L87, AutoFill_classes!A:A, AutoFill_classes!B:B,""))</f>
        <v/>
      </c>
      <c r="O87" s="108"/>
      <c r="P87" s="6"/>
      <c r="Q87" s="6"/>
      <c r="R87" s="6"/>
      <c r="X87" s="62"/>
      <c r="Y87" s="18"/>
      <c r="Z87" s="121" t="str">
        <f t="shared" si="54"/>
        <v/>
      </c>
      <c r="AA87" s="20"/>
      <c r="AB87" s="20"/>
      <c r="AC87" s="20"/>
      <c r="AD87" s="20"/>
      <c r="AE87" s="125" t="str">
        <f t="shared" si="55"/>
        <v/>
      </c>
      <c r="AF87" s="14"/>
      <c r="AG87" s="125" t="str">
        <f t="shared" si="56"/>
        <v/>
      </c>
      <c r="AH87" s="20"/>
      <c r="AI87" s="20"/>
      <c r="AJ87" s="125" t="str">
        <f t="shared" si="57"/>
        <v/>
      </c>
      <c r="AK87" s="14"/>
      <c r="AL87" s="125" t="str">
        <f t="shared" si="58"/>
        <v/>
      </c>
      <c r="AM87" s="20"/>
      <c r="AN87" s="20"/>
      <c r="AO87" s="125" t="str">
        <f t="shared" si="59"/>
        <v/>
      </c>
      <c r="AP87" s="125" t="str">
        <f t="shared" si="60"/>
        <v/>
      </c>
      <c r="AQ87" s="125" t="str">
        <f t="shared" si="61"/>
        <v/>
      </c>
      <c r="AR87" s="129" t="str">
        <f t="shared" si="62"/>
        <v/>
      </c>
      <c r="AS87" s="14"/>
      <c r="AT87" s="13"/>
      <c r="AU87" s="13"/>
      <c r="AV87" s="117" t="str">
        <f>IF(_xlfn.XLOOKUP(AT87, AutoFill_classes!$A:$A, AutoFill_classes!$B:$B,"")=0,"",_xlfn.XLOOKUP(AT87, AutoFill_classes!$A:$A, AutoFill_classes!$B:$B,""))</f>
        <v/>
      </c>
      <c r="AW87" s="108"/>
      <c r="AX87" s="13"/>
      <c r="AY87" s="13"/>
      <c r="AZ87" s="13"/>
      <c r="BA87" s="13"/>
      <c r="BB87" s="13"/>
      <c r="BC87" s="62"/>
      <c r="BD87" s="18"/>
      <c r="BE87" s="121" t="str">
        <f t="shared" si="63"/>
        <v/>
      </c>
      <c r="BF87" s="20"/>
      <c r="BG87" s="20"/>
      <c r="BH87" s="20"/>
      <c r="BI87" s="20"/>
      <c r="BJ87" s="125" t="str">
        <f t="shared" si="64"/>
        <v/>
      </c>
      <c r="BK87" s="14"/>
      <c r="BL87" s="125" t="str">
        <f t="shared" si="65"/>
        <v/>
      </c>
      <c r="BM87" s="20"/>
      <c r="BN87" s="20"/>
      <c r="BO87" s="125" t="str">
        <f t="shared" si="66"/>
        <v/>
      </c>
      <c r="BP87" s="14"/>
      <c r="BQ87" s="125" t="str">
        <f t="shared" si="67"/>
        <v/>
      </c>
      <c r="BR87" s="20"/>
      <c r="BS87" s="20"/>
      <c r="BT87" s="125" t="str">
        <f t="shared" si="68"/>
        <v/>
      </c>
      <c r="BU87" s="125" t="str">
        <f t="shared" si="69"/>
        <v/>
      </c>
      <c r="BV87" s="125" t="str">
        <f t="shared" si="70"/>
        <v/>
      </c>
      <c r="BW87" s="129" t="str">
        <f t="shared" si="71"/>
        <v/>
      </c>
      <c r="BX87" s="13"/>
      <c r="BY87" s="15"/>
      <c r="BZ87" s="14"/>
      <c r="CA87" s="117" t="str">
        <f>IF(_xlfn.XLOOKUP(BY87, AutoFill_classes!$A:$A, AutoFill_classes!$B:$B,"")=0,"",_xlfn.XLOOKUP(BY87, AutoFill_classes!$A:$A, AutoFill_classes!$B:$B,""))</f>
        <v/>
      </c>
      <c r="CB87" s="108"/>
      <c r="CC87" s="14"/>
      <c r="CD87" s="14"/>
      <c r="CE87" s="14"/>
      <c r="CF87" s="21"/>
      <c r="CG87" s="22"/>
      <c r="CH87" s="62"/>
      <c r="CI87" s="23"/>
      <c r="CJ87" s="121" t="str">
        <f t="shared" si="72"/>
        <v/>
      </c>
      <c r="CK87" s="20"/>
      <c r="CL87" s="20"/>
      <c r="CM87" s="20"/>
      <c r="CN87" s="20"/>
      <c r="CO87" s="125" t="str">
        <f t="shared" si="73"/>
        <v/>
      </c>
      <c r="CP87" s="14"/>
      <c r="CQ87" s="125" t="str">
        <f t="shared" si="74"/>
        <v/>
      </c>
      <c r="CR87" s="20"/>
      <c r="CS87" s="20"/>
      <c r="CT87" s="125" t="str">
        <f t="shared" si="75"/>
        <v/>
      </c>
      <c r="CU87" s="14"/>
      <c r="CV87" s="125" t="str">
        <f t="shared" si="76"/>
        <v/>
      </c>
      <c r="CW87" s="20"/>
      <c r="CX87" s="20"/>
      <c r="CY87" s="125" t="str">
        <f t="shared" si="77"/>
        <v/>
      </c>
      <c r="CZ87" s="125" t="str">
        <f t="shared" si="78"/>
        <v/>
      </c>
      <c r="DA87" s="125" t="str">
        <f t="shared" si="79"/>
        <v/>
      </c>
      <c r="DB87" s="129" t="str">
        <f t="shared" si="80"/>
        <v/>
      </c>
      <c r="DC87" s="14"/>
      <c r="DD87" s="62"/>
      <c r="DE87" s="105">
        <v>85</v>
      </c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spans="1:176" s="1" customFormat="1" ht="13" hidden="1" customHeight="1" outlineLevel="1" x14ac:dyDescent="0.2">
      <c r="A88" s="4"/>
      <c r="B88" s="115" t="str">
        <f>IF(_xlfn.XLOOKUP(A88, AutoFill_names!B:B, AutoFill_names!C:C,"")=0,"",_xlfn.XLOOKUP(A88, AutoFill_names!B:B, AutoFill_names!C:C,""))</f>
        <v/>
      </c>
      <c r="C88" s="115" t="str">
        <f>IF(_xlfn.XLOOKUP(A88, AutoFill_names!B:B, AutoFill_names!D:D,"")=0,"",_xlfn.XLOOKUP(A88, AutoFill_names!B:B, AutoFill_names!D:D,""))</f>
        <v/>
      </c>
      <c r="D88" s="115" t="str">
        <f>IF(_xlfn.XLOOKUP(A88, AutoFill_names!B:B, AutoFill_names!E:E,"")=0,"",_xlfn.XLOOKUP(A88, AutoFill_names!B:B, AutoFill_names!E:E,""))</f>
        <v/>
      </c>
      <c r="E88" s="115" t="str">
        <f>IF(_xlfn.XLOOKUP(A88, AutoFill_names!B:B, AutoFill_names!F:F,"")=0,"",_xlfn.XLOOKUP(A88, AutoFill_names!B:B, AutoFill_names!F:F,""))</f>
        <v/>
      </c>
      <c r="F88" s="92"/>
      <c r="J88" s="115" t="str">
        <f>IF(_xlfn.XLOOKUP(A88, AutoFill_names!B:B, AutoFill_names!K:K,"")=0,"",_xlfn.XLOOKUP(A88, AutoFill_names!B:B, AutoFill_names!K:K,""))</f>
        <v/>
      </c>
      <c r="K88" s="115" t="str">
        <f>IF(_xlfn.XLOOKUP(A88, AutoFill_names!B:B, AutoFill_names!L:L,"")=0,"",_xlfn.XLOOKUP(A88, AutoFill_names!B:B, AutoFill_names!L:L,""))</f>
        <v/>
      </c>
      <c r="L88" s="31"/>
      <c r="M88" s="31"/>
      <c r="N88" s="117" t="str">
        <f>IF(_xlfn.XLOOKUP(L88, AutoFill_classes!A:A, AutoFill_classes!B:B,"")=0,"",_xlfn.XLOOKUP(L88, AutoFill_classes!A:A, AutoFill_classes!B:B,""))</f>
        <v/>
      </c>
      <c r="O88" s="108"/>
      <c r="P88" s="6"/>
      <c r="Q88" s="6"/>
      <c r="R88" s="6"/>
      <c r="X88" s="62"/>
      <c r="Y88" s="18"/>
      <c r="Z88" s="121" t="str">
        <f t="shared" si="54"/>
        <v/>
      </c>
      <c r="AA88" s="20"/>
      <c r="AB88" s="20"/>
      <c r="AC88" s="20"/>
      <c r="AD88" s="20"/>
      <c r="AE88" s="125" t="str">
        <f t="shared" si="55"/>
        <v/>
      </c>
      <c r="AF88" s="14"/>
      <c r="AG88" s="125" t="str">
        <f t="shared" si="56"/>
        <v/>
      </c>
      <c r="AH88" s="20"/>
      <c r="AI88" s="20"/>
      <c r="AJ88" s="125" t="str">
        <f t="shared" si="57"/>
        <v/>
      </c>
      <c r="AK88" s="14"/>
      <c r="AL88" s="125" t="str">
        <f t="shared" si="58"/>
        <v/>
      </c>
      <c r="AM88" s="20"/>
      <c r="AN88" s="20"/>
      <c r="AO88" s="125" t="str">
        <f t="shared" si="59"/>
        <v/>
      </c>
      <c r="AP88" s="125" t="str">
        <f t="shared" si="60"/>
        <v/>
      </c>
      <c r="AQ88" s="125" t="str">
        <f t="shared" si="61"/>
        <v/>
      </c>
      <c r="AR88" s="129" t="str">
        <f t="shared" si="62"/>
        <v/>
      </c>
      <c r="AS88" s="14"/>
      <c r="AT88" s="13"/>
      <c r="AU88" s="13"/>
      <c r="AV88" s="117" t="str">
        <f>IF(_xlfn.XLOOKUP(AT88, AutoFill_classes!$A:$A, AutoFill_classes!$B:$B,"")=0,"",_xlfn.XLOOKUP(AT88, AutoFill_classes!$A:$A, AutoFill_classes!$B:$B,""))</f>
        <v/>
      </c>
      <c r="AW88" s="108"/>
      <c r="AX88" s="13"/>
      <c r="AY88" s="13"/>
      <c r="AZ88" s="13"/>
      <c r="BA88" s="13"/>
      <c r="BB88" s="13"/>
      <c r="BC88" s="62"/>
      <c r="BD88" s="18"/>
      <c r="BE88" s="121" t="str">
        <f t="shared" si="63"/>
        <v/>
      </c>
      <c r="BF88" s="20"/>
      <c r="BG88" s="20"/>
      <c r="BH88" s="20"/>
      <c r="BI88" s="20"/>
      <c r="BJ88" s="125" t="str">
        <f t="shared" si="64"/>
        <v/>
      </c>
      <c r="BK88" s="14"/>
      <c r="BL88" s="125" t="str">
        <f t="shared" si="65"/>
        <v/>
      </c>
      <c r="BM88" s="20"/>
      <c r="BN88" s="20"/>
      <c r="BO88" s="125" t="str">
        <f t="shared" si="66"/>
        <v/>
      </c>
      <c r="BP88" s="14"/>
      <c r="BQ88" s="125" t="str">
        <f t="shared" si="67"/>
        <v/>
      </c>
      <c r="BR88" s="20"/>
      <c r="BS88" s="20"/>
      <c r="BT88" s="125" t="str">
        <f t="shared" si="68"/>
        <v/>
      </c>
      <c r="BU88" s="125" t="str">
        <f t="shared" si="69"/>
        <v/>
      </c>
      <c r="BV88" s="125" t="str">
        <f t="shared" si="70"/>
        <v/>
      </c>
      <c r="BW88" s="129" t="str">
        <f t="shared" si="71"/>
        <v/>
      </c>
      <c r="BX88" s="13"/>
      <c r="BY88" s="15"/>
      <c r="BZ88" s="14"/>
      <c r="CA88" s="117" t="str">
        <f>IF(_xlfn.XLOOKUP(BY88, AutoFill_classes!$A:$A, AutoFill_classes!$B:$B,"")=0,"",_xlfn.XLOOKUP(BY88, AutoFill_classes!$A:$A, AutoFill_classes!$B:$B,""))</f>
        <v/>
      </c>
      <c r="CB88" s="108"/>
      <c r="CC88" s="14"/>
      <c r="CD88" s="14"/>
      <c r="CE88" s="14"/>
      <c r="CF88" s="21"/>
      <c r="CG88" s="22"/>
      <c r="CH88" s="62"/>
      <c r="CI88" s="23"/>
      <c r="CJ88" s="121" t="str">
        <f t="shared" si="72"/>
        <v/>
      </c>
      <c r="CK88" s="20"/>
      <c r="CL88" s="20"/>
      <c r="CM88" s="20"/>
      <c r="CN88" s="20"/>
      <c r="CO88" s="125" t="str">
        <f t="shared" si="73"/>
        <v/>
      </c>
      <c r="CP88" s="14"/>
      <c r="CQ88" s="125" t="str">
        <f t="shared" si="74"/>
        <v/>
      </c>
      <c r="CR88" s="20"/>
      <c r="CS88" s="20"/>
      <c r="CT88" s="125" t="str">
        <f t="shared" si="75"/>
        <v/>
      </c>
      <c r="CU88" s="14"/>
      <c r="CV88" s="125" t="str">
        <f t="shared" si="76"/>
        <v/>
      </c>
      <c r="CW88" s="20"/>
      <c r="CX88" s="20"/>
      <c r="CY88" s="125" t="str">
        <f t="shared" si="77"/>
        <v/>
      </c>
      <c r="CZ88" s="125" t="str">
        <f t="shared" si="78"/>
        <v/>
      </c>
      <c r="DA88" s="125" t="str">
        <f t="shared" si="79"/>
        <v/>
      </c>
      <c r="DB88" s="129" t="str">
        <f t="shared" si="80"/>
        <v/>
      </c>
      <c r="DC88" s="14"/>
      <c r="DD88" s="62"/>
      <c r="DE88" s="105">
        <v>86</v>
      </c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spans="1:176" s="1" customFormat="1" ht="13" hidden="1" customHeight="1" outlineLevel="1" x14ac:dyDescent="0.2">
      <c r="A89" s="4"/>
      <c r="B89" s="115" t="str">
        <f>IF(_xlfn.XLOOKUP(A89, AutoFill_names!B:B, AutoFill_names!C:C,"")=0,"",_xlfn.XLOOKUP(A89, AutoFill_names!B:B, AutoFill_names!C:C,""))</f>
        <v/>
      </c>
      <c r="C89" s="115" t="str">
        <f>IF(_xlfn.XLOOKUP(A89, AutoFill_names!B:B, AutoFill_names!D:D,"")=0,"",_xlfn.XLOOKUP(A89, AutoFill_names!B:B, AutoFill_names!D:D,""))</f>
        <v/>
      </c>
      <c r="D89" s="115" t="str">
        <f>IF(_xlfn.XLOOKUP(A89, AutoFill_names!B:B, AutoFill_names!E:E,"")=0,"",_xlfn.XLOOKUP(A89, AutoFill_names!B:B, AutoFill_names!E:E,""))</f>
        <v/>
      </c>
      <c r="E89" s="115" t="str">
        <f>IF(_xlfn.XLOOKUP(A89, AutoFill_names!B:B, AutoFill_names!F:F,"")=0,"",_xlfn.XLOOKUP(A89, AutoFill_names!B:B, AutoFill_names!F:F,""))</f>
        <v/>
      </c>
      <c r="F89" s="92"/>
      <c r="J89" s="115" t="str">
        <f>IF(_xlfn.XLOOKUP(A89, AutoFill_names!B:B, AutoFill_names!K:K,"")=0,"",_xlfn.XLOOKUP(A89, AutoFill_names!B:B, AutoFill_names!K:K,""))</f>
        <v/>
      </c>
      <c r="K89" s="115" t="str">
        <f>IF(_xlfn.XLOOKUP(A89, AutoFill_names!B:B, AutoFill_names!L:L,"")=0,"",_xlfn.XLOOKUP(A89, AutoFill_names!B:B, AutoFill_names!L:L,""))</f>
        <v/>
      </c>
      <c r="L89" s="31"/>
      <c r="M89" s="31"/>
      <c r="N89" s="117" t="str">
        <f>IF(_xlfn.XLOOKUP(L89, AutoFill_classes!A:A, AutoFill_classes!B:B,"")=0,"",_xlfn.XLOOKUP(L89, AutoFill_classes!A:A, AutoFill_classes!B:B,""))</f>
        <v/>
      </c>
      <c r="O89" s="108"/>
      <c r="P89" s="6"/>
      <c r="Q89" s="6"/>
      <c r="R89" s="6"/>
      <c r="X89" s="62"/>
      <c r="Y89" s="18"/>
      <c r="Z89" s="121" t="str">
        <f t="shared" si="54"/>
        <v/>
      </c>
      <c r="AA89" s="20"/>
      <c r="AB89" s="20"/>
      <c r="AC89" s="20"/>
      <c r="AD89" s="20"/>
      <c r="AE89" s="125" t="str">
        <f t="shared" si="55"/>
        <v/>
      </c>
      <c r="AF89" s="14"/>
      <c r="AG89" s="125" t="str">
        <f t="shared" si="56"/>
        <v/>
      </c>
      <c r="AH89" s="20"/>
      <c r="AI89" s="20"/>
      <c r="AJ89" s="125" t="str">
        <f t="shared" si="57"/>
        <v/>
      </c>
      <c r="AK89" s="14"/>
      <c r="AL89" s="125" t="str">
        <f t="shared" si="58"/>
        <v/>
      </c>
      <c r="AM89" s="20"/>
      <c r="AN89" s="20"/>
      <c r="AO89" s="125" t="str">
        <f t="shared" si="59"/>
        <v/>
      </c>
      <c r="AP89" s="125" t="str">
        <f t="shared" si="60"/>
        <v/>
      </c>
      <c r="AQ89" s="125" t="str">
        <f t="shared" si="61"/>
        <v/>
      </c>
      <c r="AR89" s="129" t="str">
        <f t="shared" si="62"/>
        <v/>
      </c>
      <c r="AS89" s="14"/>
      <c r="AT89" s="13"/>
      <c r="AU89" s="13"/>
      <c r="AV89" s="117" t="str">
        <f>IF(_xlfn.XLOOKUP(AT89, AutoFill_classes!$A:$A, AutoFill_classes!$B:$B,"")=0,"",_xlfn.XLOOKUP(AT89, AutoFill_classes!$A:$A, AutoFill_classes!$B:$B,""))</f>
        <v/>
      </c>
      <c r="AW89" s="108"/>
      <c r="AX89" s="13"/>
      <c r="AY89" s="13"/>
      <c r="AZ89" s="13"/>
      <c r="BA89" s="13"/>
      <c r="BB89" s="13"/>
      <c r="BC89" s="62"/>
      <c r="BD89" s="18"/>
      <c r="BE89" s="121" t="str">
        <f t="shared" si="63"/>
        <v/>
      </c>
      <c r="BF89" s="20"/>
      <c r="BG89" s="20"/>
      <c r="BH89" s="20"/>
      <c r="BI89" s="20"/>
      <c r="BJ89" s="125" t="str">
        <f t="shared" si="64"/>
        <v/>
      </c>
      <c r="BK89" s="14"/>
      <c r="BL89" s="125" t="str">
        <f t="shared" si="65"/>
        <v/>
      </c>
      <c r="BM89" s="20"/>
      <c r="BN89" s="20"/>
      <c r="BO89" s="125" t="str">
        <f t="shared" si="66"/>
        <v/>
      </c>
      <c r="BP89" s="14"/>
      <c r="BQ89" s="125" t="str">
        <f t="shared" si="67"/>
        <v/>
      </c>
      <c r="BR89" s="20"/>
      <c r="BS89" s="20"/>
      <c r="BT89" s="125" t="str">
        <f t="shared" si="68"/>
        <v/>
      </c>
      <c r="BU89" s="125" t="str">
        <f t="shared" si="69"/>
        <v/>
      </c>
      <c r="BV89" s="125" t="str">
        <f t="shared" si="70"/>
        <v/>
      </c>
      <c r="BW89" s="129" t="str">
        <f t="shared" si="71"/>
        <v/>
      </c>
      <c r="BX89" s="13"/>
      <c r="BY89" s="15"/>
      <c r="BZ89" s="14"/>
      <c r="CA89" s="117" t="str">
        <f>IF(_xlfn.XLOOKUP(BY89, AutoFill_classes!$A:$A, AutoFill_classes!$B:$B,"")=0,"",_xlfn.XLOOKUP(BY89, AutoFill_classes!$A:$A, AutoFill_classes!$B:$B,""))</f>
        <v/>
      </c>
      <c r="CB89" s="108"/>
      <c r="CC89" s="14"/>
      <c r="CD89" s="14"/>
      <c r="CE89" s="14"/>
      <c r="CF89" s="21"/>
      <c r="CG89" s="22"/>
      <c r="CH89" s="62"/>
      <c r="CI89" s="23"/>
      <c r="CJ89" s="121" t="str">
        <f t="shared" si="72"/>
        <v/>
      </c>
      <c r="CK89" s="20"/>
      <c r="CL89" s="20"/>
      <c r="CM89" s="20"/>
      <c r="CN89" s="20"/>
      <c r="CO89" s="125" t="str">
        <f t="shared" si="73"/>
        <v/>
      </c>
      <c r="CP89" s="14"/>
      <c r="CQ89" s="125" t="str">
        <f t="shared" si="74"/>
        <v/>
      </c>
      <c r="CR89" s="20"/>
      <c r="CS89" s="20"/>
      <c r="CT89" s="125" t="str">
        <f t="shared" si="75"/>
        <v/>
      </c>
      <c r="CU89" s="14"/>
      <c r="CV89" s="125" t="str">
        <f t="shared" si="76"/>
        <v/>
      </c>
      <c r="CW89" s="20"/>
      <c r="CX89" s="20"/>
      <c r="CY89" s="125" t="str">
        <f t="shared" si="77"/>
        <v/>
      </c>
      <c r="CZ89" s="125" t="str">
        <f t="shared" si="78"/>
        <v/>
      </c>
      <c r="DA89" s="125" t="str">
        <f t="shared" si="79"/>
        <v/>
      </c>
      <c r="DB89" s="129" t="str">
        <f t="shared" si="80"/>
        <v/>
      </c>
      <c r="DC89" s="14"/>
      <c r="DD89" s="62"/>
      <c r="DE89" s="105">
        <v>87</v>
      </c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spans="1:176" s="1" customFormat="1" ht="13" hidden="1" customHeight="1" outlineLevel="1" x14ac:dyDescent="0.2">
      <c r="A90" s="4"/>
      <c r="B90" s="115" t="str">
        <f>IF(_xlfn.XLOOKUP(A90, AutoFill_names!B:B, AutoFill_names!C:C,"")=0,"",_xlfn.XLOOKUP(A90, AutoFill_names!B:B, AutoFill_names!C:C,""))</f>
        <v/>
      </c>
      <c r="C90" s="115" t="str">
        <f>IF(_xlfn.XLOOKUP(A90, AutoFill_names!B:B, AutoFill_names!D:D,"")=0,"",_xlfn.XLOOKUP(A90, AutoFill_names!B:B, AutoFill_names!D:D,""))</f>
        <v/>
      </c>
      <c r="D90" s="115" t="str">
        <f>IF(_xlfn.XLOOKUP(A90, AutoFill_names!B:B, AutoFill_names!E:E,"")=0,"",_xlfn.XLOOKUP(A90, AutoFill_names!B:B, AutoFill_names!E:E,""))</f>
        <v/>
      </c>
      <c r="E90" s="115" t="str">
        <f>IF(_xlfn.XLOOKUP(A90, AutoFill_names!B:B, AutoFill_names!F:F,"")=0,"",_xlfn.XLOOKUP(A90, AutoFill_names!B:B, AutoFill_names!F:F,""))</f>
        <v/>
      </c>
      <c r="F90" s="92"/>
      <c r="J90" s="115" t="str">
        <f>IF(_xlfn.XLOOKUP(A90, AutoFill_names!B:B, AutoFill_names!K:K,"")=0,"",_xlfn.XLOOKUP(A90, AutoFill_names!B:B, AutoFill_names!K:K,""))</f>
        <v/>
      </c>
      <c r="K90" s="115" t="str">
        <f>IF(_xlfn.XLOOKUP(A90, AutoFill_names!B:B, AutoFill_names!L:L,"")=0,"",_xlfn.XLOOKUP(A90, AutoFill_names!B:B, AutoFill_names!L:L,""))</f>
        <v/>
      </c>
      <c r="L90" s="31"/>
      <c r="M90" s="31"/>
      <c r="N90" s="117" t="str">
        <f>IF(_xlfn.XLOOKUP(L90, AutoFill_classes!A:A, AutoFill_classes!B:B,"")=0,"",_xlfn.XLOOKUP(L90, AutoFill_classes!A:A, AutoFill_classes!B:B,""))</f>
        <v/>
      </c>
      <c r="O90" s="108"/>
      <c r="P90" s="6"/>
      <c r="Q90" s="6"/>
      <c r="R90" s="6"/>
      <c r="X90" s="62"/>
      <c r="Y90" s="18"/>
      <c r="Z90" s="121" t="str">
        <f t="shared" si="54"/>
        <v/>
      </c>
      <c r="AA90" s="20"/>
      <c r="AB90" s="20"/>
      <c r="AC90" s="20"/>
      <c r="AD90" s="20"/>
      <c r="AE90" s="125" t="str">
        <f t="shared" si="55"/>
        <v/>
      </c>
      <c r="AF90" s="14"/>
      <c r="AG90" s="125" t="str">
        <f t="shared" si="56"/>
        <v/>
      </c>
      <c r="AH90" s="20"/>
      <c r="AI90" s="20"/>
      <c r="AJ90" s="125" t="str">
        <f t="shared" si="57"/>
        <v/>
      </c>
      <c r="AK90" s="14"/>
      <c r="AL90" s="125" t="str">
        <f t="shared" si="58"/>
        <v/>
      </c>
      <c r="AM90" s="20"/>
      <c r="AN90" s="20"/>
      <c r="AO90" s="125" t="str">
        <f t="shared" si="59"/>
        <v/>
      </c>
      <c r="AP90" s="125" t="str">
        <f t="shared" si="60"/>
        <v/>
      </c>
      <c r="AQ90" s="125" t="str">
        <f t="shared" si="61"/>
        <v/>
      </c>
      <c r="AR90" s="129" t="str">
        <f t="shared" si="62"/>
        <v/>
      </c>
      <c r="AS90" s="14"/>
      <c r="AT90" s="13"/>
      <c r="AU90" s="13"/>
      <c r="AV90" s="117" t="str">
        <f>IF(_xlfn.XLOOKUP(AT90, AutoFill_classes!$A:$A, AutoFill_classes!$B:$B,"")=0,"",_xlfn.XLOOKUP(AT90, AutoFill_classes!$A:$A, AutoFill_classes!$B:$B,""))</f>
        <v/>
      </c>
      <c r="AW90" s="108"/>
      <c r="AX90" s="13"/>
      <c r="AY90" s="13"/>
      <c r="AZ90" s="13"/>
      <c r="BA90" s="13"/>
      <c r="BB90" s="13"/>
      <c r="BC90" s="62"/>
      <c r="BD90" s="18"/>
      <c r="BE90" s="121" t="str">
        <f t="shared" si="63"/>
        <v/>
      </c>
      <c r="BF90" s="20"/>
      <c r="BG90" s="20"/>
      <c r="BH90" s="20"/>
      <c r="BI90" s="20"/>
      <c r="BJ90" s="125" t="str">
        <f t="shared" si="64"/>
        <v/>
      </c>
      <c r="BK90" s="14"/>
      <c r="BL90" s="125" t="str">
        <f t="shared" si="65"/>
        <v/>
      </c>
      <c r="BM90" s="20"/>
      <c r="BN90" s="20"/>
      <c r="BO90" s="125" t="str">
        <f t="shared" si="66"/>
        <v/>
      </c>
      <c r="BP90" s="14"/>
      <c r="BQ90" s="125" t="str">
        <f t="shared" si="67"/>
        <v/>
      </c>
      <c r="BR90" s="20"/>
      <c r="BS90" s="20"/>
      <c r="BT90" s="125" t="str">
        <f t="shared" si="68"/>
        <v/>
      </c>
      <c r="BU90" s="125" t="str">
        <f t="shared" si="69"/>
        <v/>
      </c>
      <c r="BV90" s="125" t="str">
        <f t="shared" si="70"/>
        <v/>
      </c>
      <c r="BW90" s="129" t="str">
        <f t="shared" si="71"/>
        <v/>
      </c>
      <c r="BX90" s="13"/>
      <c r="BY90" s="15"/>
      <c r="BZ90" s="14"/>
      <c r="CA90" s="117" t="str">
        <f>IF(_xlfn.XLOOKUP(BY90, AutoFill_classes!$A:$A, AutoFill_classes!$B:$B,"")=0,"",_xlfn.XLOOKUP(BY90, AutoFill_classes!$A:$A, AutoFill_classes!$B:$B,""))</f>
        <v/>
      </c>
      <c r="CB90" s="108"/>
      <c r="CC90" s="14"/>
      <c r="CD90" s="14"/>
      <c r="CE90" s="14"/>
      <c r="CF90" s="21"/>
      <c r="CG90" s="22"/>
      <c r="CH90" s="62"/>
      <c r="CI90" s="23"/>
      <c r="CJ90" s="121" t="str">
        <f t="shared" si="72"/>
        <v/>
      </c>
      <c r="CK90" s="20"/>
      <c r="CL90" s="20"/>
      <c r="CM90" s="20"/>
      <c r="CN90" s="20"/>
      <c r="CO90" s="125" t="str">
        <f t="shared" si="73"/>
        <v/>
      </c>
      <c r="CP90" s="14"/>
      <c r="CQ90" s="125" t="str">
        <f t="shared" si="74"/>
        <v/>
      </c>
      <c r="CR90" s="20"/>
      <c r="CS90" s="20"/>
      <c r="CT90" s="125" t="str">
        <f t="shared" si="75"/>
        <v/>
      </c>
      <c r="CU90" s="14"/>
      <c r="CV90" s="125" t="str">
        <f t="shared" si="76"/>
        <v/>
      </c>
      <c r="CW90" s="20"/>
      <c r="CX90" s="20"/>
      <c r="CY90" s="125" t="str">
        <f t="shared" si="77"/>
        <v/>
      </c>
      <c r="CZ90" s="125" t="str">
        <f t="shared" si="78"/>
        <v/>
      </c>
      <c r="DA90" s="125" t="str">
        <f t="shared" si="79"/>
        <v/>
      </c>
      <c r="DB90" s="129" t="str">
        <f t="shared" si="80"/>
        <v/>
      </c>
      <c r="DC90" s="14"/>
      <c r="DD90" s="62"/>
      <c r="DE90" s="105">
        <v>88</v>
      </c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spans="1:176" s="1" customFormat="1" ht="13" hidden="1" customHeight="1" outlineLevel="1" x14ac:dyDescent="0.2">
      <c r="A91" s="4"/>
      <c r="B91" s="115" t="str">
        <f>IF(_xlfn.XLOOKUP(A91, AutoFill_names!B:B, AutoFill_names!C:C,"")=0,"",_xlfn.XLOOKUP(A91, AutoFill_names!B:B, AutoFill_names!C:C,""))</f>
        <v/>
      </c>
      <c r="C91" s="115" t="str">
        <f>IF(_xlfn.XLOOKUP(A91, AutoFill_names!B:B, AutoFill_names!D:D,"")=0,"",_xlfn.XLOOKUP(A91, AutoFill_names!B:B, AutoFill_names!D:D,""))</f>
        <v/>
      </c>
      <c r="D91" s="115" t="str">
        <f>IF(_xlfn.XLOOKUP(A91, AutoFill_names!B:B, AutoFill_names!E:E,"")=0,"",_xlfn.XLOOKUP(A91, AutoFill_names!B:B, AutoFill_names!E:E,""))</f>
        <v/>
      </c>
      <c r="E91" s="115" t="str">
        <f>IF(_xlfn.XLOOKUP(A91, AutoFill_names!B:B, AutoFill_names!F:F,"")=0,"",_xlfn.XLOOKUP(A91, AutoFill_names!B:B, AutoFill_names!F:F,""))</f>
        <v/>
      </c>
      <c r="F91" s="92"/>
      <c r="J91" s="115" t="str">
        <f>IF(_xlfn.XLOOKUP(A91, AutoFill_names!B:B, AutoFill_names!K:K,"")=0,"",_xlfn.XLOOKUP(A91, AutoFill_names!B:B, AutoFill_names!K:K,""))</f>
        <v/>
      </c>
      <c r="K91" s="115" t="str">
        <f>IF(_xlfn.XLOOKUP(A91, AutoFill_names!B:B, AutoFill_names!L:L,"")=0,"",_xlfn.XLOOKUP(A91, AutoFill_names!B:B, AutoFill_names!L:L,""))</f>
        <v/>
      </c>
      <c r="L91" s="31"/>
      <c r="M91" s="31"/>
      <c r="N91" s="117" t="str">
        <f>IF(_xlfn.XLOOKUP(L91, AutoFill_classes!A:A, AutoFill_classes!B:B,"")=0,"",_xlfn.XLOOKUP(L91, AutoFill_classes!A:A, AutoFill_classes!B:B,""))</f>
        <v/>
      </c>
      <c r="O91" s="108"/>
      <c r="P91" s="6"/>
      <c r="Q91" s="6"/>
      <c r="R91" s="6"/>
      <c r="X91" s="62"/>
      <c r="Y91" s="18"/>
      <c r="Z91" s="121" t="str">
        <f t="shared" si="54"/>
        <v/>
      </c>
      <c r="AA91" s="20"/>
      <c r="AB91" s="20"/>
      <c r="AC91" s="20"/>
      <c r="AD91" s="20"/>
      <c r="AE91" s="125" t="str">
        <f t="shared" si="55"/>
        <v/>
      </c>
      <c r="AF91" s="14"/>
      <c r="AG91" s="125" t="str">
        <f t="shared" si="56"/>
        <v/>
      </c>
      <c r="AH91" s="20"/>
      <c r="AI91" s="20"/>
      <c r="AJ91" s="125" t="str">
        <f t="shared" si="57"/>
        <v/>
      </c>
      <c r="AK91" s="14"/>
      <c r="AL91" s="125" t="str">
        <f t="shared" si="58"/>
        <v/>
      </c>
      <c r="AM91" s="20"/>
      <c r="AN91" s="20"/>
      <c r="AO91" s="125" t="str">
        <f t="shared" si="59"/>
        <v/>
      </c>
      <c r="AP91" s="125" t="str">
        <f t="shared" si="60"/>
        <v/>
      </c>
      <c r="AQ91" s="125" t="str">
        <f t="shared" si="61"/>
        <v/>
      </c>
      <c r="AR91" s="129" t="str">
        <f t="shared" si="62"/>
        <v/>
      </c>
      <c r="AS91" s="14"/>
      <c r="AT91" s="13"/>
      <c r="AU91" s="13"/>
      <c r="AV91" s="117" t="str">
        <f>IF(_xlfn.XLOOKUP(AT91, AutoFill_classes!$A:$A, AutoFill_classes!$B:$B,"")=0,"",_xlfn.XLOOKUP(AT91, AutoFill_classes!$A:$A, AutoFill_classes!$B:$B,""))</f>
        <v/>
      </c>
      <c r="AW91" s="108"/>
      <c r="AX91" s="13"/>
      <c r="AY91" s="13"/>
      <c r="AZ91" s="13"/>
      <c r="BA91" s="13"/>
      <c r="BB91" s="13"/>
      <c r="BC91" s="62"/>
      <c r="BD91" s="18"/>
      <c r="BE91" s="121" t="str">
        <f t="shared" si="63"/>
        <v/>
      </c>
      <c r="BF91" s="20"/>
      <c r="BG91" s="20"/>
      <c r="BH91" s="20"/>
      <c r="BI91" s="20"/>
      <c r="BJ91" s="125" t="str">
        <f t="shared" si="64"/>
        <v/>
      </c>
      <c r="BK91" s="14"/>
      <c r="BL91" s="125" t="str">
        <f t="shared" si="65"/>
        <v/>
      </c>
      <c r="BM91" s="20"/>
      <c r="BN91" s="20"/>
      <c r="BO91" s="125" t="str">
        <f t="shared" si="66"/>
        <v/>
      </c>
      <c r="BP91" s="14"/>
      <c r="BQ91" s="125" t="str">
        <f t="shared" si="67"/>
        <v/>
      </c>
      <c r="BR91" s="20"/>
      <c r="BS91" s="20"/>
      <c r="BT91" s="125" t="str">
        <f t="shared" si="68"/>
        <v/>
      </c>
      <c r="BU91" s="125" t="str">
        <f t="shared" si="69"/>
        <v/>
      </c>
      <c r="BV91" s="125" t="str">
        <f t="shared" si="70"/>
        <v/>
      </c>
      <c r="BW91" s="129" t="str">
        <f t="shared" si="71"/>
        <v/>
      </c>
      <c r="BX91" s="13"/>
      <c r="BY91" s="15"/>
      <c r="BZ91" s="14"/>
      <c r="CA91" s="117" t="str">
        <f>IF(_xlfn.XLOOKUP(BY91, AutoFill_classes!$A:$A, AutoFill_classes!$B:$B,"")=0,"",_xlfn.XLOOKUP(BY91, AutoFill_classes!$A:$A, AutoFill_classes!$B:$B,""))</f>
        <v/>
      </c>
      <c r="CB91" s="108"/>
      <c r="CC91" s="14"/>
      <c r="CD91" s="14"/>
      <c r="CE91" s="14"/>
      <c r="CF91" s="21"/>
      <c r="CG91" s="22"/>
      <c r="CH91" s="62"/>
      <c r="CI91" s="23"/>
      <c r="CJ91" s="121" t="str">
        <f t="shared" si="72"/>
        <v/>
      </c>
      <c r="CK91" s="20"/>
      <c r="CL91" s="20"/>
      <c r="CM91" s="20"/>
      <c r="CN91" s="20"/>
      <c r="CO91" s="125" t="str">
        <f t="shared" si="73"/>
        <v/>
      </c>
      <c r="CP91" s="14"/>
      <c r="CQ91" s="125" t="str">
        <f t="shared" si="74"/>
        <v/>
      </c>
      <c r="CR91" s="20"/>
      <c r="CS91" s="20"/>
      <c r="CT91" s="125" t="str">
        <f t="shared" si="75"/>
        <v/>
      </c>
      <c r="CU91" s="14"/>
      <c r="CV91" s="125" t="str">
        <f t="shared" si="76"/>
        <v/>
      </c>
      <c r="CW91" s="20"/>
      <c r="CX91" s="20"/>
      <c r="CY91" s="125" t="str">
        <f t="shared" si="77"/>
        <v/>
      </c>
      <c r="CZ91" s="125" t="str">
        <f t="shared" si="78"/>
        <v/>
      </c>
      <c r="DA91" s="125" t="str">
        <f t="shared" si="79"/>
        <v/>
      </c>
      <c r="DB91" s="129" t="str">
        <f t="shared" si="80"/>
        <v/>
      </c>
      <c r="DC91" s="14"/>
      <c r="DD91" s="62"/>
      <c r="DE91" s="105">
        <v>89</v>
      </c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spans="1:176" s="116" customFormat="1" ht="34" customHeight="1" collapsed="1" x14ac:dyDescent="0.2">
      <c r="A92" s="66" t="s">
        <v>2054</v>
      </c>
      <c r="B92" s="112" t="str">
        <f>"Total Credits: " &amp; IFERROR(IF(DD92=0,"",DD92),"")</f>
        <v>Total Credits: 6</v>
      </c>
      <c r="F92" s="138"/>
      <c r="P92" s="139"/>
      <c r="Q92" s="139"/>
      <c r="R92" s="139"/>
      <c r="V92" s="136"/>
      <c r="W92" s="136"/>
      <c r="X92" s="140" t="str">
        <f>IF(SUM(X93:X121)=0, "", SUM(X93:X121))</f>
        <v/>
      </c>
      <c r="Y92" s="123"/>
      <c r="Z92" s="123"/>
      <c r="AA92" s="141"/>
      <c r="AB92" s="141"/>
      <c r="AC92" s="141"/>
      <c r="AD92" s="141"/>
      <c r="AE92" s="124"/>
      <c r="AF92" s="124"/>
      <c r="AG92" s="124"/>
      <c r="AH92" s="141"/>
      <c r="AI92" s="141"/>
      <c r="AJ92" s="124"/>
      <c r="AK92" s="124"/>
      <c r="AL92" s="124"/>
      <c r="AM92" s="141"/>
      <c r="AN92" s="141"/>
      <c r="AO92" s="127"/>
      <c r="AP92" s="127"/>
      <c r="AQ92" s="127"/>
      <c r="AR92" s="127"/>
      <c r="AS92" s="127"/>
      <c r="AT92" s="134"/>
      <c r="AU92" s="134"/>
      <c r="AX92" s="134"/>
      <c r="AY92" s="134"/>
      <c r="AZ92" s="134"/>
      <c r="BA92" s="144"/>
      <c r="BB92" s="144"/>
      <c r="BC92" s="140">
        <f>IF(SUM(BC93:BC121)=0, "", SUM(BC93:BC121))</f>
        <v>6</v>
      </c>
      <c r="BD92" s="123"/>
      <c r="BE92" s="123"/>
      <c r="BF92" s="146"/>
      <c r="BG92" s="146"/>
      <c r="BH92" s="146"/>
      <c r="BI92" s="146"/>
      <c r="BJ92" s="134"/>
      <c r="BK92" s="134"/>
      <c r="BL92" s="134"/>
      <c r="BM92" s="146"/>
      <c r="BN92" s="146"/>
      <c r="BO92" s="134"/>
      <c r="BP92" s="134"/>
      <c r="BQ92" s="134"/>
      <c r="BR92" s="146"/>
      <c r="BS92" s="146"/>
      <c r="BT92" s="134"/>
      <c r="BU92" s="134"/>
      <c r="BV92" s="134"/>
      <c r="BW92" s="127"/>
      <c r="BX92" s="134"/>
      <c r="BY92" s="134"/>
      <c r="BZ92" s="134"/>
      <c r="CC92" s="134"/>
      <c r="CD92" s="134"/>
      <c r="CE92" s="134"/>
      <c r="CF92" s="136"/>
      <c r="CG92" s="120"/>
      <c r="CH92" s="140" t="str">
        <f>IF(SUM(CH93:CH121)=0, "", SUM(CH93:CH121))</f>
        <v/>
      </c>
      <c r="CI92" s="123"/>
      <c r="CJ92" s="123"/>
      <c r="CK92" s="146"/>
      <c r="CL92" s="146"/>
      <c r="CM92" s="146"/>
      <c r="CN92" s="146"/>
      <c r="CP92" s="134"/>
      <c r="CR92" s="146"/>
      <c r="CS92" s="146"/>
      <c r="CU92" s="134"/>
      <c r="CW92" s="146"/>
      <c r="CX92" s="146"/>
      <c r="DB92" s="127"/>
      <c r="DC92" s="134"/>
      <c r="DD92" s="140">
        <f>IF(SUM(L92:DC92)=0, "", SUM(L92:DC92))</f>
        <v>6</v>
      </c>
      <c r="DE92" s="105">
        <v>90</v>
      </c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</row>
    <row r="93" spans="1:176" s="1" customFormat="1" ht="13" hidden="1" customHeight="1" outlineLevel="1" x14ac:dyDescent="0.2">
      <c r="A93" s="4" t="s">
        <v>1067</v>
      </c>
      <c r="B93" s="115" t="str">
        <f>IF(_xlfn.XLOOKUP(A93, AutoFill_names!B:B, AutoFill_names!C:C,"")=0,"",_xlfn.XLOOKUP(A93, AutoFill_names!B:B, AutoFill_names!C:C,""))</f>
        <v>000116996</v>
      </c>
      <c r="C93" s="115" t="str">
        <f>IF(_xlfn.XLOOKUP(A93, AutoFill_names!B:B, AutoFill_names!D:D,"")=0,"",_xlfn.XLOOKUP(A93, AutoFill_names!B:B, AutoFill_names!D:D,""))</f>
        <v>jpeckham@andrews.edu</v>
      </c>
      <c r="D93" s="115" t="str">
        <f>IF(_xlfn.XLOOKUP(A93, AutoFill_names!B:B, AutoFill_names!E:E,"")=0,"",_xlfn.XLOOKUP(A93, AutoFill_names!B:B, AutoFill_names!E:E,""))</f>
        <v/>
      </c>
      <c r="E93" s="115" t="str">
        <f>IF(_xlfn.XLOOKUP(A93, AutoFill_names!B:B, AutoFill_names!F:F,"")=0,"",_xlfn.XLOOKUP(A93, AutoFill_names!B:B, AutoFill_names!F:F,""))</f>
        <v/>
      </c>
      <c r="F93" s="92"/>
      <c r="J93" s="115" t="str">
        <f>IF(_xlfn.XLOOKUP(A93, AutoFill_names!B:B, AutoFill_names!K:K,"")=0,"",_xlfn.XLOOKUP(A93, AutoFill_names!B:B, AutoFill_names!K:K,""))</f>
        <v>Jeroncic, Ante</v>
      </c>
      <c r="K93" s="115" t="str">
        <f>IF(_xlfn.XLOOKUP(A93, AutoFill_names!B:B, AutoFill_names!L:L,"")=0,"",_xlfn.XLOOKUP(A93, AutoFill_names!B:B, AutoFill_names!L:L,""))</f>
        <v>000066942</v>
      </c>
      <c r="L93" s="2"/>
      <c r="M93" s="2"/>
      <c r="N93" s="117" t="str">
        <f>IF(_xlfn.XLOOKUP(L93, AutoFill_classes!A:A, AutoFill_classes!B:B,"")=0,"",_xlfn.XLOOKUP(L93, AutoFill_classes!A:A, AutoFill_classes!B:B,""))</f>
        <v/>
      </c>
      <c r="O93" s="108"/>
      <c r="P93" s="6"/>
      <c r="Q93" s="6"/>
      <c r="R93" s="6"/>
      <c r="S93" s="2"/>
      <c r="T93" s="2"/>
      <c r="U93" s="2"/>
      <c r="X93" s="63"/>
      <c r="Y93" s="19"/>
      <c r="Z93" s="121" t="str">
        <f t="shared" ref="Z93:Z121" si="81">IF(X93*Y93=0,"",X93*Y93)</f>
        <v/>
      </c>
      <c r="AA93" s="20"/>
      <c r="AB93" s="20"/>
      <c r="AC93" s="20"/>
      <c r="AD93" s="20"/>
      <c r="AE93" s="125" t="str">
        <f t="shared" ref="AE93:AE121" si="82">IF(ROUNDUP((AD93-AC93)/7,0)=0,"",ROUNDUP((AD93-AC93)/7,0))</f>
        <v/>
      </c>
      <c r="AF93" s="14"/>
      <c r="AG93" s="125" t="str">
        <f t="shared" ref="AG93:AG121" si="83">IFERROR(IF(AE93*AF93=0,"",AE93*AF93), "")</f>
        <v/>
      </c>
      <c r="AH93" s="20"/>
      <c r="AI93" s="20"/>
      <c r="AJ93" s="125" t="str">
        <f t="shared" ref="AJ93:AJ121" si="84">IF(ROUNDUP((AI93-AH93)/7,0)=0,"",ROUNDUP((AI93-AH93)/7,0))</f>
        <v/>
      </c>
      <c r="AK93" s="14"/>
      <c r="AL93" s="125" t="str">
        <f t="shared" ref="AL93:AL121" si="85">IFERROR(IF(AJ93*AK93=0,"",AJ93*AK93), "")</f>
        <v/>
      </c>
      <c r="AM93" s="20"/>
      <c r="AN93" s="20"/>
      <c r="AO93" s="125" t="str">
        <f t="shared" ref="AO93:AO121" si="86">IF(ROUNDUP((AN93-AM93)/7,0)=0,"",ROUNDUP((AN93-AM93)/7,0))</f>
        <v/>
      </c>
      <c r="AP93" s="125" t="str">
        <f t="shared" ref="AP93:AP121" si="87">IFERROR(IF((AS93-(AF93+AK93))/AO93=0,"",ROUNDUP((AS93-(AF93+AK93))/AO93,0)), "")</f>
        <v/>
      </c>
      <c r="AQ93" s="125" t="str">
        <f t="shared" ref="AQ93:AQ121" si="88">IFERROR(IF((AS93-(AG93+AL93))=0, "", (AS93-(AG93+AL93))), "")</f>
        <v/>
      </c>
      <c r="AR93" s="129" t="str">
        <f t="shared" ref="AR93:AR121" si="89">IFERROR(IF((AE93+AJ93+AO93)=0, "", (AE93+AJ93+AO93)), "")</f>
        <v/>
      </c>
      <c r="AS93" s="14"/>
      <c r="AT93" s="33" t="s">
        <v>1545</v>
      </c>
      <c r="AU93" s="33"/>
      <c r="AV93" s="117" t="str">
        <f>IF(_xlfn.XLOOKUP(AT93, AutoFill_classes!$A:$A, AutoFill_classes!$B:$B,"")=0,"",_xlfn.XLOOKUP(AT93, AutoFill_classes!$A:$A, AutoFill_classes!$B:$B,""))</f>
        <v>Revelation, Inspiratn&amp;Herm</v>
      </c>
      <c r="AW93" s="108"/>
      <c r="AX93" s="11" t="s">
        <v>53</v>
      </c>
      <c r="AY93" s="11" t="s">
        <v>54</v>
      </c>
      <c r="AZ93" s="11" t="s">
        <v>167</v>
      </c>
      <c r="BA93" s="13" t="s">
        <v>55</v>
      </c>
      <c r="BB93" s="13" t="s">
        <v>56</v>
      </c>
      <c r="BC93" s="63">
        <v>3</v>
      </c>
      <c r="BD93" s="19"/>
      <c r="BE93" s="121" t="str">
        <f t="shared" ref="BE93:BE121" si="90">IF(BC93*BD93=0,"",BC93*BD93)</f>
        <v/>
      </c>
      <c r="BF93" s="20"/>
      <c r="BG93" s="20"/>
      <c r="BH93" s="20"/>
      <c r="BI93" s="20"/>
      <c r="BJ93" s="125" t="str">
        <f t="shared" ref="BJ93:BJ121" si="91">IF(ROUNDUP((BI93-BH93)/7,0)=0,"",ROUNDUP((BI93-BH93)/7,0))</f>
        <v/>
      </c>
      <c r="BK93" s="14"/>
      <c r="BL93" s="125" t="str">
        <f t="shared" ref="BL93:BL121" si="92">IFERROR(IF(BJ93*BK93=0,"",BJ93*BK93), "")</f>
        <v/>
      </c>
      <c r="BM93" s="20"/>
      <c r="BN93" s="20"/>
      <c r="BO93" s="125" t="str">
        <f t="shared" ref="BO93:BO121" si="93">IF(ROUNDUP((BN93-BM93)/7,0)=0,"",ROUNDUP((BN93-BM93)/7,0))</f>
        <v/>
      </c>
      <c r="BP93" s="14"/>
      <c r="BQ93" s="125" t="str">
        <f t="shared" ref="BQ93:BQ121" si="94">IFERROR(IF(BO93*BP93=0,"",BO93*BP93), "")</f>
        <v/>
      </c>
      <c r="BR93" s="20"/>
      <c r="BS93" s="20"/>
      <c r="BT93" s="125" t="str">
        <f t="shared" ref="BT93:BT121" si="95">IF(ROUNDUP((BS93-BR93)/7,0)=0,"",ROUNDUP((BS93-BR93)/7,0))</f>
        <v/>
      </c>
      <c r="BU93" s="125" t="str">
        <f t="shared" ref="BU93:BU121" si="96">IFERROR(IF((BX93-(BK93+BP93))/BT93=0,"",ROUNDUP((BX93-(BK93+BP93))/BT93,0)), "")</f>
        <v/>
      </c>
      <c r="BV93" s="125" t="str">
        <f t="shared" ref="BV93:BV121" si="97">IFERROR(IF((BX93-(BL93+BQ93))=0, "", (BX93-(BL93+BQ93))), "")</f>
        <v/>
      </c>
      <c r="BW93" s="129" t="str">
        <f t="shared" ref="BW93:BW121" si="98">IFERROR(IF((BJ93+BO93+BT93)=0, "", (BJ93+BO93+BT93)), "")</f>
        <v/>
      </c>
      <c r="BX93" s="11"/>
      <c r="BY93" s="15"/>
      <c r="BZ93" s="14"/>
      <c r="CA93" s="117" t="str">
        <f>IF(_xlfn.XLOOKUP(BY93, AutoFill_classes!$A:$A, AutoFill_classes!$B:$B,"")=0,"",_xlfn.XLOOKUP(BY93, AutoFill_classes!$A:$A, AutoFill_classes!$B:$B,""))</f>
        <v/>
      </c>
      <c r="CB93" s="108"/>
      <c r="CC93" s="14"/>
      <c r="CD93" s="14"/>
      <c r="CE93" s="14"/>
      <c r="CF93" s="21"/>
      <c r="CG93" s="22"/>
      <c r="CH93" s="63"/>
      <c r="CI93" s="23"/>
      <c r="CJ93" s="121" t="str">
        <f t="shared" ref="CJ93:CJ121" si="99">IF(CH93*CI93=0,"",CH93*CI93)</f>
        <v/>
      </c>
      <c r="CK93" s="20"/>
      <c r="CL93" s="20"/>
      <c r="CM93" s="20"/>
      <c r="CN93" s="20"/>
      <c r="CO93" s="125" t="str">
        <f t="shared" ref="CO93:CO121" si="100">IF(ROUNDUP((CN93-CM93)/7,0)=0,"",ROUNDUP((CN93-CM93)/7,0))</f>
        <v/>
      </c>
      <c r="CP93" s="14"/>
      <c r="CQ93" s="125" t="str">
        <f t="shared" ref="CQ93:CQ121" si="101">IFERROR(IF(CO93*CP93=0,"",CO93*CP93), "")</f>
        <v/>
      </c>
      <c r="CR93" s="20"/>
      <c r="CS93" s="20"/>
      <c r="CT93" s="125" t="str">
        <f t="shared" ref="CT93:CT121" si="102">IF(ROUNDUP((CS93-CR93)/7,0)=0,"",ROUNDUP((CS93-CR93)/7,0))</f>
        <v/>
      </c>
      <c r="CU93" s="14"/>
      <c r="CV93" s="125" t="str">
        <f t="shared" ref="CV93:CV121" si="103">IFERROR(IF(CT93*CU93=0,"",CT93*CU93), "")</f>
        <v/>
      </c>
      <c r="CW93" s="20"/>
      <c r="CX93" s="20"/>
      <c r="CY93" s="125" t="str">
        <f t="shared" ref="CY93:CY121" si="104">IF(ROUNDUP((CX93-CW93)/7,0)=0,"",ROUNDUP((CX93-CW93)/7,0))</f>
        <v/>
      </c>
      <c r="CZ93" s="125" t="str">
        <f t="shared" ref="CZ93:CZ121" si="105">IFERROR(IF((DC93-(CP93+CU93))/CY93=0,"",ROUNDUP((DC93-(CP93+CU93))/CY93,0)), "")</f>
        <v/>
      </c>
      <c r="DA93" s="125" t="str">
        <f t="shared" ref="DA93:DA121" si="106">IFERROR(IF((DC93-(CQ93+CV93))=0, "", (DC93-(CQ93+CV93))), "")</f>
        <v/>
      </c>
      <c r="DB93" s="129" t="str">
        <f t="shared" ref="DB93:DB121" si="107">IFERROR(IF((CO93+CT93+CY93)=0, "", (CO93+CT93+CY93)), "")</f>
        <v/>
      </c>
      <c r="DC93" s="14"/>
      <c r="DD93" s="62"/>
      <c r="DE93" s="105">
        <v>91</v>
      </c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1:176" s="1" customFormat="1" ht="13" hidden="1" customHeight="1" outlineLevel="1" x14ac:dyDescent="0.2">
      <c r="A94" s="4" t="s">
        <v>1067</v>
      </c>
      <c r="B94" s="115" t="str">
        <f>IF(_xlfn.XLOOKUP(A94, AutoFill_names!B:B, AutoFill_names!C:C,"")=0,"",_xlfn.XLOOKUP(A94, AutoFill_names!B:B, AutoFill_names!C:C,""))</f>
        <v>000116996</v>
      </c>
      <c r="C94" s="115" t="str">
        <f>IF(_xlfn.XLOOKUP(A94, AutoFill_names!B:B, AutoFill_names!D:D,"")=0,"",_xlfn.XLOOKUP(A94, AutoFill_names!B:B, AutoFill_names!D:D,""))</f>
        <v>jpeckham@andrews.edu</v>
      </c>
      <c r="D94" s="115" t="str">
        <f>IF(_xlfn.XLOOKUP(A94, AutoFill_names!B:B, AutoFill_names!E:E,"")=0,"",_xlfn.XLOOKUP(A94, AutoFill_names!B:B, AutoFill_names!E:E,""))</f>
        <v/>
      </c>
      <c r="E94" s="115" t="str">
        <f>IF(_xlfn.XLOOKUP(A94, AutoFill_names!B:B, AutoFill_names!F:F,"")=0,"",_xlfn.XLOOKUP(A94, AutoFill_names!B:B, AutoFill_names!F:F,""))</f>
        <v/>
      </c>
      <c r="F94" s="92"/>
      <c r="J94" s="115" t="str">
        <f>IF(_xlfn.XLOOKUP(A94, AutoFill_names!B:B, AutoFill_names!K:K,"")=0,"",_xlfn.XLOOKUP(A94, AutoFill_names!B:B, AutoFill_names!K:K,""))</f>
        <v>Jeroncic, Ante</v>
      </c>
      <c r="K94" s="115" t="str">
        <f>IF(_xlfn.XLOOKUP(A94, AutoFill_names!B:B, AutoFill_names!L:L,"")=0,"",_xlfn.XLOOKUP(A94, AutoFill_names!B:B, AutoFill_names!L:L,""))</f>
        <v>000066942</v>
      </c>
      <c r="L94" s="2"/>
      <c r="M94" s="2"/>
      <c r="N94" s="117" t="str">
        <f>IF(_xlfn.XLOOKUP(L94, AutoFill_classes!A:A, AutoFill_classes!B:B,"")=0,"",_xlfn.XLOOKUP(L94, AutoFill_classes!A:A, AutoFill_classes!B:B,""))</f>
        <v/>
      </c>
      <c r="O94" s="108"/>
      <c r="P94" s="6"/>
      <c r="Q94" s="6"/>
      <c r="R94" s="6"/>
      <c r="S94" s="2"/>
      <c r="T94" s="2"/>
      <c r="U94" s="2"/>
      <c r="X94" s="63"/>
      <c r="Y94" s="19"/>
      <c r="Z94" s="121" t="str">
        <f t="shared" si="81"/>
        <v/>
      </c>
      <c r="AA94" s="20"/>
      <c r="AB94" s="20"/>
      <c r="AC94" s="20"/>
      <c r="AD94" s="20"/>
      <c r="AE94" s="125" t="str">
        <f t="shared" si="82"/>
        <v/>
      </c>
      <c r="AF94" s="14"/>
      <c r="AG94" s="125" t="str">
        <f t="shared" si="83"/>
        <v/>
      </c>
      <c r="AH94" s="20"/>
      <c r="AI94" s="20"/>
      <c r="AJ94" s="125" t="str">
        <f t="shared" si="84"/>
        <v/>
      </c>
      <c r="AK94" s="14"/>
      <c r="AL94" s="125" t="str">
        <f t="shared" si="85"/>
        <v/>
      </c>
      <c r="AM94" s="20"/>
      <c r="AN94" s="20"/>
      <c r="AO94" s="125" t="str">
        <f t="shared" si="86"/>
        <v/>
      </c>
      <c r="AP94" s="125" t="str">
        <f t="shared" si="87"/>
        <v/>
      </c>
      <c r="AQ94" s="125" t="str">
        <f t="shared" si="88"/>
        <v/>
      </c>
      <c r="AR94" s="129" t="str">
        <f t="shared" si="89"/>
        <v/>
      </c>
      <c r="AS94" s="14"/>
      <c r="AT94" s="33" t="s">
        <v>1545</v>
      </c>
      <c r="AU94" s="33" t="s">
        <v>57</v>
      </c>
      <c r="AV94" s="117" t="str">
        <f>IF(_xlfn.XLOOKUP(AT94, AutoFill_classes!$A:$A, AutoFill_classes!$B:$B,"")=0,"",_xlfn.XLOOKUP(AT94, AutoFill_classes!$A:$A, AutoFill_classes!$B:$B,""))</f>
        <v>Revelation, Inspiratn&amp;Herm</v>
      </c>
      <c r="AW94" s="108"/>
      <c r="AX94" s="11" t="s">
        <v>58</v>
      </c>
      <c r="AY94" s="11" t="s">
        <v>54</v>
      </c>
      <c r="AZ94" s="11" t="s">
        <v>167</v>
      </c>
      <c r="BA94" s="13" t="s">
        <v>59</v>
      </c>
      <c r="BB94" s="13" t="s">
        <v>56</v>
      </c>
      <c r="BC94" s="63">
        <v>0</v>
      </c>
      <c r="BD94" s="19"/>
      <c r="BE94" s="121" t="str">
        <f t="shared" si="90"/>
        <v/>
      </c>
      <c r="BF94" s="20"/>
      <c r="BG94" s="20"/>
      <c r="BH94" s="20"/>
      <c r="BI94" s="20"/>
      <c r="BJ94" s="125" t="str">
        <f t="shared" si="91"/>
        <v/>
      </c>
      <c r="BK94" s="14"/>
      <c r="BL94" s="125" t="str">
        <f t="shared" si="92"/>
        <v/>
      </c>
      <c r="BM94" s="20"/>
      <c r="BN94" s="20"/>
      <c r="BO94" s="125" t="str">
        <f t="shared" si="93"/>
        <v/>
      </c>
      <c r="BP94" s="14"/>
      <c r="BQ94" s="125" t="str">
        <f t="shared" si="94"/>
        <v/>
      </c>
      <c r="BR94" s="20"/>
      <c r="BS94" s="20"/>
      <c r="BT94" s="125" t="str">
        <f t="shared" si="95"/>
        <v/>
      </c>
      <c r="BU94" s="125" t="str">
        <f t="shared" si="96"/>
        <v/>
      </c>
      <c r="BV94" s="125" t="str">
        <f t="shared" si="97"/>
        <v/>
      </c>
      <c r="BW94" s="129" t="str">
        <f t="shared" si="98"/>
        <v/>
      </c>
      <c r="BX94" s="11"/>
      <c r="BY94" s="15"/>
      <c r="BZ94" s="14"/>
      <c r="CA94" s="117" t="str">
        <f>IF(_xlfn.XLOOKUP(BY94, AutoFill_classes!$A:$A, AutoFill_classes!$B:$B,"")=0,"",_xlfn.XLOOKUP(BY94, AutoFill_classes!$A:$A, AutoFill_classes!$B:$B,""))</f>
        <v/>
      </c>
      <c r="CB94" s="108"/>
      <c r="CC94" s="14"/>
      <c r="CD94" s="14"/>
      <c r="CE94" s="14"/>
      <c r="CF94" s="21"/>
      <c r="CG94" s="22"/>
      <c r="CH94" s="63"/>
      <c r="CI94" s="23"/>
      <c r="CJ94" s="121" t="str">
        <f t="shared" si="99"/>
        <v/>
      </c>
      <c r="CK94" s="20"/>
      <c r="CL94" s="20"/>
      <c r="CM94" s="20"/>
      <c r="CN94" s="20"/>
      <c r="CO94" s="125" t="str">
        <f t="shared" si="100"/>
        <v/>
      </c>
      <c r="CP94" s="14"/>
      <c r="CQ94" s="125" t="str">
        <f t="shared" si="101"/>
        <v/>
      </c>
      <c r="CR94" s="20"/>
      <c r="CS94" s="20"/>
      <c r="CT94" s="125" t="str">
        <f t="shared" si="102"/>
        <v/>
      </c>
      <c r="CU94" s="14"/>
      <c r="CV94" s="125" t="str">
        <f t="shared" si="103"/>
        <v/>
      </c>
      <c r="CW94" s="20"/>
      <c r="CX94" s="20"/>
      <c r="CY94" s="125" t="str">
        <f t="shared" si="104"/>
        <v/>
      </c>
      <c r="CZ94" s="125" t="str">
        <f t="shared" si="105"/>
        <v/>
      </c>
      <c r="DA94" s="125" t="str">
        <f t="shared" si="106"/>
        <v/>
      </c>
      <c r="DB94" s="129" t="str">
        <f t="shared" si="107"/>
        <v/>
      </c>
      <c r="DC94" s="14"/>
      <c r="DD94" s="62"/>
      <c r="DE94" s="105">
        <v>92</v>
      </c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spans="1:176" s="1" customFormat="1" ht="13" hidden="1" customHeight="1" outlineLevel="1" x14ac:dyDescent="0.2">
      <c r="A95" s="4" t="s">
        <v>1067</v>
      </c>
      <c r="B95" s="115" t="str">
        <f>IF(_xlfn.XLOOKUP(A95, AutoFill_names!B:B, AutoFill_names!C:C,"")=0,"",_xlfn.XLOOKUP(A95, AutoFill_names!B:B, AutoFill_names!C:C,""))</f>
        <v>000116996</v>
      </c>
      <c r="C95" s="115" t="str">
        <f>IF(_xlfn.XLOOKUP(A95, AutoFill_names!B:B, AutoFill_names!D:D,"")=0,"",_xlfn.XLOOKUP(A95, AutoFill_names!B:B, AutoFill_names!D:D,""))</f>
        <v>jpeckham@andrews.edu</v>
      </c>
      <c r="D95" s="115" t="str">
        <f>IF(_xlfn.XLOOKUP(A95, AutoFill_names!B:B, AutoFill_names!E:E,"")=0,"",_xlfn.XLOOKUP(A95, AutoFill_names!B:B, AutoFill_names!E:E,""))</f>
        <v/>
      </c>
      <c r="E95" s="115" t="str">
        <f>IF(_xlfn.XLOOKUP(A95, AutoFill_names!B:B, AutoFill_names!F:F,"")=0,"",_xlfn.XLOOKUP(A95, AutoFill_names!B:B, AutoFill_names!F:F,""))</f>
        <v/>
      </c>
      <c r="F95" s="92"/>
      <c r="J95" s="115" t="str">
        <f>IF(_xlfn.XLOOKUP(A95, AutoFill_names!B:B, AutoFill_names!K:K,"")=0,"",_xlfn.XLOOKUP(A95, AutoFill_names!B:B, AutoFill_names!K:K,""))</f>
        <v>Jeroncic, Ante</v>
      </c>
      <c r="K95" s="115" t="str">
        <f>IF(_xlfn.XLOOKUP(A95, AutoFill_names!B:B, AutoFill_names!L:L,"")=0,"",_xlfn.XLOOKUP(A95, AutoFill_names!B:B, AutoFill_names!L:L,""))</f>
        <v>000066942</v>
      </c>
      <c r="L95" s="2"/>
      <c r="M95" s="2"/>
      <c r="N95" s="117" t="str">
        <f>IF(_xlfn.XLOOKUP(L95, AutoFill_classes!A:A, AutoFill_classes!B:B,"")=0,"",_xlfn.XLOOKUP(L95, AutoFill_classes!A:A, AutoFill_classes!B:B,""))</f>
        <v/>
      </c>
      <c r="O95" s="108"/>
      <c r="P95" s="6"/>
      <c r="Q95" s="6"/>
      <c r="R95" s="6"/>
      <c r="S95" s="2"/>
      <c r="T95" s="2"/>
      <c r="U95" s="2"/>
      <c r="X95" s="63"/>
      <c r="Y95" s="19"/>
      <c r="Z95" s="121" t="str">
        <f t="shared" si="81"/>
        <v/>
      </c>
      <c r="AA95" s="20"/>
      <c r="AB95" s="20"/>
      <c r="AC95" s="20"/>
      <c r="AD95" s="20"/>
      <c r="AE95" s="125" t="str">
        <f t="shared" si="82"/>
        <v/>
      </c>
      <c r="AF95" s="14"/>
      <c r="AG95" s="125" t="str">
        <f t="shared" si="83"/>
        <v/>
      </c>
      <c r="AH95" s="20"/>
      <c r="AI95" s="20"/>
      <c r="AJ95" s="125" t="str">
        <f t="shared" si="84"/>
        <v/>
      </c>
      <c r="AK95" s="14"/>
      <c r="AL95" s="125" t="str">
        <f t="shared" si="85"/>
        <v/>
      </c>
      <c r="AM95" s="20"/>
      <c r="AN95" s="20"/>
      <c r="AO95" s="125" t="str">
        <f t="shared" si="86"/>
        <v/>
      </c>
      <c r="AP95" s="125" t="str">
        <f t="shared" si="87"/>
        <v/>
      </c>
      <c r="AQ95" s="125" t="str">
        <f t="shared" si="88"/>
        <v/>
      </c>
      <c r="AR95" s="129" t="str">
        <f t="shared" si="89"/>
        <v/>
      </c>
      <c r="AS95" s="14"/>
      <c r="AT95" s="33" t="s">
        <v>1547</v>
      </c>
      <c r="AU95" s="33" t="s">
        <v>453</v>
      </c>
      <c r="AV95" s="117" t="str">
        <f>IF(_xlfn.XLOOKUP(AT95, AutoFill_classes!$A:$A, AutoFill_classes!$B:$B,"")=0,"",_xlfn.XLOOKUP(AT95, AutoFill_classes!$A:$A, AutoFill_classes!$B:$B,""))</f>
        <v>Doctrine of God</v>
      </c>
      <c r="AW95" s="108"/>
      <c r="AX95" s="11" t="s">
        <v>102</v>
      </c>
      <c r="AY95" s="11" t="s">
        <v>54</v>
      </c>
      <c r="AZ95" s="11" t="s">
        <v>167</v>
      </c>
      <c r="BA95" s="13" t="s">
        <v>55</v>
      </c>
      <c r="BB95" s="13" t="s">
        <v>56</v>
      </c>
      <c r="BC95" s="63">
        <v>3</v>
      </c>
      <c r="BD95" s="19"/>
      <c r="BE95" s="121" t="str">
        <f t="shared" si="90"/>
        <v/>
      </c>
      <c r="BF95" s="20"/>
      <c r="BG95" s="20"/>
      <c r="BH95" s="20"/>
      <c r="BI95" s="20"/>
      <c r="BJ95" s="125" t="str">
        <f t="shared" si="91"/>
        <v/>
      </c>
      <c r="BK95" s="14"/>
      <c r="BL95" s="125" t="str">
        <f t="shared" si="92"/>
        <v/>
      </c>
      <c r="BM95" s="20"/>
      <c r="BN95" s="20"/>
      <c r="BO95" s="125" t="str">
        <f t="shared" si="93"/>
        <v/>
      </c>
      <c r="BP95" s="14"/>
      <c r="BQ95" s="125" t="str">
        <f t="shared" si="94"/>
        <v/>
      </c>
      <c r="BR95" s="20"/>
      <c r="BS95" s="20"/>
      <c r="BT95" s="125" t="str">
        <f t="shared" si="95"/>
        <v/>
      </c>
      <c r="BU95" s="125" t="str">
        <f t="shared" si="96"/>
        <v/>
      </c>
      <c r="BV95" s="125" t="str">
        <f t="shared" si="97"/>
        <v/>
      </c>
      <c r="BW95" s="129" t="str">
        <f t="shared" si="98"/>
        <v/>
      </c>
      <c r="BX95" s="11"/>
      <c r="BY95" s="15"/>
      <c r="BZ95" s="14"/>
      <c r="CA95" s="117" t="str">
        <f>IF(_xlfn.XLOOKUP(BY95, AutoFill_classes!$A:$A, AutoFill_classes!$B:$B,"")=0,"",_xlfn.XLOOKUP(BY95, AutoFill_classes!$A:$A, AutoFill_classes!$B:$B,""))</f>
        <v/>
      </c>
      <c r="CB95" s="108"/>
      <c r="CC95" s="14"/>
      <c r="CD95" s="14"/>
      <c r="CE95" s="14"/>
      <c r="CF95" s="21"/>
      <c r="CG95" s="22"/>
      <c r="CH95" s="63"/>
      <c r="CI95" s="23"/>
      <c r="CJ95" s="121" t="str">
        <f t="shared" si="99"/>
        <v/>
      </c>
      <c r="CK95" s="20"/>
      <c r="CL95" s="20"/>
      <c r="CM95" s="20"/>
      <c r="CN95" s="20"/>
      <c r="CO95" s="125" t="str">
        <f t="shared" si="100"/>
        <v/>
      </c>
      <c r="CP95" s="14"/>
      <c r="CQ95" s="125" t="str">
        <f t="shared" si="101"/>
        <v/>
      </c>
      <c r="CR95" s="20"/>
      <c r="CS95" s="20"/>
      <c r="CT95" s="125" t="str">
        <f t="shared" si="102"/>
        <v/>
      </c>
      <c r="CU95" s="14"/>
      <c r="CV95" s="125" t="str">
        <f t="shared" si="103"/>
        <v/>
      </c>
      <c r="CW95" s="20"/>
      <c r="CX95" s="20"/>
      <c r="CY95" s="125" t="str">
        <f t="shared" si="104"/>
        <v/>
      </c>
      <c r="CZ95" s="125" t="str">
        <f t="shared" si="105"/>
        <v/>
      </c>
      <c r="DA95" s="125" t="str">
        <f t="shared" si="106"/>
        <v/>
      </c>
      <c r="DB95" s="129" t="str">
        <f t="shared" si="107"/>
        <v/>
      </c>
      <c r="DC95" s="14"/>
      <c r="DD95" s="62"/>
      <c r="DE95" s="105">
        <v>93</v>
      </c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1:176" s="1" customFormat="1" ht="13" hidden="1" customHeight="1" outlineLevel="1" x14ac:dyDescent="0.2">
      <c r="A96" s="4" t="s">
        <v>1067</v>
      </c>
      <c r="B96" s="115" t="str">
        <f>IF(_xlfn.XLOOKUP(A96, AutoFill_names!B:B, AutoFill_names!C:C,"")=0,"",_xlfn.XLOOKUP(A96, AutoFill_names!B:B, AutoFill_names!C:C,""))</f>
        <v>000116996</v>
      </c>
      <c r="C96" s="115" t="str">
        <f>IF(_xlfn.XLOOKUP(A96, AutoFill_names!B:B, AutoFill_names!D:D,"")=0,"",_xlfn.XLOOKUP(A96, AutoFill_names!B:B, AutoFill_names!D:D,""))</f>
        <v>jpeckham@andrews.edu</v>
      </c>
      <c r="D96" s="115" t="str">
        <f>IF(_xlfn.XLOOKUP(A96, AutoFill_names!B:B, AutoFill_names!E:E,"")=0,"",_xlfn.XLOOKUP(A96, AutoFill_names!B:B, AutoFill_names!E:E,""))</f>
        <v/>
      </c>
      <c r="E96" s="115" t="str">
        <f>IF(_xlfn.XLOOKUP(A96, AutoFill_names!B:B, AutoFill_names!F:F,"")=0,"",_xlfn.XLOOKUP(A96, AutoFill_names!B:B, AutoFill_names!F:F,""))</f>
        <v/>
      </c>
      <c r="F96" s="92"/>
      <c r="J96" s="115" t="str">
        <f>IF(_xlfn.XLOOKUP(A96, AutoFill_names!B:B, AutoFill_names!K:K,"")=0,"",_xlfn.XLOOKUP(A96, AutoFill_names!B:B, AutoFill_names!K:K,""))</f>
        <v>Jeroncic, Ante</v>
      </c>
      <c r="K96" s="115" t="str">
        <f>IF(_xlfn.XLOOKUP(A96, AutoFill_names!B:B, AutoFill_names!L:L,"")=0,"",_xlfn.XLOOKUP(A96, AutoFill_names!B:B, AutoFill_names!L:L,""))</f>
        <v>000066942</v>
      </c>
      <c r="L96" s="2"/>
      <c r="M96" s="2"/>
      <c r="N96" s="117" t="str">
        <f>IF(_xlfn.XLOOKUP(L96, AutoFill_classes!A:A, AutoFill_classes!B:B,"")=0,"",_xlfn.XLOOKUP(L96, AutoFill_classes!A:A, AutoFill_classes!B:B,""))</f>
        <v/>
      </c>
      <c r="O96" s="108"/>
      <c r="P96" s="6"/>
      <c r="Q96" s="6"/>
      <c r="R96" s="6"/>
      <c r="S96" s="2"/>
      <c r="T96" s="2"/>
      <c r="U96" s="2"/>
      <c r="X96" s="63"/>
      <c r="Y96" s="19"/>
      <c r="Z96" s="121" t="str">
        <f t="shared" si="81"/>
        <v/>
      </c>
      <c r="AA96" s="20"/>
      <c r="AB96" s="20"/>
      <c r="AC96" s="20"/>
      <c r="AD96" s="20"/>
      <c r="AE96" s="125" t="str">
        <f t="shared" si="82"/>
        <v/>
      </c>
      <c r="AF96" s="14"/>
      <c r="AG96" s="125" t="str">
        <f t="shared" si="83"/>
        <v/>
      </c>
      <c r="AH96" s="20"/>
      <c r="AI96" s="20"/>
      <c r="AJ96" s="125" t="str">
        <f t="shared" si="84"/>
        <v/>
      </c>
      <c r="AK96" s="14"/>
      <c r="AL96" s="125" t="str">
        <f t="shared" si="85"/>
        <v/>
      </c>
      <c r="AM96" s="20"/>
      <c r="AN96" s="20"/>
      <c r="AO96" s="125" t="str">
        <f t="shared" si="86"/>
        <v/>
      </c>
      <c r="AP96" s="125" t="str">
        <f t="shared" si="87"/>
        <v/>
      </c>
      <c r="AQ96" s="125" t="str">
        <f t="shared" si="88"/>
        <v/>
      </c>
      <c r="AR96" s="129" t="str">
        <f t="shared" si="89"/>
        <v/>
      </c>
      <c r="AS96" s="14"/>
      <c r="AT96" s="33" t="s">
        <v>1581</v>
      </c>
      <c r="AU96" s="33" t="s">
        <v>294</v>
      </c>
      <c r="AV96" s="117" t="str">
        <f>IF(_xlfn.XLOOKUP(AT96, AutoFill_classes!$A:$A, AutoFill_classes!$B:$B,"")=0,"",_xlfn.XLOOKUP(AT96, AutoFill_classes!$A:$A, AutoFill_classes!$B:$B,""))</f>
        <v>Top:</v>
      </c>
      <c r="AW96" s="108"/>
      <c r="AX96" s="11" t="s">
        <v>53</v>
      </c>
      <c r="AY96" s="11" t="s">
        <v>54</v>
      </c>
      <c r="AZ96" s="11" t="s">
        <v>167</v>
      </c>
      <c r="BA96" s="13" t="s">
        <v>59</v>
      </c>
      <c r="BB96" s="13" t="s">
        <v>56</v>
      </c>
      <c r="BC96" s="63">
        <v>0</v>
      </c>
      <c r="BD96" s="19"/>
      <c r="BE96" s="121" t="str">
        <f t="shared" si="90"/>
        <v/>
      </c>
      <c r="BF96" s="20"/>
      <c r="BG96" s="20"/>
      <c r="BH96" s="20"/>
      <c r="BI96" s="20"/>
      <c r="BJ96" s="125" t="str">
        <f t="shared" si="91"/>
        <v/>
      </c>
      <c r="BK96" s="14"/>
      <c r="BL96" s="125" t="str">
        <f t="shared" si="92"/>
        <v/>
      </c>
      <c r="BM96" s="20"/>
      <c r="BN96" s="20"/>
      <c r="BO96" s="125" t="str">
        <f t="shared" si="93"/>
        <v/>
      </c>
      <c r="BP96" s="14"/>
      <c r="BQ96" s="125" t="str">
        <f t="shared" si="94"/>
        <v/>
      </c>
      <c r="BR96" s="20"/>
      <c r="BS96" s="20"/>
      <c r="BT96" s="125" t="str">
        <f t="shared" si="95"/>
        <v/>
      </c>
      <c r="BU96" s="125" t="str">
        <f t="shared" si="96"/>
        <v/>
      </c>
      <c r="BV96" s="125" t="str">
        <f t="shared" si="97"/>
        <v/>
      </c>
      <c r="BW96" s="129" t="str">
        <f t="shared" si="98"/>
        <v/>
      </c>
      <c r="BX96" s="11"/>
      <c r="BY96" s="15"/>
      <c r="BZ96" s="14"/>
      <c r="CA96" s="117" t="str">
        <f>IF(_xlfn.XLOOKUP(BY96, AutoFill_classes!$A:$A, AutoFill_classes!$B:$B,"")=0,"",_xlfn.XLOOKUP(BY96, AutoFill_classes!$A:$A, AutoFill_classes!$B:$B,""))</f>
        <v/>
      </c>
      <c r="CB96" s="108"/>
      <c r="CC96" s="14"/>
      <c r="CD96" s="14"/>
      <c r="CE96" s="14"/>
      <c r="CF96" s="21"/>
      <c r="CG96" s="22"/>
      <c r="CH96" s="63"/>
      <c r="CI96" s="23"/>
      <c r="CJ96" s="121" t="str">
        <f t="shared" si="99"/>
        <v/>
      </c>
      <c r="CK96" s="20"/>
      <c r="CL96" s="20"/>
      <c r="CM96" s="20"/>
      <c r="CN96" s="20"/>
      <c r="CO96" s="125" t="str">
        <f t="shared" si="100"/>
        <v/>
      </c>
      <c r="CP96" s="14"/>
      <c r="CQ96" s="125" t="str">
        <f t="shared" si="101"/>
        <v/>
      </c>
      <c r="CR96" s="20"/>
      <c r="CS96" s="20"/>
      <c r="CT96" s="125" t="str">
        <f t="shared" si="102"/>
        <v/>
      </c>
      <c r="CU96" s="14"/>
      <c r="CV96" s="125" t="str">
        <f t="shared" si="103"/>
        <v/>
      </c>
      <c r="CW96" s="20"/>
      <c r="CX96" s="20"/>
      <c r="CY96" s="125" t="str">
        <f t="shared" si="104"/>
        <v/>
      </c>
      <c r="CZ96" s="125" t="str">
        <f t="shared" si="105"/>
        <v/>
      </c>
      <c r="DA96" s="125" t="str">
        <f t="shared" si="106"/>
        <v/>
      </c>
      <c r="DB96" s="129" t="str">
        <f t="shared" si="107"/>
        <v/>
      </c>
      <c r="DC96" s="14"/>
      <c r="DD96" s="62"/>
      <c r="DE96" s="105">
        <v>94</v>
      </c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spans="1:176" s="1" customFormat="1" ht="13" hidden="1" customHeight="1" outlineLevel="1" x14ac:dyDescent="0.2">
      <c r="A97" s="4"/>
      <c r="B97" s="115" t="str">
        <f>IF(_xlfn.XLOOKUP(A97, AutoFill_names!B:B, AutoFill_names!C:C,"")=0,"",_xlfn.XLOOKUP(A97, AutoFill_names!B:B, AutoFill_names!C:C,""))</f>
        <v/>
      </c>
      <c r="C97" s="115" t="str">
        <f>IF(_xlfn.XLOOKUP(A97, AutoFill_names!B:B, AutoFill_names!D:D,"")=0,"",_xlfn.XLOOKUP(A97, AutoFill_names!B:B, AutoFill_names!D:D,""))</f>
        <v/>
      </c>
      <c r="D97" s="115" t="str">
        <f>IF(_xlfn.XLOOKUP(A97, AutoFill_names!B:B, AutoFill_names!E:E,"")=0,"",_xlfn.XLOOKUP(A97, AutoFill_names!B:B, AutoFill_names!E:E,""))</f>
        <v/>
      </c>
      <c r="E97" s="115" t="str">
        <f>IF(_xlfn.XLOOKUP(A97, AutoFill_names!B:B, AutoFill_names!F:F,"")=0,"",_xlfn.XLOOKUP(A97, AutoFill_names!B:B, AutoFill_names!F:F,""))</f>
        <v/>
      </c>
      <c r="F97" s="92"/>
      <c r="J97" s="115" t="str">
        <f>IF(_xlfn.XLOOKUP(A97, AutoFill_names!B:B, AutoFill_names!K:K,"")=0,"",_xlfn.XLOOKUP(A97, AutoFill_names!B:B, AutoFill_names!K:K,""))</f>
        <v/>
      </c>
      <c r="K97" s="115" t="str">
        <f>IF(_xlfn.XLOOKUP(A97, AutoFill_names!B:B, AutoFill_names!L:L,"")=0,"",_xlfn.XLOOKUP(A97, AutoFill_names!B:B, AutoFill_names!L:L,""))</f>
        <v/>
      </c>
      <c r="L97" s="2"/>
      <c r="M97" s="2"/>
      <c r="N97" s="117" t="str">
        <f>IF(_xlfn.XLOOKUP(L97, AutoFill_classes!A:A, AutoFill_classes!B:B,"")=0,"",_xlfn.XLOOKUP(L97, AutoFill_classes!A:A, AutoFill_classes!B:B,""))</f>
        <v/>
      </c>
      <c r="O97" s="108"/>
      <c r="P97" s="6"/>
      <c r="Q97" s="6"/>
      <c r="R97" s="6"/>
      <c r="S97" s="2"/>
      <c r="T97" s="2"/>
      <c r="U97" s="2"/>
      <c r="X97" s="63"/>
      <c r="Y97" s="19"/>
      <c r="Z97" s="121" t="str">
        <f t="shared" si="81"/>
        <v/>
      </c>
      <c r="AA97" s="20"/>
      <c r="AB97" s="20"/>
      <c r="AC97" s="20"/>
      <c r="AD97" s="20"/>
      <c r="AE97" s="125" t="str">
        <f t="shared" si="82"/>
        <v/>
      </c>
      <c r="AF97" s="14"/>
      <c r="AG97" s="125" t="str">
        <f t="shared" si="83"/>
        <v/>
      </c>
      <c r="AH97" s="20"/>
      <c r="AI97" s="20"/>
      <c r="AJ97" s="125" t="str">
        <f t="shared" si="84"/>
        <v/>
      </c>
      <c r="AK97" s="14"/>
      <c r="AL97" s="125" t="str">
        <f t="shared" si="85"/>
        <v/>
      </c>
      <c r="AM97" s="20"/>
      <c r="AN97" s="20"/>
      <c r="AO97" s="125" t="str">
        <f t="shared" si="86"/>
        <v/>
      </c>
      <c r="AP97" s="125" t="str">
        <f t="shared" si="87"/>
        <v/>
      </c>
      <c r="AQ97" s="125" t="str">
        <f t="shared" si="88"/>
        <v/>
      </c>
      <c r="AR97" s="129" t="str">
        <f t="shared" si="89"/>
        <v/>
      </c>
      <c r="AS97" s="14"/>
      <c r="AT97" s="33"/>
      <c r="AU97" s="33"/>
      <c r="AV97" s="117" t="str">
        <f>IF(_xlfn.XLOOKUP(AT97, AutoFill_classes!$A:$A, AutoFill_classes!$B:$B,"")=0,"",_xlfn.XLOOKUP(AT97, AutoFill_classes!$A:$A, AutoFill_classes!$B:$B,""))</f>
        <v/>
      </c>
      <c r="AW97" s="108"/>
      <c r="AX97" s="11"/>
      <c r="AY97" s="11"/>
      <c r="AZ97" s="11"/>
      <c r="BA97" s="13"/>
      <c r="BB97" s="13"/>
      <c r="BC97" s="63"/>
      <c r="BD97" s="19"/>
      <c r="BE97" s="121" t="str">
        <f t="shared" si="90"/>
        <v/>
      </c>
      <c r="BF97" s="20"/>
      <c r="BG97" s="20"/>
      <c r="BH97" s="20"/>
      <c r="BI97" s="20"/>
      <c r="BJ97" s="125" t="str">
        <f t="shared" si="91"/>
        <v/>
      </c>
      <c r="BK97" s="14"/>
      <c r="BL97" s="125" t="str">
        <f t="shared" si="92"/>
        <v/>
      </c>
      <c r="BM97" s="20"/>
      <c r="BN97" s="20"/>
      <c r="BO97" s="125" t="str">
        <f t="shared" si="93"/>
        <v/>
      </c>
      <c r="BP97" s="14"/>
      <c r="BQ97" s="125" t="str">
        <f t="shared" si="94"/>
        <v/>
      </c>
      <c r="BR97" s="20"/>
      <c r="BS97" s="20"/>
      <c r="BT97" s="125" t="str">
        <f t="shared" si="95"/>
        <v/>
      </c>
      <c r="BU97" s="125" t="str">
        <f t="shared" si="96"/>
        <v/>
      </c>
      <c r="BV97" s="125" t="str">
        <f t="shared" si="97"/>
        <v/>
      </c>
      <c r="BW97" s="129" t="str">
        <f t="shared" si="98"/>
        <v/>
      </c>
      <c r="BX97" s="11"/>
      <c r="BY97" s="15"/>
      <c r="BZ97" s="14"/>
      <c r="CA97" s="117" t="str">
        <f>IF(_xlfn.XLOOKUP(BY97, AutoFill_classes!$A:$A, AutoFill_classes!$B:$B,"")=0,"",_xlfn.XLOOKUP(BY97, AutoFill_classes!$A:$A, AutoFill_classes!$B:$B,""))</f>
        <v/>
      </c>
      <c r="CB97" s="108"/>
      <c r="CC97" s="14"/>
      <c r="CD97" s="14"/>
      <c r="CE97" s="14"/>
      <c r="CF97" s="21"/>
      <c r="CG97" s="22"/>
      <c r="CH97" s="63"/>
      <c r="CI97" s="23"/>
      <c r="CJ97" s="121" t="str">
        <f t="shared" si="99"/>
        <v/>
      </c>
      <c r="CK97" s="20"/>
      <c r="CL97" s="20"/>
      <c r="CM97" s="20"/>
      <c r="CN97" s="20"/>
      <c r="CO97" s="125" t="str">
        <f t="shared" si="100"/>
        <v/>
      </c>
      <c r="CP97" s="14"/>
      <c r="CQ97" s="125" t="str">
        <f t="shared" si="101"/>
        <v/>
      </c>
      <c r="CR97" s="20"/>
      <c r="CS97" s="20"/>
      <c r="CT97" s="125" t="str">
        <f t="shared" si="102"/>
        <v/>
      </c>
      <c r="CU97" s="14"/>
      <c r="CV97" s="125" t="str">
        <f t="shared" si="103"/>
        <v/>
      </c>
      <c r="CW97" s="20"/>
      <c r="CX97" s="20"/>
      <c r="CY97" s="125" t="str">
        <f t="shared" si="104"/>
        <v/>
      </c>
      <c r="CZ97" s="125" t="str">
        <f t="shared" si="105"/>
        <v/>
      </c>
      <c r="DA97" s="125" t="str">
        <f t="shared" si="106"/>
        <v/>
      </c>
      <c r="DB97" s="129" t="str">
        <f t="shared" si="107"/>
        <v/>
      </c>
      <c r="DC97" s="14"/>
      <c r="DD97" s="62"/>
      <c r="DE97" s="105">
        <v>95</v>
      </c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spans="1:176" s="1" customFormat="1" ht="13" hidden="1" customHeight="1" outlineLevel="1" x14ac:dyDescent="0.2">
      <c r="A98" s="4"/>
      <c r="B98" s="115" t="str">
        <f>IF(_xlfn.XLOOKUP(A98, AutoFill_names!B:B, AutoFill_names!C:C,"")=0,"",_xlfn.XLOOKUP(A98, AutoFill_names!B:B, AutoFill_names!C:C,""))</f>
        <v/>
      </c>
      <c r="C98" s="115" t="str">
        <f>IF(_xlfn.XLOOKUP(A98, AutoFill_names!B:B, AutoFill_names!D:D,"")=0,"",_xlfn.XLOOKUP(A98, AutoFill_names!B:B, AutoFill_names!D:D,""))</f>
        <v/>
      </c>
      <c r="D98" s="115" t="str">
        <f>IF(_xlfn.XLOOKUP(A98, AutoFill_names!B:B, AutoFill_names!E:E,"")=0,"",_xlfn.XLOOKUP(A98, AutoFill_names!B:B, AutoFill_names!E:E,""))</f>
        <v/>
      </c>
      <c r="E98" s="115" t="str">
        <f>IF(_xlfn.XLOOKUP(A98, AutoFill_names!B:B, AutoFill_names!F:F,"")=0,"",_xlfn.XLOOKUP(A98, AutoFill_names!B:B, AutoFill_names!F:F,""))</f>
        <v/>
      </c>
      <c r="F98" s="92"/>
      <c r="J98" s="115" t="str">
        <f>IF(_xlfn.XLOOKUP(A98, AutoFill_names!B:B, AutoFill_names!K:K,"")=0,"",_xlfn.XLOOKUP(A98, AutoFill_names!B:B, AutoFill_names!K:K,""))</f>
        <v/>
      </c>
      <c r="K98" s="115" t="str">
        <f>IF(_xlfn.XLOOKUP(A98, AutoFill_names!B:B, AutoFill_names!L:L,"")=0,"",_xlfn.XLOOKUP(A98, AutoFill_names!B:B, AutoFill_names!L:L,""))</f>
        <v/>
      </c>
      <c r="L98" s="2"/>
      <c r="M98" s="2"/>
      <c r="N98" s="117" t="str">
        <f>IF(_xlfn.XLOOKUP(L98, AutoFill_classes!A:A, AutoFill_classes!B:B,"")=0,"",_xlfn.XLOOKUP(L98, AutoFill_classes!A:A, AutoFill_classes!B:B,""))</f>
        <v/>
      </c>
      <c r="O98" s="108"/>
      <c r="P98" s="6"/>
      <c r="Q98" s="6"/>
      <c r="R98" s="6"/>
      <c r="S98" s="2"/>
      <c r="T98" s="2"/>
      <c r="U98" s="2"/>
      <c r="X98" s="63"/>
      <c r="Y98" s="19"/>
      <c r="Z98" s="121" t="str">
        <f t="shared" si="81"/>
        <v/>
      </c>
      <c r="AA98" s="20"/>
      <c r="AB98" s="20"/>
      <c r="AC98" s="20"/>
      <c r="AD98" s="20"/>
      <c r="AE98" s="125" t="str">
        <f t="shared" si="82"/>
        <v/>
      </c>
      <c r="AF98" s="14"/>
      <c r="AG98" s="125" t="str">
        <f t="shared" si="83"/>
        <v/>
      </c>
      <c r="AH98" s="20"/>
      <c r="AI98" s="20"/>
      <c r="AJ98" s="125" t="str">
        <f t="shared" si="84"/>
        <v/>
      </c>
      <c r="AK98" s="14"/>
      <c r="AL98" s="125" t="str">
        <f t="shared" si="85"/>
        <v/>
      </c>
      <c r="AM98" s="20"/>
      <c r="AN98" s="20"/>
      <c r="AO98" s="125" t="str">
        <f t="shared" si="86"/>
        <v/>
      </c>
      <c r="AP98" s="125" t="str">
        <f t="shared" si="87"/>
        <v/>
      </c>
      <c r="AQ98" s="125" t="str">
        <f t="shared" si="88"/>
        <v/>
      </c>
      <c r="AR98" s="129" t="str">
        <f t="shared" si="89"/>
        <v/>
      </c>
      <c r="AS98" s="14"/>
      <c r="AT98" s="33"/>
      <c r="AU98" s="33"/>
      <c r="AV98" s="117" t="str">
        <f>IF(_xlfn.XLOOKUP(AT98, AutoFill_classes!$A:$A, AutoFill_classes!$B:$B,"")=0,"",_xlfn.XLOOKUP(AT98, AutoFill_classes!$A:$A, AutoFill_classes!$B:$B,""))</f>
        <v/>
      </c>
      <c r="AW98" s="108"/>
      <c r="AX98" s="11"/>
      <c r="AY98" s="11"/>
      <c r="AZ98" s="11"/>
      <c r="BA98" s="13"/>
      <c r="BB98" s="13"/>
      <c r="BC98" s="63"/>
      <c r="BD98" s="19"/>
      <c r="BE98" s="121" t="str">
        <f t="shared" si="90"/>
        <v/>
      </c>
      <c r="BF98" s="20"/>
      <c r="BG98" s="20"/>
      <c r="BH98" s="20"/>
      <c r="BI98" s="20"/>
      <c r="BJ98" s="125" t="str">
        <f t="shared" si="91"/>
        <v/>
      </c>
      <c r="BK98" s="14"/>
      <c r="BL98" s="125" t="str">
        <f t="shared" si="92"/>
        <v/>
      </c>
      <c r="BM98" s="20"/>
      <c r="BN98" s="20"/>
      <c r="BO98" s="125" t="str">
        <f t="shared" si="93"/>
        <v/>
      </c>
      <c r="BP98" s="14"/>
      <c r="BQ98" s="125" t="str">
        <f t="shared" si="94"/>
        <v/>
      </c>
      <c r="BR98" s="20"/>
      <c r="BS98" s="20"/>
      <c r="BT98" s="125" t="str">
        <f t="shared" si="95"/>
        <v/>
      </c>
      <c r="BU98" s="125" t="str">
        <f t="shared" si="96"/>
        <v/>
      </c>
      <c r="BV98" s="125" t="str">
        <f t="shared" si="97"/>
        <v/>
      </c>
      <c r="BW98" s="129" t="str">
        <f t="shared" si="98"/>
        <v/>
      </c>
      <c r="BX98" s="11"/>
      <c r="BY98" s="15"/>
      <c r="BZ98" s="14"/>
      <c r="CA98" s="117" t="str">
        <f>IF(_xlfn.XLOOKUP(BY98, AutoFill_classes!$A:$A, AutoFill_classes!$B:$B,"")=0,"",_xlfn.XLOOKUP(BY98, AutoFill_classes!$A:$A, AutoFill_classes!$B:$B,""))</f>
        <v/>
      </c>
      <c r="CB98" s="108"/>
      <c r="CC98" s="14"/>
      <c r="CD98" s="14"/>
      <c r="CE98" s="14"/>
      <c r="CF98" s="21"/>
      <c r="CG98" s="22"/>
      <c r="CH98" s="63"/>
      <c r="CI98" s="23"/>
      <c r="CJ98" s="121" t="str">
        <f t="shared" si="99"/>
        <v/>
      </c>
      <c r="CK98" s="20"/>
      <c r="CL98" s="20"/>
      <c r="CM98" s="20"/>
      <c r="CN98" s="20"/>
      <c r="CO98" s="125" t="str">
        <f t="shared" si="100"/>
        <v/>
      </c>
      <c r="CP98" s="14"/>
      <c r="CQ98" s="125" t="str">
        <f t="shared" si="101"/>
        <v/>
      </c>
      <c r="CR98" s="20"/>
      <c r="CS98" s="20"/>
      <c r="CT98" s="125" t="str">
        <f t="shared" si="102"/>
        <v/>
      </c>
      <c r="CU98" s="14"/>
      <c r="CV98" s="125" t="str">
        <f t="shared" si="103"/>
        <v/>
      </c>
      <c r="CW98" s="20"/>
      <c r="CX98" s="20"/>
      <c r="CY98" s="125" t="str">
        <f t="shared" si="104"/>
        <v/>
      </c>
      <c r="CZ98" s="125" t="str">
        <f t="shared" si="105"/>
        <v/>
      </c>
      <c r="DA98" s="125" t="str">
        <f t="shared" si="106"/>
        <v/>
      </c>
      <c r="DB98" s="129" t="str">
        <f t="shared" si="107"/>
        <v/>
      </c>
      <c r="DC98" s="14"/>
      <c r="DD98" s="62"/>
      <c r="DE98" s="105">
        <v>96</v>
      </c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spans="1:176" s="1" customFormat="1" ht="13" hidden="1" customHeight="1" outlineLevel="1" x14ac:dyDescent="0.2">
      <c r="A99" s="4"/>
      <c r="B99" s="115" t="str">
        <f>IF(_xlfn.XLOOKUP(A99, AutoFill_names!B:B, AutoFill_names!C:C,"")=0,"",_xlfn.XLOOKUP(A99, AutoFill_names!B:B, AutoFill_names!C:C,""))</f>
        <v/>
      </c>
      <c r="C99" s="115" t="str">
        <f>IF(_xlfn.XLOOKUP(A99, AutoFill_names!B:B, AutoFill_names!D:D,"")=0,"",_xlfn.XLOOKUP(A99, AutoFill_names!B:B, AutoFill_names!D:D,""))</f>
        <v/>
      </c>
      <c r="D99" s="115" t="str">
        <f>IF(_xlfn.XLOOKUP(A99, AutoFill_names!B:B, AutoFill_names!E:E,"")=0,"",_xlfn.XLOOKUP(A99, AutoFill_names!B:B, AutoFill_names!E:E,""))</f>
        <v/>
      </c>
      <c r="E99" s="115" t="str">
        <f>IF(_xlfn.XLOOKUP(A99, AutoFill_names!B:B, AutoFill_names!F:F,"")=0,"",_xlfn.XLOOKUP(A99, AutoFill_names!B:B, AutoFill_names!F:F,""))</f>
        <v/>
      </c>
      <c r="F99" s="92"/>
      <c r="J99" s="115" t="str">
        <f>IF(_xlfn.XLOOKUP(A99, AutoFill_names!B:B, AutoFill_names!K:K,"")=0,"",_xlfn.XLOOKUP(A99, AutoFill_names!B:B, AutoFill_names!K:K,""))</f>
        <v/>
      </c>
      <c r="K99" s="115" t="str">
        <f>IF(_xlfn.XLOOKUP(A99, AutoFill_names!B:B, AutoFill_names!L:L,"")=0,"",_xlfn.XLOOKUP(A99, AutoFill_names!B:B, AutoFill_names!L:L,""))</f>
        <v/>
      </c>
      <c r="L99" s="2"/>
      <c r="M99" s="2"/>
      <c r="N99" s="117" t="str">
        <f>IF(_xlfn.XLOOKUP(L99, AutoFill_classes!A:A, AutoFill_classes!B:B,"")=0,"",_xlfn.XLOOKUP(L99, AutoFill_classes!A:A, AutoFill_classes!B:B,""))</f>
        <v/>
      </c>
      <c r="O99" s="108"/>
      <c r="P99" s="6"/>
      <c r="Q99" s="6"/>
      <c r="R99" s="6"/>
      <c r="S99" s="2"/>
      <c r="T99" s="2"/>
      <c r="U99" s="2"/>
      <c r="X99" s="63"/>
      <c r="Y99" s="19"/>
      <c r="Z99" s="121" t="str">
        <f t="shared" si="81"/>
        <v/>
      </c>
      <c r="AA99" s="20"/>
      <c r="AB99" s="20"/>
      <c r="AC99" s="20"/>
      <c r="AD99" s="20"/>
      <c r="AE99" s="125" t="str">
        <f t="shared" si="82"/>
        <v/>
      </c>
      <c r="AF99" s="14"/>
      <c r="AG99" s="125" t="str">
        <f t="shared" si="83"/>
        <v/>
      </c>
      <c r="AH99" s="20"/>
      <c r="AI99" s="20"/>
      <c r="AJ99" s="125" t="str">
        <f t="shared" si="84"/>
        <v/>
      </c>
      <c r="AK99" s="14"/>
      <c r="AL99" s="125" t="str">
        <f t="shared" si="85"/>
        <v/>
      </c>
      <c r="AM99" s="20"/>
      <c r="AN99" s="20"/>
      <c r="AO99" s="125" t="str">
        <f t="shared" si="86"/>
        <v/>
      </c>
      <c r="AP99" s="125" t="str">
        <f t="shared" si="87"/>
        <v/>
      </c>
      <c r="AQ99" s="125" t="str">
        <f t="shared" si="88"/>
        <v/>
      </c>
      <c r="AR99" s="129" t="str">
        <f t="shared" si="89"/>
        <v/>
      </c>
      <c r="AS99" s="14"/>
      <c r="AT99" s="33"/>
      <c r="AU99" s="33"/>
      <c r="AV99" s="117" t="str">
        <f>IF(_xlfn.XLOOKUP(AT99, AutoFill_classes!$A:$A, AutoFill_classes!$B:$B,"")=0,"",_xlfn.XLOOKUP(AT99, AutoFill_classes!$A:$A, AutoFill_classes!$B:$B,""))</f>
        <v/>
      </c>
      <c r="AW99" s="108"/>
      <c r="AX99" s="11"/>
      <c r="AY99" s="11"/>
      <c r="AZ99" s="11"/>
      <c r="BA99" s="13"/>
      <c r="BB99" s="13"/>
      <c r="BC99" s="63"/>
      <c r="BD99" s="19"/>
      <c r="BE99" s="121" t="str">
        <f t="shared" si="90"/>
        <v/>
      </c>
      <c r="BF99" s="20"/>
      <c r="BG99" s="20"/>
      <c r="BH99" s="20"/>
      <c r="BI99" s="20"/>
      <c r="BJ99" s="125" t="str">
        <f t="shared" si="91"/>
        <v/>
      </c>
      <c r="BK99" s="14"/>
      <c r="BL99" s="125" t="str">
        <f t="shared" si="92"/>
        <v/>
      </c>
      <c r="BM99" s="20"/>
      <c r="BN99" s="20"/>
      <c r="BO99" s="125" t="str">
        <f t="shared" si="93"/>
        <v/>
      </c>
      <c r="BP99" s="14"/>
      <c r="BQ99" s="125" t="str">
        <f t="shared" si="94"/>
        <v/>
      </c>
      <c r="BR99" s="20"/>
      <c r="BS99" s="20"/>
      <c r="BT99" s="125" t="str">
        <f t="shared" si="95"/>
        <v/>
      </c>
      <c r="BU99" s="125" t="str">
        <f t="shared" si="96"/>
        <v/>
      </c>
      <c r="BV99" s="125" t="str">
        <f t="shared" si="97"/>
        <v/>
      </c>
      <c r="BW99" s="129" t="str">
        <f t="shared" si="98"/>
        <v/>
      </c>
      <c r="BX99" s="11"/>
      <c r="BY99" s="15"/>
      <c r="BZ99" s="14"/>
      <c r="CA99" s="117" t="str">
        <f>IF(_xlfn.XLOOKUP(BY99, AutoFill_classes!$A:$A, AutoFill_classes!$B:$B,"")=0,"",_xlfn.XLOOKUP(BY99, AutoFill_classes!$A:$A, AutoFill_classes!$B:$B,""))</f>
        <v/>
      </c>
      <c r="CB99" s="108"/>
      <c r="CC99" s="14"/>
      <c r="CD99" s="14"/>
      <c r="CE99" s="14"/>
      <c r="CF99" s="21"/>
      <c r="CG99" s="22"/>
      <c r="CH99" s="63"/>
      <c r="CI99" s="23"/>
      <c r="CJ99" s="121" t="str">
        <f t="shared" si="99"/>
        <v/>
      </c>
      <c r="CK99" s="20"/>
      <c r="CL99" s="20"/>
      <c r="CM99" s="20"/>
      <c r="CN99" s="20"/>
      <c r="CO99" s="125" t="str">
        <f t="shared" si="100"/>
        <v/>
      </c>
      <c r="CP99" s="14"/>
      <c r="CQ99" s="125" t="str">
        <f t="shared" si="101"/>
        <v/>
      </c>
      <c r="CR99" s="20"/>
      <c r="CS99" s="20"/>
      <c r="CT99" s="125" t="str">
        <f t="shared" si="102"/>
        <v/>
      </c>
      <c r="CU99" s="14"/>
      <c r="CV99" s="125" t="str">
        <f t="shared" si="103"/>
        <v/>
      </c>
      <c r="CW99" s="20"/>
      <c r="CX99" s="20"/>
      <c r="CY99" s="125" t="str">
        <f t="shared" si="104"/>
        <v/>
      </c>
      <c r="CZ99" s="125" t="str">
        <f t="shared" si="105"/>
        <v/>
      </c>
      <c r="DA99" s="125" t="str">
        <f t="shared" si="106"/>
        <v/>
      </c>
      <c r="DB99" s="129" t="str">
        <f t="shared" si="107"/>
        <v/>
      </c>
      <c r="DC99" s="14"/>
      <c r="DD99" s="62"/>
      <c r="DE99" s="105">
        <v>97</v>
      </c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spans="1:176" s="1" customFormat="1" ht="13" hidden="1" customHeight="1" outlineLevel="1" x14ac:dyDescent="0.2">
      <c r="A100" s="4"/>
      <c r="B100" s="115" t="str">
        <f>IF(_xlfn.XLOOKUP(A100, AutoFill_names!B:B, AutoFill_names!C:C,"")=0,"",_xlfn.XLOOKUP(A100, AutoFill_names!B:B, AutoFill_names!C:C,""))</f>
        <v/>
      </c>
      <c r="C100" s="115" t="str">
        <f>IF(_xlfn.XLOOKUP(A100, AutoFill_names!B:B, AutoFill_names!D:D,"")=0,"",_xlfn.XLOOKUP(A100, AutoFill_names!B:B, AutoFill_names!D:D,""))</f>
        <v/>
      </c>
      <c r="D100" s="115" t="str">
        <f>IF(_xlfn.XLOOKUP(A100, AutoFill_names!B:B, AutoFill_names!E:E,"")=0,"",_xlfn.XLOOKUP(A100, AutoFill_names!B:B, AutoFill_names!E:E,""))</f>
        <v/>
      </c>
      <c r="E100" s="115" t="str">
        <f>IF(_xlfn.XLOOKUP(A100, AutoFill_names!B:B, AutoFill_names!F:F,"")=0,"",_xlfn.XLOOKUP(A100, AutoFill_names!B:B, AutoFill_names!F:F,""))</f>
        <v/>
      </c>
      <c r="F100" s="92"/>
      <c r="J100" s="115" t="str">
        <f>IF(_xlfn.XLOOKUP(A100, AutoFill_names!B:B, AutoFill_names!K:K,"")=0,"",_xlfn.XLOOKUP(A100, AutoFill_names!B:B, AutoFill_names!K:K,""))</f>
        <v/>
      </c>
      <c r="K100" s="115" t="str">
        <f>IF(_xlfn.XLOOKUP(A100, AutoFill_names!B:B, AutoFill_names!L:L,"")=0,"",_xlfn.XLOOKUP(A100, AutoFill_names!B:B, AutoFill_names!L:L,""))</f>
        <v/>
      </c>
      <c r="L100" s="2"/>
      <c r="M100" s="2"/>
      <c r="N100" s="117" t="str">
        <f>IF(_xlfn.XLOOKUP(L100, AutoFill_classes!A:A, AutoFill_classes!B:B,"")=0,"",_xlfn.XLOOKUP(L100, AutoFill_classes!A:A, AutoFill_classes!B:B,""))</f>
        <v/>
      </c>
      <c r="O100" s="108"/>
      <c r="P100" s="6"/>
      <c r="Q100" s="6"/>
      <c r="R100" s="6"/>
      <c r="S100" s="2"/>
      <c r="T100" s="2"/>
      <c r="U100" s="2"/>
      <c r="X100" s="63"/>
      <c r="Y100" s="19"/>
      <c r="Z100" s="121" t="str">
        <f t="shared" si="81"/>
        <v/>
      </c>
      <c r="AA100" s="20"/>
      <c r="AB100" s="20"/>
      <c r="AC100" s="20"/>
      <c r="AD100" s="20"/>
      <c r="AE100" s="125" t="str">
        <f t="shared" si="82"/>
        <v/>
      </c>
      <c r="AF100" s="14"/>
      <c r="AG100" s="125" t="str">
        <f t="shared" si="83"/>
        <v/>
      </c>
      <c r="AH100" s="20"/>
      <c r="AI100" s="20"/>
      <c r="AJ100" s="125" t="str">
        <f t="shared" si="84"/>
        <v/>
      </c>
      <c r="AK100" s="14"/>
      <c r="AL100" s="125" t="str">
        <f t="shared" si="85"/>
        <v/>
      </c>
      <c r="AM100" s="20"/>
      <c r="AN100" s="20"/>
      <c r="AO100" s="125" t="str">
        <f t="shared" si="86"/>
        <v/>
      </c>
      <c r="AP100" s="125" t="str">
        <f t="shared" si="87"/>
        <v/>
      </c>
      <c r="AQ100" s="125" t="str">
        <f t="shared" si="88"/>
        <v/>
      </c>
      <c r="AR100" s="129" t="str">
        <f t="shared" si="89"/>
        <v/>
      </c>
      <c r="AS100" s="14"/>
      <c r="AT100" s="33"/>
      <c r="AU100" s="33"/>
      <c r="AV100" s="117" t="str">
        <f>IF(_xlfn.XLOOKUP(AT100, AutoFill_classes!$A:$A, AutoFill_classes!$B:$B,"")=0,"",_xlfn.XLOOKUP(AT100, AutoFill_classes!$A:$A, AutoFill_classes!$B:$B,""))</f>
        <v/>
      </c>
      <c r="AW100" s="108"/>
      <c r="AX100" s="11"/>
      <c r="AY100" s="11"/>
      <c r="AZ100" s="11"/>
      <c r="BA100" s="13"/>
      <c r="BB100" s="13"/>
      <c r="BC100" s="63"/>
      <c r="BD100" s="19"/>
      <c r="BE100" s="121" t="str">
        <f t="shared" si="90"/>
        <v/>
      </c>
      <c r="BF100" s="20"/>
      <c r="BG100" s="20"/>
      <c r="BH100" s="20"/>
      <c r="BI100" s="20"/>
      <c r="BJ100" s="125" t="str">
        <f t="shared" si="91"/>
        <v/>
      </c>
      <c r="BK100" s="14"/>
      <c r="BL100" s="125" t="str">
        <f t="shared" si="92"/>
        <v/>
      </c>
      <c r="BM100" s="20"/>
      <c r="BN100" s="20"/>
      <c r="BO100" s="125" t="str">
        <f t="shared" si="93"/>
        <v/>
      </c>
      <c r="BP100" s="14"/>
      <c r="BQ100" s="125" t="str">
        <f t="shared" si="94"/>
        <v/>
      </c>
      <c r="BR100" s="20"/>
      <c r="BS100" s="20"/>
      <c r="BT100" s="125" t="str">
        <f t="shared" si="95"/>
        <v/>
      </c>
      <c r="BU100" s="125" t="str">
        <f t="shared" si="96"/>
        <v/>
      </c>
      <c r="BV100" s="125" t="str">
        <f t="shared" si="97"/>
        <v/>
      </c>
      <c r="BW100" s="129" t="str">
        <f t="shared" si="98"/>
        <v/>
      </c>
      <c r="BX100" s="11"/>
      <c r="BY100" s="15"/>
      <c r="BZ100" s="14"/>
      <c r="CA100" s="117" t="str">
        <f>IF(_xlfn.XLOOKUP(BY100, AutoFill_classes!$A:$A, AutoFill_classes!$B:$B,"")=0,"",_xlfn.XLOOKUP(BY100, AutoFill_classes!$A:$A, AutoFill_classes!$B:$B,""))</f>
        <v/>
      </c>
      <c r="CB100" s="108"/>
      <c r="CC100" s="14"/>
      <c r="CD100" s="14"/>
      <c r="CE100" s="14"/>
      <c r="CF100" s="21"/>
      <c r="CG100" s="22"/>
      <c r="CH100" s="63"/>
      <c r="CI100" s="23"/>
      <c r="CJ100" s="121" t="str">
        <f t="shared" si="99"/>
        <v/>
      </c>
      <c r="CK100" s="20"/>
      <c r="CL100" s="20"/>
      <c r="CM100" s="20"/>
      <c r="CN100" s="20"/>
      <c r="CO100" s="125" t="str">
        <f t="shared" si="100"/>
        <v/>
      </c>
      <c r="CP100" s="14"/>
      <c r="CQ100" s="125" t="str">
        <f t="shared" si="101"/>
        <v/>
      </c>
      <c r="CR100" s="20"/>
      <c r="CS100" s="20"/>
      <c r="CT100" s="125" t="str">
        <f t="shared" si="102"/>
        <v/>
      </c>
      <c r="CU100" s="14"/>
      <c r="CV100" s="125" t="str">
        <f t="shared" si="103"/>
        <v/>
      </c>
      <c r="CW100" s="20"/>
      <c r="CX100" s="20"/>
      <c r="CY100" s="125" t="str">
        <f t="shared" si="104"/>
        <v/>
      </c>
      <c r="CZ100" s="125" t="str">
        <f t="shared" si="105"/>
        <v/>
      </c>
      <c r="DA100" s="125" t="str">
        <f t="shared" si="106"/>
        <v/>
      </c>
      <c r="DB100" s="129" t="str">
        <f t="shared" si="107"/>
        <v/>
      </c>
      <c r="DC100" s="14"/>
      <c r="DD100" s="62"/>
      <c r="DE100" s="105">
        <v>98</v>
      </c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spans="1:176" s="1" customFormat="1" ht="13" hidden="1" customHeight="1" outlineLevel="1" x14ac:dyDescent="0.2">
      <c r="A101" s="4"/>
      <c r="B101" s="115" t="str">
        <f>IF(_xlfn.XLOOKUP(A101, AutoFill_names!B:B, AutoFill_names!C:C,"")=0,"",_xlfn.XLOOKUP(A101, AutoFill_names!B:B, AutoFill_names!C:C,""))</f>
        <v/>
      </c>
      <c r="C101" s="115" t="str">
        <f>IF(_xlfn.XLOOKUP(A101, AutoFill_names!B:B, AutoFill_names!D:D,"")=0,"",_xlfn.XLOOKUP(A101, AutoFill_names!B:B, AutoFill_names!D:D,""))</f>
        <v/>
      </c>
      <c r="D101" s="115" t="str">
        <f>IF(_xlfn.XLOOKUP(A101, AutoFill_names!B:B, AutoFill_names!E:E,"")=0,"",_xlfn.XLOOKUP(A101, AutoFill_names!B:B, AutoFill_names!E:E,""))</f>
        <v/>
      </c>
      <c r="E101" s="115" t="str">
        <f>IF(_xlfn.XLOOKUP(A101, AutoFill_names!B:B, AutoFill_names!F:F,"")=0,"",_xlfn.XLOOKUP(A101, AutoFill_names!B:B, AutoFill_names!F:F,""))</f>
        <v/>
      </c>
      <c r="F101" s="92"/>
      <c r="J101" s="115" t="str">
        <f>IF(_xlfn.XLOOKUP(A101, AutoFill_names!B:B, AutoFill_names!K:K,"")=0,"",_xlfn.XLOOKUP(A101, AutoFill_names!B:B, AutoFill_names!K:K,""))</f>
        <v/>
      </c>
      <c r="K101" s="115" t="str">
        <f>IF(_xlfn.XLOOKUP(A101, AutoFill_names!B:B, AutoFill_names!L:L,"")=0,"",_xlfn.XLOOKUP(A101, AutoFill_names!B:B, AutoFill_names!L:L,""))</f>
        <v/>
      </c>
      <c r="L101" s="2"/>
      <c r="M101" s="2"/>
      <c r="N101" s="117" t="str">
        <f>IF(_xlfn.XLOOKUP(L101, AutoFill_classes!A:A, AutoFill_classes!B:B,"")=0,"",_xlfn.XLOOKUP(L101, AutoFill_classes!A:A, AutoFill_classes!B:B,""))</f>
        <v/>
      </c>
      <c r="O101" s="108"/>
      <c r="P101" s="6"/>
      <c r="Q101" s="6"/>
      <c r="R101" s="6"/>
      <c r="S101" s="2"/>
      <c r="T101" s="2"/>
      <c r="U101" s="2"/>
      <c r="X101" s="63"/>
      <c r="Y101" s="19"/>
      <c r="Z101" s="121" t="str">
        <f t="shared" si="81"/>
        <v/>
      </c>
      <c r="AA101" s="20"/>
      <c r="AB101" s="20"/>
      <c r="AC101" s="20"/>
      <c r="AD101" s="20"/>
      <c r="AE101" s="125" t="str">
        <f t="shared" si="82"/>
        <v/>
      </c>
      <c r="AF101" s="14"/>
      <c r="AG101" s="125" t="str">
        <f t="shared" si="83"/>
        <v/>
      </c>
      <c r="AH101" s="20"/>
      <c r="AI101" s="20"/>
      <c r="AJ101" s="125" t="str">
        <f t="shared" si="84"/>
        <v/>
      </c>
      <c r="AK101" s="14"/>
      <c r="AL101" s="125" t="str">
        <f t="shared" si="85"/>
        <v/>
      </c>
      <c r="AM101" s="20"/>
      <c r="AN101" s="20"/>
      <c r="AO101" s="125" t="str">
        <f t="shared" si="86"/>
        <v/>
      </c>
      <c r="AP101" s="125" t="str">
        <f t="shared" si="87"/>
        <v/>
      </c>
      <c r="AQ101" s="125" t="str">
        <f t="shared" si="88"/>
        <v/>
      </c>
      <c r="AR101" s="129" t="str">
        <f t="shared" si="89"/>
        <v/>
      </c>
      <c r="AS101" s="14"/>
      <c r="AT101" s="33"/>
      <c r="AU101" s="33"/>
      <c r="AV101" s="117" t="str">
        <f>IF(_xlfn.XLOOKUP(AT101, AutoFill_classes!$A:$A, AutoFill_classes!$B:$B,"")=0,"",_xlfn.XLOOKUP(AT101, AutoFill_classes!$A:$A, AutoFill_classes!$B:$B,""))</f>
        <v/>
      </c>
      <c r="AW101" s="108"/>
      <c r="AX101" s="11"/>
      <c r="AY101" s="11"/>
      <c r="AZ101" s="11"/>
      <c r="BA101" s="13"/>
      <c r="BB101" s="13"/>
      <c r="BC101" s="63"/>
      <c r="BD101" s="19"/>
      <c r="BE101" s="121" t="str">
        <f t="shared" si="90"/>
        <v/>
      </c>
      <c r="BF101" s="20"/>
      <c r="BG101" s="20"/>
      <c r="BH101" s="20"/>
      <c r="BI101" s="20"/>
      <c r="BJ101" s="125" t="str">
        <f t="shared" si="91"/>
        <v/>
      </c>
      <c r="BK101" s="14"/>
      <c r="BL101" s="125" t="str">
        <f t="shared" si="92"/>
        <v/>
      </c>
      <c r="BM101" s="20"/>
      <c r="BN101" s="20"/>
      <c r="BO101" s="125" t="str">
        <f t="shared" si="93"/>
        <v/>
      </c>
      <c r="BP101" s="14"/>
      <c r="BQ101" s="125" t="str">
        <f t="shared" si="94"/>
        <v/>
      </c>
      <c r="BR101" s="20"/>
      <c r="BS101" s="20"/>
      <c r="BT101" s="125" t="str">
        <f t="shared" si="95"/>
        <v/>
      </c>
      <c r="BU101" s="125" t="str">
        <f t="shared" si="96"/>
        <v/>
      </c>
      <c r="BV101" s="125" t="str">
        <f t="shared" si="97"/>
        <v/>
      </c>
      <c r="BW101" s="129" t="str">
        <f t="shared" si="98"/>
        <v/>
      </c>
      <c r="BX101" s="11"/>
      <c r="BY101" s="15"/>
      <c r="BZ101" s="14"/>
      <c r="CA101" s="117" t="str">
        <f>IF(_xlfn.XLOOKUP(BY101, AutoFill_classes!$A:$A, AutoFill_classes!$B:$B,"")=0,"",_xlfn.XLOOKUP(BY101, AutoFill_classes!$A:$A, AutoFill_classes!$B:$B,""))</f>
        <v/>
      </c>
      <c r="CB101" s="108"/>
      <c r="CC101" s="14"/>
      <c r="CD101" s="14"/>
      <c r="CE101" s="14"/>
      <c r="CF101" s="21"/>
      <c r="CG101" s="22"/>
      <c r="CH101" s="63"/>
      <c r="CI101" s="23"/>
      <c r="CJ101" s="121" t="str">
        <f t="shared" si="99"/>
        <v/>
      </c>
      <c r="CK101" s="20"/>
      <c r="CL101" s="20"/>
      <c r="CM101" s="20"/>
      <c r="CN101" s="20"/>
      <c r="CO101" s="125" t="str">
        <f t="shared" si="100"/>
        <v/>
      </c>
      <c r="CP101" s="14"/>
      <c r="CQ101" s="125" t="str">
        <f t="shared" si="101"/>
        <v/>
      </c>
      <c r="CR101" s="20"/>
      <c r="CS101" s="20"/>
      <c r="CT101" s="125" t="str">
        <f t="shared" si="102"/>
        <v/>
      </c>
      <c r="CU101" s="14"/>
      <c r="CV101" s="125" t="str">
        <f t="shared" si="103"/>
        <v/>
      </c>
      <c r="CW101" s="20"/>
      <c r="CX101" s="20"/>
      <c r="CY101" s="125" t="str">
        <f t="shared" si="104"/>
        <v/>
      </c>
      <c r="CZ101" s="125" t="str">
        <f t="shared" si="105"/>
        <v/>
      </c>
      <c r="DA101" s="125" t="str">
        <f t="shared" si="106"/>
        <v/>
      </c>
      <c r="DB101" s="129" t="str">
        <f t="shared" si="107"/>
        <v/>
      </c>
      <c r="DC101" s="14"/>
      <c r="DD101" s="62"/>
      <c r="DE101" s="105">
        <v>99</v>
      </c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spans="1:176" s="1" customFormat="1" ht="13" hidden="1" customHeight="1" outlineLevel="1" x14ac:dyDescent="0.2">
      <c r="A102" s="4"/>
      <c r="B102" s="115" t="str">
        <f>IF(_xlfn.XLOOKUP(A102, AutoFill_names!B:B, AutoFill_names!C:C,"")=0,"",_xlfn.XLOOKUP(A102, AutoFill_names!B:B, AutoFill_names!C:C,""))</f>
        <v/>
      </c>
      <c r="C102" s="115" t="str">
        <f>IF(_xlfn.XLOOKUP(A102, AutoFill_names!B:B, AutoFill_names!D:D,"")=0,"",_xlfn.XLOOKUP(A102, AutoFill_names!B:B, AutoFill_names!D:D,""))</f>
        <v/>
      </c>
      <c r="D102" s="115" t="str">
        <f>IF(_xlfn.XLOOKUP(A102, AutoFill_names!B:B, AutoFill_names!E:E,"")=0,"",_xlfn.XLOOKUP(A102, AutoFill_names!B:B, AutoFill_names!E:E,""))</f>
        <v/>
      </c>
      <c r="E102" s="115" t="str">
        <f>IF(_xlfn.XLOOKUP(A102, AutoFill_names!B:B, AutoFill_names!F:F,"")=0,"",_xlfn.XLOOKUP(A102, AutoFill_names!B:B, AutoFill_names!F:F,""))</f>
        <v/>
      </c>
      <c r="F102" s="92"/>
      <c r="J102" s="115" t="str">
        <f>IF(_xlfn.XLOOKUP(A102, AutoFill_names!B:B, AutoFill_names!K:K,"")=0,"",_xlfn.XLOOKUP(A102, AutoFill_names!B:B, AutoFill_names!K:K,""))</f>
        <v/>
      </c>
      <c r="K102" s="115" t="str">
        <f>IF(_xlfn.XLOOKUP(A102, AutoFill_names!B:B, AutoFill_names!L:L,"")=0,"",_xlfn.XLOOKUP(A102, AutoFill_names!B:B, AutoFill_names!L:L,""))</f>
        <v/>
      </c>
      <c r="L102" s="2"/>
      <c r="M102" s="2"/>
      <c r="N102" s="117" t="str">
        <f>IF(_xlfn.XLOOKUP(L102, AutoFill_classes!A:A, AutoFill_classes!B:B,"")=0,"",_xlfn.XLOOKUP(L102, AutoFill_classes!A:A, AutoFill_classes!B:B,""))</f>
        <v/>
      </c>
      <c r="O102" s="108"/>
      <c r="P102" s="6"/>
      <c r="Q102" s="6"/>
      <c r="R102" s="6"/>
      <c r="S102" s="2"/>
      <c r="T102" s="2"/>
      <c r="U102" s="2"/>
      <c r="X102" s="63"/>
      <c r="Y102" s="19"/>
      <c r="Z102" s="121" t="str">
        <f t="shared" si="81"/>
        <v/>
      </c>
      <c r="AA102" s="20"/>
      <c r="AB102" s="20"/>
      <c r="AC102" s="20"/>
      <c r="AD102" s="20"/>
      <c r="AE102" s="125" t="str">
        <f t="shared" si="82"/>
        <v/>
      </c>
      <c r="AF102" s="14"/>
      <c r="AG102" s="125" t="str">
        <f t="shared" si="83"/>
        <v/>
      </c>
      <c r="AH102" s="20"/>
      <c r="AI102" s="20"/>
      <c r="AJ102" s="125" t="str">
        <f t="shared" si="84"/>
        <v/>
      </c>
      <c r="AK102" s="14"/>
      <c r="AL102" s="125" t="str">
        <f t="shared" si="85"/>
        <v/>
      </c>
      <c r="AM102" s="20"/>
      <c r="AN102" s="20"/>
      <c r="AO102" s="125" t="str">
        <f t="shared" si="86"/>
        <v/>
      </c>
      <c r="AP102" s="125" t="str">
        <f t="shared" si="87"/>
        <v/>
      </c>
      <c r="AQ102" s="125" t="str">
        <f t="shared" si="88"/>
        <v/>
      </c>
      <c r="AR102" s="129" t="str">
        <f t="shared" si="89"/>
        <v/>
      </c>
      <c r="AS102" s="14"/>
      <c r="AT102" s="33"/>
      <c r="AU102" s="33"/>
      <c r="AV102" s="117" t="str">
        <f>IF(_xlfn.XLOOKUP(AT102, AutoFill_classes!$A:$A, AutoFill_classes!$B:$B,"")=0,"",_xlfn.XLOOKUP(AT102, AutoFill_classes!$A:$A, AutoFill_classes!$B:$B,""))</f>
        <v/>
      </c>
      <c r="AW102" s="108"/>
      <c r="AX102" s="11"/>
      <c r="AY102" s="11"/>
      <c r="AZ102" s="11"/>
      <c r="BA102" s="13"/>
      <c r="BB102" s="13"/>
      <c r="BC102" s="63"/>
      <c r="BD102" s="19"/>
      <c r="BE102" s="121" t="str">
        <f t="shared" si="90"/>
        <v/>
      </c>
      <c r="BF102" s="20"/>
      <c r="BG102" s="20"/>
      <c r="BH102" s="20"/>
      <c r="BI102" s="20"/>
      <c r="BJ102" s="125" t="str">
        <f t="shared" si="91"/>
        <v/>
      </c>
      <c r="BK102" s="14"/>
      <c r="BL102" s="125" t="str">
        <f t="shared" si="92"/>
        <v/>
      </c>
      <c r="BM102" s="20"/>
      <c r="BN102" s="20"/>
      <c r="BO102" s="125" t="str">
        <f t="shared" si="93"/>
        <v/>
      </c>
      <c r="BP102" s="14"/>
      <c r="BQ102" s="125" t="str">
        <f t="shared" si="94"/>
        <v/>
      </c>
      <c r="BR102" s="20"/>
      <c r="BS102" s="20"/>
      <c r="BT102" s="125" t="str">
        <f t="shared" si="95"/>
        <v/>
      </c>
      <c r="BU102" s="125" t="str">
        <f t="shared" si="96"/>
        <v/>
      </c>
      <c r="BV102" s="125" t="str">
        <f t="shared" si="97"/>
        <v/>
      </c>
      <c r="BW102" s="129" t="str">
        <f t="shared" si="98"/>
        <v/>
      </c>
      <c r="BX102" s="11"/>
      <c r="BY102" s="15"/>
      <c r="BZ102" s="14"/>
      <c r="CA102" s="117" t="str">
        <f>IF(_xlfn.XLOOKUP(BY102, AutoFill_classes!$A:$A, AutoFill_classes!$B:$B,"")=0,"",_xlfn.XLOOKUP(BY102, AutoFill_classes!$A:$A, AutoFill_classes!$B:$B,""))</f>
        <v/>
      </c>
      <c r="CB102" s="108"/>
      <c r="CC102" s="14"/>
      <c r="CD102" s="14"/>
      <c r="CE102" s="14"/>
      <c r="CF102" s="21"/>
      <c r="CG102" s="22"/>
      <c r="CH102" s="63"/>
      <c r="CI102" s="23"/>
      <c r="CJ102" s="121" t="str">
        <f t="shared" si="99"/>
        <v/>
      </c>
      <c r="CK102" s="20"/>
      <c r="CL102" s="20"/>
      <c r="CM102" s="20"/>
      <c r="CN102" s="20"/>
      <c r="CO102" s="125" t="str">
        <f t="shared" si="100"/>
        <v/>
      </c>
      <c r="CP102" s="14"/>
      <c r="CQ102" s="125" t="str">
        <f t="shared" si="101"/>
        <v/>
      </c>
      <c r="CR102" s="20"/>
      <c r="CS102" s="20"/>
      <c r="CT102" s="125" t="str">
        <f t="shared" si="102"/>
        <v/>
      </c>
      <c r="CU102" s="14"/>
      <c r="CV102" s="125" t="str">
        <f t="shared" si="103"/>
        <v/>
      </c>
      <c r="CW102" s="20"/>
      <c r="CX102" s="20"/>
      <c r="CY102" s="125" t="str">
        <f t="shared" si="104"/>
        <v/>
      </c>
      <c r="CZ102" s="125" t="str">
        <f t="shared" si="105"/>
        <v/>
      </c>
      <c r="DA102" s="125" t="str">
        <f t="shared" si="106"/>
        <v/>
      </c>
      <c r="DB102" s="129" t="str">
        <f t="shared" si="107"/>
        <v/>
      </c>
      <c r="DC102" s="14"/>
      <c r="DD102" s="62"/>
      <c r="DE102" s="105">
        <v>100</v>
      </c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spans="1:176" s="1" customFormat="1" ht="13" hidden="1" customHeight="1" outlineLevel="1" x14ac:dyDescent="0.2">
      <c r="A103" s="4"/>
      <c r="B103" s="115" t="str">
        <f>IF(_xlfn.XLOOKUP(A103, AutoFill_names!B:B, AutoFill_names!C:C,"")=0,"",_xlfn.XLOOKUP(A103, AutoFill_names!B:B, AutoFill_names!C:C,""))</f>
        <v/>
      </c>
      <c r="C103" s="115" t="str">
        <f>IF(_xlfn.XLOOKUP(A103, AutoFill_names!B:B, AutoFill_names!D:D,"")=0,"",_xlfn.XLOOKUP(A103, AutoFill_names!B:B, AutoFill_names!D:D,""))</f>
        <v/>
      </c>
      <c r="D103" s="115" t="str">
        <f>IF(_xlfn.XLOOKUP(A103, AutoFill_names!B:B, AutoFill_names!E:E,"")=0,"",_xlfn.XLOOKUP(A103, AutoFill_names!B:B, AutoFill_names!E:E,""))</f>
        <v/>
      </c>
      <c r="E103" s="115" t="str">
        <f>IF(_xlfn.XLOOKUP(A103, AutoFill_names!B:B, AutoFill_names!F:F,"")=0,"",_xlfn.XLOOKUP(A103, AutoFill_names!B:B, AutoFill_names!F:F,""))</f>
        <v/>
      </c>
      <c r="F103" s="92"/>
      <c r="J103" s="115" t="str">
        <f>IF(_xlfn.XLOOKUP(A103, AutoFill_names!B:B, AutoFill_names!K:K,"")=0,"",_xlfn.XLOOKUP(A103, AutoFill_names!B:B, AutoFill_names!K:K,""))</f>
        <v/>
      </c>
      <c r="K103" s="115" t="str">
        <f>IF(_xlfn.XLOOKUP(A103, AutoFill_names!B:B, AutoFill_names!L:L,"")=0,"",_xlfn.XLOOKUP(A103, AutoFill_names!B:B, AutoFill_names!L:L,""))</f>
        <v/>
      </c>
      <c r="L103" s="2"/>
      <c r="M103" s="2"/>
      <c r="N103" s="117" t="str">
        <f>IF(_xlfn.XLOOKUP(L103, AutoFill_classes!A:A, AutoFill_classes!B:B,"")=0,"",_xlfn.XLOOKUP(L103, AutoFill_classes!A:A, AutoFill_classes!B:B,""))</f>
        <v/>
      </c>
      <c r="O103" s="108"/>
      <c r="P103" s="6"/>
      <c r="Q103" s="6"/>
      <c r="R103" s="6"/>
      <c r="S103" s="2"/>
      <c r="T103" s="2"/>
      <c r="U103" s="2"/>
      <c r="X103" s="63"/>
      <c r="Y103" s="19"/>
      <c r="Z103" s="121" t="str">
        <f t="shared" si="81"/>
        <v/>
      </c>
      <c r="AA103" s="20"/>
      <c r="AB103" s="20"/>
      <c r="AC103" s="20"/>
      <c r="AD103" s="20"/>
      <c r="AE103" s="125" t="str">
        <f t="shared" si="82"/>
        <v/>
      </c>
      <c r="AF103" s="14"/>
      <c r="AG103" s="125" t="str">
        <f t="shared" si="83"/>
        <v/>
      </c>
      <c r="AH103" s="20"/>
      <c r="AI103" s="20"/>
      <c r="AJ103" s="125" t="str">
        <f t="shared" si="84"/>
        <v/>
      </c>
      <c r="AK103" s="14"/>
      <c r="AL103" s="125" t="str">
        <f t="shared" si="85"/>
        <v/>
      </c>
      <c r="AM103" s="20"/>
      <c r="AN103" s="20"/>
      <c r="AO103" s="125" t="str">
        <f t="shared" si="86"/>
        <v/>
      </c>
      <c r="AP103" s="125" t="str">
        <f t="shared" si="87"/>
        <v/>
      </c>
      <c r="AQ103" s="125" t="str">
        <f t="shared" si="88"/>
        <v/>
      </c>
      <c r="AR103" s="129" t="str">
        <f t="shared" si="89"/>
        <v/>
      </c>
      <c r="AS103" s="14"/>
      <c r="AT103" s="33"/>
      <c r="AU103" s="33"/>
      <c r="AV103" s="117" t="str">
        <f>IF(_xlfn.XLOOKUP(AT103, AutoFill_classes!$A:$A, AutoFill_classes!$B:$B,"")=0,"",_xlfn.XLOOKUP(AT103, AutoFill_classes!$A:$A, AutoFill_classes!$B:$B,""))</f>
        <v/>
      </c>
      <c r="AW103" s="108"/>
      <c r="AX103" s="11"/>
      <c r="AY103" s="11"/>
      <c r="AZ103" s="11"/>
      <c r="BA103" s="13"/>
      <c r="BB103" s="13"/>
      <c r="BC103" s="63"/>
      <c r="BD103" s="19"/>
      <c r="BE103" s="121" t="str">
        <f t="shared" si="90"/>
        <v/>
      </c>
      <c r="BF103" s="20"/>
      <c r="BG103" s="20"/>
      <c r="BH103" s="20"/>
      <c r="BI103" s="20"/>
      <c r="BJ103" s="125" t="str">
        <f t="shared" si="91"/>
        <v/>
      </c>
      <c r="BK103" s="14"/>
      <c r="BL103" s="125" t="str">
        <f t="shared" si="92"/>
        <v/>
      </c>
      <c r="BM103" s="20"/>
      <c r="BN103" s="20"/>
      <c r="BO103" s="125" t="str">
        <f t="shared" si="93"/>
        <v/>
      </c>
      <c r="BP103" s="14"/>
      <c r="BQ103" s="125" t="str">
        <f t="shared" si="94"/>
        <v/>
      </c>
      <c r="BR103" s="20"/>
      <c r="BS103" s="20"/>
      <c r="BT103" s="125" t="str">
        <f t="shared" si="95"/>
        <v/>
      </c>
      <c r="BU103" s="125" t="str">
        <f t="shared" si="96"/>
        <v/>
      </c>
      <c r="BV103" s="125" t="str">
        <f t="shared" si="97"/>
        <v/>
      </c>
      <c r="BW103" s="129" t="str">
        <f t="shared" si="98"/>
        <v/>
      </c>
      <c r="BX103" s="11"/>
      <c r="BY103" s="15"/>
      <c r="BZ103" s="14"/>
      <c r="CA103" s="117" t="str">
        <f>IF(_xlfn.XLOOKUP(BY103, AutoFill_classes!$A:$A, AutoFill_classes!$B:$B,"")=0,"",_xlfn.XLOOKUP(BY103, AutoFill_classes!$A:$A, AutoFill_classes!$B:$B,""))</f>
        <v/>
      </c>
      <c r="CB103" s="108"/>
      <c r="CC103" s="14"/>
      <c r="CD103" s="14"/>
      <c r="CE103" s="14"/>
      <c r="CF103" s="21"/>
      <c r="CG103" s="22"/>
      <c r="CH103" s="63"/>
      <c r="CI103" s="23"/>
      <c r="CJ103" s="121" t="str">
        <f t="shared" si="99"/>
        <v/>
      </c>
      <c r="CK103" s="20"/>
      <c r="CL103" s="20"/>
      <c r="CM103" s="20"/>
      <c r="CN103" s="20"/>
      <c r="CO103" s="125" t="str">
        <f t="shared" si="100"/>
        <v/>
      </c>
      <c r="CP103" s="14"/>
      <c r="CQ103" s="125" t="str">
        <f t="shared" si="101"/>
        <v/>
      </c>
      <c r="CR103" s="20"/>
      <c r="CS103" s="20"/>
      <c r="CT103" s="125" t="str">
        <f t="shared" si="102"/>
        <v/>
      </c>
      <c r="CU103" s="14"/>
      <c r="CV103" s="125" t="str">
        <f t="shared" si="103"/>
        <v/>
      </c>
      <c r="CW103" s="20"/>
      <c r="CX103" s="20"/>
      <c r="CY103" s="125" t="str">
        <f t="shared" si="104"/>
        <v/>
      </c>
      <c r="CZ103" s="125" t="str">
        <f t="shared" si="105"/>
        <v/>
      </c>
      <c r="DA103" s="125" t="str">
        <f t="shared" si="106"/>
        <v/>
      </c>
      <c r="DB103" s="129" t="str">
        <f t="shared" si="107"/>
        <v/>
      </c>
      <c r="DC103" s="14"/>
      <c r="DD103" s="62"/>
      <c r="DE103" s="105">
        <v>101</v>
      </c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spans="1:176" s="1" customFormat="1" ht="13" hidden="1" customHeight="1" outlineLevel="1" x14ac:dyDescent="0.2">
      <c r="A104" s="4"/>
      <c r="B104" s="115" t="str">
        <f>IF(_xlfn.XLOOKUP(A104, AutoFill_names!B:B, AutoFill_names!C:C,"")=0,"",_xlfn.XLOOKUP(A104, AutoFill_names!B:B, AutoFill_names!C:C,""))</f>
        <v/>
      </c>
      <c r="C104" s="115" t="str">
        <f>IF(_xlfn.XLOOKUP(A104, AutoFill_names!B:B, AutoFill_names!D:D,"")=0,"",_xlfn.XLOOKUP(A104, AutoFill_names!B:B, AutoFill_names!D:D,""))</f>
        <v/>
      </c>
      <c r="D104" s="115" t="str">
        <f>IF(_xlfn.XLOOKUP(A104, AutoFill_names!B:B, AutoFill_names!E:E,"")=0,"",_xlfn.XLOOKUP(A104, AutoFill_names!B:B, AutoFill_names!E:E,""))</f>
        <v/>
      </c>
      <c r="E104" s="115" t="str">
        <f>IF(_xlfn.XLOOKUP(A104, AutoFill_names!B:B, AutoFill_names!F:F,"")=0,"",_xlfn.XLOOKUP(A104, AutoFill_names!B:B, AutoFill_names!F:F,""))</f>
        <v/>
      </c>
      <c r="F104" s="92"/>
      <c r="J104" s="115" t="str">
        <f>IF(_xlfn.XLOOKUP(A104, AutoFill_names!B:B, AutoFill_names!K:K,"")=0,"",_xlfn.XLOOKUP(A104, AutoFill_names!B:B, AutoFill_names!K:K,""))</f>
        <v/>
      </c>
      <c r="K104" s="115" t="str">
        <f>IF(_xlfn.XLOOKUP(A104, AutoFill_names!B:B, AutoFill_names!L:L,"")=0,"",_xlfn.XLOOKUP(A104, AutoFill_names!B:B, AutoFill_names!L:L,""))</f>
        <v/>
      </c>
      <c r="L104" s="2"/>
      <c r="M104" s="2"/>
      <c r="N104" s="117" t="str">
        <f>IF(_xlfn.XLOOKUP(L104, AutoFill_classes!A:A, AutoFill_classes!B:B,"")=0,"",_xlfn.XLOOKUP(L104, AutoFill_classes!A:A, AutoFill_classes!B:B,""))</f>
        <v/>
      </c>
      <c r="O104" s="108"/>
      <c r="P104" s="6"/>
      <c r="Q104" s="6"/>
      <c r="R104" s="6"/>
      <c r="S104" s="2"/>
      <c r="T104" s="2"/>
      <c r="U104" s="2"/>
      <c r="X104" s="63"/>
      <c r="Y104" s="19"/>
      <c r="Z104" s="121" t="str">
        <f t="shared" si="81"/>
        <v/>
      </c>
      <c r="AA104" s="20"/>
      <c r="AB104" s="20"/>
      <c r="AC104" s="20"/>
      <c r="AD104" s="20"/>
      <c r="AE104" s="125" t="str">
        <f t="shared" si="82"/>
        <v/>
      </c>
      <c r="AF104" s="14"/>
      <c r="AG104" s="125" t="str">
        <f t="shared" si="83"/>
        <v/>
      </c>
      <c r="AH104" s="20"/>
      <c r="AI104" s="20"/>
      <c r="AJ104" s="125" t="str">
        <f t="shared" si="84"/>
        <v/>
      </c>
      <c r="AK104" s="14"/>
      <c r="AL104" s="125" t="str">
        <f t="shared" si="85"/>
        <v/>
      </c>
      <c r="AM104" s="20"/>
      <c r="AN104" s="20"/>
      <c r="AO104" s="125" t="str">
        <f t="shared" si="86"/>
        <v/>
      </c>
      <c r="AP104" s="125" t="str">
        <f t="shared" si="87"/>
        <v/>
      </c>
      <c r="AQ104" s="125" t="str">
        <f t="shared" si="88"/>
        <v/>
      </c>
      <c r="AR104" s="129" t="str">
        <f t="shared" si="89"/>
        <v/>
      </c>
      <c r="AS104" s="14"/>
      <c r="AT104" s="33"/>
      <c r="AU104" s="33"/>
      <c r="AV104" s="117" t="str">
        <f>IF(_xlfn.XLOOKUP(AT104, AutoFill_classes!$A:$A, AutoFill_classes!$B:$B,"")=0,"",_xlfn.XLOOKUP(AT104, AutoFill_classes!$A:$A, AutoFill_classes!$B:$B,""))</f>
        <v/>
      </c>
      <c r="AW104" s="108"/>
      <c r="AX104" s="11"/>
      <c r="AY104" s="11"/>
      <c r="AZ104" s="11"/>
      <c r="BA104" s="13"/>
      <c r="BB104" s="13"/>
      <c r="BC104" s="63"/>
      <c r="BD104" s="19"/>
      <c r="BE104" s="121" t="str">
        <f t="shared" si="90"/>
        <v/>
      </c>
      <c r="BF104" s="20"/>
      <c r="BG104" s="20"/>
      <c r="BH104" s="20"/>
      <c r="BI104" s="20"/>
      <c r="BJ104" s="125" t="str">
        <f t="shared" si="91"/>
        <v/>
      </c>
      <c r="BK104" s="14"/>
      <c r="BL104" s="125" t="str">
        <f t="shared" si="92"/>
        <v/>
      </c>
      <c r="BM104" s="20"/>
      <c r="BN104" s="20"/>
      <c r="BO104" s="125" t="str">
        <f t="shared" si="93"/>
        <v/>
      </c>
      <c r="BP104" s="14"/>
      <c r="BQ104" s="125" t="str">
        <f t="shared" si="94"/>
        <v/>
      </c>
      <c r="BR104" s="20"/>
      <c r="BS104" s="20"/>
      <c r="BT104" s="125" t="str">
        <f t="shared" si="95"/>
        <v/>
      </c>
      <c r="BU104" s="125" t="str">
        <f t="shared" si="96"/>
        <v/>
      </c>
      <c r="BV104" s="125" t="str">
        <f t="shared" si="97"/>
        <v/>
      </c>
      <c r="BW104" s="129" t="str">
        <f t="shared" si="98"/>
        <v/>
      </c>
      <c r="BX104" s="11"/>
      <c r="BY104" s="15"/>
      <c r="BZ104" s="14"/>
      <c r="CA104" s="117" t="str">
        <f>IF(_xlfn.XLOOKUP(BY104, AutoFill_classes!$A:$A, AutoFill_classes!$B:$B,"")=0,"",_xlfn.XLOOKUP(BY104, AutoFill_classes!$A:$A, AutoFill_classes!$B:$B,""))</f>
        <v/>
      </c>
      <c r="CB104" s="108"/>
      <c r="CC104" s="14"/>
      <c r="CD104" s="14"/>
      <c r="CE104" s="14"/>
      <c r="CF104" s="21"/>
      <c r="CG104" s="22"/>
      <c r="CH104" s="63"/>
      <c r="CI104" s="23"/>
      <c r="CJ104" s="121" t="str">
        <f t="shared" si="99"/>
        <v/>
      </c>
      <c r="CK104" s="20"/>
      <c r="CL104" s="20"/>
      <c r="CM104" s="20"/>
      <c r="CN104" s="20"/>
      <c r="CO104" s="125" t="str">
        <f t="shared" si="100"/>
        <v/>
      </c>
      <c r="CP104" s="14"/>
      <c r="CQ104" s="125" t="str">
        <f t="shared" si="101"/>
        <v/>
      </c>
      <c r="CR104" s="20"/>
      <c r="CS104" s="20"/>
      <c r="CT104" s="125" t="str">
        <f t="shared" si="102"/>
        <v/>
      </c>
      <c r="CU104" s="14"/>
      <c r="CV104" s="125" t="str">
        <f t="shared" si="103"/>
        <v/>
      </c>
      <c r="CW104" s="20"/>
      <c r="CX104" s="20"/>
      <c r="CY104" s="125" t="str">
        <f t="shared" si="104"/>
        <v/>
      </c>
      <c r="CZ104" s="125" t="str">
        <f t="shared" si="105"/>
        <v/>
      </c>
      <c r="DA104" s="125" t="str">
        <f t="shared" si="106"/>
        <v/>
      </c>
      <c r="DB104" s="129" t="str">
        <f t="shared" si="107"/>
        <v/>
      </c>
      <c r="DC104" s="14"/>
      <c r="DD104" s="62"/>
      <c r="DE104" s="105">
        <v>102</v>
      </c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spans="1:176" s="1" customFormat="1" ht="13" hidden="1" customHeight="1" outlineLevel="1" x14ac:dyDescent="0.2">
      <c r="A105" s="4"/>
      <c r="B105" s="115" t="str">
        <f>IF(_xlfn.XLOOKUP(A105, AutoFill_names!B:B, AutoFill_names!C:C,"")=0,"",_xlfn.XLOOKUP(A105, AutoFill_names!B:B, AutoFill_names!C:C,""))</f>
        <v/>
      </c>
      <c r="C105" s="115" t="str">
        <f>IF(_xlfn.XLOOKUP(A105, AutoFill_names!B:B, AutoFill_names!D:D,"")=0,"",_xlfn.XLOOKUP(A105, AutoFill_names!B:B, AutoFill_names!D:D,""))</f>
        <v/>
      </c>
      <c r="D105" s="115" t="str">
        <f>IF(_xlfn.XLOOKUP(A105, AutoFill_names!B:B, AutoFill_names!E:E,"")=0,"",_xlfn.XLOOKUP(A105, AutoFill_names!B:B, AutoFill_names!E:E,""))</f>
        <v/>
      </c>
      <c r="E105" s="115" t="str">
        <f>IF(_xlfn.XLOOKUP(A105, AutoFill_names!B:B, AutoFill_names!F:F,"")=0,"",_xlfn.XLOOKUP(A105, AutoFill_names!B:B, AutoFill_names!F:F,""))</f>
        <v/>
      </c>
      <c r="F105" s="92"/>
      <c r="J105" s="115" t="str">
        <f>IF(_xlfn.XLOOKUP(A105, AutoFill_names!B:B, AutoFill_names!K:K,"")=0,"",_xlfn.XLOOKUP(A105, AutoFill_names!B:B, AutoFill_names!K:K,""))</f>
        <v/>
      </c>
      <c r="K105" s="115" t="str">
        <f>IF(_xlfn.XLOOKUP(A105, AutoFill_names!B:B, AutoFill_names!L:L,"")=0,"",_xlfn.XLOOKUP(A105, AutoFill_names!B:B, AutoFill_names!L:L,""))</f>
        <v/>
      </c>
      <c r="L105" s="2"/>
      <c r="M105" s="2"/>
      <c r="N105" s="117" t="str">
        <f>IF(_xlfn.XLOOKUP(L105, AutoFill_classes!A:A, AutoFill_classes!B:B,"")=0,"",_xlfn.XLOOKUP(L105, AutoFill_classes!A:A, AutoFill_classes!B:B,""))</f>
        <v/>
      </c>
      <c r="O105" s="108"/>
      <c r="P105" s="6"/>
      <c r="Q105" s="6"/>
      <c r="R105" s="6"/>
      <c r="S105" s="2"/>
      <c r="T105" s="2"/>
      <c r="U105" s="2"/>
      <c r="X105" s="63"/>
      <c r="Y105" s="19"/>
      <c r="Z105" s="121" t="str">
        <f t="shared" si="81"/>
        <v/>
      </c>
      <c r="AA105" s="20"/>
      <c r="AB105" s="20"/>
      <c r="AC105" s="20"/>
      <c r="AD105" s="20"/>
      <c r="AE105" s="125" t="str">
        <f t="shared" si="82"/>
        <v/>
      </c>
      <c r="AF105" s="14"/>
      <c r="AG105" s="125" t="str">
        <f t="shared" si="83"/>
        <v/>
      </c>
      <c r="AH105" s="20"/>
      <c r="AI105" s="20"/>
      <c r="AJ105" s="125" t="str">
        <f t="shared" si="84"/>
        <v/>
      </c>
      <c r="AK105" s="14"/>
      <c r="AL105" s="125" t="str">
        <f t="shared" si="85"/>
        <v/>
      </c>
      <c r="AM105" s="20"/>
      <c r="AN105" s="20"/>
      <c r="AO105" s="125" t="str">
        <f t="shared" si="86"/>
        <v/>
      </c>
      <c r="AP105" s="125" t="str">
        <f t="shared" si="87"/>
        <v/>
      </c>
      <c r="AQ105" s="125" t="str">
        <f t="shared" si="88"/>
        <v/>
      </c>
      <c r="AR105" s="129" t="str">
        <f t="shared" si="89"/>
        <v/>
      </c>
      <c r="AS105" s="14"/>
      <c r="AT105" s="33"/>
      <c r="AU105" s="33"/>
      <c r="AV105" s="117" t="str">
        <f>IF(_xlfn.XLOOKUP(AT105, AutoFill_classes!$A:$A, AutoFill_classes!$B:$B,"")=0,"",_xlfn.XLOOKUP(AT105, AutoFill_classes!$A:$A, AutoFill_classes!$B:$B,""))</f>
        <v/>
      </c>
      <c r="AW105" s="108"/>
      <c r="AX105" s="11"/>
      <c r="AY105" s="11"/>
      <c r="AZ105" s="11"/>
      <c r="BA105" s="13"/>
      <c r="BB105" s="13"/>
      <c r="BC105" s="63"/>
      <c r="BD105" s="19"/>
      <c r="BE105" s="121" t="str">
        <f t="shared" si="90"/>
        <v/>
      </c>
      <c r="BF105" s="20"/>
      <c r="BG105" s="20"/>
      <c r="BH105" s="20"/>
      <c r="BI105" s="20"/>
      <c r="BJ105" s="125" t="str">
        <f t="shared" si="91"/>
        <v/>
      </c>
      <c r="BK105" s="14"/>
      <c r="BL105" s="125" t="str">
        <f t="shared" si="92"/>
        <v/>
      </c>
      <c r="BM105" s="20"/>
      <c r="BN105" s="20"/>
      <c r="BO105" s="125" t="str">
        <f t="shared" si="93"/>
        <v/>
      </c>
      <c r="BP105" s="14"/>
      <c r="BQ105" s="125" t="str">
        <f t="shared" si="94"/>
        <v/>
      </c>
      <c r="BR105" s="20"/>
      <c r="BS105" s="20"/>
      <c r="BT105" s="125" t="str">
        <f t="shared" si="95"/>
        <v/>
      </c>
      <c r="BU105" s="125" t="str">
        <f t="shared" si="96"/>
        <v/>
      </c>
      <c r="BV105" s="125" t="str">
        <f t="shared" si="97"/>
        <v/>
      </c>
      <c r="BW105" s="129" t="str">
        <f t="shared" si="98"/>
        <v/>
      </c>
      <c r="BX105" s="11"/>
      <c r="BY105" s="15"/>
      <c r="BZ105" s="14"/>
      <c r="CA105" s="117" t="str">
        <f>IF(_xlfn.XLOOKUP(BY105, AutoFill_classes!$A:$A, AutoFill_classes!$B:$B,"")=0,"",_xlfn.XLOOKUP(BY105, AutoFill_classes!$A:$A, AutoFill_classes!$B:$B,""))</f>
        <v/>
      </c>
      <c r="CB105" s="108"/>
      <c r="CC105" s="14"/>
      <c r="CD105" s="14"/>
      <c r="CE105" s="14"/>
      <c r="CF105" s="21"/>
      <c r="CG105" s="22"/>
      <c r="CH105" s="63"/>
      <c r="CI105" s="23"/>
      <c r="CJ105" s="121" t="str">
        <f t="shared" si="99"/>
        <v/>
      </c>
      <c r="CK105" s="20"/>
      <c r="CL105" s="20"/>
      <c r="CM105" s="20"/>
      <c r="CN105" s="20"/>
      <c r="CO105" s="125" t="str">
        <f t="shared" si="100"/>
        <v/>
      </c>
      <c r="CP105" s="14"/>
      <c r="CQ105" s="125" t="str">
        <f t="shared" si="101"/>
        <v/>
      </c>
      <c r="CR105" s="20"/>
      <c r="CS105" s="20"/>
      <c r="CT105" s="125" t="str">
        <f t="shared" si="102"/>
        <v/>
      </c>
      <c r="CU105" s="14"/>
      <c r="CV105" s="125" t="str">
        <f t="shared" si="103"/>
        <v/>
      </c>
      <c r="CW105" s="20"/>
      <c r="CX105" s="20"/>
      <c r="CY105" s="125" t="str">
        <f t="shared" si="104"/>
        <v/>
      </c>
      <c r="CZ105" s="125" t="str">
        <f t="shared" si="105"/>
        <v/>
      </c>
      <c r="DA105" s="125" t="str">
        <f t="shared" si="106"/>
        <v/>
      </c>
      <c r="DB105" s="129" t="str">
        <f t="shared" si="107"/>
        <v/>
      </c>
      <c r="DC105" s="14"/>
      <c r="DD105" s="62"/>
      <c r="DE105" s="105">
        <v>103</v>
      </c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spans="1:176" s="1" customFormat="1" ht="13" hidden="1" customHeight="1" outlineLevel="1" x14ac:dyDescent="0.2">
      <c r="A106" s="4"/>
      <c r="B106" s="115" t="str">
        <f>IF(_xlfn.XLOOKUP(A106, AutoFill_names!B:B, AutoFill_names!C:C,"")=0,"",_xlfn.XLOOKUP(A106, AutoFill_names!B:B, AutoFill_names!C:C,""))</f>
        <v/>
      </c>
      <c r="C106" s="115" t="str">
        <f>IF(_xlfn.XLOOKUP(A106, AutoFill_names!B:B, AutoFill_names!D:D,"")=0,"",_xlfn.XLOOKUP(A106, AutoFill_names!B:B, AutoFill_names!D:D,""))</f>
        <v/>
      </c>
      <c r="D106" s="115" t="str">
        <f>IF(_xlfn.XLOOKUP(A106, AutoFill_names!B:B, AutoFill_names!E:E,"")=0,"",_xlfn.XLOOKUP(A106, AutoFill_names!B:B, AutoFill_names!E:E,""))</f>
        <v/>
      </c>
      <c r="E106" s="115" t="str">
        <f>IF(_xlfn.XLOOKUP(A106, AutoFill_names!B:B, AutoFill_names!F:F,"")=0,"",_xlfn.XLOOKUP(A106, AutoFill_names!B:B, AutoFill_names!F:F,""))</f>
        <v/>
      </c>
      <c r="F106" s="92"/>
      <c r="J106" s="115" t="str">
        <f>IF(_xlfn.XLOOKUP(A106, AutoFill_names!B:B, AutoFill_names!K:K,"")=0,"",_xlfn.XLOOKUP(A106, AutoFill_names!B:B, AutoFill_names!K:K,""))</f>
        <v/>
      </c>
      <c r="K106" s="115" t="str">
        <f>IF(_xlfn.XLOOKUP(A106, AutoFill_names!B:B, AutoFill_names!L:L,"")=0,"",_xlfn.XLOOKUP(A106, AutoFill_names!B:B, AutoFill_names!L:L,""))</f>
        <v/>
      </c>
      <c r="L106" s="2"/>
      <c r="M106" s="2"/>
      <c r="N106" s="117" t="str">
        <f>IF(_xlfn.XLOOKUP(L106, AutoFill_classes!A:A, AutoFill_classes!B:B,"")=0,"",_xlfn.XLOOKUP(L106, AutoFill_classes!A:A, AutoFill_classes!B:B,""))</f>
        <v/>
      </c>
      <c r="O106" s="108"/>
      <c r="P106" s="6"/>
      <c r="Q106" s="6"/>
      <c r="R106" s="6"/>
      <c r="S106" s="2"/>
      <c r="T106" s="2"/>
      <c r="U106" s="2"/>
      <c r="X106" s="63"/>
      <c r="Y106" s="19"/>
      <c r="Z106" s="121" t="str">
        <f t="shared" si="81"/>
        <v/>
      </c>
      <c r="AA106" s="20"/>
      <c r="AB106" s="20"/>
      <c r="AC106" s="20"/>
      <c r="AD106" s="20"/>
      <c r="AE106" s="125" t="str">
        <f t="shared" si="82"/>
        <v/>
      </c>
      <c r="AF106" s="14"/>
      <c r="AG106" s="125" t="str">
        <f t="shared" si="83"/>
        <v/>
      </c>
      <c r="AH106" s="20"/>
      <c r="AI106" s="20"/>
      <c r="AJ106" s="125" t="str">
        <f t="shared" si="84"/>
        <v/>
      </c>
      <c r="AK106" s="14"/>
      <c r="AL106" s="125" t="str">
        <f t="shared" si="85"/>
        <v/>
      </c>
      <c r="AM106" s="20"/>
      <c r="AN106" s="20"/>
      <c r="AO106" s="125" t="str">
        <f t="shared" si="86"/>
        <v/>
      </c>
      <c r="AP106" s="125" t="str">
        <f t="shared" si="87"/>
        <v/>
      </c>
      <c r="AQ106" s="125" t="str">
        <f t="shared" si="88"/>
        <v/>
      </c>
      <c r="AR106" s="129" t="str">
        <f t="shared" si="89"/>
        <v/>
      </c>
      <c r="AS106" s="14"/>
      <c r="AT106" s="33"/>
      <c r="AU106" s="33"/>
      <c r="AV106" s="117" t="str">
        <f>IF(_xlfn.XLOOKUP(AT106, AutoFill_classes!$A:$A, AutoFill_classes!$B:$B,"")=0,"",_xlfn.XLOOKUP(AT106, AutoFill_classes!$A:$A, AutoFill_classes!$B:$B,""))</f>
        <v/>
      </c>
      <c r="AW106" s="108"/>
      <c r="AX106" s="11"/>
      <c r="AY106" s="11"/>
      <c r="AZ106" s="11"/>
      <c r="BA106" s="13"/>
      <c r="BB106" s="13"/>
      <c r="BC106" s="63"/>
      <c r="BD106" s="19"/>
      <c r="BE106" s="121" t="str">
        <f t="shared" si="90"/>
        <v/>
      </c>
      <c r="BF106" s="20"/>
      <c r="BG106" s="20"/>
      <c r="BH106" s="20"/>
      <c r="BI106" s="20"/>
      <c r="BJ106" s="125" t="str">
        <f t="shared" si="91"/>
        <v/>
      </c>
      <c r="BK106" s="14"/>
      <c r="BL106" s="125" t="str">
        <f t="shared" si="92"/>
        <v/>
      </c>
      <c r="BM106" s="20"/>
      <c r="BN106" s="20"/>
      <c r="BO106" s="125" t="str">
        <f t="shared" si="93"/>
        <v/>
      </c>
      <c r="BP106" s="14"/>
      <c r="BQ106" s="125" t="str">
        <f t="shared" si="94"/>
        <v/>
      </c>
      <c r="BR106" s="20"/>
      <c r="BS106" s="20"/>
      <c r="BT106" s="125" t="str">
        <f t="shared" si="95"/>
        <v/>
      </c>
      <c r="BU106" s="125" t="str">
        <f t="shared" si="96"/>
        <v/>
      </c>
      <c r="BV106" s="125" t="str">
        <f t="shared" si="97"/>
        <v/>
      </c>
      <c r="BW106" s="129" t="str">
        <f t="shared" si="98"/>
        <v/>
      </c>
      <c r="BX106" s="11"/>
      <c r="BY106" s="15"/>
      <c r="BZ106" s="14"/>
      <c r="CA106" s="117" t="str">
        <f>IF(_xlfn.XLOOKUP(BY106, AutoFill_classes!$A:$A, AutoFill_classes!$B:$B,"")=0,"",_xlfn.XLOOKUP(BY106, AutoFill_classes!$A:$A, AutoFill_classes!$B:$B,""))</f>
        <v/>
      </c>
      <c r="CB106" s="108"/>
      <c r="CC106" s="14"/>
      <c r="CD106" s="14"/>
      <c r="CE106" s="14"/>
      <c r="CF106" s="21"/>
      <c r="CG106" s="22"/>
      <c r="CH106" s="63"/>
      <c r="CI106" s="23"/>
      <c r="CJ106" s="121" t="str">
        <f t="shared" si="99"/>
        <v/>
      </c>
      <c r="CK106" s="20"/>
      <c r="CL106" s="20"/>
      <c r="CM106" s="20"/>
      <c r="CN106" s="20"/>
      <c r="CO106" s="125" t="str">
        <f t="shared" si="100"/>
        <v/>
      </c>
      <c r="CP106" s="14"/>
      <c r="CQ106" s="125" t="str">
        <f t="shared" si="101"/>
        <v/>
      </c>
      <c r="CR106" s="20"/>
      <c r="CS106" s="20"/>
      <c r="CT106" s="125" t="str">
        <f t="shared" si="102"/>
        <v/>
      </c>
      <c r="CU106" s="14"/>
      <c r="CV106" s="125" t="str">
        <f t="shared" si="103"/>
        <v/>
      </c>
      <c r="CW106" s="20"/>
      <c r="CX106" s="20"/>
      <c r="CY106" s="125" t="str">
        <f t="shared" si="104"/>
        <v/>
      </c>
      <c r="CZ106" s="125" t="str">
        <f t="shared" si="105"/>
        <v/>
      </c>
      <c r="DA106" s="125" t="str">
        <f t="shared" si="106"/>
        <v/>
      </c>
      <c r="DB106" s="129" t="str">
        <f t="shared" si="107"/>
        <v/>
      </c>
      <c r="DC106" s="14"/>
      <c r="DD106" s="62"/>
      <c r="DE106" s="105">
        <v>104</v>
      </c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spans="1:176" s="1" customFormat="1" ht="13" hidden="1" customHeight="1" outlineLevel="1" x14ac:dyDescent="0.2">
      <c r="A107" s="4"/>
      <c r="B107" s="115" t="str">
        <f>IF(_xlfn.XLOOKUP(A107, AutoFill_names!B:B, AutoFill_names!C:C,"")=0,"",_xlfn.XLOOKUP(A107, AutoFill_names!B:B, AutoFill_names!C:C,""))</f>
        <v/>
      </c>
      <c r="C107" s="115" t="str">
        <f>IF(_xlfn.XLOOKUP(A107, AutoFill_names!B:B, AutoFill_names!D:D,"")=0,"",_xlfn.XLOOKUP(A107, AutoFill_names!B:B, AutoFill_names!D:D,""))</f>
        <v/>
      </c>
      <c r="D107" s="115" t="str">
        <f>IF(_xlfn.XLOOKUP(A107, AutoFill_names!B:B, AutoFill_names!E:E,"")=0,"",_xlfn.XLOOKUP(A107, AutoFill_names!B:B, AutoFill_names!E:E,""))</f>
        <v/>
      </c>
      <c r="E107" s="115" t="str">
        <f>IF(_xlfn.XLOOKUP(A107, AutoFill_names!B:B, AutoFill_names!F:F,"")=0,"",_xlfn.XLOOKUP(A107, AutoFill_names!B:B, AutoFill_names!F:F,""))</f>
        <v/>
      </c>
      <c r="F107" s="92"/>
      <c r="J107" s="115" t="str">
        <f>IF(_xlfn.XLOOKUP(A107, AutoFill_names!B:B, AutoFill_names!K:K,"")=0,"",_xlfn.XLOOKUP(A107, AutoFill_names!B:B, AutoFill_names!K:K,""))</f>
        <v/>
      </c>
      <c r="K107" s="115" t="str">
        <f>IF(_xlfn.XLOOKUP(A107, AutoFill_names!B:B, AutoFill_names!L:L,"")=0,"",_xlfn.XLOOKUP(A107, AutoFill_names!B:B, AutoFill_names!L:L,""))</f>
        <v/>
      </c>
      <c r="L107" s="2"/>
      <c r="M107" s="2"/>
      <c r="N107" s="117" t="str">
        <f>IF(_xlfn.XLOOKUP(L107, AutoFill_classes!A:A, AutoFill_classes!B:B,"")=0,"",_xlfn.XLOOKUP(L107, AutoFill_classes!A:A, AutoFill_classes!B:B,""))</f>
        <v/>
      </c>
      <c r="O107" s="108"/>
      <c r="P107" s="6"/>
      <c r="Q107" s="6"/>
      <c r="R107" s="6"/>
      <c r="S107" s="2"/>
      <c r="T107" s="2"/>
      <c r="U107" s="2"/>
      <c r="X107" s="63"/>
      <c r="Y107" s="19"/>
      <c r="Z107" s="121" t="str">
        <f t="shared" si="81"/>
        <v/>
      </c>
      <c r="AA107" s="20"/>
      <c r="AB107" s="20"/>
      <c r="AC107" s="20"/>
      <c r="AD107" s="20"/>
      <c r="AE107" s="125" t="str">
        <f t="shared" si="82"/>
        <v/>
      </c>
      <c r="AF107" s="14"/>
      <c r="AG107" s="125" t="str">
        <f t="shared" si="83"/>
        <v/>
      </c>
      <c r="AH107" s="20"/>
      <c r="AI107" s="20"/>
      <c r="AJ107" s="125" t="str">
        <f t="shared" si="84"/>
        <v/>
      </c>
      <c r="AK107" s="14"/>
      <c r="AL107" s="125" t="str">
        <f t="shared" si="85"/>
        <v/>
      </c>
      <c r="AM107" s="20"/>
      <c r="AN107" s="20"/>
      <c r="AO107" s="125" t="str">
        <f t="shared" si="86"/>
        <v/>
      </c>
      <c r="AP107" s="125" t="str">
        <f t="shared" si="87"/>
        <v/>
      </c>
      <c r="AQ107" s="125" t="str">
        <f t="shared" si="88"/>
        <v/>
      </c>
      <c r="AR107" s="129" t="str">
        <f t="shared" si="89"/>
        <v/>
      </c>
      <c r="AS107" s="14"/>
      <c r="AT107" s="33"/>
      <c r="AU107" s="33"/>
      <c r="AV107" s="117" t="str">
        <f>IF(_xlfn.XLOOKUP(AT107, AutoFill_classes!$A:$A, AutoFill_classes!$B:$B,"")=0,"",_xlfn.XLOOKUP(AT107, AutoFill_classes!$A:$A, AutoFill_classes!$B:$B,""))</f>
        <v/>
      </c>
      <c r="AW107" s="108"/>
      <c r="AX107" s="11"/>
      <c r="AY107" s="11"/>
      <c r="AZ107" s="11"/>
      <c r="BA107" s="13"/>
      <c r="BB107" s="13"/>
      <c r="BC107" s="63"/>
      <c r="BD107" s="19"/>
      <c r="BE107" s="121" t="str">
        <f t="shared" si="90"/>
        <v/>
      </c>
      <c r="BF107" s="20"/>
      <c r="BG107" s="20"/>
      <c r="BH107" s="20"/>
      <c r="BI107" s="20"/>
      <c r="BJ107" s="125" t="str">
        <f t="shared" si="91"/>
        <v/>
      </c>
      <c r="BK107" s="14"/>
      <c r="BL107" s="125" t="str">
        <f t="shared" si="92"/>
        <v/>
      </c>
      <c r="BM107" s="20"/>
      <c r="BN107" s="20"/>
      <c r="BO107" s="125" t="str">
        <f t="shared" si="93"/>
        <v/>
      </c>
      <c r="BP107" s="14"/>
      <c r="BQ107" s="125" t="str">
        <f t="shared" si="94"/>
        <v/>
      </c>
      <c r="BR107" s="20"/>
      <c r="BS107" s="20"/>
      <c r="BT107" s="125" t="str">
        <f t="shared" si="95"/>
        <v/>
      </c>
      <c r="BU107" s="125" t="str">
        <f t="shared" si="96"/>
        <v/>
      </c>
      <c r="BV107" s="125" t="str">
        <f t="shared" si="97"/>
        <v/>
      </c>
      <c r="BW107" s="129" t="str">
        <f t="shared" si="98"/>
        <v/>
      </c>
      <c r="BX107" s="11"/>
      <c r="BY107" s="15"/>
      <c r="BZ107" s="14"/>
      <c r="CA107" s="117" t="str">
        <f>IF(_xlfn.XLOOKUP(BY107, AutoFill_classes!$A:$A, AutoFill_classes!$B:$B,"")=0,"",_xlfn.XLOOKUP(BY107, AutoFill_classes!$A:$A, AutoFill_classes!$B:$B,""))</f>
        <v/>
      </c>
      <c r="CB107" s="108"/>
      <c r="CC107" s="14"/>
      <c r="CD107" s="14"/>
      <c r="CE107" s="14"/>
      <c r="CF107" s="21"/>
      <c r="CG107" s="22"/>
      <c r="CH107" s="63"/>
      <c r="CI107" s="23"/>
      <c r="CJ107" s="121" t="str">
        <f t="shared" si="99"/>
        <v/>
      </c>
      <c r="CK107" s="20"/>
      <c r="CL107" s="20"/>
      <c r="CM107" s="20"/>
      <c r="CN107" s="20"/>
      <c r="CO107" s="125" t="str">
        <f t="shared" si="100"/>
        <v/>
      </c>
      <c r="CP107" s="14"/>
      <c r="CQ107" s="125" t="str">
        <f t="shared" si="101"/>
        <v/>
      </c>
      <c r="CR107" s="20"/>
      <c r="CS107" s="20"/>
      <c r="CT107" s="125" t="str">
        <f t="shared" si="102"/>
        <v/>
      </c>
      <c r="CU107" s="14"/>
      <c r="CV107" s="125" t="str">
        <f t="shared" si="103"/>
        <v/>
      </c>
      <c r="CW107" s="20"/>
      <c r="CX107" s="20"/>
      <c r="CY107" s="125" t="str">
        <f t="shared" si="104"/>
        <v/>
      </c>
      <c r="CZ107" s="125" t="str">
        <f t="shared" si="105"/>
        <v/>
      </c>
      <c r="DA107" s="125" t="str">
        <f t="shared" si="106"/>
        <v/>
      </c>
      <c r="DB107" s="129" t="str">
        <f t="shared" si="107"/>
        <v/>
      </c>
      <c r="DC107" s="14"/>
      <c r="DD107" s="62"/>
      <c r="DE107" s="105">
        <v>105</v>
      </c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spans="1:176" s="1" customFormat="1" ht="13" hidden="1" customHeight="1" outlineLevel="1" x14ac:dyDescent="0.2">
      <c r="A108" s="4"/>
      <c r="B108" s="115" t="str">
        <f>IF(_xlfn.XLOOKUP(A108, AutoFill_names!B:B, AutoFill_names!C:C,"")=0,"",_xlfn.XLOOKUP(A108, AutoFill_names!B:B, AutoFill_names!C:C,""))</f>
        <v/>
      </c>
      <c r="C108" s="115" t="str">
        <f>IF(_xlfn.XLOOKUP(A108, AutoFill_names!B:B, AutoFill_names!D:D,"")=0,"",_xlfn.XLOOKUP(A108, AutoFill_names!B:B, AutoFill_names!D:D,""))</f>
        <v/>
      </c>
      <c r="D108" s="115" t="str">
        <f>IF(_xlfn.XLOOKUP(A108, AutoFill_names!B:B, AutoFill_names!E:E,"")=0,"",_xlfn.XLOOKUP(A108, AutoFill_names!B:B, AutoFill_names!E:E,""))</f>
        <v/>
      </c>
      <c r="E108" s="115" t="str">
        <f>IF(_xlfn.XLOOKUP(A108, AutoFill_names!B:B, AutoFill_names!F:F,"")=0,"",_xlfn.XLOOKUP(A108, AutoFill_names!B:B, AutoFill_names!F:F,""))</f>
        <v/>
      </c>
      <c r="F108" s="92"/>
      <c r="J108" s="115" t="str">
        <f>IF(_xlfn.XLOOKUP(A108, AutoFill_names!B:B, AutoFill_names!K:K,"")=0,"",_xlfn.XLOOKUP(A108, AutoFill_names!B:B, AutoFill_names!K:K,""))</f>
        <v/>
      </c>
      <c r="K108" s="115" t="str">
        <f>IF(_xlfn.XLOOKUP(A108, AutoFill_names!B:B, AutoFill_names!L:L,"")=0,"",_xlfn.XLOOKUP(A108, AutoFill_names!B:B, AutoFill_names!L:L,""))</f>
        <v/>
      </c>
      <c r="L108" s="2"/>
      <c r="M108" s="2"/>
      <c r="N108" s="117" t="str">
        <f>IF(_xlfn.XLOOKUP(L108, AutoFill_classes!A:A, AutoFill_classes!B:B,"")=0,"",_xlfn.XLOOKUP(L108, AutoFill_classes!A:A, AutoFill_classes!B:B,""))</f>
        <v/>
      </c>
      <c r="O108" s="108"/>
      <c r="P108" s="6"/>
      <c r="Q108" s="6"/>
      <c r="R108" s="6"/>
      <c r="S108" s="2"/>
      <c r="T108" s="2"/>
      <c r="U108" s="2"/>
      <c r="X108" s="63"/>
      <c r="Y108" s="19"/>
      <c r="Z108" s="121" t="str">
        <f t="shared" si="81"/>
        <v/>
      </c>
      <c r="AA108" s="20"/>
      <c r="AB108" s="20"/>
      <c r="AC108" s="20"/>
      <c r="AD108" s="20"/>
      <c r="AE108" s="125" t="str">
        <f t="shared" si="82"/>
        <v/>
      </c>
      <c r="AF108" s="14"/>
      <c r="AG108" s="125" t="str">
        <f t="shared" si="83"/>
        <v/>
      </c>
      <c r="AH108" s="20"/>
      <c r="AI108" s="20"/>
      <c r="AJ108" s="125" t="str">
        <f t="shared" si="84"/>
        <v/>
      </c>
      <c r="AK108" s="14"/>
      <c r="AL108" s="125" t="str">
        <f t="shared" si="85"/>
        <v/>
      </c>
      <c r="AM108" s="20"/>
      <c r="AN108" s="20"/>
      <c r="AO108" s="125" t="str">
        <f t="shared" si="86"/>
        <v/>
      </c>
      <c r="AP108" s="125" t="str">
        <f t="shared" si="87"/>
        <v/>
      </c>
      <c r="AQ108" s="125" t="str">
        <f t="shared" si="88"/>
        <v/>
      </c>
      <c r="AR108" s="129" t="str">
        <f t="shared" si="89"/>
        <v/>
      </c>
      <c r="AS108" s="14"/>
      <c r="AT108" s="33"/>
      <c r="AU108" s="33"/>
      <c r="AV108" s="117" t="str">
        <f>IF(_xlfn.XLOOKUP(AT108, AutoFill_classes!$A:$A, AutoFill_classes!$B:$B,"")=0,"",_xlfn.XLOOKUP(AT108, AutoFill_classes!$A:$A, AutoFill_classes!$B:$B,""))</f>
        <v/>
      </c>
      <c r="AW108" s="108"/>
      <c r="AX108" s="11"/>
      <c r="AY108" s="11"/>
      <c r="AZ108" s="11"/>
      <c r="BA108" s="13"/>
      <c r="BB108" s="13"/>
      <c r="BC108" s="63"/>
      <c r="BD108" s="19"/>
      <c r="BE108" s="121" t="str">
        <f t="shared" si="90"/>
        <v/>
      </c>
      <c r="BF108" s="20"/>
      <c r="BG108" s="20"/>
      <c r="BH108" s="20"/>
      <c r="BI108" s="20"/>
      <c r="BJ108" s="125" t="str">
        <f t="shared" si="91"/>
        <v/>
      </c>
      <c r="BK108" s="14"/>
      <c r="BL108" s="125" t="str">
        <f t="shared" si="92"/>
        <v/>
      </c>
      <c r="BM108" s="20"/>
      <c r="BN108" s="20"/>
      <c r="BO108" s="125" t="str">
        <f t="shared" si="93"/>
        <v/>
      </c>
      <c r="BP108" s="14"/>
      <c r="BQ108" s="125" t="str">
        <f t="shared" si="94"/>
        <v/>
      </c>
      <c r="BR108" s="20"/>
      <c r="BS108" s="20"/>
      <c r="BT108" s="125" t="str">
        <f t="shared" si="95"/>
        <v/>
      </c>
      <c r="BU108" s="125" t="str">
        <f t="shared" si="96"/>
        <v/>
      </c>
      <c r="BV108" s="125" t="str">
        <f t="shared" si="97"/>
        <v/>
      </c>
      <c r="BW108" s="129" t="str">
        <f t="shared" si="98"/>
        <v/>
      </c>
      <c r="BX108" s="11"/>
      <c r="BY108" s="15"/>
      <c r="BZ108" s="14"/>
      <c r="CA108" s="117" t="str">
        <f>IF(_xlfn.XLOOKUP(BY108, AutoFill_classes!$A:$A, AutoFill_classes!$B:$B,"")=0,"",_xlfn.XLOOKUP(BY108, AutoFill_classes!$A:$A, AutoFill_classes!$B:$B,""))</f>
        <v/>
      </c>
      <c r="CB108" s="108"/>
      <c r="CC108" s="14"/>
      <c r="CD108" s="14"/>
      <c r="CE108" s="14"/>
      <c r="CF108" s="21"/>
      <c r="CG108" s="22"/>
      <c r="CH108" s="63"/>
      <c r="CI108" s="23"/>
      <c r="CJ108" s="121" t="str">
        <f t="shared" si="99"/>
        <v/>
      </c>
      <c r="CK108" s="20"/>
      <c r="CL108" s="20"/>
      <c r="CM108" s="20"/>
      <c r="CN108" s="20"/>
      <c r="CO108" s="125" t="str">
        <f t="shared" si="100"/>
        <v/>
      </c>
      <c r="CP108" s="14"/>
      <c r="CQ108" s="125" t="str">
        <f t="shared" si="101"/>
        <v/>
      </c>
      <c r="CR108" s="20"/>
      <c r="CS108" s="20"/>
      <c r="CT108" s="125" t="str">
        <f t="shared" si="102"/>
        <v/>
      </c>
      <c r="CU108" s="14"/>
      <c r="CV108" s="125" t="str">
        <f t="shared" si="103"/>
        <v/>
      </c>
      <c r="CW108" s="20"/>
      <c r="CX108" s="20"/>
      <c r="CY108" s="125" t="str">
        <f t="shared" si="104"/>
        <v/>
      </c>
      <c r="CZ108" s="125" t="str">
        <f t="shared" si="105"/>
        <v/>
      </c>
      <c r="DA108" s="125" t="str">
        <f t="shared" si="106"/>
        <v/>
      </c>
      <c r="DB108" s="129" t="str">
        <f t="shared" si="107"/>
        <v/>
      </c>
      <c r="DC108" s="14"/>
      <c r="DD108" s="62"/>
      <c r="DE108" s="105">
        <v>106</v>
      </c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spans="1:176" s="1" customFormat="1" ht="13" hidden="1" customHeight="1" outlineLevel="1" x14ac:dyDescent="0.2">
      <c r="A109" s="4"/>
      <c r="B109" s="115" t="str">
        <f>IF(_xlfn.XLOOKUP(A109, AutoFill_names!B:B, AutoFill_names!C:C,"")=0,"",_xlfn.XLOOKUP(A109, AutoFill_names!B:B, AutoFill_names!C:C,""))</f>
        <v/>
      </c>
      <c r="C109" s="115" t="str">
        <f>IF(_xlfn.XLOOKUP(A109, AutoFill_names!B:B, AutoFill_names!D:D,"")=0,"",_xlfn.XLOOKUP(A109, AutoFill_names!B:B, AutoFill_names!D:D,""))</f>
        <v/>
      </c>
      <c r="D109" s="115" t="str">
        <f>IF(_xlfn.XLOOKUP(A109, AutoFill_names!B:B, AutoFill_names!E:E,"")=0,"",_xlfn.XLOOKUP(A109, AutoFill_names!B:B, AutoFill_names!E:E,""))</f>
        <v/>
      </c>
      <c r="E109" s="115" t="str">
        <f>IF(_xlfn.XLOOKUP(A109, AutoFill_names!B:B, AutoFill_names!F:F,"")=0,"",_xlfn.XLOOKUP(A109, AutoFill_names!B:B, AutoFill_names!F:F,""))</f>
        <v/>
      </c>
      <c r="F109" s="92"/>
      <c r="J109" s="115" t="str">
        <f>IF(_xlfn.XLOOKUP(A109, AutoFill_names!B:B, AutoFill_names!K:K,"")=0,"",_xlfn.XLOOKUP(A109, AutoFill_names!B:B, AutoFill_names!K:K,""))</f>
        <v/>
      </c>
      <c r="K109" s="115" t="str">
        <f>IF(_xlfn.XLOOKUP(A109, AutoFill_names!B:B, AutoFill_names!L:L,"")=0,"",_xlfn.XLOOKUP(A109, AutoFill_names!B:B, AutoFill_names!L:L,""))</f>
        <v/>
      </c>
      <c r="L109" s="2"/>
      <c r="M109" s="2"/>
      <c r="N109" s="117" t="str">
        <f>IF(_xlfn.XLOOKUP(L109, AutoFill_classes!A:A, AutoFill_classes!B:B,"")=0,"",_xlfn.XLOOKUP(L109, AutoFill_classes!A:A, AutoFill_classes!B:B,""))</f>
        <v/>
      </c>
      <c r="O109" s="108"/>
      <c r="P109" s="6"/>
      <c r="Q109" s="6"/>
      <c r="R109" s="6"/>
      <c r="S109" s="2"/>
      <c r="T109" s="2"/>
      <c r="U109" s="2"/>
      <c r="X109" s="63"/>
      <c r="Y109" s="19"/>
      <c r="Z109" s="121" t="str">
        <f t="shared" si="81"/>
        <v/>
      </c>
      <c r="AA109" s="20"/>
      <c r="AB109" s="20"/>
      <c r="AC109" s="20"/>
      <c r="AD109" s="20"/>
      <c r="AE109" s="125" t="str">
        <f t="shared" si="82"/>
        <v/>
      </c>
      <c r="AF109" s="14"/>
      <c r="AG109" s="125" t="str">
        <f t="shared" si="83"/>
        <v/>
      </c>
      <c r="AH109" s="20"/>
      <c r="AI109" s="20"/>
      <c r="AJ109" s="125" t="str">
        <f t="shared" si="84"/>
        <v/>
      </c>
      <c r="AK109" s="14"/>
      <c r="AL109" s="125" t="str">
        <f t="shared" si="85"/>
        <v/>
      </c>
      <c r="AM109" s="20"/>
      <c r="AN109" s="20"/>
      <c r="AO109" s="125" t="str">
        <f t="shared" si="86"/>
        <v/>
      </c>
      <c r="AP109" s="125" t="str">
        <f t="shared" si="87"/>
        <v/>
      </c>
      <c r="AQ109" s="125" t="str">
        <f t="shared" si="88"/>
        <v/>
      </c>
      <c r="AR109" s="129" t="str">
        <f t="shared" si="89"/>
        <v/>
      </c>
      <c r="AS109" s="14"/>
      <c r="AT109" s="33"/>
      <c r="AU109" s="33"/>
      <c r="AV109" s="117" t="str">
        <f>IF(_xlfn.XLOOKUP(AT109, AutoFill_classes!$A:$A, AutoFill_classes!$B:$B,"")=0,"",_xlfn.XLOOKUP(AT109, AutoFill_classes!$A:$A, AutoFill_classes!$B:$B,""))</f>
        <v/>
      </c>
      <c r="AW109" s="108"/>
      <c r="AX109" s="11"/>
      <c r="AY109" s="11"/>
      <c r="AZ109" s="11"/>
      <c r="BA109" s="13"/>
      <c r="BB109" s="13"/>
      <c r="BC109" s="63"/>
      <c r="BD109" s="19"/>
      <c r="BE109" s="121" t="str">
        <f t="shared" si="90"/>
        <v/>
      </c>
      <c r="BF109" s="20"/>
      <c r="BG109" s="20"/>
      <c r="BH109" s="20"/>
      <c r="BI109" s="20"/>
      <c r="BJ109" s="125" t="str">
        <f t="shared" si="91"/>
        <v/>
      </c>
      <c r="BK109" s="14"/>
      <c r="BL109" s="125" t="str">
        <f t="shared" si="92"/>
        <v/>
      </c>
      <c r="BM109" s="20"/>
      <c r="BN109" s="20"/>
      <c r="BO109" s="125" t="str">
        <f t="shared" si="93"/>
        <v/>
      </c>
      <c r="BP109" s="14"/>
      <c r="BQ109" s="125" t="str">
        <f t="shared" si="94"/>
        <v/>
      </c>
      <c r="BR109" s="20"/>
      <c r="BS109" s="20"/>
      <c r="BT109" s="125" t="str">
        <f t="shared" si="95"/>
        <v/>
      </c>
      <c r="BU109" s="125" t="str">
        <f t="shared" si="96"/>
        <v/>
      </c>
      <c r="BV109" s="125" t="str">
        <f t="shared" si="97"/>
        <v/>
      </c>
      <c r="BW109" s="129" t="str">
        <f t="shared" si="98"/>
        <v/>
      </c>
      <c r="BX109" s="11"/>
      <c r="BY109" s="15"/>
      <c r="BZ109" s="14"/>
      <c r="CA109" s="117" t="str">
        <f>IF(_xlfn.XLOOKUP(BY109, AutoFill_classes!$A:$A, AutoFill_classes!$B:$B,"")=0,"",_xlfn.XLOOKUP(BY109, AutoFill_classes!$A:$A, AutoFill_classes!$B:$B,""))</f>
        <v/>
      </c>
      <c r="CB109" s="108"/>
      <c r="CC109" s="14"/>
      <c r="CD109" s="14"/>
      <c r="CE109" s="14"/>
      <c r="CF109" s="21"/>
      <c r="CG109" s="22"/>
      <c r="CH109" s="63"/>
      <c r="CI109" s="23"/>
      <c r="CJ109" s="121" t="str">
        <f t="shared" si="99"/>
        <v/>
      </c>
      <c r="CK109" s="20"/>
      <c r="CL109" s="20"/>
      <c r="CM109" s="20"/>
      <c r="CN109" s="20"/>
      <c r="CO109" s="125" t="str">
        <f t="shared" si="100"/>
        <v/>
      </c>
      <c r="CP109" s="14"/>
      <c r="CQ109" s="125" t="str">
        <f t="shared" si="101"/>
        <v/>
      </c>
      <c r="CR109" s="20"/>
      <c r="CS109" s="20"/>
      <c r="CT109" s="125" t="str">
        <f t="shared" si="102"/>
        <v/>
      </c>
      <c r="CU109" s="14"/>
      <c r="CV109" s="125" t="str">
        <f t="shared" si="103"/>
        <v/>
      </c>
      <c r="CW109" s="20"/>
      <c r="CX109" s="20"/>
      <c r="CY109" s="125" t="str">
        <f t="shared" si="104"/>
        <v/>
      </c>
      <c r="CZ109" s="125" t="str">
        <f t="shared" si="105"/>
        <v/>
      </c>
      <c r="DA109" s="125" t="str">
        <f t="shared" si="106"/>
        <v/>
      </c>
      <c r="DB109" s="129" t="str">
        <f t="shared" si="107"/>
        <v/>
      </c>
      <c r="DC109" s="14"/>
      <c r="DD109" s="62"/>
      <c r="DE109" s="105">
        <v>107</v>
      </c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spans="1:176" s="1" customFormat="1" ht="13" hidden="1" customHeight="1" outlineLevel="1" x14ac:dyDescent="0.2">
      <c r="A110" s="4"/>
      <c r="B110" s="115" t="str">
        <f>IF(_xlfn.XLOOKUP(A110, AutoFill_names!B:B, AutoFill_names!C:C,"")=0,"",_xlfn.XLOOKUP(A110, AutoFill_names!B:B, AutoFill_names!C:C,""))</f>
        <v/>
      </c>
      <c r="C110" s="115" t="str">
        <f>IF(_xlfn.XLOOKUP(A110, AutoFill_names!B:B, AutoFill_names!D:D,"")=0,"",_xlfn.XLOOKUP(A110, AutoFill_names!B:B, AutoFill_names!D:D,""))</f>
        <v/>
      </c>
      <c r="D110" s="115" t="str">
        <f>IF(_xlfn.XLOOKUP(A110, AutoFill_names!B:B, AutoFill_names!E:E,"")=0,"",_xlfn.XLOOKUP(A110, AutoFill_names!B:B, AutoFill_names!E:E,""))</f>
        <v/>
      </c>
      <c r="E110" s="115" t="str">
        <f>IF(_xlfn.XLOOKUP(A110, AutoFill_names!B:B, AutoFill_names!F:F,"")=0,"",_xlfn.XLOOKUP(A110, AutoFill_names!B:B, AutoFill_names!F:F,""))</f>
        <v/>
      </c>
      <c r="F110" s="92"/>
      <c r="J110" s="115" t="str">
        <f>IF(_xlfn.XLOOKUP(A110, AutoFill_names!B:B, AutoFill_names!K:K,"")=0,"",_xlfn.XLOOKUP(A110, AutoFill_names!B:B, AutoFill_names!K:K,""))</f>
        <v/>
      </c>
      <c r="K110" s="115" t="str">
        <f>IF(_xlfn.XLOOKUP(A110, AutoFill_names!B:B, AutoFill_names!L:L,"")=0,"",_xlfn.XLOOKUP(A110, AutoFill_names!B:B, AutoFill_names!L:L,""))</f>
        <v/>
      </c>
      <c r="L110" s="2"/>
      <c r="M110" s="2"/>
      <c r="N110" s="117" t="str">
        <f>IF(_xlfn.XLOOKUP(L110, AutoFill_classes!A:A, AutoFill_classes!B:B,"")=0,"",_xlfn.XLOOKUP(L110, AutoFill_classes!A:A, AutoFill_classes!B:B,""))</f>
        <v/>
      </c>
      <c r="O110" s="108"/>
      <c r="P110" s="6"/>
      <c r="Q110" s="6"/>
      <c r="R110" s="6"/>
      <c r="S110" s="2"/>
      <c r="T110" s="2"/>
      <c r="U110" s="2"/>
      <c r="X110" s="63"/>
      <c r="Y110" s="19"/>
      <c r="Z110" s="121" t="str">
        <f t="shared" si="81"/>
        <v/>
      </c>
      <c r="AA110" s="20"/>
      <c r="AB110" s="20"/>
      <c r="AC110" s="20"/>
      <c r="AD110" s="20"/>
      <c r="AE110" s="125" t="str">
        <f t="shared" si="82"/>
        <v/>
      </c>
      <c r="AF110" s="14"/>
      <c r="AG110" s="125" t="str">
        <f t="shared" si="83"/>
        <v/>
      </c>
      <c r="AH110" s="20"/>
      <c r="AI110" s="20"/>
      <c r="AJ110" s="125" t="str">
        <f t="shared" si="84"/>
        <v/>
      </c>
      <c r="AK110" s="14"/>
      <c r="AL110" s="125" t="str">
        <f t="shared" si="85"/>
        <v/>
      </c>
      <c r="AM110" s="20"/>
      <c r="AN110" s="20"/>
      <c r="AO110" s="125" t="str">
        <f t="shared" si="86"/>
        <v/>
      </c>
      <c r="AP110" s="125" t="str">
        <f t="shared" si="87"/>
        <v/>
      </c>
      <c r="AQ110" s="125" t="str">
        <f t="shared" si="88"/>
        <v/>
      </c>
      <c r="AR110" s="129" t="str">
        <f t="shared" si="89"/>
        <v/>
      </c>
      <c r="AS110" s="14"/>
      <c r="AT110" s="33"/>
      <c r="AU110" s="33"/>
      <c r="AV110" s="117" t="str">
        <f>IF(_xlfn.XLOOKUP(AT110, AutoFill_classes!$A:$A, AutoFill_classes!$B:$B,"")=0,"",_xlfn.XLOOKUP(AT110, AutoFill_classes!$A:$A, AutoFill_classes!$B:$B,""))</f>
        <v/>
      </c>
      <c r="AW110" s="108"/>
      <c r="AX110" s="11"/>
      <c r="AY110" s="11"/>
      <c r="AZ110" s="11"/>
      <c r="BA110" s="13"/>
      <c r="BB110" s="13"/>
      <c r="BC110" s="63"/>
      <c r="BD110" s="19"/>
      <c r="BE110" s="121" t="str">
        <f t="shared" si="90"/>
        <v/>
      </c>
      <c r="BF110" s="20"/>
      <c r="BG110" s="20"/>
      <c r="BH110" s="20"/>
      <c r="BI110" s="20"/>
      <c r="BJ110" s="125" t="str">
        <f t="shared" si="91"/>
        <v/>
      </c>
      <c r="BK110" s="14"/>
      <c r="BL110" s="125" t="str">
        <f t="shared" si="92"/>
        <v/>
      </c>
      <c r="BM110" s="20"/>
      <c r="BN110" s="20"/>
      <c r="BO110" s="125" t="str">
        <f t="shared" si="93"/>
        <v/>
      </c>
      <c r="BP110" s="14"/>
      <c r="BQ110" s="125" t="str">
        <f t="shared" si="94"/>
        <v/>
      </c>
      <c r="BR110" s="20"/>
      <c r="BS110" s="20"/>
      <c r="BT110" s="125" t="str">
        <f t="shared" si="95"/>
        <v/>
      </c>
      <c r="BU110" s="125" t="str">
        <f t="shared" si="96"/>
        <v/>
      </c>
      <c r="BV110" s="125" t="str">
        <f t="shared" si="97"/>
        <v/>
      </c>
      <c r="BW110" s="129" t="str">
        <f t="shared" si="98"/>
        <v/>
      </c>
      <c r="BX110" s="11"/>
      <c r="BY110" s="15"/>
      <c r="BZ110" s="14"/>
      <c r="CA110" s="117" t="str">
        <f>IF(_xlfn.XLOOKUP(BY110, AutoFill_classes!$A:$A, AutoFill_classes!$B:$B,"")=0,"",_xlfn.XLOOKUP(BY110, AutoFill_classes!$A:$A, AutoFill_classes!$B:$B,""))</f>
        <v/>
      </c>
      <c r="CB110" s="108"/>
      <c r="CC110" s="14"/>
      <c r="CD110" s="14"/>
      <c r="CE110" s="14"/>
      <c r="CF110" s="21"/>
      <c r="CG110" s="22"/>
      <c r="CH110" s="63"/>
      <c r="CI110" s="23"/>
      <c r="CJ110" s="121" t="str">
        <f t="shared" si="99"/>
        <v/>
      </c>
      <c r="CK110" s="20"/>
      <c r="CL110" s="20"/>
      <c r="CM110" s="20"/>
      <c r="CN110" s="20"/>
      <c r="CO110" s="125" t="str">
        <f t="shared" si="100"/>
        <v/>
      </c>
      <c r="CP110" s="14"/>
      <c r="CQ110" s="125" t="str">
        <f t="shared" si="101"/>
        <v/>
      </c>
      <c r="CR110" s="20"/>
      <c r="CS110" s="20"/>
      <c r="CT110" s="125" t="str">
        <f t="shared" si="102"/>
        <v/>
      </c>
      <c r="CU110" s="14"/>
      <c r="CV110" s="125" t="str">
        <f t="shared" si="103"/>
        <v/>
      </c>
      <c r="CW110" s="20"/>
      <c r="CX110" s="20"/>
      <c r="CY110" s="125" t="str">
        <f t="shared" si="104"/>
        <v/>
      </c>
      <c r="CZ110" s="125" t="str">
        <f t="shared" si="105"/>
        <v/>
      </c>
      <c r="DA110" s="125" t="str">
        <f t="shared" si="106"/>
        <v/>
      </c>
      <c r="DB110" s="129" t="str">
        <f t="shared" si="107"/>
        <v/>
      </c>
      <c r="DC110" s="14"/>
      <c r="DD110" s="62"/>
      <c r="DE110" s="105">
        <v>108</v>
      </c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spans="1:176" s="1" customFormat="1" ht="13" hidden="1" customHeight="1" outlineLevel="1" x14ac:dyDescent="0.2">
      <c r="A111" s="4"/>
      <c r="B111" s="115" t="str">
        <f>IF(_xlfn.XLOOKUP(A111, AutoFill_names!B:B, AutoFill_names!C:C,"")=0,"",_xlfn.XLOOKUP(A111, AutoFill_names!B:B, AutoFill_names!C:C,""))</f>
        <v/>
      </c>
      <c r="C111" s="115" t="str">
        <f>IF(_xlfn.XLOOKUP(A111, AutoFill_names!B:B, AutoFill_names!D:D,"")=0,"",_xlfn.XLOOKUP(A111, AutoFill_names!B:B, AutoFill_names!D:D,""))</f>
        <v/>
      </c>
      <c r="D111" s="115" t="str">
        <f>IF(_xlfn.XLOOKUP(A111, AutoFill_names!B:B, AutoFill_names!E:E,"")=0,"",_xlfn.XLOOKUP(A111, AutoFill_names!B:B, AutoFill_names!E:E,""))</f>
        <v/>
      </c>
      <c r="E111" s="115" t="str">
        <f>IF(_xlfn.XLOOKUP(A111, AutoFill_names!B:B, AutoFill_names!F:F,"")=0,"",_xlfn.XLOOKUP(A111, AutoFill_names!B:B, AutoFill_names!F:F,""))</f>
        <v/>
      </c>
      <c r="F111" s="92"/>
      <c r="J111" s="115" t="str">
        <f>IF(_xlfn.XLOOKUP(A111, AutoFill_names!B:B, AutoFill_names!K:K,"")=0,"",_xlfn.XLOOKUP(A111, AutoFill_names!B:B, AutoFill_names!K:K,""))</f>
        <v/>
      </c>
      <c r="K111" s="115" t="str">
        <f>IF(_xlfn.XLOOKUP(A111, AutoFill_names!B:B, AutoFill_names!L:L,"")=0,"",_xlfn.XLOOKUP(A111, AutoFill_names!B:B, AutoFill_names!L:L,""))</f>
        <v/>
      </c>
      <c r="L111" s="2"/>
      <c r="M111" s="2"/>
      <c r="N111" s="117" t="str">
        <f>IF(_xlfn.XLOOKUP(L111, AutoFill_classes!A:A, AutoFill_classes!B:B,"")=0,"",_xlfn.XLOOKUP(L111, AutoFill_classes!A:A, AutoFill_classes!B:B,""))</f>
        <v/>
      </c>
      <c r="O111" s="108"/>
      <c r="P111" s="6"/>
      <c r="Q111" s="6"/>
      <c r="R111" s="6"/>
      <c r="S111" s="2"/>
      <c r="T111" s="2"/>
      <c r="U111" s="2"/>
      <c r="X111" s="63"/>
      <c r="Y111" s="19"/>
      <c r="Z111" s="121" t="str">
        <f t="shared" si="81"/>
        <v/>
      </c>
      <c r="AA111" s="20"/>
      <c r="AB111" s="20"/>
      <c r="AC111" s="20"/>
      <c r="AD111" s="20"/>
      <c r="AE111" s="125" t="str">
        <f t="shared" si="82"/>
        <v/>
      </c>
      <c r="AF111" s="14"/>
      <c r="AG111" s="125" t="str">
        <f t="shared" si="83"/>
        <v/>
      </c>
      <c r="AH111" s="20"/>
      <c r="AI111" s="20"/>
      <c r="AJ111" s="125" t="str">
        <f t="shared" si="84"/>
        <v/>
      </c>
      <c r="AK111" s="14"/>
      <c r="AL111" s="125" t="str">
        <f t="shared" si="85"/>
        <v/>
      </c>
      <c r="AM111" s="20"/>
      <c r="AN111" s="20"/>
      <c r="AO111" s="125" t="str">
        <f t="shared" si="86"/>
        <v/>
      </c>
      <c r="AP111" s="125" t="str">
        <f t="shared" si="87"/>
        <v/>
      </c>
      <c r="AQ111" s="125" t="str">
        <f t="shared" si="88"/>
        <v/>
      </c>
      <c r="AR111" s="129" t="str">
        <f t="shared" si="89"/>
        <v/>
      </c>
      <c r="AS111" s="14"/>
      <c r="AT111" s="33"/>
      <c r="AU111" s="33"/>
      <c r="AV111" s="117" t="str">
        <f>IF(_xlfn.XLOOKUP(AT111, AutoFill_classes!$A:$A, AutoFill_classes!$B:$B,"")=0,"",_xlfn.XLOOKUP(AT111, AutoFill_classes!$A:$A, AutoFill_classes!$B:$B,""))</f>
        <v/>
      </c>
      <c r="AW111" s="108"/>
      <c r="AX111" s="11"/>
      <c r="AY111" s="11"/>
      <c r="AZ111" s="11"/>
      <c r="BA111" s="13"/>
      <c r="BB111" s="13"/>
      <c r="BC111" s="63"/>
      <c r="BD111" s="19"/>
      <c r="BE111" s="121" t="str">
        <f t="shared" si="90"/>
        <v/>
      </c>
      <c r="BF111" s="20"/>
      <c r="BG111" s="20"/>
      <c r="BH111" s="20"/>
      <c r="BI111" s="20"/>
      <c r="BJ111" s="125" t="str">
        <f t="shared" si="91"/>
        <v/>
      </c>
      <c r="BK111" s="14"/>
      <c r="BL111" s="125" t="str">
        <f t="shared" si="92"/>
        <v/>
      </c>
      <c r="BM111" s="20"/>
      <c r="BN111" s="20"/>
      <c r="BO111" s="125" t="str">
        <f t="shared" si="93"/>
        <v/>
      </c>
      <c r="BP111" s="14"/>
      <c r="BQ111" s="125" t="str">
        <f t="shared" si="94"/>
        <v/>
      </c>
      <c r="BR111" s="20"/>
      <c r="BS111" s="20"/>
      <c r="BT111" s="125" t="str">
        <f t="shared" si="95"/>
        <v/>
      </c>
      <c r="BU111" s="125" t="str">
        <f t="shared" si="96"/>
        <v/>
      </c>
      <c r="BV111" s="125" t="str">
        <f t="shared" si="97"/>
        <v/>
      </c>
      <c r="BW111" s="129" t="str">
        <f t="shared" si="98"/>
        <v/>
      </c>
      <c r="BX111" s="11"/>
      <c r="BY111" s="15"/>
      <c r="BZ111" s="14"/>
      <c r="CA111" s="117" t="str">
        <f>IF(_xlfn.XLOOKUP(BY111, AutoFill_classes!$A:$A, AutoFill_classes!$B:$B,"")=0,"",_xlfn.XLOOKUP(BY111, AutoFill_classes!$A:$A, AutoFill_classes!$B:$B,""))</f>
        <v/>
      </c>
      <c r="CB111" s="108"/>
      <c r="CC111" s="14"/>
      <c r="CD111" s="14"/>
      <c r="CE111" s="14"/>
      <c r="CF111" s="21"/>
      <c r="CG111" s="22"/>
      <c r="CH111" s="63"/>
      <c r="CI111" s="23"/>
      <c r="CJ111" s="121" t="str">
        <f t="shared" si="99"/>
        <v/>
      </c>
      <c r="CK111" s="20"/>
      <c r="CL111" s="20"/>
      <c r="CM111" s="20"/>
      <c r="CN111" s="20"/>
      <c r="CO111" s="125" t="str">
        <f t="shared" si="100"/>
        <v/>
      </c>
      <c r="CP111" s="14"/>
      <c r="CQ111" s="125" t="str">
        <f t="shared" si="101"/>
        <v/>
      </c>
      <c r="CR111" s="20"/>
      <c r="CS111" s="20"/>
      <c r="CT111" s="125" t="str">
        <f t="shared" si="102"/>
        <v/>
      </c>
      <c r="CU111" s="14"/>
      <c r="CV111" s="125" t="str">
        <f t="shared" si="103"/>
        <v/>
      </c>
      <c r="CW111" s="20"/>
      <c r="CX111" s="20"/>
      <c r="CY111" s="125" t="str">
        <f t="shared" si="104"/>
        <v/>
      </c>
      <c r="CZ111" s="125" t="str">
        <f t="shared" si="105"/>
        <v/>
      </c>
      <c r="DA111" s="125" t="str">
        <f t="shared" si="106"/>
        <v/>
      </c>
      <c r="DB111" s="129" t="str">
        <f t="shared" si="107"/>
        <v/>
      </c>
      <c r="DC111" s="14"/>
      <c r="DD111" s="62"/>
      <c r="DE111" s="105">
        <v>109</v>
      </c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spans="1:176" s="1" customFormat="1" ht="13" hidden="1" customHeight="1" outlineLevel="1" x14ac:dyDescent="0.2">
      <c r="A112" s="4"/>
      <c r="B112" s="115" t="str">
        <f>IF(_xlfn.XLOOKUP(A112, AutoFill_names!B:B, AutoFill_names!C:C,"")=0,"",_xlfn.XLOOKUP(A112, AutoFill_names!B:B, AutoFill_names!C:C,""))</f>
        <v/>
      </c>
      <c r="C112" s="115" t="str">
        <f>IF(_xlfn.XLOOKUP(A112, AutoFill_names!B:B, AutoFill_names!D:D,"")=0,"",_xlfn.XLOOKUP(A112, AutoFill_names!B:B, AutoFill_names!D:D,""))</f>
        <v/>
      </c>
      <c r="D112" s="115" t="str">
        <f>IF(_xlfn.XLOOKUP(A112, AutoFill_names!B:B, AutoFill_names!E:E,"")=0,"",_xlfn.XLOOKUP(A112, AutoFill_names!B:B, AutoFill_names!E:E,""))</f>
        <v/>
      </c>
      <c r="E112" s="115" t="str">
        <f>IF(_xlfn.XLOOKUP(A112, AutoFill_names!B:B, AutoFill_names!F:F,"")=0,"",_xlfn.XLOOKUP(A112, AutoFill_names!B:B, AutoFill_names!F:F,""))</f>
        <v/>
      </c>
      <c r="F112" s="92"/>
      <c r="J112" s="115" t="str">
        <f>IF(_xlfn.XLOOKUP(A112, AutoFill_names!B:B, AutoFill_names!K:K,"")=0,"",_xlfn.XLOOKUP(A112, AutoFill_names!B:B, AutoFill_names!K:K,""))</f>
        <v/>
      </c>
      <c r="K112" s="115" t="str">
        <f>IF(_xlfn.XLOOKUP(A112, AutoFill_names!B:B, AutoFill_names!L:L,"")=0,"",_xlfn.XLOOKUP(A112, AutoFill_names!B:B, AutoFill_names!L:L,""))</f>
        <v/>
      </c>
      <c r="L112" s="2"/>
      <c r="M112" s="2"/>
      <c r="N112" s="117" t="str">
        <f>IF(_xlfn.XLOOKUP(L112, AutoFill_classes!A:A, AutoFill_classes!B:B,"")=0,"",_xlfn.XLOOKUP(L112, AutoFill_classes!A:A, AutoFill_classes!B:B,""))</f>
        <v/>
      </c>
      <c r="O112" s="108"/>
      <c r="P112" s="6"/>
      <c r="Q112" s="6"/>
      <c r="R112" s="6"/>
      <c r="S112" s="2"/>
      <c r="T112" s="2"/>
      <c r="U112" s="2"/>
      <c r="X112" s="63"/>
      <c r="Y112" s="19"/>
      <c r="Z112" s="121" t="str">
        <f t="shared" si="81"/>
        <v/>
      </c>
      <c r="AA112" s="20"/>
      <c r="AB112" s="20"/>
      <c r="AC112" s="20"/>
      <c r="AD112" s="20"/>
      <c r="AE112" s="125" t="str">
        <f t="shared" si="82"/>
        <v/>
      </c>
      <c r="AF112" s="14"/>
      <c r="AG112" s="125" t="str">
        <f t="shared" si="83"/>
        <v/>
      </c>
      <c r="AH112" s="20"/>
      <c r="AI112" s="20"/>
      <c r="AJ112" s="125" t="str">
        <f t="shared" si="84"/>
        <v/>
      </c>
      <c r="AK112" s="14"/>
      <c r="AL112" s="125" t="str">
        <f t="shared" si="85"/>
        <v/>
      </c>
      <c r="AM112" s="20"/>
      <c r="AN112" s="20"/>
      <c r="AO112" s="125" t="str">
        <f t="shared" si="86"/>
        <v/>
      </c>
      <c r="AP112" s="125" t="str">
        <f t="shared" si="87"/>
        <v/>
      </c>
      <c r="AQ112" s="125" t="str">
        <f t="shared" si="88"/>
        <v/>
      </c>
      <c r="AR112" s="129" t="str">
        <f t="shared" si="89"/>
        <v/>
      </c>
      <c r="AS112" s="14"/>
      <c r="AT112" s="33"/>
      <c r="AU112" s="33"/>
      <c r="AV112" s="117" t="str">
        <f>IF(_xlfn.XLOOKUP(AT112, AutoFill_classes!$A:$A, AutoFill_classes!$B:$B,"")=0,"",_xlfn.XLOOKUP(AT112, AutoFill_classes!$A:$A, AutoFill_classes!$B:$B,""))</f>
        <v/>
      </c>
      <c r="AW112" s="108"/>
      <c r="AX112" s="11"/>
      <c r="AY112" s="11"/>
      <c r="AZ112" s="11"/>
      <c r="BA112" s="13"/>
      <c r="BB112" s="13"/>
      <c r="BC112" s="63"/>
      <c r="BD112" s="19"/>
      <c r="BE112" s="121" t="str">
        <f t="shared" si="90"/>
        <v/>
      </c>
      <c r="BF112" s="20"/>
      <c r="BG112" s="20"/>
      <c r="BH112" s="20"/>
      <c r="BI112" s="20"/>
      <c r="BJ112" s="125" t="str">
        <f t="shared" si="91"/>
        <v/>
      </c>
      <c r="BK112" s="14"/>
      <c r="BL112" s="125" t="str">
        <f t="shared" si="92"/>
        <v/>
      </c>
      <c r="BM112" s="20"/>
      <c r="BN112" s="20"/>
      <c r="BO112" s="125" t="str">
        <f t="shared" si="93"/>
        <v/>
      </c>
      <c r="BP112" s="14"/>
      <c r="BQ112" s="125" t="str">
        <f t="shared" si="94"/>
        <v/>
      </c>
      <c r="BR112" s="20"/>
      <c r="BS112" s="20"/>
      <c r="BT112" s="125" t="str">
        <f t="shared" si="95"/>
        <v/>
      </c>
      <c r="BU112" s="125" t="str">
        <f t="shared" si="96"/>
        <v/>
      </c>
      <c r="BV112" s="125" t="str">
        <f t="shared" si="97"/>
        <v/>
      </c>
      <c r="BW112" s="129" t="str">
        <f t="shared" si="98"/>
        <v/>
      </c>
      <c r="BX112" s="11"/>
      <c r="BY112" s="15"/>
      <c r="BZ112" s="14"/>
      <c r="CA112" s="117" t="str">
        <f>IF(_xlfn.XLOOKUP(BY112, AutoFill_classes!$A:$A, AutoFill_classes!$B:$B,"")=0,"",_xlfn.XLOOKUP(BY112, AutoFill_classes!$A:$A, AutoFill_classes!$B:$B,""))</f>
        <v/>
      </c>
      <c r="CB112" s="108"/>
      <c r="CC112" s="14"/>
      <c r="CD112" s="14"/>
      <c r="CE112" s="14"/>
      <c r="CF112" s="21"/>
      <c r="CG112" s="22"/>
      <c r="CH112" s="63"/>
      <c r="CI112" s="23"/>
      <c r="CJ112" s="121" t="str">
        <f t="shared" si="99"/>
        <v/>
      </c>
      <c r="CK112" s="20"/>
      <c r="CL112" s="20"/>
      <c r="CM112" s="20"/>
      <c r="CN112" s="20"/>
      <c r="CO112" s="125" t="str">
        <f t="shared" si="100"/>
        <v/>
      </c>
      <c r="CP112" s="14"/>
      <c r="CQ112" s="125" t="str">
        <f t="shared" si="101"/>
        <v/>
      </c>
      <c r="CR112" s="20"/>
      <c r="CS112" s="20"/>
      <c r="CT112" s="125" t="str">
        <f t="shared" si="102"/>
        <v/>
      </c>
      <c r="CU112" s="14"/>
      <c r="CV112" s="125" t="str">
        <f t="shared" si="103"/>
        <v/>
      </c>
      <c r="CW112" s="20"/>
      <c r="CX112" s="20"/>
      <c r="CY112" s="125" t="str">
        <f t="shared" si="104"/>
        <v/>
      </c>
      <c r="CZ112" s="125" t="str">
        <f t="shared" si="105"/>
        <v/>
      </c>
      <c r="DA112" s="125" t="str">
        <f t="shared" si="106"/>
        <v/>
      </c>
      <c r="DB112" s="129" t="str">
        <f t="shared" si="107"/>
        <v/>
      </c>
      <c r="DC112" s="14"/>
      <c r="DD112" s="62"/>
      <c r="DE112" s="105">
        <v>110</v>
      </c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spans="1:176" s="1" customFormat="1" ht="13" hidden="1" customHeight="1" outlineLevel="1" x14ac:dyDescent="0.2">
      <c r="A113" s="4"/>
      <c r="B113" s="115" t="str">
        <f>IF(_xlfn.XLOOKUP(A113, AutoFill_names!B:B, AutoFill_names!C:C,"")=0,"",_xlfn.XLOOKUP(A113, AutoFill_names!B:B, AutoFill_names!C:C,""))</f>
        <v/>
      </c>
      <c r="C113" s="115" t="str">
        <f>IF(_xlfn.XLOOKUP(A113, AutoFill_names!B:B, AutoFill_names!D:D,"")=0,"",_xlfn.XLOOKUP(A113, AutoFill_names!B:B, AutoFill_names!D:D,""))</f>
        <v/>
      </c>
      <c r="D113" s="115" t="str">
        <f>IF(_xlfn.XLOOKUP(A113, AutoFill_names!B:B, AutoFill_names!E:E,"")=0,"",_xlfn.XLOOKUP(A113, AutoFill_names!B:B, AutoFill_names!E:E,""))</f>
        <v/>
      </c>
      <c r="E113" s="115" t="str">
        <f>IF(_xlfn.XLOOKUP(A113, AutoFill_names!B:B, AutoFill_names!F:F,"")=0,"",_xlfn.XLOOKUP(A113, AutoFill_names!B:B, AutoFill_names!F:F,""))</f>
        <v/>
      </c>
      <c r="F113" s="92"/>
      <c r="J113" s="115" t="str">
        <f>IF(_xlfn.XLOOKUP(A113, AutoFill_names!B:B, AutoFill_names!K:K,"")=0,"",_xlfn.XLOOKUP(A113, AutoFill_names!B:B, AutoFill_names!K:K,""))</f>
        <v/>
      </c>
      <c r="K113" s="115" t="str">
        <f>IF(_xlfn.XLOOKUP(A113, AutoFill_names!B:B, AutoFill_names!L:L,"")=0,"",_xlfn.XLOOKUP(A113, AutoFill_names!B:B, AutoFill_names!L:L,""))</f>
        <v/>
      </c>
      <c r="L113" s="2"/>
      <c r="M113" s="2"/>
      <c r="N113" s="117" t="str">
        <f>IF(_xlfn.XLOOKUP(L113, AutoFill_classes!A:A, AutoFill_classes!B:B,"")=0,"",_xlfn.XLOOKUP(L113, AutoFill_classes!A:A, AutoFill_classes!B:B,""))</f>
        <v/>
      </c>
      <c r="O113" s="108"/>
      <c r="P113" s="6"/>
      <c r="Q113" s="6"/>
      <c r="R113" s="6"/>
      <c r="S113" s="2"/>
      <c r="T113" s="2"/>
      <c r="U113" s="2"/>
      <c r="X113" s="63"/>
      <c r="Y113" s="19"/>
      <c r="Z113" s="121" t="str">
        <f t="shared" si="81"/>
        <v/>
      </c>
      <c r="AA113" s="20"/>
      <c r="AB113" s="20"/>
      <c r="AC113" s="20"/>
      <c r="AD113" s="20"/>
      <c r="AE113" s="125" t="str">
        <f t="shared" si="82"/>
        <v/>
      </c>
      <c r="AF113" s="14"/>
      <c r="AG113" s="125" t="str">
        <f t="shared" si="83"/>
        <v/>
      </c>
      <c r="AH113" s="20"/>
      <c r="AI113" s="20"/>
      <c r="AJ113" s="125" t="str">
        <f t="shared" si="84"/>
        <v/>
      </c>
      <c r="AK113" s="14"/>
      <c r="AL113" s="125" t="str">
        <f t="shared" si="85"/>
        <v/>
      </c>
      <c r="AM113" s="20"/>
      <c r="AN113" s="20"/>
      <c r="AO113" s="125" t="str">
        <f t="shared" si="86"/>
        <v/>
      </c>
      <c r="AP113" s="125" t="str">
        <f t="shared" si="87"/>
        <v/>
      </c>
      <c r="AQ113" s="125" t="str">
        <f t="shared" si="88"/>
        <v/>
      </c>
      <c r="AR113" s="129" t="str">
        <f t="shared" si="89"/>
        <v/>
      </c>
      <c r="AS113" s="14"/>
      <c r="AT113" s="33"/>
      <c r="AU113" s="33"/>
      <c r="AV113" s="117" t="str">
        <f>IF(_xlfn.XLOOKUP(AT113, AutoFill_classes!$A:$A, AutoFill_classes!$B:$B,"")=0,"",_xlfn.XLOOKUP(AT113, AutoFill_classes!$A:$A, AutoFill_classes!$B:$B,""))</f>
        <v/>
      </c>
      <c r="AW113" s="108"/>
      <c r="AX113" s="11"/>
      <c r="AY113" s="11"/>
      <c r="AZ113" s="11"/>
      <c r="BA113" s="13"/>
      <c r="BB113" s="13"/>
      <c r="BC113" s="63"/>
      <c r="BD113" s="19"/>
      <c r="BE113" s="121" t="str">
        <f t="shared" si="90"/>
        <v/>
      </c>
      <c r="BF113" s="20"/>
      <c r="BG113" s="20"/>
      <c r="BH113" s="20"/>
      <c r="BI113" s="20"/>
      <c r="BJ113" s="125" t="str">
        <f t="shared" si="91"/>
        <v/>
      </c>
      <c r="BK113" s="14"/>
      <c r="BL113" s="125" t="str">
        <f t="shared" si="92"/>
        <v/>
      </c>
      <c r="BM113" s="20"/>
      <c r="BN113" s="20"/>
      <c r="BO113" s="125" t="str">
        <f t="shared" si="93"/>
        <v/>
      </c>
      <c r="BP113" s="14"/>
      <c r="BQ113" s="125" t="str">
        <f t="shared" si="94"/>
        <v/>
      </c>
      <c r="BR113" s="20"/>
      <c r="BS113" s="20"/>
      <c r="BT113" s="125" t="str">
        <f t="shared" si="95"/>
        <v/>
      </c>
      <c r="BU113" s="125" t="str">
        <f t="shared" si="96"/>
        <v/>
      </c>
      <c r="BV113" s="125" t="str">
        <f t="shared" si="97"/>
        <v/>
      </c>
      <c r="BW113" s="129" t="str">
        <f t="shared" si="98"/>
        <v/>
      </c>
      <c r="BX113" s="11"/>
      <c r="BY113" s="15"/>
      <c r="BZ113" s="14"/>
      <c r="CA113" s="117" t="str">
        <f>IF(_xlfn.XLOOKUP(BY113, AutoFill_classes!$A:$A, AutoFill_classes!$B:$B,"")=0,"",_xlfn.XLOOKUP(BY113, AutoFill_classes!$A:$A, AutoFill_classes!$B:$B,""))</f>
        <v/>
      </c>
      <c r="CB113" s="108"/>
      <c r="CC113" s="14"/>
      <c r="CD113" s="14"/>
      <c r="CE113" s="14"/>
      <c r="CF113" s="21"/>
      <c r="CG113" s="22"/>
      <c r="CH113" s="63"/>
      <c r="CI113" s="23"/>
      <c r="CJ113" s="121" t="str">
        <f t="shared" si="99"/>
        <v/>
      </c>
      <c r="CK113" s="20"/>
      <c r="CL113" s="20"/>
      <c r="CM113" s="20"/>
      <c r="CN113" s="20"/>
      <c r="CO113" s="125" t="str">
        <f t="shared" si="100"/>
        <v/>
      </c>
      <c r="CP113" s="14"/>
      <c r="CQ113" s="125" t="str">
        <f t="shared" si="101"/>
        <v/>
      </c>
      <c r="CR113" s="20"/>
      <c r="CS113" s="20"/>
      <c r="CT113" s="125" t="str">
        <f t="shared" si="102"/>
        <v/>
      </c>
      <c r="CU113" s="14"/>
      <c r="CV113" s="125" t="str">
        <f t="shared" si="103"/>
        <v/>
      </c>
      <c r="CW113" s="20"/>
      <c r="CX113" s="20"/>
      <c r="CY113" s="125" t="str">
        <f t="shared" si="104"/>
        <v/>
      </c>
      <c r="CZ113" s="125" t="str">
        <f t="shared" si="105"/>
        <v/>
      </c>
      <c r="DA113" s="125" t="str">
        <f t="shared" si="106"/>
        <v/>
      </c>
      <c r="DB113" s="129" t="str">
        <f t="shared" si="107"/>
        <v/>
      </c>
      <c r="DC113" s="14"/>
      <c r="DD113" s="62"/>
      <c r="DE113" s="105">
        <v>111</v>
      </c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spans="1:176" s="1" customFormat="1" ht="13" hidden="1" customHeight="1" outlineLevel="1" x14ac:dyDescent="0.2">
      <c r="A114" s="4"/>
      <c r="B114" s="115" t="str">
        <f>IF(_xlfn.XLOOKUP(A114, AutoFill_names!B:B, AutoFill_names!C:C,"")=0,"",_xlfn.XLOOKUP(A114, AutoFill_names!B:B, AutoFill_names!C:C,""))</f>
        <v/>
      </c>
      <c r="C114" s="115" t="str">
        <f>IF(_xlfn.XLOOKUP(A114, AutoFill_names!B:B, AutoFill_names!D:D,"")=0,"",_xlfn.XLOOKUP(A114, AutoFill_names!B:B, AutoFill_names!D:D,""))</f>
        <v/>
      </c>
      <c r="D114" s="115" t="str">
        <f>IF(_xlfn.XLOOKUP(A114, AutoFill_names!B:B, AutoFill_names!E:E,"")=0,"",_xlfn.XLOOKUP(A114, AutoFill_names!B:B, AutoFill_names!E:E,""))</f>
        <v/>
      </c>
      <c r="E114" s="115" t="str">
        <f>IF(_xlfn.XLOOKUP(A114, AutoFill_names!B:B, AutoFill_names!F:F,"")=0,"",_xlfn.XLOOKUP(A114, AutoFill_names!B:B, AutoFill_names!F:F,""))</f>
        <v/>
      </c>
      <c r="F114" s="92"/>
      <c r="J114" s="115" t="str">
        <f>IF(_xlfn.XLOOKUP(A114, AutoFill_names!B:B, AutoFill_names!K:K,"")=0,"",_xlfn.XLOOKUP(A114, AutoFill_names!B:B, AutoFill_names!K:K,""))</f>
        <v/>
      </c>
      <c r="K114" s="115" t="str">
        <f>IF(_xlfn.XLOOKUP(A114, AutoFill_names!B:B, AutoFill_names!L:L,"")=0,"",_xlfn.XLOOKUP(A114, AutoFill_names!B:B, AutoFill_names!L:L,""))</f>
        <v/>
      </c>
      <c r="L114" s="2"/>
      <c r="M114" s="2"/>
      <c r="N114" s="117" t="str">
        <f>IF(_xlfn.XLOOKUP(L114, AutoFill_classes!A:A, AutoFill_classes!B:B,"")=0,"",_xlfn.XLOOKUP(L114, AutoFill_classes!A:A, AutoFill_classes!B:B,""))</f>
        <v/>
      </c>
      <c r="O114" s="108"/>
      <c r="P114" s="6"/>
      <c r="Q114" s="6"/>
      <c r="R114" s="6"/>
      <c r="S114" s="2"/>
      <c r="T114" s="2"/>
      <c r="U114" s="2"/>
      <c r="X114" s="63"/>
      <c r="Y114" s="19"/>
      <c r="Z114" s="121" t="str">
        <f t="shared" si="81"/>
        <v/>
      </c>
      <c r="AA114" s="20"/>
      <c r="AB114" s="20"/>
      <c r="AC114" s="20"/>
      <c r="AD114" s="20"/>
      <c r="AE114" s="125" t="str">
        <f t="shared" si="82"/>
        <v/>
      </c>
      <c r="AF114" s="14"/>
      <c r="AG114" s="125" t="str">
        <f t="shared" si="83"/>
        <v/>
      </c>
      <c r="AH114" s="20"/>
      <c r="AI114" s="20"/>
      <c r="AJ114" s="125" t="str">
        <f t="shared" si="84"/>
        <v/>
      </c>
      <c r="AK114" s="14"/>
      <c r="AL114" s="125" t="str">
        <f t="shared" si="85"/>
        <v/>
      </c>
      <c r="AM114" s="20"/>
      <c r="AN114" s="20"/>
      <c r="AO114" s="125" t="str">
        <f t="shared" si="86"/>
        <v/>
      </c>
      <c r="AP114" s="125" t="str">
        <f t="shared" si="87"/>
        <v/>
      </c>
      <c r="AQ114" s="125" t="str">
        <f t="shared" si="88"/>
        <v/>
      </c>
      <c r="AR114" s="129" t="str">
        <f t="shared" si="89"/>
        <v/>
      </c>
      <c r="AS114" s="14"/>
      <c r="AT114" s="33"/>
      <c r="AU114" s="33"/>
      <c r="AV114" s="117" t="str">
        <f>IF(_xlfn.XLOOKUP(AT114, AutoFill_classes!$A:$A, AutoFill_classes!$B:$B,"")=0,"",_xlfn.XLOOKUP(AT114, AutoFill_classes!$A:$A, AutoFill_classes!$B:$B,""))</f>
        <v/>
      </c>
      <c r="AW114" s="108"/>
      <c r="AX114" s="11"/>
      <c r="AY114" s="11"/>
      <c r="AZ114" s="11"/>
      <c r="BA114" s="13"/>
      <c r="BB114" s="13"/>
      <c r="BC114" s="63"/>
      <c r="BD114" s="19"/>
      <c r="BE114" s="121" t="str">
        <f t="shared" si="90"/>
        <v/>
      </c>
      <c r="BF114" s="20"/>
      <c r="BG114" s="20"/>
      <c r="BH114" s="20"/>
      <c r="BI114" s="20"/>
      <c r="BJ114" s="125" t="str">
        <f t="shared" si="91"/>
        <v/>
      </c>
      <c r="BK114" s="14"/>
      <c r="BL114" s="125" t="str">
        <f t="shared" si="92"/>
        <v/>
      </c>
      <c r="BM114" s="20"/>
      <c r="BN114" s="20"/>
      <c r="BO114" s="125" t="str">
        <f t="shared" si="93"/>
        <v/>
      </c>
      <c r="BP114" s="14"/>
      <c r="BQ114" s="125" t="str">
        <f t="shared" si="94"/>
        <v/>
      </c>
      <c r="BR114" s="20"/>
      <c r="BS114" s="20"/>
      <c r="BT114" s="125" t="str">
        <f t="shared" si="95"/>
        <v/>
      </c>
      <c r="BU114" s="125" t="str">
        <f t="shared" si="96"/>
        <v/>
      </c>
      <c r="BV114" s="125" t="str">
        <f t="shared" si="97"/>
        <v/>
      </c>
      <c r="BW114" s="129" t="str">
        <f t="shared" si="98"/>
        <v/>
      </c>
      <c r="BX114" s="11"/>
      <c r="BY114" s="15"/>
      <c r="BZ114" s="14"/>
      <c r="CA114" s="117" t="str">
        <f>IF(_xlfn.XLOOKUP(BY114, AutoFill_classes!$A:$A, AutoFill_classes!$B:$B,"")=0,"",_xlfn.XLOOKUP(BY114, AutoFill_classes!$A:$A, AutoFill_classes!$B:$B,""))</f>
        <v/>
      </c>
      <c r="CB114" s="108"/>
      <c r="CC114" s="14"/>
      <c r="CD114" s="14"/>
      <c r="CE114" s="14"/>
      <c r="CF114" s="21"/>
      <c r="CG114" s="22"/>
      <c r="CH114" s="63"/>
      <c r="CI114" s="23"/>
      <c r="CJ114" s="121" t="str">
        <f t="shared" si="99"/>
        <v/>
      </c>
      <c r="CK114" s="20"/>
      <c r="CL114" s="20"/>
      <c r="CM114" s="20"/>
      <c r="CN114" s="20"/>
      <c r="CO114" s="125" t="str">
        <f t="shared" si="100"/>
        <v/>
      </c>
      <c r="CP114" s="14"/>
      <c r="CQ114" s="125" t="str">
        <f t="shared" si="101"/>
        <v/>
      </c>
      <c r="CR114" s="20"/>
      <c r="CS114" s="20"/>
      <c r="CT114" s="125" t="str">
        <f t="shared" si="102"/>
        <v/>
      </c>
      <c r="CU114" s="14"/>
      <c r="CV114" s="125" t="str">
        <f t="shared" si="103"/>
        <v/>
      </c>
      <c r="CW114" s="20"/>
      <c r="CX114" s="20"/>
      <c r="CY114" s="125" t="str">
        <f t="shared" si="104"/>
        <v/>
      </c>
      <c r="CZ114" s="125" t="str">
        <f t="shared" si="105"/>
        <v/>
      </c>
      <c r="DA114" s="125" t="str">
        <f t="shared" si="106"/>
        <v/>
      </c>
      <c r="DB114" s="129" t="str">
        <f t="shared" si="107"/>
        <v/>
      </c>
      <c r="DC114" s="14"/>
      <c r="DD114" s="62"/>
      <c r="DE114" s="105">
        <v>112</v>
      </c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spans="1:176" s="1" customFormat="1" ht="13" hidden="1" customHeight="1" outlineLevel="1" x14ac:dyDescent="0.2">
      <c r="A115" s="4"/>
      <c r="B115" s="115" t="str">
        <f>IF(_xlfn.XLOOKUP(A115, AutoFill_names!B:B, AutoFill_names!C:C,"")=0,"",_xlfn.XLOOKUP(A115, AutoFill_names!B:B, AutoFill_names!C:C,""))</f>
        <v/>
      </c>
      <c r="C115" s="115" t="str">
        <f>IF(_xlfn.XLOOKUP(A115, AutoFill_names!B:B, AutoFill_names!D:D,"")=0,"",_xlfn.XLOOKUP(A115, AutoFill_names!B:B, AutoFill_names!D:D,""))</f>
        <v/>
      </c>
      <c r="D115" s="115" t="str">
        <f>IF(_xlfn.XLOOKUP(A115, AutoFill_names!B:B, AutoFill_names!E:E,"")=0,"",_xlfn.XLOOKUP(A115, AutoFill_names!B:B, AutoFill_names!E:E,""))</f>
        <v/>
      </c>
      <c r="E115" s="115" t="str">
        <f>IF(_xlfn.XLOOKUP(A115, AutoFill_names!B:B, AutoFill_names!F:F,"")=0,"",_xlfn.XLOOKUP(A115, AutoFill_names!B:B, AutoFill_names!F:F,""))</f>
        <v/>
      </c>
      <c r="F115" s="92"/>
      <c r="J115" s="115" t="str">
        <f>IF(_xlfn.XLOOKUP(A115, AutoFill_names!B:B, AutoFill_names!K:K,"")=0,"",_xlfn.XLOOKUP(A115, AutoFill_names!B:B, AutoFill_names!K:K,""))</f>
        <v/>
      </c>
      <c r="K115" s="115" t="str">
        <f>IF(_xlfn.XLOOKUP(A115, AutoFill_names!B:B, AutoFill_names!L:L,"")=0,"",_xlfn.XLOOKUP(A115, AutoFill_names!B:B, AutoFill_names!L:L,""))</f>
        <v/>
      </c>
      <c r="L115" s="2"/>
      <c r="M115" s="2"/>
      <c r="N115" s="117" t="str">
        <f>IF(_xlfn.XLOOKUP(L115, AutoFill_classes!A:A, AutoFill_classes!B:B,"")=0,"",_xlfn.XLOOKUP(L115, AutoFill_classes!A:A, AutoFill_classes!B:B,""))</f>
        <v/>
      </c>
      <c r="O115" s="108"/>
      <c r="P115" s="6"/>
      <c r="Q115" s="6"/>
      <c r="R115" s="6"/>
      <c r="S115" s="2"/>
      <c r="T115" s="2"/>
      <c r="U115" s="2"/>
      <c r="X115" s="63"/>
      <c r="Y115" s="19"/>
      <c r="Z115" s="121" t="str">
        <f t="shared" si="81"/>
        <v/>
      </c>
      <c r="AA115" s="20"/>
      <c r="AB115" s="20"/>
      <c r="AC115" s="20"/>
      <c r="AD115" s="20"/>
      <c r="AE115" s="125" t="str">
        <f t="shared" si="82"/>
        <v/>
      </c>
      <c r="AF115" s="14"/>
      <c r="AG115" s="125" t="str">
        <f t="shared" si="83"/>
        <v/>
      </c>
      <c r="AH115" s="20"/>
      <c r="AI115" s="20"/>
      <c r="AJ115" s="125" t="str">
        <f t="shared" si="84"/>
        <v/>
      </c>
      <c r="AK115" s="14"/>
      <c r="AL115" s="125" t="str">
        <f t="shared" si="85"/>
        <v/>
      </c>
      <c r="AM115" s="20"/>
      <c r="AN115" s="20"/>
      <c r="AO115" s="125" t="str">
        <f t="shared" si="86"/>
        <v/>
      </c>
      <c r="AP115" s="125" t="str">
        <f t="shared" si="87"/>
        <v/>
      </c>
      <c r="AQ115" s="125" t="str">
        <f t="shared" si="88"/>
        <v/>
      </c>
      <c r="AR115" s="129" t="str">
        <f t="shared" si="89"/>
        <v/>
      </c>
      <c r="AS115" s="14"/>
      <c r="AT115" s="33"/>
      <c r="AU115" s="33"/>
      <c r="AV115" s="117" t="str">
        <f>IF(_xlfn.XLOOKUP(AT115, AutoFill_classes!$A:$A, AutoFill_classes!$B:$B,"")=0,"",_xlfn.XLOOKUP(AT115, AutoFill_classes!$A:$A, AutoFill_classes!$B:$B,""))</f>
        <v/>
      </c>
      <c r="AW115" s="108"/>
      <c r="AX115" s="11"/>
      <c r="AY115" s="11"/>
      <c r="AZ115" s="11"/>
      <c r="BA115" s="13"/>
      <c r="BB115" s="13"/>
      <c r="BC115" s="63"/>
      <c r="BD115" s="19"/>
      <c r="BE115" s="121" t="str">
        <f t="shared" si="90"/>
        <v/>
      </c>
      <c r="BF115" s="20"/>
      <c r="BG115" s="20"/>
      <c r="BH115" s="20"/>
      <c r="BI115" s="20"/>
      <c r="BJ115" s="125" t="str">
        <f t="shared" si="91"/>
        <v/>
      </c>
      <c r="BK115" s="14"/>
      <c r="BL115" s="125" t="str">
        <f t="shared" si="92"/>
        <v/>
      </c>
      <c r="BM115" s="20"/>
      <c r="BN115" s="20"/>
      <c r="BO115" s="125" t="str">
        <f t="shared" si="93"/>
        <v/>
      </c>
      <c r="BP115" s="14"/>
      <c r="BQ115" s="125" t="str">
        <f t="shared" si="94"/>
        <v/>
      </c>
      <c r="BR115" s="20"/>
      <c r="BS115" s="20"/>
      <c r="BT115" s="125" t="str">
        <f t="shared" si="95"/>
        <v/>
      </c>
      <c r="BU115" s="125" t="str">
        <f t="shared" si="96"/>
        <v/>
      </c>
      <c r="BV115" s="125" t="str">
        <f t="shared" si="97"/>
        <v/>
      </c>
      <c r="BW115" s="129" t="str">
        <f t="shared" si="98"/>
        <v/>
      </c>
      <c r="BX115" s="11"/>
      <c r="BY115" s="15"/>
      <c r="BZ115" s="14"/>
      <c r="CA115" s="117" t="str">
        <f>IF(_xlfn.XLOOKUP(BY115, AutoFill_classes!$A:$A, AutoFill_classes!$B:$B,"")=0,"",_xlfn.XLOOKUP(BY115, AutoFill_classes!$A:$A, AutoFill_classes!$B:$B,""))</f>
        <v/>
      </c>
      <c r="CB115" s="108"/>
      <c r="CC115" s="14"/>
      <c r="CD115" s="14"/>
      <c r="CE115" s="14"/>
      <c r="CF115" s="21"/>
      <c r="CG115" s="22"/>
      <c r="CH115" s="63"/>
      <c r="CI115" s="23"/>
      <c r="CJ115" s="121" t="str">
        <f t="shared" si="99"/>
        <v/>
      </c>
      <c r="CK115" s="20"/>
      <c r="CL115" s="20"/>
      <c r="CM115" s="20"/>
      <c r="CN115" s="20"/>
      <c r="CO115" s="125" t="str">
        <f t="shared" si="100"/>
        <v/>
      </c>
      <c r="CP115" s="14"/>
      <c r="CQ115" s="125" t="str">
        <f t="shared" si="101"/>
        <v/>
      </c>
      <c r="CR115" s="20"/>
      <c r="CS115" s="20"/>
      <c r="CT115" s="125" t="str">
        <f t="shared" si="102"/>
        <v/>
      </c>
      <c r="CU115" s="14"/>
      <c r="CV115" s="125" t="str">
        <f t="shared" si="103"/>
        <v/>
      </c>
      <c r="CW115" s="20"/>
      <c r="CX115" s="20"/>
      <c r="CY115" s="125" t="str">
        <f t="shared" si="104"/>
        <v/>
      </c>
      <c r="CZ115" s="125" t="str">
        <f t="shared" si="105"/>
        <v/>
      </c>
      <c r="DA115" s="125" t="str">
        <f t="shared" si="106"/>
        <v/>
      </c>
      <c r="DB115" s="129" t="str">
        <f t="shared" si="107"/>
        <v/>
      </c>
      <c r="DC115" s="14"/>
      <c r="DD115" s="62"/>
      <c r="DE115" s="105">
        <v>113</v>
      </c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spans="1:176" s="1" customFormat="1" ht="13" hidden="1" customHeight="1" outlineLevel="1" x14ac:dyDescent="0.2">
      <c r="A116" s="4"/>
      <c r="B116" s="115" t="str">
        <f>IF(_xlfn.XLOOKUP(A116, AutoFill_names!B:B, AutoFill_names!C:C,"")=0,"",_xlfn.XLOOKUP(A116, AutoFill_names!B:B, AutoFill_names!C:C,""))</f>
        <v/>
      </c>
      <c r="C116" s="115" t="str">
        <f>IF(_xlfn.XLOOKUP(A116, AutoFill_names!B:B, AutoFill_names!D:D,"")=0,"",_xlfn.XLOOKUP(A116, AutoFill_names!B:B, AutoFill_names!D:D,""))</f>
        <v/>
      </c>
      <c r="D116" s="115" t="str">
        <f>IF(_xlfn.XLOOKUP(A116, AutoFill_names!B:B, AutoFill_names!E:E,"")=0,"",_xlfn.XLOOKUP(A116, AutoFill_names!B:B, AutoFill_names!E:E,""))</f>
        <v/>
      </c>
      <c r="E116" s="115" t="str">
        <f>IF(_xlfn.XLOOKUP(A116, AutoFill_names!B:B, AutoFill_names!F:F,"")=0,"",_xlfn.XLOOKUP(A116, AutoFill_names!B:B, AutoFill_names!F:F,""))</f>
        <v/>
      </c>
      <c r="F116" s="92"/>
      <c r="J116" s="115" t="str">
        <f>IF(_xlfn.XLOOKUP(A116, AutoFill_names!B:B, AutoFill_names!K:K,"")=0,"",_xlfn.XLOOKUP(A116, AutoFill_names!B:B, AutoFill_names!K:K,""))</f>
        <v/>
      </c>
      <c r="K116" s="115" t="str">
        <f>IF(_xlfn.XLOOKUP(A116, AutoFill_names!B:B, AutoFill_names!L:L,"")=0,"",_xlfn.XLOOKUP(A116, AutoFill_names!B:B, AutoFill_names!L:L,""))</f>
        <v/>
      </c>
      <c r="L116" s="2"/>
      <c r="M116" s="2"/>
      <c r="N116" s="117" t="str">
        <f>IF(_xlfn.XLOOKUP(L116, AutoFill_classes!A:A, AutoFill_classes!B:B,"")=0,"",_xlfn.XLOOKUP(L116, AutoFill_classes!A:A, AutoFill_classes!B:B,""))</f>
        <v/>
      </c>
      <c r="O116" s="108"/>
      <c r="P116" s="6"/>
      <c r="Q116" s="6"/>
      <c r="R116" s="6"/>
      <c r="S116" s="2"/>
      <c r="T116" s="2"/>
      <c r="U116" s="2"/>
      <c r="X116" s="63"/>
      <c r="Y116" s="19"/>
      <c r="Z116" s="121" t="str">
        <f t="shared" si="81"/>
        <v/>
      </c>
      <c r="AA116" s="20"/>
      <c r="AB116" s="20"/>
      <c r="AC116" s="20"/>
      <c r="AD116" s="20"/>
      <c r="AE116" s="125" t="str">
        <f t="shared" si="82"/>
        <v/>
      </c>
      <c r="AF116" s="14"/>
      <c r="AG116" s="125" t="str">
        <f t="shared" si="83"/>
        <v/>
      </c>
      <c r="AH116" s="20"/>
      <c r="AI116" s="20"/>
      <c r="AJ116" s="125" t="str">
        <f t="shared" si="84"/>
        <v/>
      </c>
      <c r="AK116" s="14"/>
      <c r="AL116" s="125" t="str">
        <f t="shared" si="85"/>
        <v/>
      </c>
      <c r="AM116" s="20"/>
      <c r="AN116" s="20"/>
      <c r="AO116" s="125" t="str">
        <f t="shared" si="86"/>
        <v/>
      </c>
      <c r="AP116" s="125" t="str">
        <f t="shared" si="87"/>
        <v/>
      </c>
      <c r="AQ116" s="125" t="str">
        <f t="shared" si="88"/>
        <v/>
      </c>
      <c r="AR116" s="129" t="str">
        <f t="shared" si="89"/>
        <v/>
      </c>
      <c r="AS116" s="14"/>
      <c r="AT116" s="33"/>
      <c r="AU116" s="33"/>
      <c r="AV116" s="117" t="str">
        <f>IF(_xlfn.XLOOKUP(AT116, AutoFill_classes!$A:$A, AutoFill_classes!$B:$B,"")=0,"",_xlfn.XLOOKUP(AT116, AutoFill_classes!$A:$A, AutoFill_classes!$B:$B,""))</f>
        <v/>
      </c>
      <c r="AW116" s="108"/>
      <c r="AX116" s="11"/>
      <c r="AY116" s="11"/>
      <c r="AZ116" s="11"/>
      <c r="BA116" s="13"/>
      <c r="BB116" s="13"/>
      <c r="BC116" s="63"/>
      <c r="BD116" s="19"/>
      <c r="BE116" s="121" t="str">
        <f t="shared" si="90"/>
        <v/>
      </c>
      <c r="BF116" s="20"/>
      <c r="BG116" s="20"/>
      <c r="BH116" s="20"/>
      <c r="BI116" s="20"/>
      <c r="BJ116" s="125" t="str">
        <f t="shared" si="91"/>
        <v/>
      </c>
      <c r="BK116" s="14"/>
      <c r="BL116" s="125" t="str">
        <f t="shared" si="92"/>
        <v/>
      </c>
      <c r="BM116" s="20"/>
      <c r="BN116" s="20"/>
      <c r="BO116" s="125" t="str">
        <f t="shared" si="93"/>
        <v/>
      </c>
      <c r="BP116" s="14"/>
      <c r="BQ116" s="125" t="str">
        <f t="shared" si="94"/>
        <v/>
      </c>
      <c r="BR116" s="20"/>
      <c r="BS116" s="20"/>
      <c r="BT116" s="125" t="str">
        <f t="shared" si="95"/>
        <v/>
      </c>
      <c r="BU116" s="125" t="str">
        <f t="shared" si="96"/>
        <v/>
      </c>
      <c r="BV116" s="125" t="str">
        <f t="shared" si="97"/>
        <v/>
      </c>
      <c r="BW116" s="129" t="str">
        <f t="shared" si="98"/>
        <v/>
      </c>
      <c r="BX116" s="11"/>
      <c r="BY116" s="15"/>
      <c r="BZ116" s="14"/>
      <c r="CA116" s="117" t="str">
        <f>IF(_xlfn.XLOOKUP(BY116, AutoFill_classes!$A:$A, AutoFill_classes!$B:$B,"")=0,"",_xlfn.XLOOKUP(BY116, AutoFill_classes!$A:$A, AutoFill_classes!$B:$B,""))</f>
        <v/>
      </c>
      <c r="CB116" s="108"/>
      <c r="CC116" s="14"/>
      <c r="CD116" s="14"/>
      <c r="CE116" s="14"/>
      <c r="CF116" s="21"/>
      <c r="CG116" s="22"/>
      <c r="CH116" s="63"/>
      <c r="CI116" s="23"/>
      <c r="CJ116" s="121" t="str">
        <f t="shared" si="99"/>
        <v/>
      </c>
      <c r="CK116" s="20"/>
      <c r="CL116" s="20"/>
      <c r="CM116" s="20"/>
      <c r="CN116" s="20"/>
      <c r="CO116" s="125" t="str">
        <f t="shared" si="100"/>
        <v/>
      </c>
      <c r="CP116" s="14"/>
      <c r="CQ116" s="125" t="str">
        <f t="shared" si="101"/>
        <v/>
      </c>
      <c r="CR116" s="20"/>
      <c r="CS116" s="20"/>
      <c r="CT116" s="125" t="str">
        <f t="shared" si="102"/>
        <v/>
      </c>
      <c r="CU116" s="14"/>
      <c r="CV116" s="125" t="str">
        <f t="shared" si="103"/>
        <v/>
      </c>
      <c r="CW116" s="20"/>
      <c r="CX116" s="20"/>
      <c r="CY116" s="125" t="str">
        <f t="shared" si="104"/>
        <v/>
      </c>
      <c r="CZ116" s="125" t="str">
        <f t="shared" si="105"/>
        <v/>
      </c>
      <c r="DA116" s="125" t="str">
        <f t="shared" si="106"/>
        <v/>
      </c>
      <c r="DB116" s="129" t="str">
        <f t="shared" si="107"/>
        <v/>
      </c>
      <c r="DC116" s="14"/>
      <c r="DD116" s="62"/>
      <c r="DE116" s="105">
        <v>114</v>
      </c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</row>
    <row r="117" spans="1:176" s="1" customFormat="1" ht="13" hidden="1" customHeight="1" outlineLevel="1" x14ac:dyDescent="0.2">
      <c r="A117" s="4"/>
      <c r="B117" s="115" t="str">
        <f>IF(_xlfn.XLOOKUP(A117, AutoFill_names!B:B, AutoFill_names!C:C,"")=0,"",_xlfn.XLOOKUP(A117, AutoFill_names!B:B, AutoFill_names!C:C,""))</f>
        <v/>
      </c>
      <c r="C117" s="115" t="str">
        <f>IF(_xlfn.XLOOKUP(A117, AutoFill_names!B:B, AutoFill_names!D:D,"")=0,"",_xlfn.XLOOKUP(A117, AutoFill_names!B:B, AutoFill_names!D:D,""))</f>
        <v/>
      </c>
      <c r="D117" s="115" t="str">
        <f>IF(_xlfn.XLOOKUP(A117, AutoFill_names!B:B, AutoFill_names!E:E,"")=0,"",_xlfn.XLOOKUP(A117, AutoFill_names!B:B, AutoFill_names!E:E,""))</f>
        <v/>
      </c>
      <c r="E117" s="115" t="str">
        <f>IF(_xlfn.XLOOKUP(A117, AutoFill_names!B:B, AutoFill_names!F:F,"")=0,"",_xlfn.XLOOKUP(A117, AutoFill_names!B:B, AutoFill_names!F:F,""))</f>
        <v/>
      </c>
      <c r="F117" s="92"/>
      <c r="J117" s="115" t="str">
        <f>IF(_xlfn.XLOOKUP(A117, AutoFill_names!B:B, AutoFill_names!K:K,"")=0,"",_xlfn.XLOOKUP(A117, AutoFill_names!B:B, AutoFill_names!K:K,""))</f>
        <v/>
      </c>
      <c r="K117" s="115" t="str">
        <f>IF(_xlfn.XLOOKUP(A117, AutoFill_names!B:B, AutoFill_names!L:L,"")=0,"",_xlfn.XLOOKUP(A117, AutoFill_names!B:B, AutoFill_names!L:L,""))</f>
        <v/>
      </c>
      <c r="L117" s="2"/>
      <c r="M117" s="2"/>
      <c r="N117" s="117" t="str">
        <f>IF(_xlfn.XLOOKUP(L117, AutoFill_classes!A:A, AutoFill_classes!B:B,"")=0,"",_xlfn.XLOOKUP(L117, AutoFill_classes!A:A, AutoFill_classes!B:B,""))</f>
        <v/>
      </c>
      <c r="O117" s="108"/>
      <c r="P117" s="6"/>
      <c r="Q117" s="6"/>
      <c r="R117" s="6"/>
      <c r="S117" s="2"/>
      <c r="T117" s="2"/>
      <c r="U117" s="2"/>
      <c r="X117" s="63"/>
      <c r="Y117" s="19"/>
      <c r="Z117" s="121" t="str">
        <f t="shared" si="81"/>
        <v/>
      </c>
      <c r="AA117" s="20"/>
      <c r="AB117" s="20"/>
      <c r="AC117" s="20"/>
      <c r="AD117" s="20"/>
      <c r="AE117" s="125" t="str">
        <f t="shared" si="82"/>
        <v/>
      </c>
      <c r="AF117" s="14"/>
      <c r="AG117" s="125" t="str">
        <f t="shared" si="83"/>
        <v/>
      </c>
      <c r="AH117" s="20"/>
      <c r="AI117" s="20"/>
      <c r="AJ117" s="125" t="str">
        <f t="shared" si="84"/>
        <v/>
      </c>
      <c r="AK117" s="14"/>
      <c r="AL117" s="125" t="str">
        <f t="shared" si="85"/>
        <v/>
      </c>
      <c r="AM117" s="20"/>
      <c r="AN117" s="20"/>
      <c r="AO117" s="125" t="str">
        <f t="shared" si="86"/>
        <v/>
      </c>
      <c r="AP117" s="125" t="str">
        <f t="shared" si="87"/>
        <v/>
      </c>
      <c r="AQ117" s="125" t="str">
        <f t="shared" si="88"/>
        <v/>
      </c>
      <c r="AR117" s="129" t="str">
        <f t="shared" si="89"/>
        <v/>
      </c>
      <c r="AS117" s="14"/>
      <c r="AT117" s="33"/>
      <c r="AU117" s="33"/>
      <c r="AV117" s="117" t="str">
        <f>IF(_xlfn.XLOOKUP(AT117, AutoFill_classes!$A:$A, AutoFill_classes!$B:$B,"")=0,"",_xlfn.XLOOKUP(AT117, AutoFill_classes!$A:$A, AutoFill_classes!$B:$B,""))</f>
        <v/>
      </c>
      <c r="AW117" s="108"/>
      <c r="AX117" s="11"/>
      <c r="AY117" s="11"/>
      <c r="AZ117" s="11"/>
      <c r="BA117" s="13"/>
      <c r="BB117" s="13"/>
      <c r="BC117" s="63"/>
      <c r="BD117" s="19"/>
      <c r="BE117" s="121" t="str">
        <f t="shared" si="90"/>
        <v/>
      </c>
      <c r="BF117" s="20"/>
      <c r="BG117" s="20"/>
      <c r="BH117" s="20"/>
      <c r="BI117" s="20"/>
      <c r="BJ117" s="125" t="str">
        <f t="shared" si="91"/>
        <v/>
      </c>
      <c r="BK117" s="14"/>
      <c r="BL117" s="125" t="str">
        <f t="shared" si="92"/>
        <v/>
      </c>
      <c r="BM117" s="20"/>
      <c r="BN117" s="20"/>
      <c r="BO117" s="125" t="str">
        <f t="shared" si="93"/>
        <v/>
      </c>
      <c r="BP117" s="14"/>
      <c r="BQ117" s="125" t="str">
        <f t="shared" si="94"/>
        <v/>
      </c>
      <c r="BR117" s="20"/>
      <c r="BS117" s="20"/>
      <c r="BT117" s="125" t="str">
        <f t="shared" si="95"/>
        <v/>
      </c>
      <c r="BU117" s="125" t="str">
        <f t="shared" si="96"/>
        <v/>
      </c>
      <c r="BV117" s="125" t="str">
        <f t="shared" si="97"/>
        <v/>
      </c>
      <c r="BW117" s="129" t="str">
        <f t="shared" si="98"/>
        <v/>
      </c>
      <c r="BX117" s="11"/>
      <c r="BY117" s="15"/>
      <c r="BZ117" s="14"/>
      <c r="CA117" s="117" t="str">
        <f>IF(_xlfn.XLOOKUP(BY117, AutoFill_classes!$A:$A, AutoFill_classes!$B:$B,"")=0,"",_xlfn.XLOOKUP(BY117, AutoFill_classes!$A:$A, AutoFill_classes!$B:$B,""))</f>
        <v/>
      </c>
      <c r="CB117" s="108"/>
      <c r="CC117" s="14"/>
      <c r="CD117" s="14"/>
      <c r="CE117" s="14"/>
      <c r="CF117" s="21"/>
      <c r="CG117" s="22"/>
      <c r="CH117" s="63"/>
      <c r="CI117" s="23"/>
      <c r="CJ117" s="121" t="str">
        <f t="shared" si="99"/>
        <v/>
      </c>
      <c r="CK117" s="20"/>
      <c r="CL117" s="20"/>
      <c r="CM117" s="20"/>
      <c r="CN117" s="20"/>
      <c r="CO117" s="125" t="str">
        <f t="shared" si="100"/>
        <v/>
      </c>
      <c r="CP117" s="14"/>
      <c r="CQ117" s="125" t="str">
        <f t="shared" si="101"/>
        <v/>
      </c>
      <c r="CR117" s="20"/>
      <c r="CS117" s="20"/>
      <c r="CT117" s="125" t="str">
        <f t="shared" si="102"/>
        <v/>
      </c>
      <c r="CU117" s="14"/>
      <c r="CV117" s="125" t="str">
        <f t="shared" si="103"/>
        <v/>
      </c>
      <c r="CW117" s="20"/>
      <c r="CX117" s="20"/>
      <c r="CY117" s="125" t="str">
        <f t="shared" si="104"/>
        <v/>
      </c>
      <c r="CZ117" s="125" t="str">
        <f t="shared" si="105"/>
        <v/>
      </c>
      <c r="DA117" s="125" t="str">
        <f t="shared" si="106"/>
        <v/>
      </c>
      <c r="DB117" s="129" t="str">
        <f t="shared" si="107"/>
        <v/>
      </c>
      <c r="DC117" s="14"/>
      <c r="DD117" s="62"/>
      <c r="DE117" s="105">
        <v>115</v>
      </c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spans="1:176" s="1" customFormat="1" ht="13" hidden="1" customHeight="1" outlineLevel="1" x14ac:dyDescent="0.2">
      <c r="A118" s="4"/>
      <c r="B118" s="115" t="str">
        <f>IF(_xlfn.XLOOKUP(A118, AutoFill_names!B:B, AutoFill_names!C:C,"")=0,"",_xlfn.XLOOKUP(A118, AutoFill_names!B:B, AutoFill_names!C:C,""))</f>
        <v/>
      </c>
      <c r="C118" s="115" t="str">
        <f>IF(_xlfn.XLOOKUP(A118, AutoFill_names!B:B, AutoFill_names!D:D,"")=0,"",_xlfn.XLOOKUP(A118, AutoFill_names!B:B, AutoFill_names!D:D,""))</f>
        <v/>
      </c>
      <c r="D118" s="115" t="str">
        <f>IF(_xlfn.XLOOKUP(A118, AutoFill_names!B:B, AutoFill_names!E:E,"")=0,"",_xlfn.XLOOKUP(A118, AutoFill_names!B:B, AutoFill_names!E:E,""))</f>
        <v/>
      </c>
      <c r="E118" s="115" t="str">
        <f>IF(_xlfn.XLOOKUP(A118, AutoFill_names!B:B, AutoFill_names!F:F,"")=0,"",_xlfn.XLOOKUP(A118, AutoFill_names!B:B, AutoFill_names!F:F,""))</f>
        <v/>
      </c>
      <c r="F118" s="92"/>
      <c r="J118" s="115" t="str">
        <f>IF(_xlfn.XLOOKUP(A118, AutoFill_names!B:B, AutoFill_names!K:K,"")=0,"",_xlfn.XLOOKUP(A118, AutoFill_names!B:B, AutoFill_names!K:K,""))</f>
        <v/>
      </c>
      <c r="K118" s="115" t="str">
        <f>IF(_xlfn.XLOOKUP(A118, AutoFill_names!B:B, AutoFill_names!L:L,"")=0,"",_xlfn.XLOOKUP(A118, AutoFill_names!B:B, AutoFill_names!L:L,""))</f>
        <v/>
      </c>
      <c r="L118" s="2"/>
      <c r="M118" s="2"/>
      <c r="N118" s="117" t="str">
        <f>IF(_xlfn.XLOOKUP(L118, AutoFill_classes!A:A, AutoFill_classes!B:B,"")=0,"",_xlfn.XLOOKUP(L118, AutoFill_classes!A:A, AutoFill_classes!B:B,""))</f>
        <v/>
      </c>
      <c r="O118" s="108"/>
      <c r="P118" s="6"/>
      <c r="Q118" s="6"/>
      <c r="R118" s="6"/>
      <c r="S118" s="2"/>
      <c r="T118" s="2"/>
      <c r="U118" s="2"/>
      <c r="X118" s="63"/>
      <c r="Y118" s="19"/>
      <c r="Z118" s="121" t="str">
        <f t="shared" si="81"/>
        <v/>
      </c>
      <c r="AA118" s="20"/>
      <c r="AB118" s="20"/>
      <c r="AC118" s="20"/>
      <c r="AD118" s="20"/>
      <c r="AE118" s="125" t="str">
        <f t="shared" si="82"/>
        <v/>
      </c>
      <c r="AF118" s="14"/>
      <c r="AG118" s="125" t="str">
        <f t="shared" si="83"/>
        <v/>
      </c>
      <c r="AH118" s="20"/>
      <c r="AI118" s="20"/>
      <c r="AJ118" s="125" t="str">
        <f t="shared" si="84"/>
        <v/>
      </c>
      <c r="AK118" s="14"/>
      <c r="AL118" s="125" t="str">
        <f t="shared" si="85"/>
        <v/>
      </c>
      <c r="AM118" s="20"/>
      <c r="AN118" s="20"/>
      <c r="AO118" s="125" t="str">
        <f t="shared" si="86"/>
        <v/>
      </c>
      <c r="AP118" s="125" t="str">
        <f t="shared" si="87"/>
        <v/>
      </c>
      <c r="AQ118" s="125" t="str">
        <f t="shared" si="88"/>
        <v/>
      </c>
      <c r="AR118" s="129" t="str">
        <f t="shared" si="89"/>
        <v/>
      </c>
      <c r="AS118" s="14"/>
      <c r="AT118" s="33"/>
      <c r="AU118" s="33"/>
      <c r="AV118" s="117" t="str">
        <f>IF(_xlfn.XLOOKUP(AT118, AutoFill_classes!$A:$A, AutoFill_classes!$B:$B,"")=0,"",_xlfn.XLOOKUP(AT118, AutoFill_classes!$A:$A, AutoFill_classes!$B:$B,""))</f>
        <v/>
      </c>
      <c r="AW118" s="108"/>
      <c r="AX118" s="11"/>
      <c r="AY118" s="11"/>
      <c r="AZ118" s="11"/>
      <c r="BA118" s="13"/>
      <c r="BB118" s="13"/>
      <c r="BC118" s="63"/>
      <c r="BD118" s="19"/>
      <c r="BE118" s="121" t="str">
        <f t="shared" si="90"/>
        <v/>
      </c>
      <c r="BF118" s="20"/>
      <c r="BG118" s="20"/>
      <c r="BH118" s="20"/>
      <c r="BI118" s="20"/>
      <c r="BJ118" s="125" t="str">
        <f t="shared" si="91"/>
        <v/>
      </c>
      <c r="BK118" s="14"/>
      <c r="BL118" s="125" t="str">
        <f t="shared" si="92"/>
        <v/>
      </c>
      <c r="BM118" s="20"/>
      <c r="BN118" s="20"/>
      <c r="BO118" s="125" t="str">
        <f t="shared" si="93"/>
        <v/>
      </c>
      <c r="BP118" s="14"/>
      <c r="BQ118" s="125" t="str">
        <f t="shared" si="94"/>
        <v/>
      </c>
      <c r="BR118" s="20"/>
      <c r="BS118" s="20"/>
      <c r="BT118" s="125" t="str">
        <f t="shared" si="95"/>
        <v/>
      </c>
      <c r="BU118" s="125" t="str">
        <f t="shared" si="96"/>
        <v/>
      </c>
      <c r="BV118" s="125" t="str">
        <f t="shared" si="97"/>
        <v/>
      </c>
      <c r="BW118" s="129" t="str">
        <f t="shared" si="98"/>
        <v/>
      </c>
      <c r="BX118" s="11"/>
      <c r="BY118" s="15"/>
      <c r="BZ118" s="14"/>
      <c r="CA118" s="117" t="str">
        <f>IF(_xlfn.XLOOKUP(BY118, AutoFill_classes!$A:$A, AutoFill_classes!$B:$B,"")=0,"",_xlfn.XLOOKUP(BY118, AutoFill_classes!$A:$A, AutoFill_classes!$B:$B,""))</f>
        <v/>
      </c>
      <c r="CB118" s="108"/>
      <c r="CC118" s="14"/>
      <c r="CD118" s="14"/>
      <c r="CE118" s="14"/>
      <c r="CF118" s="21"/>
      <c r="CG118" s="22"/>
      <c r="CH118" s="63"/>
      <c r="CI118" s="23"/>
      <c r="CJ118" s="121" t="str">
        <f t="shared" si="99"/>
        <v/>
      </c>
      <c r="CK118" s="20"/>
      <c r="CL118" s="20"/>
      <c r="CM118" s="20"/>
      <c r="CN118" s="20"/>
      <c r="CO118" s="125" t="str">
        <f t="shared" si="100"/>
        <v/>
      </c>
      <c r="CP118" s="14"/>
      <c r="CQ118" s="125" t="str">
        <f t="shared" si="101"/>
        <v/>
      </c>
      <c r="CR118" s="20"/>
      <c r="CS118" s="20"/>
      <c r="CT118" s="125" t="str">
        <f t="shared" si="102"/>
        <v/>
      </c>
      <c r="CU118" s="14"/>
      <c r="CV118" s="125" t="str">
        <f t="shared" si="103"/>
        <v/>
      </c>
      <c r="CW118" s="20"/>
      <c r="CX118" s="20"/>
      <c r="CY118" s="125" t="str">
        <f t="shared" si="104"/>
        <v/>
      </c>
      <c r="CZ118" s="125" t="str">
        <f t="shared" si="105"/>
        <v/>
      </c>
      <c r="DA118" s="125" t="str">
        <f t="shared" si="106"/>
        <v/>
      </c>
      <c r="DB118" s="129" t="str">
        <f t="shared" si="107"/>
        <v/>
      </c>
      <c r="DC118" s="14"/>
      <c r="DD118" s="62"/>
      <c r="DE118" s="105">
        <v>116</v>
      </c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spans="1:176" s="1" customFormat="1" ht="13" hidden="1" customHeight="1" outlineLevel="1" x14ac:dyDescent="0.2">
      <c r="A119" s="4"/>
      <c r="B119" s="115" t="str">
        <f>IF(_xlfn.XLOOKUP(A119, AutoFill_names!B:B, AutoFill_names!C:C,"")=0,"",_xlfn.XLOOKUP(A119, AutoFill_names!B:B, AutoFill_names!C:C,""))</f>
        <v/>
      </c>
      <c r="C119" s="115" t="str">
        <f>IF(_xlfn.XLOOKUP(A119, AutoFill_names!B:B, AutoFill_names!D:D,"")=0,"",_xlfn.XLOOKUP(A119, AutoFill_names!B:B, AutoFill_names!D:D,""))</f>
        <v/>
      </c>
      <c r="D119" s="115" t="str">
        <f>IF(_xlfn.XLOOKUP(A119, AutoFill_names!B:B, AutoFill_names!E:E,"")=0,"",_xlfn.XLOOKUP(A119, AutoFill_names!B:B, AutoFill_names!E:E,""))</f>
        <v/>
      </c>
      <c r="E119" s="115" t="str">
        <f>IF(_xlfn.XLOOKUP(A119, AutoFill_names!B:B, AutoFill_names!F:F,"")=0,"",_xlfn.XLOOKUP(A119, AutoFill_names!B:B, AutoFill_names!F:F,""))</f>
        <v/>
      </c>
      <c r="F119" s="92"/>
      <c r="J119" s="115" t="str">
        <f>IF(_xlfn.XLOOKUP(A119, AutoFill_names!B:B, AutoFill_names!K:K,"")=0,"",_xlfn.XLOOKUP(A119, AutoFill_names!B:B, AutoFill_names!K:K,""))</f>
        <v/>
      </c>
      <c r="K119" s="115" t="str">
        <f>IF(_xlfn.XLOOKUP(A119, AutoFill_names!B:B, AutoFill_names!L:L,"")=0,"",_xlfn.XLOOKUP(A119, AutoFill_names!B:B, AutoFill_names!L:L,""))</f>
        <v/>
      </c>
      <c r="L119" s="2"/>
      <c r="M119" s="2"/>
      <c r="N119" s="117" t="str">
        <f>IF(_xlfn.XLOOKUP(L119, AutoFill_classes!A:A, AutoFill_classes!B:B,"")=0,"",_xlfn.XLOOKUP(L119, AutoFill_classes!A:A, AutoFill_classes!B:B,""))</f>
        <v/>
      </c>
      <c r="O119" s="108"/>
      <c r="P119" s="6"/>
      <c r="Q119" s="6"/>
      <c r="R119" s="6"/>
      <c r="S119" s="2"/>
      <c r="T119" s="2"/>
      <c r="U119" s="2"/>
      <c r="X119" s="63"/>
      <c r="Y119" s="19"/>
      <c r="Z119" s="121" t="str">
        <f t="shared" si="81"/>
        <v/>
      </c>
      <c r="AA119" s="20"/>
      <c r="AB119" s="20"/>
      <c r="AC119" s="20"/>
      <c r="AD119" s="20"/>
      <c r="AE119" s="125" t="str">
        <f t="shared" si="82"/>
        <v/>
      </c>
      <c r="AF119" s="14"/>
      <c r="AG119" s="125" t="str">
        <f t="shared" si="83"/>
        <v/>
      </c>
      <c r="AH119" s="20"/>
      <c r="AI119" s="20"/>
      <c r="AJ119" s="125" t="str">
        <f t="shared" si="84"/>
        <v/>
      </c>
      <c r="AK119" s="14"/>
      <c r="AL119" s="125" t="str">
        <f t="shared" si="85"/>
        <v/>
      </c>
      <c r="AM119" s="20"/>
      <c r="AN119" s="20"/>
      <c r="AO119" s="125" t="str">
        <f t="shared" si="86"/>
        <v/>
      </c>
      <c r="AP119" s="125" t="str">
        <f t="shared" si="87"/>
        <v/>
      </c>
      <c r="AQ119" s="125" t="str">
        <f t="shared" si="88"/>
        <v/>
      </c>
      <c r="AR119" s="129" t="str">
        <f t="shared" si="89"/>
        <v/>
      </c>
      <c r="AS119" s="14"/>
      <c r="AT119" s="33"/>
      <c r="AU119" s="33"/>
      <c r="AV119" s="117" t="str">
        <f>IF(_xlfn.XLOOKUP(AT119, AutoFill_classes!$A:$A, AutoFill_classes!$B:$B,"")=0,"",_xlfn.XLOOKUP(AT119, AutoFill_classes!$A:$A, AutoFill_classes!$B:$B,""))</f>
        <v/>
      </c>
      <c r="AW119" s="108"/>
      <c r="AX119" s="11"/>
      <c r="AY119" s="11"/>
      <c r="AZ119" s="11"/>
      <c r="BA119" s="13"/>
      <c r="BB119" s="13"/>
      <c r="BC119" s="63"/>
      <c r="BD119" s="19"/>
      <c r="BE119" s="121" t="str">
        <f t="shared" si="90"/>
        <v/>
      </c>
      <c r="BF119" s="20"/>
      <c r="BG119" s="20"/>
      <c r="BH119" s="20"/>
      <c r="BI119" s="20"/>
      <c r="BJ119" s="125" t="str">
        <f t="shared" si="91"/>
        <v/>
      </c>
      <c r="BK119" s="14"/>
      <c r="BL119" s="125" t="str">
        <f t="shared" si="92"/>
        <v/>
      </c>
      <c r="BM119" s="20"/>
      <c r="BN119" s="20"/>
      <c r="BO119" s="125" t="str">
        <f t="shared" si="93"/>
        <v/>
      </c>
      <c r="BP119" s="14"/>
      <c r="BQ119" s="125" t="str">
        <f t="shared" si="94"/>
        <v/>
      </c>
      <c r="BR119" s="20"/>
      <c r="BS119" s="20"/>
      <c r="BT119" s="125" t="str">
        <f t="shared" si="95"/>
        <v/>
      </c>
      <c r="BU119" s="125" t="str">
        <f t="shared" si="96"/>
        <v/>
      </c>
      <c r="BV119" s="125" t="str">
        <f t="shared" si="97"/>
        <v/>
      </c>
      <c r="BW119" s="129" t="str">
        <f t="shared" si="98"/>
        <v/>
      </c>
      <c r="BX119" s="11"/>
      <c r="BY119" s="15"/>
      <c r="BZ119" s="14"/>
      <c r="CA119" s="117" t="str">
        <f>IF(_xlfn.XLOOKUP(BY119, AutoFill_classes!$A:$A, AutoFill_classes!$B:$B,"")=0,"",_xlfn.XLOOKUP(BY119, AutoFill_classes!$A:$A, AutoFill_classes!$B:$B,""))</f>
        <v/>
      </c>
      <c r="CB119" s="108"/>
      <c r="CC119" s="14"/>
      <c r="CD119" s="14"/>
      <c r="CE119" s="14"/>
      <c r="CF119" s="21"/>
      <c r="CG119" s="22"/>
      <c r="CH119" s="63"/>
      <c r="CI119" s="23"/>
      <c r="CJ119" s="121" t="str">
        <f t="shared" si="99"/>
        <v/>
      </c>
      <c r="CK119" s="20"/>
      <c r="CL119" s="20"/>
      <c r="CM119" s="20"/>
      <c r="CN119" s="20"/>
      <c r="CO119" s="125" t="str">
        <f t="shared" si="100"/>
        <v/>
      </c>
      <c r="CP119" s="14"/>
      <c r="CQ119" s="125" t="str">
        <f t="shared" si="101"/>
        <v/>
      </c>
      <c r="CR119" s="20"/>
      <c r="CS119" s="20"/>
      <c r="CT119" s="125" t="str">
        <f t="shared" si="102"/>
        <v/>
      </c>
      <c r="CU119" s="14"/>
      <c r="CV119" s="125" t="str">
        <f t="shared" si="103"/>
        <v/>
      </c>
      <c r="CW119" s="20"/>
      <c r="CX119" s="20"/>
      <c r="CY119" s="125" t="str">
        <f t="shared" si="104"/>
        <v/>
      </c>
      <c r="CZ119" s="125" t="str">
        <f t="shared" si="105"/>
        <v/>
      </c>
      <c r="DA119" s="125" t="str">
        <f t="shared" si="106"/>
        <v/>
      </c>
      <c r="DB119" s="129" t="str">
        <f t="shared" si="107"/>
        <v/>
      </c>
      <c r="DC119" s="14"/>
      <c r="DD119" s="62"/>
      <c r="DE119" s="105">
        <v>117</v>
      </c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spans="1:176" s="1" customFormat="1" ht="13" hidden="1" customHeight="1" outlineLevel="1" x14ac:dyDescent="0.2">
      <c r="A120" s="4"/>
      <c r="B120" s="115" t="str">
        <f>IF(_xlfn.XLOOKUP(A120, AutoFill_names!B:B, AutoFill_names!C:C,"")=0,"",_xlfn.XLOOKUP(A120, AutoFill_names!B:B, AutoFill_names!C:C,""))</f>
        <v/>
      </c>
      <c r="C120" s="115" t="str">
        <f>IF(_xlfn.XLOOKUP(A120, AutoFill_names!B:B, AutoFill_names!D:D,"")=0,"",_xlfn.XLOOKUP(A120, AutoFill_names!B:B, AutoFill_names!D:D,""))</f>
        <v/>
      </c>
      <c r="D120" s="115" t="str">
        <f>IF(_xlfn.XLOOKUP(A120, AutoFill_names!B:B, AutoFill_names!E:E,"")=0,"",_xlfn.XLOOKUP(A120, AutoFill_names!B:B, AutoFill_names!E:E,""))</f>
        <v/>
      </c>
      <c r="E120" s="115" t="str">
        <f>IF(_xlfn.XLOOKUP(A120, AutoFill_names!B:B, AutoFill_names!F:F,"")=0,"",_xlfn.XLOOKUP(A120, AutoFill_names!B:B, AutoFill_names!F:F,""))</f>
        <v/>
      </c>
      <c r="F120" s="92"/>
      <c r="J120" s="115" t="str">
        <f>IF(_xlfn.XLOOKUP(A120, AutoFill_names!B:B, AutoFill_names!K:K,"")=0,"",_xlfn.XLOOKUP(A120, AutoFill_names!B:B, AutoFill_names!K:K,""))</f>
        <v/>
      </c>
      <c r="K120" s="115" t="str">
        <f>IF(_xlfn.XLOOKUP(A120, AutoFill_names!B:B, AutoFill_names!L:L,"")=0,"",_xlfn.XLOOKUP(A120, AutoFill_names!B:B, AutoFill_names!L:L,""))</f>
        <v/>
      </c>
      <c r="L120" s="2"/>
      <c r="M120" s="2"/>
      <c r="N120" s="117" t="str">
        <f>IF(_xlfn.XLOOKUP(L120, AutoFill_classes!A:A, AutoFill_classes!B:B,"")=0,"",_xlfn.XLOOKUP(L120, AutoFill_classes!A:A, AutoFill_classes!B:B,""))</f>
        <v/>
      </c>
      <c r="O120" s="108"/>
      <c r="P120" s="6"/>
      <c r="Q120" s="6"/>
      <c r="R120" s="6"/>
      <c r="S120" s="2"/>
      <c r="T120" s="2"/>
      <c r="U120" s="2"/>
      <c r="X120" s="63"/>
      <c r="Y120" s="19"/>
      <c r="Z120" s="121" t="str">
        <f t="shared" si="81"/>
        <v/>
      </c>
      <c r="AA120" s="20"/>
      <c r="AB120" s="20"/>
      <c r="AC120" s="20"/>
      <c r="AD120" s="20"/>
      <c r="AE120" s="125" t="str">
        <f t="shared" si="82"/>
        <v/>
      </c>
      <c r="AF120" s="14"/>
      <c r="AG120" s="125" t="str">
        <f t="shared" si="83"/>
        <v/>
      </c>
      <c r="AH120" s="20"/>
      <c r="AI120" s="20"/>
      <c r="AJ120" s="125" t="str">
        <f t="shared" si="84"/>
        <v/>
      </c>
      <c r="AK120" s="14"/>
      <c r="AL120" s="125" t="str">
        <f t="shared" si="85"/>
        <v/>
      </c>
      <c r="AM120" s="20"/>
      <c r="AN120" s="20"/>
      <c r="AO120" s="125" t="str">
        <f t="shared" si="86"/>
        <v/>
      </c>
      <c r="AP120" s="125" t="str">
        <f t="shared" si="87"/>
        <v/>
      </c>
      <c r="AQ120" s="125" t="str">
        <f t="shared" si="88"/>
        <v/>
      </c>
      <c r="AR120" s="129" t="str">
        <f t="shared" si="89"/>
        <v/>
      </c>
      <c r="AS120" s="14"/>
      <c r="AT120" s="33"/>
      <c r="AU120" s="33"/>
      <c r="AV120" s="117" t="str">
        <f>IF(_xlfn.XLOOKUP(AT120, AutoFill_classes!$A:$A, AutoFill_classes!$B:$B,"")=0,"",_xlfn.XLOOKUP(AT120, AutoFill_classes!$A:$A, AutoFill_classes!$B:$B,""))</f>
        <v/>
      </c>
      <c r="AW120" s="108"/>
      <c r="AX120" s="11"/>
      <c r="AY120" s="11"/>
      <c r="AZ120" s="11"/>
      <c r="BA120" s="13"/>
      <c r="BB120" s="13"/>
      <c r="BC120" s="63"/>
      <c r="BD120" s="19"/>
      <c r="BE120" s="121" t="str">
        <f t="shared" si="90"/>
        <v/>
      </c>
      <c r="BF120" s="20"/>
      <c r="BG120" s="20"/>
      <c r="BH120" s="20"/>
      <c r="BI120" s="20"/>
      <c r="BJ120" s="125" t="str">
        <f t="shared" si="91"/>
        <v/>
      </c>
      <c r="BK120" s="14"/>
      <c r="BL120" s="125" t="str">
        <f t="shared" si="92"/>
        <v/>
      </c>
      <c r="BM120" s="20"/>
      <c r="BN120" s="20"/>
      <c r="BO120" s="125" t="str">
        <f t="shared" si="93"/>
        <v/>
      </c>
      <c r="BP120" s="14"/>
      <c r="BQ120" s="125" t="str">
        <f t="shared" si="94"/>
        <v/>
      </c>
      <c r="BR120" s="20"/>
      <c r="BS120" s="20"/>
      <c r="BT120" s="125" t="str">
        <f t="shared" si="95"/>
        <v/>
      </c>
      <c r="BU120" s="125" t="str">
        <f t="shared" si="96"/>
        <v/>
      </c>
      <c r="BV120" s="125" t="str">
        <f t="shared" si="97"/>
        <v/>
      </c>
      <c r="BW120" s="129" t="str">
        <f t="shared" si="98"/>
        <v/>
      </c>
      <c r="BX120" s="11"/>
      <c r="BY120" s="15"/>
      <c r="BZ120" s="14"/>
      <c r="CA120" s="117" t="str">
        <f>IF(_xlfn.XLOOKUP(BY120, AutoFill_classes!$A:$A, AutoFill_classes!$B:$B,"")=0,"",_xlfn.XLOOKUP(BY120, AutoFill_classes!$A:$A, AutoFill_classes!$B:$B,""))</f>
        <v/>
      </c>
      <c r="CB120" s="108"/>
      <c r="CC120" s="14"/>
      <c r="CD120" s="14"/>
      <c r="CE120" s="14"/>
      <c r="CF120" s="21"/>
      <c r="CG120" s="22"/>
      <c r="CH120" s="63"/>
      <c r="CI120" s="23"/>
      <c r="CJ120" s="121" t="str">
        <f t="shared" si="99"/>
        <v/>
      </c>
      <c r="CK120" s="20"/>
      <c r="CL120" s="20"/>
      <c r="CM120" s="20"/>
      <c r="CN120" s="20"/>
      <c r="CO120" s="125" t="str">
        <f t="shared" si="100"/>
        <v/>
      </c>
      <c r="CP120" s="14"/>
      <c r="CQ120" s="125" t="str">
        <f t="shared" si="101"/>
        <v/>
      </c>
      <c r="CR120" s="20"/>
      <c r="CS120" s="20"/>
      <c r="CT120" s="125" t="str">
        <f t="shared" si="102"/>
        <v/>
      </c>
      <c r="CU120" s="14"/>
      <c r="CV120" s="125" t="str">
        <f t="shared" si="103"/>
        <v/>
      </c>
      <c r="CW120" s="20"/>
      <c r="CX120" s="20"/>
      <c r="CY120" s="125" t="str">
        <f t="shared" si="104"/>
        <v/>
      </c>
      <c r="CZ120" s="125" t="str">
        <f t="shared" si="105"/>
        <v/>
      </c>
      <c r="DA120" s="125" t="str">
        <f t="shared" si="106"/>
        <v/>
      </c>
      <c r="DB120" s="129" t="str">
        <f t="shared" si="107"/>
        <v/>
      </c>
      <c r="DC120" s="14"/>
      <c r="DD120" s="62"/>
      <c r="DE120" s="105">
        <v>118</v>
      </c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spans="1:176" s="1" customFormat="1" ht="13" hidden="1" customHeight="1" outlineLevel="1" x14ac:dyDescent="0.2">
      <c r="A121" s="4"/>
      <c r="B121" s="115" t="str">
        <f>IF(_xlfn.XLOOKUP(A121, AutoFill_names!B:B, AutoFill_names!C:C,"")=0,"",_xlfn.XLOOKUP(A121, AutoFill_names!B:B, AutoFill_names!C:C,""))</f>
        <v/>
      </c>
      <c r="C121" s="115" t="str">
        <f>IF(_xlfn.XLOOKUP(A121, AutoFill_names!B:B, AutoFill_names!D:D,"")=0,"",_xlfn.XLOOKUP(A121, AutoFill_names!B:B, AutoFill_names!D:D,""))</f>
        <v/>
      </c>
      <c r="D121" s="115" t="str">
        <f>IF(_xlfn.XLOOKUP(A121, AutoFill_names!B:B, AutoFill_names!E:E,"")=0,"",_xlfn.XLOOKUP(A121, AutoFill_names!B:B, AutoFill_names!E:E,""))</f>
        <v/>
      </c>
      <c r="E121" s="115" t="str">
        <f>IF(_xlfn.XLOOKUP(A121, AutoFill_names!B:B, AutoFill_names!F:F,"")=0,"",_xlfn.XLOOKUP(A121, AutoFill_names!B:B, AutoFill_names!F:F,""))</f>
        <v/>
      </c>
      <c r="F121" s="92"/>
      <c r="J121" s="115" t="str">
        <f>IF(_xlfn.XLOOKUP(A121, AutoFill_names!B:B, AutoFill_names!K:K,"")=0,"",_xlfn.XLOOKUP(A121, AutoFill_names!B:B, AutoFill_names!K:K,""))</f>
        <v/>
      </c>
      <c r="K121" s="115" t="str">
        <f>IF(_xlfn.XLOOKUP(A121, AutoFill_names!B:B, AutoFill_names!L:L,"")=0,"",_xlfn.XLOOKUP(A121, AutoFill_names!B:B, AutoFill_names!L:L,""))</f>
        <v/>
      </c>
      <c r="L121" s="2"/>
      <c r="M121" s="2"/>
      <c r="N121" s="117" t="str">
        <f>IF(_xlfn.XLOOKUP(L121, AutoFill_classes!A:A, AutoFill_classes!B:B,"")=0,"",_xlfn.XLOOKUP(L121, AutoFill_classes!A:A, AutoFill_classes!B:B,""))</f>
        <v/>
      </c>
      <c r="O121" s="108"/>
      <c r="P121" s="6"/>
      <c r="Q121" s="6"/>
      <c r="R121" s="6"/>
      <c r="S121" s="2"/>
      <c r="T121" s="2"/>
      <c r="U121" s="2"/>
      <c r="X121" s="63"/>
      <c r="Y121" s="19"/>
      <c r="Z121" s="121" t="str">
        <f t="shared" si="81"/>
        <v/>
      </c>
      <c r="AA121" s="20"/>
      <c r="AB121" s="20"/>
      <c r="AC121" s="20"/>
      <c r="AD121" s="20"/>
      <c r="AE121" s="125" t="str">
        <f t="shared" si="82"/>
        <v/>
      </c>
      <c r="AF121" s="14"/>
      <c r="AG121" s="125" t="str">
        <f t="shared" si="83"/>
        <v/>
      </c>
      <c r="AH121" s="20"/>
      <c r="AI121" s="20"/>
      <c r="AJ121" s="125" t="str">
        <f t="shared" si="84"/>
        <v/>
      </c>
      <c r="AK121" s="14"/>
      <c r="AL121" s="125" t="str">
        <f t="shared" si="85"/>
        <v/>
      </c>
      <c r="AM121" s="20"/>
      <c r="AN121" s="20"/>
      <c r="AO121" s="125" t="str">
        <f t="shared" si="86"/>
        <v/>
      </c>
      <c r="AP121" s="125" t="str">
        <f t="shared" si="87"/>
        <v/>
      </c>
      <c r="AQ121" s="125" t="str">
        <f t="shared" si="88"/>
        <v/>
      </c>
      <c r="AR121" s="129" t="str">
        <f t="shared" si="89"/>
        <v/>
      </c>
      <c r="AS121" s="14"/>
      <c r="AT121" s="33"/>
      <c r="AU121" s="33"/>
      <c r="AV121" s="117" t="str">
        <f>IF(_xlfn.XLOOKUP(AT121, AutoFill_classes!$A:$A, AutoFill_classes!$B:$B,"")=0,"",_xlfn.XLOOKUP(AT121, AutoFill_classes!$A:$A, AutoFill_classes!$B:$B,""))</f>
        <v/>
      </c>
      <c r="AW121" s="108"/>
      <c r="AX121" s="11"/>
      <c r="AY121" s="11"/>
      <c r="AZ121" s="11"/>
      <c r="BA121" s="13"/>
      <c r="BB121" s="13"/>
      <c r="BC121" s="63"/>
      <c r="BD121" s="19"/>
      <c r="BE121" s="121" t="str">
        <f t="shared" si="90"/>
        <v/>
      </c>
      <c r="BF121" s="20"/>
      <c r="BG121" s="20"/>
      <c r="BH121" s="20"/>
      <c r="BI121" s="20"/>
      <c r="BJ121" s="125" t="str">
        <f t="shared" si="91"/>
        <v/>
      </c>
      <c r="BK121" s="14"/>
      <c r="BL121" s="125" t="str">
        <f t="shared" si="92"/>
        <v/>
      </c>
      <c r="BM121" s="20"/>
      <c r="BN121" s="20"/>
      <c r="BO121" s="125" t="str">
        <f t="shared" si="93"/>
        <v/>
      </c>
      <c r="BP121" s="14"/>
      <c r="BQ121" s="125" t="str">
        <f t="shared" si="94"/>
        <v/>
      </c>
      <c r="BR121" s="20"/>
      <c r="BS121" s="20"/>
      <c r="BT121" s="125" t="str">
        <f t="shared" si="95"/>
        <v/>
      </c>
      <c r="BU121" s="125" t="str">
        <f t="shared" si="96"/>
        <v/>
      </c>
      <c r="BV121" s="125" t="str">
        <f t="shared" si="97"/>
        <v/>
      </c>
      <c r="BW121" s="129" t="str">
        <f t="shared" si="98"/>
        <v/>
      </c>
      <c r="BX121" s="11"/>
      <c r="BY121" s="15"/>
      <c r="BZ121" s="14"/>
      <c r="CA121" s="117" t="str">
        <f>IF(_xlfn.XLOOKUP(BY121, AutoFill_classes!$A:$A, AutoFill_classes!$B:$B,"")=0,"",_xlfn.XLOOKUP(BY121, AutoFill_classes!$A:$A, AutoFill_classes!$B:$B,""))</f>
        <v/>
      </c>
      <c r="CB121" s="108"/>
      <c r="CC121" s="14"/>
      <c r="CD121" s="14"/>
      <c r="CE121" s="14"/>
      <c r="CF121" s="21"/>
      <c r="CG121" s="22"/>
      <c r="CH121" s="63"/>
      <c r="CI121" s="23"/>
      <c r="CJ121" s="121" t="str">
        <f t="shared" si="99"/>
        <v/>
      </c>
      <c r="CK121" s="20"/>
      <c r="CL121" s="20"/>
      <c r="CM121" s="20"/>
      <c r="CN121" s="20"/>
      <c r="CO121" s="125" t="str">
        <f t="shared" si="100"/>
        <v/>
      </c>
      <c r="CP121" s="14"/>
      <c r="CQ121" s="125" t="str">
        <f t="shared" si="101"/>
        <v/>
      </c>
      <c r="CR121" s="20"/>
      <c r="CS121" s="20"/>
      <c r="CT121" s="125" t="str">
        <f t="shared" si="102"/>
        <v/>
      </c>
      <c r="CU121" s="14"/>
      <c r="CV121" s="125" t="str">
        <f t="shared" si="103"/>
        <v/>
      </c>
      <c r="CW121" s="20"/>
      <c r="CX121" s="20"/>
      <c r="CY121" s="125" t="str">
        <f t="shared" si="104"/>
        <v/>
      </c>
      <c r="CZ121" s="125" t="str">
        <f t="shared" si="105"/>
        <v/>
      </c>
      <c r="DA121" s="125" t="str">
        <f t="shared" si="106"/>
        <v/>
      </c>
      <c r="DB121" s="129" t="str">
        <f t="shared" si="107"/>
        <v/>
      </c>
      <c r="DC121" s="14"/>
      <c r="DD121" s="62"/>
      <c r="DE121" s="105">
        <v>119</v>
      </c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spans="1:176" s="116" customFormat="1" ht="34" customHeight="1" collapsed="1" x14ac:dyDescent="0.2">
      <c r="A122" s="66" t="s">
        <v>2055</v>
      </c>
      <c r="B122" s="112" t="str">
        <f>"Total Credits: " &amp; IFERROR(IF(DD122=0,"",DD122),"")</f>
        <v>Total Credits: 16</v>
      </c>
      <c r="F122" s="138"/>
      <c r="P122" s="139"/>
      <c r="Q122" s="139"/>
      <c r="R122" s="139"/>
      <c r="V122" s="136"/>
      <c r="W122" s="136"/>
      <c r="X122" s="140" t="str">
        <f>IF(SUM(X123:X151)=0, "", SUM(X123:X151))</f>
        <v/>
      </c>
      <c r="Y122" s="123"/>
      <c r="Z122" s="123"/>
      <c r="AA122" s="141"/>
      <c r="AB122" s="141"/>
      <c r="AC122" s="141"/>
      <c r="AD122" s="141"/>
      <c r="AE122" s="124"/>
      <c r="AF122" s="124"/>
      <c r="AG122" s="124"/>
      <c r="AH122" s="141"/>
      <c r="AI122" s="141"/>
      <c r="AJ122" s="124"/>
      <c r="AK122" s="124"/>
      <c r="AL122" s="124"/>
      <c r="AM122" s="141"/>
      <c r="AN122" s="141"/>
      <c r="AO122" s="127"/>
      <c r="AP122" s="127"/>
      <c r="AQ122" s="127"/>
      <c r="AR122" s="127"/>
      <c r="AS122" s="127"/>
      <c r="AT122" s="134"/>
      <c r="AU122" s="134"/>
      <c r="AX122" s="134"/>
      <c r="AY122" s="134"/>
      <c r="AZ122" s="134"/>
      <c r="BA122" s="144"/>
      <c r="BB122" s="144"/>
      <c r="BC122" s="140">
        <f>IF(SUM(BC123:BC151)=0, "", SUM(BC123:BC151))</f>
        <v>8</v>
      </c>
      <c r="BD122" s="123"/>
      <c r="BE122" s="123"/>
      <c r="BF122" s="146"/>
      <c r="BG122" s="146"/>
      <c r="BH122" s="146"/>
      <c r="BI122" s="146"/>
      <c r="BJ122" s="134"/>
      <c r="BK122" s="134"/>
      <c r="BL122" s="134"/>
      <c r="BM122" s="146"/>
      <c r="BN122" s="146"/>
      <c r="BO122" s="134"/>
      <c r="BP122" s="134"/>
      <c r="BQ122" s="134"/>
      <c r="BR122" s="146"/>
      <c r="BS122" s="146"/>
      <c r="BT122" s="134"/>
      <c r="BU122" s="134"/>
      <c r="BV122" s="134"/>
      <c r="BW122" s="127"/>
      <c r="BX122" s="134"/>
      <c r="BY122" s="145"/>
      <c r="BZ122" s="145"/>
      <c r="CC122" s="145"/>
      <c r="CD122" s="145"/>
      <c r="CE122" s="145"/>
      <c r="CF122" s="136"/>
      <c r="CG122" s="120"/>
      <c r="CH122" s="140">
        <f>IF(SUM(CH123:CH151)=0, "", SUM(CH123:CH151))</f>
        <v>8</v>
      </c>
      <c r="CI122" s="123"/>
      <c r="CJ122" s="123"/>
      <c r="CK122" s="146"/>
      <c r="CL122" s="146"/>
      <c r="CM122" s="146"/>
      <c r="CN122" s="146"/>
      <c r="CP122" s="134"/>
      <c r="CR122" s="146"/>
      <c r="CS122" s="146"/>
      <c r="CU122" s="134"/>
      <c r="CW122" s="146"/>
      <c r="CX122" s="146"/>
      <c r="DB122" s="127"/>
      <c r="DC122" s="134"/>
      <c r="DD122" s="140">
        <f>IF(SUM(L122:DC122)=0, "", SUM(L122:DC122))</f>
        <v>16</v>
      </c>
      <c r="DE122" s="105">
        <v>120</v>
      </c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</row>
    <row r="123" spans="1:176" s="1" customFormat="1" ht="13" hidden="1" customHeight="1" outlineLevel="1" x14ac:dyDescent="0.2">
      <c r="A123" s="4" t="s">
        <v>168</v>
      </c>
      <c r="B123" s="115" t="str">
        <f>IF(_xlfn.XLOOKUP(A123, AutoFill_names!B:B, AutoFill_names!C:C,"")=0,"",_xlfn.XLOOKUP(A123, AutoFill_names!B:B, AutoFill_names!C:C,""))</f>
        <v>000043638</v>
      </c>
      <c r="C123" s="115" t="str">
        <f>IF(_xlfn.XLOOKUP(A123, AutoFill_names!B:B, AutoFill_names!D:D,"")=0,"",_xlfn.XLOOKUP(A123, AutoFill_names!B:B, AutoFill_names!D:D,""))</f>
        <v>fortind@andrews.edu</v>
      </c>
      <c r="D123" s="115" t="str">
        <f>IF(_xlfn.XLOOKUP(A123, AutoFill_names!B:B, AutoFill_names!E:E,"")=0,"",_xlfn.XLOOKUP(A123, AutoFill_names!B:B, AutoFill_names!E:E,""))</f>
        <v/>
      </c>
      <c r="E123" s="115" t="str">
        <f>IF(_xlfn.XLOOKUP(A123, AutoFill_names!B:B, AutoFill_names!F:F,"")=0,"",_xlfn.XLOOKUP(A123, AutoFill_names!B:B, AutoFill_names!F:F,""))</f>
        <v/>
      </c>
      <c r="F123" s="92"/>
      <c r="J123" s="115" t="str">
        <f>IF(_xlfn.XLOOKUP(A123, AutoFill_names!B:B, AutoFill_names!K:K,"")=0,"",_xlfn.XLOOKUP(A123, AutoFill_names!B:B, AutoFill_names!K:K,""))</f>
        <v>Jeroncic, Ante</v>
      </c>
      <c r="K123" s="115" t="str">
        <f>IF(_xlfn.XLOOKUP(A123, AutoFill_names!B:B, AutoFill_names!L:L,"")=0,"",_xlfn.XLOOKUP(A123, AutoFill_names!B:B, AutoFill_names!L:L,""))</f>
        <v>000066942</v>
      </c>
      <c r="L123" s="2"/>
      <c r="M123" s="2"/>
      <c r="N123" s="117" t="str">
        <f>IF(_xlfn.XLOOKUP(L123, AutoFill_classes!A:A, AutoFill_classes!B:B,"")=0,"",_xlfn.XLOOKUP(L123, AutoFill_classes!A:A, AutoFill_classes!B:B,""))</f>
        <v/>
      </c>
      <c r="O123" s="108"/>
      <c r="P123" s="7"/>
      <c r="Q123" s="7"/>
      <c r="R123" s="7"/>
      <c r="S123" s="2"/>
      <c r="T123" s="2"/>
      <c r="U123" s="2"/>
      <c r="X123" s="63"/>
      <c r="Y123" s="19"/>
      <c r="Z123" s="121" t="str">
        <f t="shared" ref="Z123:Z151" si="108">IF(X123*Y123=0,"",X123*Y123)</f>
        <v/>
      </c>
      <c r="AA123" s="20"/>
      <c r="AB123" s="20"/>
      <c r="AC123" s="20"/>
      <c r="AD123" s="20"/>
      <c r="AE123" s="125" t="str">
        <f t="shared" ref="AE123:AE151" si="109">IF(ROUNDUP((AD123-AC123)/7,0)=0,"",ROUNDUP((AD123-AC123)/7,0))</f>
        <v/>
      </c>
      <c r="AF123" s="14"/>
      <c r="AG123" s="125" t="str">
        <f t="shared" ref="AG123:AG151" si="110">IFERROR(IF(AE123*AF123=0,"",AE123*AF123), "")</f>
        <v/>
      </c>
      <c r="AH123" s="20"/>
      <c r="AI123" s="20"/>
      <c r="AJ123" s="125" t="str">
        <f t="shared" ref="AJ123:AJ151" si="111">IF(ROUNDUP((AI123-AH123)/7,0)=0,"",ROUNDUP((AI123-AH123)/7,0))</f>
        <v/>
      </c>
      <c r="AK123" s="14"/>
      <c r="AL123" s="125" t="str">
        <f t="shared" ref="AL123:AL151" si="112">IFERROR(IF(AJ123*AK123=0,"",AJ123*AK123), "")</f>
        <v/>
      </c>
      <c r="AM123" s="20"/>
      <c r="AN123" s="20"/>
      <c r="AO123" s="125" t="str">
        <f t="shared" ref="AO123:AO151" si="113">IF(ROUNDUP((AN123-AM123)/7,0)=0,"",ROUNDUP((AN123-AM123)/7,0))</f>
        <v/>
      </c>
      <c r="AP123" s="125" t="str">
        <f t="shared" ref="AP123:AP151" si="114">IFERROR(IF((AS123-(AF123+AK123))/AO123=0,"",ROUNDUP((AS123-(AF123+AK123))/AO123,0)), "")</f>
        <v/>
      </c>
      <c r="AQ123" s="125" t="str">
        <f t="shared" ref="AQ123:AQ151" si="115">IFERROR(IF((AS123-(AG123+AL123))=0, "", (AS123-(AG123+AL123))), "")</f>
        <v/>
      </c>
      <c r="AR123" s="129" t="str">
        <f t="shared" ref="AR123:AR151" si="116">IFERROR(IF((AE123+AJ123+AO123)=0, "", (AE123+AJ123+AO123)), "")</f>
        <v/>
      </c>
      <c r="AS123" s="14"/>
      <c r="AT123" s="32" t="s">
        <v>1558</v>
      </c>
      <c r="AU123" s="32"/>
      <c r="AV123" s="117" t="str">
        <f>IF(_xlfn.XLOOKUP(AT123, AutoFill_classes!$A:$A, AutoFill_classes!$B:$B,"")=0,"",_xlfn.XLOOKUP(AT123, AutoFill_classes!$A:$A, AutoFill_classes!$B:$B,""))</f>
        <v>History&amp;Theology of Ecumenism</v>
      </c>
      <c r="AW123" s="108"/>
      <c r="AX123" s="13" t="s">
        <v>53</v>
      </c>
      <c r="AY123" s="13" t="s">
        <v>54</v>
      </c>
      <c r="AZ123" s="13" t="s">
        <v>167</v>
      </c>
      <c r="BA123" s="13" t="s">
        <v>55</v>
      </c>
      <c r="BB123" s="13" t="s">
        <v>56</v>
      </c>
      <c r="BC123" s="63">
        <v>2</v>
      </c>
      <c r="BD123" s="18"/>
      <c r="BE123" s="121" t="str">
        <f t="shared" ref="BE123:BE151" si="117">IF(BC123*BD123=0,"",BC123*BD123)</f>
        <v/>
      </c>
      <c r="BF123" s="20"/>
      <c r="BG123" s="20"/>
      <c r="BH123" s="20"/>
      <c r="BI123" s="20"/>
      <c r="BJ123" s="125" t="str">
        <f t="shared" ref="BJ123:BJ151" si="118">IF(ROUNDUP((BI123-BH123)/7,0)=0,"",ROUNDUP((BI123-BH123)/7,0))</f>
        <v/>
      </c>
      <c r="BK123" s="14"/>
      <c r="BL123" s="125" t="str">
        <f t="shared" ref="BL123:BL151" si="119">IFERROR(IF(BJ123*BK123=0,"",BJ123*BK123), "")</f>
        <v/>
      </c>
      <c r="BM123" s="20"/>
      <c r="BN123" s="20"/>
      <c r="BO123" s="125" t="str">
        <f t="shared" ref="BO123:BO151" si="120">IF(ROUNDUP((BN123-BM123)/7,0)=0,"",ROUNDUP((BN123-BM123)/7,0))</f>
        <v/>
      </c>
      <c r="BP123" s="14"/>
      <c r="BQ123" s="125" t="str">
        <f t="shared" ref="BQ123:BQ151" si="121">IFERROR(IF(BO123*BP123=0,"",BO123*BP123), "")</f>
        <v/>
      </c>
      <c r="BR123" s="20"/>
      <c r="BS123" s="20"/>
      <c r="BT123" s="125" t="str">
        <f t="shared" ref="BT123:BT151" si="122">IF(ROUNDUP((BS123-BR123)/7,0)=0,"",ROUNDUP((BS123-BR123)/7,0))</f>
        <v/>
      </c>
      <c r="BU123" s="125" t="str">
        <f t="shared" ref="BU123:BU151" si="123">IFERROR(IF((BX123-(BK123+BP123))/BT123=0,"",ROUNDUP((BX123-(BK123+BP123))/BT123,0)), "")</f>
        <v/>
      </c>
      <c r="BV123" s="125" t="str">
        <f t="shared" ref="BV123:BV151" si="124">IFERROR(IF((BX123-(BL123+BQ123))=0, "", (BX123-(BL123+BQ123))), "")</f>
        <v/>
      </c>
      <c r="BW123" s="129" t="str">
        <f t="shared" ref="BW123:BW151" si="125">IFERROR(IF((BJ123+BO123+BT123)=0, "", (BJ123+BO123+BT123)), "")</f>
        <v/>
      </c>
      <c r="BX123" s="13"/>
      <c r="BY123" s="15" t="s">
        <v>1546</v>
      </c>
      <c r="BZ123" s="14"/>
      <c r="CA123" s="117" t="str">
        <f>IF(_xlfn.XLOOKUP(BY123, AutoFill_classes!$A:$A, AutoFill_classes!$B:$B,"")=0,"",_xlfn.XLOOKUP(BY123, AutoFill_classes!$A:$A, AutoFill_classes!$B:$B,""))</f>
        <v>Doctrine of the Church</v>
      </c>
      <c r="CB123" s="108"/>
      <c r="CC123" s="14" t="s">
        <v>53</v>
      </c>
      <c r="CD123" s="14" t="s">
        <v>54</v>
      </c>
      <c r="CE123" s="14" t="s">
        <v>167</v>
      </c>
      <c r="CF123" s="21" t="s">
        <v>55</v>
      </c>
      <c r="CG123" s="22" t="s">
        <v>56</v>
      </c>
      <c r="CH123" s="63">
        <v>3</v>
      </c>
      <c r="CI123" s="23"/>
      <c r="CJ123" s="121" t="str">
        <f t="shared" ref="CJ123:CJ151" si="126">IF(CH123*CI123=0,"",CH123*CI123)</f>
        <v/>
      </c>
      <c r="CK123" s="20"/>
      <c r="CL123" s="20"/>
      <c r="CM123" s="20"/>
      <c r="CN123" s="20"/>
      <c r="CO123" s="125" t="str">
        <f t="shared" ref="CO123:CO151" si="127">IF(ROUNDUP((CN123-CM123)/7,0)=0,"",ROUNDUP((CN123-CM123)/7,0))</f>
        <v/>
      </c>
      <c r="CP123" s="14"/>
      <c r="CQ123" s="125" t="str">
        <f t="shared" ref="CQ123:CQ151" si="128">IFERROR(IF(CO123*CP123=0,"",CO123*CP123), "")</f>
        <v/>
      </c>
      <c r="CR123" s="20"/>
      <c r="CS123" s="20"/>
      <c r="CT123" s="125" t="str">
        <f t="shared" ref="CT123:CT151" si="129">IF(ROUNDUP((CS123-CR123)/7,0)=0,"",ROUNDUP((CS123-CR123)/7,0))</f>
        <v/>
      </c>
      <c r="CU123" s="14"/>
      <c r="CV123" s="125" t="str">
        <f t="shared" ref="CV123:CV151" si="130">IFERROR(IF(CT123*CU123=0,"",CT123*CU123), "")</f>
        <v/>
      </c>
      <c r="CW123" s="20"/>
      <c r="CX123" s="20"/>
      <c r="CY123" s="125" t="str">
        <f t="shared" ref="CY123:CY151" si="131">IF(ROUNDUP((CX123-CW123)/7,0)=0,"",ROUNDUP((CX123-CW123)/7,0))</f>
        <v/>
      </c>
      <c r="CZ123" s="125" t="str">
        <f t="shared" ref="CZ123:CZ151" si="132">IFERROR(IF((DC123-(CP123+CU123))/CY123=0,"",ROUNDUP((DC123-(CP123+CU123))/CY123,0)), "")</f>
        <v/>
      </c>
      <c r="DA123" s="125" t="str">
        <f t="shared" ref="DA123:DA151" si="133">IFERROR(IF((DC123-(CQ123+CV123))=0, "", (DC123-(CQ123+CV123))), "")</f>
        <v/>
      </c>
      <c r="DB123" s="129" t="str">
        <f t="shared" ref="DB123:DB151" si="134">IFERROR(IF((CO123+CT123+CY123)=0, "", (CO123+CT123+CY123)), "")</f>
        <v/>
      </c>
      <c r="DC123" s="14"/>
      <c r="DD123" s="62"/>
      <c r="DE123" s="105">
        <v>121</v>
      </c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spans="1:176" s="1" customFormat="1" ht="13" hidden="1" customHeight="1" outlineLevel="1" x14ac:dyDescent="0.2">
      <c r="A124" s="4" t="s">
        <v>168</v>
      </c>
      <c r="B124" s="115" t="str">
        <f>IF(_xlfn.XLOOKUP(A124, AutoFill_names!B:B, AutoFill_names!C:C,"")=0,"",_xlfn.XLOOKUP(A124, AutoFill_names!B:B, AutoFill_names!C:C,""))</f>
        <v>000043638</v>
      </c>
      <c r="C124" s="115" t="str">
        <f>IF(_xlfn.XLOOKUP(A124, AutoFill_names!B:B, AutoFill_names!D:D,"")=0,"",_xlfn.XLOOKUP(A124, AutoFill_names!B:B, AutoFill_names!D:D,""))</f>
        <v>fortind@andrews.edu</v>
      </c>
      <c r="D124" s="115" t="str">
        <f>IF(_xlfn.XLOOKUP(A124, AutoFill_names!B:B, AutoFill_names!E:E,"")=0,"",_xlfn.XLOOKUP(A124, AutoFill_names!B:B, AutoFill_names!E:E,""))</f>
        <v/>
      </c>
      <c r="E124" s="115" t="str">
        <f>IF(_xlfn.XLOOKUP(A124, AutoFill_names!B:B, AutoFill_names!F:F,"")=0,"",_xlfn.XLOOKUP(A124, AutoFill_names!B:B, AutoFill_names!F:F,""))</f>
        <v/>
      </c>
      <c r="F124" s="92"/>
      <c r="J124" s="115" t="str">
        <f>IF(_xlfn.XLOOKUP(A124, AutoFill_names!B:B, AutoFill_names!K:K,"")=0,"",_xlfn.XLOOKUP(A124, AutoFill_names!B:B, AutoFill_names!K:K,""))</f>
        <v>Jeroncic, Ante</v>
      </c>
      <c r="K124" s="115" t="str">
        <f>IF(_xlfn.XLOOKUP(A124, AutoFill_names!B:B, AutoFill_names!L:L,"")=0,"",_xlfn.XLOOKUP(A124, AutoFill_names!B:B, AutoFill_names!L:L,""))</f>
        <v>000066942</v>
      </c>
      <c r="L124" s="2"/>
      <c r="M124" s="2"/>
      <c r="N124" s="117" t="str">
        <f>IF(_xlfn.XLOOKUP(L124, AutoFill_classes!A:A, AutoFill_classes!B:B,"")=0,"",_xlfn.XLOOKUP(L124, AutoFill_classes!A:A, AutoFill_classes!B:B,""))</f>
        <v/>
      </c>
      <c r="O124" s="108"/>
      <c r="P124" s="7"/>
      <c r="Q124" s="7"/>
      <c r="R124" s="7"/>
      <c r="S124" s="2"/>
      <c r="T124" s="2"/>
      <c r="U124" s="2"/>
      <c r="X124" s="63"/>
      <c r="Y124" s="19"/>
      <c r="Z124" s="121" t="str">
        <f t="shared" si="108"/>
        <v/>
      </c>
      <c r="AA124" s="20"/>
      <c r="AB124" s="20"/>
      <c r="AC124" s="20"/>
      <c r="AD124" s="20"/>
      <c r="AE124" s="125" t="str">
        <f t="shared" si="109"/>
        <v/>
      </c>
      <c r="AF124" s="14"/>
      <c r="AG124" s="125" t="str">
        <f t="shared" si="110"/>
        <v/>
      </c>
      <c r="AH124" s="20"/>
      <c r="AI124" s="20"/>
      <c r="AJ124" s="125" t="str">
        <f t="shared" si="111"/>
        <v/>
      </c>
      <c r="AK124" s="14"/>
      <c r="AL124" s="125" t="str">
        <f t="shared" si="112"/>
        <v/>
      </c>
      <c r="AM124" s="20"/>
      <c r="AN124" s="20"/>
      <c r="AO124" s="125" t="str">
        <f t="shared" si="113"/>
        <v/>
      </c>
      <c r="AP124" s="125" t="str">
        <f t="shared" si="114"/>
        <v/>
      </c>
      <c r="AQ124" s="125" t="str">
        <f t="shared" si="115"/>
        <v/>
      </c>
      <c r="AR124" s="129" t="str">
        <f t="shared" si="116"/>
        <v/>
      </c>
      <c r="AS124" s="14"/>
      <c r="AT124" s="32" t="s">
        <v>1581</v>
      </c>
      <c r="AU124" s="32" t="s">
        <v>277</v>
      </c>
      <c r="AV124" s="117" t="str">
        <f>IF(_xlfn.XLOOKUP(AT124, AutoFill_classes!$A:$A, AutoFill_classes!$B:$B,"")=0,"",_xlfn.XLOOKUP(AT124, AutoFill_classes!$A:$A, AutoFill_classes!$B:$B,""))</f>
        <v>Top:</v>
      </c>
      <c r="AW124" s="108"/>
      <c r="AX124" s="13" t="s">
        <v>53</v>
      </c>
      <c r="AY124" s="13" t="s">
        <v>54</v>
      </c>
      <c r="AZ124" s="13" t="s">
        <v>167</v>
      </c>
      <c r="BA124" s="13" t="s">
        <v>59</v>
      </c>
      <c r="BB124" s="13" t="s">
        <v>56</v>
      </c>
      <c r="BC124" s="63">
        <v>0</v>
      </c>
      <c r="BD124" s="18"/>
      <c r="BE124" s="121" t="str">
        <f t="shared" si="117"/>
        <v/>
      </c>
      <c r="BF124" s="20"/>
      <c r="BG124" s="20"/>
      <c r="BH124" s="20"/>
      <c r="BI124" s="20"/>
      <c r="BJ124" s="125" t="str">
        <f t="shared" si="118"/>
        <v/>
      </c>
      <c r="BK124" s="14"/>
      <c r="BL124" s="125" t="str">
        <f t="shared" si="119"/>
        <v/>
      </c>
      <c r="BM124" s="20"/>
      <c r="BN124" s="20"/>
      <c r="BO124" s="125" t="str">
        <f t="shared" si="120"/>
        <v/>
      </c>
      <c r="BP124" s="14"/>
      <c r="BQ124" s="125" t="str">
        <f t="shared" si="121"/>
        <v/>
      </c>
      <c r="BR124" s="20"/>
      <c r="BS124" s="20"/>
      <c r="BT124" s="125" t="str">
        <f t="shared" si="122"/>
        <v/>
      </c>
      <c r="BU124" s="125" t="str">
        <f t="shared" si="123"/>
        <v/>
      </c>
      <c r="BV124" s="125" t="str">
        <f t="shared" si="124"/>
        <v/>
      </c>
      <c r="BW124" s="129" t="str">
        <f t="shared" si="125"/>
        <v/>
      </c>
      <c r="BX124" s="13"/>
      <c r="BY124" s="15" t="s">
        <v>1556</v>
      </c>
      <c r="BZ124" s="14"/>
      <c r="CA124" s="117" t="str">
        <f>IF(_xlfn.XLOOKUP(BY124, AutoFill_classes!$A:$A, AutoFill_classes!$B:$B,"")=0,"",_xlfn.XLOOKUP(BY124, AutoFill_classes!$A:$A, AutoFill_classes!$B:$B,""))</f>
        <v>Roman Catholic Life &amp; Thought</v>
      </c>
      <c r="CB124" s="108"/>
      <c r="CC124" s="14" t="s">
        <v>53</v>
      </c>
      <c r="CD124" s="14" t="s">
        <v>54</v>
      </c>
      <c r="CE124" s="14" t="s">
        <v>167</v>
      </c>
      <c r="CF124" s="21" t="s">
        <v>55</v>
      </c>
      <c r="CG124" s="22" t="s">
        <v>56</v>
      </c>
      <c r="CH124" s="63">
        <v>2</v>
      </c>
      <c r="CI124" s="23"/>
      <c r="CJ124" s="121" t="str">
        <f t="shared" si="126"/>
        <v/>
      </c>
      <c r="CK124" s="20"/>
      <c r="CL124" s="20"/>
      <c r="CM124" s="20"/>
      <c r="CN124" s="20"/>
      <c r="CO124" s="125" t="str">
        <f t="shared" si="127"/>
        <v/>
      </c>
      <c r="CP124" s="14"/>
      <c r="CQ124" s="125" t="str">
        <f t="shared" si="128"/>
        <v/>
      </c>
      <c r="CR124" s="20"/>
      <c r="CS124" s="20"/>
      <c r="CT124" s="125" t="str">
        <f t="shared" si="129"/>
        <v/>
      </c>
      <c r="CU124" s="14"/>
      <c r="CV124" s="125" t="str">
        <f t="shared" si="130"/>
        <v/>
      </c>
      <c r="CW124" s="20"/>
      <c r="CX124" s="20"/>
      <c r="CY124" s="125" t="str">
        <f t="shared" si="131"/>
        <v/>
      </c>
      <c r="CZ124" s="125" t="str">
        <f t="shared" si="132"/>
        <v/>
      </c>
      <c r="DA124" s="125" t="str">
        <f t="shared" si="133"/>
        <v/>
      </c>
      <c r="DB124" s="129" t="str">
        <f t="shared" si="134"/>
        <v/>
      </c>
      <c r="DC124" s="14"/>
      <c r="DD124" s="62"/>
      <c r="DE124" s="105">
        <v>122</v>
      </c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spans="1:176" s="1" customFormat="1" ht="13" hidden="1" customHeight="1" outlineLevel="1" x14ac:dyDescent="0.2">
      <c r="A125" s="4" t="s">
        <v>168</v>
      </c>
      <c r="B125" s="115" t="str">
        <f>IF(_xlfn.XLOOKUP(A125, AutoFill_names!B:B, AutoFill_names!C:C,"")=0,"",_xlfn.XLOOKUP(A125, AutoFill_names!B:B, AutoFill_names!C:C,""))</f>
        <v>000043638</v>
      </c>
      <c r="C125" s="115" t="str">
        <f>IF(_xlfn.XLOOKUP(A125, AutoFill_names!B:B, AutoFill_names!D:D,"")=0,"",_xlfn.XLOOKUP(A125, AutoFill_names!B:B, AutoFill_names!D:D,""))</f>
        <v>fortind@andrews.edu</v>
      </c>
      <c r="D125" s="115" t="str">
        <f>IF(_xlfn.XLOOKUP(A125, AutoFill_names!B:B, AutoFill_names!E:E,"")=0,"",_xlfn.XLOOKUP(A125, AutoFill_names!B:B, AutoFill_names!E:E,""))</f>
        <v/>
      </c>
      <c r="E125" s="115" t="str">
        <f>IF(_xlfn.XLOOKUP(A125, AutoFill_names!B:B, AutoFill_names!F:F,"")=0,"",_xlfn.XLOOKUP(A125, AutoFill_names!B:B, AutoFill_names!F:F,""))</f>
        <v/>
      </c>
      <c r="F125" s="92"/>
      <c r="J125" s="115" t="str">
        <f>IF(_xlfn.XLOOKUP(A125, AutoFill_names!B:B, AutoFill_names!K:K,"")=0,"",_xlfn.XLOOKUP(A125, AutoFill_names!B:B, AutoFill_names!K:K,""))</f>
        <v>Jeroncic, Ante</v>
      </c>
      <c r="K125" s="115" t="str">
        <f>IF(_xlfn.XLOOKUP(A125, AutoFill_names!B:B, AutoFill_names!L:L,"")=0,"",_xlfn.XLOOKUP(A125, AutoFill_names!B:B, AutoFill_names!L:L,""))</f>
        <v>000066942</v>
      </c>
      <c r="L125" s="2"/>
      <c r="M125" s="2"/>
      <c r="N125" s="117" t="str">
        <f>IF(_xlfn.XLOOKUP(L125, AutoFill_classes!A:A, AutoFill_classes!B:B,"")=0,"",_xlfn.XLOOKUP(L125, AutoFill_classes!A:A, AutoFill_classes!B:B,""))</f>
        <v/>
      </c>
      <c r="O125" s="108"/>
      <c r="P125" s="7"/>
      <c r="Q125" s="7"/>
      <c r="R125" s="7"/>
      <c r="S125" s="2"/>
      <c r="T125" s="2"/>
      <c r="U125" s="2"/>
      <c r="X125" s="63"/>
      <c r="Y125" s="19"/>
      <c r="Z125" s="121" t="str">
        <f t="shared" si="108"/>
        <v/>
      </c>
      <c r="AA125" s="20"/>
      <c r="AB125" s="20"/>
      <c r="AC125" s="20"/>
      <c r="AD125" s="20"/>
      <c r="AE125" s="125" t="str">
        <f t="shared" si="109"/>
        <v/>
      </c>
      <c r="AF125" s="14"/>
      <c r="AG125" s="125" t="str">
        <f t="shared" si="110"/>
        <v/>
      </c>
      <c r="AH125" s="20"/>
      <c r="AI125" s="20"/>
      <c r="AJ125" s="125" t="str">
        <f t="shared" si="111"/>
        <v/>
      </c>
      <c r="AK125" s="14"/>
      <c r="AL125" s="125" t="str">
        <f t="shared" si="112"/>
        <v/>
      </c>
      <c r="AM125" s="20"/>
      <c r="AN125" s="20"/>
      <c r="AO125" s="125" t="str">
        <f t="shared" si="113"/>
        <v/>
      </c>
      <c r="AP125" s="125" t="str">
        <f t="shared" si="114"/>
        <v/>
      </c>
      <c r="AQ125" s="125" t="str">
        <f t="shared" si="115"/>
        <v/>
      </c>
      <c r="AR125" s="129" t="str">
        <f t="shared" si="116"/>
        <v/>
      </c>
      <c r="AS125" s="14"/>
      <c r="AT125" s="32" t="s">
        <v>1565</v>
      </c>
      <c r="AU125" s="32"/>
      <c r="AV125" s="117" t="str">
        <f>IF(_xlfn.XLOOKUP(AT125, AutoFill_classes!$A:$A, AutoFill_classes!$B:$B,"")=0,"",_xlfn.XLOOKUP(AT125, AutoFill_classes!$A:$A, AutoFill_classes!$B:$B,""))</f>
        <v>Doctrine of Salvation</v>
      </c>
      <c r="AW125" s="108"/>
      <c r="AX125" s="13" t="s">
        <v>53</v>
      </c>
      <c r="AY125" s="13" t="s">
        <v>54</v>
      </c>
      <c r="AZ125" s="13" t="s">
        <v>167</v>
      </c>
      <c r="BA125" s="13" t="s">
        <v>55</v>
      </c>
      <c r="BB125" s="13" t="s">
        <v>56</v>
      </c>
      <c r="BC125" s="63">
        <v>3</v>
      </c>
      <c r="BD125" s="18"/>
      <c r="BE125" s="121" t="str">
        <f t="shared" si="117"/>
        <v/>
      </c>
      <c r="BF125" s="20"/>
      <c r="BG125" s="20"/>
      <c r="BH125" s="20"/>
      <c r="BI125" s="20"/>
      <c r="BJ125" s="125" t="str">
        <f t="shared" si="118"/>
        <v/>
      </c>
      <c r="BK125" s="14"/>
      <c r="BL125" s="125" t="str">
        <f t="shared" si="119"/>
        <v/>
      </c>
      <c r="BM125" s="20"/>
      <c r="BN125" s="20"/>
      <c r="BO125" s="125" t="str">
        <f t="shared" si="120"/>
        <v/>
      </c>
      <c r="BP125" s="14"/>
      <c r="BQ125" s="125" t="str">
        <f t="shared" si="121"/>
        <v/>
      </c>
      <c r="BR125" s="20"/>
      <c r="BS125" s="20"/>
      <c r="BT125" s="125" t="str">
        <f t="shared" si="122"/>
        <v/>
      </c>
      <c r="BU125" s="125" t="str">
        <f t="shared" si="123"/>
        <v/>
      </c>
      <c r="BV125" s="125" t="str">
        <f t="shared" si="124"/>
        <v/>
      </c>
      <c r="BW125" s="129" t="str">
        <f t="shared" si="125"/>
        <v/>
      </c>
      <c r="BX125" s="13"/>
      <c r="BY125" s="15" t="s">
        <v>1581</v>
      </c>
      <c r="BZ125" s="14" t="s">
        <v>271</v>
      </c>
      <c r="CA125" s="117" t="str">
        <f>IF(_xlfn.XLOOKUP(BY125, AutoFill_classes!$A:$A, AutoFill_classes!$B:$B,"")=0,"",_xlfn.XLOOKUP(BY125, AutoFill_classes!$A:$A, AutoFill_classes!$B:$B,""))</f>
        <v>Top:</v>
      </c>
      <c r="CB125" s="108"/>
      <c r="CC125" s="14" t="s">
        <v>53</v>
      </c>
      <c r="CD125" s="14" t="s">
        <v>54</v>
      </c>
      <c r="CE125" s="14" t="s">
        <v>167</v>
      </c>
      <c r="CF125" s="21" t="s">
        <v>59</v>
      </c>
      <c r="CG125" s="22" t="s">
        <v>56</v>
      </c>
      <c r="CH125" s="63">
        <v>0</v>
      </c>
      <c r="CI125" s="23"/>
      <c r="CJ125" s="121" t="str">
        <f t="shared" si="126"/>
        <v/>
      </c>
      <c r="CK125" s="20"/>
      <c r="CL125" s="20"/>
      <c r="CM125" s="20"/>
      <c r="CN125" s="20"/>
      <c r="CO125" s="125" t="str">
        <f t="shared" si="127"/>
        <v/>
      </c>
      <c r="CP125" s="14"/>
      <c r="CQ125" s="125" t="str">
        <f t="shared" si="128"/>
        <v/>
      </c>
      <c r="CR125" s="20"/>
      <c r="CS125" s="20"/>
      <c r="CT125" s="125" t="str">
        <f t="shared" si="129"/>
        <v/>
      </c>
      <c r="CU125" s="14"/>
      <c r="CV125" s="125" t="str">
        <f t="shared" si="130"/>
        <v/>
      </c>
      <c r="CW125" s="20"/>
      <c r="CX125" s="20"/>
      <c r="CY125" s="125" t="str">
        <f t="shared" si="131"/>
        <v/>
      </c>
      <c r="CZ125" s="125" t="str">
        <f t="shared" si="132"/>
        <v/>
      </c>
      <c r="DA125" s="125" t="str">
        <f t="shared" si="133"/>
        <v/>
      </c>
      <c r="DB125" s="129" t="str">
        <f t="shared" si="134"/>
        <v/>
      </c>
      <c r="DC125" s="14"/>
      <c r="DD125" s="62"/>
      <c r="DE125" s="105">
        <v>123</v>
      </c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spans="1:176" s="1" customFormat="1" ht="13" hidden="1" customHeight="1" outlineLevel="1" x14ac:dyDescent="0.2">
      <c r="A126" s="4" t="s">
        <v>168</v>
      </c>
      <c r="B126" s="115" t="str">
        <f>IF(_xlfn.XLOOKUP(A126, AutoFill_names!B:B, AutoFill_names!C:C,"")=0,"",_xlfn.XLOOKUP(A126, AutoFill_names!B:B, AutoFill_names!C:C,""))</f>
        <v>000043638</v>
      </c>
      <c r="C126" s="115" t="str">
        <f>IF(_xlfn.XLOOKUP(A126, AutoFill_names!B:B, AutoFill_names!D:D,"")=0,"",_xlfn.XLOOKUP(A126, AutoFill_names!B:B, AutoFill_names!D:D,""))</f>
        <v>fortind@andrews.edu</v>
      </c>
      <c r="D126" s="115" t="str">
        <f>IF(_xlfn.XLOOKUP(A126, AutoFill_names!B:B, AutoFill_names!E:E,"")=0,"",_xlfn.XLOOKUP(A126, AutoFill_names!B:B, AutoFill_names!E:E,""))</f>
        <v/>
      </c>
      <c r="E126" s="115" t="str">
        <f>IF(_xlfn.XLOOKUP(A126, AutoFill_names!B:B, AutoFill_names!F:F,"")=0,"",_xlfn.XLOOKUP(A126, AutoFill_names!B:B, AutoFill_names!F:F,""))</f>
        <v/>
      </c>
      <c r="F126" s="92"/>
      <c r="J126" s="115" t="str">
        <f>IF(_xlfn.XLOOKUP(A126, AutoFill_names!B:B, AutoFill_names!K:K,"")=0,"",_xlfn.XLOOKUP(A126, AutoFill_names!B:B, AutoFill_names!K:K,""))</f>
        <v>Jeroncic, Ante</v>
      </c>
      <c r="K126" s="115" t="str">
        <f>IF(_xlfn.XLOOKUP(A126, AutoFill_names!B:B, AutoFill_names!L:L,"")=0,"",_xlfn.XLOOKUP(A126, AutoFill_names!B:B, AutoFill_names!L:L,""))</f>
        <v>000066942</v>
      </c>
      <c r="L126" s="2"/>
      <c r="M126" s="2"/>
      <c r="N126" s="117" t="str">
        <f>IF(_xlfn.XLOOKUP(L126, AutoFill_classes!A:A, AutoFill_classes!B:B,"")=0,"",_xlfn.XLOOKUP(L126, AutoFill_classes!A:A, AutoFill_classes!B:B,""))</f>
        <v/>
      </c>
      <c r="O126" s="108"/>
      <c r="P126" s="7"/>
      <c r="Q126" s="7"/>
      <c r="R126" s="7"/>
      <c r="S126" s="2"/>
      <c r="T126" s="2"/>
      <c r="U126" s="2"/>
      <c r="X126" s="63"/>
      <c r="Y126" s="19"/>
      <c r="Z126" s="121" t="str">
        <f t="shared" si="108"/>
        <v/>
      </c>
      <c r="AA126" s="20"/>
      <c r="AB126" s="20"/>
      <c r="AC126" s="20"/>
      <c r="AD126" s="20"/>
      <c r="AE126" s="125" t="str">
        <f t="shared" si="109"/>
        <v/>
      </c>
      <c r="AF126" s="14"/>
      <c r="AG126" s="125" t="str">
        <f t="shared" si="110"/>
        <v/>
      </c>
      <c r="AH126" s="20"/>
      <c r="AI126" s="20"/>
      <c r="AJ126" s="125" t="str">
        <f t="shared" si="111"/>
        <v/>
      </c>
      <c r="AK126" s="14"/>
      <c r="AL126" s="125" t="str">
        <f t="shared" si="112"/>
        <v/>
      </c>
      <c r="AM126" s="20"/>
      <c r="AN126" s="20"/>
      <c r="AO126" s="125" t="str">
        <f t="shared" si="113"/>
        <v/>
      </c>
      <c r="AP126" s="125" t="str">
        <f t="shared" si="114"/>
        <v/>
      </c>
      <c r="AQ126" s="125" t="str">
        <f t="shared" si="115"/>
        <v/>
      </c>
      <c r="AR126" s="129" t="str">
        <f t="shared" si="116"/>
        <v/>
      </c>
      <c r="AS126" s="14"/>
      <c r="AT126" s="32" t="s">
        <v>1581</v>
      </c>
      <c r="AU126" s="32" t="s">
        <v>289</v>
      </c>
      <c r="AV126" s="117" t="str">
        <f>IF(_xlfn.XLOOKUP(AT126, AutoFill_classes!$A:$A, AutoFill_classes!$B:$B,"")=0,"",_xlfn.XLOOKUP(AT126, AutoFill_classes!$A:$A, AutoFill_classes!$B:$B,""))</f>
        <v>Top:</v>
      </c>
      <c r="AW126" s="108"/>
      <c r="AX126" s="13" t="s">
        <v>53</v>
      </c>
      <c r="AY126" s="13" t="s">
        <v>54</v>
      </c>
      <c r="AZ126" s="13" t="s">
        <v>167</v>
      </c>
      <c r="BA126" s="13" t="s">
        <v>59</v>
      </c>
      <c r="BB126" s="13" t="s">
        <v>56</v>
      </c>
      <c r="BC126" s="63">
        <v>0</v>
      </c>
      <c r="BD126" s="18"/>
      <c r="BE126" s="121" t="str">
        <f t="shared" si="117"/>
        <v/>
      </c>
      <c r="BF126" s="20"/>
      <c r="BG126" s="20"/>
      <c r="BH126" s="20"/>
      <c r="BI126" s="20"/>
      <c r="BJ126" s="125" t="str">
        <f t="shared" si="118"/>
        <v/>
      </c>
      <c r="BK126" s="14"/>
      <c r="BL126" s="125" t="str">
        <f t="shared" si="119"/>
        <v/>
      </c>
      <c r="BM126" s="20"/>
      <c r="BN126" s="20"/>
      <c r="BO126" s="125" t="str">
        <f t="shared" si="120"/>
        <v/>
      </c>
      <c r="BP126" s="14"/>
      <c r="BQ126" s="125" t="str">
        <f t="shared" si="121"/>
        <v/>
      </c>
      <c r="BR126" s="20"/>
      <c r="BS126" s="20"/>
      <c r="BT126" s="125" t="str">
        <f t="shared" si="122"/>
        <v/>
      </c>
      <c r="BU126" s="125" t="str">
        <f t="shared" si="123"/>
        <v/>
      </c>
      <c r="BV126" s="125" t="str">
        <f t="shared" si="124"/>
        <v/>
      </c>
      <c r="BW126" s="129" t="str">
        <f t="shared" si="125"/>
        <v/>
      </c>
      <c r="BX126" s="13"/>
      <c r="BY126" s="15" t="s">
        <v>1565</v>
      </c>
      <c r="BZ126" s="14"/>
      <c r="CA126" s="117" t="str">
        <f>IF(_xlfn.XLOOKUP(BY126, AutoFill_classes!$A:$A, AutoFill_classes!$B:$B,"")=0,"",_xlfn.XLOOKUP(BY126, AutoFill_classes!$A:$A, AutoFill_classes!$B:$B,""))</f>
        <v>Doctrine of Salvation</v>
      </c>
      <c r="CB126" s="108"/>
      <c r="CC126" s="14" t="s">
        <v>53</v>
      </c>
      <c r="CD126" s="14" t="s">
        <v>112</v>
      </c>
      <c r="CE126" s="14" t="s">
        <v>242</v>
      </c>
      <c r="CF126" s="21" t="s">
        <v>55</v>
      </c>
      <c r="CG126" s="22" t="s">
        <v>56</v>
      </c>
      <c r="CH126" s="63">
        <v>3</v>
      </c>
      <c r="CI126" s="23"/>
      <c r="CJ126" s="121" t="str">
        <f t="shared" si="126"/>
        <v/>
      </c>
      <c r="CK126" s="20"/>
      <c r="CL126" s="20"/>
      <c r="CM126" s="20"/>
      <c r="CN126" s="20"/>
      <c r="CO126" s="125" t="str">
        <f t="shared" si="127"/>
        <v/>
      </c>
      <c r="CP126" s="14"/>
      <c r="CQ126" s="125" t="str">
        <f t="shared" si="128"/>
        <v/>
      </c>
      <c r="CR126" s="20"/>
      <c r="CS126" s="20"/>
      <c r="CT126" s="125" t="str">
        <f t="shared" si="129"/>
        <v/>
      </c>
      <c r="CU126" s="14"/>
      <c r="CV126" s="125" t="str">
        <f t="shared" si="130"/>
        <v/>
      </c>
      <c r="CW126" s="20"/>
      <c r="CX126" s="20"/>
      <c r="CY126" s="125" t="str">
        <f t="shared" si="131"/>
        <v/>
      </c>
      <c r="CZ126" s="125" t="str">
        <f t="shared" si="132"/>
        <v/>
      </c>
      <c r="DA126" s="125" t="str">
        <f t="shared" si="133"/>
        <v/>
      </c>
      <c r="DB126" s="129" t="str">
        <f t="shared" si="134"/>
        <v/>
      </c>
      <c r="DC126" s="14"/>
      <c r="DD126" s="62"/>
      <c r="DE126" s="105">
        <v>124</v>
      </c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spans="1:176" s="1" customFormat="1" ht="13" hidden="1" customHeight="1" outlineLevel="1" x14ac:dyDescent="0.2">
      <c r="A127" s="4" t="s">
        <v>168</v>
      </c>
      <c r="B127" s="115" t="str">
        <f>IF(_xlfn.XLOOKUP(A127, AutoFill_names!B:B, AutoFill_names!C:C,"")=0,"",_xlfn.XLOOKUP(A127, AutoFill_names!B:B, AutoFill_names!C:C,""))</f>
        <v>000043638</v>
      </c>
      <c r="C127" s="115" t="str">
        <f>IF(_xlfn.XLOOKUP(A127, AutoFill_names!B:B, AutoFill_names!D:D,"")=0,"",_xlfn.XLOOKUP(A127, AutoFill_names!B:B, AutoFill_names!D:D,""))</f>
        <v>fortind@andrews.edu</v>
      </c>
      <c r="D127" s="115" t="str">
        <f>IF(_xlfn.XLOOKUP(A127, AutoFill_names!B:B, AutoFill_names!E:E,"")=0,"",_xlfn.XLOOKUP(A127, AutoFill_names!B:B, AutoFill_names!E:E,""))</f>
        <v/>
      </c>
      <c r="E127" s="115" t="str">
        <f>IF(_xlfn.XLOOKUP(A127, AutoFill_names!B:B, AutoFill_names!F:F,"")=0,"",_xlfn.XLOOKUP(A127, AutoFill_names!B:B, AutoFill_names!F:F,""))</f>
        <v/>
      </c>
      <c r="F127" s="92"/>
      <c r="J127" s="115" t="str">
        <f>IF(_xlfn.XLOOKUP(A127, AutoFill_names!B:B, AutoFill_names!K:K,"")=0,"",_xlfn.XLOOKUP(A127, AutoFill_names!B:B, AutoFill_names!K:K,""))</f>
        <v>Jeroncic, Ante</v>
      </c>
      <c r="K127" s="115" t="str">
        <f>IF(_xlfn.XLOOKUP(A127, AutoFill_names!B:B, AutoFill_names!L:L,"")=0,"",_xlfn.XLOOKUP(A127, AutoFill_names!B:B, AutoFill_names!L:L,""))</f>
        <v>000066942</v>
      </c>
      <c r="L127" s="2"/>
      <c r="M127" s="2"/>
      <c r="N127" s="117" t="str">
        <f>IF(_xlfn.XLOOKUP(L127, AutoFill_classes!A:A, AutoFill_classes!B:B,"")=0,"",_xlfn.XLOOKUP(L127, AutoFill_classes!A:A, AutoFill_classes!B:B,""))</f>
        <v/>
      </c>
      <c r="O127" s="108"/>
      <c r="P127" s="7"/>
      <c r="Q127" s="7"/>
      <c r="R127" s="7"/>
      <c r="S127" s="2"/>
      <c r="T127" s="2"/>
      <c r="U127" s="2"/>
      <c r="X127" s="63"/>
      <c r="Y127" s="19"/>
      <c r="Z127" s="121" t="str">
        <f t="shared" si="108"/>
        <v/>
      </c>
      <c r="AA127" s="20"/>
      <c r="AB127" s="20"/>
      <c r="AC127" s="20"/>
      <c r="AD127" s="20"/>
      <c r="AE127" s="125" t="str">
        <f t="shared" si="109"/>
        <v/>
      </c>
      <c r="AF127" s="14"/>
      <c r="AG127" s="125" t="str">
        <f t="shared" si="110"/>
        <v/>
      </c>
      <c r="AH127" s="20"/>
      <c r="AI127" s="20"/>
      <c r="AJ127" s="125" t="str">
        <f t="shared" si="111"/>
        <v/>
      </c>
      <c r="AK127" s="14"/>
      <c r="AL127" s="125" t="str">
        <f t="shared" si="112"/>
        <v/>
      </c>
      <c r="AM127" s="20"/>
      <c r="AN127" s="20"/>
      <c r="AO127" s="125" t="str">
        <f t="shared" si="113"/>
        <v/>
      </c>
      <c r="AP127" s="125" t="str">
        <f t="shared" si="114"/>
        <v/>
      </c>
      <c r="AQ127" s="125" t="str">
        <f t="shared" si="115"/>
        <v/>
      </c>
      <c r="AR127" s="129" t="str">
        <f t="shared" si="116"/>
        <v/>
      </c>
      <c r="AS127" s="14"/>
      <c r="AT127" s="32" t="s">
        <v>1570</v>
      </c>
      <c r="AU127" s="32"/>
      <c r="AV127" s="117" t="str">
        <f>IF(_xlfn.XLOOKUP(AT127, AutoFill_classes!$A:$A, AutoFill_classes!$B:$B,"")=0,"",_xlfn.XLOOKUP(AT127, AutoFill_classes!$A:$A, AutoFill_classes!$B:$B,""))</f>
        <v>Sem in Historical Theology:</v>
      </c>
      <c r="AW127" s="108"/>
      <c r="AX127" s="13" t="s">
        <v>53</v>
      </c>
      <c r="AY127" s="13" t="s">
        <v>54</v>
      </c>
      <c r="AZ127" s="13" t="s">
        <v>167</v>
      </c>
      <c r="BA127" s="13" t="s">
        <v>55</v>
      </c>
      <c r="BB127" s="13" t="s">
        <v>56</v>
      </c>
      <c r="BC127" s="63">
        <v>3</v>
      </c>
      <c r="BD127" s="18"/>
      <c r="BE127" s="121" t="str">
        <f t="shared" si="117"/>
        <v/>
      </c>
      <c r="BF127" s="20"/>
      <c r="BG127" s="20"/>
      <c r="BH127" s="20"/>
      <c r="BI127" s="20"/>
      <c r="BJ127" s="125" t="str">
        <f t="shared" si="118"/>
        <v/>
      </c>
      <c r="BK127" s="14"/>
      <c r="BL127" s="125" t="str">
        <f t="shared" si="119"/>
        <v/>
      </c>
      <c r="BM127" s="20"/>
      <c r="BN127" s="20"/>
      <c r="BO127" s="125" t="str">
        <f t="shared" si="120"/>
        <v/>
      </c>
      <c r="BP127" s="14"/>
      <c r="BQ127" s="125" t="str">
        <f t="shared" si="121"/>
        <v/>
      </c>
      <c r="BR127" s="20"/>
      <c r="BS127" s="20"/>
      <c r="BT127" s="125" t="str">
        <f t="shared" si="122"/>
        <v/>
      </c>
      <c r="BU127" s="125" t="str">
        <f t="shared" si="123"/>
        <v/>
      </c>
      <c r="BV127" s="125" t="str">
        <f t="shared" si="124"/>
        <v/>
      </c>
      <c r="BW127" s="129" t="str">
        <f t="shared" si="125"/>
        <v/>
      </c>
      <c r="BX127" s="13"/>
      <c r="BY127" s="15"/>
      <c r="BZ127" s="14"/>
      <c r="CA127" s="117" t="str">
        <f>IF(_xlfn.XLOOKUP(BY127, AutoFill_classes!$A:$A, AutoFill_classes!$B:$B,"")=0,"",_xlfn.XLOOKUP(BY127, AutoFill_classes!$A:$A, AutoFill_classes!$B:$B,""))</f>
        <v/>
      </c>
      <c r="CB127" s="108"/>
      <c r="CC127" s="14"/>
      <c r="CD127" s="14"/>
      <c r="CE127" s="14"/>
      <c r="CF127" s="21"/>
      <c r="CG127" s="22"/>
      <c r="CH127" s="63"/>
      <c r="CI127" s="23"/>
      <c r="CJ127" s="121" t="str">
        <f t="shared" si="126"/>
        <v/>
      </c>
      <c r="CK127" s="20"/>
      <c r="CL127" s="20"/>
      <c r="CM127" s="20"/>
      <c r="CN127" s="20"/>
      <c r="CO127" s="125" t="str">
        <f t="shared" si="127"/>
        <v/>
      </c>
      <c r="CP127" s="14"/>
      <c r="CQ127" s="125" t="str">
        <f t="shared" si="128"/>
        <v/>
      </c>
      <c r="CR127" s="20"/>
      <c r="CS127" s="20"/>
      <c r="CT127" s="125" t="str">
        <f t="shared" si="129"/>
        <v/>
      </c>
      <c r="CU127" s="14"/>
      <c r="CV127" s="125" t="str">
        <f t="shared" si="130"/>
        <v/>
      </c>
      <c r="CW127" s="20"/>
      <c r="CX127" s="20"/>
      <c r="CY127" s="125" t="str">
        <f t="shared" si="131"/>
        <v/>
      </c>
      <c r="CZ127" s="125" t="str">
        <f t="shared" si="132"/>
        <v/>
      </c>
      <c r="DA127" s="125" t="str">
        <f t="shared" si="133"/>
        <v/>
      </c>
      <c r="DB127" s="129" t="str">
        <f t="shared" si="134"/>
        <v/>
      </c>
      <c r="DC127" s="14"/>
      <c r="DD127" s="62"/>
      <c r="DE127" s="105">
        <v>125</v>
      </c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spans="1:176" s="1" customFormat="1" ht="13" hidden="1" customHeight="1" outlineLevel="1" x14ac:dyDescent="0.2">
      <c r="A128" s="4" t="s">
        <v>168</v>
      </c>
      <c r="B128" s="115" t="str">
        <f>IF(_xlfn.XLOOKUP(A128, AutoFill_names!B:B, AutoFill_names!C:C,"")=0,"",_xlfn.XLOOKUP(A128, AutoFill_names!B:B, AutoFill_names!C:C,""))</f>
        <v>000043638</v>
      </c>
      <c r="C128" s="115" t="str">
        <f>IF(_xlfn.XLOOKUP(A128, AutoFill_names!B:B, AutoFill_names!D:D,"")=0,"",_xlfn.XLOOKUP(A128, AutoFill_names!B:B, AutoFill_names!D:D,""))</f>
        <v>fortind@andrews.edu</v>
      </c>
      <c r="D128" s="115" t="str">
        <f>IF(_xlfn.XLOOKUP(A128, AutoFill_names!B:B, AutoFill_names!E:E,"")=0,"",_xlfn.XLOOKUP(A128, AutoFill_names!B:B, AutoFill_names!E:E,""))</f>
        <v/>
      </c>
      <c r="E128" s="115" t="str">
        <f>IF(_xlfn.XLOOKUP(A128, AutoFill_names!B:B, AutoFill_names!F:F,"")=0,"",_xlfn.XLOOKUP(A128, AutoFill_names!B:B, AutoFill_names!F:F,""))</f>
        <v/>
      </c>
      <c r="F128" s="92"/>
      <c r="J128" s="115" t="str">
        <f>IF(_xlfn.XLOOKUP(A128, AutoFill_names!B:B, AutoFill_names!K:K,"")=0,"",_xlfn.XLOOKUP(A128, AutoFill_names!B:B, AutoFill_names!K:K,""))</f>
        <v>Jeroncic, Ante</v>
      </c>
      <c r="K128" s="115" t="str">
        <f>IF(_xlfn.XLOOKUP(A128, AutoFill_names!B:B, AutoFill_names!L:L,"")=0,"",_xlfn.XLOOKUP(A128, AutoFill_names!B:B, AutoFill_names!L:L,""))</f>
        <v>000066942</v>
      </c>
      <c r="L128" s="2"/>
      <c r="M128" s="2"/>
      <c r="N128" s="117" t="str">
        <f>IF(_xlfn.XLOOKUP(L128, AutoFill_classes!A:A, AutoFill_classes!B:B,"")=0,"",_xlfn.XLOOKUP(L128, AutoFill_classes!A:A, AutoFill_classes!B:B,""))</f>
        <v/>
      </c>
      <c r="O128" s="108"/>
      <c r="P128" s="7"/>
      <c r="Q128" s="7"/>
      <c r="R128" s="7"/>
      <c r="S128" s="2"/>
      <c r="T128" s="2"/>
      <c r="U128" s="2"/>
      <c r="X128" s="63"/>
      <c r="Y128" s="19"/>
      <c r="Z128" s="121" t="str">
        <f t="shared" si="108"/>
        <v/>
      </c>
      <c r="AA128" s="20"/>
      <c r="AB128" s="20"/>
      <c r="AC128" s="20"/>
      <c r="AD128" s="20"/>
      <c r="AE128" s="125" t="str">
        <f t="shared" si="109"/>
        <v/>
      </c>
      <c r="AF128" s="14"/>
      <c r="AG128" s="125" t="str">
        <f t="shared" si="110"/>
        <v/>
      </c>
      <c r="AH128" s="20"/>
      <c r="AI128" s="20"/>
      <c r="AJ128" s="125" t="str">
        <f t="shared" si="111"/>
        <v/>
      </c>
      <c r="AK128" s="14"/>
      <c r="AL128" s="125" t="str">
        <f t="shared" si="112"/>
        <v/>
      </c>
      <c r="AM128" s="20"/>
      <c r="AN128" s="20"/>
      <c r="AO128" s="125" t="str">
        <f t="shared" si="113"/>
        <v/>
      </c>
      <c r="AP128" s="125" t="str">
        <f t="shared" si="114"/>
        <v/>
      </c>
      <c r="AQ128" s="125" t="str">
        <f t="shared" si="115"/>
        <v/>
      </c>
      <c r="AR128" s="129" t="str">
        <f t="shared" si="116"/>
        <v/>
      </c>
      <c r="AS128" s="14"/>
      <c r="AT128" s="32" t="s">
        <v>1581</v>
      </c>
      <c r="AU128" s="32" t="s">
        <v>271</v>
      </c>
      <c r="AV128" s="117" t="str">
        <f>IF(_xlfn.XLOOKUP(AT128, AutoFill_classes!$A:$A, AutoFill_classes!$B:$B,"")=0,"",_xlfn.XLOOKUP(AT128, AutoFill_classes!$A:$A, AutoFill_classes!$B:$B,""))</f>
        <v>Top:</v>
      </c>
      <c r="AW128" s="108"/>
      <c r="AX128" s="13" t="s">
        <v>53</v>
      </c>
      <c r="AY128" s="13" t="s">
        <v>54</v>
      </c>
      <c r="AZ128" s="13" t="s">
        <v>167</v>
      </c>
      <c r="BA128" s="13" t="s">
        <v>59</v>
      </c>
      <c r="BB128" s="13" t="s">
        <v>56</v>
      </c>
      <c r="BC128" s="63">
        <v>0</v>
      </c>
      <c r="BD128" s="18"/>
      <c r="BE128" s="121" t="str">
        <f t="shared" si="117"/>
        <v/>
      </c>
      <c r="BF128" s="20"/>
      <c r="BG128" s="20"/>
      <c r="BH128" s="20"/>
      <c r="BI128" s="20"/>
      <c r="BJ128" s="125" t="str">
        <f t="shared" si="118"/>
        <v/>
      </c>
      <c r="BK128" s="14"/>
      <c r="BL128" s="125" t="str">
        <f t="shared" si="119"/>
        <v/>
      </c>
      <c r="BM128" s="20"/>
      <c r="BN128" s="20"/>
      <c r="BO128" s="125" t="str">
        <f t="shared" si="120"/>
        <v/>
      </c>
      <c r="BP128" s="14"/>
      <c r="BQ128" s="125" t="str">
        <f t="shared" si="121"/>
        <v/>
      </c>
      <c r="BR128" s="20"/>
      <c r="BS128" s="20"/>
      <c r="BT128" s="125" t="str">
        <f t="shared" si="122"/>
        <v/>
      </c>
      <c r="BU128" s="125" t="str">
        <f t="shared" si="123"/>
        <v/>
      </c>
      <c r="BV128" s="125" t="str">
        <f t="shared" si="124"/>
        <v/>
      </c>
      <c r="BW128" s="129" t="str">
        <f t="shared" si="125"/>
        <v/>
      </c>
      <c r="BX128" s="13"/>
      <c r="BY128" s="15"/>
      <c r="BZ128" s="14"/>
      <c r="CA128" s="117" t="str">
        <f>IF(_xlfn.XLOOKUP(BY128, AutoFill_classes!$A:$A, AutoFill_classes!$B:$B,"")=0,"",_xlfn.XLOOKUP(BY128, AutoFill_classes!$A:$A, AutoFill_classes!$B:$B,""))</f>
        <v/>
      </c>
      <c r="CB128" s="108"/>
      <c r="CC128" s="14"/>
      <c r="CD128" s="14"/>
      <c r="CE128" s="14"/>
      <c r="CF128" s="21"/>
      <c r="CG128" s="22"/>
      <c r="CH128" s="63"/>
      <c r="CI128" s="23"/>
      <c r="CJ128" s="121" t="str">
        <f t="shared" si="126"/>
        <v/>
      </c>
      <c r="CK128" s="20"/>
      <c r="CL128" s="20"/>
      <c r="CM128" s="20"/>
      <c r="CN128" s="20"/>
      <c r="CO128" s="125" t="str">
        <f t="shared" si="127"/>
        <v/>
      </c>
      <c r="CP128" s="14"/>
      <c r="CQ128" s="125" t="str">
        <f t="shared" si="128"/>
        <v/>
      </c>
      <c r="CR128" s="20"/>
      <c r="CS128" s="20"/>
      <c r="CT128" s="125" t="str">
        <f t="shared" si="129"/>
        <v/>
      </c>
      <c r="CU128" s="14"/>
      <c r="CV128" s="125" t="str">
        <f t="shared" si="130"/>
        <v/>
      </c>
      <c r="CW128" s="20"/>
      <c r="CX128" s="20"/>
      <c r="CY128" s="125" t="str">
        <f t="shared" si="131"/>
        <v/>
      </c>
      <c r="CZ128" s="125" t="str">
        <f t="shared" si="132"/>
        <v/>
      </c>
      <c r="DA128" s="125" t="str">
        <f t="shared" si="133"/>
        <v/>
      </c>
      <c r="DB128" s="129" t="str">
        <f t="shared" si="134"/>
        <v/>
      </c>
      <c r="DC128" s="14"/>
      <c r="DD128" s="62"/>
      <c r="DE128" s="105">
        <v>126</v>
      </c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spans="1:176" s="1" customFormat="1" ht="13" hidden="1" customHeight="1" outlineLevel="1" x14ac:dyDescent="0.2">
      <c r="A129" s="4"/>
      <c r="B129" s="115" t="str">
        <f>IF(_xlfn.XLOOKUP(A129, AutoFill_names!B:B, AutoFill_names!C:C,"")=0,"",_xlfn.XLOOKUP(A129, AutoFill_names!B:B, AutoFill_names!C:C,""))</f>
        <v/>
      </c>
      <c r="C129" s="115" t="str">
        <f>IF(_xlfn.XLOOKUP(A129, AutoFill_names!B:B, AutoFill_names!D:D,"")=0,"",_xlfn.XLOOKUP(A129, AutoFill_names!B:B, AutoFill_names!D:D,""))</f>
        <v/>
      </c>
      <c r="D129" s="115" t="str">
        <f>IF(_xlfn.XLOOKUP(A129, AutoFill_names!B:B, AutoFill_names!E:E,"")=0,"",_xlfn.XLOOKUP(A129, AutoFill_names!B:B, AutoFill_names!E:E,""))</f>
        <v/>
      </c>
      <c r="E129" s="115" t="str">
        <f>IF(_xlfn.XLOOKUP(A129, AutoFill_names!B:B, AutoFill_names!F:F,"")=0,"",_xlfn.XLOOKUP(A129, AutoFill_names!B:B, AutoFill_names!F:F,""))</f>
        <v/>
      </c>
      <c r="F129" s="92"/>
      <c r="J129" s="115" t="str">
        <f>IF(_xlfn.XLOOKUP(A129, AutoFill_names!B:B, AutoFill_names!K:K,"")=0,"",_xlfn.XLOOKUP(A129, AutoFill_names!B:B, AutoFill_names!K:K,""))</f>
        <v/>
      </c>
      <c r="K129" s="115" t="str">
        <f>IF(_xlfn.XLOOKUP(A129, AutoFill_names!B:B, AutoFill_names!L:L,"")=0,"",_xlfn.XLOOKUP(A129, AutoFill_names!B:B, AutoFill_names!L:L,""))</f>
        <v/>
      </c>
      <c r="L129" s="2"/>
      <c r="M129" s="2"/>
      <c r="N129" s="117" t="str">
        <f>IF(_xlfn.XLOOKUP(L129, AutoFill_classes!A:A, AutoFill_classes!B:B,"")=0,"",_xlfn.XLOOKUP(L129, AutoFill_classes!A:A, AutoFill_classes!B:B,""))</f>
        <v/>
      </c>
      <c r="O129" s="108"/>
      <c r="P129" s="7"/>
      <c r="Q129" s="7"/>
      <c r="R129" s="7"/>
      <c r="S129" s="2"/>
      <c r="T129" s="2"/>
      <c r="U129" s="2"/>
      <c r="X129" s="63"/>
      <c r="Y129" s="19"/>
      <c r="Z129" s="121" t="str">
        <f t="shared" si="108"/>
        <v/>
      </c>
      <c r="AA129" s="20"/>
      <c r="AB129" s="20"/>
      <c r="AC129" s="20"/>
      <c r="AD129" s="20"/>
      <c r="AE129" s="125" t="str">
        <f t="shared" si="109"/>
        <v/>
      </c>
      <c r="AF129" s="14"/>
      <c r="AG129" s="125" t="str">
        <f t="shared" si="110"/>
        <v/>
      </c>
      <c r="AH129" s="20"/>
      <c r="AI129" s="20"/>
      <c r="AJ129" s="125" t="str">
        <f t="shared" si="111"/>
        <v/>
      </c>
      <c r="AK129" s="14"/>
      <c r="AL129" s="125" t="str">
        <f t="shared" si="112"/>
        <v/>
      </c>
      <c r="AM129" s="20"/>
      <c r="AN129" s="20"/>
      <c r="AO129" s="125" t="str">
        <f t="shared" si="113"/>
        <v/>
      </c>
      <c r="AP129" s="125" t="str">
        <f t="shared" si="114"/>
        <v/>
      </c>
      <c r="AQ129" s="125" t="str">
        <f t="shared" si="115"/>
        <v/>
      </c>
      <c r="AR129" s="129" t="str">
        <f t="shared" si="116"/>
        <v/>
      </c>
      <c r="AS129" s="14"/>
      <c r="AT129" s="32"/>
      <c r="AU129" s="32"/>
      <c r="AV129" s="117" t="str">
        <f>IF(_xlfn.XLOOKUP(AT129, AutoFill_classes!$A:$A, AutoFill_classes!$B:$B,"")=0,"",_xlfn.XLOOKUP(AT129, AutoFill_classes!$A:$A, AutoFill_classes!$B:$B,""))</f>
        <v/>
      </c>
      <c r="AW129" s="108"/>
      <c r="AX129" s="13"/>
      <c r="AY129" s="13"/>
      <c r="AZ129" s="13"/>
      <c r="BA129" s="13"/>
      <c r="BB129" s="13"/>
      <c r="BC129" s="63"/>
      <c r="BD129" s="18"/>
      <c r="BE129" s="121" t="str">
        <f t="shared" si="117"/>
        <v/>
      </c>
      <c r="BF129" s="20"/>
      <c r="BG129" s="20"/>
      <c r="BH129" s="20"/>
      <c r="BI129" s="20"/>
      <c r="BJ129" s="125" t="str">
        <f t="shared" si="118"/>
        <v/>
      </c>
      <c r="BK129" s="14"/>
      <c r="BL129" s="125" t="str">
        <f t="shared" si="119"/>
        <v/>
      </c>
      <c r="BM129" s="20"/>
      <c r="BN129" s="20"/>
      <c r="BO129" s="125" t="str">
        <f t="shared" si="120"/>
        <v/>
      </c>
      <c r="BP129" s="14"/>
      <c r="BQ129" s="125" t="str">
        <f t="shared" si="121"/>
        <v/>
      </c>
      <c r="BR129" s="20"/>
      <c r="BS129" s="20"/>
      <c r="BT129" s="125" t="str">
        <f t="shared" si="122"/>
        <v/>
      </c>
      <c r="BU129" s="125" t="str">
        <f t="shared" si="123"/>
        <v/>
      </c>
      <c r="BV129" s="125" t="str">
        <f t="shared" si="124"/>
        <v/>
      </c>
      <c r="BW129" s="129" t="str">
        <f t="shared" si="125"/>
        <v/>
      </c>
      <c r="BX129" s="13"/>
      <c r="BY129" s="15"/>
      <c r="BZ129" s="14"/>
      <c r="CA129" s="117" t="str">
        <f>IF(_xlfn.XLOOKUP(BY129, AutoFill_classes!$A:$A, AutoFill_classes!$B:$B,"")=0,"",_xlfn.XLOOKUP(BY129, AutoFill_classes!$A:$A, AutoFill_classes!$B:$B,""))</f>
        <v/>
      </c>
      <c r="CB129" s="108"/>
      <c r="CC129" s="14"/>
      <c r="CD129" s="14"/>
      <c r="CE129" s="14"/>
      <c r="CF129" s="21"/>
      <c r="CG129" s="22"/>
      <c r="CH129" s="63"/>
      <c r="CI129" s="23"/>
      <c r="CJ129" s="121" t="str">
        <f t="shared" si="126"/>
        <v/>
      </c>
      <c r="CK129" s="20"/>
      <c r="CL129" s="20"/>
      <c r="CM129" s="20"/>
      <c r="CN129" s="20"/>
      <c r="CO129" s="125" t="str">
        <f t="shared" si="127"/>
        <v/>
      </c>
      <c r="CP129" s="14"/>
      <c r="CQ129" s="125" t="str">
        <f t="shared" si="128"/>
        <v/>
      </c>
      <c r="CR129" s="20"/>
      <c r="CS129" s="20"/>
      <c r="CT129" s="125" t="str">
        <f t="shared" si="129"/>
        <v/>
      </c>
      <c r="CU129" s="14"/>
      <c r="CV129" s="125" t="str">
        <f t="shared" si="130"/>
        <v/>
      </c>
      <c r="CW129" s="20"/>
      <c r="CX129" s="20"/>
      <c r="CY129" s="125" t="str">
        <f t="shared" si="131"/>
        <v/>
      </c>
      <c r="CZ129" s="125" t="str">
        <f t="shared" si="132"/>
        <v/>
      </c>
      <c r="DA129" s="125" t="str">
        <f t="shared" si="133"/>
        <v/>
      </c>
      <c r="DB129" s="129" t="str">
        <f t="shared" si="134"/>
        <v/>
      </c>
      <c r="DC129" s="14"/>
      <c r="DD129" s="62"/>
      <c r="DE129" s="105">
        <v>127</v>
      </c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spans="1:176" s="1" customFormat="1" ht="13" hidden="1" customHeight="1" outlineLevel="1" x14ac:dyDescent="0.2">
      <c r="A130" s="4"/>
      <c r="B130" s="115" t="str">
        <f>IF(_xlfn.XLOOKUP(A130, AutoFill_names!B:B, AutoFill_names!C:C,"")=0,"",_xlfn.XLOOKUP(A130, AutoFill_names!B:B, AutoFill_names!C:C,""))</f>
        <v/>
      </c>
      <c r="C130" s="115" t="str">
        <f>IF(_xlfn.XLOOKUP(A130, AutoFill_names!B:B, AutoFill_names!D:D,"")=0,"",_xlfn.XLOOKUP(A130, AutoFill_names!B:B, AutoFill_names!D:D,""))</f>
        <v/>
      </c>
      <c r="D130" s="115" t="str">
        <f>IF(_xlfn.XLOOKUP(A130, AutoFill_names!B:B, AutoFill_names!E:E,"")=0,"",_xlfn.XLOOKUP(A130, AutoFill_names!B:B, AutoFill_names!E:E,""))</f>
        <v/>
      </c>
      <c r="E130" s="115" t="str">
        <f>IF(_xlfn.XLOOKUP(A130, AutoFill_names!B:B, AutoFill_names!F:F,"")=0,"",_xlfn.XLOOKUP(A130, AutoFill_names!B:B, AutoFill_names!F:F,""))</f>
        <v/>
      </c>
      <c r="F130" s="92"/>
      <c r="J130" s="115" t="str">
        <f>IF(_xlfn.XLOOKUP(A130, AutoFill_names!B:B, AutoFill_names!K:K,"")=0,"",_xlfn.XLOOKUP(A130, AutoFill_names!B:B, AutoFill_names!K:K,""))</f>
        <v/>
      </c>
      <c r="K130" s="115" t="str">
        <f>IF(_xlfn.XLOOKUP(A130, AutoFill_names!B:B, AutoFill_names!L:L,"")=0,"",_xlfn.XLOOKUP(A130, AutoFill_names!B:B, AutoFill_names!L:L,""))</f>
        <v/>
      </c>
      <c r="L130" s="2"/>
      <c r="M130" s="2"/>
      <c r="N130" s="117" t="str">
        <f>IF(_xlfn.XLOOKUP(L130, AutoFill_classes!A:A, AutoFill_classes!B:B,"")=0,"",_xlfn.XLOOKUP(L130, AutoFill_classes!A:A, AutoFill_classes!B:B,""))</f>
        <v/>
      </c>
      <c r="O130" s="108"/>
      <c r="P130" s="7"/>
      <c r="Q130" s="7"/>
      <c r="R130" s="7"/>
      <c r="S130" s="2"/>
      <c r="T130" s="2"/>
      <c r="U130" s="2"/>
      <c r="X130" s="63"/>
      <c r="Y130" s="19"/>
      <c r="Z130" s="121" t="str">
        <f t="shared" si="108"/>
        <v/>
      </c>
      <c r="AA130" s="20"/>
      <c r="AB130" s="20"/>
      <c r="AC130" s="20"/>
      <c r="AD130" s="20"/>
      <c r="AE130" s="125" t="str">
        <f t="shared" si="109"/>
        <v/>
      </c>
      <c r="AF130" s="14"/>
      <c r="AG130" s="125" t="str">
        <f t="shared" si="110"/>
        <v/>
      </c>
      <c r="AH130" s="20"/>
      <c r="AI130" s="20"/>
      <c r="AJ130" s="125" t="str">
        <f t="shared" si="111"/>
        <v/>
      </c>
      <c r="AK130" s="14"/>
      <c r="AL130" s="125" t="str">
        <f t="shared" si="112"/>
        <v/>
      </c>
      <c r="AM130" s="20"/>
      <c r="AN130" s="20"/>
      <c r="AO130" s="125" t="str">
        <f t="shared" si="113"/>
        <v/>
      </c>
      <c r="AP130" s="125" t="str">
        <f t="shared" si="114"/>
        <v/>
      </c>
      <c r="AQ130" s="125" t="str">
        <f t="shared" si="115"/>
        <v/>
      </c>
      <c r="AR130" s="129" t="str">
        <f t="shared" si="116"/>
        <v/>
      </c>
      <c r="AS130" s="14"/>
      <c r="AT130" s="32"/>
      <c r="AU130" s="32"/>
      <c r="AV130" s="117" t="str">
        <f>IF(_xlfn.XLOOKUP(AT130, AutoFill_classes!$A:$A, AutoFill_classes!$B:$B,"")=0,"",_xlfn.XLOOKUP(AT130, AutoFill_classes!$A:$A, AutoFill_classes!$B:$B,""))</f>
        <v/>
      </c>
      <c r="AW130" s="108"/>
      <c r="AX130" s="13"/>
      <c r="AY130" s="13"/>
      <c r="AZ130" s="13"/>
      <c r="BA130" s="13"/>
      <c r="BB130" s="13"/>
      <c r="BC130" s="63"/>
      <c r="BD130" s="18"/>
      <c r="BE130" s="121" t="str">
        <f t="shared" si="117"/>
        <v/>
      </c>
      <c r="BF130" s="20"/>
      <c r="BG130" s="20"/>
      <c r="BH130" s="20"/>
      <c r="BI130" s="20"/>
      <c r="BJ130" s="125" t="str">
        <f t="shared" si="118"/>
        <v/>
      </c>
      <c r="BK130" s="14"/>
      <c r="BL130" s="125" t="str">
        <f t="shared" si="119"/>
        <v/>
      </c>
      <c r="BM130" s="20"/>
      <c r="BN130" s="20"/>
      <c r="BO130" s="125" t="str">
        <f t="shared" si="120"/>
        <v/>
      </c>
      <c r="BP130" s="14"/>
      <c r="BQ130" s="125" t="str">
        <f t="shared" si="121"/>
        <v/>
      </c>
      <c r="BR130" s="20"/>
      <c r="BS130" s="20"/>
      <c r="BT130" s="125" t="str">
        <f t="shared" si="122"/>
        <v/>
      </c>
      <c r="BU130" s="125" t="str">
        <f t="shared" si="123"/>
        <v/>
      </c>
      <c r="BV130" s="125" t="str">
        <f t="shared" si="124"/>
        <v/>
      </c>
      <c r="BW130" s="129" t="str">
        <f t="shared" si="125"/>
        <v/>
      </c>
      <c r="BX130" s="13"/>
      <c r="BY130" s="15"/>
      <c r="BZ130" s="14"/>
      <c r="CA130" s="117" t="str">
        <f>IF(_xlfn.XLOOKUP(BY130, AutoFill_classes!$A:$A, AutoFill_classes!$B:$B,"")=0,"",_xlfn.XLOOKUP(BY130, AutoFill_classes!$A:$A, AutoFill_classes!$B:$B,""))</f>
        <v/>
      </c>
      <c r="CB130" s="108"/>
      <c r="CC130" s="14"/>
      <c r="CD130" s="14"/>
      <c r="CE130" s="14"/>
      <c r="CF130" s="21"/>
      <c r="CG130" s="22"/>
      <c r="CH130" s="63"/>
      <c r="CI130" s="23"/>
      <c r="CJ130" s="121" t="str">
        <f t="shared" si="126"/>
        <v/>
      </c>
      <c r="CK130" s="20"/>
      <c r="CL130" s="20"/>
      <c r="CM130" s="20"/>
      <c r="CN130" s="20"/>
      <c r="CO130" s="125" t="str">
        <f t="shared" si="127"/>
        <v/>
      </c>
      <c r="CP130" s="14"/>
      <c r="CQ130" s="125" t="str">
        <f t="shared" si="128"/>
        <v/>
      </c>
      <c r="CR130" s="20"/>
      <c r="CS130" s="20"/>
      <c r="CT130" s="125" t="str">
        <f t="shared" si="129"/>
        <v/>
      </c>
      <c r="CU130" s="14"/>
      <c r="CV130" s="125" t="str">
        <f t="shared" si="130"/>
        <v/>
      </c>
      <c r="CW130" s="20"/>
      <c r="CX130" s="20"/>
      <c r="CY130" s="125" t="str">
        <f t="shared" si="131"/>
        <v/>
      </c>
      <c r="CZ130" s="125" t="str">
        <f t="shared" si="132"/>
        <v/>
      </c>
      <c r="DA130" s="125" t="str">
        <f t="shared" si="133"/>
        <v/>
      </c>
      <c r="DB130" s="129" t="str">
        <f t="shared" si="134"/>
        <v/>
      </c>
      <c r="DC130" s="14"/>
      <c r="DD130" s="62"/>
      <c r="DE130" s="105">
        <v>128</v>
      </c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spans="1:176" s="1" customFormat="1" ht="13" hidden="1" customHeight="1" outlineLevel="1" x14ac:dyDescent="0.2">
      <c r="A131" s="4"/>
      <c r="B131" s="115" t="str">
        <f>IF(_xlfn.XLOOKUP(A131, AutoFill_names!B:B, AutoFill_names!C:C,"")=0,"",_xlfn.XLOOKUP(A131, AutoFill_names!B:B, AutoFill_names!C:C,""))</f>
        <v/>
      </c>
      <c r="C131" s="115" t="str">
        <f>IF(_xlfn.XLOOKUP(A131, AutoFill_names!B:B, AutoFill_names!D:D,"")=0,"",_xlfn.XLOOKUP(A131, AutoFill_names!B:B, AutoFill_names!D:D,""))</f>
        <v/>
      </c>
      <c r="D131" s="115" t="str">
        <f>IF(_xlfn.XLOOKUP(A131, AutoFill_names!B:B, AutoFill_names!E:E,"")=0,"",_xlfn.XLOOKUP(A131, AutoFill_names!B:B, AutoFill_names!E:E,""))</f>
        <v/>
      </c>
      <c r="E131" s="115" t="str">
        <f>IF(_xlfn.XLOOKUP(A131, AutoFill_names!B:B, AutoFill_names!F:F,"")=0,"",_xlfn.XLOOKUP(A131, AutoFill_names!B:B, AutoFill_names!F:F,""))</f>
        <v/>
      </c>
      <c r="F131" s="92"/>
      <c r="J131" s="115" t="str">
        <f>IF(_xlfn.XLOOKUP(A131, AutoFill_names!B:B, AutoFill_names!K:K,"")=0,"",_xlfn.XLOOKUP(A131, AutoFill_names!B:B, AutoFill_names!K:K,""))</f>
        <v/>
      </c>
      <c r="K131" s="115" t="str">
        <f>IF(_xlfn.XLOOKUP(A131, AutoFill_names!B:B, AutoFill_names!L:L,"")=0,"",_xlfn.XLOOKUP(A131, AutoFill_names!B:B, AutoFill_names!L:L,""))</f>
        <v/>
      </c>
      <c r="L131" s="2"/>
      <c r="M131" s="2"/>
      <c r="N131" s="117" t="str">
        <f>IF(_xlfn.XLOOKUP(L131, AutoFill_classes!A:A, AutoFill_classes!B:B,"")=0,"",_xlfn.XLOOKUP(L131, AutoFill_classes!A:A, AutoFill_classes!B:B,""))</f>
        <v/>
      </c>
      <c r="O131" s="108"/>
      <c r="P131" s="7"/>
      <c r="Q131" s="7"/>
      <c r="R131" s="7"/>
      <c r="S131" s="2"/>
      <c r="T131" s="2"/>
      <c r="U131" s="2"/>
      <c r="X131" s="63"/>
      <c r="Y131" s="19"/>
      <c r="Z131" s="121" t="str">
        <f t="shared" si="108"/>
        <v/>
      </c>
      <c r="AA131" s="20"/>
      <c r="AB131" s="20"/>
      <c r="AC131" s="20"/>
      <c r="AD131" s="20"/>
      <c r="AE131" s="125" t="str">
        <f t="shared" si="109"/>
        <v/>
      </c>
      <c r="AF131" s="14"/>
      <c r="AG131" s="125" t="str">
        <f t="shared" si="110"/>
        <v/>
      </c>
      <c r="AH131" s="20"/>
      <c r="AI131" s="20"/>
      <c r="AJ131" s="125" t="str">
        <f t="shared" si="111"/>
        <v/>
      </c>
      <c r="AK131" s="14"/>
      <c r="AL131" s="125" t="str">
        <f t="shared" si="112"/>
        <v/>
      </c>
      <c r="AM131" s="20"/>
      <c r="AN131" s="20"/>
      <c r="AO131" s="125" t="str">
        <f t="shared" si="113"/>
        <v/>
      </c>
      <c r="AP131" s="125" t="str">
        <f t="shared" si="114"/>
        <v/>
      </c>
      <c r="AQ131" s="125" t="str">
        <f t="shared" si="115"/>
        <v/>
      </c>
      <c r="AR131" s="129" t="str">
        <f t="shared" si="116"/>
        <v/>
      </c>
      <c r="AS131" s="14"/>
      <c r="AT131" s="32"/>
      <c r="AU131" s="32"/>
      <c r="AV131" s="117" t="str">
        <f>IF(_xlfn.XLOOKUP(AT131, AutoFill_classes!$A:$A, AutoFill_classes!$B:$B,"")=0,"",_xlfn.XLOOKUP(AT131, AutoFill_classes!$A:$A, AutoFill_classes!$B:$B,""))</f>
        <v/>
      </c>
      <c r="AW131" s="108"/>
      <c r="AX131" s="13"/>
      <c r="AY131" s="13"/>
      <c r="AZ131" s="13"/>
      <c r="BA131" s="13"/>
      <c r="BB131" s="13"/>
      <c r="BC131" s="63"/>
      <c r="BD131" s="18"/>
      <c r="BE131" s="121" t="str">
        <f t="shared" si="117"/>
        <v/>
      </c>
      <c r="BF131" s="20"/>
      <c r="BG131" s="20"/>
      <c r="BH131" s="20"/>
      <c r="BI131" s="20"/>
      <c r="BJ131" s="125" t="str">
        <f t="shared" si="118"/>
        <v/>
      </c>
      <c r="BK131" s="14"/>
      <c r="BL131" s="125" t="str">
        <f t="shared" si="119"/>
        <v/>
      </c>
      <c r="BM131" s="20"/>
      <c r="BN131" s="20"/>
      <c r="BO131" s="125" t="str">
        <f t="shared" si="120"/>
        <v/>
      </c>
      <c r="BP131" s="14"/>
      <c r="BQ131" s="125" t="str">
        <f t="shared" si="121"/>
        <v/>
      </c>
      <c r="BR131" s="20"/>
      <c r="BS131" s="20"/>
      <c r="BT131" s="125" t="str">
        <f t="shared" si="122"/>
        <v/>
      </c>
      <c r="BU131" s="125" t="str">
        <f t="shared" si="123"/>
        <v/>
      </c>
      <c r="BV131" s="125" t="str">
        <f t="shared" si="124"/>
        <v/>
      </c>
      <c r="BW131" s="129" t="str">
        <f t="shared" si="125"/>
        <v/>
      </c>
      <c r="BX131" s="13"/>
      <c r="BY131" s="15"/>
      <c r="BZ131" s="14"/>
      <c r="CA131" s="117" t="str">
        <f>IF(_xlfn.XLOOKUP(BY131, AutoFill_classes!$A:$A, AutoFill_classes!$B:$B,"")=0,"",_xlfn.XLOOKUP(BY131, AutoFill_classes!$A:$A, AutoFill_classes!$B:$B,""))</f>
        <v/>
      </c>
      <c r="CB131" s="108"/>
      <c r="CC131" s="14"/>
      <c r="CD131" s="14"/>
      <c r="CE131" s="14"/>
      <c r="CF131" s="21"/>
      <c r="CG131" s="22"/>
      <c r="CH131" s="63"/>
      <c r="CI131" s="23"/>
      <c r="CJ131" s="121" t="str">
        <f t="shared" si="126"/>
        <v/>
      </c>
      <c r="CK131" s="20"/>
      <c r="CL131" s="20"/>
      <c r="CM131" s="20"/>
      <c r="CN131" s="20"/>
      <c r="CO131" s="125" t="str">
        <f t="shared" si="127"/>
        <v/>
      </c>
      <c r="CP131" s="14"/>
      <c r="CQ131" s="125" t="str">
        <f t="shared" si="128"/>
        <v/>
      </c>
      <c r="CR131" s="20"/>
      <c r="CS131" s="20"/>
      <c r="CT131" s="125" t="str">
        <f t="shared" si="129"/>
        <v/>
      </c>
      <c r="CU131" s="14"/>
      <c r="CV131" s="125" t="str">
        <f t="shared" si="130"/>
        <v/>
      </c>
      <c r="CW131" s="20"/>
      <c r="CX131" s="20"/>
      <c r="CY131" s="125" t="str">
        <f t="shared" si="131"/>
        <v/>
      </c>
      <c r="CZ131" s="125" t="str">
        <f t="shared" si="132"/>
        <v/>
      </c>
      <c r="DA131" s="125" t="str">
        <f t="shared" si="133"/>
        <v/>
      </c>
      <c r="DB131" s="129" t="str">
        <f t="shared" si="134"/>
        <v/>
      </c>
      <c r="DC131" s="14"/>
      <c r="DD131" s="62"/>
      <c r="DE131" s="105">
        <v>129</v>
      </c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spans="1:176" s="1" customFormat="1" ht="13" hidden="1" customHeight="1" outlineLevel="1" x14ac:dyDescent="0.2">
      <c r="A132" s="4"/>
      <c r="B132" s="115" t="str">
        <f>IF(_xlfn.XLOOKUP(A132, AutoFill_names!B:B, AutoFill_names!C:C,"")=0,"",_xlfn.XLOOKUP(A132, AutoFill_names!B:B, AutoFill_names!C:C,""))</f>
        <v/>
      </c>
      <c r="C132" s="115" t="str">
        <f>IF(_xlfn.XLOOKUP(A132, AutoFill_names!B:B, AutoFill_names!D:D,"")=0,"",_xlfn.XLOOKUP(A132, AutoFill_names!B:B, AutoFill_names!D:D,""))</f>
        <v/>
      </c>
      <c r="D132" s="115" t="str">
        <f>IF(_xlfn.XLOOKUP(A132, AutoFill_names!B:B, AutoFill_names!E:E,"")=0,"",_xlfn.XLOOKUP(A132, AutoFill_names!B:B, AutoFill_names!E:E,""))</f>
        <v/>
      </c>
      <c r="E132" s="115" t="str">
        <f>IF(_xlfn.XLOOKUP(A132, AutoFill_names!B:B, AutoFill_names!F:F,"")=0,"",_xlfn.XLOOKUP(A132, AutoFill_names!B:B, AutoFill_names!F:F,""))</f>
        <v/>
      </c>
      <c r="F132" s="92"/>
      <c r="J132" s="115" t="str">
        <f>IF(_xlfn.XLOOKUP(A132, AutoFill_names!B:B, AutoFill_names!K:K,"")=0,"",_xlfn.XLOOKUP(A132, AutoFill_names!B:B, AutoFill_names!K:K,""))</f>
        <v/>
      </c>
      <c r="K132" s="115" t="str">
        <f>IF(_xlfn.XLOOKUP(A132, AutoFill_names!B:B, AutoFill_names!L:L,"")=0,"",_xlfn.XLOOKUP(A132, AutoFill_names!B:B, AutoFill_names!L:L,""))</f>
        <v/>
      </c>
      <c r="L132" s="2"/>
      <c r="M132" s="2"/>
      <c r="N132" s="117" t="str">
        <f>IF(_xlfn.XLOOKUP(L132, AutoFill_classes!A:A, AutoFill_classes!B:B,"")=0,"",_xlfn.XLOOKUP(L132, AutoFill_classes!A:A, AutoFill_classes!B:B,""))</f>
        <v/>
      </c>
      <c r="O132" s="108"/>
      <c r="P132" s="7"/>
      <c r="Q132" s="7"/>
      <c r="R132" s="7"/>
      <c r="S132" s="2"/>
      <c r="T132" s="2"/>
      <c r="U132" s="2"/>
      <c r="X132" s="63"/>
      <c r="Y132" s="19"/>
      <c r="Z132" s="121" t="str">
        <f t="shared" si="108"/>
        <v/>
      </c>
      <c r="AA132" s="20"/>
      <c r="AB132" s="20"/>
      <c r="AC132" s="20"/>
      <c r="AD132" s="20"/>
      <c r="AE132" s="125" t="str">
        <f t="shared" si="109"/>
        <v/>
      </c>
      <c r="AF132" s="14"/>
      <c r="AG132" s="125" t="str">
        <f t="shared" si="110"/>
        <v/>
      </c>
      <c r="AH132" s="20"/>
      <c r="AI132" s="20"/>
      <c r="AJ132" s="125" t="str">
        <f t="shared" si="111"/>
        <v/>
      </c>
      <c r="AK132" s="14"/>
      <c r="AL132" s="125" t="str">
        <f t="shared" si="112"/>
        <v/>
      </c>
      <c r="AM132" s="20"/>
      <c r="AN132" s="20"/>
      <c r="AO132" s="125" t="str">
        <f t="shared" si="113"/>
        <v/>
      </c>
      <c r="AP132" s="125" t="str">
        <f t="shared" si="114"/>
        <v/>
      </c>
      <c r="AQ132" s="125" t="str">
        <f t="shared" si="115"/>
        <v/>
      </c>
      <c r="AR132" s="129" t="str">
        <f t="shared" si="116"/>
        <v/>
      </c>
      <c r="AS132" s="14"/>
      <c r="AT132" s="32"/>
      <c r="AU132" s="32"/>
      <c r="AV132" s="117" t="str">
        <f>IF(_xlfn.XLOOKUP(AT132, AutoFill_classes!$A:$A, AutoFill_classes!$B:$B,"")=0,"",_xlfn.XLOOKUP(AT132, AutoFill_classes!$A:$A, AutoFill_classes!$B:$B,""))</f>
        <v/>
      </c>
      <c r="AW132" s="108"/>
      <c r="AX132" s="13"/>
      <c r="AY132" s="13"/>
      <c r="AZ132" s="13"/>
      <c r="BA132" s="13"/>
      <c r="BB132" s="13"/>
      <c r="BC132" s="63"/>
      <c r="BD132" s="18"/>
      <c r="BE132" s="121" t="str">
        <f t="shared" si="117"/>
        <v/>
      </c>
      <c r="BF132" s="20"/>
      <c r="BG132" s="20"/>
      <c r="BH132" s="20"/>
      <c r="BI132" s="20"/>
      <c r="BJ132" s="125" t="str">
        <f t="shared" si="118"/>
        <v/>
      </c>
      <c r="BK132" s="14"/>
      <c r="BL132" s="125" t="str">
        <f t="shared" si="119"/>
        <v/>
      </c>
      <c r="BM132" s="20"/>
      <c r="BN132" s="20"/>
      <c r="BO132" s="125" t="str">
        <f t="shared" si="120"/>
        <v/>
      </c>
      <c r="BP132" s="14"/>
      <c r="BQ132" s="125" t="str">
        <f t="shared" si="121"/>
        <v/>
      </c>
      <c r="BR132" s="20"/>
      <c r="BS132" s="20"/>
      <c r="BT132" s="125" t="str">
        <f t="shared" si="122"/>
        <v/>
      </c>
      <c r="BU132" s="125" t="str">
        <f t="shared" si="123"/>
        <v/>
      </c>
      <c r="BV132" s="125" t="str">
        <f t="shared" si="124"/>
        <v/>
      </c>
      <c r="BW132" s="129" t="str">
        <f t="shared" si="125"/>
        <v/>
      </c>
      <c r="BX132" s="13"/>
      <c r="BY132" s="15"/>
      <c r="BZ132" s="14"/>
      <c r="CA132" s="117" t="str">
        <f>IF(_xlfn.XLOOKUP(BY132, AutoFill_classes!$A:$A, AutoFill_classes!$B:$B,"")=0,"",_xlfn.XLOOKUP(BY132, AutoFill_classes!$A:$A, AutoFill_classes!$B:$B,""))</f>
        <v/>
      </c>
      <c r="CB132" s="108"/>
      <c r="CC132" s="14"/>
      <c r="CD132" s="14"/>
      <c r="CE132" s="14"/>
      <c r="CF132" s="21"/>
      <c r="CG132" s="22"/>
      <c r="CH132" s="63"/>
      <c r="CI132" s="23"/>
      <c r="CJ132" s="121" t="str">
        <f t="shared" si="126"/>
        <v/>
      </c>
      <c r="CK132" s="20"/>
      <c r="CL132" s="20"/>
      <c r="CM132" s="20"/>
      <c r="CN132" s="20"/>
      <c r="CO132" s="125" t="str">
        <f t="shared" si="127"/>
        <v/>
      </c>
      <c r="CP132" s="14"/>
      <c r="CQ132" s="125" t="str">
        <f t="shared" si="128"/>
        <v/>
      </c>
      <c r="CR132" s="20"/>
      <c r="CS132" s="20"/>
      <c r="CT132" s="125" t="str">
        <f t="shared" si="129"/>
        <v/>
      </c>
      <c r="CU132" s="14"/>
      <c r="CV132" s="125" t="str">
        <f t="shared" si="130"/>
        <v/>
      </c>
      <c r="CW132" s="20"/>
      <c r="CX132" s="20"/>
      <c r="CY132" s="125" t="str">
        <f t="shared" si="131"/>
        <v/>
      </c>
      <c r="CZ132" s="125" t="str">
        <f t="shared" si="132"/>
        <v/>
      </c>
      <c r="DA132" s="125" t="str">
        <f t="shared" si="133"/>
        <v/>
      </c>
      <c r="DB132" s="129" t="str">
        <f t="shared" si="134"/>
        <v/>
      </c>
      <c r="DC132" s="14"/>
      <c r="DD132" s="62"/>
      <c r="DE132" s="105">
        <v>130</v>
      </c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spans="1:176" s="1" customFormat="1" ht="13" hidden="1" customHeight="1" outlineLevel="1" x14ac:dyDescent="0.2">
      <c r="A133" s="4"/>
      <c r="B133" s="115" t="str">
        <f>IF(_xlfn.XLOOKUP(A133, AutoFill_names!B:B, AutoFill_names!C:C,"")=0,"",_xlfn.XLOOKUP(A133, AutoFill_names!B:B, AutoFill_names!C:C,""))</f>
        <v/>
      </c>
      <c r="C133" s="115" t="str">
        <f>IF(_xlfn.XLOOKUP(A133, AutoFill_names!B:B, AutoFill_names!D:D,"")=0,"",_xlfn.XLOOKUP(A133, AutoFill_names!B:B, AutoFill_names!D:D,""))</f>
        <v/>
      </c>
      <c r="D133" s="115" t="str">
        <f>IF(_xlfn.XLOOKUP(A133, AutoFill_names!B:B, AutoFill_names!E:E,"")=0,"",_xlfn.XLOOKUP(A133, AutoFill_names!B:B, AutoFill_names!E:E,""))</f>
        <v/>
      </c>
      <c r="E133" s="115" t="str">
        <f>IF(_xlfn.XLOOKUP(A133, AutoFill_names!B:B, AutoFill_names!F:F,"")=0,"",_xlfn.XLOOKUP(A133, AutoFill_names!B:B, AutoFill_names!F:F,""))</f>
        <v/>
      </c>
      <c r="F133" s="92"/>
      <c r="J133" s="115" t="str">
        <f>IF(_xlfn.XLOOKUP(A133, AutoFill_names!B:B, AutoFill_names!K:K,"")=0,"",_xlfn.XLOOKUP(A133, AutoFill_names!B:B, AutoFill_names!K:K,""))</f>
        <v/>
      </c>
      <c r="K133" s="115" t="str">
        <f>IF(_xlfn.XLOOKUP(A133, AutoFill_names!B:B, AutoFill_names!L:L,"")=0,"",_xlfn.XLOOKUP(A133, AutoFill_names!B:B, AutoFill_names!L:L,""))</f>
        <v/>
      </c>
      <c r="L133" s="2"/>
      <c r="M133" s="2"/>
      <c r="N133" s="117" t="str">
        <f>IF(_xlfn.XLOOKUP(L133, AutoFill_classes!A:A, AutoFill_classes!B:B,"")=0,"",_xlfn.XLOOKUP(L133, AutoFill_classes!A:A, AutoFill_classes!B:B,""))</f>
        <v/>
      </c>
      <c r="O133" s="108"/>
      <c r="P133" s="7"/>
      <c r="Q133" s="7"/>
      <c r="R133" s="7"/>
      <c r="S133" s="2"/>
      <c r="T133" s="2"/>
      <c r="U133" s="2"/>
      <c r="X133" s="63"/>
      <c r="Y133" s="19"/>
      <c r="Z133" s="121" t="str">
        <f t="shared" si="108"/>
        <v/>
      </c>
      <c r="AA133" s="20"/>
      <c r="AB133" s="20"/>
      <c r="AC133" s="20"/>
      <c r="AD133" s="20"/>
      <c r="AE133" s="125" t="str">
        <f t="shared" si="109"/>
        <v/>
      </c>
      <c r="AF133" s="14"/>
      <c r="AG133" s="125" t="str">
        <f t="shared" si="110"/>
        <v/>
      </c>
      <c r="AH133" s="20"/>
      <c r="AI133" s="20"/>
      <c r="AJ133" s="125" t="str">
        <f t="shared" si="111"/>
        <v/>
      </c>
      <c r="AK133" s="14"/>
      <c r="AL133" s="125" t="str">
        <f t="shared" si="112"/>
        <v/>
      </c>
      <c r="AM133" s="20"/>
      <c r="AN133" s="20"/>
      <c r="AO133" s="125" t="str">
        <f t="shared" si="113"/>
        <v/>
      </c>
      <c r="AP133" s="125" t="str">
        <f t="shared" si="114"/>
        <v/>
      </c>
      <c r="AQ133" s="125" t="str">
        <f t="shared" si="115"/>
        <v/>
      </c>
      <c r="AR133" s="129" t="str">
        <f t="shared" si="116"/>
        <v/>
      </c>
      <c r="AS133" s="14"/>
      <c r="AT133" s="32"/>
      <c r="AU133" s="32"/>
      <c r="AV133" s="117" t="str">
        <f>IF(_xlfn.XLOOKUP(AT133, AutoFill_classes!$A:$A, AutoFill_classes!$B:$B,"")=0,"",_xlfn.XLOOKUP(AT133, AutoFill_classes!$A:$A, AutoFill_classes!$B:$B,""))</f>
        <v/>
      </c>
      <c r="AW133" s="108"/>
      <c r="AX133" s="13"/>
      <c r="AY133" s="13"/>
      <c r="AZ133" s="13"/>
      <c r="BA133" s="13"/>
      <c r="BB133" s="13"/>
      <c r="BC133" s="63"/>
      <c r="BD133" s="18"/>
      <c r="BE133" s="121" t="str">
        <f t="shared" si="117"/>
        <v/>
      </c>
      <c r="BF133" s="20"/>
      <c r="BG133" s="20"/>
      <c r="BH133" s="20"/>
      <c r="BI133" s="20"/>
      <c r="BJ133" s="125" t="str">
        <f t="shared" si="118"/>
        <v/>
      </c>
      <c r="BK133" s="14"/>
      <c r="BL133" s="125" t="str">
        <f t="shared" si="119"/>
        <v/>
      </c>
      <c r="BM133" s="20"/>
      <c r="BN133" s="20"/>
      <c r="BO133" s="125" t="str">
        <f t="shared" si="120"/>
        <v/>
      </c>
      <c r="BP133" s="14"/>
      <c r="BQ133" s="125" t="str">
        <f t="shared" si="121"/>
        <v/>
      </c>
      <c r="BR133" s="20"/>
      <c r="BS133" s="20"/>
      <c r="BT133" s="125" t="str">
        <f t="shared" si="122"/>
        <v/>
      </c>
      <c r="BU133" s="125" t="str">
        <f t="shared" si="123"/>
        <v/>
      </c>
      <c r="BV133" s="125" t="str">
        <f t="shared" si="124"/>
        <v/>
      </c>
      <c r="BW133" s="129" t="str">
        <f t="shared" si="125"/>
        <v/>
      </c>
      <c r="BX133" s="13"/>
      <c r="BY133" s="15"/>
      <c r="BZ133" s="14"/>
      <c r="CA133" s="117" t="str">
        <f>IF(_xlfn.XLOOKUP(BY133, AutoFill_classes!$A:$A, AutoFill_classes!$B:$B,"")=0,"",_xlfn.XLOOKUP(BY133, AutoFill_classes!$A:$A, AutoFill_classes!$B:$B,""))</f>
        <v/>
      </c>
      <c r="CB133" s="108"/>
      <c r="CC133" s="14"/>
      <c r="CD133" s="14"/>
      <c r="CE133" s="14"/>
      <c r="CF133" s="21"/>
      <c r="CG133" s="22"/>
      <c r="CH133" s="63"/>
      <c r="CI133" s="23"/>
      <c r="CJ133" s="121" t="str">
        <f t="shared" si="126"/>
        <v/>
      </c>
      <c r="CK133" s="20"/>
      <c r="CL133" s="20"/>
      <c r="CM133" s="20"/>
      <c r="CN133" s="20"/>
      <c r="CO133" s="125" t="str">
        <f t="shared" si="127"/>
        <v/>
      </c>
      <c r="CP133" s="14"/>
      <c r="CQ133" s="125" t="str">
        <f t="shared" si="128"/>
        <v/>
      </c>
      <c r="CR133" s="20"/>
      <c r="CS133" s="20"/>
      <c r="CT133" s="125" t="str">
        <f t="shared" si="129"/>
        <v/>
      </c>
      <c r="CU133" s="14"/>
      <c r="CV133" s="125" t="str">
        <f t="shared" si="130"/>
        <v/>
      </c>
      <c r="CW133" s="20"/>
      <c r="CX133" s="20"/>
      <c r="CY133" s="125" t="str">
        <f t="shared" si="131"/>
        <v/>
      </c>
      <c r="CZ133" s="125" t="str">
        <f t="shared" si="132"/>
        <v/>
      </c>
      <c r="DA133" s="125" t="str">
        <f t="shared" si="133"/>
        <v/>
      </c>
      <c r="DB133" s="129" t="str">
        <f t="shared" si="134"/>
        <v/>
      </c>
      <c r="DC133" s="14"/>
      <c r="DD133" s="62"/>
      <c r="DE133" s="105">
        <v>131</v>
      </c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spans="1:176" s="1" customFormat="1" ht="13" hidden="1" customHeight="1" outlineLevel="1" x14ac:dyDescent="0.2">
      <c r="A134" s="4"/>
      <c r="B134" s="115" t="str">
        <f>IF(_xlfn.XLOOKUP(A134, AutoFill_names!B:B, AutoFill_names!C:C,"")=0,"",_xlfn.XLOOKUP(A134, AutoFill_names!B:B, AutoFill_names!C:C,""))</f>
        <v/>
      </c>
      <c r="C134" s="115" t="str">
        <f>IF(_xlfn.XLOOKUP(A134, AutoFill_names!B:B, AutoFill_names!D:D,"")=0,"",_xlfn.XLOOKUP(A134, AutoFill_names!B:B, AutoFill_names!D:D,""))</f>
        <v/>
      </c>
      <c r="D134" s="115" t="str">
        <f>IF(_xlfn.XLOOKUP(A134, AutoFill_names!B:B, AutoFill_names!E:E,"")=0,"",_xlfn.XLOOKUP(A134, AutoFill_names!B:B, AutoFill_names!E:E,""))</f>
        <v/>
      </c>
      <c r="E134" s="115" t="str">
        <f>IF(_xlfn.XLOOKUP(A134, AutoFill_names!B:B, AutoFill_names!F:F,"")=0,"",_xlfn.XLOOKUP(A134, AutoFill_names!B:B, AutoFill_names!F:F,""))</f>
        <v/>
      </c>
      <c r="F134" s="92"/>
      <c r="J134" s="115" t="str">
        <f>IF(_xlfn.XLOOKUP(A134, AutoFill_names!B:B, AutoFill_names!K:K,"")=0,"",_xlfn.XLOOKUP(A134, AutoFill_names!B:B, AutoFill_names!K:K,""))</f>
        <v/>
      </c>
      <c r="K134" s="115" t="str">
        <f>IF(_xlfn.XLOOKUP(A134, AutoFill_names!B:B, AutoFill_names!L:L,"")=0,"",_xlfn.XLOOKUP(A134, AutoFill_names!B:B, AutoFill_names!L:L,""))</f>
        <v/>
      </c>
      <c r="L134" s="2"/>
      <c r="M134" s="2"/>
      <c r="N134" s="117" t="str">
        <f>IF(_xlfn.XLOOKUP(L134, AutoFill_classes!A:A, AutoFill_classes!B:B,"")=0,"",_xlfn.XLOOKUP(L134, AutoFill_classes!A:A, AutoFill_classes!B:B,""))</f>
        <v/>
      </c>
      <c r="O134" s="108"/>
      <c r="P134" s="7"/>
      <c r="Q134" s="7"/>
      <c r="R134" s="7"/>
      <c r="S134" s="2"/>
      <c r="T134" s="2"/>
      <c r="U134" s="2"/>
      <c r="X134" s="63"/>
      <c r="Y134" s="19"/>
      <c r="Z134" s="121" t="str">
        <f t="shared" si="108"/>
        <v/>
      </c>
      <c r="AA134" s="20"/>
      <c r="AB134" s="20"/>
      <c r="AC134" s="20"/>
      <c r="AD134" s="20"/>
      <c r="AE134" s="125" t="str">
        <f t="shared" si="109"/>
        <v/>
      </c>
      <c r="AF134" s="14"/>
      <c r="AG134" s="125" t="str">
        <f t="shared" si="110"/>
        <v/>
      </c>
      <c r="AH134" s="20"/>
      <c r="AI134" s="20"/>
      <c r="AJ134" s="125" t="str">
        <f t="shared" si="111"/>
        <v/>
      </c>
      <c r="AK134" s="14"/>
      <c r="AL134" s="125" t="str">
        <f t="shared" si="112"/>
        <v/>
      </c>
      <c r="AM134" s="20"/>
      <c r="AN134" s="20"/>
      <c r="AO134" s="125" t="str">
        <f t="shared" si="113"/>
        <v/>
      </c>
      <c r="AP134" s="125" t="str">
        <f t="shared" si="114"/>
        <v/>
      </c>
      <c r="AQ134" s="125" t="str">
        <f t="shared" si="115"/>
        <v/>
      </c>
      <c r="AR134" s="129" t="str">
        <f t="shared" si="116"/>
        <v/>
      </c>
      <c r="AS134" s="14"/>
      <c r="AT134" s="32"/>
      <c r="AU134" s="32"/>
      <c r="AV134" s="117" t="str">
        <f>IF(_xlfn.XLOOKUP(AT134, AutoFill_classes!$A:$A, AutoFill_classes!$B:$B,"")=0,"",_xlfn.XLOOKUP(AT134, AutoFill_classes!$A:$A, AutoFill_classes!$B:$B,""))</f>
        <v/>
      </c>
      <c r="AW134" s="108"/>
      <c r="AX134" s="13"/>
      <c r="AY134" s="13"/>
      <c r="AZ134" s="13"/>
      <c r="BA134" s="13"/>
      <c r="BB134" s="13"/>
      <c r="BC134" s="63"/>
      <c r="BD134" s="18"/>
      <c r="BE134" s="121" t="str">
        <f t="shared" si="117"/>
        <v/>
      </c>
      <c r="BF134" s="20"/>
      <c r="BG134" s="20"/>
      <c r="BH134" s="20"/>
      <c r="BI134" s="20"/>
      <c r="BJ134" s="125" t="str">
        <f t="shared" si="118"/>
        <v/>
      </c>
      <c r="BK134" s="14"/>
      <c r="BL134" s="125" t="str">
        <f t="shared" si="119"/>
        <v/>
      </c>
      <c r="BM134" s="20"/>
      <c r="BN134" s="20"/>
      <c r="BO134" s="125" t="str">
        <f t="shared" si="120"/>
        <v/>
      </c>
      <c r="BP134" s="14"/>
      <c r="BQ134" s="125" t="str">
        <f t="shared" si="121"/>
        <v/>
      </c>
      <c r="BR134" s="20"/>
      <c r="BS134" s="20"/>
      <c r="BT134" s="125" t="str">
        <f t="shared" si="122"/>
        <v/>
      </c>
      <c r="BU134" s="125" t="str">
        <f t="shared" si="123"/>
        <v/>
      </c>
      <c r="BV134" s="125" t="str">
        <f t="shared" si="124"/>
        <v/>
      </c>
      <c r="BW134" s="129" t="str">
        <f t="shared" si="125"/>
        <v/>
      </c>
      <c r="BX134" s="13"/>
      <c r="BY134" s="15"/>
      <c r="BZ134" s="14"/>
      <c r="CA134" s="117" t="str">
        <f>IF(_xlfn.XLOOKUP(BY134, AutoFill_classes!$A:$A, AutoFill_classes!$B:$B,"")=0,"",_xlfn.XLOOKUP(BY134, AutoFill_classes!$A:$A, AutoFill_classes!$B:$B,""))</f>
        <v/>
      </c>
      <c r="CB134" s="108"/>
      <c r="CC134" s="14"/>
      <c r="CD134" s="14"/>
      <c r="CE134" s="14"/>
      <c r="CF134" s="21"/>
      <c r="CG134" s="22"/>
      <c r="CH134" s="63"/>
      <c r="CI134" s="23"/>
      <c r="CJ134" s="121" t="str">
        <f t="shared" si="126"/>
        <v/>
      </c>
      <c r="CK134" s="20"/>
      <c r="CL134" s="20"/>
      <c r="CM134" s="20"/>
      <c r="CN134" s="20"/>
      <c r="CO134" s="125" t="str">
        <f t="shared" si="127"/>
        <v/>
      </c>
      <c r="CP134" s="14"/>
      <c r="CQ134" s="125" t="str">
        <f t="shared" si="128"/>
        <v/>
      </c>
      <c r="CR134" s="20"/>
      <c r="CS134" s="20"/>
      <c r="CT134" s="125" t="str">
        <f t="shared" si="129"/>
        <v/>
      </c>
      <c r="CU134" s="14"/>
      <c r="CV134" s="125" t="str">
        <f t="shared" si="130"/>
        <v/>
      </c>
      <c r="CW134" s="20"/>
      <c r="CX134" s="20"/>
      <c r="CY134" s="125" t="str">
        <f t="shared" si="131"/>
        <v/>
      </c>
      <c r="CZ134" s="125" t="str">
        <f t="shared" si="132"/>
        <v/>
      </c>
      <c r="DA134" s="125" t="str">
        <f t="shared" si="133"/>
        <v/>
      </c>
      <c r="DB134" s="129" t="str">
        <f t="shared" si="134"/>
        <v/>
      </c>
      <c r="DC134" s="14"/>
      <c r="DD134" s="62"/>
      <c r="DE134" s="105">
        <v>132</v>
      </c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spans="1:176" s="1" customFormat="1" ht="13" hidden="1" customHeight="1" outlineLevel="1" x14ac:dyDescent="0.2">
      <c r="A135" s="4"/>
      <c r="B135" s="115" t="str">
        <f>IF(_xlfn.XLOOKUP(A135, AutoFill_names!B:B, AutoFill_names!C:C,"")=0,"",_xlfn.XLOOKUP(A135, AutoFill_names!B:B, AutoFill_names!C:C,""))</f>
        <v/>
      </c>
      <c r="C135" s="115" t="str">
        <f>IF(_xlfn.XLOOKUP(A135, AutoFill_names!B:B, AutoFill_names!D:D,"")=0,"",_xlfn.XLOOKUP(A135, AutoFill_names!B:B, AutoFill_names!D:D,""))</f>
        <v/>
      </c>
      <c r="D135" s="115" t="str">
        <f>IF(_xlfn.XLOOKUP(A135, AutoFill_names!B:B, AutoFill_names!E:E,"")=0,"",_xlfn.XLOOKUP(A135, AutoFill_names!B:B, AutoFill_names!E:E,""))</f>
        <v/>
      </c>
      <c r="E135" s="115" t="str">
        <f>IF(_xlfn.XLOOKUP(A135, AutoFill_names!B:B, AutoFill_names!F:F,"")=0,"",_xlfn.XLOOKUP(A135, AutoFill_names!B:B, AutoFill_names!F:F,""))</f>
        <v/>
      </c>
      <c r="F135" s="92"/>
      <c r="J135" s="115" t="str">
        <f>IF(_xlfn.XLOOKUP(A135, AutoFill_names!B:B, AutoFill_names!K:K,"")=0,"",_xlfn.XLOOKUP(A135, AutoFill_names!B:B, AutoFill_names!K:K,""))</f>
        <v/>
      </c>
      <c r="K135" s="115" t="str">
        <f>IF(_xlfn.XLOOKUP(A135, AutoFill_names!B:B, AutoFill_names!L:L,"")=0,"",_xlfn.XLOOKUP(A135, AutoFill_names!B:B, AutoFill_names!L:L,""))</f>
        <v/>
      </c>
      <c r="L135" s="2"/>
      <c r="M135" s="2"/>
      <c r="N135" s="117" t="str">
        <f>IF(_xlfn.XLOOKUP(L135, AutoFill_classes!A:A, AutoFill_classes!B:B,"")=0,"",_xlfn.XLOOKUP(L135, AutoFill_classes!A:A, AutoFill_classes!B:B,""))</f>
        <v/>
      </c>
      <c r="O135" s="108"/>
      <c r="P135" s="7"/>
      <c r="Q135" s="7"/>
      <c r="R135" s="7"/>
      <c r="S135" s="2"/>
      <c r="T135" s="2"/>
      <c r="U135" s="2"/>
      <c r="X135" s="63"/>
      <c r="Y135" s="19"/>
      <c r="Z135" s="121" t="str">
        <f t="shared" si="108"/>
        <v/>
      </c>
      <c r="AA135" s="20"/>
      <c r="AB135" s="20"/>
      <c r="AC135" s="20"/>
      <c r="AD135" s="20"/>
      <c r="AE135" s="125" t="str">
        <f t="shared" si="109"/>
        <v/>
      </c>
      <c r="AF135" s="14"/>
      <c r="AG135" s="125" t="str">
        <f t="shared" si="110"/>
        <v/>
      </c>
      <c r="AH135" s="20"/>
      <c r="AI135" s="20"/>
      <c r="AJ135" s="125" t="str">
        <f t="shared" si="111"/>
        <v/>
      </c>
      <c r="AK135" s="14"/>
      <c r="AL135" s="125" t="str">
        <f t="shared" si="112"/>
        <v/>
      </c>
      <c r="AM135" s="20"/>
      <c r="AN135" s="20"/>
      <c r="AO135" s="125" t="str">
        <f t="shared" si="113"/>
        <v/>
      </c>
      <c r="AP135" s="125" t="str">
        <f t="shared" si="114"/>
        <v/>
      </c>
      <c r="AQ135" s="125" t="str">
        <f t="shared" si="115"/>
        <v/>
      </c>
      <c r="AR135" s="129" t="str">
        <f t="shared" si="116"/>
        <v/>
      </c>
      <c r="AS135" s="14"/>
      <c r="AT135" s="32"/>
      <c r="AU135" s="32"/>
      <c r="AV135" s="117" t="str">
        <f>IF(_xlfn.XLOOKUP(AT135, AutoFill_classes!$A:$A, AutoFill_classes!$B:$B,"")=0,"",_xlfn.XLOOKUP(AT135, AutoFill_classes!$A:$A, AutoFill_classes!$B:$B,""))</f>
        <v/>
      </c>
      <c r="AW135" s="108"/>
      <c r="AX135" s="13"/>
      <c r="AY135" s="13"/>
      <c r="AZ135" s="13"/>
      <c r="BA135" s="13"/>
      <c r="BB135" s="13"/>
      <c r="BC135" s="63"/>
      <c r="BD135" s="18"/>
      <c r="BE135" s="121" t="str">
        <f t="shared" si="117"/>
        <v/>
      </c>
      <c r="BF135" s="20"/>
      <c r="BG135" s="20"/>
      <c r="BH135" s="20"/>
      <c r="BI135" s="20"/>
      <c r="BJ135" s="125" t="str">
        <f t="shared" si="118"/>
        <v/>
      </c>
      <c r="BK135" s="14"/>
      <c r="BL135" s="125" t="str">
        <f t="shared" si="119"/>
        <v/>
      </c>
      <c r="BM135" s="20"/>
      <c r="BN135" s="20"/>
      <c r="BO135" s="125" t="str">
        <f t="shared" si="120"/>
        <v/>
      </c>
      <c r="BP135" s="14"/>
      <c r="BQ135" s="125" t="str">
        <f t="shared" si="121"/>
        <v/>
      </c>
      <c r="BR135" s="20"/>
      <c r="BS135" s="20"/>
      <c r="BT135" s="125" t="str">
        <f t="shared" si="122"/>
        <v/>
      </c>
      <c r="BU135" s="125" t="str">
        <f t="shared" si="123"/>
        <v/>
      </c>
      <c r="BV135" s="125" t="str">
        <f t="shared" si="124"/>
        <v/>
      </c>
      <c r="BW135" s="129" t="str">
        <f t="shared" si="125"/>
        <v/>
      </c>
      <c r="BX135" s="13"/>
      <c r="BY135" s="15"/>
      <c r="BZ135" s="14"/>
      <c r="CA135" s="117" t="str">
        <f>IF(_xlfn.XLOOKUP(BY135, AutoFill_classes!$A:$A, AutoFill_classes!$B:$B,"")=0,"",_xlfn.XLOOKUP(BY135, AutoFill_classes!$A:$A, AutoFill_classes!$B:$B,""))</f>
        <v/>
      </c>
      <c r="CB135" s="108"/>
      <c r="CC135" s="14"/>
      <c r="CD135" s="14"/>
      <c r="CE135" s="14"/>
      <c r="CF135" s="21"/>
      <c r="CG135" s="22"/>
      <c r="CH135" s="63"/>
      <c r="CI135" s="23"/>
      <c r="CJ135" s="121" t="str">
        <f t="shared" si="126"/>
        <v/>
      </c>
      <c r="CK135" s="20"/>
      <c r="CL135" s="20"/>
      <c r="CM135" s="20"/>
      <c r="CN135" s="20"/>
      <c r="CO135" s="125" t="str">
        <f t="shared" si="127"/>
        <v/>
      </c>
      <c r="CP135" s="14"/>
      <c r="CQ135" s="125" t="str">
        <f t="shared" si="128"/>
        <v/>
      </c>
      <c r="CR135" s="20"/>
      <c r="CS135" s="20"/>
      <c r="CT135" s="125" t="str">
        <f t="shared" si="129"/>
        <v/>
      </c>
      <c r="CU135" s="14"/>
      <c r="CV135" s="125" t="str">
        <f t="shared" si="130"/>
        <v/>
      </c>
      <c r="CW135" s="20"/>
      <c r="CX135" s="20"/>
      <c r="CY135" s="125" t="str">
        <f t="shared" si="131"/>
        <v/>
      </c>
      <c r="CZ135" s="125" t="str">
        <f t="shared" si="132"/>
        <v/>
      </c>
      <c r="DA135" s="125" t="str">
        <f t="shared" si="133"/>
        <v/>
      </c>
      <c r="DB135" s="129" t="str">
        <f t="shared" si="134"/>
        <v/>
      </c>
      <c r="DC135" s="14"/>
      <c r="DD135" s="62"/>
      <c r="DE135" s="105">
        <v>133</v>
      </c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spans="1:176" s="1" customFormat="1" ht="13" hidden="1" customHeight="1" outlineLevel="1" x14ac:dyDescent="0.2">
      <c r="A136" s="4"/>
      <c r="B136" s="115" t="str">
        <f>IF(_xlfn.XLOOKUP(A136, AutoFill_names!B:B, AutoFill_names!C:C,"")=0,"",_xlfn.XLOOKUP(A136, AutoFill_names!B:B, AutoFill_names!C:C,""))</f>
        <v/>
      </c>
      <c r="C136" s="115" t="str">
        <f>IF(_xlfn.XLOOKUP(A136, AutoFill_names!B:B, AutoFill_names!D:D,"")=0,"",_xlfn.XLOOKUP(A136, AutoFill_names!B:B, AutoFill_names!D:D,""))</f>
        <v/>
      </c>
      <c r="D136" s="115" t="str">
        <f>IF(_xlfn.XLOOKUP(A136, AutoFill_names!B:B, AutoFill_names!E:E,"")=0,"",_xlfn.XLOOKUP(A136, AutoFill_names!B:B, AutoFill_names!E:E,""))</f>
        <v/>
      </c>
      <c r="E136" s="115" t="str">
        <f>IF(_xlfn.XLOOKUP(A136, AutoFill_names!B:B, AutoFill_names!F:F,"")=0,"",_xlfn.XLOOKUP(A136, AutoFill_names!B:B, AutoFill_names!F:F,""))</f>
        <v/>
      </c>
      <c r="F136" s="92"/>
      <c r="J136" s="115" t="str">
        <f>IF(_xlfn.XLOOKUP(A136, AutoFill_names!B:B, AutoFill_names!K:K,"")=0,"",_xlfn.XLOOKUP(A136, AutoFill_names!B:B, AutoFill_names!K:K,""))</f>
        <v/>
      </c>
      <c r="K136" s="115" t="str">
        <f>IF(_xlfn.XLOOKUP(A136, AutoFill_names!B:B, AutoFill_names!L:L,"")=0,"",_xlfn.XLOOKUP(A136, AutoFill_names!B:B, AutoFill_names!L:L,""))</f>
        <v/>
      </c>
      <c r="L136" s="2"/>
      <c r="M136" s="2"/>
      <c r="N136" s="117" t="str">
        <f>IF(_xlfn.XLOOKUP(L136, AutoFill_classes!A:A, AutoFill_classes!B:B,"")=0,"",_xlfn.XLOOKUP(L136, AutoFill_classes!A:A, AutoFill_classes!B:B,""))</f>
        <v/>
      </c>
      <c r="O136" s="108"/>
      <c r="P136" s="7"/>
      <c r="Q136" s="7"/>
      <c r="R136" s="7"/>
      <c r="S136" s="2"/>
      <c r="T136" s="2"/>
      <c r="U136" s="2"/>
      <c r="X136" s="63"/>
      <c r="Y136" s="19"/>
      <c r="Z136" s="121" t="str">
        <f t="shared" si="108"/>
        <v/>
      </c>
      <c r="AA136" s="20"/>
      <c r="AB136" s="20"/>
      <c r="AC136" s="20"/>
      <c r="AD136" s="20"/>
      <c r="AE136" s="125" t="str">
        <f t="shared" si="109"/>
        <v/>
      </c>
      <c r="AF136" s="14"/>
      <c r="AG136" s="125" t="str">
        <f t="shared" si="110"/>
        <v/>
      </c>
      <c r="AH136" s="20"/>
      <c r="AI136" s="20"/>
      <c r="AJ136" s="125" t="str">
        <f t="shared" si="111"/>
        <v/>
      </c>
      <c r="AK136" s="14"/>
      <c r="AL136" s="125" t="str">
        <f t="shared" si="112"/>
        <v/>
      </c>
      <c r="AM136" s="20"/>
      <c r="AN136" s="20"/>
      <c r="AO136" s="125" t="str">
        <f t="shared" si="113"/>
        <v/>
      </c>
      <c r="AP136" s="125" t="str">
        <f t="shared" si="114"/>
        <v/>
      </c>
      <c r="AQ136" s="125" t="str">
        <f t="shared" si="115"/>
        <v/>
      </c>
      <c r="AR136" s="129" t="str">
        <f t="shared" si="116"/>
        <v/>
      </c>
      <c r="AS136" s="14"/>
      <c r="AT136" s="32"/>
      <c r="AU136" s="32"/>
      <c r="AV136" s="117" t="str">
        <f>IF(_xlfn.XLOOKUP(AT136, AutoFill_classes!$A:$A, AutoFill_classes!$B:$B,"")=0,"",_xlfn.XLOOKUP(AT136, AutoFill_classes!$A:$A, AutoFill_classes!$B:$B,""))</f>
        <v/>
      </c>
      <c r="AW136" s="108"/>
      <c r="AX136" s="13"/>
      <c r="AY136" s="13"/>
      <c r="AZ136" s="13"/>
      <c r="BA136" s="13"/>
      <c r="BB136" s="13"/>
      <c r="BC136" s="63"/>
      <c r="BD136" s="18"/>
      <c r="BE136" s="121" t="str">
        <f t="shared" si="117"/>
        <v/>
      </c>
      <c r="BF136" s="20"/>
      <c r="BG136" s="20"/>
      <c r="BH136" s="20"/>
      <c r="BI136" s="20"/>
      <c r="BJ136" s="125" t="str">
        <f t="shared" si="118"/>
        <v/>
      </c>
      <c r="BK136" s="14"/>
      <c r="BL136" s="125" t="str">
        <f t="shared" si="119"/>
        <v/>
      </c>
      <c r="BM136" s="20"/>
      <c r="BN136" s="20"/>
      <c r="BO136" s="125" t="str">
        <f t="shared" si="120"/>
        <v/>
      </c>
      <c r="BP136" s="14"/>
      <c r="BQ136" s="125" t="str">
        <f t="shared" si="121"/>
        <v/>
      </c>
      <c r="BR136" s="20"/>
      <c r="BS136" s="20"/>
      <c r="BT136" s="125" t="str">
        <f t="shared" si="122"/>
        <v/>
      </c>
      <c r="BU136" s="125" t="str">
        <f t="shared" si="123"/>
        <v/>
      </c>
      <c r="BV136" s="125" t="str">
        <f t="shared" si="124"/>
        <v/>
      </c>
      <c r="BW136" s="129" t="str">
        <f t="shared" si="125"/>
        <v/>
      </c>
      <c r="BX136" s="13"/>
      <c r="BY136" s="15"/>
      <c r="BZ136" s="14"/>
      <c r="CA136" s="117" t="str">
        <f>IF(_xlfn.XLOOKUP(BY136, AutoFill_classes!$A:$A, AutoFill_classes!$B:$B,"")=0,"",_xlfn.XLOOKUP(BY136, AutoFill_classes!$A:$A, AutoFill_classes!$B:$B,""))</f>
        <v/>
      </c>
      <c r="CB136" s="108"/>
      <c r="CC136" s="14"/>
      <c r="CD136" s="14"/>
      <c r="CE136" s="14"/>
      <c r="CF136" s="21"/>
      <c r="CG136" s="22"/>
      <c r="CH136" s="63"/>
      <c r="CI136" s="23"/>
      <c r="CJ136" s="121" t="str">
        <f t="shared" si="126"/>
        <v/>
      </c>
      <c r="CK136" s="20"/>
      <c r="CL136" s="20"/>
      <c r="CM136" s="20"/>
      <c r="CN136" s="20"/>
      <c r="CO136" s="125" t="str">
        <f t="shared" si="127"/>
        <v/>
      </c>
      <c r="CP136" s="14"/>
      <c r="CQ136" s="125" t="str">
        <f t="shared" si="128"/>
        <v/>
      </c>
      <c r="CR136" s="20"/>
      <c r="CS136" s="20"/>
      <c r="CT136" s="125" t="str">
        <f t="shared" si="129"/>
        <v/>
      </c>
      <c r="CU136" s="14"/>
      <c r="CV136" s="125" t="str">
        <f t="shared" si="130"/>
        <v/>
      </c>
      <c r="CW136" s="20"/>
      <c r="CX136" s="20"/>
      <c r="CY136" s="125" t="str">
        <f t="shared" si="131"/>
        <v/>
      </c>
      <c r="CZ136" s="125" t="str">
        <f t="shared" si="132"/>
        <v/>
      </c>
      <c r="DA136" s="125" t="str">
        <f t="shared" si="133"/>
        <v/>
      </c>
      <c r="DB136" s="129" t="str">
        <f t="shared" si="134"/>
        <v/>
      </c>
      <c r="DC136" s="14"/>
      <c r="DD136" s="62"/>
      <c r="DE136" s="105">
        <v>134</v>
      </c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spans="1:176" s="1" customFormat="1" ht="13" hidden="1" customHeight="1" outlineLevel="1" x14ac:dyDescent="0.2">
      <c r="A137" s="4"/>
      <c r="B137" s="115" t="str">
        <f>IF(_xlfn.XLOOKUP(A137, AutoFill_names!B:B, AutoFill_names!C:C,"")=0,"",_xlfn.XLOOKUP(A137, AutoFill_names!B:B, AutoFill_names!C:C,""))</f>
        <v/>
      </c>
      <c r="C137" s="115" t="str">
        <f>IF(_xlfn.XLOOKUP(A137, AutoFill_names!B:B, AutoFill_names!D:D,"")=0,"",_xlfn.XLOOKUP(A137, AutoFill_names!B:B, AutoFill_names!D:D,""))</f>
        <v/>
      </c>
      <c r="D137" s="115" t="str">
        <f>IF(_xlfn.XLOOKUP(A137, AutoFill_names!B:B, AutoFill_names!E:E,"")=0,"",_xlfn.XLOOKUP(A137, AutoFill_names!B:B, AutoFill_names!E:E,""))</f>
        <v/>
      </c>
      <c r="E137" s="115" t="str">
        <f>IF(_xlfn.XLOOKUP(A137, AutoFill_names!B:B, AutoFill_names!F:F,"")=0,"",_xlfn.XLOOKUP(A137, AutoFill_names!B:B, AutoFill_names!F:F,""))</f>
        <v/>
      </c>
      <c r="F137" s="92"/>
      <c r="J137" s="115" t="str">
        <f>IF(_xlfn.XLOOKUP(A137, AutoFill_names!B:B, AutoFill_names!K:K,"")=0,"",_xlfn.XLOOKUP(A137, AutoFill_names!B:B, AutoFill_names!K:K,""))</f>
        <v/>
      </c>
      <c r="K137" s="115" t="str">
        <f>IF(_xlfn.XLOOKUP(A137, AutoFill_names!B:B, AutoFill_names!L:L,"")=0,"",_xlfn.XLOOKUP(A137, AutoFill_names!B:B, AutoFill_names!L:L,""))</f>
        <v/>
      </c>
      <c r="L137" s="2"/>
      <c r="M137" s="2"/>
      <c r="N137" s="117" t="str">
        <f>IF(_xlfn.XLOOKUP(L137, AutoFill_classes!A:A, AutoFill_classes!B:B,"")=0,"",_xlfn.XLOOKUP(L137, AutoFill_classes!A:A, AutoFill_classes!B:B,""))</f>
        <v/>
      </c>
      <c r="O137" s="108"/>
      <c r="P137" s="7"/>
      <c r="Q137" s="7"/>
      <c r="R137" s="7"/>
      <c r="S137" s="2"/>
      <c r="T137" s="2"/>
      <c r="U137" s="2"/>
      <c r="X137" s="63"/>
      <c r="Y137" s="19"/>
      <c r="Z137" s="121" t="str">
        <f t="shared" si="108"/>
        <v/>
      </c>
      <c r="AA137" s="20"/>
      <c r="AB137" s="20"/>
      <c r="AC137" s="20"/>
      <c r="AD137" s="20"/>
      <c r="AE137" s="125" t="str">
        <f t="shared" si="109"/>
        <v/>
      </c>
      <c r="AF137" s="14"/>
      <c r="AG137" s="125" t="str">
        <f t="shared" si="110"/>
        <v/>
      </c>
      <c r="AH137" s="20"/>
      <c r="AI137" s="20"/>
      <c r="AJ137" s="125" t="str">
        <f t="shared" si="111"/>
        <v/>
      </c>
      <c r="AK137" s="14"/>
      <c r="AL137" s="125" t="str">
        <f t="shared" si="112"/>
        <v/>
      </c>
      <c r="AM137" s="20"/>
      <c r="AN137" s="20"/>
      <c r="AO137" s="125" t="str">
        <f t="shared" si="113"/>
        <v/>
      </c>
      <c r="AP137" s="125" t="str">
        <f t="shared" si="114"/>
        <v/>
      </c>
      <c r="AQ137" s="125" t="str">
        <f t="shared" si="115"/>
        <v/>
      </c>
      <c r="AR137" s="129" t="str">
        <f t="shared" si="116"/>
        <v/>
      </c>
      <c r="AS137" s="14"/>
      <c r="AT137" s="32"/>
      <c r="AU137" s="32"/>
      <c r="AV137" s="117" t="str">
        <f>IF(_xlfn.XLOOKUP(AT137, AutoFill_classes!$A:$A, AutoFill_classes!$B:$B,"")=0,"",_xlfn.XLOOKUP(AT137, AutoFill_classes!$A:$A, AutoFill_classes!$B:$B,""))</f>
        <v/>
      </c>
      <c r="AW137" s="108"/>
      <c r="AX137" s="13"/>
      <c r="AY137" s="13"/>
      <c r="AZ137" s="13"/>
      <c r="BA137" s="13"/>
      <c r="BB137" s="13"/>
      <c r="BC137" s="63"/>
      <c r="BD137" s="18"/>
      <c r="BE137" s="121" t="str">
        <f t="shared" si="117"/>
        <v/>
      </c>
      <c r="BF137" s="20"/>
      <c r="BG137" s="20"/>
      <c r="BH137" s="20"/>
      <c r="BI137" s="20"/>
      <c r="BJ137" s="125" t="str">
        <f t="shared" si="118"/>
        <v/>
      </c>
      <c r="BK137" s="14"/>
      <c r="BL137" s="125" t="str">
        <f t="shared" si="119"/>
        <v/>
      </c>
      <c r="BM137" s="20"/>
      <c r="BN137" s="20"/>
      <c r="BO137" s="125" t="str">
        <f t="shared" si="120"/>
        <v/>
      </c>
      <c r="BP137" s="14"/>
      <c r="BQ137" s="125" t="str">
        <f t="shared" si="121"/>
        <v/>
      </c>
      <c r="BR137" s="20"/>
      <c r="BS137" s="20"/>
      <c r="BT137" s="125" t="str">
        <f t="shared" si="122"/>
        <v/>
      </c>
      <c r="BU137" s="125" t="str">
        <f t="shared" si="123"/>
        <v/>
      </c>
      <c r="BV137" s="125" t="str">
        <f t="shared" si="124"/>
        <v/>
      </c>
      <c r="BW137" s="129" t="str">
        <f t="shared" si="125"/>
        <v/>
      </c>
      <c r="BX137" s="13"/>
      <c r="BY137" s="15"/>
      <c r="BZ137" s="14"/>
      <c r="CA137" s="117" t="str">
        <f>IF(_xlfn.XLOOKUP(BY137, AutoFill_classes!$A:$A, AutoFill_classes!$B:$B,"")=0,"",_xlfn.XLOOKUP(BY137, AutoFill_classes!$A:$A, AutoFill_classes!$B:$B,""))</f>
        <v/>
      </c>
      <c r="CB137" s="108"/>
      <c r="CC137" s="14"/>
      <c r="CD137" s="14"/>
      <c r="CE137" s="14"/>
      <c r="CF137" s="21"/>
      <c r="CG137" s="22"/>
      <c r="CH137" s="63"/>
      <c r="CI137" s="23"/>
      <c r="CJ137" s="121" t="str">
        <f t="shared" si="126"/>
        <v/>
      </c>
      <c r="CK137" s="20"/>
      <c r="CL137" s="20"/>
      <c r="CM137" s="20"/>
      <c r="CN137" s="20"/>
      <c r="CO137" s="125" t="str">
        <f t="shared" si="127"/>
        <v/>
      </c>
      <c r="CP137" s="14"/>
      <c r="CQ137" s="125" t="str">
        <f t="shared" si="128"/>
        <v/>
      </c>
      <c r="CR137" s="20"/>
      <c r="CS137" s="20"/>
      <c r="CT137" s="125" t="str">
        <f t="shared" si="129"/>
        <v/>
      </c>
      <c r="CU137" s="14"/>
      <c r="CV137" s="125" t="str">
        <f t="shared" si="130"/>
        <v/>
      </c>
      <c r="CW137" s="20"/>
      <c r="CX137" s="20"/>
      <c r="CY137" s="125" t="str">
        <f t="shared" si="131"/>
        <v/>
      </c>
      <c r="CZ137" s="125" t="str">
        <f t="shared" si="132"/>
        <v/>
      </c>
      <c r="DA137" s="125" t="str">
        <f t="shared" si="133"/>
        <v/>
      </c>
      <c r="DB137" s="129" t="str">
        <f t="shared" si="134"/>
        <v/>
      </c>
      <c r="DC137" s="14"/>
      <c r="DD137" s="62"/>
      <c r="DE137" s="105">
        <v>135</v>
      </c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spans="1:176" s="1" customFormat="1" ht="13" hidden="1" customHeight="1" outlineLevel="1" x14ac:dyDescent="0.2">
      <c r="A138" s="4"/>
      <c r="B138" s="115" t="str">
        <f>IF(_xlfn.XLOOKUP(A138, AutoFill_names!B:B, AutoFill_names!C:C,"")=0,"",_xlfn.XLOOKUP(A138, AutoFill_names!B:B, AutoFill_names!C:C,""))</f>
        <v/>
      </c>
      <c r="C138" s="115" t="str">
        <f>IF(_xlfn.XLOOKUP(A138, AutoFill_names!B:B, AutoFill_names!D:D,"")=0,"",_xlfn.XLOOKUP(A138, AutoFill_names!B:B, AutoFill_names!D:D,""))</f>
        <v/>
      </c>
      <c r="D138" s="115" t="str">
        <f>IF(_xlfn.XLOOKUP(A138, AutoFill_names!B:B, AutoFill_names!E:E,"")=0,"",_xlfn.XLOOKUP(A138, AutoFill_names!B:B, AutoFill_names!E:E,""))</f>
        <v/>
      </c>
      <c r="E138" s="115" t="str">
        <f>IF(_xlfn.XLOOKUP(A138, AutoFill_names!B:B, AutoFill_names!F:F,"")=0,"",_xlfn.XLOOKUP(A138, AutoFill_names!B:B, AutoFill_names!F:F,""))</f>
        <v/>
      </c>
      <c r="F138" s="92"/>
      <c r="J138" s="115" t="str">
        <f>IF(_xlfn.XLOOKUP(A138, AutoFill_names!B:B, AutoFill_names!K:K,"")=0,"",_xlfn.XLOOKUP(A138, AutoFill_names!B:B, AutoFill_names!K:K,""))</f>
        <v/>
      </c>
      <c r="K138" s="115" t="str">
        <f>IF(_xlfn.XLOOKUP(A138, AutoFill_names!B:B, AutoFill_names!L:L,"")=0,"",_xlfn.XLOOKUP(A138, AutoFill_names!B:B, AutoFill_names!L:L,""))</f>
        <v/>
      </c>
      <c r="L138" s="2"/>
      <c r="M138" s="2"/>
      <c r="N138" s="117" t="str">
        <f>IF(_xlfn.XLOOKUP(L138, AutoFill_classes!A:A, AutoFill_classes!B:B,"")=0,"",_xlfn.XLOOKUP(L138, AutoFill_classes!A:A, AutoFill_classes!B:B,""))</f>
        <v/>
      </c>
      <c r="O138" s="108"/>
      <c r="P138" s="7"/>
      <c r="Q138" s="7"/>
      <c r="R138" s="7"/>
      <c r="S138" s="2"/>
      <c r="T138" s="2"/>
      <c r="U138" s="2"/>
      <c r="X138" s="63"/>
      <c r="Y138" s="19"/>
      <c r="Z138" s="121" t="str">
        <f t="shared" si="108"/>
        <v/>
      </c>
      <c r="AA138" s="20"/>
      <c r="AB138" s="20"/>
      <c r="AC138" s="20"/>
      <c r="AD138" s="20"/>
      <c r="AE138" s="125" t="str">
        <f t="shared" si="109"/>
        <v/>
      </c>
      <c r="AF138" s="14"/>
      <c r="AG138" s="125" t="str">
        <f t="shared" si="110"/>
        <v/>
      </c>
      <c r="AH138" s="20"/>
      <c r="AI138" s="20"/>
      <c r="AJ138" s="125" t="str">
        <f t="shared" si="111"/>
        <v/>
      </c>
      <c r="AK138" s="14"/>
      <c r="AL138" s="125" t="str">
        <f t="shared" si="112"/>
        <v/>
      </c>
      <c r="AM138" s="20"/>
      <c r="AN138" s="20"/>
      <c r="AO138" s="125" t="str">
        <f t="shared" si="113"/>
        <v/>
      </c>
      <c r="AP138" s="125" t="str">
        <f t="shared" si="114"/>
        <v/>
      </c>
      <c r="AQ138" s="125" t="str">
        <f t="shared" si="115"/>
        <v/>
      </c>
      <c r="AR138" s="129" t="str">
        <f t="shared" si="116"/>
        <v/>
      </c>
      <c r="AS138" s="14"/>
      <c r="AT138" s="32"/>
      <c r="AU138" s="32"/>
      <c r="AV138" s="117" t="str">
        <f>IF(_xlfn.XLOOKUP(AT138, AutoFill_classes!$A:$A, AutoFill_classes!$B:$B,"")=0,"",_xlfn.XLOOKUP(AT138, AutoFill_classes!$A:$A, AutoFill_classes!$B:$B,""))</f>
        <v/>
      </c>
      <c r="AW138" s="108"/>
      <c r="AX138" s="13"/>
      <c r="AY138" s="13"/>
      <c r="AZ138" s="13"/>
      <c r="BA138" s="13"/>
      <c r="BB138" s="13"/>
      <c r="BC138" s="63"/>
      <c r="BD138" s="18"/>
      <c r="BE138" s="121" t="str">
        <f t="shared" si="117"/>
        <v/>
      </c>
      <c r="BF138" s="20"/>
      <c r="BG138" s="20"/>
      <c r="BH138" s="20"/>
      <c r="BI138" s="20"/>
      <c r="BJ138" s="125" t="str">
        <f t="shared" si="118"/>
        <v/>
      </c>
      <c r="BK138" s="14"/>
      <c r="BL138" s="125" t="str">
        <f t="shared" si="119"/>
        <v/>
      </c>
      <c r="BM138" s="20"/>
      <c r="BN138" s="20"/>
      <c r="BO138" s="125" t="str">
        <f t="shared" si="120"/>
        <v/>
      </c>
      <c r="BP138" s="14"/>
      <c r="BQ138" s="125" t="str">
        <f t="shared" si="121"/>
        <v/>
      </c>
      <c r="BR138" s="20"/>
      <c r="BS138" s="20"/>
      <c r="BT138" s="125" t="str">
        <f t="shared" si="122"/>
        <v/>
      </c>
      <c r="BU138" s="125" t="str">
        <f t="shared" si="123"/>
        <v/>
      </c>
      <c r="BV138" s="125" t="str">
        <f t="shared" si="124"/>
        <v/>
      </c>
      <c r="BW138" s="129" t="str">
        <f t="shared" si="125"/>
        <v/>
      </c>
      <c r="BX138" s="13"/>
      <c r="BY138" s="15"/>
      <c r="BZ138" s="14"/>
      <c r="CA138" s="117" t="str">
        <f>IF(_xlfn.XLOOKUP(BY138, AutoFill_classes!$A:$A, AutoFill_classes!$B:$B,"")=0,"",_xlfn.XLOOKUP(BY138, AutoFill_classes!$A:$A, AutoFill_classes!$B:$B,""))</f>
        <v/>
      </c>
      <c r="CB138" s="108"/>
      <c r="CC138" s="14"/>
      <c r="CD138" s="14"/>
      <c r="CE138" s="14"/>
      <c r="CF138" s="21"/>
      <c r="CG138" s="22"/>
      <c r="CH138" s="63"/>
      <c r="CI138" s="23"/>
      <c r="CJ138" s="121" t="str">
        <f t="shared" si="126"/>
        <v/>
      </c>
      <c r="CK138" s="20"/>
      <c r="CL138" s="20"/>
      <c r="CM138" s="20"/>
      <c r="CN138" s="20"/>
      <c r="CO138" s="125" t="str">
        <f t="shared" si="127"/>
        <v/>
      </c>
      <c r="CP138" s="14"/>
      <c r="CQ138" s="125" t="str">
        <f t="shared" si="128"/>
        <v/>
      </c>
      <c r="CR138" s="20"/>
      <c r="CS138" s="20"/>
      <c r="CT138" s="125" t="str">
        <f t="shared" si="129"/>
        <v/>
      </c>
      <c r="CU138" s="14"/>
      <c r="CV138" s="125" t="str">
        <f t="shared" si="130"/>
        <v/>
      </c>
      <c r="CW138" s="20"/>
      <c r="CX138" s="20"/>
      <c r="CY138" s="125" t="str">
        <f t="shared" si="131"/>
        <v/>
      </c>
      <c r="CZ138" s="125" t="str">
        <f t="shared" si="132"/>
        <v/>
      </c>
      <c r="DA138" s="125" t="str">
        <f t="shared" si="133"/>
        <v/>
      </c>
      <c r="DB138" s="129" t="str">
        <f t="shared" si="134"/>
        <v/>
      </c>
      <c r="DC138" s="14"/>
      <c r="DD138" s="62"/>
      <c r="DE138" s="105">
        <v>136</v>
      </c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spans="1:176" s="1" customFormat="1" ht="13" hidden="1" customHeight="1" outlineLevel="1" x14ac:dyDescent="0.2">
      <c r="A139" s="4"/>
      <c r="B139" s="115" t="str">
        <f>IF(_xlfn.XLOOKUP(A139, AutoFill_names!B:B, AutoFill_names!C:C,"")=0,"",_xlfn.XLOOKUP(A139, AutoFill_names!B:B, AutoFill_names!C:C,""))</f>
        <v/>
      </c>
      <c r="C139" s="115" t="str">
        <f>IF(_xlfn.XLOOKUP(A139, AutoFill_names!B:B, AutoFill_names!D:D,"")=0,"",_xlfn.XLOOKUP(A139, AutoFill_names!B:B, AutoFill_names!D:D,""))</f>
        <v/>
      </c>
      <c r="D139" s="115" t="str">
        <f>IF(_xlfn.XLOOKUP(A139, AutoFill_names!B:B, AutoFill_names!E:E,"")=0,"",_xlfn.XLOOKUP(A139, AutoFill_names!B:B, AutoFill_names!E:E,""))</f>
        <v/>
      </c>
      <c r="E139" s="115" t="str">
        <f>IF(_xlfn.XLOOKUP(A139, AutoFill_names!B:B, AutoFill_names!F:F,"")=0,"",_xlfn.XLOOKUP(A139, AutoFill_names!B:B, AutoFill_names!F:F,""))</f>
        <v/>
      </c>
      <c r="F139" s="92"/>
      <c r="J139" s="115" t="str">
        <f>IF(_xlfn.XLOOKUP(A139, AutoFill_names!B:B, AutoFill_names!K:K,"")=0,"",_xlfn.XLOOKUP(A139, AutoFill_names!B:B, AutoFill_names!K:K,""))</f>
        <v/>
      </c>
      <c r="K139" s="115" t="str">
        <f>IF(_xlfn.XLOOKUP(A139, AutoFill_names!B:B, AutoFill_names!L:L,"")=0,"",_xlfn.XLOOKUP(A139, AutoFill_names!B:B, AutoFill_names!L:L,""))</f>
        <v/>
      </c>
      <c r="L139" s="2"/>
      <c r="M139" s="2"/>
      <c r="N139" s="117" t="str">
        <f>IF(_xlfn.XLOOKUP(L139, AutoFill_classes!A:A, AutoFill_classes!B:B,"")=0,"",_xlfn.XLOOKUP(L139, AutoFill_classes!A:A, AutoFill_classes!B:B,""))</f>
        <v/>
      </c>
      <c r="O139" s="108"/>
      <c r="P139" s="7"/>
      <c r="Q139" s="7"/>
      <c r="R139" s="7"/>
      <c r="S139" s="2"/>
      <c r="T139" s="2"/>
      <c r="U139" s="2"/>
      <c r="X139" s="63"/>
      <c r="Y139" s="19"/>
      <c r="Z139" s="121" t="str">
        <f t="shared" si="108"/>
        <v/>
      </c>
      <c r="AA139" s="20"/>
      <c r="AB139" s="20"/>
      <c r="AC139" s="20"/>
      <c r="AD139" s="20"/>
      <c r="AE139" s="125" t="str">
        <f t="shared" si="109"/>
        <v/>
      </c>
      <c r="AF139" s="14"/>
      <c r="AG139" s="125" t="str">
        <f t="shared" si="110"/>
        <v/>
      </c>
      <c r="AH139" s="20"/>
      <c r="AI139" s="20"/>
      <c r="AJ139" s="125" t="str">
        <f t="shared" si="111"/>
        <v/>
      </c>
      <c r="AK139" s="14"/>
      <c r="AL139" s="125" t="str">
        <f t="shared" si="112"/>
        <v/>
      </c>
      <c r="AM139" s="20"/>
      <c r="AN139" s="20"/>
      <c r="AO139" s="125" t="str">
        <f t="shared" si="113"/>
        <v/>
      </c>
      <c r="AP139" s="125" t="str">
        <f t="shared" si="114"/>
        <v/>
      </c>
      <c r="AQ139" s="125" t="str">
        <f t="shared" si="115"/>
        <v/>
      </c>
      <c r="AR139" s="129" t="str">
        <f t="shared" si="116"/>
        <v/>
      </c>
      <c r="AS139" s="14"/>
      <c r="AT139" s="32"/>
      <c r="AU139" s="32"/>
      <c r="AV139" s="117" t="str">
        <f>IF(_xlfn.XLOOKUP(AT139, AutoFill_classes!$A:$A, AutoFill_classes!$B:$B,"")=0,"",_xlfn.XLOOKUP(AT139, AutoFill_classes!$A:$A, AutoFill_classes!$B:$B,""))</f>
        <v/>
      </c>
      <c r="AW139" s="108"/>
      <c r="AX139" s="13"/>
      <c r="AY139" s="13"/>
      <c r="AZ139" s="13"/>
      <c r="BA139" s="13"/>
      <c r="BB139" s="13"/>
      <c r="BC139" s="63"/>
      <c r="BD139" s="18"/>
      <c r="BE139" s="121" t="str">
        <f t="shared" si="117"/>
        <v/>
      </c>
      <c r="BF139" s="20"/>
      <c r="BG139" s="20"/>
      <c r="BH139" s="20"/>
      <c r="BI139" s="20"/>
      <c r="BJ139" s="125" t="str">
        <f t="shared" si="118"/>
        <v/>
      </c>
      <c r="BK139" s="14"/>
      <c r="BL139" s="125" t="str">
        <f t="shared" si="119"/>
        <v/>
      </c>
      <c r="BM139" s="20"/>
      <c r="BN139" s="20"/>
      <c r="BO139" s="125" t="str">
        <f t="shared" si="120"/>
        <v/>
      </c>
      <c r="BP139" s="14"/>
      <c r="BQ139" s="125" t="str">
        <f t="shared" si="121"/>
        <v/>
      </c>
      <c r="BR139" s="20"/>
      <c r="BS139" s="20"/>
      <c r="BT139" s="125" t="str">
        <f t="shared" si="122"/>
        <v/>
      </c>
      <c r="BU139" s="125" t="str">
        <f t="shared" si="123"/>
        <v/>
      </c>
      <c r="BV139" s="125" t="str">
        <f t="shared" si="124"/>
        <v/>
      </c>
      <c r="BW139" s="129" t="str">
        <f t="shared" si="125"/>
        <v/>
      </c>
      <c r="BX139" s="13"/>
      <c r="BY139" s="15"/>
      <c r="BZ139" s="14"/>
      <c r="CA139" s="117" t="str">
        <f>IF(_xlfn.XLOOKUP(BY139, AutoFill_classes!$A:$A, AutoFill_classes!$B:$B,"")=0,"",_xlfn.XLOOKUP(BY139, AutoFill_classes!$A:$A, AutoFill_classes!$B:$B,""))</f>
        <v/>
      </c>
      <c r="CB139" s="108"/>
      <c r="CC139" s="14"/>
      <c r="CD139" s="14"/>
      <c r="CE139" s="14"/>
      <c r="CF139" s="21"/>
      <c r="CG139" s="22"/>
      <c r="CH139" s="63"/>
      <c r="CI139" s="23"/>
      <c r="CJ139" s="121" t="str">
        <f t="shared" si="126"/>
        <v/>
      </c>
      <c r="CK139" s="20"/>
      <c r="CL139" s="20"/>
      <c r="CM139" s="20"/>
      <c r="CN139" s="20"/>
      <c r="CO139" s="125" t="str">
        <f t="shared" si="127"/>
        <v/>
      </c>
      <c r="CP139" s="14"/>
      <c r="CQ139" s="125" t="str">
        <f t="shared" si="128"/>
        <v/>
      </c>
      <c r="CR139" s="20"/>
      <c r="CS139" s="20"/>
      <c r="CT139" s="125" t="str">
        <f t="shared" si="129"/>
        <v/>
      </c>
      <c r="CU139" s="14"/>
      <c r="CV139" s="125" t="str">
        <f t="shared" si="130"/>
        <v/>
      </c>
      <c r="CW139" s="20"/>
      <c r="CX139" s="20"/>
      <c r="CY139" s="125" t="str">
        <f t="shared" si="131"/>
        <v/>
      </c>
      <c r="CZ139" s="125" t="str">
        <f t="shared" si="132"/>
        <v/>
      </c>
      <c r="DA139" s="125" t="str">
        <f t="shared" si="133"/>
        <v/>
      </c>
      <c r="DB139" s="129" t="str">
        <f t="shared" si="134"/>
        <v/>
      </c>
      <c r="DC139" s="14"/>
      <c r="DD139" s="62"/>
      <c r="DE139" s="105">
        <v>137</v>
      </c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spans="1:176" s="1" customFormat="1" ht="13" hidden="1" customHeight="1" outlineLevel="1" x14ac:dyDescent="0.2">
      <c r="A140" s="4"/>
      <c r="B140" s="115" t="str">
        <f>IF(_xlfn.XLOOKUP(A140, AutoFill_names!B:B, AutoFill_names!C:C,"")=0,"",_xlfn.XLOOKUP(A140, AutoFill_names!B:B, AutoFill_names!C:C,""))</f>
        <v/>
      </c>
      <c r="C140" s="115" t="str">
        <f>IF(_xlfn.XLOOKUP(A140, AutoFill_names!B:B, AutoFill_names!D:D,"")=0,"",_xlfn.XLOOKUP(A140, AutoFill_names!B:B, AutoFill_names!D:D,""))</f>
        <v/>
      </c>
      <c r="D140" s="115" t="str">
        <f>IF(_xlfn.XLOOKUP(A140, AutoFill_names!B:B, AutoFill_names!E:E,"")=0,"",_xlfn.XLOOKUP(A140, AutoFill_names!B:B, AutoFill_names!E:E,""))</f>
        <v/>
      </c>
      <c r="E140" s="115" t="str">
        <f>IF(_xlfn.XLOOKUP(A140, AutoFill_names!B:B, AutoFill_names!F:F,"")=0,"",_xlfn.XLOOKUP(A140, AutoFill_names!B:B, AutoFill_names!F:F,""))</f>
        <v/>
      </c>
      <c r="F140" s="92"/>
      <c r="J140" s="115" t="str">
        <f>IF(_xlfn.XLOOKUP(A140, AutoFill_names!B:B, AutoFill_names!K:K,"")=0,"",_xlfn.XLOOKUP(A140, AutoFill_names!B:B, AutoFill_names!K:K,""))</f>
        <v/>
      </c>
      <c r="K140" s="115" t="str">
        <f>IF(_xlfn.XLOOKUP(A140, AutoFill_names!B:B, AutoFill_names!L:L,"")=0,"",_xlfn.XLOOKUP(A140, AutoFill_names!B:B, AutoFill_names!L:L,""))</f>
        <v/>
      </c>
      <c r="L140" s="2"/>
      <c r="M140" s="2"/>
      <c r="N140" s="117" t="str">
        <f>IF(_xlfn.XLOOKUP(L140, AutoFill_classes!A:A, AutoFill_classes!B:B,"")=0,"",_xlfn.XLOOKUP(L140, AutoFill_classes!A:A, AutoFill_classes!B:B,""))</f>
        <v/>
      </c>
      <c r="O140" s="108"/>
      <c r="P140" s="7"/>
      <c r="Q140" s="7"/>
      <c r="R140" s="7"/>
      <c r="S140" s="2"/>
      <c r="T140" s="2"/>
      <c r="U140" s="2"/>
      <c r="X140" s="63"/>
      <c r="Y140" s="19"/>
      <c r="Z140" s="121" t="str">
        <f t="shared" si="108"/>
        <v/>
      </c>
      <c r="AA140" s="20"/>
      <c r="AB140" s="20"/>
      <c r="AC140" s="20"/>
      <c r="AD140" s="20"/>
      <c r="AE140" s="125" t="str">
        <f t="shared" si="109"/>
        <v/>
      </c>
      <c r="AF140" s="14"/>
      <c r="AG140" s="125" t="str">
        <f t="shared" si="110"/>
        <v/>
      </c>
      <c r="AH140" s="20"/>
      <c r="AI140" s="20"/>
      <c r="AJ140" s="125" t="str">
        <f t="shared" si="111"/>
        <v/>
      </c>
      <c r="AK140" s="14"/>
      <c r="AL140" s="125" t="str">
        <f t="shared" si="112"/>
        <v/>
      </c>
      <c r="AM140" s="20"/>
      <c r="AN140" s="20"/>
      <c r="AO140" s="125" t="str">
        <f t="shared" si="113"/>
        <v/>
      </c>
      <c r="AP140" s="125" t="str">
        <f t="shared" si="114"/>
        <v/>
      </c>
      <c r="AQ140" s="125" t="str">
        <f t="shared" si="115"/>
        <v/>
      </c>
      <c r="AR140" s="129" t="str">
        <f t="shared" si="116"/>
        <v/>
      </c>
      <c r="AS140" s="14"/>
      <c r="AT140" s="32"/>
      <c r="AU140" s="32"/>
      <c r="AV140" s="117" t="str">
        <f>IF(_xlfn.XLOOKUP(AT140, AutoFill_classes!$A:$A, AutoFill_classes!$B:$B,"")=0,"",_xlfn.XLOOKUP(AT140, AutoFill_classes!$A:$A, AutoFill_classes!$B:$B,""))</f>
        <v/>
      </c>
      <c r="AW140" s="108"/>
      <c r="AX140" s="13"/>
      <c r="AY140" s="13"/>
      <c r="AZ140" s="13"/>
      <c r="BA140" s="13"/>
      <c r="BB140" s="13"/>
      <c r="BC140" s="63"/>
      <c r="BD140" s="18"/>
      <c r="BE140" s="121" t="str">
        <f t="shared" si="117"/>
        <v/>
      </c>
      <c r="BF140" s="20"/>
      <c r="BG140" s="20"/>
      <c r="BH140" s="20"/>
      <c r="BI140" s="20"/>
      <c r="BJ140" s="125" t="str">
        <f t="shared" si="118"/>
        <v/>
      </c>
      <c r="BK140" s="14"/>
      <c r="BL140" s="125" t="str">
        <f t="shared" si="119"/>
        <v/>
      </c>
      <c r="BM140" s="20"/>
      <c r="BN140" s="20"/>
      <c r="BO140" s="125" t="str">
        <f t="shared" si="120"/>
        <v/>
      </c>
      <c r="BP140" s="14"/>
      <c r="BQ140" s="125" t="str">
        <f t="shared" si="121"/>
        <v/>
      </c>
      <c r="BR140" s="20"/>
      <c r="BS140" s="20"/>
      <c r="BT140" s="125" t="str">
        <f t="shared" si="122"/>
        <v/>
      </c>
      <c r="BU140" s="125" t="str">
        <f t="shared" si="123"/>
        <v/>
      </c>
      <c r="BV140" s="125" t="str">
        <f t="shared" si="124"/>
        <v/>
      </c>
      <c r="BW140" s="129" t="str">
        <f t="shared" si="125"/>
        <v/>
      </c>
      <c r="BX140" s="13"/>
      <c r="BY140" s="15"/>
      <c r="BZ140" s="14"/>
      <c r="CA140" s="117" t="str">
        <f>IF(_xlfn.XLOOKUP(BY140, AutoFill_classes!$A:$A, AutoFill_classes!$B:$B,"")=0,"",_xlfn.XLOOKUP(BY140, AutoFill_classes!$A:$A, AutoFill_classes!$B:$B,""))</f>
        <v/>
      </c>
      <c r="CB140" s="108"/>
      <c r="CC140" s="14"/>
      <c r="CD140" s="14"/>
      <c r="CE140" s="14"/>
      <c r="CF140" s="21"/>
      <c r="CG140" s="22"/>
      <c r="CH140" s="63"/>
      <c r="CI140" s="23"/>
      <c r="CJ140" s="121" t="str">
        <f t="shared" si="126"/>
        <v/>
      </c>
      <c r="CK140" s="20"/>
      <c r="CL140" s="20"/>
      <c r="CM140" s="20"/>
      <c r="CN140" s="20"/>
      <c r="CO140" s="125" t="str">
        <f t="shared" si="127"/>
        <v/>
      </c>
      <c r="CP140" s="14"/>
      <c r="CQ140" s="125" t="str">
        <f t="shared" si="128"/>
        <v/>
      </c>
      <c r="CR140" s="20"/>
      <c r="CS140" s="20"/>
      <c r="CT140" s="125" t="str">
        <f t="shared" si="129"/>
        <v/>
      </c>
      <c r="CU140" s="14"/>
      <c r="CV140" s="125" t="str">
        <f t="shared" si="130"/>
        <v/>
      </c>
      <c r="CW140" s="20"/>
      <c r="CX140" s="20"/>
      <c r="CY140" s="125" t="str">
        <f t="shared" si="131"/>
        <v/>
      </c>
      <c r="CZ140" s="125" t="str">
        <f t="shared" si="132"/>
        <v/>
      </c>
      <c r="DA140" s="125" t="str">
        <f t="shared" si="133"/>
        <v/>
      </c>
      <c r="DB140" s="129" t="str">
        <f t="shared" si="134"/>
        <v/>
      </c>
      <c r="DC140" s="14"/>
      <c r="DD140" s="62"/>
      <c r="DE140" s="105">
        <v>138</v>
      </c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spans="1:176" s="1" customFormat="1" ht="13" hidden="1" customHeight="1" outlineLevel="1" x14ac:dyDescent="0.2">
      <c r="A141" s="4"/>
      <c r="B141" s="115" t="str">
        <f>IF(_xlfn.XLOOKUP(A141, AutoFill_names!B:B, AutoFill_names!C:C,"")=0,"",_xlfn.XLOOKUP(A141, AutoFill_names!B:B, AutoFill_names!C:C,""))</f>
        <v/>
      </c>
      <c r="C141" s="115" t="str">
        <f>IF(_xlfn.XLOOKUP(A141, AutoFill_names!B:B, AutoFill_names!D:D,"")=0,"",_xlfn.XLOOKUP(A141, AutoFill_names!B:B, AutoFill_names!D:D,""))</f>
        <v/>
      </c>
      <c r="D141" s="115" t="str">
        <f>IF(_xlfn.XLOOKUP(A141, AutoFill_names!B:B, AutoFill_names!E:E,"")=0,"",_xlfn.XLOOKUP(A141, AutoFill_names!B:B, AutoFill_names!E:E,""))</f>
        <v/>
      </c>
      <c r="E141" s="115" t="str">
        <f>IF(_xlfn.XLOOKUP(A141, AutoFill_names!B:B, AutoFill_names!F:F,"")=0,"",_xlfn.XLOOKUP(A141, AutoFill_names!B:B, AutoFill_names!F:F,""))</f>
        <v/>
      </c>
      <c r="F141" s="92"/>
      <c r="J141" s="115" t="str">
        <f>IF(_xlfn.XLOOKUP(A141, AutoFill_names!B:B, AutoFill_names!K:K,"")=0,"",_xlfn.XLOOKUP(A141, AutoFill_names!B:B, AutoFill_names!K:K,""))</f>
        <v/>
      </c>
      <c r="K141" s="115" t="str">
        <f>IF(_xlfn.XLOOKUP(A141, AutoFill_names!B:B, AutoFill_names!L:L,"")=0,"",_xlfn.XLOOKUP(A141, AutoFill_names!B:B, AutoFill_names!L:L,""))</f>
        <v/>
      </c>
      <c r="L141" s="2"/>
      <c r="M141" s="2"/>
      <c r="N141" s="117" t="str">
        <f>IF(_xlfn.XLOOKUP(L141, AutoFill_classes!A:A, AutoFill_classes!B:B,"")=0,"",_xlfn.XLOOKUP(L141, AutoFill_classes!A:A, AutoFill_classes!B:B,""))</f>
        <v/>
      </c>
      <c r="O141" s="108"/>
      <c r="P141" s="7"/>
      <c r="Q141" s="7"/>
      <c r="R141" s="7"/>
      <c r="S141" s="2"/>
      <c r="T141" s="2"/>
      <c r="U141" s="2"/>
      <c r="X141" s="63"/>
      <c r="Y141" s="19"/>
      <c r="Z141" s="121" t="str">
        <f t="shared" si="108"/>
        <v/>
      </c>
      <c r="AA141" s="20"/>
      <c r="AB141" s="20"/>
      <c r="AC141" s="20"/>
      <c r="AD141" s="20"/>
      <c r="AE141" s="125" t="str">
        <f t="shared" si="109"/>
        <v/>
      </c>
      <c r="AF141" s="14"/>
      <c r="AG141" s="125" t="str">
        <f t="shared" si="110"/>
        <v/>
      </c>
      <c r="AH141" s="20"/>
      <c r="AI141" s="20"/>
      <c r="AJ141" s="125" t="str">
        <f t="shared" si="111"/>
        <v/>
      </c>
      <c r="AK141" s="14"/>
      <c r="AL141" s="125" t="str">
        <f t="shared" si="112"/>
        <v/>
      </c>
      <c r="AM141" s="20"/>
      <c r="AN141" s="20"/>
      <c r="AO141" s="125" t="str">
        <f t="shared" si="113"/>
        <v/>
      </c>
      <c r="AP141" s="125" t="str">
        <f t="shared" si="114"/>
        <v/>
      </c>
      <c r="AQ141" s="125" t="str">
        <f t="shared" si="115"/>
        <v/>
      </c>
      <c r="AR141" s="129" t="str">
        <f t="shared" si="116"/>
        <v/>
      </c>
      <c r="AS141" s="14"/>
      <c r="AT141" s="32"/>
      <c r="AU141" s="32"/>
      <c r="AV141" s="117" t="str">
        <f>IF(_xlfn.XLOOKUP(AT141, AutoFill_classes!$A:$A, AutoFill_classes!$B:$B,"")=0,"",_xlfn.XLOOKUP(AT141, AutoFill_classes!$A:$A, AutoFill_classes!$B:$B,""))</f>
        <v/>
      </c>
      <c r="AW141" s="108"/>
      <c r="AX141" s="13"/>
      <c r="AY141" s="13"/>
      <c r="AZ141" s="13"/>
      <c r="BA141" s="13"/>
      <c r="BB141" s="13"/>
      <c r="BC141" s="63"/>
      <c r="BD141" s="18"/>
      <c r="BE141" s="121" t="str">
        <f t="shared" si="117"/>
        <v/>
      </c>
      <c r="BF141" s="20"/>
      <c r="BG141" s="20"/>
      <c r="BH141" s="20"/>
      <c r="BI141" s="20"/>
      <c r="BJ141" s="125" t="str">
        <f t="shared" si="118"/>
        <v/>
      </c>
      <c r="BK141" s="14"/>
      <c r="BL141" s="125" t="str">
        <f t="shared" si="119"/>
        <v/>
      </c>
      <c r="BM141" s="20"/>
      <c r="BN141" s="20"/>
      <c r="BO141" s="125" t="str">
        <f t="shared" si="120"/>
        <v/>
      </c>
      <c r="BP141" s="14"/>
      <c r="BQ141" s="125" t="str">
        <f t="shared" si="121"/>
        <v/>
      </c>
      <c r="BR141" s="20"/>
      <c r="BS141" s="20"/>
      <c r="BT141" s="125" t="str">
        <f t="shared" si="122"/>
        <v/>
      </c>
      <c r="BU141" s="125" t="str">
        <f t="shared" si="123"/>
        <v/>
      </c>
      <c r="BV141" s="125" t="str">
        <f t="shared" si="124"/>
        <v/>
      </c>
      <c r="BW141" s="129" t="str">
        <f t="shared" si="125"/>
        <v/>
      </c>
      <c r="BX141" s="13"/>
      <c r="BY141" s="15"/>
      <c r="BZ141" s="14"/>
      <c r="CA141" s="117" t="str">
        <f>IF(_xlfn.XLOOKUP(BY141, AutoFill_classes!$A:$A, AutoFill_classes!$B:$B,"")=0,"",_xlfn.XLOOKUP(BY141, AutoFill_classes!$A:$A, AutoFill_classes!$B:$B,""))</f>
        <v/>
      </c>
      <c r="CB141" s="108"/>
      <c r="CC141" s="14"/>
      <c r="CD141" s="14"/>
      <c r="CE141" s="14"/>
      <c r="CF141" s="21"/>
      <c r="CG141" s="22"/>
      <c r="CH141" s="63"/>
      <c r="CI141" s="23"/>
      <c r="CJ141" s="121" t="str">
        <f t="shared" si="126"/>
        <v/>
      </c>
      <c r="CK141" s="20"/>
      <c r="CL141" s="20"/>
      <c r="CM141" s="20"/>
      <c r="CN141" s="20"/>
      <c r="CO141" s="125" t="str">
        <f t="shared" si="127"/>
        <v/>
      </c>
      <c r="CP141" s="14"/>
      <c r="CQ141" s="125" t="str">
        <f t="shared" si="128"/>
        <v/>
      </c>
      <c r="CR141" s="20"/>
      <c r="CS141" s="20"/>
      <c r="CT141" s="125" t="str">
        <f t="shared" si="129"/>
        <v/>
      </c>
      <c r="CU141" s="14"/>
      <c r="CV141" s="125" t="str">
        <f t="shared" si="130"/>
        <v/>
      </c>
      <c r="CW141" s="20"/>
      <c r="CX141" s="20"/>
      <c r="CY141" s="125" t="str">
        <f t="shared" si="131"/>
        <v/>
      </c>
      <c r="CZ141" s="125" t="str">
        <f t="shared" si="132"/>
        <v/>
      </c>
      <c r="DA141" s="125" t="str">
        <f t="shared" si="133"/>
        <v/>
      </c>
      <c r="DB141" s="129" t="str">
        <f t="shared" si="134"/>
        <v/>
      </c>
      <c r="DC141" s="14"/>
      <c r="DD141" s="62"/>
      <c r="DE141" s="105">
        <v>139</v>
      </c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spans="1:176" s="1" customFormat="1" ht="13" hidden="1" customHeight="1" outlineLevel="1" x14ac:dyDescent="0.2">
      <c r="A142" s="4"/>
      <c r="B142" s="115" t="str">
        <f>IF(_xlfn.XLOOKUP(A142, AutoFill_names!B:B, AutoFill_names!C:C,"")=0,"",_xlfn.XLOOKUP(A142, AutoFill_names!B:B, AutoFill_names!C:C,""))</f>
        <v/>
      </c>
      <c r="C142" s="115" t="str">
        <f>IF(_xlfn.XLOOKUP(A142, AutoFill_names!B:B, AutoFill_names!D:D,"")=0,"",_xlfn.XLOOKUP(A142, AutoFill_names!B:B, AutoFill_names!D:D,""))</f>
        <v/>
      </c>
      <c r="D142" s="115" t="str">
        <f>IF(_xlfn.XLOOKUP(A142, AutoFill_names!B:B, AutoFill_names!E:E,"")=0,"",_xlfn.XLOOKUP(A142, AutoFill_names!B:B, AutoFill_names!E:E,""))</f>
        <v/>
      </c>
      <c r="E142" s="115" t="str">
        <f>IF(_xlfn.XLOOKUP(A142, AutoFill_names!B:B, AutoFill_names!F:F,"")=0,"",_xlfn.XLOOKUP(A142, AutoFill_names!B:B, AutoFill_names!F:F,""))</f>
        <v/>
      </c>
      <c r="F142" s="92"/>
      <c r="J142" s="115" t="str">
        <f>IF(_xlfn.XLOOKUP(A142, AutoFill_names!B:B, AutoFill_names!K:K,"")=0,"",_xlfn.XLOOKUP(A142, AutoFill_names!B:B, AutoFill_names!K:K,""))</f>
        <v/>
      </c>
      <c r="K142" s="115" t="str">
        <f>IF(_xlfn.XLOOKUP(A142, AutoFill_names!B:B, AutoFill_names!L:L,"")=0,"",_xlfn.XLOOKUP(A142, AutoFill_names!B:B, AutoFill_names!L:L,""))</f>
        <v/>
      </c>
      <c r="L142" s="2"/>
      <c r="M142" s="2"/>
      <c r="N142" s="117" t="str">
        <f>IF(_xlfn.XLOOKUP(L142, AutoFill_classes!A:A, AutoFill_classes!B:B,"")=0,"",_xlfn.XLOOKUP(L142, AutoFill_classes!A:A, AutoFill_classes!B:B,""))</f>
        <v/>
      </c>
      <c r="O142" s="108"/>
      <c r="P142" s="7"/>
      <c r="Q142" s="7"/>
      <c r="R142" s="7"/>
      <c r="S142" s="2"/>
      <c r="T142" s="2"/>
      <c r="U142" s="2"/>
      <c r="X142" s="63"/>
      <c r="Y142" s="19"/>
      <c r="Z142" s="121" t="str">
        <f t="shared" si="108"/>
        <v/>
      </c>
      <c r="AA142" s="20"/>
      <c r="AB142" s="20"/>
      <c r="AC142" s="20"/>
      <c r="AD142" s="20"/>
      <c r="AE142" s="125" t="str">
        <f t="shared" si="109"/>
        <v/>
      </c>
      <c r="AF142" s="14"/>
      <c r="AG142" s="125" t="str">
        <f t="shared" si="110"/>
        <v/>
      </c>
      <c r="AH142" s="20"/>
      <c r="AI142" s="20"/>
      <c r="AJ142" s="125" t="str">
        <f t="shared" si="111"/>
        <v/>
      </c>
      <c r="AK142" s="14"/>
      <c r="AL142" s="125" t="str">
        <f t="shared" si="112"/>
        <v/>
      </c>
      <c r="AM142" s="20"/>
      <c r="AN142" s="20"/>
      <c r="AO142" s="125" t="str">
        <f t="shared" si="113"/>
        <v/>
      </c>
      <c r="AP142" s="125" t="str">
        <f t="shared" si="114"/>
        <v/>
      </c>
      <c r="AQ142" s="125" t="str">
        <f t="shared" si="115"/>
        <v/>
      </c>
      <c r="AR142" s="129" t="str">
        <f t="shared" si="116"/>
        <v/>
      </c>
      <c r="AS142" s="14"/>
      <c r="AT142" s="32"/>
      <c r="AU142" s="32"/>
      <c r="AV142" s="117" t="str">
        <f>IF(_xlfn.XLOOKUP(AT142, AutoFill_classes!$A:$A, AutoFill_classes!$B:$B,"")=0,"",_xlfn.XLOOKUP(AT142, AutoFill_classes!$A:$A, AutoFill_classes!$B:$B,""))</f>
        <v/>
      </c>
      <c r="AW142" s="108"/>
      <c r="AX142" s="13"/>
      <c r="AY142" s="13"/>
      <c r="AZ142" s="13"/>
      <c r="BA142" s="13"/>
      <c r="BB142" s="13"/>
      <c r="BC142" s="63"/>
      <c r="BD142" s="18"/>
      <c r="BE142" s="121" t="str">
        <f t="shared" si="117"/>
        <v/>
      </c>
      <c r="BF142" s="20"/>
      <c r="BG142" s="20"/>
      <c r="BH142" s="20"/>
      <c r="BI142" s="20"/>
      <c r="BJ142" s="125" t="str">
        <f t="shared" si="118"/>
        <v/>
      </c>
      <c r="BK142" s="14"/>
      <c r="BL142" s="125" t="str">
        <f t="shared" si="119"/>
        <v/>
      </c>
      <c r="BM142" s="20"/>
      <c r="BN142" s="20"/>
      <c r="BO142" s="125" t="str">
        <f t="shared" si="120"/>
        <v/>
      </c>
      <c r="BP142" s="14"/>
      <c r="BQ142" s="125" t="str">
        <f t="shared" si="121"/>
        <v/>
      </c>
      <c r="BR142" s="20"/>
      <c r="BS142" s="20"/>
      <c r="BT142" s="125" t="str">
        <f t="shared" si="122"/>
        <v/>
      </c>
      <c r="BU142" s="125" t="str">
        <f t="shared" si="123"/>
        <v/>
      </c>
      <c r="BV142" s="125" t="str">
        <f t="shared" si="124"/>
        <v/>
      </c>
      <c r="BW142" s="129" t="str">
        <f t="shared" si="125"/>
        <v/>
      </c>
      <c r="BX142" s="13"/>
      <c r="BY142" s="15"/>
      <c r="BZ142" s="14"/>
      <c r="CA142" s="117" t="str">
        <f>IF(_xlfn.XLOOKUP(BY142, AutoFill_classes!$A:$A, AutoFill_classes!$B:$B,"")=0,"",_xlfn.XLOOKUP(BY142, AutoFill_classes!$A:$A, AutoFill_classes!$B:$B,""))</f>
        <v/>
      </c>
      <c r="CB142" s="108"/>
      <c r="CC142" s="14"/>
      <c r="CD142" s="14"/>
      <c r="CE142" s="14"/>
      <c r="CF142" s="21"/>
      <c r="CG142" s="22"/>
      <c r="CH142" s="63"/>
      <c r="CI142" s="23"/>
      <c r="CJ142" s="121" t="str">
        <f t="shared" si="126"/>
        <v/>
      </c>
      <c r="CK142" s="20"/>
      <c r="CL142" s="20"/>
      <c r="CM142" s="20"/>
      <c r="CN142" s="20"/>
      <c r="CO142" s="125" t="str">
        <f t="shared" si="127"/>
        <v/>
      </c>
      <c r="CP142" s="14"/>
      <c r="CQ142" s="125" t="str">
        <f t="shared" si="128"/>
        <v/>
      </c>
      <c r="CR142" s="20"/>
      <c r="CS142" s="20"/>
      <c r="CT142" s="125" t="str">
        <f t="shared" si="129"/>
        <v/>
      </c>
      <c r="CU142" s="14"/>
      <c r="CV142" s="125" t="str">
        <f t="shared" si="130"/>
        <v/>
      </c>
      <c r="CW142" s="20"/>
      <c r="CX142" s="20"/>
      <c r="CY142" s="125" t="str">
        <f t="shared" si="131"/>
        <v/>
      </c>
      <c r="CZ142" s="125" t="str">
        <f t="shared" si="132"/>
        <v/>
      </c>
      <c r="DA142" s="125" t="str">
        <f t="shared" si="133"/>
        <v/>
      </c>
      <c r="DB142" s="129" t="str">
        <f t="shared" si="134"/>
        <v/>
      </c>
      <c r="DC142" s="14"/>
      <c r="DD142" s="62"/>
      <c r="DE142" s="105">
        <v>140</v>
      </c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spans="1:176" s="1" customFormat="1" ht="13" hidden="1" customHeight="1" outlineLevel="1" x14ac:dyDescent="0.2">
      <c r="A143" s="4"/>
      <c r="B143" s="115" t="str">
        <f>IF(_xlfn.XLOOKUP(A143, AutoFill_names!B:B, AutoFill_names!C:C,"")=0,"",_xlfn.XLOOKUP(A143, AutoFill_names!B:B, AutoFill_names!C:C,""))</f>
        <v/>
      </c>
      <c r="C143" s="115" t="str">
        <f>IF(_xlfn.XLOOKUP(A143, AutoFill_names!B:B, AutoFill_names!D:D,"")=0,"",_xlfn.XLOOKUP(A143, AutoFill_names!B:B, AutoFill_names!D:D,""))</f>
        <v/>
      </c>
      <c r="D143" s="115" t="str">
        <f>IF(_xlfn.XLOOKUP(A143, AutoFill_names!B:B, AutoFill_names!E:E,"")=0,"",_xlfn.XLOOKUP(A143, AutoFill_names!B:B, AutoFill_names!E:E,""))</f>
        <v/>
      </c>
      <c r="E143" s="115" t="str">
        <f>IF(_xlfn.XLOOKUP(A143, AutoFill_names!B:B, AutoFill_names!F:F,"")=0,"",_xlfn.XLOOKUP(A143, AutoFill_names!B:B, AutoFill_names!F:F,""))</f>
        <v/>
      </c>
      <c r="F143" s="92"/>
      <c r="J143" s="115" t="str">
        <f>IF(_xlfn.XLOOKUP(A143, AutoFill_names!B:B, AutoFill_names!K:K,"")=0,"",_xlfn.XLOOKUP(A143, AutoFill_names!B:B, AutoFill_names!K:K,""))</f>
        <v/>
      </c>
      <c r="K143" s="115" t="str">
        <f>IF(_xlfn.XLOOKUP(A143, AutoFill_names!B:B, AutoFill_names!L:L,"")=0,"",_xlfn.XLOOKUP(A143, AutoFill_names!B:B, AutoFill_names!L:L,""))</f>
        <v/>
      </c>
      <c r="L143" s="2"/>
      <c r="M143" s="2"/>
      <c r="N143" s="117" t="str">
        <f>IF(_xlfn.XLOOKUP(L143, AutoFill_classes!A:A, AutoFill_classes!B:B,"")=0,"",_xlfn.XLOOKUP(L143, AutoFill_classes!A:A, AutoFill_classes!B:B,""))</f>
        <v/>
      </c>
      <c r="O143" s="108"/>
      <c r="P143" s="7"/>
      <c r="Q143" s="7"/>
      <c r="R143" s="7"/>
      <c r="S143" s="2"/>
      <c r="T143" s="2"/>
      <c r="U143" s="2"/>
      <c r="X143" s="63"/>
      <c r="Y143" s="19"/>
      <c r="Z143" s="121" t="str">
        <f t="shared" si="108"/>
        <v/>
      </c>
      <c r="AA143" s="20"/>
      <c r="AB143" s="20"/>
      <c r="AC143" s="20"/>
      <c r="AD143" s="20"/>
      <c r="AE143" s="125" t="str">
        <f t="shared" si="109"/>
        <v/>
      </c>
      <c r="AF143" s="14"/>
      <c r="AG143" s="125" t="str">
        <f t="shared" si="110"/>
        <v/>
      </c>
      <c r="AH143" s="20"/>
      <c r="AI143" s="20"/>
      <c r="AJ143" s="125" t="str">
        <f t="shared" si="111"/>
        <v/>
      </c>
      <c r="AK143" s="14"/>
      <c r="AL143" s="125" t="str">
        <f t="shared" si="112"/>
        <v/>
      </c>
      <c r="AM143" s="20"/>
      <c r="AN143" s="20"/>
      <c r="AO143" s="125" t="str">
        <f t="shared" si="113"/>
        <v/>
      </c>
      <c r="AP143" s="125" t="str">
        <f t="shared" si="114"/>
        <v/>
      </c>
      <c r="AQ143" s="125" t="str">
        <f t="shared" si="115"/>
        <v/>
      </c>
      <c r="AR143" s="129" t="str">
        <f t="shared" si="116"/>
        <v/>
      </c>
      <c r="AS143" s="14"/>
      <c r="AT143" s="32"/>
      <c r="AU143" s="32"/>
      <c r="AV143" s="117" t="str">
        <f>IF(_xlfn.XLOOKUP(AT143, AutoFill_classes!$A:$A, AutoFill_classes!$B:$B,"")=0,"",_xlfn.XLOOKUP(AT143, AutoFill_classes!$A:$A, AutoFill_classes!$B:$B,""))</f>
        <v/>
      </c>
      <c r="AW143" s="108"/>
      <c r="AX143" s="13"/>
      <c r="AY143" s="13"/>
      <c r="AZ143" s="13"/>
      <c r="BA143" s="13"/>
      <c r="BB143" s="13"/>
      <c r="BC143" s="63"/>
      <c r="BD143" s="18"/>
      <c r="BE143" s="121" t="str">
        <f t="shared" si="117"/>
        <v/>
      </c>
      <c r="BF143" s="20"/>
      <c r="BG143" s="20"/>
      <c r="BH143" s="20"/>
      <c r="BI143" s="20"/>
      <c r="BJ143" s="125" t="str">
        <f t="shared" si="118"/>
        <v/>
      </c>
      <c r="BK143" s="14"/>
      <c r="BL143" s="125" t="str">
        <f t="shared" si="119"/>
        <v/>
      </c>
      <c r="BM143" s="20"/>
      <c r="BN143" s="20"/>
      <c r="BO143" s="125" t="str">
        <f t="shared" si="120"/>
        <v/>
      </c>
      <c r="BP143" s="14"/>
      <c r="BQ143" s="125" t="str">
        <f t="shared" si="121"/>
        <v/>
      </c>
      <c r="BR143" s="20"/>
      <c r="BS143" s="20"/>
      <c r="BT143" s="125" t="str">
        <f t="shared" si="122"/>
        <v/>
      </c>
      <c r="BU143" s="125" t="str">
        <f t="shared" si="123"/>
        <v/>
      </c>
      <c r="BV143" s="125" t="str">
        <f t="shared" si="124"/>
        <v/>
      </c>
      <c r="BW143" s="129" t="str">
        <f t="shared" si="125"/>
        <v/>
      </c>
      <c r="BX143" s="13"/>
      <c r="BY143" s="15"/>
      <c r="BZ143" s="14"/>
      <c r="CA143" s="117" t="str">
        <f>IF(_xlfn.XLOOKUP(BY143, AutoFill_classes!$A:$A, AutoFill_classes!$B:$B,"")=0,"",_xlfn.XLOOKUP(BY143, AutoFill_classes!$A:$A, AutoFill_classes!$B:$B,""))</f>
        <v/>
      </c>
      <c r="CB143" s="108"/>
      <c r="CC143" s="14"/>
      <c r="CD143" s="14"/>
      <c r="CE143" s="14"/>
      <c r="CF143" s="21"/>
      <c r="CG143" s="22"/>
      <c r="CH143" s="63"/>
      <c r="CI143" s="23"/>
      <c r="CJ143" s="121" t="str">
        <f t="shared" si="126"/>
        <v/>
      </c>
      <c r="CK143" s="20"/>
      <c r="CL143" s="20"/>
      <c r="CM143" s="20"/>
      <c r="CN143" s="20"/>
      <c r="CO143" s="125" t="str">
        <f t="shared" si="127"/>
        <v/>
      </c>
      <c r="CP143" s="14"/>
      <c r="CQ143" s="125" t="str">
        <f t="shared" si="128"/>
        <v/>
      </c>
      <c r="CR143" s="20"/>
      <c r="CS143" s="20"/>
      <c r="CT143" s="125" t="str">
        <f t="shared" si="129"/>
        <v/>
      </c>
      <c r="CU143" s="14"/>
      <c r="CV143" s="125" t="str">
        <f t="shared" si="130"/>
        <v/>
      </c>
      <c r="CW143" s="20"/>
      <c r="CX143" s="20"/>
      <c r="CY143" s="125" t="str">
        <f t="shared" si="131"/>
        <v/>
      </c>
      <c r="CZ143" s="125" t="str">
        <f t="shared" si="132"/>
        <v/>
      </c>
      <c r="DA143" s="125" t="str">
        <f t="shared" si="133"/>
        <v/>
      </c>
      <c r="DB143" s="129" t="str">
        <f t="shared" si="134"/>
        <v/>
      </c>
      <c r="DC143" s="14"/>
      <c r="DD143" s="62"/>
      <c r="DE143" s="105">
        <v>141</v>
      </c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spans="1:176" s="1" customFormat="1" ht="13" hidden="1" customHeight="1" outlineLevel="1" x14ac:dyDescent="0.2">
      <c r="A144" s="4"/>
      <c r="B144" s="115" t="str">
        <f>IF(_xlfn.XLOOKUP(A144, AutoFill_names!B:B, AutoFill_names!C:C,"")=0,"",_xlfn.XLOOKUP(A144, AutoFill_names!B:B, AutoFill_names!C:C,""))</f>
        <v/>
      </c>
      <c r="C144" s="115" t="str">
        <f>IF(_xlfn.XLOOKUP(A144, AutoFill_names!B:B, AutoFill_names!D:D,"")=0,"",_xlfn.XLOOKUP(A144, AutoFill_names!B:B, AutoFill_names!D:D,""))</f>
        <v/>
      </c>
      <c r="D144" s="115" t="str">
        <f>IF(_xlfn.XLOOKUP(A144, AutoFill_names!B:B, AutoFill_names!E:E,"")=0,"",_xlfn.XLOOKUP(A144, AutoFill_names!B:B, AutoFill_names!E:E,""))</f>
        <v/>
      </c>
      <c r="E144" s="115" t="str">
        <f>IF(_xlfn.XLOOKUP(A144, AutoFill_names!B:B, AutoFill_names!F:F,"")=0,"",_xlfn.XLOOKUP(A144, AutoFill_names!B:B, AutoFill_names!F:F,""))</f>
        <v/>
      </c>
      <c r="F144" s="92"/>
      <c r="J144" s="115" t="str">
        <f>IF(_xlfn.XLOOKUP(A144, AutoFill_names!B:B, AutoFill_names!K:K,"")=0,"",_xlfn.XLOOKUP(A144, AutoFill_names!B:B, AutoFill_names!K:K,""))</f>
        <v/>
      </c>
      <c r="K144" s="115" t="str">
        <f>IF(_xlfn.XLOOKUP(A144, AutoFill_names!B:B, AutoFill_names!L:L,"")=0,"",_xlfn.XLOOKUP(A144, AutoFill_names!B:B, AutoFill_names!L:L,""))</f>
        <v/>
      </c>
      <c r="L144" s="2"/>
      <c r="M144" s="2"/>
      <c r="N144" s="117" t="str">
        <f>IF(_xlfn.XLOOKUP(L144, AutoFill_classes!A:A, AutoFill_classes!B:B,"")=0,"",_xlfn.XLOOKUP(L144, AutoFill_classes!A:A, AutoFill_classes!B:B,""))</f>
        <v/>
      </c>
      <c r="O144" s="108"/>
      <c r="P144" s="7"/>
      <c r="Q144" s="7"/>
      <c r="R144" s="7"/>
      <c r="S144" s="2"/>
      <c r="T144" s="2"/>
      <c r="U144" s="2"/>
      <c r="X144" s="63"/>
      <c r="Y144" s="19"/>
      <c r="Z144" s="121" t="str">
        <f t="shared" si="108"/>
        <v/>
      </c>
      <c r="AA144" s="20"/>
      <c r="AB144" s="20"/>
      <c r="AC144" s="20"/>
      <c r="AD144" s="20"/>
      <c r="AE144" s="125" t="str">
        <f t="shared" si="109"/>
        <v/>
      </c>
      <c r="AF144" s="14"/>
      <c r="AG144" s="125" t="str">
        <f t="shared" si="110"/>
        <v/>
      </c>
      <c r="AH144" s="20"/>
      <c r="AI144" s="20"/>
      <c r="AJ144" s="125" t="str">
        <f t="shared" si="111"/>
        <v/>
      </c>
      <c r="AK144" s="14"/>
      <c r="AL144" s="125" t="str">
        <f t="shared" si="112"/>
        <v/>
      </c>
      <c r="AM144" s="20"/>
      <c r="AN144" s="20"/>
      <c r="AO144" s="125" t="str">
        <f t="shared" si="113"/>
        <v/>
      </c>
      <c r="AP144" s="125" t="str">
        <f t="shared" si="114"/>
        <v/>
      </c>
      <c r="AQ144" s="125" t="str">
        <f t="shared" si="115"/>
        <v/>
      </c>
      <c r="AR144" s="129" t="str">
        <f t="shared" si="116"/>
        <v/>
      </c>
      <c r="AS144" s="14"/>
      <c r="AT144" s="32"/>
      <c r="AU144" s="32"/>
      <c r="AV144" s="117" t="str">
        <f>IF(_xlfn.XLOOKUP(AT144, AutoFill_classes!$A:$A, AutoFill_classes!$B:$B,"")=0,"",_xlfn.XLOOKUP(AT144, AutoFill_classes!$A:$A, AutoFill_classes!$B:$B,""))</f>
        <v/>
      </c>
      <c r="AW144" s="108"/>
      <c r="AX144" s="13"/>
      <c r="AY144" s="13"/>
      <c r="AZ144" s="13"/>
      <c r="BA144" s="13"/>
      <c r="BB144" s="13"/>
      <c r="BC144" s="63"/>
      <c r="BD144" s="18"/>
      <c r="BE144" s="121" t="str">
        <f t="shared" si="117"/>
        <v/>
      </c>
      <c r="BF144" s="20"/>
      <c r="BG144" s="20"/>
      <c r="BH144" s="20"/>
      <c r="BI144" s="20"/>
      <c r="BJ144" s="125" t="str">
        <f t="shared" si="118"/>
        <v/>
      </c>
      <c r="BK144" s="14"/>
      <c r="BL144" s="125" t="str">
        <f t="shared" si="119"/>
        <v/>
      </c>
      <c r="BM144" s="20"/>
      <c r="BN144" s="20"/>
      <c r="BO144" s="125" t="str">
        <f t="shared" si="120"/>
        <v/>
      </c>
      <c r="BP144" s="14"/>
      <c r="BQ144" s="125" t="str">
        <f t="shared" si="121"/>
        <v/>
      </c>
      <c r="BR144" s="20"/>
      <c r="BS144" s="20"/>
      <c r="BT144" s="125" t="str">
        <f t="shared" si="122"/>
        <v/>
      </c>
      <c r="BU144" s="125" t="str">
        <f t="shared" si="123"/>
        <v/>
      </c>
      <c r="BV144" s="125" t="str">
        <f t="shared" si="124"/>
        <v/>
      </c>
      <c r="BW144" s="129" t="str">
        <f t="shared" si="125"/>
        <v/>
      </c>
      <c r="BX144" s="13"/>
      <c r="BY144" s="15"/>
      <c r="BZ144" s="14"/>
      <c r="CA144" s="117" t="str">
        <f>IF(_xlfn.XLOOKUP(BY144, AutoFill_classes!$A:$A, AutoFill_classes!$B:$B,"")=0,"",_xlfn.XLOOKUP(BY144, AutoFill_classes!$A:$A, AutoFill_classes!$B:$B,""))</f>
        <v/>
      </c>
      <c r="CB144" s="108"/>
      <c r="CC144" s="14"/>
      <c r="CD144" s="14"/>
      <c r="CE144" s="14"/>
      <c r="CF144" s="21"/>
      <c r="CG144" s="22"/>
      <c r="CH144" s="63"/>
      <c r="CI144" s="23"/>
      <c r="CJ144" s="121" t="str">
        <f t="shared" si="126"/>
        <v/>
      </c>
      <c r="CK144" s="20"/>
      <c r="CL144" s="20"/>
      <c r="CM144" s="20"/>
      <c r="CN144" s="20"/>
      <c r="CO144" s="125" t="str">
        <f t="shared" si="127"/>
        <v/>
      </c>
      <c r="CP144" s="14"/>
      <c r="CQ144" s="125" t="str">
        <f t="shared" si="128"/>
        <v/>
      </c>
      <c r="CR144" s="20"/>
      <c r="CS144" s="20"/>
      <c r="CT144" s="125" t="str">
        <f t="shared" si="129"/>
        <v/>
      </c>
      <c r="CU144" s="14"/>
      <c r="CV144" s="125" t="str">
        <f t="shared" si="130"/>
        <v/>
      </c>
      <c r="CW144" s="20"/>
      <c r="CX144" s="20"/>
      <c r="CY144" s="125" t="str">
        <f t="shared" si="131"/>
        <v/>
      </c>
      <c r="CZ144" s="125" t="str">
        <f t="shared" si="132"/>
        <v/>
      </c>
      <c r="DA144" s="125" t="str">
        <f t="shared" si="133"/>
        <v/>
      </c>
      <c r="DB144" s="129" t="str">
        <f t="shared" si="134"/>
        <v/>
      </c>
      <c r="DC144" s="14"/>
      <c r="DD144" s="62"/>
      <c r="DE144" s="105">
        <v>142</v>
      </c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spans="1:176" s="1" customFormat="1" ht="13" hidden="1" customHeight="1" outlineLevel="1" x14ac:dyDescent="0.2">
      <c r="A145" s="4"/>
      <c r="B145" s="115" t="str">
        <f>IF(_xlfn.XLOOKUP(A145, AutoFill_names!B:B, AutoFill_names!C:C,"")=0,"",_xlfn.XLOOKUP(A145, AutoFill_names!B:B, AutoFill_names!C:C,""))</f>
        <v/>
      </c>
      <c r="C145" s="115" t="str">
        <f>IF(_xlfn.XLOOKUP(A145, AutoFill_names!B:B, AutoFill_names!D:D,"")=0,"",_xlfn.XLOOKUP(A145, AutoFill_names!B:B, AutoFill_names!D:D,""))</f>
        <v/>
      </c>
      <c r="D145" s="115" t="str">
        <f>IF(_xlfn.XLOOKUP(A145, AutoFill_names!B:B, AutoFill_names!E:E,"")=0,"",_xlfn.XLOOKUP(A145, AutoFill_names!B:B, AutoFill_names!E:E,""))</f>
        <v/>
      </c>
      <c r="E145" s="115" t="str">
        <f>IF(_xlfn.XLOOKUP(A145, AutoFill_names!B:B, AutoFill_names!F:F,"")=0,"",_xlfn.XLOOKUP(A145, AutoFill_names!B:B, AutoFill_names!F:F,""))</f>
        <v/>
      </c>
      <c r="F145" s="92"/>
      <c r="J145" s="115" t="str">
        <f>IF(_xlfn.XLOOKUP(A145, AutoFill_names!B:B, AutoFill_names!K:K,"")=0,"",_xlfn.XLOOKUP(A145, AutoFill_names!B:B, AutoFill_names!K:K,""))</f>
        <v/>
      </c>
      <c r="K145" s="115" t="str">
        <f>IF(_xlfn.XLOOKUP(A145, AutoFill_names!B:B, AutoFill_names!L:L,"")=0,"",_xlfn.XLOOKUP(A145, AutoFill_names!B:B, AutoFill_names!L:L,""))</f>
        <v/>
      </c>
      <c r="L145" s="2"/>
      <c r="M145" s="2"/>
      <c r="N145" s="117" t="str">
        <f>IF(_xlfn.XLOOKUP(L145, AutoFill_classes!A:A, AutoFill_classes!B:B,"")=0,"",_xlfn.XLOOKUP(L145, AutoFill_classes!A:A, AutoFill_classes!B:B,""))</f>
        <v/>
      </c>
      <c r="O145" s="108"/>
      <c r="P145" s="7"/>
      <c r="Q145" s="7"/>
      <c r="R145" s="7"/>
      <c r="S145" s="2"/>
      <c r="T145" s="2"/>
      <c r="U145" s="2"/>
      <c r="X145" s="63"/>
      <c r="Y145" s="19"/>
      <c r="Z145" s="121" t="str">
        <f t="shared" si="108"/>
        <v/>
      </c>
      <c r="AA145" s="20"/>
      <c r="AB145" s="20"/>
      <c r="AC145" s="20"/>
      <c r="AD145" s="20"/>
      <c r="AE145" s="125" t="str">
        <f t="shared" si="109"/>
        <v/>
      </c>
      <c r="AF145" s="14"/>
      <c r="AG145" s="125" t="str">
        <f t="shared" si="110"/>
        <v/>
      </c>
      <c r="AH145" s="20"/>
      <c r="AI145" s="20"/>
      <c r="AJ145" s="125" t="str">
        <f t="shared" si="111"/>
        <v/>
      </c>
      <c r="AK145" s="14"/>
      <c r="AL145" s="125" t="str">
        <f t="shared" si="112"/>
        <v/>
      </c>
      <c r="AM145" s="20"/>
      <c r="AN145" s="20"/>
      <c r="AO145" s="125" t="str">
        <f t="shared" si="113"/>
        <v/>
      </c>
      <c r="AP145" s="125" t="str">
        <f t="shared" si="114"/>
        <v/>
      </c>
      <c r="AQ145" s="125" t="str">
        <f t="shared" si="115"/>
        <v/>
      </c>
      <c r="AR145" s="129" t="str">
        <f t="shared" si="116"/>
        <v/>
      </c>
      <c r="AS145" s="14"/>
      <c r="AT145" s="32"/>
      <c r="AU145" s="32"/>
      <c r="AV145" s="117" t="str">
        <f>IF(_xlfn.XLOOKUP(AT145, AutoFill_classes!$A:$A, AutoFill_classes!$B:$B,"")=0,"",_xlfn.XLOOKUP(AT145, AutoFill_classes!$A:$A, AutoFill_classes!$B:$B,""))</f>
        <v/>
      </c>
      <c r="AW145" s="108"/>
      <c r="AX145" s="13"/>
      <c r="AY145" s="13"/>
      <c r="AZ145" s="13"/>
      <c r="BA145" s="13"/>
      <c r="BB145" s="13"/>
      <c r="BC145" s="63"/>
      <c r="BD145" s="18"/>
      <c r="BE145" s="121" t="str">
        <f t="shared" si="117"/>
        <v/>
      </c>
      <c r="BF145" s="20"/>
      <c r="BG145" s="20"/>
      <c r="BH145" s="20"/>
      <c r="BI145" s="20"/>
      <c r="BJ145" s="125" t="str">
        <f t="shared" si="118"/>
        <v/>
      </c>
      <c r="BK145" s="14"/>
      <c r="BL145" s="125" t="str">
        <f t="shared" si="119"/>
        <v/>
      </c>
      <c r="BM145" s="20"/>
      <c r="BN145" s="20"/>
      <c r="BO145" s="125" t="str">
        <f t="shared" si="120"/>
        <v/>
      </c>
      <c r="BP145" s="14"/>
      <c r="BQ145" s="125" t="str">
        <f t="shared" si="121"/>
        <v/>
      </c>
      <c r="BR145" s="20"/>
      <c r="BS145" s="20"/>
      <c r="BT145" s="125" t="str">
        <f t="shared" si="122"/>
        <v/>
      </c>
      <c r="BU145" s="125" t="str">
        <f t="shared" si="123"/>
        <v/>
      </c>
      <c r="BV145" s="125" t="str">
        <f t="shared" si="124"/>
        <v/>
      </c>
      <c r="BW145" s="129" t="str">
        <f t="shared" si="125"/>
        <v/>
      </c>
      <c r="BX145" s="13"/>
      <c r="BY145" s="15"/>
      <c r="BZ145" s="14"/>
      <c r="CA145" s="117" t="str">
        <f>IF(_xlfn.XLOOKUP(BY145, AutoFill_classes!$A:$A, AutoFill_classes!$B:$B,"")=0,"",_xlfn.XLOOKUP(BY145, AutoFill_classes!$A:$A, AutoFill_classes!$B:$B,""))</f>
        <v/>
      </c>
      <c r="CB145" s="108"/>
      <c r="CC145" s="14"/>
      <c r="CD145" s="14"/>
      <c r="CE145" s="14"/>
      <c r="CF145" s="21"/>
      <c r="CG145" s="22"/>
      <c r="CH145" s="63"/>
      <c r="CI145" s="23"/>
      <c r="CJ145" s="121" t="str">
        <f t="shared" si="126"/>
        <v/>
      </c>
      <c r="CK145" s="20"/>
      <c r="CL145" s="20"/>
      <c r="CM145" s="20"/>
      <c r="CN145" s="20"/>
      <c r="CO145" s="125" t="str">
        <f t="shared" si="127"/>
        <v/>
      </c>
      <c r="CP145" s="14"/>
      <c r="CQ145" s="125" t="str">
        <f t="shared" si="128"/>
        <v/>
      </c>
      <c r="CR145" s="20"/>
      <c r="CS145" s="20"/>
      <c r="CT145" s="125" t="str">
        <f t="shared" si="129"/>
        <v/>
      </c>
      <c r="CU145" s="14"/>
      <c r="CV145" s="125" t="str">
        <f t="shared" si="130"/>
        <v/>
      </c>
      <c r="CW145" s="20"/>
      <c r="CX145" s="20"/>
      <c r="CY145" s="125" t="str">
        <f t="shared" si="131"/>
        <v/>
      </c>
      <c r="CZ145" s="125" t="str">
        <f t="shared" si="132"/>
        <v/>
      </c>
      <c r="DA145" s="125" t="str">
        <f t="shared" si="133"/>
        <v/>
      </c>
      <c r="DB145" s="129" t="str">
        <f t="shared" si="134"/>
        <v/>
      </c>
      <c r="DC145" s="14"/>
      <c r="DD145" s="62"/>
      <c r="DE145" s="105">
        <v>143</v>
      </c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spans="1:176" s="1" customFormat="1" ht="13" hidden="1" customHeight="1" outlineLevel="1" x14ac:dyDescent="0.2">
      <c r="A146" s="4"/>
      <c r="B146" s="115" t="str">
        <f>IF(_xlfn.XLOOKUP(A146, AutoFill_names!B:B, AutoFill_names!C:C,"")=0,"",_xlfn.XLOOKUP(A146, AutoFill_names!B:B, AutoFill_names!C:C,""))</f>
        <v/>
      </c>
      <c r="C146" s="115" t="str">
        <f>IF(_xlfn.XLOOKUP(A146, AutoFill_names!B:B, AutoFill_names!D:D,"")=0,"",_xlfn.XLOOKUP(A146, AutoFill_names!B:B, AutoFill_names!D:D,""))</f>
        <v/>
      </c>
      <c r="D146" s="115" t="str">
        <f>IF(_xlfn.XLOOKUP(A146, AutoFill_names!B:B, AutoFill_names!E:E,"")=0,"",_xlfn.XLOOKUP(A146, AutoFill_names!B:B, AutoFill_names!E:E,""))</f>
        <v/>
      </c>
      <c r="E146" s="115" t="str">
        <f>IF(_xlfn.XLOOKUP(A146, AutoFill_names!B:B, AutoFill_names!F:F,"")=0,"",_xlfn.XLOOKUP(A146, AutoFill_names!B:B, AutoFill_names!F:F,""))</f>
        <v/>
      </c>
      <c r="F146" s="92"/>
      <c r="J146" s="115" t="str">
        <f>IF(_xlfn.XLOOKUP(A146, AutoFill_names!B:B, AutoFill_names!K:K,"")=0,"",_xlfn.XLOOKUP(A146, AutoFill_names!B:B, AutoFill_names!K:K,""))</f>
        <v/>
      </c>
      <c r="K146" s="115" t="str">
        <f>IF(_xlfn.XLOOKUP(A146, AutoFill_names!B:B, AutoFill_names!L:L,"")=0,"",_xlfn.XLOOKUP(A146, AutoFill_names!B:B, AutoFill_names!L:L,""))</f>
        <v/>
      </c>
      <c r="L146" s="2"/>
      <c r="M146" s="2"/>
      <c r="N146" s="117" t="str">
        <f>IF(_xlfn.XLOOKUP(L146, AutoFill_classes!A:A, AutoFill_classes!B:B,"")=0,"",_xlfn.XLOOKUP(L146, AutoFill_classes!A:A, AutoFill_classes!B:B,""))</f>
        <v/>
      </c>
      <c r="O146" s="108"/>
      <c r="P146" s="7"/>
      <c r="Q146" s="7"/>
      <c r="R146" s="7"/>
      <c r="S146" s="2"/>
      <c r="T146" s="2"/>
      <c r="U146" s="2"/>
      <c r="X146" s="63"/>
      <c r="Y146" s="19"/>
      <c r="Z146" s="121" t="str">
        <f t="shared" si="108"/>
        <v/>
      </c>
      <c r="AA146" s="20"/>
      <c r="AB146" s="20"/>
      <c r="AC146" s="20"/>
      <c r="AD146" s="20"/>
      <c r="AE146" s="125" t="str">
        <f t="shared" si="109"/>
        <v/>
      </c>
      <c r="AF146" s="14"/>
      <c r="AG146" s="125" t="str">
        <f t="shared" si="110"/>
        <v/>
      </c>
      <c r="AH146" s="20"/>
      <c r="AI146" s="20"/>
      <c r="AJ146" s="125" t="str">
        <f t="shared" si="111"/>
        <v/>
      </c>
      <c r="AK146" s="14"/>
      <c r="AL146" s="125" t="str">
        <f t="shared" si="112"/>
        <v/>
      </c>
      <c r="AM146" s="20"/>
      <c r="AN146" s="20"/>
      <c r="AO146" s="125" t="str">
        <f t="shared" si="113"/>
        <v/>
      </c>
      <c r="AP146" s="125" t="str">
        <f t="shared" si="114"/>
        <v/>
      </c>
      <c r="AQ146" s="125" t="str">
        <f t="shared" si="115"/>
        <v/>
      </c>
      <c r="AR146" s="129" t="str">
        <f t="shared" si="116"/>
        <v/>
      </c>
      <c r="AS146" s="14"/>
      <c r="AT146" s="32"/>
      <c r="AU146" s="32"/>
      <c r="AV146" s="117" t="str">
        <f>IF(_xlfn.XLOOKUP(AT146, AutoFill_classes!$A:$A, AutoFill_classes!$B:$B,"")=0,"",_xlfn.XLOOKUP(AT146, AutoFill_classes!$A:$A, AutoFill_classes!$B:$B,""))</f>
        <v/>
      </c>
      <c r="AW146" s="108"/>
      <c r="AX146" s="13"/>
      <c r="AY146" s="13"/>
      <c r="AZ146" s="13"/>
      <c r="BA146" s="13"/>
      <c r="BB146" s="13"/>
      <c r="BC146" s="63"/>
      <c r="BD146" s="18"/>
      <c r="BE146" s="121" t="str">
        <f t="shared" si="117"/>
        <v/>
      </c>
      <c r="BF146" s="20"/>
      <c r="BG146" s="20"/>
      <c r="BH146" s="20"/>
      <c r="BI146" s="20"/>
      <c r="BJ146" s="125" t="str">
        <f t="shared" si="118"/>
        <v/>
      </c>
      <c r="BK146" s="14"/>
      <c r="BL146" s="125" t="str">
        <f t="shared" si="119"/>
        <v/>
      </c>
      <c r="BM146" s="20"/>
      <c r="BN146" s="20"/>
      <c r="BO146" s="125" t="str">
        <f t="shared" si="120"/>
        <v/>
      </c>
      <c r="BP146" s="14"/>
      <c r="BQ146" s="125" t="str">
        <f t="shared" si="121"/>
        <v/>
      </c>
      <c r="BR146" s="20"/>
      <c r="BS146" s="20"/>
      <c r="BT146" s="125" t="str">
        <f t="shared" si="122"/>
        <v/>
      </c>
      <c r="BU146" s="125" t="str">
        <f t="shared" si="123"/>
        <v/>
      </c>
      <c r="BV146" s="125" t="str">
        <f t="shared" si="124"/>
        <v/>
      </c>
      <c r="BW146" s="129" t="str">
        <f t="shared" si="125"/>
        <v/>
      </c>
      <c r="BX146" s="13"/>
      <c r="BY146" s="15"/>
      <c r="BZ146" s="14"/>
      <c r="CA146" s="117" t="str">
        <f>IF(_xlfn.XLOOKUP(BY146, AutoFill_classes!$A:$A, AutoFill_classes!$B:$B,"")=0,"",_xlfn.XLOOKUP(BY146, AutoFill_classes!$A:$A, AutoFill_classes!$B:$B,""))</f>
        <v/>
      </c>
      <c r="CB146" s="108"/>
      <c r="CC146" s="14"/>
      <c r="CD146" s="14"/>
      <c r="CE146" s="14"/>
      <c r="CF146" s="21"/>
      <c r="CG146" s="22"/>
      <c r="CH146" s="63"/>
      <c r="CI146" s="23"/>
      <c r="CJ146" s="121" t="str">
        <f t="shared" si="126"/>
        <v/>
      </c>
      <c r="CK146" s="20"/>
      <c r="CL146" s="20"/>
      <c r="CM146" s="20"/>
      <c r="CN146" s="20"/>
      <c r="CO146" s="125" t="str">
        <f t="shared" si="127"/>
        <v/>
      </c>
      <c r="CP146" s="14"/>
      <c r="CQ146" s="125" t="str">
        <f t="shared" si="128"/>
        <v/>
      </c>
      <c r="CR146" s="20"/>
      <c r="CS146" s="20"/>
      <c r="CT146" s="125" t="str">
        <f t="shared" si="129"/>
        <v/>
      </c>
      <c r="CU146" s="14"/>
      <c r="CV146" s="125" t="str">
        <f t="shared" si="130"/>
        <v/>
      </c>
      <c r="CW146" s="20"/>
      <c r="CX146" s="20"/>
      <c r="CY146" s="125" t="str">
        <f t="shared" si="131"/>
        <v/>
      </c>
      <c r="CZ146" s="125" t="str">
        <f t="shared" si="132"/>
        <v/>
      </c>
      <c r="DA146" s="125" t="str">
        <f t="shared" si="133"/>
        <v/>
      </c>
      <c r="DB146" s="129" t="str">
        <f t="shared" si="134"/>
        <v/>
      </c>
      <c r="DC146" s="14"/>
      <c r="DD146" s="62"/>
      <c r="DE146" s="105">
        <v>144</v>
      </c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</row>
    <row r="147" spans="1:176" s="1" customFormat="1" ht="13" hidden="1" customHeight="1" outlineLevel="1" x14ac:dyDescent="0.2">
      <c r="A147" s="4"/>
      <c r="B147" s="115" t="str">
        <f>IF(_xlfn.XLOOKUP(A147, AutoFill_names!B:B, AutoFill_names!C:C,"")=0,"",_xlfn.XLOOKUP(A147, AutoFill_names!B:B, AutoFill_names!C:C,""))</f>
        <v/>
      </c>
      <c r="C147" s="115" t="str">
        <f>IF(_xlfn.XLOOKUP(A147, AutoFill_names!B:B, AutoFill_names!D:D,"")=0,"",_xlfn.XLOOKUP(A147, AutoFill_names!B:B, AutoFill_names!D:D,""))</f>
        <v/>
      </c>
      <c r="D147" s="115" t="str">
        <f>IF(_xlfn.XLOOKUP(A147, AutoFill_names!B:B, AutoFill_names!E:E,"")=0,"",_xlfn.XLOOKUP(A147, AutoFill_names!B:B, AutoFill_names!E:E,""))</f>
        <v/>
      </c>
      <c r="E147" s="115" t="str">
        <f>IF(_xlfn.XLOOKUP(A147, AutoFill_names!B:B, AutoFill_names!F:F,"")=0,"",_xlfn.XLOOKUP(A147, AutoFill_names!B:B, AutoFill_names!F:F,""))</f>
        <v/>
      </c>
      <c r="F147" s="92"/>
      <c r="J147" s="115" t="str">
        <f>IF(_xlfn.XLOOKUP(A147, AutoFill_names!B:B, AutoFill_names!K:K,"")=0,"",_xlfn.XLOOKUP(A147, AutoFill_names!B:B, AutoFill_names!K:K,""))</f>
        <v/>
      </c>
      <c r="K147" s="115" t="str">
        <f>IF(_xlfn.XLOOKUP(A147, AutoFill_names!B:B, AutoFill_names!L:L,"")=0,"",_xlfn.XLOOKUP(A147, AutoFill_names!B:B, AutoFill_names!L:L,""))</f>
        <v/>
      </c>
      <c r="L147" s="2"/>
      <c r="M147" s="2"/>
      <c r="N147" s="117" t="str">
        <f>IF(_xlfn.XLOOKUP(L147, AutoFill_classes!A:A, AutoFill_classes!B:B,"")=0,"",_xlfn.XLOOKUP(L147, AutoFill_classes!A:A, AutoFill_classes!B:B,""))</f>
        <v/>
      </c>
      <c r="O147" s="108"/>
      <c r="P147" s="7"/>
      <c r="Q147" s="7"/>
      <c r="R147" s="7"/>
      <c r="S147" s="2"/>
      <c r="T147" s="2"/>
      <c r="U147" s="2"/>
      <c r="X147" s="63"/>
      <c r="Y147" s="19"/>
      <c r="Z147" s="121" t="str">
        <f t="shared" si="108"/>
        <v/>
      </c>
      <c r="AA147" s="20"/>
      <c r="AB147" s="20"/>
      <c r="AC147" s="20"/>
      <c r="AD147" s="20"/>
      <c r="AE147" s="125" t="str">
        <f t="shared" si="109"/>
        <v/>
      </c>
      <c r="AF147" s="14"/>
      <c r="AG147" s="125" t="str">
        <f t="shared" si="110"/>
        <v/>
      </c>
      <c r="AH147" s="20"/>
      <c r="AI147" s="20"/>
      <c r="AJ147" s="125" t="str">
        <f t="shared" si="111"/>
        <v/>
      </c>
      <c r="AK147" s="14"/>
      <c r="AL147" s="125" t="str">
        <f t="shared" si="112"/>
        <v/>
      </c>
      <c r="AM147" s="20"/>
      <c r="AN147" s="20"/>
      <c r="AO147" s="125" t="str">
        <f t="shared" si="113"/>
        <v/>
      </c>
      <c r="AP147" s="125" t="str">
        <f t="shared" si="114"/>
        <v/>
      </c>
      <c r="AQ147" s="125" t="str">
        <f t="shared" si="115"/>
        <v/>
      </c>
      <c r="AR147" s="129" t="str">
        <f t="shared" si="116"/>
        <v/>
      </c>
      <c r="AS147" s="14"/>
      <c r="AT147" s="32"/>
      <c r="AU147" s="32"/>
      <c r="AV147" s="117" t="str">
        <f>IF(_xlfn.XLOOKUP(AT147, AutoFill_classes!$A:$A, AutoFill_classes!$B:$B,"")=0,"",_xlfn.XLOOKUP(AT147, AutoFill_classes!$A:$A, AutoFill_classes!$B:$B,""))</f>
        <v/>
      </c>
      <c r="AW147" s="108"/>
      <c r="AX147" s="13"/>
      <c r="AY147" s="13"/>
      <c r="AZ147" s="13"/>
      <c r="BA147" s="13"/>
      <c r="BB147" s="13"/>
      <c r="BC147" s="63"/>
      <c r="BD147" s="18"/>
      <c r="BE147" s="121" t="str">
        <f t="shared" si="117"/>
        <v/>
      </c>
      <c r="BF147" s="20"/>
      <c r="BG147" s="20"/>
      <c r="BH147" s="20"/>
      <c r="BI147" s="20"/>
      <c r="BJ147" s="125" t="str">
        <f t="shared" si="118"/>
        <v/>
      </c>
      <c r="BK147" s="14"/>
      <c r="BL147" s="125" t="str">
        <f t="shared" si="119"/>
        <v/>
      </c>
      <c r="BM147" s="20"/>
      <c r="BN147" s="20"/>
      <c r="BO147" s="125" t="str">
        <f t="shared" si="120"/>
        <v/>
      </c>
      <c r="BP147" s="14"/>
      <c r="BQ147" s="125" t="str">
        <f t="shared" si="121"/>
        <v/>
      </c>
      <c r="BR147" s="20"/>
      <c r="BS147" s="20"/>
      <c r="BT147" s="125" t="str">
        <f t="shared" si="122"/>
        <v/>
      </c>
      <c r="BU147" s="125" t="str">
        <f t="shared" si="123"/>
        <v/>
      </c>
      <c r="BV147" s="125" t="str">
        <f t="shared" si="124"/>
        <v/>
      </c>
      <c r="BW147" s="129" t="str">
        <f t="shared" si="125"/>
        <v/>
      </c>
      <c r="BX147" s="13"/>
      <c r="BY147" s="15"/>
      <c r="BZ147" s="14"/>
      <c r="CA147" s="117" t="str">
        <f>IF(_xlfn.XLOOKUP(BY147, AutoFill_classes!$A:$A, AutoFill_classes!$B:$B,"")=0,"",_xlfn.XLOOKUP(BY147, AutoFill_classes!$A:$A, AutoFill_classes!$B:$B,""))</f>
        <v/>
      </c>
      <c r="CB147" s="108"/>
      <c r="CC147" s="14"/>
      <c r="CD147" s="14"/>
      <c r="CE147" s="14"/>
      <c r="CF147" s="21"/>
      <c r="CG147" s="22"/>
      <c r="CH147" s="63"/>
      <c r="CI147" s="23"/>
      <c r="CJ147" s="121" t="str">
        <f t="shared" si="126"/>
        <v/>
      </c>
      <c r="CK147" s="20"/>
      <c r="CL147" s="20"/>
      <c r="CM147" s="20"/>
      <c r="CN147" s="20"/>
      <c r="CO147" s="125" t="str">
        <f t="shared" si="127"/>
        <v/>
      </c>
      <c r="CP147" s="14"/>
      <c r="CQ147" s="125" t="str">
        <f t="shared" si="128"/>
        <v/>
      </c>
      <c r="CR147" s="20"/>
      <c r="CS147" s="20"/>
      <c r="CT147" s="125" t="str">
        <f t="shared" si="129"/>
        <v/>
      </c>
      <c r="CU147" s="14"/>
      <c r="CV147" s="125" t="str">
        <f t="shared" si="130"/>
        <v/>
      </c>
      <c r="CW147" s="20"/>
      <c r="CX147" s="20"/>
      <c r="CY147" s="125" t="str">
        <f t="shared" si="131"/>
        <v/>
      </c>
      <c r="CZ147" s="125" t="str">
        <f t="shared" si="132"/>
        <v/>
      </c>
      <c r="DA147" s="125" t="str">
        <f t="shared" si="133"/>
        <v/>
      </c>
      <c r="DB147" s="129" t="str">
        <f t="shared" si="134"/>
        <v/>
      </c>
      <c r="DC147" s="14"/>
      <c r="DD147" s="62"/>
      <c r="DE147" s="105">
        <v>145</v>
      </c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spans="1:176" s="1" customFormat="1" ht="13" hidden="1" customHeight="1" outlineLevel="1" x14ac:dyDescent="0.2">
      <c r="A148" s="4"/>
      <c r="B148" s="115" t="str">
        <f>IF(_xlfn.XLOOKUP(A148, AutoFill_names!B:B, AutoFill_names!C:C,"")=0,"",_xlfn.XLOOKUP(A148, AutoFill_names!B:B, AutoFill_names!C:C,""))</f>
        <v/>
      </c>
      <c r="C148" s="115" t="str">
        <f>IF(_xlfn.XLOOKUP(A148, AutoFill_names!B:B, AutoFill_names!D:D,"")=0,"",_xlfn.XLOOKUP(A148, AutoFill_names!B:B, AutoFill_names!D:D,""))</f>
        <v/>
      </c>
      <c r="D148" s="115" t="str">
        <f>IF(_xlfn.XLOOKUP(A148, AutoFill_names!B:B, AutoFill_names!E:E,"")=0,"",_xlfn.XLOOKUP(A148, AutoFill_names!B:B, AutoFill_names!E:E,""))</f>
        <v/>
      </c>
      <c r="E148" s="115" t="str">
        <f>IF(_xlfn.XLOOKUP(A148, AutoFill_names!B:B, AutoFill_names!F:F,"")=0,"",_xlfn.XLOOKUP(A148, AutoFill_names!B:B, AutoFill_names!F:F,""))</f>
        <v/>
      </c>
      <c r="F148" s="92"/>
      <c r="J148" s="115" t="str">
        <f>IF(_xlfn.XLOOKUP(A148, AutoFill_names!B:B, AutoFill_names!K:K,"")=0,"",_xlfn.XLOOKUP(A148, AutoFill_names!B:B, AutoFill_names!K:K,""))</f>
        <v/>
      </c>
      <c r="K148" s="115" t="str">
        <f>IF(_xlfn.XLOOKUP(A148, AutoFill_names!B:B, AutoFill_names!L:L,"")=0,"",_xlfn.XLOOKUP(A148, AutoFill_names!B:B, AutoFill_names!L:L,""))</f>
        <v/>
      </c>
      <c r="L148" s="2"/>
      <c r="M148" s="2"/>
      <c r="N148" s="117" t="str">
        <f>IF(_xlfn.XLOOKUP(L148, AutoFill_classes!A:A, AutoFill_classes!B:B,"")=0,"",_xlfn.XLOOKUP(L148, AutoFill_classes!A:A, AutoFill_classes!B:B,""))</f>
        <v/>
      </c>
      <c r="O148" s="108"/>
      <c r="P148" s="7"/>
      <c r="Q148" s="7"/>
      <c r="R148" s="7"/>
      <c r="S148" s="2"/>
      <c r="T148" s="2"/>
      <c r="U148" s="2"/>
      <c r="X148" s="63"/>
      <c r="Y148" s="19"/>
      <c r="Z148" s="121" t="str">
        <f t="shared" si="108"/>
        <v/>
      </c>
      <c r="AA148" s="20"/>
      <c r="AB148" s="20"/>
      <c r="AC148" s="20"/>
      <c r="AD148" s="20"/>
      <c r="AE148" s="125" t="str">
        <f t="shared" si="109"/>
        <v/>
      </c>
      <c r="AF148" s="14"/>
      <c r="AG148" s="125" t="str">
        <f t="shared" si="110"/>
        <v/>
      </c>
      <c r="AH148" s="20"/>
      <c r="AI148" s="20"/>
      <c r="AJ148" s="125" t="str">
        <f t="shared" si="111"/>
        <v/>
      </c>
      <c r="AK148" s="14"/>
      <c r="AL148" s="125" t="str">
        <f t="shared" si="112"/>
        <v/>
      </c>
      <c r="AM148" s="20"/>
      <c r="AN148" s="20"/>
      <c r="AO148" s="125" t="str">
        <f t="shared" si="113"/>
        <v/>
      </c>
      <c r="AP148" s="125" t="str">
        <f t="shared" si="114"/>
        <v/>
      </c>
      <c r="AQ148" s="125" t="str">
        <f t="shared" si="115"/>
        <v/>
      </c>
      <c r="AR148" s="129" t="str">
        <f t="shared" si="116"/>
        <v/>
      </c>
      <c r="AS148" s="14"/>
      <c r="AT148" s="32"/>
      <c r="AU148" s="32"/>
      <c r="AV148" s="117" t="str">
        <f>IF(_xlfn.XLOOKUP(AT148, AutoFill_classes!$A:$A, AutoFill_classes!$B:$B,"")=0,"",_xlfn.XLOOKUP(AT148, AutoFill_classes!$A:$A, AutoFill_classes!$B:$B,""))</f>
        <v/>
      </c>
      <c r="AW148" s="108"/>
      <c r="AX148" s="13"/>
      <c r="AY148" s="13"/>
      <c r="AZ148" s="13"/>
      <c r="BA148" s="13"/>
      <c r="BB148" s="13"/>
      <c r="BC148" s="63"/>
      <c r="BD148" s="18"/>
      <c r="BE148" s="121" t="str">
        <f t="shared" si="117"/>
        <v/>
      </c>
      <c r="BF148" s="20"/>
      <c r="BG148" s="20"/>
      <c r="BH148" s="20"/>
      <c r="BI148" s="20"/>
      <c r="BJ148" s="125" t="str">
        <f t="shared" si="118"/>
        <v/>
      </c>
      <c r="BK148" s="14"/>
      <c r="BL148" s="125" t="str">
        <f t="shared" si="119"/>
        <v/>
      </c>
      <c r="BM148" s="20"/>
      <c r="BN148" s="20"/>
      <c r="BO148" s="125" t="str">
        <f t="shared" si="120"/>
        <v/>
      </c>
      <c r="BP148" s="14"/>
      <c r="BQ148" s="125" t="str">
        <f t="shared" si="121"/>
        <v/>
      </c>
      <c r="BR148" s="20"/>
      <c r="BS148" s="20"/>
      <c r="BT148" s="125" t="str">
        <f t="shared" si="122"/>
        <v/>
      </c>
      <c r="BU148" s="125" t="str">
        <f t="shared" si="123"/>
        <v/>
      </c>
      <c r="BV148" s="125" t="str">
        <f t="shared" si="124"/>
        <v/>
      </c>
      <c r="BW148" s="129" t="str">
        <f t="shared" si="125"/>
        <v/>
      </c>
      <c r="BX148" s="13"/>
      <c r="BY148" s="15"/>
      <c r="BZ148" s="14"/>
      <c r="CA148" s="117" t="str">
        <f>IF(_xlfn.XLOOKUP(BY148, AutoFill_classes!$A:$A, AutoFill_classes!$B:$B,"")=0,"",_xlfn.XLOOKUP(BY148, AutoFill_classes!$A:$A, AutoFill_classes!$B:$B,""))</f>
        <v/>
      </c>
      <c r="CB148" s="108"/>
      <c r="CC148" s="14"/>
      <c r="CD148" s="14"/>
      <c r="CE148" s="14"/>
      <c r="CF148" s="21"/>
      <c r="CG148" s="22"/>
      <c r="CH148" s="63"/>
      <c r="CI148" s="23"/>
      <c r="CJ148" s="121" t="str">
        <f t="shared" si="126"/>
        <v/>
      </c>
      <c r="CK148" s="20"/>
      <c r="CL148" s="20"/>
      <c r="CM148" s="20"/>
      <c r="CN148" s="20"/>
      <c r="CO148" s="125" t="str">
        <f t="shared" si="127"/>
        <v/>
      </c>
      <c r="CP148" s="14"/>
      <c r="CQ148" s="125" t="str">
        <f t="shared" si="128"/>
        <v/>
      </c>
      <c r="CR148" s="20"/>
      <c r="CS148" s="20"/>
      <c r="CT148" s="125" t="str">
        <f t="shared" si="129"/>
        <v/>
      </c>
      <c r="CU148" s="14"/>
      <c r="CV148" s="125" t="str">
        <f t="shared" si="130"/>
        <v/>
      </c>
      <c r="CW148" s="20"/>
      <c r="CX148" s="20"/>
      <c r="CY148" s="125" t="str">
        <f t="shared" si="131"/>
        <v/>
      </c>
      <c r="CZ148" s="125" t="str">
        <f t="shared" si="132"/>
        <v/>
      </c>
      <c r="DA148" s="125" t="str">
        <f t="shared" si="133"/>
        <v/>
      </c>
      <c r="DB148" s="129" t="str">
        <f t="shared" si="134"/>
        <v/>
      </c>
      <c r="DC148" s="14"/>
      <c r="DD148" s="62"/>
      <c r="DE148" s="105">
        <v>146</v>
      </c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spans="1:176" s="1" customFormat="1" ht="13" hidden="1" customHeight="1" outlineLevel="1" x14ac:dyDescent="0.2">
      <c r="A149" s="4"/>
      <c r="B149" s="115" t="str">
        <f>IF(_xlfn.XLOOKUP(A149, AutoFill_names!B:B, AutoFill_names!C:C,"")=0,"",_xlfn.XLOOKUP(A149, AutoFill_names!B:B, AutoFill_names!C:C,""))</f>
        <v/>
      </c>
      <c r="C149" s="115" t="str">
        <f>IF(_xlfn.XLOOKUP(A149, AutoFill_names!B:B, AutoFill_names!D:D,"")=0,"",_xlfn.XLOOKUP(A149, AutoFill_names!B:B, AutoFill_names!D:D,""))</f>
        <v/>
      </c>
      <c r="D149" s="115" t="str">
        <f>IF(_xlfn.XLOOKUP(A149, AutoFill_names!B:B, AutoFill_names!E:E,"")=0,"",_xlfn.XLOOKUP(A149, AutoFill_names!B:B, AutoFill_names!E:E,""))</f>
        <v/>
      </c>
      <c r="E149" s="115" t="str">
        <f>IF(_xlfn.XLOOKUP(A149, AutoFill_names!B:B, AutoFill_names!F:F,"")=0,"",_xlfn.XLOOKUP(A149, AutoFill_names!B:B, AutoFill_names!F:F,""))</f>
        <v/>
      </c>
      <c r="F149" s="92"/>
      <c r="J149" s="115" t="str">
        <f>IF(_xlfn.XLOOKUP(A149, AutoFill_names!B:B, AutoFill_names!K:K,"")=0,"",_xlfn.XLOOKUP(A149, AutoFill_names!B:B, AutoFill_names!K:K,""))</f>
        <v/>
      </c>
      <c r="K149" s="115" t="str">
        <f>IF(_xlfn.XLOOKUP(A149, AutoFill_names!B:B, AutoFill_names!L:L,"")=0,"",_xlfn.XLOOKUP(A149, AutoFill_names!B:B, AutoFill_names!L:L,""))</f>
        <v/>
      </c>
      <c r="L149" s="2"/>
      <c r="M149" s="2"/>
      <c r="N149" s="117" t="str">
        <f>IF(_xlfn.XLOOKUP(L149, AutoFill_classes!A:A, AutoFill_classes!B:B,"")=0,"",_xlfn.XLOOKUP(L149, AutoFill_classes!A:A, AutoFill_classes!B:B,""))</f>
        <v/>
      </c>
      <c r="O149" s="108"/>
      <c r="P149" s="7"/>
      <c r="Q149" s="7"/>
      <c r="R149" s="7"/>
      <c r="S149" s="2"/>
      <c r="T149" s="2"/>
      <c r="U149" s="2"/>
      <c r="X149" s="63"/>
      <c r="Y149" s="19"/>
      <c r="Z149" s="121" t="str">
        <f t="shared" si="108"/>
        <v/>
      </c>
      <c r="AA149" s="20"/>
      <c r="AB149" s="20"/>
      <c r="AC149" s="20"/>
      <c r="AD149" s="20"/>
      <c r="AE149" s="125" t="str">
        <f t="shared" si="109"/>
        <v/>
      </c>
      <c r="AF149" s="14"/>
      <c r="AG149" s="125" t="str">
        <f t="shared" si="110"/>
        <v/>
      </c>
      <c r="AH149" s="20"/>
      <c r="AI149" s="20"/>
      <c r="AJ149" s="125" t="str">
        <f t="shared" si="111"/>
        <v/>
      </c>
      <c r="AK149" s="14"/>
      <c r="AL149" s="125" t="str">
        <f t="shared" si="112"/>
        <v/>
      </c>
      <c r="AM149" s="20"/>
      <c r="AN149" s="20"/>
      <c r="AO149" s="125" t="str">
        <f t="shared" si="113"/>
        <v/>
      </c>
      <c r="AP149" s="125" t="str">
        <f t="shared" si="114"/>
        <v/>
      </c>
      <c r="AQ149" s="125" t="str">
        <f t="shared" si="115"/>
        <v/>
      </c>
      <c r="AR149" s="129" t="str">
        <f t="shared" si="116"/>
        <v/>
      </c>
      <c r="AS149" s="14"/>
      <c r="AT149" s="32"/>
      <c r="AU149" s="32"/>
      <c r="AV149" s="117" t="str">
        <f>IF(_xlfn.XLOOKUP(AT149, AutoFill_classes!$A:$A, AutoFill_classes!$B:$B,"")=0,"",_xlfn.XLOOKUP(AT149, AutoFill_classes!$A:$A, AutoFill_classes!$B:$B,""))</f>
        <v/>
      </c>
      <c r="AW149" s="108"/>
      <c r="AX149" s="13"/>
      <c r="AY149" s="13"/>
      <c r="AZ149" s="13"/>
      <c r="BA149" s="13"/>
      <c r="BB149" s="13"/>
      <c r="BC149" s="63"/>
      <c r="BD149" s="18"/>
      <c r="BE149" s="121" t="str">
        <f t="shared" si="117"/>
        <v/>
      </c>
      <c r="BF149" s="20"/>
      <c r="BG149" s="20"/>
      <c r="BH149" s="20"/>
      <c r="BI149" s="20"/>
      <c r="BJ149" s="125" t="str">
        <f t="shared" si="118"/>
        <v/>
      </c>
      <c r="BK149" s="14"/>
      <c r="BL149" s="125" t="str">
        <f t="shared" si="119"/>
        <v/>
      </c>
      <c r="BM149" s="20"/>
      <c r="BN149" s="20"/>
      <c r="BO149" s="125" t="str">
        <f t="shared" si="120"/>
        <v/>
      </c>
      <c r="BP149" s="14"/>
      <c r="BQ149" s="125" t="str">
        <f t="shared" si="121"/>
        <v/>
      </c>
      <c r="BR149" s="20"/>
      <c r="BS149" s="20"/>
      <c r="BT149" s="125" t="str">
        <f t="shared" si="122"/>
        <v/>
      </c>
      <c r="BU149" s="125" t="str">
        <f t="shared" si="123"/>
        <v/>
      </c>
      <c r="BV149" s="125" t="str">
        <f t="shared" si="124"/>
        <v/>
      </c>
      <c r="BW149" s="129" t="str">
        <f t="shared" si="125"/>
        <v/>
      </c>
      <c r="BX149" s="13"/>
      <c r="BY149" s="15"/>
      <c r="BZ149" s="14"/>
      <c r="CA149" s="117" t="str">
        <f>IF(_xlfn.XLOOKUP(BY149, AutoFill_classes!$A:$A, AutoFill_classes!$B:$B,"")=0,"",_xlfn.XLOOKUP(BY149, AutoFill_classes!$A:$A, AutoFill_classes!$B:$B,""))</f>
        <v/>
      </c>
      <c r="CB149" s="108"/>
      <c r="CC149" s="14"/>
      <c r="CD149" s="14"/>
      <c r="CE149" s="14"/>
      <c r="CF149" s="21"/>
      <c r="CG149" s="22"/>
      <c r="CH149" s="63"/>
      <c r="CI149" s="23"/>
      <c r="CJ149" s="121" t="str">
        <f t="shared" si="126"/>
        <v/>
      </c>
      <c r="CK149" s="20"/>
      <c r="CL149" s="20"/>
      <c r="CM149" s="20"/>
      <c r="CN149" s="20"/>
      <c r="CO149" s="125" t="str">
        <f t="shared" si="127"/>
        <v/>
      </c>
      <c r="CP149" s="14"/>
      <c r="CQ149" s="125" t="str">
        <f t="shared" si="128"/>
        <v/>
      </c>
      <c r="CR149" s="20"/>
      <c r="CS149" s="20"/>
      <c r="CT149" s="125" t="str">
        <f t="shared" si="129"/>
        <v/>
      </c>
      <c r="CU149" s="14"/>
      <c r="CV149" s="125" t="str">
        <f t="shared" si="130"/>
        <v/>
      </c>
      <c r="CW149" s="20"/>
      <c r="CX149" s="20"/>
      <c r="CY149" s="125" t="str">
        <f t="shared" si="131"/>
        <v/>
      </c>
      <c r="CZ149" s="125" t="str">
        <f t="shared" si="132"/>
        <v/>
      </c>
      <c r="DA149" s="125" t="str">
        <f t="shared" si="133"/>
        <v/>
      </c>
      <c r="DB149" s="129" t="str">
        <f t="shared" si="134"/>
        <v/>
      </c>
      <c r="DC149" s="14"/>
      <c r="DD149" s="62"/>
      <c r="DE149" s="105">
        <v>147</v>
      </c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spans="1:176" s="1" customFormat="1" ht="13" hidden="1" customHeight="1" outlineLevel="1" x14ac:dyDescent="0.2">
      <c r="A150" s="4"/>
      <c r="B150" s="115" t="str">
        <f>IF(_xlfn.XLOOKUP(A150, AutoFill_names!B:B, AutoFill_names!C:C,"")=0,"",_xlfn.XLOOKUP(A150, AutoFill_names!B:B, AutoFill_names!C:C,""))</f>
        <v/>
      </c>
      <c r="C150" s="115" t="str">
        <f>IF(_xlfn.XLOOKUP(A150, AutoFill_names!B:B, AutoFill_names!D:D,"")=0,"",_xlfn.XLOOKUP(A150, AutoFill_names!B:B, AutoFill_names!D:D,""))</f>
        <v/>
      </c>
      <c r="D150" s="115" t="str">
        <f>IF(_xlfn.XLOOKUP(A150, AutoFill_names!B:B, AutoFill_names!E:E,"")=0,"",_xlfn.XLOOKUP(A150, AutoFill_names!B:B, AutoFill_names!E:E,""))</f>
        <v/>
      </c>
      <c r="E150" s="115" t="str">
        <f>IF(_xlfn.XLOOKUP(A150, AutoFill_names!B:B, AutoFill_names!F:F,"")=0,"",_xlfn.XLOOKUP(A150, AutoFill_names!B:B, AutoFill_names!F:F,""))</f>
        <v/>
      </c>
      <c r="F150" s="92"/>
      <c r="J150" s="115" t="str">
        <f>IF(_xlfn.XLOOKUP(A150, AutoFill_names!B:B, AutoFill_names!K:K,"")=0,"",_xlfn.XLOOKUP(A150, AutoFill_names!B:B, AutoFill_names!K:K,""))</f>
        <v/>
      </c>
      <c r="K150" s="115" t="str">
        <f>IF(_xlfn.XLOOKUP(A150, AutoFill_names!B:B, AutoFill_names!L:L,"")=0,"",_xlfn.XLOOKUP(A150, AutoFill_names!B:B, AutoFill_names!L:L,""))</f>
        <v/>
      </c>
      <c r="L150" s="2"/>
      <c r="M150" s="2"/>
      <c r="N150" s="117" t="str">
        <f>IF(_xlfn.XLOOKUP(L150, AutoFill_classes!A:A, AutoFill_classes!B:B,"")=0,"",_xlfn.XLOOKUP(L150, AutoFill_classes!A:A, AutoFill_classes!B:B,""))</f>
        <v/>
      </c>
      <c r="O150" s="108"/>
      <c r="P150" s="7"/>
      <c r="Q150" s="7"/>
      <c r="R150" s="7"/>
      <c r="S150" s="2"/>
      <c r="T150" s="2"/>
      <c r="U150" s="2"/>
      <c r="X150" s="63"/>
      <c r="Y150" s="19"/>
      <c r="Z150" s="121" t="str">
        <f t="shared" si="108"/>
        <v/>
      </c>
      <c r="AA150" s="20"/>
      <c r="AB150" s="20"/>
      <c r="AC150" s="20"/>
      <c r="AD150" s="20"/>
      <c r="AE150" s="125" t="str">
        <f t="shared" si="109"/>
        <v/>
      </c>
      <c r="AF150" s="14"/>
      <c r="AG150" s="125" t="str">
        <f t="shared" si="110"/>
        <v/>
      </c>
      <c r="AH150" s="20"/>
      <c r="AI150" s="20"/>
      <c r="AJ150" s="125" t="str">
        <f t="shared" si="111"/>
        <v/>
      </c>
      <c r="AK150" s="14"/>
      <c r="AL150" s="125" t="str">
        <f t="shared" si="112"/>
        <v/>
      </c>
      <c r="AM150" s="20"/>
      <c r="AN150" s="20"/>
      <c r="AO150" s="125" t="str">
        <f t="shared" si="113"/>
        <v/>
      </c>
      <c r="AP150" s="125" t="str">
        <f t="shared" si="114"/>
        <v/>
      </c>
      <c r="AQ150" s="125" t="str">
        <f t="shared" si="115"/>
        <v/>
      </c>
      <c r="AR150" s="129" t="str">
        <f t="shared" si="116"/>
        <v/>
      </c>
      <c r="AS150" s="14"/>
      <c r="AT150" s="32"/>
      <c r="AU150" s="32"/>
      <c r="AV150" s="117" t="str">
        <f>IF(_xlfn.XLOOKUP(AT150, AutoFill_classes!$A:$A, AutoFill_classes!$B:$B,"")=0,"",_xlfn.XLOOKUP(AT150, AutoFill_classes!$A:$A, AutoFill_classes!$B:$B,""))</f>
        <v/>
      </c>
      <c r="AW150" s="108"/>
      <c r="AX150" s="13"/>
      <c r="AY150" s="13"/>
      <c r="AZ150" s="13"/>
      <c r="BA150" s="13"/>
      <c r="BB150" s="13"/>
      <c r="BC150" s="63"/>
      <c r="BD150" s="18"/>
      <c r="BE150" s="121" t="str">
        <f t="shared" si="117"/>
        <v/>
      </c>
      <c r="BF150" s="20"/>
      <c r="BG150" s="20"/>
      <c r="BH150" s="20"/>
      <c r="BI150" s="20"/>
      <c r="BJ150" s="125" t="str">
        <f t="shared" si="118"/>
        <v/>
      </c>
      <c r="BK150" s="14"/>
      <c r="BL150" s="125" t="str">
        <f t="shared" si="119"/>
        <v/>
      </c>
      <c r="BM150" s="20"/>
      <c r="BN150" s="20"/>
      <c r="BO150" s="125" t="str">
        <f t="shared" si="120"/>
        <v/>
      </c>
      <c r="BP150" s="14"/>
      <c r="BQ150" s="125" t="str">
        <f t="shared" si="121"/>
        <v/>
      </c>
      <c r="BR150" s="20"/>
      <c r="BS150" s="20"/>
      <c r="BT150" s="125" t="str">
        <f t="shared" si="122"/>
        <v/>
      </c>
      <c r="BU150" s="125" t="str">
        <f t="shared" si="123"/>
        <v/>
      </c>
      <c r="BV150" s="125" t="str">
        <f t="shared" si="124"/>
        <v/>
      </c>
      <c r="BW150" s="129" t="str">
        <f t="shared" si="125"/>
        <v/>
      </c>
      <c r="BX150" s="13"/>
      <c r="BY150" s="15"/>
      <c r="BZ150" s="14"/>
      <c r="CA150" s="117" t="str">
        <f>IF(_xlfn.XLOOKUP(BY150, AutoFill_classes!$A:$A, AutoFill_classes!$B:$B,"")=0,"",_xlfn.XLOOKUP(BY150, AutoFill_classes!$A:$A, AutoFill_classes!$B:$B,""))</f>
        <v/>
      </c>
      <c r="CB150" s="108"/>
      <c r="CC150" s="14"/>
      <c r="CD150" s="14"/>
      <c r="CE150" s="14"/>
      <c r="CF150" s="21"/>
      <c r="CG150" s="22"/>
      <c r="CH150" s="63"/>
      <c r="CI150" s="23"/>
      <c r="CJ150" s="121" t="str">
        <f t="shared" si="126"/>
        <v/>
      </c>
      <c r="CK150" s="20"/>
      <c r="CL150" s="20"/>
      <c r="CM150" s="20"/>
      <c r="CN150" s="20"/>
      <c r="CO150" s="125" t="str">
        <f t="shared" si="127"/>
        <v/>
      </c>
      <c r="CP150" s="14"/>
      <c r="CQ150" s="125" t="str">
        <f t="shared" si="128"/>
        <v/>
      </c>
      <c r="CR150" s="20"/>
      <c r="CS150" s="20"/>
      <c r="CT150" s="125" t="str">
        <f t="shared" si="129"/>
        <v/>
      </c>
      <c r="CU150" s="14"/>
      <c r="CV150" s="125" t="str">
        <f t="shared" si="130"/>
        <v/>
      </c>
      <c r="CW150" s="20"/>
      <c r="CX150" s="20"/>
      <c r="CY150" s="125" t="str">
        <f t="shared" si="131"/>
        <v/>
      </c>
      <c r="CZ150" s="125" t="str">
        <f t="shared" si="132"/>
        <v/>
      </c>
      <c r="DA150" s="125" t="str">
        <f t="shared" si="133"/>
        <v/>
      </c>
      <c r="DB150" s="129" t="str">
        <f t="shared" si="134"/>
        <v/>
      </c>
      <c r="DC150" s="14"/>
      <c r="DD150" s="62"/>
      <c r="DE150" s="105">
        <v>148</v>
      </c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spans="1:176" s="1" customFormat="1" ht="13" hidden="1" customHeight="1" outlineLevel="1" x14ac:dyDescent="0.2">
      <c r="A151" s="4"/>
      <c r="B151" s="115" t="str">
        <f>IF(_xlfn.XLOOKUP(A151, AutoFill_names!B:B, AutoFill_names!C:C,"")=0,"",_xlfn.XLOOKUP(A151, AutoFill_names!B:B, AutoFill_names!C:C,""))</f>
        <v/>
      </c>
      <c r="C151" s="115" t="str">
        <f>IF(_xlfn.XLOOKUP(A151, AutoFill_names!B:B, AutoFill_names!D:D,"")=0,"",_xlfn.XLOOKUP(A151, AutoFill_names!B:B, AutoFill_names!D:D,""))</f>
        <v/>
      </c>
      <c r="D151" s="115" t="str">
        <f>IF(_xlfn.XLOOKUP(A151, AutoFill_names!B:B, AutoFill_names!E:E,"")=0,"",_xlfn.XLOOKUP(A151, AutoFill_names!B:B, AutoFill_names!E:E,""))</f>
        <v/>
      </c>
      <c r="E151" s="115" t="str">
        <f>IF(_xlfn.XLOOKUP(A151, AutoFill_names!B:B, AutoFill_names!F:F,"")=0,"",_xlfn.XLOOKUP(A151, AutoFill_names!B:B, AutoFill_names!F:F,""))</f>
        <v/>
      </c>
      <c r="F151" s="92"/>
      <c r="J151" s="115" t="str">
        <f>IF(_xlfn.XLOOKUP(A151, AutoFill_names!B:B, AutoFill_names!K:K,"")=0,"",_xlfn.XLOOKUP(A151, AutoFill_names!B:B, AutoFill_names!K:K,""))</f>
        <v/>
      </c>
      <c r="K151" s="115" t="str">
        <f>IF(_xlfn.XLOOKUP(A151, AutoFill_names!B:B, AutoFill_names!L:L,"")=0,"",_xlfn.XLOOKUP(A151, AutoFill_names!B:B, AutoFill_names!L:L,""))</f>
        <v/>
      </c>
      <c r="L151" s="2"/>
      <c r="M151" s="2"/>
      <c r="N151" s="117" t="str">
        <f>IF(_xlfn.XLOOKUP(L151, AutoFill_classes!A:A, AutoFill_classes!B:B,"")=0,"",_xlfn.XLOOKUP(L151, AutoFill_classes!A:A, AutoFill_classes!B:B,""))</f>
        <v/>
      </c>
      <c r="O151" s="108"/>
      <c r="P151" s="7"/>
      <c r="Q151" s="7"/>
      <c r="R151" s="7"/>
      <c r="S151" s="2"/>
      <c r="T151" s="2"/>
      <c r="U151" s="2"/>
      <c r="X151" s="63"/>
      <c r="Y151" s="19"/>
      <c r="Z151" s="121" t="str">
        <f t="shared" si="108"/>
        <v/>
      </c>
      <c r="AA151" s="20"/>
      <c r="AB151" s="20"/>
      <c r="AC151" s="20"/>
      <c r="AD151" s="20"/>
      <c r="AE151" s="125" t="str">
        <f t="shared" si="109"/>
        <v/>
      </c>
      <c r="AF151" s="14"/>
      <c r="AG151" s="125" t="str">
        <f t="shared" si="110"/>
        <v/>
      </c>
      <c r="AH151" s="20"/>
      <c r="AI151" s="20"/>
      <c r="AJ151" s="125" t="str">
        <f t="shared" si="111"/>
        <v/>
      </c>
      <c r="AK151" s="14"/>
      <c r="AL151" s="125" t="str">
        <f t="shared" si="112"/>
        <v/>
      </c>
      <c r="AM151" s="20"/>
      <c r="AN151" s="20"/>
      <c r="AO151" s="125" t="str">
        <f t="shared" si="113"/>
        <v/>
      </c>
      <c r="AP151" s="125" t="str">
        <f t="shared" si="114"/>
        <v/>
      </c>
      <c r="AQ151" s="125" t="str">
        <f t="shared" si="115"/>
        <v/>
      </c>
      <c r="AR151" s="129" t="str">
        <f t="shared" si="116"/>
        <v/>
      </c>
      <c r="AS151" s="14"/>
      <c r="AT151" s="32"/>
      <c r="AU151" s="32"/>
      <c r="AV151" s="117" t="str">
        <f>IF(_xlfn.XLOOKUP(AT151, AutoFill_classes!$A:$A, AutoFill_classes!$B:$B,"")=0,"",_xlfn.XLOOKUP(AT151, AutoFill_classes!$A:$A, AutoFill_classes!$B:$B,""))</f>
        <v/>
      </c>
      <c r="AW151" s="108"/>
      <c r="AX151" s="13"/>
      <c r="AY151" s="13"/>
      <c r="AZ151" s="13"/>
      <c r="BA151" s="13"/>
      <c r="BB151" s="13"/>
      <c r="BC151" s="63"/>
      <c r="BD151" s="18"/>
      <c r="BE151" s="121" t="str">
        <f t="shared" si="117"/>
        <v/>
      </c>
      <c r="BF151" s="20"/>
      <c r="BG151" s="20"/>
      <c r="BH151" s="20"/>
      <c r="BI151" s="20"/>
      <c r="BJ151" s="125" t="str">
        <f t="shared" si="118"/>
        <v/>
      </c>
      <c r="BK151" s="14"/>
      <c r="BL151" s="125" t="str">
        <f t="shared" si="119"/>
        <v/>
      </c>
      <c r="BM151" s="20"/>
      <c r="BN151" s="20"/>
      <c r="BO151" s="125" t="str">
        <f t="shared" si="120"/>
        <v/>
      </c>
      <c r="BP151" s="14"/>
      <c r="BQ151" s="125" t="str">
        <f t="shared" si="121"/>
        <v/>
      </c>
      <c r="BR151" s="20"/>
      <c r="BS151" s="20"/>
      <c r="BT151" s="125" t="str">
        <f t="shared" si="122"/>
        <v/>
      </c>
      <c r="BU151" s="125" t="str">
        <f t="shared" si="123"/>
        <v/>
      </c>
      <c r="BV151" s="125" t="str">
        <f t="shared" si="124"/>
        <v/>
      </c>
      <c r="BW151" s="129" t="str">
        <f t="shared" si="125"/>
        <v/>
      </c>
      <c r="BX151" s="13"/>
      <c r="BY151" s="15"/>
      <c r="BZ151" s="14"/>
      <c r="CA151" s="117" t="str">
        <f>IF(_xlfn.XLOOKUP(BY151, AutoFill_classes!$A:$A, AutoFill_classes!$B:$B,"")=0,"",_xlfn.XLOOKUP(BY151, AutoFill_classes!$A:$A, AutoFill_classes!$B:$B,""))</f>
        <v/>
      </c>
      <c r="CB151" s="108"/>
      <c r="CC151" s="14"/>
      <c r="CD151" s="14"/>
      <c r="CE151" s="14"/>
      <c r="CF151" s="21"/>
      <c r="CG151" s="22"/>
      <c r="CH151" s="63"/>
      <c r="CI151" s="23"/>
      <c r="CJ151" s="121" t="str">
        <f t="shared" si="126"/>
        <v/>
      </c>
      <c r="CK151" s="20"/>
      <c r="CL151" s="20"/>
      <c r="CM151" s="20"/>
      <c r="CN151" s="20"/>
      <c r="CO151" s="125" t="str">
        <f t="shared" si="127"/>
        <v/>
      </c>
      <c r="CP151" s="14"/>
      <c r="CQ151" s="125" t="str">
        <f t="shared" si="128"/>
        <v/>
      </c>
      <c r="CR151" s="20"/>
      <c r="CS151" s="20"/>
      <c r="CT151" s="125" t="str">
        <f t="shared" si="129"/>
        <v/>
      </c>
      <c r="CU151" s="14"/>
      <c r="CV151" s="125" t="str">
        <f t="shared" si="130"/>
        <v/>
      </c>
      <c r="CW151" s="20"/>
      <c r="CX151" s="20"/>
      <c r="CY151" s="125" t="str">
        <f t="shared" si="131"/>
        <v/>
      </c>
      <c r="CZ151" s="125" t="str">
        <f t="shared" si="132"/>
        <v/>
      </c>
      <c r="DA151" s="125" t="str">
        <f t="shared" si="133"/>
        <v/>
      </c>
      <c r="DB151" s="129" t="str">
        <f t="shared" si="134"/>
        <v/>
      </c>
      <c r="DC151" s="14"/>
      <c r="DD151" s="62"/>
      <c r="DE151" s="105">
        <v>149</v>
      </c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spans="1:176" s="116" customFormat="1" ht="34" customHeight="1" collapsed="1" x14ac:dyDescent="0.2">
      <c r="A152" s="66" t="s">
        <v>2057</v>
      </c>
      <c r="B152" s="112" t="str">
        <f>"Total Credits: " &amp; IFERROR(IF(DD152=0,"",DD152),"")</f>
        <v>Total Credits: 3</v>
      </c>
      <c r="F152" s="138"/>
      <c r="L152" s="119"/>
      <c r="M152" s="119"/>
      <c r="N152" s="119"/>
      <c r="O152" s="119"/>
      <c r="P152" s="139"/>
      <c r="Q152" s="139"/>
      <c r="R152" s="139"/>
      <c r="S152" s="119"/>
      <c r="T152" s="119"/>
      <c r="U152" s="119"/>
      <c r="V152" s="136"/>
      <c r="W152" s="136"/>
      <c r="X152" s="140" t="str">
        <f>IF(SUM(X153:X181)=0, "", SUM(X153:X181))</f>
        <v/>
      </c>
      <c r="Y152" s="123"/>
      <c r="Z152" s="123"/>
      <c r="AA152" s="141"/>
      <c r="AB152" s="141"/>
      <c r="AC152" s="141"/>
      <c r="AD152" s="141"/>
      <c r="AE152" s="124"/>
      <c r="AF152" s="124"/>
      <c r="AG152" s="124"/>
      <c r="AH152" s="141"/>
      <c r="AI152" s="141"/>
      <c r="AJ152" s="124"/>
      <c r="AK152" s="124"/>
      <c r="AL152" s="124"/>
      <c r="AM152" s="141"/>
      <c r="AN152" s="141"/>
      <c r="AO152" s="127"/>
      <c r="AP152" s="127"/>
      <c r="AQ152" s="127"/>
      <c r="AR152" s="127"/>
      <c r="AS152" s="127"/>
      <c r="AT152" s="135"/>
      <c r="AU152" s="135"/>
      <c r="AV152" s="119"/>
      <c r="AW152" s="119"/>
      <c r="AX152" s="135"/>
      <c r="AY152" s="135"/>
      <c r="AZ152" s="135"/>
      <c r="BA152" s="144"/>
      <c r="BB152" s="144"/>
      <c r="BC152" s="140" t="str">
        <f>IF(SUM(BC153:BC181)=0, "", SUM(BC153:BC181))</f>
        <v/>
      </c>
      <c r="BD152" s="132"/>
      <c r="BE152" s="132"/>
      <c r="BF152" s="147"/>
      <c r="BG152" s="147"/>
      <c r="BH152" s="147"/>
      <c r="BI152" s="147"/>
      <c r="BJ152" s="135"/>
      <c r="BK152" s="135"/>
      <c r="BL152" s="135"/>
      <c r="BM152" s="147"/>
      <c r="BN152" s="147"/>
      <c r="BO152" s="135"/>
      <c r="BP152" s="135"/>
      <c r="BQ152" s="135"/>
      <c r="BR152" s="147"/>
      <c r="BS152" s="147"/>
      <c r="BT152" s="135"/>
      <c r="BU152" s="135"/>
      <c r="BV152" s="135"/>
      <c r="BW152" s="127"/>
      <c r="BX152" s="135"/>
      <c r="BY152" s="135"/>
      <c r="BZ152" s="135"/>
      <c r="CA152" s="119"/>
      <c r="CB152" s="119"/>
      <c r="CC152" s="135"/>
      <c r="CD152" s="135"/>
      <c r="CE152" s="135"/>
      <c r="CF152" s="136"/>
      <c r="CG152" s="120"/>
      <c r="CH152" s="140">
        <f>IF(SUM(CH153:CH181)=0, "", SUM(CH153:CH181))</f>
        <v>3</v>
      </c>
      <c r="CI152" s="123"/>
      <c r="CJ152" s="123"/>
      <c r="CK152" s="146"/>
      <c r="CL152" s="146"/>
      <c r="CM152" s="146"/>
      <c r="CN152" s="146"/>
      <c r="CP152" s="134"/>
      <c r="CR152" s="146"/>
      <c r="CS152" s="146"/>
      <c r="CU152" s="134"/>
      <c r="CW152" s="146"/>
      <c r="CX152" s="146"/>
      <c r="DB152" s="127"/>
      <c r="DC152" s="134"/>
      <c r="DD152" s="140">
        <f>IF(SUM(L152:DC152)=0, "", SUM(L152:DC152))</f>
        <v>3</v>
      </c>
      <c r="DE152" s="105">
        <v>150</v>
      </c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</row>
    <row r="153" spans="1:176" s="1" customFormat="1" ht="13" hidden="1" customHeight="1" outlineLevel="1" x14ac:dyDescent="0.2">
      <c r="A153" s="4" t="s">
        <v>1046</v>
      </c>
      <c r="B153" s="115" t="str">
        <f>IF(_xlfn.XLOOKUP(A153, AutoFill_names!B:B, AutoFill_names!C:C,"")=0,"",_xlfn.XLOOKUP(A153, AutoFill_names!B:B, AutoFill_names!C:C,""))</f>
        <v>000057080</v>
      </c>
      <c r="C153" s="115" t="str">
        <f>IF(_xlfn.XLOOKUP(A153, AutoFill_names!B:B, AutoFill_names!D:D,"")=0,"",_xlfn.XLOOKUP(A153, AutoFill_names!B:B, AutoFill_names!D:D,""))</f>
        <v>mhanna@andrews.edu</v>
      </c>
      <c r="D153" s="115" t="str">
        <f>IF(_xlfn.XLOOKUP(A153, AutoFill_names!B:B, AutoFill_names!E:E,"")=0,"",_xlfn.XLOOKUP(A153, AutoFill_names!B:B, AutoFill_names!E:E,""))</f>
        <v/>
      </c>
      <c r="E153" s="115" t="str">
        <f>IF(_xlfn.XLOOKUP(A153, AutoFill_names!B:B, AutoFill_names!F:F,"")=0,"",_xlfn.XLOOKUP(A153, AutoFill_names!B:B, AutoFill_names!F:F,""))</f>
        <v/>
      </c>
      <c r="F153" s="92"/>
      <c r="J153" s="115" t="str">
        <f>IF(_xlfn.XLOOKUP(A153, AutoFill_names!B:B, AutoFill_names!K:K,"")=0,"",_xlfn.XLOOKUP(A153, AutoFill_names!B:B, AutoFill_names!K:K,""))</f>
        <v>Jeroncic, Ante</v>
      </c>
      <c r="K153" s="115" t="str">
        <f>IF(_xlfn.XLOOKUP(A153, AutoFill_names!B:B, AutoFill_names!L:L,"")=0,"",_xlfn.XLOOKUP(A153, AutoFill_names!B:B, AutoFill_names!L:L,""))</f>
        <v>000066942</v>
      </c>
      <c r="L153" s="2"/>
      <c r="M153" s="2"/>
      <c r="N153" s="117" t="str">
        <f>IF(_xlfn.XLOOKUP(L153, AutoFill_classes!A:A, AutoFill_classes!B:B,"")=0,"",_xlfn.XLOOKUP(L153, AutoFill_classes!A:A, AutoFill_classes!B:B,""))</f>
        <v/>
      </c>
      <c r="O153" s="108"/>
      <c r="P153" s="6"/>
      <c r="Q153" s="6"/>
      <c r="R153" s="6"/>
      <c r="S153" s="2"/>
      <c r="U153" s="2"/>
      <c r="X153" s="63"/>
      <c r="Y153" s="19"/>
      <c r="Z153" s="121" t="str">
        <f t="shared" ref="Z153:Z181" si="135">IF(X153*Y153=0,"",X153*Y153)</f>
        <v/>
      </c>
      <c r="AA153" s="20"/>
      <c r="AB153" s="20"/>
      <c r="AC153" s="20"/>
      <c r="AD153" s="20"/>
      <c r="AE153" s="125" t="str">
        <f t="shared" ref="AE153:AE181" si="136">IF(ROUNDUP((AD153-AC153)/7,0)=0,"",ROUNDUP((AD153-AC153)/7,0))</f>
        <v/>
      </c>
      <c r="AF153" s="14"/>
      <c r="AG153" s="125" t="str">
        <f t="shared" ref="AG153:AG181" si="137">IFERROR(IF(AE153*AF153=0,"",AE153*AF153), "")</f>
        <v/>
      </c>
      <c r="AH153" s="20"/>
      <c r="AI153" s="20"/>
      <c r="AJ153" s="125" t="str">
        <f t="shared" ref="AJ153:AJ181" si="138">IF(ROUNDUP((AI153-AH153)/7,0)=0,"",ROUNDUP((AI153-AH153)/7,0))</f>
        <v/>
      </c>
      <c r="AK153" s="14"/>
      <c r="AL153" s="125" t="str">
        <f t="shared" ref="AL153:AL181" si="139">IFERROR(IF(AJ153*AK153=0,"",AJ153*AK153), "")</f>
        <v/>
      </c>
      <c r="AM153" s="20"/>
      <c r="AN153" s="20"/>
      <c r="AO153" s="125" t="str">
        <f t="shared" ref="AO153:AO181" si="140">IF(ROUNDUP((AN153-AM153)/7,0)=0,"",ROUNDUP((AN153-AM153)/7,0))</f>
        <v/>
      </c>
      <c r="AP153" s="125" t="str">
        <f t="shared" ref="AP153:AP181" si="141">IFERROR(IF((AS153-(AF153+AK153))/AO153=0,"",ROUNDUP((AS153-(AF153+AK153))/AO153,0)), "")</f>
        <v/>
      </c>
      <c r="AQ153" s="125" t="str">
        <f t="shared" ref="AQ153:AQ181" si="142">IFERROR(IF((AS153-(AG153+AL153))=0, "", (AS153-(AG153+AL153))), "")</f>
        <v/>
      </c>
      <c r="AR153" s="129" t="str">
        <f t="shared" ref="AR153:AR181" si="143">IFERROR(IF((AE153+AJ153+AO153)=0, "", (AE153+AJ153+AO153)), "")</f>
        <v/>
      </c>
      <c r="AS153" s="14"/>
      <c r="AT153" s="13"/>
      <c r="AU153" s="13"/>
      <c r="AV153" s="117" t="str">
        <f>IF(_xlfn.XLOOKUP(AT153, AutoFill_classes!$A:$A, AutoFill_classes!$B:$B,"")=0,"",_xlfn.XLOOKUP(AT153, AutoFill_classes!$A:$A, AutoFill_classes!$B:$B,""))</f>
        <v/>
      </c>
      <c r="AW153" s="108"/>
      <c r="AX153" s="11"/>
      <c r="AY153" s="11"/>
      <c r="AZ153" s="11"/>
      <c r="BA153" s="13"/>
      <c r="BB153" s="13"/>
      <c r="BC153" s="63"/>
      <c r="BD153" s="19"/>
      <c r="BE153" s="121" t="str">
        <f t="shared" ref="BE153:BE181" si="144">IF(BC153*BD153=0,"",BC153*BD153)</f>
        <v/>
      </c>
      <c r="BF153" s="20"/>
      <c r="BG153" s="20"/>
      <c r="BH153" s="20"/>
      <c r="BI153" s="20"/>
      <c r="BJ153" s="125" t="str">
        <f t="shared" ref="BJ153:BJ181" si="145">IF(ROUNDUP((BI153-BH153)/7,0)=0,"",ROUNDUP((BI153-BH153)/7,0))</f>
        <v/>
      </c>
      <c r="BK153" s="14"/>
      <c r="BL153" s="125" t="str">
        <f t="shared" ref="BL153:BL181" si="146">IFERROR(IF(BJ153*BK153=0,"",BJ153*BK153), "")</f>
        <v/>
      </c>
      <c r="BM153" s="20"/>
      <c r="BN153" s="20"/>
      <c r="BO153" s="125" t="str">
        <f t="shared" ref="BO153:BO181" si="147">IF(ROUNDUP((BN153-BM153)/7,0)=0,"",ROUNDUP((BN153-BM153)/7,0))</f>
        <v/>
      </c>
      <c r="BP153" s="14"/>
      <c r="BQ153" s="125" t="str">
        <f t="shared" ref="BQ153:BQ181" si="148">IFERROR(IF(BO153*BP153=0,"",BO153*BP153), "")</f>
        <v/>
      </c>
      <c r="BR153" s="20"/>
      <c r="BS153" s="20"/>
      <c r="BT153" s="125" t="str">
        <f t="shared" ref="BT153:BT181" si="149">IF(ROUNDUP((BS153-BR153)/7,0)=0,"",ROUNDUP((BS153-BR153)/7,0))</f>
        <v/>
      </c>
      <c r="BU153" s="125" t="str">
        <f t="shared" ref="BU153:BU181" si="150">IFERROR(IF((BX153-(BK153+BP153))/BT153=0,"",ROUNDUP((BX153-(BK153+BP153))/BT153,0)), "")</f>
        <v/>
      </c>
      <c r="BV153" s="125" t="str">
        <f t="shared" ref="BV153:BV181" si="151">IFERROR(IF((BX153-(BL153+BQ153))=0, "", (BX153-(BL153+BQ153))), "")</f>
        <v/>
      </c>
      <c r="BW153" s="129" t="str">
        <f t="shared" ref="BW153:BW181" si="152">IFERROR(IF((BJ153+BO153+BT153)=0, "", (BJ153+BO153+BT153)), "")</f>
        <v/>
      </c>
      <c r="BX153" s="11"/>
      <c r="BY153" s="15" t="s">
        <v>1545</v>
      </c>
      <c r="BZ153" s="14"/>
      <c r="CA153" s="117" t="str">
        <f>IF(_xlfn.XLOOKUP(BY153, AutoFill_classes!$A:$A, AutoFill_classes!$B:$B,"")=0,"",_xlfn.XLOOKUP(BY153, AutoFill_classes!$A:$A, AutoFill_classes!$B:$B,""))</f>
        <v>Revelation, Inspiratn&amp;Herm</v>
      </c>
      <c r="CB153" s="108"/>
      <c r="CC153" s="14" t="s">
        <v>53</v>
      </c>
      <c r="CD153" s="14" t="s">
        <v>54</v>
      </c>
      <c r="CE153" s="14" t="s">
        <v>167</v>
      </c>
      <c r="CF153" s="21" t="s">
        <v>55</v>
      </c>
      <c r="CG153" s="22" t="s">
        <v>56</v>
      </c>
      <c r="CH153" s="63">
        <v>3</v>
      </c>
      <c r="CI153" s="23"/>
      <c r="CJ153" s="121" t="str">
        <f t="shared" ref="CJ153:CJ181" si="153">IF(CH153*CI153=0,"",CH153*CI153)</f>
        <v/>
      </c>
      <c r="CK153" s="20"/>
      <c r="CL153" s="20"/>
      <c r="CM153" s="20"/>
      <c r="CN153" s="20"/>
      <c r="CO153" s="125" t="str">
        <f t="shared" ref="CO153:CO181" si="154">IF(ROUNDUP((CN153-CM153)/7,0)=0,"",ROUNDUP((CN153-CM153)/7,0))</f>
        <v/>
      </c>
      <c r="CP153" s="14"/>
      <c r="CQ153" s="125" t="str">
        <f t="shared" ref="CQ153:CQ181" si="155">IFERROR(IF(CO153*CP153=0,"",CO153*CP153), "")</f>
        <v/>
      </c>
      <c r="CR153" s="20"/>
      <c r="CS153" s="20"/>
      <c r="CT153" s="125" t="str">
        <f t="shared" ref="CT153:CT181" si="156">IF(ROUNDUP((CS153-CR153)/7,0)=0,"",ROUNDUP((CS153-CR153)/7,0))</f>
        <v/>
      </c>
      <c r="CU153" s="14"/>
      <c r="CV153" s="125" t="str">
        <f t="shared" ref="CV153:CV181" si="157">IFERROR(IF(CT153*CU153=0,"",CT153*CU153), "")</f>
        <v/>
      </c>
      <c r="CW153" s="20"/>
      <c r="CX153" s="20"/>
      <c r="CY153" s="125" t="str">
        <f t="shared" ref="CY153:CY181" si="158">IF(ROUNDUP((CX153-CW153)/7,0)=0,"",ROUNDUP((CX153-CW153)/7,0))</f>
        <v/>
      </c>
      <c r="CZ153" s="125" t="str">
        <f t="shared" ref="CZ153:CZ181" si="159">IFERROR(IF((DC153-(CP153+CU153))/CY153=0,"",ROUNDUP((DC153-(CP153+CU153))/CY153,0)), "")</f>
        <v/>
      </c>
      <c r="DA153" s="125" t="str">
        <f t="shared" ref="DA153:DA181" si="160">IFERROR(IF((DC153-(CQ153+CV153))=0, "", (DC153-(CQ153+CV153))), "")</f>
        <v/>
      </c>
      <c r="DB153" s="129" t="str">
        <f t="shared" ref="DB153:DB181" si="161">IFERROR(IF((CO153+CT153+CY153)=0, "", (CO153+CT153+CY153)), "")</f>
        <v/>
      </c>
      <c r="DC153" s="14"/>
      <c r="DD153" s="62"/>
      <c r="DE153" s="105">
        <v>151</v>
      </c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spans="1:176" s="1" customFormat="1" ht="13" hidden="1" customHeight="1" outlineLevel="1" x14ac:dyDescent="0.2">
      <c r="A154" s="4"/>
      <c r="B154" s="115" t="str">
        <f>IF(_xlfn.XLOOKUP(A154, AutoFill_names!B:B, AutoFill_names!C:C,"")=0,"",_xlfn.XLOOKUP(A154, AutoFill_names!B:B, AutoFill_names!C:C,""))</f>
        <v/>
      </c>
      <c r="C154" s="115" t="str">
        <f>IF(_xlfn.XLOOKUP(A154, AutoFill_names!B:B, AutoFill_names!D:D,"")=0,"",_xlfn.XLOOKUP(A154, AutoFill_names!B:B, AutoFill_names!D:D,""))</f>
        <v/>
      </c>
      <c r="D154" s="115" t="str">
        <f>IF(_xlfn.XLOOKUP(A154, AutoFill_names!B:B, AutoFill_names!E:E,"")=0,"",_xlfn.XLOOKUP(A154, AutoFill_names!B:B, AutoFill_names!E:E,""))</f>
        <v/>
      </c>
      <c r="E154" s="115" t="str">
        <f>IF(_xlfn.XLOOKUP(A154, AutoFill_names!B:B, AutoFill_names!F:F,"")=0,"",_xlfn.XLOOKUP(A154, AutoFill_names!B:B, AutoFill_names!F:F,""))</f>
        <v/>
      </c>
      <c r="F154" s="92"/>
      <c r="J154" s="115" t="str">
        <f>IF(_xlfn.XLOOKUP(A154, AutoFill_names!B:B, AutoFill_names!K:K,"")=0,"",_xlfn.XLOOKUP(A154, AutoFill_names!B:B, AutoFill_names!K:K,""))</f>
        <v/>
      </c>
      <c r="K154" s="115" t="str">
        <f>IF(_xlfn.XLOOKUP(A154, AutoFill_names!B:B, AutoFill_names!L:L,"")=0,"",_xlfn.XLOOKUP(A154, AutoFill_names!B:B, AutoFill_names!L:L,""))</f>
        <v/>
      </c>
      <c r="L154" s="2"/>
      <c r="M154" s="2"/>
      <c r="N154" s="117" t="str">
        <f>IF(_xlfn.XLOOKUP(L154, AutoFill_classes!A:A, AutoFill_classes!B:B,"")=0,"",_xlfn.XLOOKUP(L154, AutoFill_classes!A:A, AutoFill_classes!B:B,""))</f>
        <v/>
      </c>
      <c r="O154" s="108"/>
      <c r="P154" s="6"/>
      <c r="Q154" s="6"/>
      <c r="R154" s="6"/>
      <c r="S154" s="2"/>
      <c r="U154" s="2"/>
      <c r="X154" s="63"/>
      <c r="Y154" s="19"/>
      <c r="Z154" s="121" t="str">
        <f t="shared" si="135"/>
        <v/>
      </c>
      <c r="AA154" s="20"/>
      <c r="AB154" s="20"/>
      <c r="AC154" s="20"/>
      <c r="AD154" s="20"/>
      <c r="AE154" s="125" t="str">
        <f t="shared" si="136"/>
        <v/>
      </c>
      <c r="AF154" s="14"/>
      <c r="AG154" s="125" t="str">
        <f t="shared" si="137"/>
        <v/>
      </c>
      <c r="AH154" s="20"/>
      <c r="AI154" s="20"/>
      <c r="AJ154" s="125" t="str">
        <f t="shared" si="138"/>
        <v/>
      </c>
      <c r="AK154" s="14"/>
      <c r="AL154" s="125" t="str">
        <f t="shared" si="139"/>
        <v/>
      </c>
      <c r="AM154" s="20"/>
      <c r="AN154" s="20"/>
      <c r="AO154" s="125" t="str">
        <f t="shared" si="140"/>
        <v/>
      </c>
      <c r="AP154" s="125" t="str">
        <f t="shared" si="141"/>
        <v/>
      </c>
      <c r="AQ154" s="125" t="str">
        <f t="shared" si="142"/>
        <v/>
      </c>
      <c r="AR154" s="129" t="str">
        <f t="shared" si="143"/>
        <v/>
      </c>
      <c r="AS154" s="14"/>
      <c r="AT154" s="13"/>
      <c r="AU154" s="13"/>
      <c r="AV154" s="117" t="str">
        <f>IF(_xlfn.XLOOKUP(AT154, AutoFill_classes!$A:$A, AutoFill_classes!$B:$B,"")=0,"",_xlfn.XLOOKUP(AT154, AutoFill_classes!$A:$A, AutoFill_classes!$B:$B,""))</f>
        <v/>
      </c>
      <c r="AW154" s="108"/>
      <c r="AX154" s="11"/>
      <c r="AY154" s="11"/>
      <c r="AZ154" s="11"/>
      <c r="BA154" s="13"/>
      <c r="BB154" s="13"/>
      <c r="BC154" s="63"/>
      <c r="BD154" s="19"/>
      <c r="BE154" s="121" t="str">
        <f t="shared" si="144"/>
        <v/>
      </c>
      <c r="BF154" s="20"/>
      <c r="BG154" s="20"/>
      <c r="BH154" s="20"/>
      <c r="BI154" s="20"/>
      <c r="BJ154" s="125" t="str">
        <f t="shared" si="145"/>
        <v/>
      </c>
      <c r="BK154" s="14"/>
      <c r="BL154" s="125" t="str">
        <f t="shared" si="146"/>
        <v/>
      </c>
      <c r="BM154" s="20"/>
      <c r="BN154" s="20"/>
      <c r="BO154" s="125" t="str">
        <f t="shared" si="147"/>
        <v/>
      </c>
      <c r="BP154" s="14"/>
      <c r="BQ154" s="125" t="str">
        <f t="shared" si="148"/>
        <v/>
      </c>
      <c r="BR154" s="20"/>
      <c r="BS154" s="20"/>
      <c r="BT154" s="125" t="str">
        <f t="shared" si="149"/>
        <v/>
      </c>
      <c r="BU154" s="125" t="str">
        <f t="shared" si="150"/>
        <v/>
      </c>
      <c r="BV154" s="125" t="str">
        <f t="shared" si="151"/>
        <v/>
      </c>
      <c r="BW154" s="129" t="str">
        <f t="shared" si="152"/>
        <v/>
      </c>
      <c r="BX154" s="11"/>
      <c r="BY154" s="15"/>
      <c r="BZ154" s="14"/>
      <c r="CA154" s="117" t="str">
        <f>IF(_xlfn.XLOOKUP(BY154, AutoFill_classes!$A:$A, AutoFill_classes!$B:$B,"")=0,"",_xlfn.XLOOKUP(BY154, AutoFill_classes!$A:$A, AutoFill_classes!$B:$B,""))</f>
        <v/>
      </c>
      <c r="CB154" s="108"/>
      <c r="CC154" s="14"/>
      <c r="CD154" s="14"/>
      <c r="CE154" s="14"/>
      <c r="CF154" s="21"/>
      <c r="CG154" s="22"/>
      <c r="CH154" s="63"/>
      <c r="CI154" s="23"/>
      <c r="CJ154" s="121" t="str">
        <f t="shared" si="153"/>
        <v/>
      </c>
      <c r="CK154" s="20"/>
      <c r="CL154" s="20"/>
      <c r="CM154" s="20"/>
      <c r="CN154" s="20"/>
      <c r="CO154" s="125" t="str">
        <f t="shared" si="154"/>
        <v/>
      </c>
      <c r="CP154" s="14"/>
      <c r="CQ154" s="125" t="str">
        <f t="shared" si="155"/>
        <v/>
      </c>
      <c r="CR154" s="20"/>
      <c r="CS154" s="20"/>
      <c r="CT154" s="125" t="str">
        <f t="shared" si="156"/>
        <v/>
      </c>
      <c r="CU154" s="14"/>
      <c r="CV154" s="125" t="str">
        <f t="shared" si="157"/>
        <v/>
      </c>
      <c r="CW154" s="20"/>
      <c r="CX154" s="20"/>
      <c r="CY154" s="125" t="str">
        <f t="shared" si="158"/>
        <v/>
      </c>
      <c r="CZ154" s="125" t="str">
        <f t="shared" si="159"/>
        <v/>
      </c>
      <c r="DA154" s="125" t="str">
        <f t="shared" si="160"/>
        <v/>
      </c>
      <c r="DB154" s="129" t="str">
        <f t="shared" si="161"/>
        <v/>
      </c>
      <c r="DC154" s="14"/>
      <c r="DD154" s="62"/>
      <c r="DE154" s="105">
        <v>152</v>
      </c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spans="1:176" s="1" customFormat="1" ht="13" hidden="1" customHeight="1" outlineLevel="1" x14ac:dyDescent="0.2">
      <c r="A155" s="4"/>
      <c r="B155" s="115" t="str">
        <f>IF(_xlfn.XLOOKUP(A155, AutoFill_names!B:B, AutoFill_names!C:C,"")=0,"",_xlfn.XLOOKUP(A155, AutoFill_names!B:B, AutoFill_names!C:C,""))</f>
        <v/>
      </c>
      <c r="C155" s="115" t="str">
        <f>IF(_xlfn.XLOOKUP(A155, AutoFill_names!B:B, AutoFill_names!D:D,"")=0,"",_xlfn.XLOOKUP(A155, AutoFill_names!B:B, AutoFill_names!D:D,""))</f>
        <v/>
      </c>
      <c r="D155" s="115" t="str">
        <f>IF(_xlfn.XLOOKUP(A155, AutoFill_names!B:B, AutoFill_names!E:E,"")=0,"",_xlfn.XLOOKUP(A155, AutoFill_names!B:B, AutoFill_names!E:E,""))</f>
        <v/>
      </c>
      <c r="E155" s="115" t="str">
        <f>IF(_xlfn.XLOOKUP(A155, AutoFill_names!B:B, AutoFill_names!F:F,"")=0,"",_xlfn.XLOOKUP(A155, AutoFill_names!B:B, AutoFill_names!F:F,""))</f>
        <v/>
      </c>
      <c r="F155" s="92"/>
      <c r="J155" s="115" t="str">
        <f>IF(_xlfn.XLOOKUP(A155, AutoFill_names!B:B, AutoFill_names!K:K,"")=0,"",_xlfn.XLOOKUP(A155, AutoFill_names!B:B, AutoFill_names!K:K,""))</f>
        <v/>
      </c>
      <c r="K155" s="115" t="str">
        <f>IF(_xlfn.XLOOKUP(A155, AutoFill_names!B:B, AutoFill_names!L:L,"")=0,"",_xlfn.XLOOKUP(A155, AutoFill_names!B:B, AutoFill_names!L:L,""))</f>
        <v/>
      </c>
      <c r="L155" s="2"/>
      <c r="M155" s="2"/>
      <c r="N155" s="117" t="str">
        <f>IF(_xlfn.XLOOKUP(L155, AutoFill_classes!A:A, AutoFill_classes!B:B,"")=0,"",_xlfn.XLOOKUP(L155, AutoFill_classes!A:A, AutoFill_classes!B:B,""))</f>
        <v/>
      </c>
      <c r="O155" s="108"/>
      <c r="P155" s="6"/>
      <c r="Q155" s="6"/>
      <c r="R155" s="6"/>
      <c r="S155" s="2"/>
      <c r="U155" s="2"/>
      <c r="X155" s="63"/>
      <c r="Y155" s="19"/>
      <c r="Z155" s="121" t="str">
        <f t="shared" si="135"/>
        <v/>
      </c>
      <c r="AA155" s="20"/>
      <c r="AB155" s="20"/>
      <c r="AC155" s="20"/>
      <c r="AD155" s="20"/>
      <c r="AE155" s="125" t="str">
        <f t="shared" si="136"/>
        <v/>
      </c>
      <c r="AF155" s="14"/>
      <c r="AG155" s="125" t="str">
        <f t="shared" si="137"/>
        <v/>
      </c>
      <c r="AH155" s="20"/>
      <c r="AI155" s="20"/>
      <c r="AJ155" s="125" t="str">
        <f t="shared" si="138"/>
        <v/>
      </c>
      <c r="AK155" s="14"/>
      <c r="AL155" s="125" t="str">
        <f t="shared" si="139"/>
        <v/>
      </c>
      <c r="AM155" s="20"/>
      <c r="AN155" s="20"/>
      <c r="AO155" s="125" t="str">
        <f t="shared" si="140"/>
        <v/>
      </c>
      <c r="AP155" s="125" t="str">
        <f t="shared" si="141"/>
        <v/>
      </c>
      <c r="AQ155" s="125" t="str">
        <f t="shared" si="142"/>
        <v/>
      </c>
      <c r="AR155" s="129" t="str">
        <f t="shared" si="143"/>
        <v/>
      </c>
      <c r="AS155" s="14"/>
      <c r="AT155" s="13"/>
      <c r="AU155" s="13"/>
      <c r="AV155" s="117" t="str">
        <f>IF(_xlfn.XLOOKUP(AT155, AutoFill_classes!$A:$A, AutoFill_classes!$B:$B,"")=0,"",_xlfn.XLOOKUP(AT155, AutoFill_classes!$A:$A, AutoFill_classes!$B:$B,""))</f>
        <v/>
      </c>
      <c r="AW155" s="108"/>
      <c r="AX155" s="11"/>
      <c r="AY155" s="11"/>
      <c r="AZ155" s="11"/>
      <c r="BA155" s="13"/>
      <c r="BB155" s="13"/>
      <c r="BC155" s="63"/>
      <c r="BD155" s="19"/>
      <c r="BE155" s="121" t="str">
        <f t="shared" si="144"/>
        <v/>
      </c>
      <c r="BF155" s="20"/>
      <c r="BG155" s="20"/>
      <c r="BH155" s="20"/>
      <c r="BI155" s="20"/>
      <c r="BJ155" s="125" t="str">
        <f t="shared" si="145"/>
        <v/>
      </c>
      <c r="BK155" s="14"/>
      <c r="BL155" s="125" t="str">
        <f t="shared" si="146"/>
        <v/>
      </c>
      <c r="BM155" s="20"/>
      <c r="BN155" s="20"/>
      <c r="BO155" s="125" t="str">
        <f t="shared" si="147"/>
        <v/>
      </c>
      <c r="BP155" s="14"/>
      <c r="BQ155" s="125" t="str">
        <f t="shared" si="148"/>
        <v/>
      </c>
      <c r="BR155" s="20"/>
      <c r="BS155" s="20"/>
      <c r="BT155" s="125" t="str">
        <f t="shared" si="149"/>
        <v/>
      </c>
      <c r="BU155" s="125" t="str">
        <f t="shared" si="150"/>
        <v/>
      </c>
      <c r="BV155" s="125" t="str">
        <f t="shared" si="151"/>
        <v/>
      </c>
      <c r="BW155" s="129" t="str">
        <f t="shared" si="152"/>
        <v/>
      </c>
      <c r="BX155" s="11"/>
      <c r="BY155" s="15"/>
      <c r="BZ155" s="14"/>
      <c r="CA155" s="117" t="str">
        <f>IF(_xlfn.XLOOKUP(BY155, AutoFill_classes!$A:$A, AutoFill_classes!$B:$B,"")=0,"",_xlfn.XLOOKUP(BY155, AutoFill_classes!$A:$A, AutoFill_classes!$B:$B,""))</f>
        <v/>
      </c>
      <c r="CB155" s="108"/>
      <c r="CC155" s="14"/>
      <c r="CD155" s="14"/>
      <c r="CE155" s="14"/>
      <c r="CF155" s="21"/>
      <c r="CG155" s="22"/>
      <c r="CH155" s="63"/>
      <c r="CI155" s="23"/>
      <c r="CJ155" s="121" t="str">
        <f t="shared" si="153"/>
        <v/>
      </c>
      <c r="CK155" s="20"/>
      <c r="CL155" s="20"/>
      <c r="CM155" s="20"/>
      <c r="CN155" s="20"/>
      <c r="CO155" s="125" t="str">
        <f t="shared" si="154"/>
        <v/>
      </c>
      <c r="CP155" s="14"/>
      <c r="CQ155" s="125" t="str">
        <f t="shared" si="155"/>
        <v/>
      </c>
      <c r="CR155" s="20"/>
      <c r="CS155" s="20"/>
      <c r="CT155" s="125" t="str">
        <f t="shared" si="156"/>
        <v/>
      </c>
      <c r="CU155" s="14"/>
      <c r="CV155" s="125" t="str">
        <f t="shared" si="157"/>
        <v/>
      </c>
      <c r="CW155" s="20"/>
      <c r="CX155" s="20"/>
      <c r="CY155" s="125" t="str">
        <f t="shared" si="158"/>
        <v/>
      </c>
      <c r="CZ155" s="125" t="str">
        <f t="shared" si="159"/>
        <v/>
      </c>
      <c r="DA155" s="125" t="str">
        <f t="shared" si="160"/>
        <v/>
      </c>
      <c r="DB155" s="129" t="str">
        <f t="shared" si="161"/>
        <v/>
      </c>
      <c r="DC155" s="14"/>
      <c r="DD155" s="62"/>
      <c r="DE155" s="105">
        <v>153</v>
      </c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spans="1:176" s="1" customFormat="1" ht="13" hidden="1" customHeight="1" outlineLevel="1" x14ac:dyDescent="0.2">
      <c r="A156" s="4"/>
      <c r="B156" s="115" t="str">
        <f>IF(_xlfn.XLOOKUP(A156, AutoFill_names!B:B, AutoFill_names!C:C,"")=0,"",_xlfn.XLOOKUP(A156, AutoFill_names!B:B, AutoFill_names!C:C,""))</f>
        <v/>
      </c>
      <c r="C156" s="115" t="str">
        <f>IF(_xlfn.XLOOKUP(A156, AutoFill_names!B:B, AutoFill_names!D:D,"")=0,"",_xlfn.XLOOKUP(A156, AutoFill_names!B:B, AutoFill_names!D:D,""))</f>
        <v/>
      </c>
      <c r="D156" s="115" t="str">
        <f>IF(_xlfn.XLOOKUP(A156, AutoFill_names!B:B, AutoFill_names!E:E,"")=0,"",_xlfn.XLOOKUP(A156, AutoFill_names!B:B, AutoFill_names!E:E,""))</f>
        <v/>
      </c>
      <c r="E156" s="115" t="str">
        <f>IF(_xlfn.XLOOKUP(A156, AutoFill_names!B:B, AutoFill_names!F:F,"")=0,"",_xlfn.XLOOKUP(A156, AutoFill_names!B:B, AutoFill_names!F:F,""))</f>
        <v/>
      </c>
      <c r="F156" s="92"/>
      <c r="J156" s="115" t="str">
        <f>IF(_xlfn.XLOOKUP(A156, AutoFill_names!B:B, AutoFill_names!K:K,"")=0,"",_xlfn.XLOOKUP(A156, AutoFill_names!B:B, AutoFill_names!K:K,""))</f>
        <v/>
      </c>
      <c r="K156" s="115" t="str">
        <f>IF(_xlfn.XLOOKUP(A156, AutoFill_names!B:B, AutoFill_names!L:L,"")=0,"",_xlfn.XLOOKUP(A156, AutoFill_names!B:B, AutoFill_names!L:L,""))</f>
        <v/>
      </c>
      <c r="L156" s="2"/>
      <c r="M156" s="2"/>
      <c r="N156" s="117" t="str">
        <f>IF(_xlfn.XLOOKUP(L156, AutoFill_classes!A:A, AutoFill_classes!B:B,"")=0,"",_xlfn.XLOOKUP(L156, AutoFill_classes!A:A, AutoFill_classes!B:B,""))</f>
        <v/>
      </c>
      <c r="O156" s="108"/>
      <c r="P156" s="6"/>
      <c r="Q156" s="6"/>
      <c r="R156" s="6"/>
      <c r="S156" s="2"/>
      <c r="U156" s="2"/>
      <c r="X156" s="63"/>
      <c r="Y156" s="19"/>
      <c r="Z156" s="121" t="str">
        <f t="shared" si="135"/>
        <v/>
      </c>
      <c r="AA156" s="20"/>
      <c r="AB156" s="20"/>
      <c r="AC156" s="20"/>
      <c r="AD156" s="20"/>
      <c r="AE156" s="125" t="str">
        <f t="shared" si="136"/>
        <v/>
      </c>
      <c r="AF156" s="14"/>
      <c r="AG156" s="125" t="str">
        <f t="shared" si="137"/>
        <v/>
      </c>
      <c r="AH156" s="20"/>
      <c r="AI156" s="20"/>
      <c r="AJ156" s="125" t="str">
        <f t="shared" si="138"/>
        <v/>
      </c>
      <c r="AK156" s="14"/>
      <c r="AL156" s="125" t="str">
        <f t="shared" si="139"/>
        <v/>
      </c>
      <c r="AM156" s="20"/>
      <c r="AN156" s="20"/>
      <c r="AO156" s="125" t="str">
        <f t="shared" si="140"/>
        <v/>
      </c>
      <c r="AP156" s="125" t="str">
        <f t="shared" si="141"/>
        <v/>
      </c>
      <c r="AQ156" s="125" t="str">
        <f t="shared" si="142"/>
        <v/>
      </c>
      <c r="AR156" s="129" t="str">
        <f t="shared" si="143"/>
        <v/>
      </c>
      <c r="AS156" s="14"/>
      <c r="AT156" s="13"/>
      <c r="AU156" s="13"/>
      <c r="AV156" s="117" t="str">
        <f>IF(_xlfn.XLOOKUP(AT156, AutoFill_classes!$A:$A, AutoFill_classes!$B:$B,"")=0,"",_xlfn.XLOOKUP(AT156, AutoFill_classes!$A:$A, AutoFill_classes!$B:$B,""))</f>
        <v/>
      </c>
      <c r="AW156" s="108"/>
      <c r="AX156" s="11"/>
      <c r="AY156" s="11"/>
      <c r="AZ156" s="11"/>
      <c r="BA156" s="13"/>
      <c r="BB156" s="13"/>
      <c r="BC156" s="63"/>
      <c r="BD156" s="19"/>
      <c r="BE156" s="121" t="str">
        <f t="shared" si="144"/>
        <v/>
      </c>
      <c r="BF156" s="20"/>
      <c r="BG156" s="20"/>
      <c r="BH156" s="20"/>
      <c r="BI156" s="20"/>
      <c r="BJ156" s="125" t="str">
        <f t="shared" si="145"/>
        <v/>
      </c>
      <c r="BK156" s="14"/>
      <c r="BL156" s="125" t="str">
        <f t="shared" si="146"/>
        <v/>
      </c>
      <c r="BM156" s="20"/>
      <c r="BN156" s="20"/>
      <c r="BO156" s="125" t="str">
        <f t="shared" si="147"/>
        <v/>
      </c>
      <c r="BP156" s="14"/>
      <c r="BQ156" s="125" t="str">
        <f t="shared" si="148"/>
        <v/>
      </c>
      <c r="BR156" s="20"/>
      <c r="BS156" s="20"/>
      <c r="BT156" s="125" t="str">
        <f t="shared" si="149"/>
        <v/>
      </c>
      <c r="BU156" s="125" t="str">
        <f t="shared" si="150"/>
        <v/>
      </c>
      <c r="BV156" s="125" t="str">
        <f t="shared" si="151"/>
        <v/>
      </c>
      <c r="BW156" s="129" t="str">
        <f t="shared" si="152"/>
        <v/>
      </c>
      <c r="BX156" s="11"/>
      <c r="BY156" s="15"/>
      <c r="BZ156" s="14"/>
      <c r="CA156" s="117" t="str">
        <f>IF(_xlfn.XLOOKUP(BY156, AutoFill_classes!$A:$A, AutoFill_classes!$B:$B,"")=0,"",_xlfn.XLOOKUP(BY156, AutoFill_classes!$A:$A, AutoFill_classes!$B:$B,""))</f>
        <v/>
      </c>
      <c r="CB156" s="108"/>
      <c r="CC156" s="14"/>
      <c r="CD156" s="14"/>
      <c r="CE156" s="14"/>
      <c r="CF156" s="21"/>
      <c r="CG156" s="22"/>
      <c r="CH156" s="63"/>
      <c r="CI156" s="23"/>
      <c r="CJ156" s="121" t="str">
        <f t="shared" si="153"/>
        <v/>
      </c>
      <c r="CK156" s="20"/>
      <c r="CL156" s="20"/>
      <c r="CM156" s="20"/>
      <c r="CN156" s="20"/>
      <c r="CO156" s="125" t="str">
        <f t="shared" si="154"/>
        <v/>
      </c>
      <c r="CP156" s="14"/>
      <c r="CQ156" s="125" t="str">
        <f t="shared" si="155"/>
        <v/>
      </c>
      <c r="CR156" s="20"/>
      <c r="CS156" s="20"/>
      <c r="CT156" s="125" t="str">
        <f t="shared" si="156"/>
        <v/>
      </c>
      <c r="CU156" s="14"/>
      <c r="CV156" s="125" t="str">
        <f t="shared" si="157"/>
        <v/>
      </c>
      <c r="CW156" s="20"/>
      <c r="CX156" s="20"/>
      <c r="CY156" s="125" t="str">
        <f t="shared" si="158"/>
        <v/>
      </c>
      <c r="CZ156" s="125" t="str">
        <f t="shared" si="159"/>
        <v/>
      </c>
      <c r="DA156" s="125" t="str">
        <f t="shared" si="160"/>
        <v/>
      </c>
      <c r="DB156" s="129" t="str">
        <f t="shared" si="161"/>
        <v/>
      </c>
      <c r="DC156" s="14"/>
      <c r="DD156" s="62"/>
      <c r="DE156" s="105">
        <v>154</v>
      </c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spans="1:176" s="1" customFormat="1" ht="13" hidden="1" customHeight="1" outlineLevel="1" x14ac:dyDescent="0.2">
      <c r="A157" s="4"/>
      <c r="B157" s="115" t="str">
        <f>IF(_xlfn.XLOOKUP(A157, AutoFill_names!B:B, AutoFill_names!C:C,"")=0,"",_xlfn.XLOOKUP(A157, AutoFill_names!B:B, AutoFill_names!C:C,""))</f>
        <v/>
      </c>
      <c r="C157" s="115" t="str">
        <f>IF(_xlfn.XLOOKUP(A157, AutoFill_names!B:B, AutoFill_names!D:D,"")=0,"",_xlfn.XLOOKUP(A157, AutoFill_names!B:B, AutoFill_names!D:D,""))</f>
        <v/>
      </c>
      <c r="D157" s="115" t="str">
        <f>IF(_xlfn.XLOOKUP(A157, AutoFill_names!B:B, AutoFill_names!E:E,"")=0,"",_xlfn.XLOOKUP(A157, AutoFill_names!B:B, AutoFill_names!E:E,""))</f>
        <v/>
      </c>
      <c r="E157" s="115" t="str">
        <f>IF(_xlfn.XLOOKUP(A157, AutoFill_names!B:B, AutoFill_names!F:F,"")=0,"",_xlfn.XLOOKUP(A157, AutoFill_names!B:B, AutoFill_names!F:F,""))</f>
        <v/>
      </c>
      <c r="F157" s="92"/>
      <c r="J157" s="115" t="str">
        <f>IF(_xlfn.XLOOKUP(A157, AutoFill_names!B:B, AutoFill_names!K:K,"")=0,"",_xlfn.XLOOKUP(A157, AutoFill_names!B:B, AutoFill_names!K:K,""))</f>
        <v/>
      </c>
      <c r="K157" s="115" t="str">
        <f>IF(_xlfn.XLOOKUP(A157, AutoFill_names!B:B, AutoFill_names!L:L,"")=0,"",_xlfn.XLOOKUP(A157, AutoFill_names!B:B, AutoFill_names!L:L,""))</f>
        <v/>
      </c>
      <c r="L157" s="2"/>
      <c r="M157" s="2"/>
      <c r="N157" s="117" t="str">
        <f>IF(_xlfn.XLOOKUP(L157, AutoFill_classes!A:A, AutoFill_classes!B:B,"")=0,"",_xlfn.XLOOKUP(L157, AutoFill_classes!A:A, AutoFill_classes!B:B,""))</f>
        <v/>
      </c>
      <c r="O157" s="108"/>
      <c r="P157" s="6"/>
      <c r="Q157" s="6"/>
      <c r="R157" s="6"/>
      <c r="S157" s="2"/>
      <c r="U157" s="2"/>
      <c r="X157" s="63"/>
      <c r="Y157" s="19"/>
      <c r="Z157" s="121" t="str">
        <f t="shared" si="135"/>
        <v/>
      </c>
      <c r="AA157" s="20"/>
      <c r="AB157" s="20"/>
      <c r="AC157" s="20"/>
      <c r="AD157" s="20"/>
      <c r="AE157" s="125" t="str">
        <f t="shared" si="136"/>
        <v/>
      </c>
      <c r="AF157" s="14"/>
      <c r="AG157" s="125" t="str">
        <f t="shared" si="137"/>
        <v/>
      </c>
      <c r="AH157" s="20"/>
      <c r="AI157" s="20"/>
      <c r="AJ157" s="125" t="str">
        <f t="shared" si="138"/>
        <v/>
      </c>
      <c r="AK157" s="14"/>
      <c r="AL157" s="125" t="str">
        <f t="shared" si="139"/>
        <v/>
      </c>
      <c r="AM157" s="20"/>
      <c r="AN157" s="20"/>
      <c r="AO157" s="125" t="str">
        <f t="shared" si="140"/>
        <v/>
      </c>
      <c r="AP157" s="125" t="str">
        <f t="shared" si="141"/>
        <v/>
      </c>
      <c r="AQ157" s="125" t="str">
        <f t="shared" si="142"/>
        <v/>
      </c>
      <c r="AR157" s="129" t="str">
        <f t="shared" si="143"/>
        <v/>
      </c>
      <c r="AS157" s="14"/>
      <c r="AT157" s="13"/>
      <c r="AU157" s="13"/>
      <c r="AV157" s="117" t="str">
        <f>IF(_xlfn.XLOOKUP(AT157, AutoFill_classes!$A:$A, AutoFill_classes!$B:$B,"")=0,"",_xlfn.XLOOKUP(AT157, AutoFill_classes!$A:$A, AutoFill_classes!$B:$B,""))</f>
        <v/>
      </c>
      <c r="AW157" s="108"/>
      <c r="AX157" s="11"/>
      <c r="AY157" s="11"/>
      <c r="AZ157" s="11"/>
      <c r="BA157" s="13"/>
      <c r="BB157" s="13"/>
      <c r="BC157" s="63"/>
      <c r="BD157" s="19"/>
      <c r="BE157" s="121" t="str">
        <f t="shared" si="144"/>
        <v/>
      </c>
      <c r="BF157" s="20"/>
      <c r="BG157" s="20"/>
      <c r="BH157" s="20"/>
      <c r="BI157" s="20"/>
      <c r="BJ157" s="125" t="str">
        <f t="shared" si="145"/>
        <v/>
      </c>
      <c r="BK157" s="14"/>
      <c r="BL157" s="125" t="str">
        <f t="shared" si="146"/>
        <v/>
      </c>
      <c r="BM157" s="20"/>
      <c r="BN157" s="20"/>
      <c r="BO157" s="125" t="str">
        <f t="shared" si="147"/>
        <v/>
      </c>
      <c r="BP157" s="14"/>
      <c r="BQ157" s="125" t="str">
        <f t="shared" si="148"/>
        <v/>
      </c>
      <c r="BR157" s="20"/>
      <c r="BS157" s="20"/>
      <c r="BT157" s="125" t="str">
        <f t="shared" si="149"/>
        <v/>
      </c>
      <c r="BU157" s="125" t="str">
        <f t="shared" si="150"/>
        <v/>
      </c>
      <c r="BV157" s="125" t="str">
        <f t="shared" si="151"/>
        <v/>
      </c>
      <c r="BW157" s="129" t="str">
        <f t="shared" si="152"/>
        <v/>
      </c>
      <c r="BX157" s="11"/>
      <c r="BY157" s="15"/>
      <c r="BZ157" s="14"/>
      <c r="CA157" s="117" t="str">
        <f>IF(_xlfn.XLOOKUP(BY157, AutoFill_classes!$A:$A, AutoFill_classes!$B:$B,"")=0,"",_xlfn.XLOOKUP(BY157, AutoFill_classes!$A:$A, AutoFill_classes!$B:$B,""))</f>
        <v/>
      </c>
      <c r="CB157" s="108"/>
      <c r="CC157" s="14"/>
      <c r="CD157" s="14"/>
      <c r="CE157" s="14"/>
      <c r="CF157" s="21"/>
      <c r="CG157" s="22"/>
      <c r="CH157" s="63"/>
      <c r="CI157" s="23"/>
      <c r="CJ157" s="121" t="str">
        <f t="shared" si="153"/>
        <v/>
      </c>
      <c r="CK157" s="20"/>
      <c r="CL157" s="20"/>
      <c r="CM157" s="20"/>
      <c r="CN157" s="20"/>
      <c r="CO157" s="125" t="str">
        <f t="shared" si="154"/>
        <v/>
      </c>
      <c r="CP157" s="14"/>
      <c r="CQ157" s="125" t="str">
        <f t="shared" si="155"/>
        <v/>
      </c>
      <c r="CR157" s="20"/>
      <c r="CS157" s="20"/>
      <c r="CT157" s="125" t="str">
        <f t="shared" si="156"/>
        <v/>
      </c>
      <c r="CU157" s="14"/>
      <c r="CV157" s="125" t="str">
        <f t="shared" si="157"/>
        <v/>
      </c>
      <c r="CW157" s="20"/>
      <c r="CX157" s="20"/>
      <c r="CY157" s="125" t="str">
        <f t="shared" si="158"/>
        <v/>
      </c>
      <c r="CZ157" s="125" t="str">
        <f t="shared" si="159"/>
        <v/>
      </c>
      <c r="DA157" s="125" t="str">
        <f t="shared" si="160"/>
        <v/>
      </c>
      <c r="DB157" s="129" t="str">
        <f t="shared" si="161"/>
        <v/>
      </c>
      <c r="DC157" s="14"/>
      <c r="DD157" s="62"/>
      <c r="DE157" s="105">
        <v>155</v>
      </c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spans="1:176" s="1" customFormat="1" ht="13" hidden="1" customHeight="1" outlineLevel="1" x14ac:dyDescent="0.2">
      <c r="A158" s="4"/>
      <c r="B158" s="115" t="str">
        <f>IF(_xlfn.XLOOKUP(A158, AutoFill_names!B:B, AutoFill_names!C:C,"")=0,"",_xlfn.XLOOKUP(A158, AutoFill_names!B:B, AutoFill_names!C:C,""))</f>
        <v/>
      </c>
      <c r="C158" s="115" t="str">
        <f>IF(_xlfn.XLOOKUP(A158, AutoFill_names!B:B, AutoFill_names!D:D,"")=0,"",_xlfn.XLOOKUP(A158, AutoFill_names!B:B, AutoFill_names!D:D,""))</f>
        <v/>
      </c>
      <c r="D158" s="115" t="str">
        <f>IF(_xlfn.XLOOKUP(A158, AutoFill_names!B:B, AutoFill_names!E:E,"")=0,"",_xlfn.XLOOKUP(A158, AutoFill_names!B:B, AutoFill_names!E:E,""))</f>
        <v/>
      </c>
      <c r="E158" s="115" t="str">
        <f>IF(_xlfn.XLOOKUP(A158, AutoFill_names!B:B, AutoFill_names!F:F,"")=0,"",_xlfn.XLOOKUP(A158, AutoFill_names!B:B, AutoFill_names!F:F,""))</f>
        <v/>
      </c>
      <c r="F158" s="92"/>
      <c r="J158" s="115" t="str">
        <f>IF(_xlfn.XLOOKUP(A158, AutoFill_names!B:B, AutoFill_names!K:K,"")=0,"",_xlfn.XLOOKUP(A158, AutoFill_names!B:B, AutoFill_names!K:K,""))</f>
        <v/>
      </c>
      <c r="K158" s="115" t="str">
        <f>IF(_xlfn.XLOOKUP(A158, AutoFill_names!B:B, AutoFill_names!L:L,"")=0,"",_xlfn.XLOOKUP(A158, AutoFill_names!B:B, AutoFill_names!L:L,""))</f>
        <v/>
      </c>
      <c r="L158" s="2"/>
      <c r="M158" s="2"/>
      <c r="N158" s="117" t="str">
        <f>IF(_xlfn.XLOOKUP(L158, AutoFill_classes!A:A, AutoFill_classes!B:B,"")=0,"",_xlfn.XLOOKUP(L158, AutoFill_classes!A:A, AutoFill_classes!B:B,""))</f>
        <v/>
      </c>
      <c r="O158" s="108"/>
      <c r="P158" s="6"/>
      <c r="Q158" s="6"/>
      <c r="R158" s="6"/>
      <c r="S158" s="2"/>
      <c r="U158" s="2"/>
      <c r="X158" s="63"/>
      <c r="Y158" s="19"/>
      <c r="Z158" s="121" t="str">
        <f t="shared" si="135"/>
        <v/>
      </c>
      <c r="AA158" s="20"/>
      <c r="AB158" s="20"/>
      <c r="AC158" s="20"/>
      <c r="AD158" s="20"/>
      <c r="AE158" s="125" t="str">
        <f t="shared" si="136"/>
        <v/>
      </c>
      <c r="AF158" s="14"/>
      <c r="AG158" s="125" t="str">
        <f t="shared" si="137"/>
        <v/>
      </c>
      <c r="AH158" s="20"/>
      <c r="AI158" s="20"/>
      <c r="AJ158" s="125" t="str">
        <f t="shared" si="138"/>
        <v/>
      </c>
      <c r="AK158" s="14"/>
      <c r="AL158" s="125" t="str">
        <f t="shared" si="139"/>
        <v/>
      </c>
      <c r="AM158" s="20"/>
      <c r="AN158" s="20"/>
      <c r="AO158" s="125" t="str">
        <f t="shared" si="140"/>
        <v/>
      </c>
      <c r="AP158" s="125" t="str">
        <f t="shared" si="141"/>
        <v/>
      </c>
      <c r="AQ158" s="125" t="str">
        <f t="shared" si="142"/>
        <v/>
      </c>
      <c r="AR158" s="129" t="str">
        <f t="shared" si="143"/>
        <v/>
      </c>
      <c r="AS158" s="14"/>
      <c r="AT158" s="13"/>
      <c r="AU158" s="13"/>
      <c r="AV158" s="117" t="str">
        <f>IF(_xlfn.XLOOKUP(AT158, AutoFill_classes!$A:$A, AutoFill_classes!$B:$B,"")=0,"",_xlfn.XLOOKUP(AT158, AutoFill_classes!$A:$A, AutoFill_classes!$B:$B,""))</f>
        <v/>
      </c>
      <c r="AW158" s="108"/>
      <c r="AX158" s="11"/>
      <c r="AY158" s="11"/>
      <c r="AZ158" s="11"/>
      <c r="BA158" s="13"/>
      <c r="BB158" s="13"/>
      <c r="BC158" s="63"/>
      <c r="BD158" s="19"/>
      <c r="BE158" s="121" t="str">
        <f t="shared" si="144"/>
        <v/>
      </c>
      <c r="BF158" s="20"/>
      <c r="BG158" s="20"/>
      <c r="BH158" s="20"/>
      <c r="BI158" s="20"/>
      <c r="BJ158" s="125" t="str">
        <f t="shared" si="145"/>
        <v/>
      </c>
      <c r="BK158" s="14"/>
      <c r="BL158" s="125" t="str">
        <f t="shared" si="146"/>
        <v/>
      </c>
      <c r="BM158" s="20"/>
      <c r="BN158" s="20"/>
      <c r="BO158" s="125" t="str">
        <f t="shared" si="147"/>
        <v/>
      </c>
      <c r="BP158" s="14"/>
      <c r="BQ158" s="125" t="str">
        <f t="shared" si="148"/>
        <v/>
      </c>
      <c r="BR158" s="20"/>
      <c r="BS158" s="20"/>
      <c r="BT158" s="125" t="str">
        <f t="shared" si="149"/>
        <v/>
      </c>
      <c r="BU158" s="125" t="str">
        <f t="shared" si="150"/>
        <v/>
      </c>
      <c r="BV158" s="125" t="str">
        <f t="shared" si="151"/>
        <v/>
      </c>
      <c r="BW158" s="129" t="str">
        <f t="shared" si="152"/>
        <v/>
      </c>
      <c r="BX158" s="11"/>
      <c r="BY158" s="15"/>
      <c r="BZ158" s="14"/>
      <c r="CA158" s="117" t="str">
        <f>IF(_xlfn.XLOOKUP(BY158, AutoFill_classes!$A:$A, AutoFill_classes!$B:$B,"")=0,"",_xlfn.XLOOKUP(BY158, AutoFill_classes!$A:$A, AutoFill_classes!$B:$B,""))</f>
        <v/>
      </c>
      <c r="CB158" s="108"/>
      <c r="CC158" s="14"/>
      <c r="CD158" s="14"/>
      <c r="CE158" s="14"/>
      <c r="CF158" s="21"/>
      <c r="CG158" s="22"/>
      <c r="CH158" s="63"/>
      <c r="CI158" s="23"/>
      <c r="CJ158" s="121" t="str">
        <f t="shared" si="153"/>
        <v/>
      </c>
      <c r="CK158" s="20"/>
      <c r="CL158" s="20"/>
      <c r="CM158" s="20"/>
      <c r="CN158" s="20"/>
      <c r="CO158" s="125" t="str">
        <f t="shared" si="154"/>
        <v/>
      </c>
      <c r="CP158" s="14"/>
      <c r="CQ158" s="125" t="str">
        <f t="shared" si="155"/>
        <v/>
      </c>
      <c r="CR158" s="20"/>
      <c r="CS158" s="20"/>
      <c r="CT158" s="125" t="str">
        <f t="shared" si="156"/>
        <v/>
      </c>
      <c r="CU158" s="14"/>
      <c r="CV158" s="125" t="str">
        <f t="shared" si="157"/>
        <v/>
      </c>
      <c r="CW158" s="20"/>
      <c r="CX158" s="20"/>
      <c r="CY158" s="125" t="str">
        <f t="shared" si="158"/>
        <v/>
      </c>
      <c r="CZ158" s="125" t="str">
        <f t="shared" si="159"/>
        <v/>
      </c>
      <c r="DA158" s="125" t="str">
        <f t="shared" si="160"/>
        <v/>
      </c>
      <c r="DB158" s="129" t="str">
        <f t="shared" si="161"/>
        <v/>
      </c>
      <c r="DC158" s="14"/>
      <c r="DD158" s="62"/>
      <c r="DE158" s="105">
        <v>156</v>
      </c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spans="1:176" s="1" customFormat="1" ht="13" hidden="1" customHeight="1" outlineLevel="1" x14ac:dyDescent="0.2">
      <c r="A159" s="4"/>
      <c r="B159" s="115" t="str">
        <f>IF(_xlfn.XLOOKUP(A159, AutoFill_names!B:B, AutoFill_names!C:C,"")=0,"",_xlfn.XLOOKUP(A159, AutoFill_names!B:B, AutoFill_names!C:C,""))</f>
        <v/>
      </c>
      <c r="C159" s="115" t="str">
        <f>IF(_xlfn.XLOOKUP(A159, AutoFill_names!B:B, AutoFill_names!D:D,"")=0,"",_xlfn.XLOOKUP(A159, AutoFill_names!B:B, AutoFill_names!D:D,""))</f>
        <v/>
      </c>
      <c r="D159" s="115" t="str">
        <f>IF(_xlfn.XLOOKUP(A159, AutoFill_names!B:B, AutoFill_names!E:E,"")=0,"",_xlfn.XLOOKUP(A159, AutoFill_names!B:B, AutoFill_names!E:E,""))</f>
        <v/>
      </c>
      <c r="E159" s="115" t="str">
        <f>IF(_xlfn.XLOOKUP(A159, AutoFill_names!B:B, AutoFill_names!F:F,"")=0,"",_xlfn.XLOOKUP(A159, AutoFill_names!B:B, AutoFill_names!F:F,""))</f>
        <v/>
      </c>
      <c r="F159" s="92"/>
      <c r="J159" s="115" t="str">
        <f>IF(_xlfn.XLOOKUP(A159, AutoFill_names!B:B, AutoFill_names!K:K,"")=0,"",_xlfn.XLOOKUP(A159, AutoFill_names!B:B, AutoFill_names!K:K,""))</f>
        <v/>
      </c>
      <c r="K159" s="115" t="str">
        <f>IF(_xlfn.XLOOKUP(A159, AutoFill_names!B:B, AutoFill_names!L:L,"")=0,"",_xlfn.XLOOKUP(A159, AutoFill_names!B:B, AutoFill_names!L:L,""))</f>
        <v/>
      </c>
      <c r="L159" s="2"/>
      <c r="M159" s="2"/>
      <c r="N159" s="117" t="str">
        <f>IF(_xlfn.XLOOKUP(L159, AutoFill_classes!A:A, AutoFill_classes!B:B,"")=0,"",_xlfn.XLOOKUP(L159, AutoFill_classes!A:A, AutoFill_classes!B:B,""))</f>
        <v/>
      </c>
      <c r="O159" s="108"/>
      <c r="P159" s="6"/>
      <c r="Q159" s="6"/>
      <c r="R159" s="6"/>
      <c r="S159" s="2"/>
      <c r="U159" s="2"/>
      <c r="X159" s="63"/>
      <c r="Y159" s="19"/>
      <c r="Z159" s="121" t="str">
        <f t="shared" si="135"/>
        <v/>
      </c>
      <c r="AA159" s="20"/>
      <c r="AB159" s="20"/>
      <c r="AC159" s="20"/>
      <c r="AD159" s="20"/>
      <c r="AE159" s="125" t="str">
        <f t="shared" si="136"/>
        <v/>
      </c>
      <c r="AF159" s="14"/>
      <c r="AG159" s="125" t="str">
        <f t="shared" si="137"/>
        <v/>
      </c>
      <c r="AH159" s="20"/>
      <c r="AI159" s="20"/>
      <c r="AJ159" s="125" t="str">
        <f t="shared" si="138"/>
        <v/>
      </c>
      <c r="AK159" s="14"/>
      <c r="AL159" s="125" t="str">
        <f t="shared" si="139"/>
        <v/>
      </c>
      <c r="AM159" s="20"/>
      <c r="AN159" s="20"/>
      <c r="AO159" s="125" t="str">
        <f t="shared" si="140"/>
        <v/>
      </c>
      <c r="AP159" s="125" t="str">
        <f t="shared" si="141"/>
        <v/>
      </c>
      <c r="AQ159" s="125" t="str">
        <f t="shared" si="142"/>
        <v/>
      </c>
      <c r="AR159" s="129" t="str">
        <f t="shared" si="143"/>
        <v/>
      </c>
      <c r="AS159" s="14"/>
      <c r="AT159" s="13"/>
      <c r="AU159" s="13"/>
      <c r="AV159" s="117" t="str">
        <f>IF(_xlfn.XLOOKUP(AT159, AutoFill_classes!$A:$A, AutoFill_classes!$B:$B,"")=0,"",_xlfn.XLOOKUP(AT159, AutoFill_classes!$A:$A, AutoFill_classes!$B:$B,""))</f>
        <v/>
      </c>
      <c r="AW159" s="108"/>
      <c r="AX159" s="11"/>
      <c r="AY159" s="11"/>
      <c r="AZ159" s="11"/>
      <c r="BA159" s="13"/>
      <c r="BB159" s="13"/>
      <c r="BC159" s="63"/>
      <c r="BD159" s="19"/>
      <c r="BE159" s="121" t="str">
        <f t="shared" si="144"/>
        <v/>
      </c>
      <c r="BF159" s="20"/>
      <c r="BG159" s="20"/>
      <c r="BH159" s="20"/>
      <c r="BI159" s="20"/>
      <c r="BJ159" s="125" t="str">
        <f t="shared" si="145"/>
        <v/>
      </c>
      <c r="BK159" s="14"/>
      <c r="BL159" s="125" t="str">
        <f t="shared" si="146"/>
        <v/>
      </c>
      <c r="BM159" s="20"/>
      <c r="BN159" s="20"/>
      <c r="BO159" s="125" t="str">
        <f t="shared" si="147"/>
        <v/>
      </c>
      <c r="BP159" s="14"/>
      <c r="BQ159" s="125" t="str">
        <f t="shared" si="148"/>
        <v/>
      </c>
      <c r="BR159" s="20"/>
      <c r="BS159" s="20"/>
      <c r="BT159" s="125" t="str">
        <f t="shared" si="149"/>
        <v/>
      </c>
      <c r="BU159" s="125" t="str">
        <f t="shared" si="150"/>
        <v/>
      </c>
      <c r="BV159" s="125" t="str">
        <f t="shared" si="151"/>
        <v/>
      </c>
      <c r="BW159" s="129" t="str">
        <f t="shared" si="152"/>
        <v/>
      </c>
      <c r="BX159" s="11"/>
      <c r="BY159" s="15"/>
      <c r="BZ159" s="14"/>
      <c r="CA159" s="117" t="str">
        <f>IF(_xlfn.XLOOKUP(BY159, AutoFill_classes!$A:$A, AutoFill_classes!$B:$B,"")=0,"",_xlfn.XLOOKUP(BY159, AutoFill_classes!$A:$A, AutoFill_classes!$B:$B,""))</f>
        <v/>
      </c>
      <c r="CB159" s="108"/>
      <c r="CC159" s="14"/>
      <c r="CD159" s="14"/>
      <c r="CE159" s="14"/>
      <c r="CF159" s="21"/>
      <c r="CG159" s="22"/>
      <c r="CH159" s="63"/>
      <c r="CI159" s="23"/>
      <c r="CJ159" s="121" t="str">
        <f t="shared" si="153"/>
        <v/>
      </c>
      <c r="CK159" s="20"/>
      <c r="CL159" s="20"/>
      <c r="CM159" s="20"/>
      <c r="CN159" s="20"/>
      <c r="CO159" s="125" t="str">
        <f t="shared" si="154"/>
        <v/>
      </c>
      <c r="CP159" s="14"/>
      <c r="CQ159" s="125" t="str">
        <f t="shared" si="155"/>
        <v/>
      </c>
      <c r="CR159" s="20"/>
      <c r="CS159" s="20"/>
      <c r="CT159" s="125" t="str">
        <f t="shared" si="156"/>
        <v/>
      </c>
      <c r="CU159" s="14"/>
      <c r="CV159" s="125" t="str">
        <f t="shared" si="157"/>
        <v/>
      </c>
      <c r="CW159" s="20"/>
      <c r="CX159" s="20"/>
      <c r="CY159" s="125" t="str">
        <f t="shared" si="158"/>
        <v/>
      </c>
      <c r="CZ159" s="125" t="str">
        <f t="shared" si="159"/>
        <v/>
      </c>
      <c r="DA159" s="125" t="str">
        <f t="shared" si="160"/>
        <v/>
      </c>
      <c r="DB159" s="129" t="str">
        <f t="shared" si="161"/>
        <v/>
      </c>
      <c r="DC159" s="14"/>
      <c r="DD159" s="62"/>
      <c r="DE159" s="105">
        <v>157</v>
      </c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spans="1:176" s="1" customFormat="1" ht="13" hidden="1" customHeight="1" outlineLevel="1" x14ac:dyDescent="0.2">
      <c r="A160" s="4"/>
      <c r="B160" s="115" t="str">
        <f>IF(_xlfn.XLOOKUP(A160, AutoFill_names!B:B, AutoFill_names!C:C,"")=0,"",_xlfn.XLOOKUP(A160, AutoFill_names!B:B, AutoFill_names!C:C,""))</f>
        <v/>
      </c>
      <c r="C160" s="115" t="str">
        <f>IF(_xlfn.XLOOKUP(A160, AutoFill_names!B:B, AutoFill_names!D:D,"")=0,"",_xlfn.XLOOKUP(A160, AutoFill_names!B:B, AutoFill_names!D:D,""))</f>
        <v/>
      </c>
      <c r="D160" s="115" t="str">
        <f>IF(_xlfn.XLOOKUP(A160, AutoFill_names!B:B, AutoFill_names!E:E,"")=0,"",_xlfn.XLOOKUP(A160, AutoFill_names!B:B, AutoFill_names!E:E,""))</f>
        <v/>
      </c>
      <c r="E160" s="115" t="str">
        <f>IF(_xlfn.XLOOKUP(A160, AutoFill_names!B:B, AutoFill_names!F:F,"")=0,"",_xlfn.XLOOKUP(A160, AutoFill_names!B:B, AutoFill_names!F:F,""))</f>
        <v/>
      </c>
      <c r="F160" s="92"/>
      <c r="J160" s="115" t="str">
        <f>IF(_xlfn.XLOOKUP(A160, AutoFill_names!B:B, AutoFill_names!K:K,"")=0,"",_xlfn.XLOOKUP(A160, AutoFill_names!B:B, AutoFill_names!K:K,""))</f>
        <v/>
      </c>
      <c r="K160" s="115" t="str">
        <f>IF(_xlfn.XLOOKUP(A160, AutoFill_names!B:B, AutoFill_names!L:L,"")=0,"",_xlfn.XLOOKUP(A160, AutoFill_names!B:B, AutoFill_names!L:L,""))</f>
        <v/>
      </c>
      <c r="L160" s="2"/>
      <c r="M160" s="2"/>
      <c r="N160" s="117" t="str">
        <f>IF(_xlfn.XLOOKUP(L160, AutoFill_classes!A:A, AutoFill_classes!B:B,"")=0,"",_xlfn.XLOOKUP(L160, AutoFill_classes!A:A, AutoFill_classes!B:B,""))</f>
        <v/>
      </c>
      <c r="O160" s="108"/>
      <c r="P160" s="6"/>
      <c r="Q160" s="6"/>
      <c r="R160" s="6"/>
      <c r="S160" s="2"/>
      <c r="U160" s="2"/>
      <c r="X160" s="63"/>
      <c r="Y160" s="19"/>
      <c r="Z160" s="121" t="str">
        <f t="shared" si="135"/>
        <v/>
      </c>
      <c r="AA160" s="20"/>
      <c r="AB160" s="20"/>
      <c r="AC160" s="20"/>
      <c r="AD160" s="20"/>
      <c r="AE160" s="125" t="str">
        <f t="shared" si="136"/>
        <v/>
      </c>
      <c r="AF160" s="14"/>
      <c r="AG160" s="125" t="str">
        <f t="shared" si="137"/>
        <v/>
      </c>
      <c r="AH160" s="20"/>
      <c r="AI160" s="20"/>
      <c r="AJ160" s="125" t="str">
        <f t="shared" si="138"/>
        <v/>
      </c>
      <c r="AK160" s="14"/>
      <c r="AL160" s="125" t="str">
        <f t="shared" si="139"/>
        <v/>
      </c>
      <c r="AM160" s="20"/>
      <c r="AN160" s="20"/>
      <c r="AO160" s="125" t="str">
        <f t="shared" si="140"/>
        <v/>
      </c>
      <c r="AP160" s="125" t="str">
        <f t="shared" si="141"/>
        <v/>
      </c>
      <c r="AQ160" s="125" t="str">
        <f t="shared" si="142"/>
        <v/>
      </c>
      <c r="AR160" s="129" t="str">
        <f t="shared" si="143"/>
        <v/>
      </c>
      <c r="AS160" s="14"/>
      <c r="AT160" s="13"/>
      <c r="AU160" s="13"/>
      <c r="AV160" s="117" t="str">
        <f>IF(_xlfn.XLOOKUP(AT160, AutoFill_classes!$A:$A, AutoFill_classes!$B:$B,"")=0,"",_xlfn.XLOOKUP(AT160, AutoFill_classes!$A:$A, AutoFill_classes!$B:$B,""))</f>
        <v/>
      </c>
      <c r="AW160" s="108"/>
      <c r="AX160" s="11"/>
      <c r="AY160" s="11"/>
      <c r="AZ160" s="11"/>
      <c r="BA160" s="13"/>
      <c r="BB160" s="13"/>
      <c r="BC160" s="63"/>
      <c r="BD160" s="19"/>
      <c r="BE160" s="121" t="str">
        <f t="shared" si="144"/>
        <v/>
      </c>
      <c r="BF160" s="20"/>
      <c r="BG160" s="20"/>
      <c r="BH160" s="20"/>
      <c r="BI160" s="20"/>
      <c r="BJ160" s="125" t="str">
        <f t="shared" si="145"/>
        <v/>
      </c>
      <c r="BK160" s="14"/>
      <c r="BL160" s="125" t="str">
        <f t="shared" si="146"/>
        <v/>
      </c>
      <c r="BM160" s="20"/>
      <c r="BN160" s="20"/>
      <c r="BO160" s="125" t="str">
        <f t="shared" si="147"/>
        <v/>
      </c>
      <c r="BP160" s="14"/>
      <c r="BQ160" s="125" t="str">
        <f t="shared" si="148"/>
        <v/>
      </c>
      <c r="BR160" s="20"/>
      <c r="BS160" s="20"/>
      <c r="BT160" s="125" t="str">
        <f t="shared" si="149"/>
        <v/>
      </c>
      <c r="BU160" s="125" t="str">
        <f t="shared" si="150"/>
        <v/>
      </c>
      <c r="BV160" s="125" t="str">
        <f t="shared" si="151"/>
        <v/>
      </c>
      <c r="BW160" s="129" t="str">
        <f t="shared" si="152"/>
        <v/>
      </c>
      <c r="BX160" s="11"/>
      <c r="BY160" s="15"/>
      <c r="BZ160" s="14"/>
      <c r="CA160" s="117" t="str">
        <f>IF(_xlfn.XLOOKUP(BY160, AutoFill_classes!$A:$A, AutoFill_classes!$B:$B,"")=0,"",_xlfn.XLOOKUP(BY160, AutoFill_classes!$A:$A, AutoFill_classes!$B:$B,""))</f>
        <v/>
      </c>
      <c r="CB160" s="108"/>
      <c r="CC160" s="14"/>
      <c r="CD160" s="14"/>
      <c r="CE160" s="14"/>
      <c r="CF160" s="21"/>
      <c r="CG160" s="22"/>
      <c r="CH160" s="63"/>
      <c r="CI160" s="23"/>
      <c r="CJ160" s="121" t="str">
        <f t="shared" si="153"/>
        <v/>
      </c>
      <c r="CK160" s="20"/>
      <c r="CL160" s="20"/>
      <c r="CM160" s="20"/>
      <c r="CN160" s="20"/>
      <c r="CO160" s="125" t="str">
        <f t="shared" si="154"/>
        <v/>
      </c>
      <c r="CP160" s="14"/>
      <c r="CQ160" s="125" t="str">
        <f t="shared" si="155"/>
        <v/>
      </c>
      <c r="CR160" s="20"/>
      <c r="CS160" s="20"/>
      <c r="CT160" s="125" t="str">
        <f t="shared" si="156"/>
        <v/>
      </c>
      <c r="CU160" s="14"/>
      <c r="CV160" s="125" t="str">
        <f t="shared" si="157"/>
        <v/>
      </c>
      <c r="CW160" s="20"/>
      <c r="CX160" s="20"/>
      <c r="CY160" s="125" t="str">
        <f t="shared" si="158"/>
        <v/>
      </c>
      <c r="CZ160" s="125" t="str">
        <f t="shared" si="159"/>
        <v/>
      </c>
      <c r="DA160" s="125" t="str">
        <f t="shared" si="160"/>
        <v/>
      </c>
      <c r="DB160" s="129" t="str">
        <f t="shared" si="161"/>
        <v/>
      </c>
      <c r="DC160" s="14"/>
      <c r="DD160" s="62"/>
      <c r="DE160" s="105">
        <v>158</v>
      </c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spans="1:176" s="1" customFormat="1" ht="13" hidden="1" customHeight="1" outlineLevel="1" x14ac:dyDescent="0.2">
      <c r="A161" s="4"/>
      <c r="B161" s="115" t="str">
        <f>IF(_xlfn.XLOOKUP(A161, AutoFill_names!B:B, AutoFill_names!C:C,"")=0,"",_xlfn.XLOOKUP(A161, AutoFill_names!B:B, AutoFill_names!C:C,""))</f>
        <v/>
      </c>
      <c r="C161" s="115" t="str">
        <f>IF(_xlfn.XLOOKUP(A161, AutoFill_names!B:B, AutoFill_names!D:D,"")=0,"",_xlfn.XLOOKUP(A161, AutoFill_names!B:B, AutoFill_names!D:D,""))</f>
        <v/>
      </c>
      <c r="D161" s="115" t="str">
        <f>IF(_xlfn.XLOOKUP(A161, AutoFill_names!B:B, AutoFill_names!E:E,"")=0,"",_xlfn.XLOOKUP(A161, AutoFill_names!B:B, AutoFill_names!E:E,""))</f>
        <v/>
      </c>
      <c r="E161" s="115" t="str">
        <f>IF(_xlfn.XLOOKUP(A161, AutoFill_names!B:B, AutoFill_names!F:F,"")=0,"",_xlfn.XLOOKUP(A161, AutoFill_names!B:B, AutoFill_names!F:F,""))</f>
        <v/>
      </c>
      <c r="F161" s="92"/>
      <c r="J161" s="115" t="str">
        <f>IF(_xlfn.XLOOKUP(A161, AutoFill_names!B:B, AutoFill_names!K:K,"")=0,"",_xlfn.XLOOKUP(A161, AutoFill_names!B:B, AutoFill_names!K:K,""))</f>
        <v/>
      </c>
      <c r="K161" s="115" t="str">
        <f>IF(_xlfn.XLOOKUP(A161, AutoFill_names!B:B, AutoFill_names!L:L,"")=0,"",_xlfn.XLOOKUP(A161, AutoFill_names!B:B, AutoFill_names!L:L,""))</f>
        <v/>
      </c>
      <c r="L161" s="2"/>
      <c r="M161" s="2"/>
      <c r="N161" s="117" t="str">
        <f>IF(_xlfn.XLOOKUP(L161, AutoFill_classes!A:A, AutoFill_classes!B:B,"")=0,"",_xlfn.XLOOKUP(L161, AutoFill_classes!A:A, AutoFill_classes!B:B,""))</f>
        <v/>
      </c>
      <c r="O161" s="108"/>
      <c r="P161" s="6"/>
      <c r="Q161" s="6"/>
      <c r="R161" s="6"/>
      <c r="S161" s="2"/>
      <c r="U161" s="2"/>
      <c r="X161" s="63"/>
      <c r="Y161" s="19"/>
      <c r="Z161" s="121" t="str">
        <f t="shared" si="135"/>
        <v/>
      </c>
      <c r="AA161" s="20"/>
      <c r="AB161" s="20"/>
      <c r="AC161" s="20"/>
      <c r="AD161" s="20"/>
      <c r="AE161" s="125" t="str">
        <f t="shared" si="136"/>
        <v/>
      </c>
      <c r="AF161" s="14"/>
      <c r="AG161" s="125" t="str">
        <f t="shared" si="137"/>
        <v/>
      </c>
      <c r="AH161" s="20"/>
      <c r="AI161" s="20"/>
      <c r="AJ161" s="125" t="str">
        <f t="shared" si="138"/>
        <v/>
      </c>
      <c r="AK161" s="14"/>
      <c r="AL161" s="125" t="str">
        <f t="shared" si="139"/>
        <v/>
      </c>
      <c r="AM161" s="20"/>
      <c r="AN161" s="20"/>
      <c r="AO161" s="125" t="str">
        <f t="shared" si="140"/>
        <v/>
      </c>
      <c r="AP161" s="125" t="str">
        <f t="shared" si="141"/>
        <v/>
      </c>
      <c r="AQ161" s="125" t="str">
        <f t="shared" si="142"/>
        <v/>
      </c>
      <c r="AR161" s="129" t="str">
        <f t="shared" si="143"/>
        <v/>
      </c>
      <c r="AS161" s="14"/>
      <c r="AT161" s="13"/>
      <c r="AU161" s="13"/>
      <c r="AV161" s="117" t="str">
        <f>IF(_xlfn.XLOOKUP(AT161, AutoFill_classes!$A:$A, AutoFill_classes!$B:$B,"")=0,"",_xlfn.XLOOKUP(AT161, AutoFill_classes!$A:$A, AutoFill_classes!$B:$B,""))</f>
        <v/>
      </c>
      <c r="AW161" s="108"/>
      <c r="AX161" s="11"/>
      <c r="AY161" s="11"/>
      <c r="AZ161" s="11"/>
      <c r="BA161" s="13"/>
      <c r="BB161" s="13"/>
      <c r="BC161" s="63"/>
      <c r="BD161" s="19"/>
      <c r="BE161" s="121" t="str">
        <f t="shared" si="144"/>
        <v/>
      </c>
      <c r="BF161" s="20"/>
      <c r="BG161" s="20"/>
      <c r="BH161" s="20"/>
      <c r="BI161" s="20"/>
      <c r="BJ161" s="125" t="str">
        <f t="shared" si="145"/>
        <v/>
      </c>
      <c r="BK161" s="14"/>
      <c r="BL161" s="125" t="str">
        <f t="shared" si="146"/>
        <v/>
      </c>
      <c r="BM161" s="20"/>
      <c r="BN161" s="20"/>
      <c r="BO161" s="125" t="str">
        <f t="shared" si="147"/>
        <v/>
      </c>
      <c r="BP161" s="14"/>
      <c r="BQ161" s="125" t="str">
        <f t="shared" si="148"/>
        <v/>
      </c>
      <c r="BR161" s="20"/>
      <c r="BS161" s="20"/>
      <c r="BT161" s="125" t="str">
        <f t="shared" si="149"/>
        <v/>
      </c>
      <c r="BU161" s="125" t="str">
        <f t="shared" si="150"/>
        <v/>
      </c>
      <c r="BV161" s="125" t="str">
        <f t="shared" si="151"/>
        <v/>
      </c>
      <c r="BW161" s="129" t="str">
        <f t="shared" si="152"/>
        <v/>
      </c>
      <c r="BX161" s="11"/>
      <c r="BY161" s="15"/>
      <c r="BZ161" s="14"/>
      <c r="CA161" s="117" t="str">
        <f>IF(_xlfn.XLOOKUP(BY161, AutoFill_classes!$A:$A, AutoFill_classes!$B:$B,"")=0,"",_xlfn.XLOOKUP(BY161, AutoFill_classes!$A:$A, AutoFill_classes!$B:$B,""))</f>
        <v/>
      </c>
      <c r="CB161" s="108"/>
      <c r="CC161" s="14"/>
      <c r="CD161" s="14"/>
      <c r="CE161" s="14"/>
      <c r="CF161" s="21"/>
      <c r="CG161" s="22"/>
      <c r="CH161" s="63"/>
      <c r="CI161" s="23"/>
      <c r="CJ161" s="121" t="str">
        <f t="shared" si="153"/>
        <v/>
      </c>
      <c r="CK161" s="20"/>
      <c r="CL161" s="20"/>
      <c r="CM161" s="20"/>
      <c r="CN161" s="20"/>
      <c r="CO161" s="125" t="str">
        <f t="shared" si="154"/>
        <v/>
      </c>
      <c r="CP161" s="14"/>
      <c r="CQ161" s="125" t="str">
        <f t="shared" si="155"/>
        <v/>
      </c>
      <c r="CR161" s="20"/>
      <c r="CS161" s="20"/>
      <c r="CT161" s="125" t="str">
        <f t="shared" si="156"/>
        <v/>
      </c>
      <c r="CU161" s="14"/>
      <c r="CV161" s="125" t="str">
        <f t="shared" si="157"/>
        <v/>
      </c>
      <c r="CW161" s="20"/>
      <c r="CX161" s="20"/>
      <c r="CY161" s="125" t="str">
        <f t="shared" si="158"/>
        <v/>
      </c>
      <c r="CZ161" s="125" t="str">
        <f t="shared" si="159"/>
        <v/>
      </c>
      <c r="DA161" s="125" t="str">
        <f t="shared" si="160"/>
        <v/>
      </c>
      <c r="DB161" s="129" t="str">
        <f t="shared" si="161"/>
        <v/>
      </c>
      <c r="DC161" s="14"/>
      <c r="DD161" s="62"/>
      <c r="DE161" s="105">
        <v>159</v>
      </c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spans="1:176" s="1" customFormat="1" ht="13" hidden="1" customHeight="1" outlineLevel="1" x14ac:dyDescent="0.2">
      <c r="A162" s="4"/>
      <c r="B162" s="115" t="str">
        <f>IF(_xlfn.XLOOKUP(A162, AutoFill_names!B:B, AutoFill_names!C:C,"")=0,"",_xlfn.XLOOKUP(A162, AutoFill_names!B:B, AutoFill_names!C:C,""))</f>
        <v/>
      </c>
      <c r="C162" s="115" t="str">
        <f>IF(_xlfn.XLOOKUP(A162, AutoFill_names!B:B, AutoFill_names!D:D,"")=0,"",_xlfn.XLOOKUP(A162, AutoFill_names!B:B, AutoFill_names!D:D,""))</f>
        <v/>
      </c>
      <c r="D162" s="115" t="str">
        <f>IF(_xlfn.XLOOKUP(A162, AutoFill_names!B:B, AutoFill_names!E:E,"")=0,"",_xlfn.XLOOKUP(A162, AutoFill_names!B:B, AutoFill_names!E:E,""))</f>
        <v/>
      </c>
      <c r="E162" s="115" t="str">
        <f>IF(_xlfn.XLOOKUP(A162, AutoFill_names!B:B, AutoFill_names!F:F,"")=0,"",_xlfn.XLOOKUP(A162, AutoFill_names!B:B, AutoFill_names!F:F,""))</f>
        <v/>
      </c>
      <c r="F162" s="92"/>
      <c r="J162" s="115" t="str">
        <f>IF(_xlfn.XLOOKUP(A162, AutoFill_names!B:B, AutoFill_names!K:K,"")=0,"",_xlfn.XLOOKUP(A162, AutoFill_names!B:B, AutoFill_names!K:K,""))</f>
        <v/>
      </c>
      <c r="K162" s="115" t="str">
        <f>IF(_xlfn.XLOOKUP(A162, AutoFill_names!B:B, AutoFill_names!L:L,"")=0,"",_xlfn.XLOOKUP(A162, AutoFill_names!B:B, AutoFill_names!L:L,""))</f>
        <v/>
      </c>
      <c r="L162" s="2"/>
      <c r="M162" s="2"/>
      <c r="N162" s="117" t="str">
        <f>IF(_xlfn.XLOOKUP(L162, AutoFill_classes!A:A, AutoFill_classes!B:B,"")=0,"",_xlfn.XLOOKUP(L162, AutoFill_classes!A:A, AutoFill_classes!B:B,""))</f>
        <v/>
      </c>
      <c r="O162" s="108"/>
      <c r="P162" s="6"/>
      <c r="Q162" s="6"/>
      <c r="R162" s="6"/>
      <c r="S162" s="2"/>
      <c r="U162" s="2"/>
      <c r="X162" s="63"/>
      <c r="Y162" s="19"/>
      <c r="Z162" s="121" t="str">
        <f t="shared" si="135"/>
        <v/>
      </c>
      <c r="AA162" s="20"/>
      <c r="AB162" s="20"/>
      <c r="AC162" s="20"/>
      <c r="AD162" s="20"/>
      <c r="AE162" s="125" t="str">
        <f t="shared" si="136"/>
        <v/>
      </c>
      <c r="AF162" s="14"/>
      <c r="AG162" s="125" t="str">
        <f t="shared" si="137"/>
        <v/>
      </c>
      <c r="AH162" s="20"/>
      <c r="AI162" s="20"/>
      <c r="AJ162" s="125" t="str">
        <f t="shared" si="138"/>
        <v/>
      </c>
      <c r="AK162" s="14"/>
      <c r="AL162" s="125" t="str">
        <f t="shared" si="139"/>
        <v/>
      </c>
      <c r="AM162" s="20"/>
      <c r="AN162" s="20"/>
      <c r="AO162" s="125" t="str">
        <f t="shared" si="140"/>
        <v/>
      </c>
      <c r="AP162" s="125" t="str">
        <f t="shared" si="141"/>
        <v/>
      </c>
      <c r="AQ162" s="125" t="str">
        <f t="shared" si="142"/>
        <v/>
      </c>
      <c r="AR162" s="129" t="str">
        <f t="shared" si="143"/>
        <v/>
      </c>
      <c r="AS162" s="14"/>
      <c r="AT162" s="13"/>
      <c r="AU162" s="13"/>
      <c r="AV162" s="117" t="str">
        <f>IF(_xlfn.XLOOKUP(AT162, AutoFill_classes!$A:$A, AutoFill_classes!$B:$B,"")=0,"",_xlfn.XLOOKUP(AT162, AutoFill_classes!$A:$A, AutoFill_classes!$B:$B,""))</f>
        <v/>
      </c>
      <c r="AW162" s="108"/>
      <c r="AX162" s="11"/>
      <c r="AY162" s="11"/>
      <c r="AZ162" s="11"/>
      <c r="BA162" s="13"/>
      <c r="BB162" s="13"/>
      <c r="BC162" s="63"/>
      <c r="BD162" s="19"/>
      <c r="BE162" s="121" t="str">
        <f t="shared" si="144"/>
        <v/>
      </c>
      <c r="BF162" s="20"/>
      <c r="BG162" s="20"/>
      <c r="BH162" s="20"/>
      <c r="BI162" s="20"/>
      <c r="BJ162" s="125" t="str">
        <f t="shared" si="145"/>
        <v/>
      </c>
      <c r="BK162" s="14"/>
      <c r="BL162" s="125" t="str">
        <f t="shared" si="146"/>
        <v/>
      </c>
      <c r="BM162" s="20"/>
      <c r="BN162" s="20"/>
      <c r="BO162" s="125" t="str">
        <f t="shared" si="147"/>
        <v/>
      </c>
      <c r="BP162" s="14"/>
      <c r="BQ162" s="125" t="str">
        <f t="shared" si="148"/>
        <v/>
      </c>
      <c r="BR162" s="20"/>
      <c r="BS162" s="20"/>
      <c r="BT162" s="125" t="str">
        <f t="shared" si="149"/>
        <v/>
      </c>
      <c r="BU162" s="125" t="str">
        <f t="shared" si="150"/>
        <v/>
      </c>
      <c r="BV162" s="125" t="str">
        <f t="shared" si="151"/>
        <v/>
      </c>
      <c r="BW162" s="129" t="str">
        <f t="shared" si="152"/>
        <v/>
      </c>
      <c r="BX162" s="11"/>
      <c r="BY162" s="15"/>
      <c r="BZ162" s="14"/>
      <c r="CA162" s="117" t="str">
        <f>IF(_xlfn.XLOOKUP(BY162, AutoFill_classes!$A:$A, AutoFill_classes!$B:$B,"")=0,"",_xlfn.XLOOKUP(BY162, AutoFill_classes!$A:$A, AutoFill_classes!$B:$B,""))</f>
        <v/>
      </c>
      <c r="CB162" s="108"/>
      <c r="CC162" s="14"/>
      <c r="CD162" s="14"/>
      <c r="CE162" s="14"/>
      <c r="CF162" s="21"/>
      <c r="CG162" s="22"/>
      <c r="CH162" s="63"/>
      <c r="CI162" s="23"/>
      <c r="CJ162" s="121" t="str">
        <f t="shared" si="153"/>
        <v/>
      </c>
      <c r="CK162" s="20"/>
      <c r="CL162" s="20"/>
      <c r="CM162" s="20"/>
      <c r="CN162" s="20"/>
      <c r="CO162" s="125" t="str">
        <f t="shared" si="154"/>
        <v/>
      </c>
      <c r="CP162" s="14"/>
      <c r="CQ162" s="125" t="str">
        <f t="shared" si="155"/>
        <v/>
      </c>
      <c r="CR162" s="20"/>
      <c r="CS162" s="20"/>
      <c r="CT162" s="125" t="str">
        <f t="shared" si="156"/>
        <v/>
      </c>
      <c r="CU162" s="14"/>
      <c r="CV162" s="125" t="str">
        <f t="shared" si="157"/>
        <v/>
      </c>
      <c r="CW162" s="20"/>
      <c r="CX162" s="20"/>
      <c r="CY162" s="125" t="str">
        <f t="shared" si="158"/>
        <v/>
      </c>
      <c r="CZ162" s="125" t="str">
        <f t="shared" si="159"/>
        <v/>
      </c>
      <c r="DA162" s="125" t="str">
        <f t="shared" si="160"/>
        <v/>
      </c>
      <c r="DB162" s="129" t="str">
        <f t="shared" si="161"/>
        <v/>
      </c>
      <c r="DC162" s="14"/>
      <c r="DD162" s="62"/>
      <c r="DE162" s="105">
        <v>160</v>
      </c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spans="1:176" s="1" customFormat="1" ht="13" hidden="1" customHeight="1" outlineLevel="1" x14ac:dyDescent="0.2">
      <c r="A163" s="4"/>
      <c r="B163" s="115" t="str">
        <f>IF(_xlfn.XLOOKUP(A163, AutoFill_names!B:B, AutoFill_names!C:C,"")=0,"",_xlfn.XLOOKUP(A163, AutoFill_names!B:B, AutoFill_names!C:C,""))</f>
        <v/>
      </c>
      <c r="C163" s="115" t="str">
        <f>IF(_xlfn.XLOOKUP(A163, AutoFill_names!B:B, AutoFill_names!D:D,"")=0,"",_xlfn.XLOOKUP(A163, AutoFill_names!B:B, AutoFill_names!D:D,""))</f>
        <v/>
      </c>
      <c r="D163" s="115" t="str">
        <f>IF(_xlfn.XLOOKUP(A163, AutoFill_names!B:B, AutoFill_names!E:E,"")=0,"",_xlfn.XLOOKUP(A163, AutoFill_names!B:B, AutoFill_names!E:E,""))</f>
        <v/>
      </c>
      <c r="E163" s="115" t="str">
        <f>IF(_xlfn.XLOOKUP(A163, AutoFill_names!B:B, AutoFill_names!F:F,"")=0,"",_xlfn.XLOOKUP(A163, AutoFill_names!B:B, AutoFill_names!F:F,""))</f>
        <v/>
      </c>
      <c r="F163" s="92"/>
      <c r="J163" s="115" t="str">
        <f>IF(_xlfn.XLOOKUP(A163, AutoFill_names!B:B, AutoFill_names!K:K,"")=0,"",_xlfn.XLOOKUP(A163, AutoFill_names!B:B, AutoFill_names!K:K,""))</f>
        <v/>
      </c>
      <c r="K163" s="115" t="str">
        <f>IF(_xlfn.XLOOKUP(A163, AutoFill_names!B:B, AutoFill_names!L:L,"")=0,"",_xlfn.XLOOKUP(A163, AutoFill_names!B:B, AutoFill_names!L:L,""))</f>
        <v/>
      </c>
      <c r="L163" s="2"/>
      <c r="M163" s="2"/>
      <c r="N163" s="117" t="str">
        <f>IF(_xlfn.XLOOKUP(L163, AutoFill_classes!A:A, AutoFill_classes!B:B,"")=0,"",_xlfn.XLOOKUP(L163, AutoFill_classes!A:A, AutoFill_classes!B:B,""))</f>
        <v/>
      </c>
      <c r="O163" s="108"/>
      <c r="P163" s="6"/>
      <c r="Q163" s="6"/>
      <c r="R163" s="6"/>
      <c r="S163" s="2"/>
      <c r="U163" s="2"/>
      <c r="X163" s="63"/>
      <c r="Y163" s="19"/>
      <c r="Z163" s="121" t="str">
        <f t="shared" si="135"/>
        <v/>
      </c>
      <c r="AA163" s="20"/>
      <c r="AB163" s="20"/>
      <c r="AC163" s="20"/>
      <c r="AD163" s="20"/>
      <c r="AE163" s="125" t="str">
        <f t="shared" si="136"/>
        <v/>
      </c>
      <c r="AF163" s="14"/>
      <c r="AG163" s="125" t="str">
        <f t="shared" si="137"/>
        <v/>
      </c>
      <c r="AH163" s="20"/>
      <c r="AI163" s="20"/>
      <c r="AJ163" s="125" t="str">
        <f t="shared" si="138"/>
        <v/>
      </c>
      <c r="AK163" s="14"/>
      <c r="AL163" s="125" t="str">
        <f t="shared" si="139"/>
        <v/>
      </c>
      <c r="AM163" s="20"/>
      <c r="AN163" s="20"/>
      <c r="AO163" s="125" t="str">
        <f t="shared" si="140"/>
        <v/>
      </c>
      <c r="AP163" s="125" t="str">
        <f t="shared" si="141"/>
        <v/>
      </c>
      <c r="AQ163" s="125" t="str">
        <f t="shared" si="142"/>
        <v/>
      </c>
      <c r="AR163" s="129" t="str">
        <f t="shared" si="143"/>
        <v/>
      </c>
      <c r="AS163" s="14"/>
      <c r="AT163" s="13"/>
      <c r="AU163" s="13"/>
      <c r="AV163" s="117" t="str">
        <f>IF(_xlfn.XLOOKUP(AT163, AutoFill_classes!$A:$A, AutoFill_classes!$B:$B,"")=0,"",_xlfn.XLOOKUP(AT163, AutoFill_classes!$A:$A, AutoFill_classes!$B:$B,""))</f>
        <v/>
      </c>
      <c r="AW163" s="108"/>
      <c r="AX163" s="11"/>
      <c r="AY163" s="11"/>
      <c r="AZ163" s="11"/>
      <c r="BA163" s="13"/>
      <c r="BB163" s="13"/>
      <c r="BC163" s="63"/>
      <c r="BD163" s="19"/>
      <c r="BE163" s="121" t="str">
        <f t="shared" si="144"/>
        <v/>
      </c>
      <c r="BF163" s="20"/>
      <c r="BG163" s="20"/>
      <c r="BH163" s="20"/>
      <c r="BI163" s="20"/>
      <c r="BJ163" s="125" t="str">
        <f t="shared" si="145"/>
        <v/>
      </c>
      <c r="BK163" s="14"/>
      <c r="BL163" s="125" t="str">
        <f t="shared" si="146"/>
        <v/>
      </c>
      <c r="BM163" s="20"/>
      <c r="BN163" s="20"/>
      <c r="BO163" s="125" t="str">
        <f t="shared" si="147"/>
        <v/>
      </c>
      <c r="BP163" s="14"/>
      <c r="BQ163" s="125" t="str">
        <f t="shared" si="148"/>
        <v/>
      </c>
      <c r="BR163" s="20"/>
      <c r="BS163" s="20"/>
      <c r="BT163" s="125" t="str">
        <f t="shared" si="149"/>
        <v/>
      </c>
      <c r="BU163" s="125" t="str">
        <f t="shared" si="150"/>
        <v/>
      </c>
      <c r="BV163" s="125" t="str">
        <f t="shared" si="151"/>
        <v/>
      </c>
      <c r="BW163" s="129" t="str">
        <f t="shared" si="152"/>
        <v/>
      </c>
      <c r="BX163" s="11"/>
      <c r="BY163" s="15"/>
      <c r="BZ163" s="14"/>
      <c r="CA163" s="117" t="str">
        <f>IF(_xlfn.XLOOKUP(BY163, AutoFill_classes!$A:$A, AutoFill_classes!$B:$B,"")=0,"",_xlfn.XLOOKUP(BY163, AutoFill_classes!$A:$A, AutoFill_classes!$B:$B,""))</f>
        <v/>
      </c>
      <c r="CB163" s="108"/>
      <c r="CC163" s="14"/>
      <c r="CD163" s="14"/>
      <c r="CE163" s="14"/>
      <c r="CF163" s="21"/>
      <c r="CG163" s="22"/>
      <c r="CH163" s="63"/>
      <c r="CI163" s="23"/>
      <c r="CJ163" s="121" t="str">
        <f t="shared" si="153"/>
        <v/>
      </c>
      <c r="CK163" s="20"/>
      <c r="CL163" s="20"/>
      <c r="CM163" s="20"/>
      <c r="CN163" s="20"/>
      <c r="CO163" s="125" t="str">
        <f t="shared" si="154"/>
        <v/>
      </c>
      <c r="CP163" s="14"/>
      <c r="CQ163" s="125" t="str">
        <f t="shared" si="155"/>
        <v/>
      </c>
      <c r="CR163" s="20"/>
      <c r="CS163" s="20"/>
      <c r="CT163" s="125" t="str">
        <f t="shared" si="156"/>
        <v/>
      </c>
      <c r="CU163" s="14"/>
      <c r="CV163" s="125" t="str">
        <f t="shared" si="157"/>
        <v/>
      </c>
      <c r="CW163" s="20"/>
      <c r="CX163" s="20"/>
      <c r="CY163" s="125" t="str">
        <f t="shared" si="158"/>
        <v/>
      </c>
      <c r="CZ163" s="125" t="str">
        <f t="shared" si="159"/>
        <v/>
      </c>
      <c r="DA163" s="125" t="str">
        <f t="shared" si="160"/>
        <v/>
      </c>
      <c r="DB163" s="129" t="str">
        <f t="shared" si="161"/>
        <v/>
      </c>
      <c r="DC163" s="14"/>
      <c r="DD163" s="62"/>
      <c r="DE163" s="105">
        <v>161</v>
      </c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spans="1:176" s="1" customFormat="1" ht="13" hidden="1" customHeight="1" outlineLevel="1" x14ac:dyDescent="0.2">
      <c r="A164" s="4"/>
      <c r="B164" s="115" t="str">
        <f>IF(_xlfn.XLOOKUP(A164, AutoFill_names!B:B, AutoFill_names!C:C,"")=0,"",_xlfn.XLOOKUP(A164, AutoFill_names!B:B, AutoFill_names!C:C,""))</f>
        <v/>
      </c>
      <c r="C164" s="115" t="str">
        <f>IF(_xlfn.XLOOKUP(A164, AutoFill_names!B:B, AutoFill_names!D:D,"")=0,"",_xlfn.XLOOKUP(A164, AutoFill_names!B:B, AutoFill_names!D:D,""))</f>
        <v/>
      </c>
      <c r="D164" s="115" t="str">
        <f>IF(_xlfn.XLOOKUP(A164, AutoFill_names!B:B, AutoFill_names!E:E,"")=0,"",_xlfn.XLOOKUP(A164, AutoFill_names!B:B, AutoFill_names!E:E,""))</f>
        <v/>
      </c>
      <c r="E164" s="115" t="str">
        <f>IF(_xlfn.XLOOKUP(A164, AutoFill_names!B:B, AutoFill_names!F:F,"")=0,"",_xlfn.XLOOKUP(A164, AutoFill_names!B:B, AutoFill_names!F:F,""))</f>
        <v/>
      </c>
      <c r="F164" s="92"/>
      <c r="J164" s="115" t="str">
        <f>IF(_xlfn.XLOOKUP(A164, AutoFill_names!B:B, AutoFill_names!K:K,"")=0,"",_xlfn.XLOOKUP(A164, AutoFill_names!B:B, AutoFill_names!K:K,""))</f>
        <v/>
      </c>
      <c r="K164" s="115" t="str">
        <f>IF(_xlfn.XLOOKUP(A164, AutoFill_names!B:B, AutoFill_names!L:L,"")=0,"",_xlfn.XLOOKUP(A164, AutoFill_names!B:B, AutoFill_names!L:L,""))</f>
        <v/>
      </c>
      <c r="L164" s="2"/>
      <c r="M164" s="2"/>
      <c r="N164" s="117" t="str">
        <f>IF(_xlfn.XLOOKUP(L164, AutoFill_classes!A:A, AutoFill_classes!B:B,"")=0,"",_xlfn.XLOOKUP(L164, AutoFill_classes!A:A, AutoFill_classes!B:B,""))</f>
        <v/>
      </c>
      <c r="O164" s="108"/>
      <c r="P164" s="6"/>
      <c r="Q164" s="6"/>
      <c r="R164" s="6"/>
      <c r="S164" s="2"/>
      <c r="U164" s="2"/>
      <c r="X164" s="63"/>
      <c r="Y164" s="19"/>
      <c r="Z164" s="121" t="str">
        <f t="shared" si="135"/>
        <v/>
      </c>
      <c r="AA164" s="20"/>
      <c r="AB164" s="20"/>
      <c r="AC164" s="20"/>
      <c r="AD164" s="20"/>
      <c r="AE164" s="125" t="str">
        <f t="shared" si="136"/>
        <v/>
      </c>
      <c r="AF164" s="14"/>
      <c r="AG164" s="125" t="str">
        <f t="shared" si="137"/>
        <v/>
      </c>
      <c r="AH164" s="20"/>
      <c r="AI164" s="20"/>
      <c r="AJ164" s="125" t="str">
        <f t="shared" si="138"/>
        <v/>
      </c>
      <c r="AK164" s="14"/>
      <c r="AL164" s="125" t="str">
        <f t="shared" si="139"/>
        <v/>
      </c>
      <c r="AM164" s="20"/>
      <c r="AN164" s="20"/>
      <c r="AO164" s="125" t="str">
        <f t="shared" si="140"/>
        <v/>
      </c>
      <c r="AP164" s="125" t="str">
        <f t="shared" si="141"/>
        <v/>
      </c>
      <c r="AQ164" s="125" t="str">
        <f t="shared" si="142"/>
        <v/>
      </c>
      <c r="AR164" s="129" t="str">
        <f t="shared" si="143"/>
        <v/>
      </c>
      <c r="AS164" s="14"/>
      <c r="AT164" s="13"/>
      <c r="AU164" s="13"/>
      <c r="AV164" s="117" t="str">
        <f>IF(_xlfn.XLOOKUP(AT164, AutoFill_classes!$A:$A, AutoFill_classes!$B:$B,"")=0,"",_xlfn.XLOOKUP(AT164, AutoFill_classes!$A:$A, AutoFill_classes!$B:$B,""))</f>
        <v/>
      </c>
      <c r="AW164" s="108"/>
      <c r="AX164" s="11"/>
      <c r="AY164" s="11"/>
      <c r="AZ164" s="11"/>
      <c r="BA164" s="13"/>
      <c r="BB164" s="13"/>
      <c r="BC164" s="63"/>
      <c r="BD164" s="19"/>
      <c r="BE164" s="121" t="str">
        <f t="shared" si="144"/>
        <v/>
      </c>
      <c r="BF164" s="20"/>
      <c r="BG164" s="20"/>
      <c r="BH164" s="20"/>
      <c r="BI164" s="20"/>
      <c r="BJ164" s="125" t="str">
        <f t="shared" si="145"/>
        <v/>
      </c>
      <c r="BK164" s="14"/>
      <c r="BL164" s="125" t="str">
        <f t="shared" si="146"/>
        <v/>
      </c>
      <c r="BM164" s="20"/>
      <c r="BN164" s="20"/>
      <c r="BO164" s="125" t="str">
        <f t="shared" si="147"/>
        <v/>
      </c>
      <c r="BP164" s="14"/>
      <c r="BQ164" s="125" t="str">
        <f t="shared" si="148"/>
        <v/>
      </c>
      <c r="BR164" s="20"/>
      <c r="BS164" s="20"/>
      <c r="BT164" s="125" t="str">
        <f t="shared" si="149"/>
        <v/>
      </c>
      <c r="BU164" s="125" t="str">
        <f t="shared" si="150"/>
        <v/>
      </c>
      <c r="BV164" s="125" t="str">
        <f t="shared" si="151"/>
        <v/>
      </c>
      <c r="BW164" s="129" t="str">
        <f t="shared" si="152"/>
        <v/>
      </c>
      <c r="BX164" s="11"/>
      <c r="BY164" s="15"/>
      <c r="BZ164" s="14"/>
      <c r="CA164" s="117" t="str">
        <f>IF(_xlfn.XLOOKUP(BY164, AutoFill_classes!$A:$A, AutoFill_classes!$B:$B,"")=0,"",_xlfn.XLOOKUP(BY164, AutoFill_classes!$A:$A, AutoFill_classes!$B:$B,""))</f>
        <v/>
      </c>
      <c r="CB164" s="108"/>
      <c r="CC164" s="14"/>
      <c r="CD164" s="14"/>
      <c r="CE164" s="14"/>
      <c r="CF164" s="21"/>
      <c r="CG164" s="22"/>
      <c r="CH164" s="63"/>
      <c r="CI164" s="23"/>
      <c r="CJ164" s="121" t="str">
        <f t="shared" si="153"/>
        <v/>
      </c>
      <c r="CK164" s="20"/>
      <c r="CL164" s="20"/>
      <c r="CM164" s="20"/>
      <c r="CN164" s="20"/>
      <c r="CO164" s="125" t="str">
        <f t="shared" si="154"/>
        <v/>
      </c>
      <c r="CP164" s="14"/>
      <c r="CQ164" s="125" t="str">
        <f t="shared" si="155"/>
        <v/>
      </c>
      <c r="CR164" s="20"/>
      <c r="CS164" s="20"/>
      <c r="CT164" s="125" t="str">
        <f t="shared" si="156"/>
        <v/>
      </c>
      <c r="CU164" s="14"/>
      <c r="CV164" s="125" t="str">
        <f t="shared" si="157"/>
        <v/>
      </c>
      <c r="CW164" s="20"/>
      <c r="CX164" s="20"/>
      <c r="CY164" s="125" t="str">
        <f t="shared" si="158"/>
        <v/>
      </c>
      <c r="CZ164" s="125" t="str">
        <f t="shared" si="159"/>
        <v/>
      </c>
      <c r="DA164" s="125" t="str">
        <f t="shared" si="160"/>
        <v/>
      </c>
      <c r="DB164" s="129" t="str">
        <f t="shared" si="161"/>
        <v/>
      </c>
      <c r="DC164" s="14"/>
      <c r="DD164" s="62"/>
      <c r="DE164" s="105">
        <v>162</v>
      </c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spans="1:176" s="1" customFormat="1" ht="13" hidden="1" customHeight="1" outlineLevel="1" x14ac:dyDescent="0.2">
      <c r="A165" s="4"/>
      <c r="B165" s="115" t="str">
        <f>IF(_xlfn.XLOOKUP(A165, AutoFill_names!B:B, AutoFill_names!C:C,"")=0,"",_xlfn.XLOOKUP(A165, AutoFill_names!B:B, AutoFill_names!C:C,""))</f>
        <v/>
      </c>
      <c r="C165" s="115" t="str">
        <f>IF(_xlfn.XLOOKUP(A165, AutoFill_names!B:B, AutoFill_names!D:D,"")=0,"",_xlfn.XLOOKUP(A165, AutoFill_names!B:B, AutoFill_names!D:D,""))</f>
        <v/>
      </c>
      <c r="D165" s="115" t="str">
        <f>IF(_xlfn.XLOOKUP(A165, AutoFill_names!B:B, AutoFill_names!E:E,"")=0,"",_xlfn.XLOOKUP(A165, AutoFill_names!B:B, AutoFill_names!E:E,""))</f>
        <v/>
      </c>
      <c r="E165" s="115" t="str">
        <f>IF(_xlfn.XLOOKUP(A165, AutoFill_names!B:B, AutoFill_names!F:F,"")=0,"",_xlfn.XLOOKUP(A165, AutoFill_names!B:B, AutoFill_names!F:F,""))</f>
        <v/>
      </c>
      <c r="F165" s="92"/>
      <c r="J165" s="115" t="str">
        <f>IF(_xlfn.XLOOKUP(A165, AutoFill_names!B:B, AutoFill_names!K:K,"")=0,"",_xlfn.XLOOKUP(A165, AutoFill_names!B:B, AutoFill_names!K:K,""))</f>
        <v/>
      </c>
      <c r="K165" s="115" t="str">
        <f>IF(_xlfn.XLOOKUP(A165, AutoFill_names!B:B, AutoFill_names!L:L,"")=0,"",_xlfn.XLOOKUP(A165, AutoFill_names!B:B, AutoFill_names!L:L,""))</f>
        <v/>
      </c>
      <c r="L165" s="2"/>
      <c r="M165" s="2"/>
      <c r="N165" s="117" t="str">
        <f>IF(_xlfn.XLOOKUP(L165, AutoFill_classes!A:A, AutoFill_classes!B:B,"")=0,"",_xlfn.XLOOKUP(L165, AutoFill_classes!A:A, AutoFill_classes!B:B,""))</f>
        <v/>
      </c>
      <c r="O165" s="108"/>
      <c r="P165" s="6"/>
      <c r="Q165" s="6"/>
      <c r="R165" s="6"/>
      <c r="S165" s="2"/>
      <c r="U165" s="2"/>
      <c r="X165" s="63"/>
      <c r="Y165" s="19"/>
      <c r="Z165" s="121" t="str">
        <f t="shared" si="135"/>
        <v/>
      </c>
      <c r="AA165" s="20"/>
      <c r="AB165" s="20"/>
      <c r="AC165" s="20"/>
      <c r="AD165" s="20"/>
      <c r="AE165" s="125" t="str">
        <f t="shared" si="136"/>
        <v/>
      </c>
      <c r="AF165" s="14"/>
      <c r="AG165" s="125" t="str">
        <f t="shared" si="137"/>
        <v/>
      </c>
      <c r="AH165" s="20"/>
      <c r="AI165" s="20"/>
      <c r="AJ165" s="125" t="str">
        <f t="shared" si="138"/>
        <v/>
      </c>
      <c r="AK165" s="14"/>
      <c r="AL165" s="125" t="str">
        <f t="shared" si="139"/>
        <v/>
      </c>
      <c r="AM165" s="20"/>
      <c r="AN165" s="20"/>
      <c r="AO165" s="125" t="str">
        <f t="shared" si="140"/>
        <v/>
      </c>
      <c r="AP165" s="125" t="str">
        <f t="shared" si="141"/>
        <v/>
      </c>
      <c r="AQ165" s="125" t="str">
        <f t="shared" si="142"/>
        <v/>
      </c>
      <c r="AR165" s="129" t="str">
        <f t="shared" si="143"/>
        <v/>
      </c>
      <c r="AS165" s="14"/>
      <c r="AT165" s="13"/>
      <c r="AU165" s="13"/>
      <c r="AV165" s="117" t="str">
        <f>IF(_xlfn.XLOOKUP(AT165, AutoFill_classes!$A:$A, AutoFill_classes!$B:$B,"")=0,"",_xlfn.XLOOKUP(AT165, AutoFill_classes!$A:$A, AutoFill_classes!$B:$B,""))</f>
        <v/>
      </c>
      <c r="AW165" s="108"/>
      <c r="AX165" s="11"/>
      <c r="AY165" s="11"/>
      <c r="AZ165" s="11"/>
      <c r="BA165" s="13"/>
      <c r="BB165" s="13"/>
      <c r="BC165" s="63"/>
      <c r="BD165" s="19"/>
      <c r="BE165" s="121" t="str">
        <f t="shared" si="144"/>
        <v/>
      </c>
      <c r="BF165" s="20"/>
      <c r="BG165" s="20"/>
      <c r="BH165" s="20"/>
      <c r="BI165" s="20"/>
      <c r="BJ165" s="125" t="str">
        <f t="shared" si="145"/>
        <v/>
      </c>
      <c r="BK165" s="14"/>
      <c r="BL165" s="125" t="str">
        <f t="shared" si="146"/>
        <v/>
      </c>
      <c r="BM165" s="20"/>
      <c r="BN165" s="20"/>
      <c r="BO165" s="125" t="str">
        <f t="shared" si="147"/>
        <v/>
      </c>
      <c r="BP165" s="14"/>
      <c r="BQ165" s="125" t="str">
        <f t="shared" si="148"/>
        <v/>
      </c>
      <c r="BR165" s="20"/>
      <c r="BS165" s="20"/>
      <c r="BT165" s="125" t="str">
        <f t="shared" si="149"/>
        <v/>
      </c>
      <c r="BU165" s="125" t="str">
        <f t="shared" si="150"/>
        <v/>
      </c>
      <c r="BV165" s="125" t="str">
        <f t="shared" si="151"/>
        <v/>
      </c>
      <c r="BW165" s="129" t="str">
        <f t="shared" si="152"/>
        <v/>
      </c>
      <c r="BX165" s="11"/>
      <c r="BY165" s="15"/>
      <c r="BZ165" s="14"/>
      <c r="CA165" s="117" t="str">
        <f>IF(_xlfn.XLOOKUP(BY165, AutoFill_classes!$A:$A, AutoFill_classes!$B:$B,"")=0,"",_xlfn.XLOOKUP(BY165, AutoFill_classes!$A:$A, AutoFill_classes!$B:$B,""))</f>
        <v/>
      </c>
      <c r="CB165" s="108"/>
      <c r="CC165" s="14"/>
      <c r="CD165" s="14"/>
      <c r="CE165" s="14"/>
      <c r="CF165" s="21"/>
      <c r="CG165" s="22"/>
      <c r="CH165" s="63"/>
      <c r="CI165" s="23"/>
      <c r="CJ165" s="121" t="str">
        <f t="shared" si="153"/>
        <v/>
      </c>
      <c r="CK165" s="20"/>
      <c r="CL165" s="20"/>
      <c r="CM165" s="20"/>
      <c r="CN165" s="20"/>
      <c r="CO165" s="125" t="str">
        <f t="shared" si="154"/>
        <v/>
      </c>
      <c r="CP165" s="14"/>
      <c r="CQ165" s="125" t="str">
        <f t="shared" si="155"/>
        <v/>
      </c>
      <c r="CR165" s="20"/>
      <c r="CS165" s="20"/>
      <c r="CT165" s="125" t="str">
        <f t="shared" si="156"/>
        <v/>
      </c>
      <c r="CU165" s="14"/>
      <c r="CV165" s="125" t="str">
        <f t="shared" si="157"/>
        <v/>
      </c>
      <c r="CW165" s="20"/>
      <c r="CX165" s="20"/>
      <c r="CY165" s="125" t="str">
        <f t="shared" si="158"/>
        <v/>
      </c>
      <c r="CZ165" s="125" t="str">
        <f t="shared" si="159"/>
        <v/>
      </c>
      <c r="DA165" s="125" t="str">
        <f t="shared" si="160"/>
        <v/>
      </c>
      <c r="DB165" s="129" t="str">
        <f t="shared" si="161"/>
        <v/>
      </c>
      <c r="DC165" s="14"/>
      <c r="DD165" s="62"/>
      <c r="DE165" s="105">
        <v>163</v>
      </c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spans="1:176" s="1" customFormat="1" ht="13" hidden="1" customHeight="1" outlineLevel="1" x14ac:dyDescent="0.2">
      <c r="A166" s="4"/>
      <c r="B166" s="115" t="str">
        <f>IF(_xlfn.XLOOKUP(A166, AutoFill_names!B:B, AutoFill_names!C:C,"")=0,"",_xlfn.XLOOKUP(A166, AutoFill_names!B:B, AutoFill_names!C:C,""))</f>
        <v/>
      </c>
      <c r="C166" s="115" t="str">
        <f>IF(_xlfn.XLOOKUP(A166, AutoFill_names!B:B, AutoFill_names!D:D,"")=0,"",_xlfn.XLOOKUP(A166, AutoFill_names!B:B, AutoFill_names!D:D,""))</f>
        <v/>
      </c>
      <c r="D166" s="115" t="str">
        <f>IF(_xlfn.XLOOKUP(A166, AutoFill_names!B:B, AutoFill_names!E:E,"")=0,"",_xlfn.XLOOKUP(A166, AutoFill_names!B:B, AutoFill_names!E:E,""))</f>
        <v/>
      </c>
      <c r="E166" s="115" t="str">
        <f>IF(_xlfn.XLOOKUP(A166, AutoFill_names!B:B, AutoFill_names!F:F,"")=0,"",_xlfn.XLOOKUP(A166, AutoFill_names!B:B, AutoFill_names!F:F,""))</f>
        <v/>
      </c>
      <c r="F166" s="92"/>
      <c r="J166" s="115" t="str">
        <f>IF(_xlfn.XLOOKUP(A166, AutoFill_names!B:B, AutoFill_names!K:K,"")=0,"",_xlfn.XLOOKUP(A166, AutoFill_names!B:B, AutoFill_names!K:K,""))</f>
        <v/>
      </c>
      <c r="K166" s="115" t="str">
        <f>IF(_xlfn.XLOOKUP(A166, AutoFill_names!B:B, AutoFill_names!L:L,"")=0,"",_xlfn.XLOOKUP(A166, AutoFill_names!B:B, AutoFill_names!L:L,""))</f>
        <v/>
      </c>
      <c r="L166" s="2"/>
      <c r="M166" s="2"/>
      <c r="N166" s="117" t="str">
        <f>IF(_xlfn.XLOOKUP(L166, AutoFill_classes!A:A, AutoFill_classes!B:B,"")=0,"",_xlfn.XLOOKUP(L166, AutoFill_classes!A:A, AutoFill_classes!B:B,""))</f>
        <v/>
      </c>
      <c r="O166" s="108"/>
      <c r="P166" s="6"/>
      <c r="Q166" s="6"/>
      <c r="R166" s="6"/>
      <c r="S166" s="2"/>
      <c r="U166" s="2"/>
      <c r="X166" s="63"/>
      <c r="Y166" s="19"/>
      <c r="Z166" s="121" t="str">
        <f t="shared" si="135"/>
        <v/>
      </c>
      <c r="AA166" s="20"/>
      <c r="AB166" s="20"/>
      <c r="AC166" s="20"/>
      <c r="AD166" s="20"/>
      <c r="AE166" s="125" t="str">
        <f t="shared" si="136"/>
        <v/>
      </c>
      <c r="AF166" s="14"/>
      <c r="AG166" s="125" t="str">
        <f t="shared" si="137"/>
        <v/>
      </c>
      <c r="AH166" s="20"/>
      <c r="AI166" s="20"/>
      <c r="AJ166" s="125" t="str">
        <f t="shared" si="138"/>
        <v/>
      </c>
      <c r="AK166" s="14"/>
      <c r="AL166" s="125" t="str">
        <f t="shared" si="139"/>
        <v/>
      </c>
      <c r="AM166" s="20"/>
      <c r="AN166" s="20"/>
      <c r="AO166" s="125" t="str">
        <f t="shared" si="140"/>
        <v/>
      </c>
      <c r="AP166" s="125" t="str">
        <f t="shared" si="141"/>
        <v/>
      </c>
      <c r="AQ166" s="125" t="str">
        <f t="shared" si="142"/>
        <v/>
      </c>
      <c r="AR166" s="129" t="str">
        <f t="shared" si="143"/>
        <v/>
      </c>
      <c r="AS166" s="14"/>
      <c r="AT166" s="13"/>
      <c r="AU166" s="13"/>
      <c r="AV166" s="117" t="str">
        <f>IF(_xlfn.XLOOKUP(AT166, AutoFill_classes!$A:$A, AutoFill_classes!$B:$B,"")=0,"",_xlfn.XLOOKUP(AT166, AutoFill_classes!$A:$A, AutoFill_classes!$B:$B,""))</f>
        <v/>
      </c>
      <c r="AW166" s="108"/>
      <c r="AX166" s="11"/>
      <c r="AY166" s="11"/>
      <c r="AZ166" s="11"/>
      <c r="BA166" s="13"/>
      <c r="BB166" s="13"/>
      <c r="BC166" s="63"/>
      <c r="BD166" s="19"/>
      <c r="BE166" s="121" t="str">
        <f t="shared" si="144"/>
        <v/>
      </c>
      <c r="BF166" s="20"/>
      <c r="BG166" s="20"/>
      <c r="BH166" s="20"/>
      <c r="BI166" s="20"/>
      <c r="BJ166" s="125" t="str">
        <f t="shared" si="145"/>
        <v/>
      </c>
      <c r="BK166" s="14"/>
      <c r="BL166" s="125" t="str">
        <f t="shared" si="146"/>
        <v/>
      </c>
      <c r="BM166" s="20"/>
      <c r="BN166" s="20"/>
      <c r="BO166" s="125" t="str">
        <f t="shared" si="147"/>
        <v/>
      </c>
      <c r="BP166" s="14"/>
      <c r="BQ166" s="125" t="str">
        <f t="shared" si="148"/>
        <v/>
      </c>
      <c r="BR166" s="20"/>
      <c r="BS166" s="20"/>
      <c r="BT166" s="125" t="str">
        <f t="shared" si="149"/>
        <v/>
      </c>
      <c r="BU166" s="125" t="str">
        <f t="shared" si="150"/>
        <v/>
      </c>
      <c r="BV166" s="125" t="str">
        <f t="shared" si="151"/>
        <v/>
      </c>
      <c r="BW166" s="129" t="str">
        <f t="shared" si="152"/>
        <v/>
      </c>
      <c r="BX166" s="11"/>
      <c r="BY166" s="15"/>
      <c r="BZ166" s="14"/>
      <c r="CA166" s="117" t="str">
        <f>IF(_xlfn.XLOOKUP(BY166, AutoFill_classes!$A:$A, AutoFill_classes!$B:$B,"")=0,"",_xlfn.XLOOKUP(BY166, AutoFill_classes!$A:$A, AutoFill_classes!$B:$B,""))</f>
        <v/>
      </c>
      <c r="CB166" s="108"/>
      <c r="CC166" s="14"/>
      <c r="CD166" s="14"/>
      <c r="CE166" s="14"/>
      <c r="CF166" s="21"/>
      <c r="CG166" s="22"/>
      <c r="CH166" s="63"/>
      <c r="CI166" s="23"/>
      <c r="CJ166" s="121" t="str">
        <f t="shared" si="153"/>
        <v/>
      </c>
      <c r="CK166" s="20"/>
      <c r="CL166" s="20"/>
      <c r="CM166" s="20"/>
      <c r="CN166" s="20"/>
      <c r="CO166" s="125" t="str">
        <f t="shared" si="154"/>
        <v/>
      </c>
      <c r="CP166" s="14"/>
      <c r="CQ166" s="125" t="str">
        <f t="shared" si="155"/>
        <v/>
      </c>
      <c r="CR166" s="20"/>
      <c r="CS166" s="20"/>
      <c r="CT166" s="125" t="str">
        <f t="shared" si="156"/>
        <v/>
      </c>
      <c r="CU166" s="14"/>
      <c r="CV166" s="125" t="str">
        <f t="shared" si="157"/>
        <v/>
      </c>
      <c r="CW166" s="20"/>
      <c r="CX166" s="20"/>
      <c r="CY166" s="125" t="str">
        <f t="shared" si="158"/>
        <v/>
      </c>
      <c r="CZ166" s="125" t="str">
        <f t="shared" si="159"/>
        <v/>
      </c>
      <c r="DA166" s="125" t="str">
        <f t="shared" si="160"/>
        <v/>
      </c>
      <c r="DB166" s="129" t="str">
        <f t="shared" si="161"/>
        <v/>
      </c>
      <c r="DC166" s="14"/>
      <c r="DD166" s="62"/>
      <c r="DE166" s="105">
        <v>164</v>
      </c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spans="1:176" s="1" customFormat="1" ht="13" hidden="1" customHeight="1" outlineLevel="1" x14ac:dyDescent="0.2">
      <c r="A167" s="4"/>
      <c r="B167" s="115" t="str">
        <f>IF(_xlfn.XLOOKUP(A167, AutoFill_names!B:B, AutoFill_names!C:C,"")=0,"",_xlfn.XLOOKUP(A167, AutoFill_names!B:B, AutoFill_names!C:C,""))</f>
        <v/>
      </c>
      <c r="C167" s="115" t="str">
        <f>IF(_xlfn.XLOOKUP(A167, AutoFill_names!B:B, AutoFill_names!D:D,"")=0,"",_xlfn.XLOOKUP(A167, AutoFill_names!B:B, AutoFill_names!D:D,""))</f>
        <v/>
      </c>
      <c r="D167" s="115" t="str">
        <f>IF(_xlfn.XLOOKUP(A167, AutoFill_names!B:B, AutoFill_names!E:E,"")=0,"",_xlfn.XLOOKUP(A167, AutoFill_names!B:B, AutoFill_names!E:E,""))</f>
        <v/>
      </c>
      <c r="E167" s="115" t="str">
        <f>IF(_xlfn.XLOOKUP(A167, AutoFill_names!B:B, AutoFill_names!F:F,"")=0,"",_xlfn.XLOOKUP(A167, AutoFill_names!B:B, AutoFill_names!F:F,""))</f>
        <v/>
      </c>
      <c r="F167" s="92"/>
      <c r="J167" s="115" t="str">
        <f>IF(_xlfn.XLOOKUP(A167, AutoFill_names!B:B, AutoFill_names!K:K,"")=0,"",_xlfn.XLOOKUP(A167, AutoFill_names!B:B, AutoFill_names!K:K,""))</f>
        <v/>
      </c>
      <c r="K167" s="115" t="str">
        <f>IF(_xlfn.XLOOKUP(A167, AutoFill_names!B:B, AutoFill_names!L:L,"")=0,"",_xlfn.XLOOKUP(A167, AutoFill_names!B:B, AutoFill_names!L:L,""))</f>
        <v/>
      </c>
      <c r="L167" s="2"/>
      <c r="M167" s="2"/>
      <c r="N167" s="117" t="str">
        <f>IF(_xlfn.XLOOKUP(L167, AutoFill_classes!A:A, AutoFill_classes!B:B,"")=0,"",_xlfn.XLOOKUP(L167, AutoFill_classes!A:A, AutoFill_classes!B:B,""))</f>
        <v/>
      </c>
      <c r="O167" s="108"/>
      <c r="P167" s="6"/>
      <c r="Q167" s="6"/>
      <c r="R167" s="6"/>
      <c r="S167" s="2"/>
      <c r="U167" s="2"/>
      <c r="X167" s="63"/>
      <c r="Y167" s="19"/>
      <c r="Z167" s="121" t="str">
        <f t="shared" si="135"/>
        <v/>
      </c>
      <c r="AA167" s="20"/>
      <c r="AB167" s="20"/>
      <c r="AC167" s="20"/>
      <c r="AD167" s="20"/>
      <c r="AE167" s="125" t="str">
        <f t="shared" si="136"/>
        <v/>
      </c>
      <c r="AF167" s="14"/>
      <c r="AG167" s="125" t="str">
        <f t="shared" si="137"/>
        <v/>
      </c>
      <c r="AH167" s="20"/>
      <c r="AI167" s="20"/>
      <c r="AJ167" s="125" t="str">
        <f t="shared" si="138"/>
        <v/>
      </c>
      <c r="AK167" s="14"/>
      <c r="AL167" s="125" t="str">
        <f t="shared" si="139"/>
        <v/>
      </c>
      <c r="AM167" s="20"/>
      <c r="AN167" s="20"/>
      <c r="AO167" s="125" t="str">
        <f t="shared" si="140"/>
        <v/>
      </c>
      <c r="AP167" s="125" t="str">
        <f t="shared" si="141"/>
        <v/>
      </c>
      <c r="AQ167" s="125" t="str">
        <f t="shared" si="142"/>
        <v/>
      </c>
      <c r="AR167" s="129" t="str">
        <f t="shared" si="143"/>
        <v/>
      </c>
      <c r="AS167" s="14"/>
      <c r="AT167" s="13"/>
      <c r="AU167" s="13"/>
      <c r="AV167" s="117" t="str">
        <f>IF(_xlfn.XLOOKUP(AT167, AutoFill_classes!$A:$A, AutoFill_classes!$B:$B,"")=0,"",_xlfn.XLOOKUP(AT167, AutoFill_classes!$A:$A, AutoFill_classes!$B:$B,""))</f>
        <v/>
      </c>
      <c r="AW167" s="108"/>
      <c r="AX167" s="11"/>
      <c r="AY167" s="11"/>
      <c r="AZ167" s="11"/>
      <c r="BA167" s="13"/>
      <c r="BB167" s="13"/>
      <c r="BC167" s="63"/>
      <c r="BD167" s="19"/>
      <c r="BE167" s="121" t="str">
        <f t="shared" si="144"/>
        <v/>
      </c>
      <c r="BF167" s="20"/>
      <c r="BG167" s="20"/>
      <c r="BH167" s="20"/>
      <c r="BI167" s="20"/>
      <c r="BJ167" s="125" t="str">
        <f t="shared" si="145"/>
        <v/>
      </c>
      <c r="BK167" s="14"/>
      <c r="BL167" s="125" t="str">
        <f t="shared" si="146"/>
        <v/>
      </c>
      <c r="BM167" s="20"/>
      <c r="BN167" s="20"/>
      <c r="BO167" s="125" t="str">
        <f t="shared" si="147"/>
        <v/>
      </c>
      <c r="BP167" s="14"/>
      <c r="BQ167" s="125" t="str">
        <f t="shared" si="148"/>
        <v/>
      </c>
      <c r="BR167" s="20"/>
      <c r="BS167" s="20"/>
      <c r="BT167" s="125" t="str">
        <f t="shared" si="149"/>
        <v/>
      </c>
      <c r="BU167" s="125" t="str">
        <f t="shared" si="150"/>
        <v/>
      </c>
      <c r="BV167" s="125" t="str">
        <f t="shared" si="151"/>
        <v/>
      </c>
      <c r="BW167" s="129" t="str">
        <f t="shared" si="152"/>
        <v/>
      </c>
      <c r="BX167" s="11"/>
      <c r="BY167" s="15"/>
      <c r="BZ167" s="14"/>
      <c r="CA167" s="117" t="str">
        <f>IF(_xlfn.XLOOKUP(BY167, AutoFill_classes!$A:$A, AutoFill_classes!$B:$B,"")=0,"",_xlfn.XLOOKUP(BY167, AutoFill_classes!$A:$A, AutoFill_classes!$B:$B,""))</f>
        <v/>
      </c>
      <c r="CB167" s="108"/>
      <c r="CC167" s="14"/>
      <c r="CD167" s="14"/>
      <c r="CE167" s="14"/>
      <c r="CF167" s="21"/>
      <c r="CG167" s="22"/>
      <c r="CH167" s="63"/>
      <c r="CI167" s="23"/>
      <c r="CJ167" s="121" t="str">
        <f t="shared" si="153"/>
        <v/>
      </c>
      <c r="CK167" s="20"/>
      <c r="CL167" s="20"/>
      <c r="CM167" s="20"/>
      <c r="CN167" s="20"/>
      <c r="CO167" s="125" t="str">
        <f t="shared" si="154"/>
        <v/>
      </c>
      <c r="CP167" s="14"/>
      <c r="CQ167" s="125" t="str">
        <f t="shared" si="155"/>
        <v/>
      </c>
      <c r="CR167" s="20"/>
      <c r="CS167" s="20"/>
      <c r="CT167" s="125" t="str">
        <f t="shared" si="156"/>
        <v/>
      </c>
      <c r="CU167" s="14"/>
      <c r="CV167" s="125" t="str">
        <f t="shared" si="157"/>
        <v/>
      </c>
      <c r="CW167" s="20"/>
      <c r="CX167" s="20"/>
      <c r="CY167" s="125" t="str">
        <f t="shared" si="158"/>
        <v/>
      </c>
      <c r="CZ167" s="125" t="str">
        <f t="shared" si="159"/>
        <v/>
      </c>
      <c r="DA167" s="125" t="str">
        <f t="shared" si="160"/>
        <v/>
      </c>
      <c r="DB167" s="129" t="str">
        <f t="shared" si="161"/>
        <v/>
      </c>
      <c r="DC167" s="14"/>
      <c r="DD167" s="62"/>
      <c r="DE167" s="105">
        <v>165</v>
      </c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spans="1:176" s="1" customFormat="1" ht="13" hidden="1" customHeight="1" outlineLevel="1" x14ac:dyDescent="0.2">
      <c r="A168" s="4"/>
      <c r="B168" s="115" t="str">
        <f>IF(_xlfn.XLOOKUP(A168, AutoFill_names!B:B, AutoFill_names!C:C,"")=0,"",_xlfn.XLOOKUP(A168, AutoFill_names!B:B, AutoFill_names!C:C,""))</f>
        <v/>
      </c>
      <c r="C168" s="115" t="str">
        <f>IF(_xlfn.XLOOKUP(A168, AutoFill_names!B:B, AutoFill_names!D:D,"")=0,"",_xlfn.XLOOKUP(A168, AutoFill_names!B:B, AutoFill_names!D:D,""))</f>
        <v/>
      </c>
      <c r="D168" s="115" t="str">
        <f>IF(_xlfn.XLOOKUP(A168, AutoFill_names!B:B, AutoFill_names!E:E,"")=0,"",_xlfn.XLOOKUP(A168, AutoFill_names!B:B, AutoFill_names!E:E,""))</f>
        <v/>
      </c>
      <c r="E168" s="115" t="str">
        <f>IF(_xlfn.XLOOKUP(A168, AutoFill_names!B:B, AutoFill_names!F:F,"")=0,"",_xlfn.XLOOKUP(A168, AutoFill_names!B:B, AutoFill_names!F:F,""))</f>
        <v/>
      </c>
      <c r="F168" s="92"/>
      <c r="J168" s="115" t="str">
        <f>IF(_xlfn.XLOOKUP(A168, AutoFill_names!B:B, AutoFill_names!K:K,"")=0,"",_xlfn.XLOOKUP(A168, AutoFill_names!B:B, AutoFill_names!K:K,""))</f>
        <v/>
      </c>
      <c r="K168" s="115" t="str">
        <f>IF(_xlfn.XLOOKUP(A168, AutoFill_names!B:B, AutoFill_names!L:L,"")=0,"",_xlfn.XLOOKUP(A168, AutoFill_names!B:B, AutoFill_names!L:L,""))</f>
        <v/>
      </c>
      <c r="L168" s="2"/>
      <c r="M168" s="2"/>
      <c r="N168" s="117" t="str">
        <f>IF(_xlfn.XLOOKUP(L168, AutoFill_classes!A:A, AutoFill_classes!B:B,"")=0,"",_xlfn.XLOOKUP(L168, AutoFill_classes!A:A, AutoFill_classes!B:B,""))</f>
        <v/>
      </c>
      <c r="O168" s="108"/>
      <c r="P168" s="6"/>
      <c r="Q168" s="6"/>
      <c r="R168" s="6"/>
      <c r="S168" s="2"/>
      <c r="U168" s="2"/>
      <c r="X168" s="63"/>
      <c r="Y168" s="19"/>
      <c r="Z168" s="121" t="str">
        <f t="shared" si="135"/>
        <v/>
      </c>
      <c r="AA168" s="20"/>
      <c r="AB168" s="20"/>
      <c r="AC168" s="20"/>
      <c r="AD168" s="20"/>
      <c r="AE168" s="125" t="str">
        <f t="shared" si="136"/>
        <v/>
      </c>
      <c r="AF168" s="14"/>
      <c r="AG168" s="125" t="str">
        <f t="shared" si="137"/>
        <v/>
      </c>
      <c r="AH168" s="20"/>
      <c r="AI168" s="20"/>
      <c r="AJ168" s="125" t="str">
        <f t="shared" si="138"/>
        <v/>
      </c>
      <c r="AK168" s="14"/>
      <c r="AL168" s="125" t="str">
        <f t="shared" si="139"/>
        <v/>
      </c>
      <c r="AM168" s="20"/>
      <c r="AN168" s="20"/>
      <c r="AO168" s="125" t="str">
        <f t="shared" si="140"/>
        <v/>
      </c>
      <c r="AP168" s="125" t="str">
        <f t="shared" si="141"/>
        <v/>
      </c>
      <c r="AQ168" s="125" t="str">
        <f t="shared" si="142"/>
        <v/>
      </c>
      <c r="AR168" s="129" t="str">
        <f t="shared" si="143"/>
        <v/>
      </c>
      <c r="AS168" s="14"/>
      <c r="AT168" s="13"/>
      <c r="AU168" s="13"/>
      <c r="AV168" s="117" t="str">
        <f>IF(_xlfn.XLOOKUP(AT168, AutoFill_classes!$A:$A, AutoFill_classes!$B:$B,"")=0,"",_xlfn.XLOOKUP(AT168, AutoFill_classes!$A:$A, AutoFill_classes!$B:$B,""))</f>
        <v/>
      </c>
      <c r="AW168" s="108"/>
      <c r="AX168" s="11"/>
      <c r="AY168" s="11"/>
      <c r="AZ168" s="11"/>
      <c r="BA168" s="13"/>
      <c r="BB168" s="13"/>
      <c r="BC168" s="63"/>
      <c r="BD168" s="19"/>
      <c r="BE168" s="121" t="str">
        <f t="shared" si="144"/>
        <v/>
      </c>
      <c r="BF168" s="20"/>
      <c r="BG168" s="20"/>
      <c r="BH168" s="20"/>
      <c r="BI168" s="20"/>
      <c r="BJ168" s="125" t="str">
        <f t="shared" si="145"/>
        <v/>
      </c>
      <c r="BK168" s="14"/>
      <c r="BL168" s="125" t="str">
        <f t="shared" si="146"/>
        <v/>
      </c>
      <c r="BM168" s="20"/>
      <c r="BN168" s="20"/>
      <c r="BO168" s="125" t="str">
        <f t="shared" si="147"/>
        <v/>
      </c>
      <c r="BP168" s="14"/>
      <c r="BQ168" s="125" t="str">
        <f t="shared" si="148"/>
        <v/>
      </c>
      <c r="BR168" s="20"/>
      <c r="BS168" s="20"/>
      <c r="BT168" s="125" t="str">
        <f t="shared" si="149"/>
        <v/>
      </c>
      <c r="BU168" s="125" t="str">
        <f t="shared" si="150"/>
        <v/>
      </c>
      <c r="BV168" s="125" t="str">
        <f t="shared" si="151"/>
        <v/>
      </c>
      <c r="BW168" s="129" t="str">
        <f t="shared" si="152"/>
        <v/>
      </c>
      <c r="BX168" s="11"/>
      <c r="BY168" s="15"/>
      <c r="BZ168" s="14"/>
      <c r="CA168" s="117" t="str">
        <f>IF(_xlfn.XLOOKUP(BY168, AutoFill_classes!$A:$A, AutoFill_classes!$B:$B,"")=0,"",_xlfn.XLOOKUP(BY168, AutoFill_classes!$A:$A, AutoFill_classes!$B:$B,""))</f>
        <v/>
      </c>
      <c r="CB168" s="108"/>
      <c r="CC168" s="14"/>
      <c r="CD168" s="14"/>
      <c r="CE168" s="14"/>
      <c r="CF168" s="21"/>
      <c r="CG168" s="22"/>
      <c r="CH168" s="63"/>
      <c r="CI168" s="23"/>
      <c r="CJ168" s="121" t="str">
        <f t="shared" si="153"/>
        <v/>
      </c>
      <c r="CK168" s="20"/>
      <c r="CL168" s="20"/>
      <c r="CM168" s="20"/>
      <c r="CN168" s="20"/>
      <c r="CO168" s="125" t="str">
        <f t="shared" si="154"/>
        <v/>
      </c>
      <c r="CP168" s="14"/>
      <c r="CQ168" s="125" t="str">
        <f t="shared" si="155"/>
        <v/>
      </c>
      <c r="CR168" s="20"/>
      <c r="CS168" s="20"/>
      <c r="CT168" s="125" t="str">
        <f t="shared" si="156"/>
        <v/>
      </c>
      <c r="CU168" s="14"/>
      <c r="CV168" s="125" t="str">
        <f t="shared" si="157"/>
        <v/>
      </c>
      <c r="CW168" s="20"/>
      <c r="CX168" s="20"/>
      <c r="CY168" s="125" t="str">
        <f t="shared" si="158"/>
        <v/>
      </c>
      <c r="CZ168" s="125" t="str">
        <f t="shared" si="159"/>
        <v/>
      </c>
      <c r="DA168" s="125" t="str">
        <f t="shared" si="160"/>
        <v/>
      </c>
      <c r="DB168" s="129" t="str">
        <f t="shared" si="161"/>
        <v/>
      </c>
      <c r="DC168" s="14"/>
      <c r="DD168" s="62"/>
      <c r="DE168" s="105">
        <v>166</v>
      </c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spans="1:176" s="1" customFormat="1" ht="13" hidden="1" customHeight="1" outlineLevel="1" x14ac:dyDescent="0.2">
      <c r="A169" s="4"/>
      <c r="B169" s="115" t="str">
        <f>IF(_xlfn.XLOOKUP(A169, AutoFill_names!B:B, AutoFill_names!C:C,"")=0,"",_xlfn.XLOOKUP(A169, AutoFill_names!B:B, AutoFill_names!C:C,""))</f>
        <v/>
      </c>
      <c r="C169" s="115" t="str">
        <f>IF(_xlfn.XLOOKUP(A169, AutoFill_names!B:B, AutoFill_names!D:D,"")=0,"",_xlfn.XLOOKUP(A169, AutoFill_names!B:B, AutoFill_names!D:D,""))</f>
        <v/>
      </c>
      <c r="D169" s="115" t="str">
        <f>IF(_xlfn.XLOOKUP(A169, AutoFill_names!B:B, AutoFill_names!E:E,"")=0,"",_xlfn.XLOOKUP(A169, AutoFill_names!B:B, AutoFill_names!E:E,""))</f>
        <v/>
      </c>
      <c r="E169" s="115" t="str">
        <f>IF(_xlfn.XLOOKUP(A169, AutoFill_names!B:B, AutoFill_names!F:F,"")=0,"",_xlfn.XLOOKUP(A169, AutoFill_names!B:B, AutoFill_names!F:F,""))</f>
        <v/>
      </c>
      <c r="F169" s="92"/>
      <c r="J169" s="115" t="str">
        <f>IF(_xlfn.XLOOKUP(A169, AutoFill_names!B:B, AutoFill_names!K:K,"")=0,"",_xlfn.XLOOKUP(A169, AutoFill_names!B:B, AutoFill_names!K:K,""))</f>
        <v/>
      </c>
      <c r="K169" s="115" t="str">
        <f>IF(_xlfn.XLOOKUP(A169, AutoFill_names!B:B, AutoFill_names!L:L,"")=0,"",_xlfn.XLOOKUP(A169, AutoFill_names!B:B, AutoFill_names!L:L,""))</f>
        <v/>
      </c>
      <c r="L169" s="2"/>
      <c r="M169" s="2"/>
      <c r="N169" s="117" t="str">
        <f>IF(_xlfn.XLOOKUP(L169, AutoFill_classes!A:A, AutoFill_classes!B:B,"")=0,"",_xlfn.XLOOKUP(L169, AutoFill_classes!A:A, AutoFill_classes!B:B,""))</f>
        <v/>
      </c>
      <c r="O169" s="108"/>
      <c r="P169" s="6"/>
      <c r="Q169" s="6"/>
      <c r="R169" s="6"/>
      <c r="S169" s="2"/>
      <c r="U169" s="2"/>
      <c r="X169" s="63"/>
      <c r="Y169" s="19"/>
      <c r="Z169" s="121" t="str">
        <f t="shared" si="135"/>
        <v/>
      </c>
      <c r="AA169" s="20"/>
      <c r="AB169" s="20"/>
      <c r="AC169" s="20"/>
      <c r="AD169" s="20"/>
      <c r="AE169" s="125" t="str">
        <f t="shared" si="136"/>
        <v/>
      </c>
      <c r="AF169" s="14"/>
      <c r="AG169" s="125" t="str">
        <f t="shared" si="137"/>
        <v/>
      </c>
      <c r="AH169" s="20"/>
      <c r="AI169" s="20"/>
      <c r="AJ169" s="125" t="str">
        <f t="shared" si="138"/>
        <v/>
      </c>
      <c r="AK169" s="14"/>
      <c r="AL169" s="125" t="str">
        <f t="shared" si="139"/>
        <v/>
      </c>
      <c r="AM169" s="20"/>
      <c r="AN169" s="20"/>
      <c r="AO169" s="125" t="str">
        <f t="shared" si="140"/>
        <v/>
      </c>
      <c r="AP169" s="125" t="str">
        <f t="shared" si="141"/>
        <v/>
      </c>
      <c r="AQ169" s="125" t="str">
        <f t="shared" si="142"/>
        <v/>
      </c>
      <c r="AR169" s="129" t="str">
        <f t="shared" si="143"/>
        <v/>
      </c>
      <c r="AS169" s="14"/>
      <c r="AT169" s="13"/>
      <c r="AU169" s="13"/>
      <c r="AV169" s="117" t="str">
        <f>IF(_xlfn.XLOOKUP(AT169, AutoFill_classes!$A:$A, AutoFill_classes!$B:$B,"")=0,"",_xlfn.XLOOKUP(AT169, AutoFill_classes!$A:$A, AutoFill_classes!$B:$B,""))</f>
        <v/>
      </c>
      <c r="AW169" s="108"/>
      <c r="AX169" s="11"/>
      <c r="AY169" s="11"/>
      <c r="AZ169" s="11"/>
      <c r="BA169" s="13"/>
      <c r="BB169" s="13"/>
      <c r="BC169" s="63"/>
      <c r="BD169" s="19"/>
      <c r="BE169" s="121" t="str">
        <f t="shared" si="144"/>
        <v/>
      </c>
      <c r="BF169" s="20"/>
      <c r="BG169" s="20"/>
      <c r="BH169" s="20"/>
      <c r="BI169" s="20"/>
      <c r="BJ169" s="125" t="str">
        <f t="shared" si="145"/>
        <v/>
      </c>
      <c r="BK169" s="14"/>
      <c r="BL169" s="125" t="str">
        <f t="shared" si="146"/>
        <v/>
      </c>
      <c r="BM169" s="20"/>
      <c r="BN169" s="20"/>
      <c r="BO169" s="125" t="str">
        <f t="shared" si="147"/>
        <v/>
      </c>
      <c r="BP169" s="14"/>
      <c r="BQ169" s="125" t="str">
        <f t="shared" si="148"/>
        <v/>
      </c>
      <c r="BR169" s="20"/>
      <c r="BS169" s="20"/>
      <c r="BT169" s="125" t="str">
        <f t="shared" si="149"/>
        <v/>
      </c>
      <c r="BU169" s="125" t="str">
        <f t="shared" si="150"/>
        <v/>
      </c>
      <c r="BV169" s="125" t="str">
        <f t="shared" si="151"/>
        <v/>
      </c>
      <c r="BW169" s="129" t="str">
        <f t="shared" si="152"/>
        <v/>
      </c>
      <c r="BX169" s="11"/>
      <c r="BY169" s="15"/>
      <c r="BZ169" s="14"/>
      <c r="CA169" s="117" t="str">
        <f>IF(_xlfn.XLOOKUP(BY169, AutoFill_classes!$A:$A, AutoFill_classes!$B:$B,"")=0,"",_xlfn.XLOOKUP(BY169, AutoFill_classes!$A:$A, AutoFill_classes!$B:$B,""))</f>
        <v/>
      </c>
      <c r="CB169" s="108"/>
      <c r="CC169" s="14"/>
      <c r="CD169" s="14"/>
      <c r="CE169" s="14"/>
      <c r="CF169" s="21"/>
      <c r="CG169" s="22"/>
      <c r="CH169" s="63"/>
      <c r="CI169" s="23"/>
      <c r="CJ169" s="121" t="str">
        <f t="shared" si="153"/>
        <v/>
      </c>
      <c r="CK169" s="20"/>
      <c r="CL169" s="20"/>
      <c r="CM169" s="20"/>
      <c r="CN169" s="20"/>
      <c r="CO169" s="125" t="str">
        <f t="shared" si="154"/>
        <v/>
      </c>
      <c r="CP169" s="14"/>
      <c r="CQ169" s="125" t="str">
        <f t="shared" si="155"/>
        <v/>
      </c>
      <c r="CR169" s="20"/>
      <c r="CS169" s="20"/>
      <c r="CT169" s="125" t="str">
        <f t="shared" si="156"/>
        <v/>
      </c>
      <c r="CU169" s="14"/>
      <c r="CV169" s="125" t="str">
        <f t="shared" si="157"/>
        <v/>
      </c>
      <c r="CW169" s="20"/>
      <c r="CX169" s="20"/>
      <c r="CY169" s="125" t="str">
        <f t="shared" si="158"/>
        <v/>
      </c>
      <c r="CZ169" s="125" t="str">
        <f t="shared" si="159"/>
        <v/>
      </c>
      <c r="DA169" s="125" t="str">
        <f t="shared" si="160"/>
        <v/>
      </c>
      <c r="DB169" s="129" t="str">
        <f t="shared" si="161"/>
        <v/>
      </c>
      <c r="DC169" s="14"/>
      <c r="DD169" s="62"/>
      <c r="DE169" s="105">
        <v>167</v>
      </c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spans="1:176" s="1" customFormat="1" ht="13" hidden="1" customHeight="1" outlineLevel="1" x14ac:dyDescent="0.2">
      <c r="A170" s="4"/>
      <c r="B170" s="115" t="str">
        <f>IF(_xlfn.XLOOKUP(A170, AutoFill_names!B:B, AutoFill_names!C:C,"")=0,"",_xlfn.XLOOKUP(A170, AutoFill_names!B:B, AutoFill_names!C:C,""))</f>
        <v/>
      </c>
      <c r="C170" s="115" t="str">
        <f>IF(_xlfn.XLOOKUP(A170, AutoFill_names!B:B, AutoFill_names!D:D,"")=0,"",_xlfn.XLOOKUP(A170, AutoFill_names!B:B, AutoFill_names!D:D,""))</f>
        <v/>
      </c>
      <c r="D170" s="115" t="str">
        <f>IF(_xlfn.XLOOKUP(A170, AutoFill_names!B:B, AutoFill_names!E:E,"")=0,"",_xlfn.XLOOKUP(A170, AutoFill_names!B:B, AutoFill_names!E:E,""))</f>
        <v/>
      </c>
      <c r="E170" s="115" t="str">
        <f>IF(_xlfn.XLOOKUP(A170, AutoFill_names!B:B, AutoFill_names!F:F,"")=0,"",_xlfn.XLOOKUP(A170, AutoFill_names!B:B, AutoFill_names!F:F,""))</f>
        <v/>
      </c>
      <c r="F170" s="92"/>
      <c r="J170" s="115" t="str">
        <f>IF(_xlfn.XLOOKUP(A170, AutoFill_names!B:B, AutoFill_names!K:K,"")=0,"",_xlfn.XLOOKUP(A170, AutoFill_names!B:B, AutoFill_names!K:K,""))</f>
        <v/>
      </c>
      <c r="K170" s="115" t="str">
        <f>IF(_xlfn.XLOOKUP(A170, AutoFill_names!B:B, AutoFill_names!L:L,"")=0,"",_xlfn.XLOOKUP(A170, AutoFill_names!B:B, AutoFill_names!L:L,""))</f>
        <v/>
      </c>
      <c r="L170" s="2"/>
      <c r="M170" s="2"/>
      <c r="N170" s="117" t="str">
        <f>IF(_xlfn.XLOOKUP(L170, AutoFill_classes!A:A, AutoFill_classes!B:B,"")=0,"",_xlfn.XLOOKUP(L170, AutoFill_classes!A:A, AutoFill_classes!B:B,""))</f>
        <v/>
      </c>
      <c r="O170" s="108"/>
      <c r="P170" s="6"/>
      <c r="Q170" s="6"/>
      <c r="R170" s="6"/>
      <c r="S170" s="2"/>
      <c r="U170" s="2"/>
      <c r="X170" s="63"/>
      <c r="Y170" s="19"/>
      <c r="Z170" s="121" t="str">
        <f t="shared" si="135"/>
        <v/>
      </c>
      <c r="AA170" s="20"/>
      <c r="AB170" s="20"/>
      <c r="AC170" s="20"/>
      <c r="AD170" s="20"/>
      <c r="AE170" s="125" t="str">
        <f t="shared" si="136"/>
        <v/>
      </c>
      <c r="AF170" s="14"/>
      <c r="AG170" s="125" t="str">
        <f t="shared" si="137"/>
        <v/>
      </c>
      <c r="AH170" s="20"/>
      <c r="AI170" s="20"/>
      <c r="AJ170" s="125" t="str">
        <f t="shared" si="138"/>
        <v/>
      </c>
      <c r="AK170" s="14"/>
      <c r="AL170" s="125" t="str">
        <f t="shared" si="139"/>
        <v/>
      </c>
      <c r="AM170" s="20"/>
      <c r="AN170" s="20"/>
      <c r="AO170" s="125" t="str">
        <f t="shared" si="140"/>
        <v/>
      </c>
      <c r="AP170" s="125" t="str">
        <f t="shared" si="141"/>
        <v/>
      </c>
      <c r="AQ170" s="125" t="str">
        <f t="shared" si="142"/>
        <v/>
      </c>
      <c r="AR170" s="129" t="str">
        <f t="shared" si="143"/>
        <v/>
      </c>
      <c r="AS170" s="14"/>
      <c r="AT170" s="13"/>
      <c r="AU170" s="13"/>
      <c r="AV170" s="117" t="str">
        <f>IF(_xlfn.XLOOKUP(AT170, AutoFill_classes!$A:$A, AutoFill_classes!$B:$B,"")=0,"",_xlfn.XLOOKUP(AT170, AutoFill_classes!$A:$A, AutoFill_classes!$B:$B,""))</f>
        <v/>
      </c>
      <c r="AW170" s="108"/>
      <c r="AX170" s="11"/>
      <c r="AY170" s="11"/>
      <c r="AZ170" s="11"/>
      <c r="BA170" s="13"/>
      <c r="BB170" s="13"/>
      <c r="BC170" s="63"/>
      <c r="BD170" s="19"/>
      <c r="BE170" s="121" t="str">
        <f t="shared" si="144"/>
        <v/>
      </c>
      <c r="BF170" s="20"/>
      <c r="BG170" s="20"/>
      <c r="BH170" s="20"/>
      <c r="BI170" s="20"/>
      <c r="BJ170" s="125" t="str">
        <f t="shared" si="145"/>
        <v/>
      </c>
      <c r="BK170" s="14"/>
      <c r="BL170" s="125" t="str">
        <f t="shared" si="146"/>
        <v/>
      </c>
      <c r="BM170" s="20"/>
      <c r="BN170" s="20"/>
      <c r="BO170" s="125" t="str">
        <f t="shared" si="147"/>
        <v/>
      </c>
      <c r="BP170" s="14"/>
      <c r="BQ170" s="125" t="str">
        <f t="shared" si="148"/>
        <v/>
      </c>
      <c r="BR170" s="20"/>
      <c r="BS170" s="20"/>
      <c r="BT170" s="125" t="str">
        <f t="shared" si="149"/>
        <v/>
      </c>
      <c r="BU170" s="125" t="str">
        <f t="shared" si="150"/>
        <v/>
      </c>
      <c r="BV170" s="125" t="str">
        <f t="shared" si="151"/>
        <v/>
      </c>
      <c r="BW170" s="129" t="str">
        <f t="shared" si="152"/>
        <v/>
      </c>
      <c r="BX170" s="11"/>
      <c r="BY170" s="15"/>
      <c r="BZ170" s="14"/>
      <c r="CA170" s="117" t="str">
        <f>IF(_xlfn.XLOOKUP(BY170, AutoFill_classes!$A:$A, AutoFill_classes!$B:$B,"")=0,"",_xlfn.XLOOKUP(BY170, AutoFill_classes!$A:$A, AutoFill_classes!$B:$B,""))</f>
        <v/>
      </c>
      <c r="CB170" s="108"/>
      <c r="CC170" s="14"/>
      <c r="CD170" s="14"/>
      <c r="CE170" s="14"/>
      <c r="CF170" s="21"/>
      <c r="CG170" s="22"/>
      <c r="CH170" s="63"/>
      <c r="CI170" s="23"/>
      <c r="CJ170" s="121" t="str">
        <f t="shared" si="153"/>
        <v/>
      </c>
      <c r="CK170" s="20"/>
      <c r="CL170" s="20"/>
      <c r="CM170" s="20"/>
      <c r="CN170" s="20"/>
      <c r="CO170" s="125" t="str">
        <f t="shared" si="154"/>
        <v/>
      </c>
      <c r="CP170" s="14"/>
      <c r="CQ170" s="125" t="str">
        <f t="shared" si="155"/>
        <v/>
      </c>
      <c r="CR170" s="20"/>
      <c r="CS170" s="20"/>
      <c r="CT170" s="125" t="str">
        <f t="shared" si="156"/>
        <v/>
      </c>
      <c r="CU170" s="14"/>
      <c r="CV170" s="125" t="str">
        <f t="shared" si="157"/>
        <v/>
      </c>
      <c r="CW170" s="20"/>
      <c r="CX170" s="20"/>
      <c r="CY170" s="125" t="str">
        <f t="shared" si="158"/>
        <v/>
      </c>
      <c r="CZ170" s="125" t="str">
        <f t="shared" si="159"/>
        <v/>
      </c>
      <c r="DA170" s="125" t="str">
        <f t="shared" si="160"/>
        <v/>
      </c>
      <c r="DB170" s="129" t="str">
        <f t="shared" si="161"/>
        <v/>
      </c>
      <c r="DC170" s="14"/>
      <c r="DD170" s="62"/>
      <c r="DE170" s="105">
        <v>168</v>
      </c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  <row r="171" spans="1:176" s="1" customFormat="1" ht="13" hidden="1" customHeight="1" outlineLevel="1" x14ac:dyDescent="0.2">
      <c r="A171" s="4"/>
      <c r="B171" s="115" t="str">
        <f>IF(_xlfn.XLOOKUP(A171, AutoFill_names!B:B, AutoFill_names!C:C,"")=0,"",_xlfn.XLOOKUP(A171, AutoFill_names!B:B, AutoFill_names!C:C,""))</f>
        <v/>
      </c>
      <c r="C171" s="115" t="str">
        <f>IF(_xlfn.XLOOKUP(A171, AutoFill_names!B:B, AutoFill_names!D:D,"")=0,"",_xlfn.XLOOKUP(A171, AutoFill_names!B:B, AutoFill_names!D:D,""))</f>
        <v/>
      </c>
      <c r="D171" s="115" t="str">
        <f>IF(_xlfn.XLOOKUP(A171, AutoFill_names!B:B, AutoFill_names!E:E,"")=0,"",_xlfn.XLOOKUP(A171, AutoFill_names!B:B, AutoFill_names!E:E,""))</f>
        <v/>
      </c>
      <c r="E171" s="115" t="str">
        <f>IF(_xlfn.XLOOKUP(A171, AutoFill_names!B:B, AutoFill_names!F:F,"")=0,"",_xlfn.XLOOKUP(A171, AutoFill_names!B:B, AutoFill_names!F:F,""))</f>
        <v/>
      </c>
      <c r="F171" s="92"/>
      <c r="J171" s="115" t="str">
        <f>IF(_xlfn.XLOOKUP(A171, AutoFill_names!B:B, AutoFill_names!K:K,"")=0,"",_xlfn.XLOOKUP(A171, AutoFill_names!B:B, AutoFill_names!K:K,""))</f>
        <v/>
      </c>
      <c r="K171" s="115" t="str">
        <f>IF(_xlfn.XLOOKUP(A171, AutoFill_names!B:B, AutoFill_names!L:L,"")=0,"",_xlfn.XLOOKUP(A171, AutoFill_names!B:B, AutoFill_names!L:L,""))</f>
        <v/>
      </c>
      <c r="L171" s="2"/>
      <c r="M171" s="2"/>
      <c r="N171" s="117" t="str">
        <f>IF(_xlfn.XLOOKUP(L171, AutoFill_classes!A:A, AutoFill_classes!B:B,"")=0,"",_xlfn.XLOOKUP(L171, AutoFill_classes!A:A, AutoFill_classes!B:B,""))</f>
        <v/>
      </c>
      <c r="O171" s="108"/>
      <c r="P171" s="6"/>
      <c r="Q171" s="6"/>
      <c r="R171" s="6"/>
      <c r="S171" s="2"/>
      <c r="U171" s="2"/>
      <c r="X171" s="63"/>
      <c r="Y171" s="19"/>
      <c r="Z171" s="121" t="str">
        <f t="shared" si="135"/>
        <v/>
      </c>
      <c r="AA171" s="20"/>
      <c r="AB171" s="20"/>
      <c r="AC171" s="20"/>
      <c r="AD171" s="20"/>
      <c r="AE171" s="125" t="str">
        <f t="shared" si="136"/>
        <v/>
      </c>
      <c r="AF171" s="14"/>
      <c r="AG171" s="125" t="str">
        <f t="shared" si="137"/>
        <v/>
      </c>
      <c r="AH171" s="20"/>
      <c r="AI171" s="20"/>
      <c r="AJ171" s="125" t="str">
        <f t="shared" si="138"/>
        <v/>
      </c>
      <c r="AK171" s="14"/>
      <c r="AL171" s="125" t="str">
        <f t="shared" si="139"/>
        <v/>
      </c>
      <c r="AM171" s="20"/>
      <c r="AN171" s="20"/>
      <c r="AO171" s="125" t="str">
        <f t="shared" si="140"/>
        <v/>
      </c>
      <c r="AP171" s="125" t="str">
        <f t="shared" si="141"/>
        <v/>
      </c>
      <c r="AQ171" s="125" t="str">
        <f t="shared" si="142"/>
        <v/>
      </c>
      <c r="AR171" s="129" t="str">
        <f t="shared" si="143"/>
        <v/>
      </c>
      <c r="AS171" s="14"/>
      <c r="AT171" s="13"/>
      <c r="AU171" s="13"/>
      <c r="AV171" s="117" t="str">
        <f>IF(_xlfn.XLOOKUP(AT171, AutoFill_classes!$A:$A, AutoFill_classes!$B:$B,"")=0,"",_xlfn.XLOOKUP(AT171, AutoFill_classes!$A:$A, AutoFill_classes!$B:$B,""))</f>
        <v/>
      </c>
      <c r="AW171" s="108"/>
      <c r="AX171" s="11"/>
      <c r="AY171" s="11"/>
      <c r="AZ171" s="11"/>
      <c r="BA171" s="13"/>
      <c r="BB171" s="13"/>
      <c r="BC171" s="63"/>
      <c r="BD171" s="19"/>
      <c r="BE171" s="121" t="str">
        <f t="shared" si="144"/>
        <v/>
      </c>
      <c r="BF171" s="20"/>
      <c r="BG171" s="20"/>
      <c r="BH171" s="20"/>
      <c r="BI171" s="20"/>
      <c r="BJ171" s="125" t="str">
        <f t="shared" si="145"/>
        <v/>
      </c>
      <c r="BK171" s="14"/>
      <c r="BL171" s="125" t="str">
        <f t="shared" si="146"/>
        <v/>
      </c>
      <c r="BM171" s="20"/>
      <c r="BN171" s="20"/>
      <c r="BO171" s="125" t="str">
        <f t="shared" si="147"/>
        <v/>
      </c>
      <c r="BP171" s="14"/>
      <c r="BQ171" s="125" t="str">
        <f t="shared" si="148"/>
        <v/>
      </c>
      <c r="BR171" s="20"/>
      <c r="BS171" s="20"/>
      <c r="BT171" s="125" t="str">
        <f t="shared" si="149"/>
        <v/>
      </c>
      <c r="BU171" s="125" t="str">
        <f t="shared" si="150"/>
        <v/>
      </c>
      <c r="BV171" s="125" t="str">
        <f t="shared" si="151"/>
        <v/>
      </c>
      <c r="BW171" s="129" t="str">
        <f t="shared" si="152"/>
        <v/>
      </c>
      <c r="BX171" s="11"/>
      <c r="BY171" s="15"/>
      <c r="BZ171" s="14"/>
      <c r="CA171" s="117" t="str">
        <f>IF(_xlfn.XLOOKUP(BY171, AutoFill_classes!$A:$A, AutoFill_classes!$B:$B,"")=0,"",_xlfn.XLOOKUP(BY171, AutoFill_classes!$A:$A, AutoFill_classes!$B:$B,""))</f>
        <v/>
      </c>
      <c r="CB171" s="108"/>
      <c r="CC171" s="14"/>
      <c r="CD171" s="14"/>
      <c r="CE171" s="14"/>
      <c r="CF171" s="21"/>
      <c r="CG171" s="22"/>
      <c r="CH171" s="63"/>
      <c r="CI171" s="23"/>
      <c r="CJ171" s="121" t="str">
        <f t="shared" si="153"/>
        <v/>
      </c>
      <c r="CK171" s="20"/>
      <c r="CL171" s="20"/>
      <c r="CM171" s="20"/>
      <c r="CN171" s="20"/>
      <c r="CO171" s="125" t="str">
        <f t="shared" si="154"/>
        <v/>
      </c>
      <c r="CP171" s="14"/>
      <c r="CQ171" s="125" t="str">
        <f t="shared" si="155"/>
        <v/>
      </c>
      <c r="CR171" s="20"/>
      <c r="CS171" s="20"/>
      <c r="CT171" s="125" t="str">
        <f t="shared" si="156"/>
        <v/>
      </c>
      <c r="CU171" s="14"/>
      <c r="CV171" s="125" t="str">
        <f t="shared" si="157"/>
        <v/>
      </c>
      <c r="CW171" s="20"/>
      <c r="CX171" s="20"/>
      <c r="CY171" s="125" t="str">
        <f t="shared" si="158"/>
        <v/>
      </c>
      <c r="CZ171" s="125" t="str">
        <f t="shared" si="159"/>
        <v/>
      </c>
      <c r="DA171" s="125" t="str">
        <f t="shared" si="160"/>
        <v/>
      </c>
      <c r="DB171" s="129" t="str">
        <f t="shared" si="161"/>
        <v/>
      </c>
      <c r="DC171" s="14"/>
      <c r="DD171" s="62"/>
      <c r="DE171" s="105">
        <v>169</v>
      </c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</row>
    <row r="172" spans="1:176" s="1" customFormat="1" ht="13" hidden="1" customHeight="1" outlineLevel="1" x14ac:dyDescent="0.2">
      <c r="A172" s="4"/>
      <c r="B172" s="115" t="str">
        <f>IF(_xlfn.XLOOKUP(A172, AutoFill_names!B:B, AutoFill_names!C:C,"")=0,"",_xlfn.XLOOKUP(A172, AutoFill_names!B:B, AutoFill_names!C:C,""))</f>
        <v/>
      </c>
      <c r="C172" s="115" t="str">
        <f>IF(_xlfn.XLOOKUP(A172, AutoFill_names!B:B, AutoFill_names!D:D,"")=0,"",_xlfn.XLOOKUP(A172, AutoFill_names!B:B, AutoFill_names!D:D,""))</f>
        <v/>
      </c>
      <c r="D172" s="115" t="str">
        <f>IF(_xlfn.XLOOKUP(A172, AutoFill_names!B:B, AutoFill_names!E:E,"")=0,"",_xlfn.XLOOKUP(A172, AutoFill_names!B:B, AutoFill_names!E:E,""))</f>
        <v/>
      </c>
      <c r="E172" s="115" t="str">
        <f>IF(_xlfn.XLOOKUP(A172, AutoFill_names!B:B, AutoFill_names!F:F,"")=0,"",_xlfn.XLOOKUP(A172, AutoFill_names!B:B, AutoFill_names!F:F,""))</f>
        <v/>
      </c>
      <c r="F172" s="92"/>
      <c r="J172" s="115" t="str">
        <f>IF(_xlfn.XLOOKUP(A172, AutoFill_names!B:B, AutoFill_names!K:K,"")=0,"",_xlfn.XLOOKUP(A172, AutoFill_names!B:B, AutoFill_names!K:K,""))</f>
        <v/>
      </c>
      <c r="K172" s="115" t="str">
        <f>IF(_xlfn.XLOOKUP(A172, AutoFill_names!B:B, AutoFill_names!L:L,"")=0,"",_xlfn.XLOOKUP(A172, AutoFill_names!B:B, AutoFill_names!L:L,""))</f>
        <v/>
      </c>
      <c r="L172" s="2"/>
      <c r="M172" s="2"/>
      <c r="N172" s="117" t="str">
        <f>IF(_xlfn.XLOOKUP(L172, AutoFill_classes!A:A, AutoFill_classes!B:B,"")=0,"",_xlfn.XLOOKUP(L172, AutoFill_classes!A:A, AutoFill_classes!B:B,""))</f>
        <v/>
      </c>
      <c r="O172" s="108"/>
      <c r="P172" s="6"/>
      <c r="Q172" s="6"/>
      <c r="R172" s="6"/>
      <c r="S172" s="2"/>
      <c r="U172" s="2"/>
      <c r="X172" s="63"/>
      <c r="Y172" s="19"/>
      <c r="Z172" s="121" t="str">
        <f t="shared" si="135"/>
        <v/>
      </c>
      <c r="AA172" s="20"/>
      <c r="AB172" s="20"/>
      <c r="AC172" s="20"/>
      <c r="AD172" s="20"/>
      <c r="AE172" s="125" t="str">
        <f t="shared" si="136"/>
        <v/>
      </c>
      <c r="AF172" s="14"/>
      <c r="AG172" s="125" t="str">
        <f t="shared" si="137"/>
        <v/>
      </c>
      <c r="AH172" s="20"/>
      <c r="AI172" s="20"/>
      <c r="AJ172" s="125" t="str">
        <f t="shared" si="138"/>
        <v/>
      </c>
      <c r="AK172" s="14"/>
      <c r="AL172" s="125" t="str">
        <f t="shared" si="139"/>
        <v/>
      </c>
      <c r="AM172" s="20"/>
      <c r="AN172" s="20"/>
      <c r="AO172" s="125" t="str">
        <f t="shared" si="140"/>
        <v/>
      </c>
      <c r="AP172" s="125" t="str">
        <f t="shared" si="141"/>
        <v/>
      </c>
      <c r="AQ172" s="125" t="str">
        <f t="shared" si="142"/>
        <v/>
      </c>
      <c r="AR172" s="129" t="str">
        <f t="shared" si="143"/>
        <v/>
      </c>
      <c r="AS172" s="14"/>
      <c r="AT172" s="13"/>
      <c r="AU172" s="13"/>
      <c r="AV172" s="117" t="str">
        <f>IF(_xlfn.XLOOKUP(AT172, AutoFill_classes!$A:$A, AutoFill_classes!$B:$B,"")=0,"",_xlfn.XLOOKUP(AT172, AutoFill_classes!$A:$A, AutoFill_classes!$B:$B,""))</f>
        <v/>
      </c>
      <c r="AW172" s="108"/>
      <c r="AX172" s="11"/>
      <c r="AY172" s="11"/>
      <c r="AZ172" s="11"/>
      <c r="BA172" s="13"/>
      <c r="BB172" s="13"/>
      <c r="BC172" s="63"/>
      <c r="BD172" s="19"/>
      <c r="BE172" s="121" t="str">
        <f t="shared" si="144"/>
        <v/>
      </c>
      <c r="BF172" s="20"/>
      <c r="BG172" s="20"/>
      <c r="BH172" s="20"/>
      <c r="BI172" s="20"/>
      <c r="BJ172" s="125" t="str">
        <f t="shared" si="145"/>
        <v/>
      </c>
      <c r="BK172" s="14"/>
      <c r="BL172" s="125" t="str">
        <f t="shared" si="146"/>
        <v/>
      </c>
      <c r="BM172" s="20"/>
      <c r="BN172" s="20"/>
      <c r="BO172" s="125" t="str">
        <f t="shared" si="147"/>
        <v/>
      </c>
      <c r="BP172" s="14"/>
      <c r="BQ172" s="125" t="str">
        <f t="shared" si="148"/>
        <v/>
      </c>
      <c r="BR172" s="20"/>
      <c r="BS172" s="20"/>
      <c r="BT172" s="125" t="str">
        <f t="shared" si="149"/>
        <v/>
      </c>
      <c r="BU172" s="125" t="str">
        <f t="shared" si="150"/>
        <v/>
      </c>
      <c r="BV172" s="125" t="str">
        <f t="shared" si="151"/>
        <v/>
      </c>
      <c r="BW172" s="129" t="str">
        <f t="shared" si="152"/>
        <v/>
      </c>
      <c r="BX172" s="11"/>
      <c r="BY172" s="15"/>
      <c r="BZ172" s="14"/>
      <c r="CA172" s="117" t="str">
        <f>IF(_xlfn.XLOOKUP(BY172, AutoFill_classes!$A:$A, AutoFill_classes!$B:$B,"")=0,"",_xlfn.XLOOKUP(BY172, AutoFill_classes!$A:$A, AutoFill_classes!$B:$B,""))</f>
        <v/>
      </c>
      <c r="CB172" s="108"/>
      <c r="CC172" s="14"/>
      <c r="CD172" s="14"/>
      <c r="CE172" s="14"/>
      <c r="CF172" s="21"/>
      <c r="CG172" s="22"/>
      <c r="CH172" s="63"/>
      <c r="CI172" s="23"/>
      <c r="CJ172" s="121" t="str">
        <f t="shared" si="153"/>
        <v/>
      </c>
      <c r="CK172" s="20"/>
      <c r="CL172" s="20"/>
      <c r="CM172" s="20"/>
      <c r="CN172" s="20"/>
      <c r="CO172" s="125" t="str">
        <f t="shared" si="154"/>
        <v/>
      </c>
      <c r="CP172" s="14"/>
      <c r="CQ172" s="125" t="str">
        <f t="shared" si="155"/>
        <v/>
      </c>
      <c r="CR172" s="20"/>
      <c r="CS172" s="20"/>
      <c r="CT172" s="125" t="str">
        <f t="shared" si="156"/>
        <v/>
      </c>
      <c r="CU172" s="14"/>
      <c r="CV172" s="125" t="str">
        <f t="shared" si="157"/>
        <v/>
      </c>
      <c r="CW172" s="20"/>
      <c r="CX172" s="20"/>
      <c r="CY172" s="125" t="str">
        <f t="shared" si="158"/>
        <v/>
      </c>
      <c r="CZ172" s="125" t="str">
        <f t="shared" si="159"/>
        <v/>
      </c>
      <c r="DA172" s="125" t="str">
        <f t="shared" si="160"/>
        <v/>
      </c>
      <c r="DB172" s="129" t="str">
        <f t="shared" si="161"/>
        <v/>
      </c>
      <c r="DC172" s="14"/>
      <c r="DD172" s="62"/>
      <c r="DE172" s="105">
        <v>170</v>
      </c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</row>
    <row r="173" spans="1:176" s="1" customFormat="1" ht="13" hidden="1" customHeight="1" outlineLevel="1" x14ac:dyDescent="0.2">
      <c r="A173" s="4"/>
      <c r="B173" s="115" t="str">
        <f>IF(_xlfn.XLOOKUP(A173, AutoFill_names!B:B, AutoFill_names!C:C,"")=0,"",_xlfn.XLOOKUP(A173, AutoFill_names!B:B, AutoFill_names!C:C,""))</f>
        <v/>
      </c>
      <c r="C173" s="115" t="str">
        <f>IF(_xlfn.XLOOKUP(A173, AutoFill_names!B:B, AutoFill_names!D:D,"")=0,"",_xlfn.XLOOKUP(A173, AutoFill_names!B:B, AutoFill_names!D:D,""))</f>
        <v/>
      </c>
      <c r="D173" s="115" t="str">
        <f>IF(_xlfn.XLOOKUP(A173, AutoFill_names!B:B, AutoFill_names!E:E,"")=0,"",_xlfn.XLOOKUP(A173, AutoFill_names!B:B, AutoFill_names!E:E,""))</f>
        <v/>
      </c>
      <c r="E173" s="115" t="str">
        <f>IF(_xlfn.XLOOKUP(A173, AutoFill_names!B:B, AutoFill_names!F:F,"")=0,"",_xlfn.XLOOKUP(A173, AutoFill_names!B:B, AutoFill_names!F:F,""))</f>
        <v/>
      </c>
      <c r="F173" s="92"/>
      <c r="J173" s="115" t="str">
        <f>IF(_xlfn.XLOOKUP(A173, AutoFill_names!B:B, AutoFill_names!K:K,"")=0,"",_xlfn.XLOOKUP(A173, AutoFill_names!B:B, AutoFill_names!K:K,""))</f>
        <v/>
      </c>
      <c r="K173" s="115" t="str">
        <f>IF(_xlfn.XLOOKUP(A173, AutoFill_names!B:B, AutoFill_names!L:L,"")=0,"",_xlfn.XLOOKUP(A173, AutoFill_names!B:B, AutoFill_names!L:L,""))</f>
        <v/>
      </c>
      <c r="L173" s="2"/>
      <c r="M173" s="2"/>
      <c r="N173" s="117" t="str">
        <f>IF(_xlfn.XLOOKUP(L173, AutoFill_classes!A:A, AutoFill_classes!B:B,"")=0,"",_xlfn.XLOOKUP(L173, AutoFill_classes!A:A, AutoFill_classes!B:B,""))</f>
        <v/>
      </c>
      <c r="O173" s="108"/>
      <c r="P173" s="6"/>
      <c r="Q173" s="6"/>
      <c r="R173" s="6"/>
      <c r="S173" s="2"/>
      <c r="U173" s="2"/>
      <c r="X173" s="63"/>
      <c r="Y173" s="19"/>
      <c r="Z173" s="121" t="str">
        <f t="shared" si="135"/>
        <v/>
      </c>
      <c r="AA173" s="20"/>
      <c r="AB173" s="20"/>
      <c r="AC173" s="20"/>
      <c r="AD173" s="20"/>
      <c r="AE173" s="125" t="str">
        <f t="shared" si="136"/>
        <v/>
      </c>
      <c r="AF173" s="14"/>
      <c r="AG173" s="125" t="str">
        <f t="shared" si="137"/>
        <v/>
      </c>
      <c r="AH173" s="20"/>
      <c r="AI173" s="20"/>
      <c r="AJ173" s="125" t="str">
        <f t="shared" si="138"/>
        <v/>
      </c>
      <c r="AK173" s="14"/>
      <c r="AL173" s="125" t="str">
        <f t="shared" si="139"/>
        <v/>
      </c>
      <c r="AM173" s="20"/>
      <c r="AN173" s="20"/>
      <c r="AO173" s="125" t="str">
        <f t="shared" si="140"/>
        <v/>
      </c>
      <c r="AP173" s="125" t="str">
        <f t="shared" si="141"/>
        <v/>
      </c>
      <c r="AQ173" s="125" t="str">
        <f t="shared" si="142"/>
        <v/>
      </c>
      <c r="AR173" s="129" t="str">
        <f t="shared" si="143"/>
        <v/>
      </c>
      <c r="AS173" s="14"/>
      <c r="AT173" s="13"/>
      <c r="AU173" s="13"/>
      <c r="AV173" s="117" t="str">
        <f>IF(_xlfn.XLOOKUP(AT173, AutoFill_classes!$A:$A, AutoFill_classes!$B:$B,"")=0,"",_xlfn.XLOOKUP(AT173, AutoFill_classes!$A:$A, AutoFill_classes!$B:$B,""))</f>
        <v/>
      </c>
      <c r="AW173" s="108"/>
      <c r="AX173" s="11"/>
      <c r="AY173" s="11"/>
      <c r="AZ173" s="11"/>
      <c r="BA173" s="13"/>
      <c r="BB173" s="13"/>
      <c r="BC173" s="63"/>
      <c r="BD173" s="19"/>
      <c r="BE173" s="121" t="str">
        <f t="shared" si="144"/>
        <v/>
      </c>
      <c r="BF173" s="20"/>
      <c r="BG173" s="20"/>
      <c r="BH173" s="20"/>
      <c r="BI173" s="20"/>
      <c r="BJ173" s="125" t="str">
        <f t="shared" si="145"/>
        <v/>
      </c>
      <c r="BK173" s="14"/>
      <c r="BL173" s="125" t="str">
        <f t="shared" si="146"/>
        <v/>
      </c>
      <c r="BM173" s="20"/>
      <c r="BN173" s="20"/>
      <c r="BO173" s="125" t="str">
        <f t="shared" si="147"/>
        <v/>
      </c>
      <c r="BP173" s="14"/>
      <c r="BQ173" s="125" t="str">
        <f t="shared" si="148"/>
        <v/>
      </c>
      <c r="BR173" s="20"/>
      <c r="BS173" s="20"/>
      <c r="BT173" s="125" t="str">
        <f t="shared" si="149"/>
        <v/>
      </c>
      <c r="BU173" s="125" t="str">
        <f t="shared" si="150"/>
        <v/>
      </c>
      <c r="BV173" s="125" t="str">
        <f t="shared" si="151"/>
        <v/>
      </c>
      <c r="BW173" s="129" t="str">
        <f t="shared" si="152"/>
        <v/>
      </c>
      <c r="BX173" s="11"/>
      <c r="BY173" s="15"/>
      <c r="BZ173" s="14"/>
      <c r="CA173" s="117" t="str">
        <f>IF(_xlfn.XLOOKUP(BY173, AutoFill_classes!$A:$A, AutoFill_classes!$B:$B,"")=0,"",_xlfn.XLOOKUP(BY173, AutoFill_classes!$A:$A, AutoFill_classes!$B:$B,""))</f>
        <v/>
      </c>
      <c r="CB173" s="108"/>
      <c r="CC173" s="14"/>
      <c r="CD173" s="14"/>
      <c r="CE173" s="14"/>
      <c r="CF173" s="21"/>
      <c r="CG173" s="22"/>
      <c r="CH173" s="63"/>
      <c r="CI173" s="23"/>
      <c r="CJ173" s="121" t="str">
        <f t="shared" si="153"/>
        <v/>
      </c>
      <c r="CK173" s="20"/>
      <c r="CL173" s="20"/>
      <c r="CM173" s="20"/>
      <c r="CN173" s="20"/>
      <c r="CO173" s="125" t="str">
        <f t="shared" si="154"/>
        <v/>
      </c>
      <c r="CP173" s="14"/>
      <c r="CQ173" s="125" t="str">
        <f t="shared" si="155"/>
        <v/>
      </c>
      <c r="CR173" s="20"/>
      <c r="CS173" s="20"/>
      <c r="CT173" s="125" t="str">
        <f t="shared" si="156"/>
        <v/>
      </c>
      <c r="CU173" s="14"/>
      <c r="CV173" s="125" t="str">
        <f t="shared" si="157"/>
        <v/>
      </c>
      <c r="CW173" s="20"/>
      <c r="CX173" s="20"/>
      <c r="CY173" s="125" t="str">
        <f t="shared" si="158"/>
        <v/>
      </c>
      <c r="CZ173" s="125" t="str">
        <f t="shared" si="159"/>
        <v/>
      </c>
      <c r="DA173" s="125" t="str">
        <f t="shared" si="160"/>
        <v/>
      </c>
      <c r="DB173" s="129" t="str">
        <f t="shared" si="161"/>
        <v/>
      </c>
      <c r="DC173" s="14"/>
      <c r="DD173" s="62"/>
      <c r="DE173" s="105">
        <v>171</v>
      </c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</row>
    <row r="174" spans="1:176" s="1" customFormat="1" ht="13" hidden="1" customHeight="1" outlineLevel="1" x14ac:dyDescent="0.2">
      <c r="A174" s="4"/>
      <c r="B174" s="115" t="str">
        <f>IF(_xlfn.XLOOKUP(A174, AutoFill_names!B:B, AutoFill_names!C:C,"")=0,"",_xlfn.XLOOKUP(A174, AutoFill_names!B:B, AutoFill_names!C:C,""))</f>
        <v/>
      </c>
      <c r="C174" s="115" t="str">
        <f>IF(_xlfn.XLOOKUP(A174, AutoFill_names!B:B, AutoFill_names!D:D,"")=0,"",_xlfn.XLOOKUP(A174, AutoFill_names!B:B, AutoFill_names!D:D,""))</f>
        <v/>
      </c>
      <c r="D174" s="115" t="str">
        <f>IF(_xlfn.XLOOKUP(A174, AutoFill_names!B:B, AutoFill_names!E:E,"")=0,"",_xlfn.XLOOKUP(A174, AutoFill_names!B:B, AutoFill_names!E:E,""))</f>
        <v/>
      </c>
      <c r="E174" s="115" t="str">
        <f>IF(_xlfn.XLOOKUP(A174, AutoFill_names!B:B, AutoFill_names!F:F,"")=0,"",_xlfn.XLOOKUP(A174, AutoFill_names!B:B, AutoFill_names!F:F,""))</f>
        <v/>
      </c>
      <c r="F174" s="92"/>
      <c r="J174" s="115" t="str">
        <f>IF(_xlfn.XLOOKUP(A174, AutoFill_names!B:B, AutoFill_names!K:K,"")=0,"",_xlfn.XLOOKUP(A174, AutoFill_names!B:B, AutoFill_names!K:K,""))</f>
        <v/>
      </c>
      <c r="K174" s="115" t="str">
        <f>IF(_xlfn.XLOOKUP(A174, AutoFill_names!B:B, AutoFill_names!L:L,"")=0,"",_xlfn.XLOOKUP(A174, AutoFill_names!B:B, AutoFill_names!L:L,""))</f>
        <v/>
      </c>
      <c r="L174" s="2"/>
      <c r="M174" s="2"/>
      <c r="N174" s="117" t="str">
        <f>IF(_xlfn.XLOOKUP(L174, AutoFill_classes!A:A, AutoFill_classes!B:B,"")=0,"",_xlfn.XLOOKUP(L174, AutoFill_classes!A:A, AutoFill_classes!B:B,""))</f>
        <v/>
      </c>
      <c r="O174" s="108"/>
      <c r="P174" s="6"/>
      <c r="Q174" s="6"/>
      <c r="R174" s="6"/>
      <c r="S174" s="2"/>
      <c r="U174" s="2"/>
      <c r="X174" s="63"/>
      <c r="Y174" s="19"/>
      <c r="Z174" s="121" t="str">
        <f t="shared" si="135"/>
        <v/>
      </c>
      <c r="AA174" s="20"/>
      <c r="AB174" s="20"/>
      <c r="AC174" s="20"/>
      <c r="AD174" s="20"/>
      <c r="AE174" s="125" t="str">
        <f t="shared" si="136"/>
        <v/>
      </c>
      <c r="AF174" s="14"/>
      <c r="AG174" s="125" t="str">
        <f t="shared" si="137"/>
        <v/>
      </c>
      <c r="AH174" s="20"/>
      <c r="AI174" s="20"/>
      <c r="AJ174" s="125" t="str">
        <f t="shared" si="138"/>
        <v/>
      </c>
      <c r="AK174" s="14"/>
      <c r="AL174" s="125" t="str">
        <f t="shared" si="139"/>
        <v/>
      </c>
      <c r="AM174" s="20"/>
      <c r="AN174" s="20"/>
      <c r="AO174" s="125" t="str">
        <f t="shared" si="140"/>
        <v/>
      </c>
      <c r="AP174" s="125" t="str">
        <f t="shared" si="141"/>
        <v/>
      </c>
      <c r="AQ174" s="125" t="str">
        <f t="shared" si="142"/>
        <v/>
      </c>
      <c r="AR174" s="129" t="str">
        <f t="shared" si="143"/>
        <v/>
      </c>
      <c r="AS174" s="14"/>
      <c r="AT174" s="13"/>
      <c r="AU174" s="13"/>
      <c r="AV174" s="117" t="str">
        <f>IF(_xlfn.XLOOKUP(AT174, AutoFill_classes!$A:$A, AutoFill_classes!$B:$B,"")=0,"",_xlfn.XLOOKUP(AT174, AutoFill_classes!$A:$A, AutoFill_classes!$B:$B,""))</f>
        <v/>
      </c>
      <c r="AW174" s="108"/>
      <c r="AX174" s="11"/>
      <c r="AY174" s="11"/>
      <c r="AZ174" s="11"/>
      <c r="BA174" s="13"/>
      <c r="BB174" s="13"/>
      <c r="BC174" s="63"/>
      <c r="BD174" s="19"/>
      <c r="BE174" s="121" t="str">
        <f t="shared" si="144"/>
        <v/>
      </c>
      <c r="BF174" s="20"/>
      <c r="BG174" s="20"/>
      <c r="BH174" s="20"/>
      <c r="BI174" s="20"/>
      <c r="BJ174" s="125" t="str">
        <f t="shared" si="145"/>
        <v/>
      </c>
      <c r="BK174" s="14"/>
      <c r="BL174" s="125" t="str">
        <f t="shared" si="146"/>
        <v/>
      </c>
      <c r="BM174" s="20"/>
      <c r="BN174" s="20"/>
      <c r="BO174" s="125" t="str">
        <f t="shared" si="147"/>
        <v/>
      </c>
      <c r="BP174" s="14"/>
      <c r="BQ174" s="125" t="str">
        <f t="shared" si="148"/>
        <v/>
      </c>
      <c r="BR174" s="20"/>
      <c r="BS174" s="20"/>
      <c r="BT174" s="125" t="str">
        <f t="shared" si="149"/>
        <v/>
      </c>
      <c r="BU174" s="125" t="str">
        <f t="shared" si="150"/>
        <v/>
      </c>
      <c r="BV174" s="125" t="str">
        <f t="shared" si="151"/>
        <v/>
      </c>
      <c r="BW174" s="129" t="str">
        <f t="shared" si="152"/>
        <v/>
      </c>
      <c r="BX174" s="11"/>
      <c r="BY174" s="15"/>
      <c r="BZ174" s="14"/>
      <c r="CA174" s="117" t="str">
        <f>IF(_xlfn.XLOOKUP(BY174, AutoFill_classes!$A:$A, AutoFill_classes!$B:$B,"")=0,"",_xlfn.XLOOKUP(BY174, AutoFill_classes!$A:$A, AutoFill_classes!$B:$B,""))</f>
        <v/>
      </c>
      <c r="CB174" s="108"/>
      <c r="CC174" s="14"/>
      <c r="CD174" s="14"/>
      <c r="CE174" s="14"/>
      <c r="CF174" s="21"/>
      <c r="CG174" s="22"/>
      <c r="CH174" s="63"/>
      <c r="CI174" s="23"/>
      <c r="CJ174" s="121" t="str">
        <f t="shared" si="153"/>
        <v/>
      </c>
      <c r="CK174" s="20"/>
      <c r="CL174" s="20"/>
      <c r="CM174" s="20"/>
      <c r="CN174" s="20"/>
      <c r="CO174" s="125" t="str">
        <f t="shared" si="154"/>
        <v/>
      </c>
      <c r="CP174" s="14"/>
      <c r="CQ174" s="125" t="str">
        <f t="shared" si="155"/>
        <v/>
      </c>
      <c r="CR174" s="20"/>
      <c r="CS174" s="20"/>
      <c r="CT174" s="125" t="str">
        <f t="shared" si="156"/>
        <v/>
      </c>
      <c r="CU174" s="14"/>
      <c r="CV174" s="125" t="str">
        <f t="shared" si="157"/>
        <v/>
      </c>
      <c r="CW174" s="20"/>
      <c r="CX174" s="20"/>
      <c r="CY174" s="125" t="str">
        <f t="shared" si="158"/>
        <v/>
      </c>
      <c r="CZ174" s="125" t="str">
        <f t="shared" si="159"/>
        <v/>
      </c>
      <c r="DA174" s="125" t="str">
        <f t="shared" si="160"/>
        <v/>
      </c>
      <c r="DB174" s="129" t="str">
        <f t="shared" si="161"/>
        <v/>
      </c>
      <c r="DC174" s="14"/>
      <c r="DD174" s="62"/>
      <c r="DE174" s="105">
        <v>172</v>
      </c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</row>
    <row r="175" spans="1:176" s="1" customFormat="1" ht="13" hidden="1" customHeight="1" outlineLevel="1" x14ac:dyDescent="0.2">
      <c r="A175" s="4"/>
      <c r="B175" s="115" t="str">
        <f>IF(_xlfn.XLOOKUP(A175, AutoFill_names!B:B, AutoFill_names!C:C,"")=0,"",_xlfn.XLOOKUP(A175, AutoFill_names!B:B, AutoFill_names!C:C,""))</f>
        <v/>
      </c>
      <c r="C175" s="115" t="str">
        <f>IF(_xlfn.XLOOKUP(A175, AutoFill_names!B:B, AutoFill_names!D:D,"")=0,"",_xlfn.XLOOKUP(A175, AutoFill_names!B:B, AutoFill_names!D:D,""))</f>
        <v/>
      </c>
      <c r="D175" s="115" t="str">
        <f>IF(_xlfn.XLOOKUP(A175, AutoFill_names!B:B, AutoFill_names!E:E,"")=0,"",_xlfn.XLOOKUP(A175, AutoFill_names!B:B, AutoFill_names!E:E,""))</f>
        <v/>
      </c>
      <c r="E175" s="115" t="str">
        <f>IF(_xlfn.XLOOKUP(A175, AutoFill_names!B:B, AutoFill_names!F:F,"")=0,"",_xlfn.XLOOKUP(A175, AutoFill_names!B:B, AutoFill_names!F:F,""))</f>
        <v/>
      </c>
      <c r="F175" s="92"/>
      <c r="J175" s="115" t="str">
        <f>IF(_xlfn.XLOOKUP(A175, AutoFill_names!B:B, AutoFill_names!K:K,"")=0,"",_xlfn.XLOOKUP(A175, AutoFill_names!B:B, AutoFill_names!K:K,""))</f>
        <v/>
      </c>
      <c r="K175" s="115" t="str">
        <f>IF(_xlfn.XLOOKUP(A175, AutoFill_names!B:B, AutoFill_names!L:L,"")=0,"",_xlfn.XLOOKUP(A175, AutoFill_names!B:B, AutoFill_names!L:L,""))</f>
        <v/>
      </c>
      <c r="L175" s="2"/>
      <c r="M175" s="2"/>
      <c r="N175" s="117" t="str">
        <f>IF(_xlfn.XLOOKUP(L175, AutoFill_classes!A:A, AutoFill_classes!B:B,"")=0,"",_xlfn.XLOOKUP(L175, AutoFill_classes!A:A, AutoFill_classes!B:B,""))</f>
        <v/>
      </c>
      <c r="O175" s="108"/>
      <c r="P175" s="6"/>
      <c r="Q175" s="6"/>
      <c r="R175" s="6"/>
      <c r="S175" s="2"/>
      <c r="U175" s="2"/>
      <c r="X175" s="63"/>
      <c r="Y175" s="19"/>
      <c r="Z175" s="121" t="str">
        <f t="shared" si="135"/>
        <v/>
      </c>
      <c r="AA175" s="20"/>
      <c r="AB175" s="20"/>
      <c r="AC175" s="20"/>
      <c r="AD175" s="20"/>
      <c r="AE175" s="125" t="str">
        <f t="shared" si="136"/>
        <v/>
      </c>
      <c r="AF175" s="14"/>
      <c r="AG175" s="125" t="str">
        <f t="shared" si="137"/>
        <v/>
      </c>
      <c r="AH175" s="20"/>
      <c r="AI175" s="20"/>
      <c r="AJ175" s="125" t="str">
        <f t="shared" si="138"/>
        <v/>
      </c>
      <c r="AK175" s="14"/>
      <c r="AL175" s="125" t="str">
        <f t="shared" si="139"/>
        <v/>
      </c>
      <c r="AM175" s="20"/>
      <c r="AN175" s="20"/>
      <c r="AO175" s="125" t="str">
        <f t="shared" si="140"/>
        <v/>
      </c>
      <c r="AP175" s="125" t="str">
        <f t="shared" si="141"/>
        <v/>
      </c>
      <c r="AQ175" s="125" t="str">
        <f t="shared" si="142"/>
        <v/>
      </c>
      <c r="AR175" s="129" t="str">
        <f t="shared" si="143"/>
        <v/>
      </c>
      <c r="AS175" s="14"/>
      <c r="AT175" s="13"/>
      <c r="AU175" s="13"/>
      <c r="AV175" s="117" t="str">
        <f>IF(_xlfn.XLOOKUP(AT175, AutoFill_classes!$A:$A, AutoFill_classes!$B:$B,"")=0,"",_xlfn.XLOOKUP(AT175, AutoFill_classes!$A:$A, AutoFill_classes!$B:$B,""))</f>
        <v/>
      </c>
      <c r="AW175" s="108"/>
      <c r="AX175" s="11"/>
      <c r="AY175" s="11"/>
      <c r="AZ175" s="11"/>
      <c r="BA175" s="13"/>
      <c r="BB175" s="13"/>
      <c r="BC175" s="63"/>
      <c r="BD175" s="19"/>
      <c r="BE175" s="121" t="str">
        <f t="shared" si="144"/>
        <v/>
      </c>
      <c r="BF175" s="20"/>
      <c r="BG175" s="20"/>
      <c r="BH175" s="20"/>
      <c r="BI175" s="20"/>
      <c r="BJ175" s="125" t="str">
        <f t="shared" si="145"/>
        <v/>
      </c>
      <c r="BK175" s="14"/>
      <c r="BL175" s="125" t="str">
        <f t="shared" si="146"/>
        <v/>
      </c>
      <c r="BM175" s="20"/>
      <c r="BN175" s="20"/>
      <c r="BO175" s="125" t="str">
        <f t="shared" si="147"/>
        <v/>
      </c>
      <c r="BP175" s="14"/>
      <c r="BQ175" s="125" t="str">
        <f t="shared" si="148"/>
        <v/>
      </c>
      <c r="BR175" s="20"/>
      <c r="BS175" s="20"/>
      <c r="BT175" s="125" t="str">
        <f t="shared" si="149"/>
        <v/>
      </c>
      <c r="BU175" s="125" t="str">
        <f t="shared" si="150"/>
        <v/>
      </c>
      <c r="BV175" s="125" t="str">
        <f t="shared" si="151"/>
        <v/>
      </c>
      <c r="BW175" s="129" t="str">
        <f t="shared" si="152"/>
        <v/>
      </c>
      <c r="BX175" s="11"/>
      <c r="BY175" s="15"/>
      <c r="BZ175" s="14"/>
      <c r="CA175" s="117" t="str">
        <f>IF(_xlfn.XLOOKUP(BY175, AutoFill_classes!$A:$A, AutoFill_classes!$B:$B,"")=0,"",_xlfn.XLOOKUP(BY175, AutoFill_classes!$A:$A, AutoFill_classes!$B:$B,""))</f>
        <v/>
      </c>
      <c r="CB175" s="108"/>
      <c r="CC175" s="14"/>
      <c r="CD175" s="14"/>
      <c r="CE175" s="14"/>
      <c r="CF175" s="21"/>
      <c r="CG175" s="22"/>
      <c r="CH175" s="63"/>
      <c r="CI175" s="23"/>
      <c r="CJ175" s="121" t="str">
        <f t="shared" si="153"/>
        <v/>
      </c>
      <c r="CK175" s="20"/>
      <c r="CL175" s="20"/>
      <c r="CM175" s="20"/>
      <c r="CN175" s="20"/>
      <c r="CO175" s="125" t="str">
        <f t="shared" si="154"/>
        <v/>
      </c>
      <c r="CP175" s="14"/>
      <c r="CQ175" s="125" t="str">
        <f t="shared" si="155"/>
        <v/>
      </c>
      <c r="CR175" s="20"/>
      <c r="CS175" s="20"/>
      <c r="CT175" s="125" t="str">
        <f t="shared" si="156"/>
        <v/>
      </c>
      <c r="CU175" s="14"/>
      <c r="CV175" s="125" t="str">
        <f t="shared" si="157"/>
        <v/>
      </c>
      <c r="CW175" s="20"/>
      <c r="CX175" s="20"/>
      <c r="CY175" s="125" t="str">
        <f t="shared" si="158"/>
        <v/>
      </c>
      <c r="CZ175" s="125" t="str">
        <f t="shared" si="159"/>
        <v/>
      </c>
      <c r="DA175" s="125" t="str">
        <f t="shared" si="160"/>
        <v/>
      </c>
      <c r="DB175" s="129" t="str">
        <f t="shared" si="161"/>
        <v/>
      </c>
      <c r="DC175" s="14"/>
      <c r="DD175" s="62"/>
      <c r="DE175" s="105">
        <v>173</v>
      </c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</row>
    <row r="176" spans="1:176" s="1" customFormat="1" ht="13" hidden="1" customHeight="1" outlineLevel="1" x14ac:dyDescent="0.2">
      <c r="A176" s="4"/>
      <c r="B176" s="115" t="str">
        <f>IF(_xlfn.XLOOKUP(A176, AutoFill_names!B:B, AutoFill_names!C:C,"")=0,"",_xlfn.XLOOKUP(A176, AutoFill_names!B:B, AutoFill_names!C:C,""))</f>
        <v/>
      </c>
      <c r="C176" s="115" t="str">
        <f>IF(_xlfn.XLOOKUP(A176, AutoFill_names!B:B, AutoFill_names!D:D,"")=0,"",_xlfn.XLOOKUP(A176, AutoFill_names!B:B, AutoFill_names!D:D,""))</f>
        <v/>
      </c>
      <c r="D176" s="115" t="str">
        <f>IF(_xlfn.XLOOKUP(A176, AutoFill_names!B:B, AutoFill_names!E:E,"")=0,"",_xlfn.XLOOKUP(A176, AutoFill_names!B:B, AutoFill_names!E:E,""))</f>
        <v/>
      </c>
      <c r="E176" s="115" t="str">
        <f>IF(_xlfn.XLOOKUP(A176, AutoFill_names!B:B, AutoFill_names!F:F,"")=0,"",_xlfn.XLOOKUP(A176, AutoFill_names!B:B, AutoFill_names!F:F,""))</f>
        <v/>
      </c>
      <c r="F176" s="92"/>
      <c r="J176" s="115" t="str">
        <f>IF(_xlfn.XLOOKUP(A176, AutoFill_names!B:B, AutoFill_names!K:K,"")=0,"",_xlfn.XLOOKUP(A176, AutoFill_names!B:B, AutoFill_names!K:K,""))</f>
        <v/>
      </c>
      <c r="K176" s="115" t="str">
        <f>IF(_xlfn.XLOOKUP(A176, AutoFill_names!B:B, AutoFill_names!L:L,"")=0,"",_xlfn.XLOOKUP(A176, AutoFill_names!B:B, AutoFill_names!L:L,""))</f>
        <v/>
      </c>
      <c r="L176" s="2"/>
      <c r="M176" s="2"/>
      <c r="N176" s="117" t="str">
        <f>IF(_xlfn.XLOOKUP(L176, AutoFill_classes!A:A, AutoFill_classes!B:B,"")=0,"",_xlfn.XLOOKUP(L176, AutoFill_classes!A:A, AutoFill_classes!B:B,""))</f>
        <v/>
      </c>
      <c r="O176" s="108"/>
      <c r="P176" s="6"/>
      <c r="Q176" s="6"/>
      <c r="R176" s="6"/>
      <c r="S176" s="2"/>
      <c r="U176" s="2"/>
      <c r="X176" s="63"/>
      <c r="Y176" s="19"/>
      <c r="Z176" s="121" t="str">
        <f t="shared" si="135"/>
        <v/>
      </c>
      <c r="AA176" s="20"/>
      <c r="AB176" s="20"/>
      <c r="AC176" s="20"/>
      <c r="AD176" s="20"/>
      <c r="AE176" s="125" t="str">
        <f t="shared" si="136"/>
        <v/>
      </c>
      <c r="AF176" s="14"/>
      <c r="AG176" s="125" t="str">
        <f t="shared" si="137"/>
        <v/>
      </c>
      <c r="AH176" s="20"/>
      <c r="AI176" s="20"/>
      <c r="AJ176" s="125" t="str">
        <f t="shared" si="138"/>
        <v/>
      </c>
      <c r="AK176" s="14"/>
      <c r="AL176" s="125" t="str">
        <f t="shared" si="139"/>
        <v/>
      </c>
      <c r="AM176" s="20"/>
      <c r="AN176" s="20"/>
      <c r="AO176" s="125" t="str">
        <f t="shared" si="140"/>
        <v/>
      </c>
      <c r="AP176" s="125" t="str">
        <f t="shared" si="141"/>
        <v/>
      </c>
      <c r="AQ176" s="125" t="str">
        <f t="shared" si="142"/>
        <v/>
      </c>
      <c r="AR176" s="129" t="str">
        <f t="shared" si="143"/>
        <v/>
      </c>
      <c r="AS176" s="14"/>
      <c r="AT176" s="13"/>
      <c r="AU176" s="13"/>
      <c r="AV176" s="117" t="str">
        <f>IF(_xlfn.XLOOKUP(AT176, AutoFill_classes!$A:$A, AutoFill_classes!$B:$B,"")=0,"",_xlfn.XLOOKUP(AT176, AutoFill_classes!$A:$A, AutoFill_classes!$B:$B,""))</f>
        <v/>
      </c>
      <c r="AW176" s="108"/>
      <c r="AX176" s="11"/>
      <c r="AY176" s="11"/>
      <c r="AZ176" s="11"/>
      <c r="BA176" s="13"/>
      <c r="BB176" s="13"/>
      <c r="BC176" s="63"/>
      <c r="BD176" s="19"/>
      <c r="BE176" s="121" t="str">
        <f t="shared" si="144"/>
        <v/>
      </c>
      <c r="BF176" s="20"/>
      <c r="BG176" s="20"/>
      <c r="BH176" s="20"/>
      <c r="BI176" s="20"/>
      <c r="BJ176" s="125" t="str">
        <f t="shared" si="145"/>
        <v/>
      </c>
      <c r="BK176" s="14"/>
      <c r="BL176" s="125" t="str">
        <f t="shared" si="146"/>
        <v/>
      </c>
      <c r="BM176" s="20"/>
      <c r="BN176" s="20"/>
      <c r="BO176" s="125" t="str">
        <f t="shared" si="147"/>
        <v/>
      </c>
      <c r="BP176" s="14"/>
      <c r="BQ176" s="125" t="str">
        <f t="shared" si="148"/>
        <v/>
      </c>
      <c r="BR176" s="20"/>
      <c r="BS176" s="20"/>
      <c r="BT176" s="125" t="str">
        <f t="shared" si="149"/>
        <v/>
      </c>
      <c r="BU176" s="125" t="str">
        <f t="shared" si="150"/>
        <v/>
      </c>
      <c r="BV176" s="125" t="str">
        <f t="shared" si="151"/>
        <v/>
      </c>
      <c r="BW176" s="129" t="str">
        <f t="shared" si="152"/>
        <v/>
      </c>
      <c r="BX176" s="11"/>
      <c r="BY176" s="15"/>
      <c r="BZ176" s="14"/>
      <c r="CA176" s="117" t="str">
        <f>IF(_xlfn.XLOOKUP(BY176, AutoFill_classes!$A:$A, AutoFill_classes!$B:$B,"")=0,"",_xlfn.XLOOKUP(BY176, AutoFill_classes!$A:$A, AutoFill_classes!$B:$B,""))</f>
        <v/>
      </c>
      <c r="CB176" s="108"/>
      <c r="CC176" s="14"/>
      <c r="CD176" s="14"/>
      <c r="CE176" s="14"/>
      <c r="CF176" s="21"/>
      <c r="CG176" s="22"/>
      <c r="CH176" s="63"/>
      <c r="CI176" s="23"/>
      <c r="CJ176" s="121" t="str">
        <f t="shared" si="153"/>
        <v/>
      </c>
      <c r="CK176" s="20"/>
      <c r="CL176" s="20"/>
      <c r="CM176" s="20"/>
      <c r="CN176" s="20"/>
      <c r="CO176" s="125" t="str">
        <f t="shared" si="154"/>
        <v/>
      </c>
      <c r="CP176" s="14"/>
      <c r="CQ176" s="125" t="str">
        <f t="shared" si="155"/>
        <v/>
      </c>
      <c r="CR176" s="20"/>
      <c r="CS176" s="20"/>
      <c r="CT176" s="125" t="str">
        <f t="shared" si="156"/>
        <v/>
      </c>
      <c r="CU176" s="14"/>
      <c r="CV176" s="125" t="str">
        <f t="shared" si="157"/>
        <v/>
      </c>
      <c r="CW176" s="20"/>
      <c r="CX176" s="20"/>
      <c r="CY176" s="125" t="str">
        <f t="shared" si="158"/>
        <v/>
      </c>
      <c r="CZ176" s="125" t="str">
        <f t="shared" si="159"/>
        <v/>
      </c>
      <c r="DA176" s="125" t="str">
        <f t="shared" si="160"/>
        <v/>
      </c>
      <c r="DB176" s="129" t="str">
        <f t="shared" si="161"/>
        <v/>
      </c>
      <c r="DC176" s="14"/>
      <c r="DD176" s="62"/>
      <c r="DE176" s="105">
        <v>174</v>
      </c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</row>
    <row r="177" spans="1:176" s="1" customFormat="1" ht="13" hidden="1" customHeight="1" outlineLevel="1" x14ac:dyDescent="0.2">
      <c r="A177" s="4"/>
      <c r="B177" s="115" t="str">
        <f>IF(_xlfn.XLOOKUP(A177, AutoFill_names!B:B, AutoFill_names!C:C,"")=0,"",_xlfn.XLOOKUP(A177, AutoFill_names!B:B, AutoFill_names!C:C,""))</f>
        <v/>
      </c>
      <c r="C177" s="115" t="str">
        <f>IF(_xlfn.XLOOKUP(A177, AutoFill_names!B:B, AutoFill_names!D:D,"")=0,"",_xlfn.XLOOKUP(A177, AutoFill_names!B:B, AutoFill_names!D:D,""))</f>
        <v/>
      </c>
      <c r="D177" s="115" t="str">
        <f>IF(_xlfn.XLOOKUP(A177, AutoFill_names!B:B, AutoFill_names!E:E,"")=0,"",_xlfn.XLOOKUP(A177, AutoFill_names!B:B, AutoFill_names!E:E,""))</f>
        <v/>
      </c>
      <c r="E177" s="115" t="str">
        <f>IF(_xlfn.XLOOKUP(A177, AutoFill_names!B:B, AutoFill_names!F:F,"")=0,"",_xlfn.XLOOKUP(A177, AutoFill_names!B:B, AutoFill_names!F:F,""))</f>
        <v/>
      </c>
      <c r="F177" s="92"/>
      <c r="J177" s="115" t="str">
        <f>IF(_xlfn.XLOOKUP(A177, AutoFill_names!B:B, AutoFill_names!K:K,"")=0,"",_xlfn.XLOOKUP(A177, AutoFill_names!B:B, AutoFill_names!K:K,""))</f>
        <v/>
      </c>
      <c r="K177" s="115" t="str">
        <f>IF(_xlfn.XLOOKUP(A177, AutoFill_names!B:B, AutoFill_names!L:L,"")=0,"",_xlfn.XLOOKUP(A177, AutoFill_names!B:B, AutoFill_names!L:L,""))</f>
        <v/>
      </c>
      <c r="L177" s="2"/>
      <c r="M177" s="2"/>
      <c r="N177" s="117" t="str">
        <f>IF(_xlfn.XLOOKUP(L177, AutoFill_classes!A:A, AutoFill_classes!B:B,"")=0,"",_xlfn.XLOOKUP(L177, AutoFill_classes!A:A, AutoFill_classes!B:B,""))</f>
        <v/>
      </c>
      <c r="O177" s="108"/>
      <c r="P177" s="6"/>
      <c r="Q177" s="6"/>
      <c r="R177" s="6"/>
      <c r="S177" s="2"/>
      <c r="U177" s="2"/>
      <c r="X177" s="63"/>
      <c r="Y177" s="19"/>
      <c r="Z177" s="121" t="str">
        <f t="shared" si="135"/>
        <v/>
      </c>
      <c r="AA177" s="20"/>
      <c r="AB177" s="20"/>
      <c r="AC177" s="20"/>
      <c r="AD177" s="20"/>
      <c r="AE177" s="125" t="str">
        <f t="shared" si="136"/>
        <v/>
      </c>
      <c r="AF177" s="14"/>
      <c r="AG177" s="125" t="str">
        <f t="shared" si="137"/>
        <v/>
      </c>
      <c r="AH177" s="20"/>
      <c r="AI177" s="20"/>
      <c r="AJ177" s="125" t="str">
        <f t="shared" si="138"/>
        <v/>
      </c>
      <c r="AK177" s="14"/>
      <c r="AL177" s="125" t="str">
        <f t="shared" si="139"/>
        <v/>
      </c>
      <c r="AM177" s="20"/>
      <c r="AN177" s="20"/>
      <c r="AO177" s="125" t="str">
        <f t="shared" si="140"/>
        <v/>
      </c>
      <c r="AP177" s="125" t="str">
        <f t="shared" si="141"/>
        <v/>
      </c>
      <c r="AQ177" s="125" t="str">
        <f t="shared" si="142"/>
        <v/>
      </c>
      <c r="AR177" s="129" t="str">
        <f t="shared" si="143"/>
        <v/>
      </c>
      <c r="AS177" s="14"/>
      <c r="AT177" s="13"/>
      <c r="AU177" s="13"/>
      <c r="AV177" s="117" t="str">
        <f>IF(_xlfn.XLOOKUP(AT177, AutoFill_classes!$A:$A, AutoFill_classes!$B:$B,"")=0,"",_xlfn.XLOOKUP(AT177, AutoFill_classes!$A:$A, AutoFill_classes!$B:$B,""))</f>
        <v/>
      </c>
      <c r="AW177" s="108"/>
      <c r="AX177" s="11"/>
      <c r="AY177" s="11"/>
      <c r="AZ177" s="11"/>
      <c r="BA177" s="13"/>
      <c r="BB177" s="13"/>
      <c r="BC177" s="63"/>
      <c r="BD177" s="19"/>
      <c r="BE177" s="121" t="str">
        <f t="shared" si="144"/>
        <v/>
      </c>
      <c r="BF177" s="20"/>
      <c r="BG177" s="20"/>
      <c r="BH177" s="20"/>
      <c r="BI177" s="20"/>
      <c r="BJ177" s="125" t="str">
        <f t="shared" si="145"/>
        <v/>
      </c>
      <c r="BK177" s="14"/>
      <c r="BL177" s="125" t="str">
        <f t="shared" si="146"/>
        <v/>
      </c>
      <c r="BM177" s="20"/>
      <c r="BN177" s="20"/>
      <c r="BO177" s="125" t="str">
        <f t="shared" si="147"/>
        <v/>
      </c>
      <c r="BP177" s="14"/>
      <c r="BQ177" s="125" t="str">
        <f t="shared" si="148"/>
        <v/>
      </c>
      <c r="BR177" s="20"/>
      <c r="BS177" s="20"/>
      <c r="BT177" s="125" t="str">
        <f t="shared" si="149"/>
        <v/>
      </c>
      <c r="BU177" s="125" t="str">
        <f t="shared" si="150"/>
        <v/>
      </c>
      <c r="BV177" s="125" t="str">
        <f t="shared" si="151"/>
        <v/>
      </c>
      <c r="BW177" s="129" t="str">
        <f t="shared" si="152"/>
        <v/>
      </c>
      <c r="BX177" s="11"/>
      <c r="BY177" s="15"/>
      <c r="BZ177" s="14"/>
      <c r="CA177" s="117" t="str">
        <f>IF(_xlfn.XLOOKUP(BY177, AutoFill_classes!$A:$A, AutoFill_classes!$B:$B,"")=0,"",_xlfn.XLOOKUP(BY177, AutoFill_classes!$A:$A, AutoFill_classes!$B:$B,""))</f>
        <v/>
      </c>
      <c r="CB177" s="108"/>
      <c r="CC177" s="14"/>
      <c r="CD177" s="14"/>
      <c r="CE177" s="14"/>
      <c r="CF177" s="21"/>
      <c r="CG177" s="22"/>
      <c r="CH177" s="63"/>
      <c r="CI177" s="23"/>
      <c r="CJ177" s="121" t="str">
        <f t="shared" si="153"/>
        <v/>
      </c>
      <c r="CK177" s="20"/>
      <c r="CL177" s="20"/>
      <c r="CM177" s="20"/>
      <c r="CN177" s="20"/>
      <c r="CO177" s="125" t="str">
        <f t="shared" si="154"/>
        <v/>
      </c>
      <c r="CP177" s="14"/>
      <c r="CQ177" s="125" t="str">
        <f t="shared" si="155"/>
        <v/>
      </c>
      <c r="CR177" s="20"/>
      <c r="CS177" s="20"/>
      <c r="CT177" s="125" t="str">
        <f t="shared" si="156"/>
        <v/>
      </c>
      <c r="CU177" s="14"/>
      <c r="CV177" s="125" t="str">
        <f t="shared" si="157"/>
        <v/>
      </c>
      <c r="CW177" s="20"/>
      <c r="CX177" s="20"/>
      <c r="CY177" s="125" t="str">
        <f t="shared" si="158"/>
        <v/>
      </c>
      <c r="CZ177" s="125" t="str">
        <f t="shared" si="159"/>
        <v/>
      </c>
      <c r="DA177" s="125" t="str">
        <f t="shared" si="160"/>
        <v/>
      </c>
      <c r="DB177" s="129" t="str">
        <f t="shared" si="161"/>
        <v/>
      </c>
      <c r="DC177" s="14"/>
      <c r="DD177" s="62"/>
      <c r="DE177" s="105">
        <v>175</v>
      </c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</row>
    <row r="178" spans="1:176" s="1" customFormat="1" ht="13" hidden="1" customHeight="1" outlineLevel="1" x14ac:dyDescent="0.2">
      <c r="A178" s="4"/>
      <c r="B178" s="115" t="str">
        <f>IF(_xlfn.XLOOKUP(A178, AutoFill_names!B:B, AutoFill_names!C:C,"")=0,"",_xlfn.XLOOKUP(A178, AutoFill_names!B:B, AutoFill_names!C:C,""))</f>
        <v/>
      </c>
      <c r="C178" s="115" t="str">
        <f>IF(_xlfn.XLOOKUP(A178, AutoFill_names!B:B, AutoFill_names!D:D,"")=0,"",_xlfn.XLOOKUP(A178, AutoFill_names!B:B, AutoFill_names!D:D,""))</f>
        <v/>
      </c>
      <c r="D178" s="115" t="str">
        <f>IF(_xlfn.XLOOKUP(A178, AutoFill_names!B:B, AutoFill_names!E:E,"")=0,"",_xlfn.XLOOKUP(A178, AutoFill_names!B:B, AutoFill_names!E:E,""))</f>
        <v/>
      </c>
      <c r="E178" s="115" t="str">
        <f>IF(_xlfn.XLOOKUP(A178, AutoFill_names!B:B, AutoFill_names!F:F,"")=0,"",_xlfn.XLOOKUP(A178, AutoFill_names!B:B, AutoFill_names!F:F,""))</f>
        <v/>
      </c>
      <c r="F178" s="92"/>
      <c r="J178" s="115" t="str">
        <f>IF(_xlfn.XLOOKUP(A178, AutoFill_names!B:B, AutoFill_names!K:K,"")=0,"",_xlfn.XLOOKUP(A178, AutoFill_names!B:B, AutoFill_names!K:K,""))</f>
        <v/>
      </c>
      <c r="K178" s="115" t="str">
        <f>IF(_xlfn.XLOOKUP(A178, AutoFill_names!B:B, AutoFill_names!L:L,"")=0,"",_xlfn.XLOOKUP(A178, AutoFill_names!B:B, AutoFill_names!L:L,""))</f>
        <v/>
      </c>
      <c r="L178" s="2"/>
      <c r="M178" s="2"/>
      <c r="N178" s="117" t="str">
        <f>IF(_xlfn.XLOOKUP(L178, AutoFill_classes!A:A, AutoFill_classes!B:B,"")=0,"",_xlfn.XLOOKUP(L178, AutoFill_classes!A:A, AutoFill_classes!B:B,""))</f>
        <v/>
      </c>
      <c r="O178" s="108"/>
      <c r="P178" s="6"/>
      <c r="Q178" s="6"/>
      <c r="R178" s="6"/>
      <c r="S178" s="2"/>
      <c r="U178" s="2"/>
      <c r="X178" s="63"/>
      <c r="Y178" s="19"/>
      <c r="Z178" s="121" t="str">
        <f t="shared" si="135"/>
        <v/>
      </c>
      <c r="AA178" s="20"/>
      <c r="AB178" s="20"/>
      <c r="AC178" s="20"/>
      <c r="AD178" s="20"/>
      <c r="AE178" s="125" t="str">
        <f t="shared" si="136"/>
        <v/>
      </c>
      <c r="AF178" s="14"/>
      <c r="AG178" s="125" t="str">
        <f t="shared" si="137"/>
        <v/>
      </c>
      <c r="AH178" s="20"/>
      <c r="AI178" s="20"/>
      <c r="AJ178" s="125" t="str">
        <f t="shared" si="138"/>
        <v/>
      </c>
      <c r="AK178" s="14"/>
      <c r="AL178" s="125" t="str">
        <f t="shared" si="139"/>
        <v/>
      </c>
      <c r="AM178" s="20"/>
      <c r="AN178" s="20"/>
      <c r="AO178" s="125" t="str">
        <f t="shared" si="140"/>
        <v/>
      </c>
      <c r="AP178" s="125" t="str">
        <f t="shared" si="141"/>
        <v/>
      </c>
      <c r="AQ178" s="125" t="str">
        <f t="shared" si="142"/>
        <v/>
      </c>
      <c r="AR178" s="129" t="str">
        <f t="shared" si="143"/>
        <v/>
      </c>
      <c r="AS178" s="14"/>
      <c r="AT178" s="13"/>
      <c r="AU178" s="13"/>
      <c r="AV178" s="117" t="str">
        <f>IF(_xlfn.XLOOKUP(AT178, AutoFill_classes!$A:$A, AutoFill_classes!$B:$B,"")=0,"",_xlfn.XLOOKUP(AT178, AutoFill_classes!$A:$A, AutoFill_classes!$B:$B,""))</f>
        <v/>
      </c>
      <c r="AW178" s="108"/>
      <c r="AX178" s="11"/>
      <c r="AY178" s="11"/>
      <c r="AZ178" s="11"/>
      <c r="BA178" s="13"/>
      <c r="BB178" s="13"/>
      <c r="BC178" s="63"/>
      <c r="BD178" s="19"/>
      <c r="BE178" s="121" t="str">
        <f t="shared" si="144"/>
        <v/>
      </c>
      <c r="BF178" s="20"/>
      <c r="BG178" s="20"/>
      <c r="BH178" s="20"/>
      <c r="BI178" s="20"/>
      <c r="BJ178" s="125" t="str">
        <f t="shared" si="145"/>
        <v/>
      </c>
      <c r="BK178" s="14"/>
      <c r="BL178" s="125" t="str">
        <f t="shared" si="146"/>
        <v/>
      </c>
      <c r="BM178" s="20"/>
      <c r="BN178" s="20"/>
      <c r="BO178" s="125" t="str">
        <f t="shared" si="147"/>
        <v/>
      </c>
      <c r="BP178" s="14"/>
      <c r="BQ178" s="125" t="str">
        <f t="shared" si="148"/>
        <v/>
      </c>
      <c r="BR178" s="20"/>
      <c r="BS178" s="20"/>
      <c r="BT178" s="125" t="str">
        <f t="shared" si="149"/>
        <v/>
      </c>
      <c r="BU178" s="125" t="str">
        <f t="shared" si="150"/>
        <v/>
      </c>
      <c r="BV178" s="125" t="str">
        <f t="shared" si="151"/>
        <v/>
      </c>
      <c r="BW178" s="129" t="str">
        <f t="shared" si="152"/>
        <v/>
      </c>
      <c r="BX178" s="11"/>
      <c r="BY178" s="15"/>
      <c r="BZ178" s="14"/>
      <c r="CA178" s="117" t="str">
        <f>IF(_xlfn.XLOOKUP(BY178, AutoFill_classes!$A:$A, AutoFill_classes!$B:$B,"")=0,"",_xlfn.XLOOKUP(BY178, AutoFill_classes!$A:$A, AutoFill_classes!$B:$B,""))</f>
        <v/>
      </c>
      <c r="CB178" s="108"/>
      <c r="CC178" s="14"/>
      <c r="CD178" s="14"/>
      <c r="CE178" s="14"/>
      <c r="CF178" s="21"/>
      <c r="CG178" s="22"/>
      <c r="CH178" s="63"/>
      <c r="CI178" s="23"/>
      <c r="CJ178" s="121" t="str">
        <f t="shared" si="153"/>
        <v/>
      </c>
      <c r="CK178" s="20"/>
      <c r="CL178" s="20"/>
      <c r="CM178" s="20"/>
      <c r="CN178" s="20"/>
      <c r="CO178" s="125" t="str">
        <f t="shared" si="154"/>
        <v/>
      </c>
      <c r="CP178" s="14"/>
      <c r="CQ178" s="125" t="str">
        <f t="shared" si="155"/>
        <v/>
      </c>
      <c r="CR178" s="20"/>
      <c r="CS178" s="20"/>
      <c r="CT178" s="125" t="str">
        <f t="shared" si="156"/>
        <v/>
      </c>
      <c r="CU178" s="14"/>
      <c r="CV178" s="125" t="str">
        <f t="shared" si="157"/>
        <v/>
      </c>
      <c r="CW178" s="20"/>
      <c r="CX178" s="20"/>
      <c r="CY178" s="125" t="str">
        <f t="shared" si="158"/>
        <v/>
      </c>
      <c r="CZ178" s="125" t="str">
        <f t="shared" si="159"/>
        <v/>
      </c>
      <c r="DA178" s="125" t="str">
        <f t="shared" si="160"/>
        <v/>
      </c>
      <c r="DB178" s="129" t="str">
        <f t="shared" si="161"/>
        <v/>
      </c>
      <c r="DC178" s="14"/>
      <c r="DD178" s="62"/>
      <c r="DE178" s="105">
        <v>176</v>
      </c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</row>
    <row r="179" spans="1:176" s="1" customFormat="1" ht="13" hidden="1" customHeight="1" outlineLevel="1" x14ac:dyDescent="0.2">
      <c r="A179" s="4"/>
      <c r="B179" s="115" t="str">
        <f>IF(_xlfn.XLOOKUP(A179, AutoFill_names!B:B, AutoFill_names!C:C,"")=0,"",_xlfn.XLOOKUP(A179, AutoFill_names!B:B, AutoFill_names!C:C,""))</f>
        <v/>
      </c>
      <c r="C179" s="115" t="str">
        <f>IF(_xlfn.XLOOKUP(A179, AutoFill_names!B:B, AutoFill_names!D:D,"")=0,"",_xlfn.XLOOKUP(A179, AutoFill_names!B:B, AutoFill_names!D:D,""))</f>
        <v/>
      </c>
      <c r="D179" s="115" t="str">
        <f>IF(_xlfn.XLOOKUP(A179, AutoFill_names!B:B, AutoFill_names!E:E,"")=0,"",_xlfn.XLOOKUP(A179, AutoFill_names!B:B, AutoFill_names!E:E,""))</f>
        <v/>
      </c>
      <c r="E179" s="115" t="str">
        <f>IF(_xlfn.XLOOKUP(A179, AutoFill_names!B:B, AutoFill_names!F:F,"")=0,"",_xlfn.XLOOKUP(A179, AutoFill_names!B:B, AutoFill_names!F:F,""))</f>
        <v/>
      </c>
      <c r="F179" s="92"/>
      <c r="J179" s="115" t="str">
        <f>IF(_xlfn.XLOOKUP(A179, AutoFill_names!B:B, AutoFill_names!K:K,"")=0,"",_xlfn.XLOOKUP(A179, AutoFill_names!B:B, AutoFill_names!K:K,""))</f>
        <v/>
      </c>
      <c r="K179" s="115" t="str">
        <f>IF(_xlfn.XLOOKUP(A179, AutoFill_names!B:B, AutoFill_names!L:L,"")=0,"",_xlfn.XLOOKUP(A179, AutoFill_names!B:B, AutoFill_names!L:L,""))</f>
        <v/>
      </c>
      <c r="L179" s="2"/>
      <c r="M179" s="2"/>
      <c r="N179" s="117" t="str">
        <f>IF(_xlfn.XLOOKUP(L179, AutoFill_classes!A:A, AutoFill_classes!B:B,"")=0,"",_xlfn.XLOOKUP(L179, AutoFill_classes!A:A, AutoFill_classes!B:B,""))</f>
        <v/>
      </c>
      <c r="O179" s="108"/>
      <c r="P179" s="6"/>
      <c r="Q179" s="6"/>
      <c r="R179" s="6"/>
      <c r="S179" s="2"/>
      <c r="U179" s="2"/>
      <c r="X179" s="63"/>
      <c r="Y179" s="19"/>
      <c r="Z179" s="121" t="str">
        <f t="shared" si="135"/>
        <v/>
      </c>
      <c r="AA179" s="20"/>
      <c r="AB179" s="20"/>
      <c r="AC179" s="20"/>
      <c r="AD179" s="20"/>
      <c r="AE179" s="125" t="str">
        <f t="shared" si="136"/>
        <v/>
      </c>
      <c r="AF179" s="14"/>
      <c r="AG179" s="125" t="str">
        <f t="shared" si="137"/>
        <v/>
      </c>
      <c r="AH179" s="20"/>
      <c r="AI179" s="20"/>
      <c r="AJ179" s="125" t="str">
        <f t="shared" si="138"/>
        <v/>
      </c>
      <c r="AK179" s="14"/>
      <c r="AL179" s="125" t="str">
        <f t="shared" si="139"/>
        <v/>
      </c>
      <c r="AM179" s="20"/>
      <c r="AN179" s="20"/>
      <c r="AO179" s="125" t="str">
        <f t="shared" si="140"/>
        <v/>
      </c>
      <c r="AP179" s="125" t="str">
        <f t="shared" si="141"/>
        <v/>
      </c>
      <c r="AQ179" s="125" t="str">
        <f t="shared" si="142"/>
        <v/>
      </c>
      <c r="AR179" s="129" t="str">
        <f t="shared" si="143"/>
        <v/>
      </c>
      <c r="AS179" s="14"/>
      <c r="AT179" s="13"/>
      <c r="AU179" s="13"/>
      <c r="AV179" s="117" t="str">
        <f>IF(_xlfn.XLOOKUP(AT179, AutoFill_classes!$A:$A, AutoFill_classes!$B:$B,"")=0,"",_xlfn.XLOOKUP(AT179, AutoFill_classes!$A:$A, AutoFill_classes!$B:$B,""))</f>
        <v/>
      </c>
      <c r="AW179" s="108"/>
      <c r="AX179" s="11"/>
      <c r="AY179" s="11"/>
      <c r="AZ179" s="11"/>
      <c r="BA179" s="13"/>
      <c r="BB179" s="13"/>
      <c r="BC179" s="63"/>
      <c r="BD179" s="19"/>
      <c r="BE179" s="121" t="str">
        <f t="shared" si="144"/>
        <v/>
      </c>
      <c r="BF179" s="20"/>
      <c r="BG179" s="20"/>
      <c r="BH179" s="20"/>
      <c r="BI179" s="20"/>
      <c r="BJ179" s="125" t="str">
        <f t="shared" si="145"/>
        <v/>
      </c>
      <c r="BK179" s="14"/>
      <c r="BL179" s="125" t="str">
        <f t="shared" si="146"/>
        <v/>
      </c>
      <c r="BM179" s="20"/>
      <c r="BN179" s="20"/>
      <c r="BO179" s="125" t="str">
        <f t="shared" si="147"/>
        <v/>
      </c>
      <c r="BP179" s="14"/>
      <c r="BQ179" s="125" t="str">
        <f t="shared" si="148"/>
        <v/>
      </c>
      <c r="BR179" s="20"/>
      <c r="BS179" s="20"/>
      <c r="BT179" s="125" t="str">
        <f t="shared" si="149"/>
        <v/>
      </c>
      <c r="BU179" s="125" t="str">
        <f t="shared" si="150"/>
        <v/>
      </c>
      <c r="BV179" s="125" t="str">
        <f t="shared" si="151"/>
        <v/>
      </c>
      <c r="BW179" s="129" t="str">
        <f t="shared" si="152"/>
        <v/>
      </c>
      <c r="BX179" s="11"/>
      <c r="BY179" s="15"/>
      <c r="BZ179" s="14"/>
      <c r="CA179" s="117" t="str">
        <f>IF(_xlfn.XLOOKUP(BY179, AutoFill_classes!$A:$A, AutoFill_classes!$B:$B,"")=0,"",_xlfn.XLOOKUP(BY179, AutoFill_classes!$A:$A, AutoFill_classes!$B:$B,""))</f>
        <v/>
      </c>
      <c r="CB179" s="108"/>
      <c r="CC179" s="14"/>
      <c r="CD179" s="14"/>
      <c r="CE179" s="14"/>
      <c r="CF179" s="21"/>
      <c r="CG179" s="22"/>
      <c r="CH179" s="63"/>
      <c r="CI179" s="23"/>
      <c r="CJ179" s="121" t="str">
        <f t="shared" si="153"/>
        <v/>
      </c>
      <c r="CK179" s="20"/>
      <c r="CL179" s="20"/>
      <c r="CM179" s="20"/>
      <c r="CN179" s="20"/>
      <c r="CO179" s="125" t="str">
        <f t="shared" si="154"/>
        <v/>
      </c>
      <c r="CP179" s="14"/>
      <c r="CQ179" s="125" t="str">
        <f t="shared" si="155"/>
        <v/>
      </c>
      <c r="CR179" s="20"/>
      <c r="CS179" s="20"/>
      <c r="CT179" s="125" t="str">
        <f t="shared" si="156"/>
        <v/>
      </c>
      <c r="CU179" s="14"/>
      <c r="CV179" s="125" t="str">
        <f t="shared" si="157"/>
        <v/>
      </c>
      <c r="CW179" s="20"/>
      <c r="CX179" s="20"/>
      <c r="CY179" s="125" t="str">
        <f t="shared" si="158"/>
        <v/>
      </c>
      <c r="CZ179" s="125" t="str">
        <f t="shared" si="159"/>
        <v/>
      </c>
      <c r="DA179" s="125" t="str">
        <f t="shared" si="160"/>
        <v/>
      </c>
      <c r="DB179" s="129" t="str">
        <f t="shared" si="161"/>
        <v/>
      </c>
      <c r="DC179" s="14"/>
      <c r="DD179" s="62"/>
      <c r="DE179" s="105">
        <v>177</v>
      </c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</row>
    <row r="180" spans="1:176" s="1" customFormat="1" ht="13" hidden="1" customHeight="1" outlineLevel="1" x14ac:dyDescent="0.2">
      <c r="A180" s="4"/>
      <c r="B180" s="115" t="str">
        <f>IF(_xlfn.XLOOKUP(A180, AutoFill_names!B:B, AutoFill_names!C:C,"")=0,"",_xlfn.XLOOKUP(A180, AutoFill_names!B:B, AutoFill_names!C:C,""))</f>
        <v/>
      </c>
      <c r="C180" s="115" t="str">
        <f>IF(_xlfn.XLOOKUP(A180, AutoFill_names!B:B, AutoFill_names!D:D,"")=0,"",_xlfn.XLOOKUP(A180, AutoFill_names!B:B, AutoFill_names!D:D,""))</f>
        <v/>
      </c>
      <c r="D180" s="115" t="str">
        <f>IF(_xlfn.XLOOKUP(A180, AutoFill_names!B:B, AutoFill_names!E:E,"")=0,"",_xlfn.XLOOKUP(A180, AutoFill_names!B:B, AutoFill_names!E:E,""))</f>
        <v/>
      </c>
      <c r="E180" s="115" t="str">
        <f>IF(_xlfn.XLOOKUP(A180, AutoFill_names!B:B, AutoFill_names!F:F,"")=0,"",_xlfn.XLOOKUP(A180, AutoFill_names!B:B, AutoFill_names!F:F,""))</f>
        <v/>
      </c>
      <c r="F180" s="92"/>
      <c r="J180" s="115" t="str">
        <f>IF(_xlfn.XLOOKUP(A180, AutoFill_names!B:B, AutoFill_names!K:K,"")=0,"",_xlfn.XLOOKUP(A180, AutoFill_names!B:B, AutoFill_names!K:K,""))</f>
        <v/>
      </c>
      <c r="K180" s="115" t="str">
        <f>IF(_xlfn.XLOOKUP(A180, AutoFill_names!B:B, AutoFill_names!L:L,"")=0,"",_xlfn.XLOOKUP(A180, AutoFill_names!B:B, AutoFill_names!L:L,""))</f>
        <v/>
      </c>
      <c r="L180" s="2"/>
      <c r="M180" s="2"/>
      <c r="N180" s="117" t="str">
        <f>IF(_xlfn.XLOOKUP(L180, AutoFill_classes!A:A, AutoFill_classes!B:B,"")=0,"",_xlfn.XLOOKUP(L180, AutoFill_classes!A:A, AutoFill_classes!B:B,""))</f>
        <v/>
      </c>
      <c r="O180" s="108"/>
      <c r="P180" s="6"/>
      <c r="Q180" s="6"/>
      <c r="R180" s="6"/>
      <c r="S180" s="2"/>
      <c r="U180" s="2"/>
      <c r="X180" s="63"/>
      <c r="Y180" s="19"/>
      <c r="Z180" s="121" t="str">
        <f t="shared" si="135"/>
        <v/>
      </c>
      <c r="AA180" s="20"/>
      <c r="AB180" s="20"/>
      <c r="AC180" s="20"/>
      <c r="AD180" s="20"/>
      <c r="AE180" s="125" t="str">
        <f t="shared" si="136"/>
        <v/>
      </c>
      <c r="AF180" s="14"/>
      <c r="AG180" s="125" t="str">
        <f t="shared" si="137"/>
        <v/>
      </c>
      <c r="AH180" s="20"/>
      <c r="AI180" s="20"/>
      <c r="AJ180" s="125" t="str">
        <f t="shared" si="138"/>
        <v/>
      </c>
      <c r="AK180" s="14"/>
      <c r="AL180" s="125" t="str">
        <f t="shared" si="139"/>
        <v/>
      </c>
      <c r="AM180" s="20"/>
      <c r="AN180" s="20"/>
      <c r="AO180" s="125" t="str">
        <f t="shared" si="140"/>
        <v/>
      </c>
      <c r="AP180" s="125" t="str">
        <f t="shared" si="141"/>
        <v/>
      </c>
      <c r="AQ180" s="125" t="str">
        <f t="shared" si="142"/>
        <v/>
      </c>
      <c r="AR180" s="129" t="str">
        <f t="shared" si="143"/>
        <v/>
      </c>
      <c r="AS180" s="14"/>
      <c r="AT180" s="13"/>
      <c r="AU180" s="13"/>
      <c r="AV180" s="117" t="str">
        <f>IF(_xlfn.XLOOKUP(AT180, AutoFill_classes!$A:$A, AutoFill_classes!$B:$B,"")=0,"",_xlfn.XLOOKUP(AT180, AutoFill_classes!$A:$A, AutoFill_classes!$B:$B,""))</f>
        <v/>
      </c>
      <c r="AW180" s="108"/>
      <c r="AX180" s="11"/>
      <c r="AY180" s="11"/>
      <c r="AZ180" s="11"/>
      <c r="BA180" s="13"/>
      <c r="BB180" s="13"/>
      <c r="BC180" s="63"/>
      <c r="BD180" s="19"/>
      <c r="BE180" s="121" t="str">
        <f t="shared" si="144"/>
        <v/>
      </c>
      <c r="BF180" s="20"/>
      <c r="BG180" s="20"/>
      <c r="BH180" s="20"/>
      <c r="BI180" s="20"/>
      <c r="BJ180" s="125" t="str">
        <f t="shared" si="145"/>
        <v/>
      </c>
      <c r="BK180" s="14"/>
      <c r="BL180" s="125" t="str">
        <f t="shared" si="146"/>
        <v/>
      </c>
      <c r="BM180" s="20"/>
      <c r="BN180" s="20"/>
      <c r="BO180" s="125" t="str">
        <f t="shared" si="147"/>
        <v/>
      </c>
      <c r="BP180" s="14"/>
      <c r="BQ180" s="125" t="str">
        <f t="shared" si="148"/>
        <v/>
      </c>
      <c r="BR180" s="20"/>
      <c r="BS180" s="20"/>
      <c r="BT180" s="125" t="str">
        <f t="shared" si="149"/>
        <v/>
      </c>
      <c r="BU180" s="125" t="str">
        <f t="shared" si="150"/>
        <v/>
      </c>
      <c r="BV180" s="125" t="str">
        <f t="shared" si="151"/>
        <v/>
      </c>
      <c r="BW180" s="129" t="str">
        <f t="shared" si="152"/>
        <v/>
      </c>
      <c r="BX180" s="11"/>
      <c r="BY180" s="15"/>
      <c r="BZ180" s="14"/>
      <c r="CA180" s="117" t="str">
        <f>IF(_xlfn.XLOOKUP(BY180, AutoFill_classes!$A:$A, AutoFill_classes!$B:$B,"")=0,"",_xlfn.XLOOKUP(BY180, AutoFill_classes!$A:$A, AutoFill_classes!$B:$B,""))</f>
        <v/>
      </c>
      <c r="CB180" s="108"/>
      <c r="CC180" s="14"/>
      <c r="CD180" s="14"/>
      <c r="CE180" s="14"/>
      <c r="CF180" s="21"/>
      <c r="CG180" s="22"/>
      <c r="CH180" s="63"/>
      <c r="CI180" s="23"/>
      <c r="CJ180" s="121" t="str">
        <f t="shared" si="153"/>
        <v/>
      </c>
      <c r="CK180" s="20"/>
      <c r="CL180" s="20"/>
      <c r="CM180" s="20"/>
      <c r="CN180" s="20"/>
      <c r="CO180" s="125" t="str">
        <f t="shared" si="154"/>
        <v/>
      </c>
      <c r="CP180" s="14"/>
      <c r="CQ180" s="125" t="str">
        <f t="shared" si="155"/>
        <v/>
      </c>
      <c r="CR180" s="20"/>
      <c r="CS180" s="20"/>
      <c r="CT180" s="125" t="str">
        <f t="shared" si="156"/>
        <v/>
      </c>
      <c r="CU180" s="14"/>
      <c r="CV180" s="125" t="str">
        <f t="shared" si="157"/>
        <v/>
      </c>
      <c r="CW180" s="20"/>
      <c r="CX180" s="20"/>
      <c r="CY180" s="125" t="str">
        <f t="shared" si="158"/>
        <v/>
      </c>
      <c r="CZ180" s="125" t="str">
        <f t="shared" si="159"/>
        <v/>
      </c>
      <c r="DA180" s="125" t="str">
        <f t="shared" si="160"/>
        <v/>
      </c>
      <c r="DB180" s="129" t="str">
        <f t="shared" si="161"/>
        <v/>
      </c>
      <c r="DC180" s="14"/>
      <c r="DD180" s="62"/>
      <c r="DE180" s="105">
        <v>178</v>
      </c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</row>
    <row r="181" spans="1:176" s="1" customFormat="1" ht="13" hidden="1" customHeight="1" outlineLevel="1" x14ac:dyDescent="0.2">
      <c r="A181" s="4"/>
      <c r="B181" s="115" t="str">
        <f>IF(_xlfn.XLOOKUP(A181, AutoFill_names!B:B, AutoFill_names!C:C,"")=0,"",_xlfn.XLOOKUP(A181, AutoFill_names!B:B, AutoFill_names!C:C,""))</f>
        <v/>
      </c>
      <c r="C181" s="115" t="str">
        <f>IF(_xlfn.XLOOKUP(A181, AutoFill_names!B:B, AutoFill_names!D:D,"")=0,"",_xlfn.XLOOKUP(A181, AutoFill_names!B:B, AutoFill_names!D:D,""))</f>
        <v/>
      </c>
      <c r="D181" s="115" t="str">
        <f>IF(_xlfn.XLOOKUP(A181, AutoFill_names!B:B, AutoFill_names!E:E,"")=0,"",_xlfn.XLOOKUP(A181, AutoFill_names!B:B, AutoFill_names!E:E,""))</f>
        <v/>
      </c>
      <c r="E181" s="115" t="str">
        <f>IF(_xlfn.XLOOKUP(A181, AutoFill_names!B:B, AutoFill_names!F:F,"")=0,"",_xlfn.XLOOKUP(A181, AutoFill_names!B:B, AutoFill_names!F:F,""))</f>
        <v/>
      </c>
      <c r="F181" s="92"/>
      <c r="J181" s="115" t="str">
        <f>IF(_xlfn.XLOOKUP(A181, AutoFill_names!B:B, AutoFill_names!K:K,"")=0,"",_xlfn.XLOOKUP(A181, AutoFill_names!B:B, AutoFill_names!K:K,""))</f>
        <v/>
      </c>
      <c r="K181" s="115" t="str">
        <f>IF(_xlfn.XLOOKUP(A181, AutoFill_names!B:B, AutoFill_names!L:L,"")=0,"",_xlfn.XLOOKUP(A181, AutoFill_names!B:B, AutoFill_names!L:L,""))</f>
        <v/>
      </c>
      <c r="L181" s="2"/>
      <c r="M181" s="2"/>
      <c r="N181" s="117" t="str">
        <f>IF(_xlfn.XLOOKUP(L181, AutoFill_classes!A:A, AutoFill_classes!B:B,"")=0,"",_xlfn.XLOOKUP(L181, AutoFill_classes!A:A, AutoFill_classes!B:B,""))</f>
        <v/>
      </c>
      <c r="O181" s="108"/>
      <c r="P181" s="6"/>
      <c r="Q181" s="6"/>
      <c r="R181" s="6"/>
      <c r="S181" s="2"/>
      <c r="U181" s="2"/>
      <c r="X181" s="63"/>
      <c r="Y181" s="19"/>
      <c r="Z181" s="121" t="str">
        <f t="shared" si="135"/>
        <v/>
      </c>
      <c r="AA181" s="20"/>
      <c r="AB181" s="20"/>
      <c r="AC181" s="20"/>
      <c r="AD181" s="20"/>
      <c r="AE181" s="125" t="str">
        <f t="shared" si="136"/>
        <v/>
      </c>
      <c r="AF181" s="14"/>
      <c r="AG181" s="125" t="str">
        <f t="shared" si="137"/>
        <v/>
      </c>
      <c r="AH181" s="20"/>
      <c r="AI181" s="20"/>
      <c r="AJ181" s="125" t="str">
        <f t="shared" si="138"/>
        <v/>
      </c>
      <c r="AK181" s="14"/>
      <c r="AL181" s="125" t="str">
        <f t="shared" si="139"/>
        <v/>
      </c>
      <c r="AM181" s="20"/>
      <c r="AN181" s="20"/>
      <c r="AO181" s="125" t="str">
        <f t="shared" si="140"/>
        <v/>
      </c>
      <c r="AP181" s="125" t="str">
        <f t="shared" si="141"/>
        <v/>
      </c>
      <c r="AQ181" s="125" t="str">
        <f t="shared" si="142"/>
        <v/>
      </c>
      <c r="AR181" s="129" t="str">
        <f t="shared" si="143"/>
        <v/>
      </c>
      <c r="AS181" s="14"/>
      <c r="AT181" s="13"/>
      <c r="AU181" s="13"/>
      <c r="AV181" s="117" t="str">
        <f>IF(_xlfn.XLOOKUP(AT181, AutoFill_classes!$A:$A, AutoFill_classes!$B:$B,"")=0,"",_xlfn.XLOOKUP(AT181, AutoFill_classes!$A:$A, AutoFill_classes!$B:$B,""))</f>
        <v/>
      </c>
      <c r="AW181" s="108"/>
      <c r="AX181" s="11"/>
      <c r="AY181" s="11"/>
      <c r="AZ181" s="11"/>
      <c r="BA181" s="13"/>
      <c r="BB181" s="13"/>
      <c r="BC181" s="63"/>
      <c r="BD181" s="19"/>
      <c r="BE181" s="121" t="str">
        <f t="shared" si="144"/>
        <v/>
      </c>
      <c r="BF181" s="20"/>
      <c r="BG181" s="20"/>
      <c r="BH181" s="20"/>
      <c r="BI181" s="20"/>
      <c r="BJ181" s="125" t="str">
        <f t="shared" si="145"/>
        <v/>
      </c>
      <c r="BK181" s="14"/>
      <c r="BL181" s="125" t="str">
        <f t="shared" si="146"/>
        <v/>
      </c>
      <c r="BM181" s="20"/>
      <c r="BN181" s="20"/>
      <c r="BO181" s="125" t="str">
        <f t="shared" si="147"/>
        <v/>
      </c>
      <c r="BP181" s="14"/>
      <c r="BQ181" s="125" t="str">
        <f t="shared" si="148"/>
        <v/>
      </c>
      <c r="BR181" s="20"/>
      <c r="BS181" s="20"/>
      <c r="BT181" s="125" t="str">
        <f t="shared" si="149"/>
        <v/>
      </c>
      <c r="BU181" s="125" t="str">
        <f t="shared" si="150"/>
        <v/>
      </c>
      <c r="BV181" s="125" t="str">
        <f t="shared" si="151"/>
        <v/>
      </c>
      <c r="BW181" s="129" t="str">
        <f t="shared" si="152"/>
        <v/>
      </c>
      <c r="BX181" s="11"/>
      <c r="BY181" s="15"/>
      <c r="BZ181" s="14"/>
      <c r="CA181" s="117" t="str">
        <f>IF(_xlfn.XLOOKUP(BY181, AutoFill_classes!$A:$A, AutoFill_classes!$B:$B,"")=0,"",_xlfn.XLOOKUP(BY181, AutoFill_classes!$A:$A, AutoFill_classes!$B:$B,""))</f>
        <v/>
      </c>
      <c r="CB181" s="108"/>
      <c r="CC181" s="14"/>
      <c r="CD181" s="14"/>
      <c r="CE181" s="14"/>
      <c r="CF181" s="21"/>
      <c r="CG181" s="22"/>
      <c r="CH181" s="63"/>
      <c r="CI181" s="23"/>
      <c r="CJ181" s="121" t="str">
        <f t="shared" si="153"/>
        <v/>
      </c>
      <c r="CK181" s="20"/>
      <c r="CL181" s="20"/>
      <c r="CM181" s="20"/>
      <c r="CN181" s="20"/>
      <c r="CO181" s="125" t="str">
        <f t="shared" si="154"/>
        <v/>
      </c>
      <c r="CP181" s="14"/>
      <c r="CQ181" s="125" t="str">
        <f t="shared" si="155"/>
        <v/>
      </c>
      <c r="CR181" s="20"/>
      <c r="CS181" s="20"/>
      <c r="CT181" s="125" t="str">
        <f t="shared" si="156"/>
        <v/>
      </c>
      <c r="CU181" s="14"/>
      <c r="CV181" s="125" t="str">
        <f t="shared" si="157"/>
        <v/>
      </c>
      <c r="CW181" s="20"/>
      <c r="CX181" s="20"/>
      <c r="CY181" s="125" t="str">
        <f t="shared" si="158"/>
        <v/>
      </c>
      <c r="CZ181" s="125" t="str">
        <f t="shared" si="159"/>
        <v/>
      </c>
      <c r="DA181" s="125" t="str">
        <f t="shared" si="160"/>
        <v/>
      </c>
      <c r="DB181" s="129" t="str">
        <f t="shared" si="161"/>
        <v/>
      </c>
      <c r="DC181" s="14"/>
      <c r="DD181" s="62"/>
      <c r="DE181" s="105">
        <v>179</v>
      </c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</row>
    <row r="182" spans="1:176" s="116" customFormat="1" ht="34" customHeight="1" collapsed="1" x14ac:dyDescent="0.2">
      <c r="A182" s="66" t="s">
        <v>68</v>
      </c>
      <c r="B182" s="112" t="str">
        <f>"Total Credits: " &amp; IFERROR(IF(DD182=0,"",DD182),"")</f>
        <v xml:space="preserve">Total Credits: </v>
      </c>
      <c r="F182" s="138"/>
      <c r="P182" s="139"/>
      <c r="Q182" s="139"/>
      <c r="R182" s="139"/>
      <c r="V182" s="136"/>
      <c r="W182" s="136"/>
      <c r="X182" s="140" t="str">
        <f>IF(SUM(X183:X211)=0, "", SUM(X183:X211))</f>
        <v/>
      </c>
      <c r="Y182" s="123"/>
      <c r="Z182" s="123"/>
      <c r="AA182" s="141"/>
      <c r="AB182" s="141"/>
      <c r="AC182" s="141"/>
      <c r="AD182" s="141"/>
      <c r="AE182" s="124"/>
      <c r="AF182" s="124"/>
      <c r="AG182" s="124"/>
      <c r="AH182" s="141"/>
      <c r="AI182" s="141"/>
      <c r="AJ182" s="124"/>
      <c r="AK182" s="124"/>
      <c r="AL182" s="124"/>
      <c r="AM182" s="141"/>
      <c r="AN182" s="141"/>
      <c r="AO182" s="127"/>
      <c r="AP182" s="127"/>
      <c r="AQ182" s="127"/>
      <c r="AR182" s="127"/>
      <c r="AS182" s="127"/>
      <c r="AT182" s="134"/>
      <c r="AU182" s="134"/>
      <c r="AX182" s="134"/>
      <c r="AY182" s="134"/>
      <c r="AZ182" s="134"/>
      <c r="BA182" s="144"/>
      <c r="BB182" s="144"/>
      <c r="BC182" s="140" t="str">
        <f>IF(SUM(BC183:BC211)=0, "", SUM(BC183:BC211))</f>
        <v/>
      </c>
      <c r="BD182" s="123"/>
      <c r="BE182" s="123"/>
      <c r="BF182" s="146"/>
      <c r="BG182" s="146"/>
      <c r="BH182" s="146"/>
      <c r="BI182" s="146"/>
      <c r="BJ182" s="134"/>
      <c r="BK182" s="134"/>
      <c r="BL182" s="134"/>
      <c r="BM182" s="146"/>
      <c r="BN182" s="146"/>
      <c r="BO182" s="134"/>
      <c r="BP182" s="134"/>
      <c r="BQ182" s="134"/>
      <c r="BR182" s="146"/>
      <c r="BS182" s="146"/>
      <c r="BT182" s="134"/>
      <c r="BU182" s="134"/>
      <c r="BV182" s="134"/>
      <c r="BW182" s="127"/>
      <c r="BX182" s="134"/>
      <c r="BY182" s="134"/>
      <c r="BZ182" s="134"/>
      <c r="CC182" s="134"/>
      <c r="CD182" s="134"/>
      <c r="CE182" s="134"/>
      <c r="CF182" s="136"/>
      <c r="CG182" s="120"/>
      <c r="CH182" s="140" t="str">
        <f>IF(SUM(CH183:CH211)=0, "", SUM(CH183:CH211))</f>
        <v/>
      </c>
      <c r="CI182" s="123"/>
      <c r="CJ182" s="123"/>
      <c r="CK182" s="146"/>
      <c r="CL182" s="146"/>
      <c r="CM182" s="146"/>
      <c r="CN182" s="146"/>
      <c r="CP182" s="134"/>
      <c r="CR182" s="146"/>
      <c r="CS182" s="146"/>
      <c r="CU182" s="134"/>
      <c r="CW182" s="146"/>
      <c r="CX182" s="146"/>
      <c r="DB182" s="127"/>
      <c r="DC182" s="134"/>
      <c r="DD182" s="140" t="str">
        <f>IF(SUM(L182:DC182)=0, "", SUM(L182:DC182))</f>
        <v/>
      </c>
      <c r="DE182" s="105">
        <v>180</v>
      </c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</row>
    <row r="183" spans="1:176" s="1" customFormat="1" ht="13" hidden="1" customHeight="1" outlineLevel="1" x14ac:dyDescent="0.2">
      <c r="A183" s="4"/>
      <c r="B183" s="115" t="str">
        <f>IF(_xlfn.XLOOKUP(A183, AutoFill_names!B:B, AutoFill_names!C:C,"")=0,"",_xlfn.XLOOKUP(A183, AutoFill_names!B:B, AutoFill_names!C:C,""))</f>
        <v/>
      </c>
      <c r="C183" s="115" t="str">
        <f>IF(_xlfn.XLOOKUP(A183, AutoFill_names!B:B, AutoFill_names!D:D,"")=0,"",_xlfn.XLOOKUP(A183, AutoFill_names!B:B, AutoFill_names!D:D,""))</f>
        <v/>
      </c>
      <c r="D183" s="115" t="str">
        <f>IF(_xlfn.XLOOKUP(A183, AutoFill_names!B:B, AutoFill_names!E:E,"")=0,"",_xlfn.XLOOKUP(A183, AutoFill_names!B:B, AutoFill_names!E:E,""))</f>
        <v/>
      </c>
      <c r="E183" s="115" t="str">
        <f>IF(_xlfn.XLOOKUP(A183, AutoFill_names!B:B, AutoFill_names!F:F,"")=0,"",_xlfn.XLOOKUP(A183, AutoFill_names!B:B, AutoFill_names!F:F,""))</f>
        <v/>
      </c>
      <c r="F183" s="92"/>
      <c r="J183" s="115" t="str">
        <f>IF(_xlfn.XLOOKUP(A183, AutoFill_names!B:B, AutoFill_names!K:K,"")=0,"",_xlfn.XLOOKUP(A183, AutoFill_names!B:B, AutoFill_names!K:K,""))</f>
        <v/>
      </c>
      <c r="K183" s="115" t="str">
        <f>IF(_xlfn.XLOOKUP(A183, AutoFill_names!B:B, AutoFill_names!L:L,"")=0,"",_xlfn.XLOOKUP(A183, AutoFill_names!B:B, AutoFill_names!L:L,""))</f>
        <v/>
      </c>
      <c r="L183" s="31"/>
      <c r="M183" s="31"/>
      <c r="N183" s="117" t="str">
        <f>IF(_xlfn.XLOOKUP(L183, AutoFill_classes!A:A, AutoFill_classes!B:B,"")=0,"",_xlfn.XLOOKUP(L183, AutoFill_classes!A:A, AutoFill_classes!B:B,""))</f>
        <v/>
      </c>
      <c r="O183" s="108"/>
      <c r="P183" s="6"/>
      <c r="Q183" s="6"/>
      <c r="R183" s="6"/>
      <c r="S183" s="2"/>
      <c r="T183" s="3"/>
      <c r="U183" s="2"/>
      <c r="X183" s="63"/>
      <c r="Y183" s="19"/>
      <c r="Z183" s="121" t="str">
        <f t="shared" ref="Z183:Z211" si="162">IF(X183*Y183=0,"",X183*Y183)</f>
        <v/>
      </c>
      <c r="AA183" s="20"/>
      <c r="AB183" s="20"/>
      <c r="AC183" s="20"/>
      <c r="AD183" s="20"/>
      <c r="AE183" s="125" t="str">
        <f t="shared" ref="AE183:AE211" si="163">IF(ROUNDUP((AD183-AC183)/7,0)=0,"",ROUNDUP((AD183-AC183)/7,0))</f>
        <v/>
      </c>
      <c r="AF183" s="14"/>
      <c r="AG183" s="125" t="str">
        <f t="shared" ref="AG183:AG211" si="164">IFERROR(IF(AE183*AF183=0,"",AE183*AF183), "")</f>
        <v/>
      </c>
      <c r="AH183" s="20"/>
      <c r="AI183" s="20"/>
      <c r="AJ183" s="125" t="str">
        <f t="shared" ref="AJ183:AJ211" si="165">IF(ROUNDUP((AI183-AH183)/7,0)=0,"",ROUNDUP((AI183-AH183)/7,0))</f>
        <v/>
      </c>
      <c r="AK183" s="14"/>
      <c r="AL183" s="125" t="str">
        <f t="shared" ref="AL183:AL211" si="166">IFERROR(IF(AJ183*AK183=0,"",AJ183*AK183), "")</f>
        <v/>
      </c>
      <c r="AM183" s="20"/>
      <c r="AN183" s="20"/>
      <c r="AO183" s="125" t="str">
        <f t="shared" ref="AO183:AO211" si="167">IF(ROUNDUP((AN183-AM183)/7,0)=0,"",ROUNDUP((AN183-AM183)/7,0))</f>
        <v/>
      </c>
      <c r="AP183" s="125" t="str">
        <f t="shared" ref="AP183:AP211" si="168">IFERROR(IF((AS183-(AF183+AK183))/AO183=0,"",ROUNDUP((AS183-(AF183+AK183))/AO183,0)), "")</f>
        <v/>
      </c>
      <c r="AQ183" s="125" t="str">
        <f t="shared" ref="AQ183:AQ211" si="169">IFERROR(IF((AS183-(AG183+AL183))=0, "", (AS183-(AG183+AL183))), "")</f>
        <v/>
      </c>
      <c r="AR183" s="129" t="str">
        <f t="shared" ref="AR183:AR211" si="170">IFERROR(IF((AE183+AJ183+AO183)=0, "", (AE183+AJ183+AO183)), "")</f>
        <v/>
      </c>
      <c r="AS183" s="14"/>
      <c r="AT183" s="13"/>
      <c r="AU183" s="13"/>
      <c r="AV183" s="117" t="str">
        <f>IF(_xlfn.XLOOKUP(AT183, AutoFill_classes!$A:$A, AutoFill_classes!$B:$B,"")=0,"",_xlfn.XLOOKUP(AT183, AutoFill_classes!$A:$A, AutoFill_classes!$B:$B,""))</f>
        <v/>
      </c>
      <c r="AW183" s="108"/>
      <c r="AX183" s="11"/>
      <c r="AY183" s="13"/>
      <c r="AZ183" s="11"/>
      <c r="BA183" s="13"/>
      <c r="BB183" s="13"/>
      <c r="BC183" s="63"/>
      <c r="BD183" s="18"/>
      <c r="BE183" s="121" t="str">
        <f t="shared" ref="BE183:BE211" si="171">IF(BC183*BD183=0,"",BC183*BD183)</f>
        <v/>
      </c>
      <c r="BF183" s="20"/>
      <c r="BG183" s="20"/>
      <c r="BH183" s="20"/>
      <c r="BI183" s="20"/>
      <c r="BJ183" s="125" t="str">
        <f t="shared" ref="BJ183:BJ211" si="172">IF(ROUNDUP((BI183-BH183)/7,0)=0,"",ROUNDUP((BI183-BH183)/7,0))</f>
        <v/>
      </c>
      <c r="BK183" s="14"/>
      <c r="BL183" s="125" t="str">
        <f t="shared" ref="BL183:BL211" si="173">IFERROR(IF(BJ183*BK183=0,"",BJ183*BK183), "")</f>
        <v/>
      </c>
      <c r="BM183" s="20"/>
      <c r="BN183" s="20"/>
      <c r="BO183" s="125" t="str">
        <f t="shared" ref="BO183:BO211" si="174">IF(ROUNDUP((BN183-BM183)/7,0)=0,"",ROUNDUP((BN183-BM183)/7,0))</f>
        <v/>
      </c>
      <c r="BP183" s="14"/>
      <c r="BQ183" s="125" t="str">
        <f t="shared" ref="BQ183:BQ211" si="175">IFERROR(IF(BO183*BP183=0,"",BO183*BP183), "")</f>
        <v/>
      </c>
      <c r="BR183" s="20"/>
      <c r="BS183" s="20"/>
      <c r="BT183" s="125" t="str">
        <f t="shared" ref="BT183:BT211" si="176">IF(ROUNDUP((BS183-BR183)/7,0)=0,"",ROUNDUP((BS183-BR183)/7,0))</f>
        <v/>
      </c>
      <c r="BU183" s="125" t="str">
        <f t="shared" ref="BU183:BU211" si="177">IFERROR(IF((BX183-(BK183+BP183))/BT183=0,"",ROUNDUP((BX183-(BK183+BP183))/BT183,0)), "")</f>
        <v/>
      </c>
      <c r="BV183" s="125" t="str">
        <f t="shared" ref="BV183:BV211" si="178">IFERROR(IF((BX183-(BL183+BQ183))=0, "", (BX183-(BL183+BQ183))), "")</f>
        <v/>
      </c>
      <c r="BW183" s="129" t="str">
        <f t="shared" ref="BW183:BW211" si="179">IFERROR(IF((BJ183+BO183+BT183)=0, "", (BJ183+BO183+BT183)), "")</f>
        <v/>
      </c>
      <c r="BX183" s="13"/>
      <c r="BY183" s="15"/>
      <c r="BZ183" s="14"/>
      <c r="CA183" s="117" t="str">
        <f>IF(_xlfn.XLOOKUP(BY183, AutoFill_classes!$A:$A, AutoFill_classes!$B:$B,"")=0,"",_xlfn.XLOOKUP(BY183, AutoFill_classes!$A:$A, AutoFill_classes!$B:$B,""))</f>
        <v/>
      </c>
      <c r="CB183" s="108"/>
      <c r="CC183" s="14"/>
      <c r="CD183" s="14"/>
      <c r="CE183" s="14"/>
      <c r="CF183" s="21"/>
      <c r="CG183" s="22"/>
      <c r="CH183" s="63"/>
      <c r="CI183" s="23"/>
      <c r="CJ183" s="121" t="str">
        <f t="shared" ref="CJ183:CJ211" si="180">IF(CH183*CI183=0,"",CH183*CI183)</f>
        <v/>
      </c>
      <c r="CK183" s="20"/>
      <c r="CL183" s="20"/>
      <c r="CM183" s="20"/>
      <c r="CN183" s="20"/>
      <c r="CO183" s="125" t="str">
        <f t="shared" ref="CO183:CO211" si="181">IF(ROUNDUP((CN183-CM183)/7,0)=0,"",ROUNDUP((CN183-CM183)/7,0))</f>
        <v/>
      </c>
      <c r="CP183" s="14"/>
      <c r="CQ183" s="125" t="str">
        <f t="shared" ref="CQ183:CQ211" si="182">IFERROR(IF(CO183*CP183=0,"",CO183*CP183), "")</f>
        <v/>
      </c>
      <c r="CR183" s="20"/>
      <c r="CS183" s="20"/>
      <c r="CT183" s="125" t="str">
        <f t="shared" ref="CT183:CT211" si="183">IF(ROUNDUP((CS183-CR183)/7,0)=0,"",ROUNDUP((CS183-CR183)/7,0))</f>
        <v/>
      </c>
      <c r="CU183" s="14"/>
      <c r="CV183" s="125" t="str">
        <f t="shared" ref="CV183:CV211" si="184">IFERROR(IF(CT183*CU183=0,"",CT183*CU183), "")</f>
        <v/>
      </c>
      <c r="CW183" s="20"/>
      <c r="CX183" s="20"/>
      <c r="CY183" s="125" t="str">
        <f t="shared" ref="CY183:CY211" si="185">IF(ROUNDUP((CX183-CW183)/7,0)=0,"",ROUNDUP((CX183-CW183)/7,0))</f>
        <v/>
      </c>
      <c r="CZ183" s="125" t="str">
        <f t="shared" ref="CZ183:CZ211" si="186">IFERROR(IF((DC183-(CP183+CU183))/CY183=0,"",ROUNDUP((DC183-(CP183+CU183))/CY183,0)), "")</f>
        <v/>
      </c>
      <c r="DA183" s="125" t="str">
        <f t="shared" ref="DA183:DA211" si="187">IFERROR(IF((DC183-(CQ183+CV183))=0, "", (DC183-(CQ183+CV183))), "")</f>
        <v/>
      </c>
      <c r="DB183" s="129" t="str">
        <f t="shared" ref="DB183:DB211" si="188">IFERROR(IF((CO183+CT183+CY183)=0, "", (CO183+CT183+CY183)), "")</f>
        <v/>
      </c>
      <c r="DC183" s="14"/>
      <c r="DD183" s="62"/>
      <c r="DE183" s="105">
        <v>181</v>
      </c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</row>
    <row r="184" spans="1:176" s="1" customFormat="1" ht="13" hidden="1" customHeight="1" outlineLevel="1" x14ac:dyDescent="0.2">
      <c r="A184" s="4"/>
      <c r="B184" s="115" t="str">
        <f>IF(_xlfn.XLOOKUP(A184, AutoFill_names!B:B, AutoFill_names!C:C,"")=0,"",_xlfn.XLOOKUP(A184, AutoFill_names!B:B, AutoFill_names!C:C,""))</f>
        <v/>
      </c>
      <c r="C184" s="115" t="str">
        <f>IF(_xlfn.XLOOKUP(A184, AutoFill_names!B:B, AutoFill_names!D:D,"")=0,"",_xlfn.XLOOKUP(A184, AutoFill_names!B:B, AutoFill_names!D:D,""))</f>
        <v/>
      </c>
      <c r="D184" s="115" t="str">
        <f>IF(_xlfn.XLOOKUP(A184, AutoFill_names!B:B, AutoFill_names!E:E,"")=0,"",_xlfn.XLOOKUP(A184, AutoFill_names!B:B, AutoFill_names!E:E,""))</f>
        <v/>
      </c>
      <c r="E184" s="115" t="str">
        <f>IF(_xlfn.XLOOKUP(A184, AutoFill_names!B:B, AutoFill_names!F:F,"")=0,"",_xlfn.XLOOKUP(A184, AutoFill_names!B:B, AutoFill_names!F:F,""))</f>
        <v/>
      </c>
      <c r="F184" s="92"/>
      <c r="J184" s="115" t="str">
        <f>IF(_xlfn.XLOOKUP(A184, AutoFill_names!B:B, AutoFill_names!K:K,"")=0,"",_xlfn.XLOOKUP(A184, AutoFill_names!B:B, AutoFill_names!K:K,""))</f>
        <v/>
      </c>
      <c r="K184" s="115" t="str">
        <f>IF(_xlfn.XLOOKUP(A184, AutoFill_names!B:B, AutoFill_names!L:L,"")=0,"",_xlfn.XLOOKUP(A184, AutoFill_names!B:B, AutoFill_names!L:L,""))</f>
        <v/>
      </c>
      <c r="L184" s="31"/>
      <c r="M184" s="31"/>
      <c r="N184" s="117" t="str">
        <f>IF(_xlfn.XLOOKUP(L184, AutoFill_classes!A:A, AutoFill_classes!B:B,"")=0,"",_xlfn.XLOOKUP(L184, AutoFill_classes!A:A, AutoFill_classes!B:B,""))</f>
        <v/>
      </c>
      <c r="O184" s="108"/>
      <c r="P184" s="6"/>
      <c r="Q184" s="6"/>
      <c r="R184" s="6"/>
      <c r="S184" s="2"/>
      <c r="T184" s="3"/>
      <c r="U184" s="2"/>
      <c r="X184" s="63"/>
      <c r="Y184" s="19"/>
      <c r="Z184" s="121" t="str">
        <f t="shared" si="162"/>
        <v/>
      </c>
      <c r="AA184" s="20"/>
      <c r="AB184" s="20"/>
      <c r="AC184" s="20"/>
      <c r="AD184" s="20"/>
      <c r="AE184" s="125" t="str">
        <f t="shared" si="163"/>
        <v/>
      </c>
      <c r="AF184" s="14"/>
      <c r="AG184" s="125" t="str">
        <f t="shared" si="164"/>
        <v/>
      </c>
      <c r="AH184" s="20"/>
      <c r="AI184" s="20"/>
      <c r="AJ184" s="125" t="str">
        <f t="shared" si="165"/>
        <v/>
      </c>
      <c r="AK184" s="14"/>
      <c r="AL184" s="125" t="str">
        <f t="shared" si="166"/>
        <v/>
      </c>
      <c r="AM184" s="20"/>
      <c r="AN184" s="20"/>
      <c r="AO184" s="125" t="str">
        <f t="shared" si="167"/>
        <v/>
      </c>
      <c r="AP184" s="125" t="str">
        <f t="shared" si="168"/>
        <v/>
      </c>
      <c r="AQ184" s="125" t="str">
        <f t="shared" si="169"/>
        <v/>
      </c>
      <c r="AR184" s="129" t="str">
        <f t="shared" si="170"/>
        <v/>
      </c>
      <c r="AS184" s="14"/>
      <c r="AT184" s="13"/>
      <c r="AU184" s="13"/>
      <c r="AV184" s="117" t="str">
        <f>IF(_xlfn.XLOOKUP(AT184, AutoFill_classes!$A:$A, AutoFill_classes!$B:$B,"")=0,"",_xlfn.XLOOKUP(AT184, AutoFill_classes!$A:$A, AutoFill_classes!$B:$B,""))</f>
        <v/>
      </c>
      <c r="AW184" s="108"/>
      <c r="AX184" s="11"/>
      <c r="AY184" s="13"/>
      <c r="AZ184" s="11"/>
      <c r="BA184" s="13"/>
      <c r="BB184" s="13"/>
      <c r="BC184" s="63"/>
      <c r="BD184" s="18"/>
      <c r="BE184" s="121" t="str">
        <f t="shared" si="171"/>
        <v/>
      </c>
      <c r="BF184" s="20"/>
      <c r="BG184" s="20"/>
      <c r="BH184" s="20"/>
      <c r="BI184" s="20"/>
      <c r="BJ184" s="125" t="str">
        <f t="shared" si="172"/>
        <v/>
      </c>
      <c r="BK184" s="14"/>
      <c r="BL184" s="125" t="str">
        <f t="shared" si="173"/>
        <v/>
      </c>
      <c r="BM184" s="20"/>
      <c r="BN184" s="20"/>
      <c r="BO184" s="125" t="str">
        <f t="shared" si="174"/>
        <v/>
      </c>
      <c r="BP184" s="14"/>
      <c r="BQ184" s="125" t="str">
        <f t="shared" si="175"/>
        <v/>
      </c>
      <c r="BR184" s="20"/>
      <c r="BS184" s="20"/>
      <c r="BT184" s="125" t="str">
        <f t="shared" si="176"/>
        <v/>
      </c>
      <c r="BU184" s="125" t="str">
        <f t="shared" si="177"/>
        <v/>
      </c>
      <c r="BV184" s="125" t="str">
        <f t="shared" si="178"/>
        <v/>
      </c>
      <c r="BW184" s="129" t="str">
        <f t="shared" si="179"/>
        <v/>
      </c>
      <c r="BX184" s="13"/>
      <c r="BY184" s="15"/>
      <c r="BZ184" s="14"/>
      <c r="CA184" s="117" t="str">
        <f>IF(_xlfn.XLOOKUP(BY184, AutoFill_classes!$A:$A, AutoFill_classes!$B:$B,"")=0,"",_xlfn.XLOOKUP(BY184, AutoFill_classes!$A:$A, AutoFill_classes!$B:$B,""))</f>
        <v/>
      </c>
      <c r="CB184" s="108"/>
      <c r="CC184" s="14"/>
      <c r="CD184" s="14"/>
      <c r="CE184" s="14"/>
      <c r="CF184" s="21"/>
      <c r="CG184" s="22"/>
      <c r="CH184" s="63"/>
      <c r="CI184" s="23"/>
      <c r="CJ184" s="121" t="str">
        <f t="shared" si="180"/>
        <v/>
      </c>
      <c r="CK184" s="20"/>
      <c r="CL184" s="20"/>
      <c r="CM184" s="20"/>
      <c r="CN184" s="20"/>
      <c r="CO184" s="125" t="str">
        <f t="shared" si="181"/>
        <v/>
      </c>
      <c r="CP184" s="14"/>
      <c r="CQ184" s="125" t="str">
        <f t="shared" si="182"/>
        <v/>
      </c>
      <c r="CR184" s="20"/>
      <c r="CS184" s="20"/>
      <c r="CT184" s="125" t="str">
        <f t="shared" si="183"/>
        <v/>
      </c>
      <c r="CU184" s="14"/>
      <c r="CV184" s="125" t="str">
        <f t="shared" si="184"/>
        <v/>
      </c>
      <c r="CW184" s="20"/>
      <c r="CX184" s="20"/>
      <c r="CY184" s="125" t="str">
        <f t="shared" si="185"/>
        <v/>
      </c>
      <c r="CZ184" s="125" t="str">
        <f t="shared" si="186"/>
        <v/>
      </c>
      <c r="DA184" s="125" t="str">
        <f t="shared" si="187"/>
        <v/>
      </c>
      <c r="DB184" s="129" t="str">
        <f t="shared" si="188"/>
        <v/>
      </c>
      <c r="DC184" s="14"/>
      <c r="DD184" s="62"/>
      <c r="DE184" s="105">
        <v>182</v>
      </c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</row>
    <row r="185" spans="1:176" s="1" customFormat="1" ht="13" hidden="1" customHeight="1" outlineLevel="1" x14ac:dyDescent="0.2">
      <c r="A185" s="4"/>
      <c r="B185" s="115" t="str">
        <f>IF(_xlfn.XLOOKUP(A185, AutoFill_names!B:B, AutoFill_names!C:C,"")=0,"",_xlfn.XLOOKUP(A185, AutoFill_names!B:B, AutoFill_names!C:C,""))</f>
        <v/>
      </c>
      <c r="C185" s="115" t="str">
        <f>IF(_xlfn.XLOOKUP(A185, AutoFill_names!B:B, AutoFill_names!D:D,"")=0,"",_xlfn.XLOOKUP(A185, AutoFill_names!B:B, AutoFill_names!D:D,""))</f>
        <v/>
      </c>
      <c r="D185" s="115" t="str">
        <f>IF(_xlfn.XLOOKUP(A185, AutoFill_names!B:B, AutoFill_names!E:E,"")=0,"",_xlfn.XLOOKUP(A185, AutoFill_names!B:B, AutoFill_names!E:E,""))</f>
        <v/>
      </c>
      <c r="E185" s="115" t="str">
        <f>IF(_xlfn.XLOOKUP(A185, AutoFill_names!B:B, AutoFill_names!F:F,"")=0,"",_xlfn.XLOOKUP(A185, AutoFill_names!B:B, AutoFill_names!F:F,""))</f>
        <v/>
      </c>
      <c r="F185" s="92"/>
      <c r="J185" s="115" t="str">
        <f>IF(_xlfn.XLOOKUP(A185, AutoFill_names!B:B, AutoFill_names!K:K,"")=0,"",_xlfn.XLOOKUP(A185, AutoFill_names!B:B, AutoFill_names!K:K,""))</f>
        <v/>
      </c>
      <c r="K185" s="115" t="str">
        <f>IF(_xlfn.XLOOKUP(A185, AutoFill_names!B:B, AutoFill_names!L:L,"")=0,"",_xlfn.XLOOKUP(A185, AutoFill_names!B:B, AutoFill_names!L:L,""))</f>
        <v/>
      </c>
      <c r="L185" s="31"/>
      <c r="M185" s="31"/>
      <c r="N185" s="117" t="str">
        <f>IF(_xlfn.XLOOKUP(L185, AutoFill_classes!A:A, AutoFill_classes!B:B,"")=0,"",_xlfn.XLOOKUP(L185, AutoFill_classes!A:A, AutoFill_classes!B:B,""))</f>
        <v/>
      </c>
      <c r="O185" s="108"/>
      <c r="P185" s="6"/>
      <c r="Q185" s="6"/>
      <c r="R185" s="6"/>
      <c r="S185" s="2"/>
      <c r="T185" s="3"/>
      <c r="U185" s="2"/>
      <c r="X185" s="63"/>
      <c r="Y185" s="19"/>
      <c r="Z185" s="121" t="str">
        <f t="shared" si="162"/>
        <v/>
      </c>
      <c r="AA185" s="20"/>
      <c r="AB185" s="20"/>
      <c r="AC185" s="20"/>
      <c r="AD185" s="20"/>
      <c r="AE185" s="125" t="str">
        <f t="shared" si="163"/>
        <v/>
      </c>
      <c r="AF185" s="14"/>
      <c r="AG185" s="125" t="str">
        <f t="shared" si="164"/>
        <v/>
      </c>
      <c r="AH185" s="20"/>
      <c r="AI185" s="20"/>
      <c r="AJ185" s="125" t="str">
        <f t="shared" si="165"/>
        <v/>
      </c>
      <c r="AK185" s="14"/>
      <c r="AL185" s="125" t="str">
        <f t="shared" si="166"/>
        <v/>
      </c>
      <c r="AM185" s="20"/>
      <c r="AN185" s="20"/>
      <c r="AO185" s="125" t="str">
        <f t="shared" si="167"/>
        <v/>
      </c>
      <c r="AP185" s="125" t="str">
        <f t="shared" si="168"/>
        <v/>
      </c>
      <c r="AQ185" s="125" t="str">
        <f t="shared" si="169"/>
        <v/>
      </c>
      <c r="AR185" s="129" t="str">
        <f t="shared" si="170"/>
        <v/>
      </c>
      <c r="AS185" s="14"/>
      <c r="AT185" s="13"/>
      <c r="AU185" s="13"/>
      <c r="AV185" s="117" t="str">
        <f>IF(_xlfn.XLOOKUP(AT185, AutoFill_classes!$A:$A, AutoFill_classes!$B:$B,"")=0,"",_xlfn.XLOOKUP(AT185, AutoFill_classes!$A:$A, AutoFill_classes!$B:$B,""))</f>
        <v/>
      </c>
      <c r="AW185" s="108"/>
      <c r="AX185" s="11"/>
      <c r="AY185" s="13"/>
      <c r="AZ185" s="11"/>
      <c r="BA185" s="13"/>
      <c r="BB185" s="13"/>
      <c r="BC185" s="63"/>
      <c r="BD185" s="18"/>
      <c r="BE185" s="121" t="str">
        <f t="shared" si="171"/>
        <v/>
      </c>
      <c r="BF185" s="20"/>
      <c r="BG185" s="20"/>
      <c r="BH185" s="20"/>
      <c r="BI185" s="20"/>
      <c r="BJ185" s="125" t="str">
        <f t="shared" si="172"/>
        <v/>
      </c>
      <c r="BK185" s="14"/>
      <c r="BL185" s="125" t="str">
        <f t="shared" si="173"/>
        <v/>
      </c>
      <c r="BM185" s="20"/>
      <c r="BN185" s="20"/>
      <c r="BO185" s="125" t="str">
        <f t="shared" si="174"/>
        <v/>
      </c>
      <c r="BP185" s="14"/>
      <c r="BQ185" s="125" t="str">
        <f t="shared" si="175"/>
        <v/>
      </c>
      <c r="BR185" s="20"/>
      <c r="BS185" s="20"/>
      <c r="BT185" s="125" t="str">
        <f t="shared" si="176"/>
        <v/>
      </c>
      <c r="BU185" s="125" t="str">
        <f t="shared" si="177"/>
        <v/>
      </c>
      <c r="BV185" s="125" t="str">
        <f t="shared" si="178"/>
        <v/>
      </c>
      <c r="BW185" s="129" t="str">
        <f t="shared" si="179"/>
        <v/>
      </c>
      <c r="BX185" s="13"/>
      <c r="BY185" s="15"/>
      <c r="BZ185" s="14"/>
      <c r="CA185" s="117" t="str">
        <f>IF(_xlfn.XLOOKUP(BY185, AutoFill_classes!$A:$A, AutoFill_classes!$B:$B,"")=0,"",_xlfn.XLOOKUP(BY185, AutoFill_classes!$A:$A, AutoFill_classes!$B:$B,""))</f>
        <v/>
      </c>
      <c r="CB185" s="108"/>
      <c r="CC185" s="14"/>
      <c r="CD185" s="14"/>
      <c r="CE185" s="14"/>
      <c r="CF185" s="21"/>
      <c r="CG185" s="22"/>
      <c r="CH185" s="63"/>
      <c r="CI185" s="23"/>
      <c r="CJ185" s="121" t="str">
        <f t="shared" si="180"/>
        <v/>
      </c>
      <c r="CK185" s="20"/>
      <c r="CL185" s="20"/>
      <c r="CM185" s="20"/>
      <c r="CN185" s="20"/>
      <c r="CO185" s="125" t="str">
        <f t="shared" si="181"/>
        <v/>
      </c>
      <c r="CP185" s="14"/>
      <c r="CQ185" s="125" t="str">
        <f t="shared" si="182"/>
        <v/>
      </c>
      <c r="CR185" s="20"/>
      <c r="CS185" s="20"/>
      <c r="CT185" s="125" t="str">
        <f t="shared" si="183"/>
        <v/>
      </c>
      <c r="CU185" s="14"/>
      <c r="CV185" s="125" t="str">
        <f t="shared" si="184"/>
        <v/>
      </c>
      <c r="CW185" s="20"/>
      <c r="CX185" s="20"/>
      <c r="CY185" s="125" t="str">
        <f t="shared" si="185"/>
        <v/>
      </c>
      <c r="CZ185" s="125" t="str">
        <f t="shared" si="186"/>
        <v/>
      </c>
      <c r="DA185" s="125" t="str">
        <f t="shared" si="187"/>
        <v/>
      </c>
      <c r="DB185" s="129" t="str">
        <f t="shared" si="188"/>
        <v/>
      </c>
      <c r="DC185" s="14"/>
      <c r="DD185" s="62"/>
      <c r="DE185" s="105">
        <v>183</v>
      </c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</row>
    <row r="186" spans="1:176" s="1" customFormat="1" ht="13" hidden="1" customHeight="1" outlineLevel="1" x14ac:dyDescent="0.2">
      <c r="A186" s="4"/>
      <c r="B186" s="115" t="str">
        <f>IF(_xlfn.XLOOKUP(A186, AutoFill_names!B:B, AutoFill_names!C:C,"")=0,"",_xlfn.XLOOKUP(A186, AutoFill_names!B:B, AutoFill_names!C:C,""))</f>
        <v/>
      </c>
      <c r="C186" s="115" t="str">
        <f>IF(_xlfn.XLOOKUP(A186, AutoFill_names!B:B, AutoFill_names!D:D,"")=0,"",_xlfn.XLOOKUP(A186, AutoFill_names!B:B, AutoFill_names!D:D,""))</f>
        <v/>
      </c>
      <c r="D186" s="115" t="str">
        <f>IF(_xlfn.XLOOKUP(A186, AutoFill_names!B:B, AutoFill_names!E:E,"")=0,"",_xlfn.XLOOKUP(A186, AutoFill_names!B:B, AutoFill_names!E:E,""))</f>
        <v/>
      </c>
      <c r="E186" s="115" t="str">
        <f>IF(_xlfn.XLOOKUP(A186, AutoFill_names!B:B, AutoFill_names!F:F,"")=0,"",_xlfn.XLOOKUP(A186, AutoFill_names!B:B, AutoFill_names!F:F,""))</f>
        <v/>
      </c>
      <c r="F186" s="92"/>
      <c r="J186" s="115" t="str">
        <f>IF(_xlfn.XLOOKUP(A186, AutoFill_names!B:B, AutoFill_names!K:K,"")=0,"",_xlfn.XLOOKUP(A186, AutoFill_names!B:B, AutoFill_names!K:K,""))</f>
        <v/>
      </c>
      <c r="K186" s="115" t="str">
        <f>IF(_xlfn.XLOOKUP(A186, AutoFill_names!B:B, AutoFill_names!L:L,"")=0,"",_xlfn.XLOOKUP(A186, AutoFill_names!B:B, AutoFill_names!L:L,""))</f>
        <v/>
      </c>
      <c r="L186" s="31"/>
      <c r="M186" s="31"/>
      <c r="N186" s="117" t="str">
        <f>IF(_xlfn.XLOOKUP(L186, AutoFill_classes!A:A, AutoFill_classes!B:B,"")=0,"",_xlfn.XLOOKUP(L186, AutoFill_classes!A:A, AutoFill_classes!B:B,""))</f>
        <v/>
      </c>
      <c r="O186" s="108"/>
      <c r="P186" s="6"/>
      <c r="Q186" s="6"/>
      <c r="R186" s="6"/>
      <c r="S186" s="2"/>
      <c r="T186" s="3"/>
      <c r="U186" s="2"/>
      <c r="X186" s="63"/>
      <c r="Y186" s="19"/>
      <c r="Z186" s="121" t="str">
        <f t="shared" si="162"/>
        <v/>
      </c>
      <c r="AA186" s="20"/>
      <c r="AB186" s="20"/>
      <c r="AC186" s="20"/>
      <c r="AD186" s="20"/>
      <c r="AE186" s="125" t="str">
        <f t="shared" si="163"/>
        <v/>
      </c>
      <c r="AF186" s="14"/>
      <c r="AG186" s="125" t="str">
        <f t="shared" si="164"/>
        <v/>
      </c>
      <c r="AH186" s="20"/>
      <c r="AI186" s="20"/>
      <c r="AJ186" s="125" t="str">
        <f t="shared" si="165"/>
        <v/>
      </c>
      <c r="AK186" s="14"/>
      <c r="AL186" s="125" t="str">
        <f t="shared" si="166"/>
        <v/>
      </c>
      <c r="AM186" s="20"/>
      <c r="AN186" s="20"/>
      <c r="AO186" s="125" t="str">
        <f t="shared" si="167"/>
        <v/>
      </c>
      <c r="AP186" s="125" t="str">
        <f t="shared" si="168"/>
        <v/>
      </c>
      <c r="AQ186" s="125" t="str">
        <f t="shared" si="169"/>
        <v/>
      </c>
      <c r="AR186" s="129" t="str">
        <f t="shared" si="170"/>
        <v/>
      </c>
      <c r="AS186" s="14"/>
      <c r="AT186" s="13"/>
      <c r="AU186" s="13"/>
      <c r="AV186" s="117" t="str">
        <f>IF(_xlfn.XLOOKUP(AT186, AutoFill_classes!$A:$A, AutoFill_classes!$B:$B,"")=0,"",_xlfn.XLOOKUP(AT186, AutoFill_classes!$A:$A, AutoFill_classes!$B:$B,""))</f>
        <v/>
      </c>
      <c r="AW186" s="108"/>
      <c r="AX186" s="11"/>
      <c r="AY186" s="13"/>
      <c r="AZ186" s="11"/>
      <c r="BA186" s="13"/>
      <c r="BB186" s="13"/>
      <c r="BC186" s="63"/>
      <c r="BD186" s="18"/>
      <c r="BE186" s="121" t="str">
        <f t="shared" si="171"/>
        <v/>
      </c>
      <c r="BF186" s="20"/>
      <c r="BG186" s="20"/>
      <c r="BH186" s="20"/>
      <c r="BI186" s="20"/>
      <c r="BJ186" s="125" t="str">
        <f t="shared" si="172"/>
        <v/>
      </c>
      <c r="BK186" s="14"/>
      <c r="BL186" s="125" t="str">
        <f t="shared" si="173"/>
        <v/>
      </c>
      <c r="BM186" s="20"/>
      <c r="BN186" s="20"/>
      <c r="BO186" s="125" t="str">
        <f t="shared" si="174"/>
        <v/>
      </c>
      <c r="BP186" s="14"/>
      <c r="BQ186" s="125" t="str">
        <f t="shared" si="175"/>
        <v/>
      </c>
      <c r="BR186" s="20"/>
      <c r="BS186" s="20"/>
      <c r="BT186" s="125" t="str">
        <f t="shared" si="176"/>
        <v/>
      </c>
      <c r="BU186" s="125" t="str">
        <f t="shared" si="177"/>
        <v/>
      </c>
      <c r="BV186" s="125" t="str">
        <f t="shared" si="178"/>
        <v/>
      </c>
      <c r="BW186" s="129" t="str">
        <f t="shared" si="179"/>
        <v/>
      </c>
      <c r="BX186" s="13"/>
      <c r="BY186" s="15"/>
      <c r="BZ186" s="14"/>
      <c r="CA186" s="117" t="str">
        <f>IF(_xlfn.XLOOKUP(BY186, AutoFill_classes!$A:$A, AutoFill_classes!$B:$B,"")=0,"",_xlfn.XLOOKUP(BY186, AutoFill_classes!$A:$A, AutoFill_classes!$B:$B,""))</f>
        <v/>
      </c>
      <c r="CB186" s="108"/>
      <c r="CC186" s="14"/>
      <c r="CD186" s="14"/>
      <c r="CE186" s="14"/>
      <c r="CF186" s="21"/>
      <c r="CG186" s="22"/>
      <c r="CH186" s="63"/>
      <c r="CI186" s="23"/>
      <c r="CJ186" s="121" t="str">
        <f t="shared" si="180"/>
        <v/>
      </c>
      <c r="CK186" s="20"/>
      <c r="CL186" s="20"/>
      <c r="CM186" s="20"/>
      <c r="CN186" s="20"/>
      <c r="CO186" s="125" t="str">
        <f t="shared" si="181"/>
        <v/>
      </c>
      <c r="CP186" s="14"/>
      <c r="CQ186" s="125" t="str">
        <f t="shared" si="182"/>
        <v/>
      </c>
      <c r="CR186" s="20"/>
      <c r="CS186" s="20"/>
      <c r="CT186" s="125" t="str">
        <f t="shared" si="183"/>
        <v/>
      </c>
      <c r="CU186" s="14"/>
      <c r="CV186" s="125" t="str">
        <f t="shared" si="184"/>
        <v/>
      </c>
      <c r="CW186" s="20"/>
      <c r="CX186" s="20"/>
      <c r="CY186" s="125" t="str">
        <f t="shared" si="185"/>
        <v/>
      </c>
      <c r="CZ186" s="125" t="str">
        <f t="shared" si="186"/>
        <v/>
      </c>
      <c r="DA186" s="125" t="str">
        <f t="shared" si="187"/>
        <v/>
      </c>
      <c r="DB186" s="129" t="str">
        <f t="shared" si="188"/>
        <v/>
      </c>
      <c r="DC186" s="14"/>
      <c r="DD186" s="62"/>
      <c r="DE186" s="105">
        <v>184</v>
      </c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</row>
    <row r="187" spans="1:176" s="1" customFormat="1" ht="13" hidden="1" customHeight="1" outlineLevel="1" x14ac:dyDescent="0.2">
      <c r="A187" s="4"/>
      <c r="B187" s="115" t="str">
        <f>IF(_xlfn.XLOOKUP(A187, AutoFill_names!B:B, AutoFill_names!C:C,"")=0,"",_xlfn.XLOOKUP(A187, AutoFill_names!B:B, AutoFill_names!C:C,""))</f>
        <v/>
      </c>
      <c r="C187" s="115" t="str">
        <f>IF(_xlfn.XLOOKUP(A187, AutoFill_names!B:B, AutoFill_names!D:D,"")=0,"",_xlfn.XLOOKUP(A187, AutoFill_names!B:B, AutoFill_names!D:D,""))</f>
        <v/>
      </c>
      <c r="D187" s="115" t="str">
        <f>IF(_xlfn.XLOOKUP(A187, AutoFill_names!B:B, AutoFill_names!E:E,"")=0,"",_xlfn.XLOOKUP(A187, AutoFill_names!B:B, AutoFill_names!E:E,""))</f>
        <v/>
      </c>
      <c r="E187" s="115" t="str">
        <f>IF(_xlfn.XLOOKUP(A187, AutoFill_names!B:B, AutoFill_names!F:F,"")=0,"",_xlfn.XLOOKUP(A187, AutoFill_names!B:B, AutoFill_names!F:F,""))</f>
        <v/>
      </c>
      <c r="F187" s="92"/>
      <c r="J187" s="115" t="str">
        <f>IF(_xlfn.XLOOKUP(A187, AutoFill_names!B:B, AutoFill_names!K:K,"")=0,"",_xlfn.XLOOKUP(A187, AutoFill_names!B:B, AutoFill_names!K:K,""))</f>
        <v/>
      </c>
      <c r="K187" s="115" t="str">
        <f>IF(_xlfn.XLOOKUP(A187, AutoFill_names!B:B, AutoFill_names!L:L,"")=0,"",_xlfn.XLOOKUP(A187, AutoFill_names!B:B, AutoFill_names!L:L,""))</f>
        <v/>
      </c>
      <c r="L187" s="31"/>
      <c r="M187" s="31"/>
      <c r="N187" s="117" t="str">
        <f>IF(_xlfn.XLOOKUP(L187, AutoFill_classes!A:A, AutoFill_classes!B:B,"")=0,"",_xlfn.XLOOKUP(L187, AutoFill_classes!A:A, AutoFill_classes!B:B,""))</f>
        <v/>
      </c>
      <c r="O187" s="108"/>
      <c r="P187" s="6"/>
      <c r="Q187" s="6"/>
      <c r="R187" s="6"/>
      <c r="S187" s="2"/>
      <c r="T187" s="3"/>
      <c r="U187" s="2"/>
      <c r="X187" s="63"/>
      <c r="Y187" s="19"/>
      <c r="Z187" s="121" t="str">
        <f t="shared" si="162"/>
        <v/>
      </c>
      <c r="AA187" s="20"/>
      <c r="AB187" s="20"/>
      <c r="AC187" s="20"/>
      <c r="AD187" s="20"/>
      <c r="AE187" s="125" t="str">
        <f t="shared" si="163"/>
        <v/>
      </c>
      <c r="AF187" s="14"/>
      <c r="AG187" s="125" t="str">
        <f t="shared" si="164"/>
        <v/>
      </c>
      <c r="AH187" s="20"/>
      <c r="AI187" s="20"/>
      <c r="AJ187" s="125" t="str">
        <f t="shared" si="165"/>
        <v/>
      </c>
      <c r="AK187" s="14"/>
      <c r="AL187" s="125" t="str">
        <f t="shared" si="166"/>
        <v/>
      </c>
      <c r="AM187" s="20"/>
      <c r="AN187" s="20"/>
      <c r="AO187" s="125" t="str">
        <f t="shared" si="167"/>
        <v/>
      </c>
      <c r="AP187" s="125" t="str">
        <f t="shared" si="168"/>
        <v/>
      </c>
      <c r="AQ187" s="125" t="str">
        <f t="shared" si="169"/>
        <v/>
      </c>
      <c r="AR187" s="129" t="str">
        <f t="shared" si="170"/>
        <v/>
      </c>
      <c r="AS187" s="14"/>
      <c r="AT187" s="13"/>
      <c r="AU187" s="13"/>
      <c r="AV187" s="117" t="str">
        <f>IF(_xlfn.XLOOKUP(AT187, AutoFill_classes!$A:$A, AutoFill_classes!$B:$B,"")=0,"",_xlfn.XLOOKUP(AT187, AutoFill_classes!$A:$A, AutoFill_classes!$B:$B,""))</f>
        <v/>
      </c>
      <c r="AW187" s="108"/>
      <c r="AX187" s="11"/>
      <c r="AY187" s="13"/>
      <c r="AZ187" s="11"/>
      <c r="BA187" s="13"/>
      <c r="BB187" s="13"/>
      <c r="BC187" s="63"/>
      <c r="BD187" s="18"/>
      <c r="BE187" s="121" t="str">
        <f t="shared" si="171"/>
        <v/>
      </c>
      <c r="BF187" s="20"/>
      <c r="BG187" s="20"/>
      <c r="BH187" s="20"/>
      <c r="BI187" s="20"/>
      <c r="BJ187" s="125" t="str">
        <f t="shared" si="172"/>
        <v/>
      </c>
      <c r="BK187" s="14"/>
      <c r="BL187" s="125" t="str">
        <f t="shared" si="173"/>
        <v/>
      </c>
      <c r="BM187" s="20"/>
      <c r="BN187" s="20"/>
      <c r="BO187" s="125" t="str">
        <f t="shared" si="174"/>
        <v/>
      </c>
      <c r="BP187" s="14"/>
      <c r="BQ187" s="125" t="str">
        <f t="shared" si="175"/>
        <v/>
      </c>
      <c r="BR187" s="20"/>
      <c r="BS187" s="20"/>
      <c r="BT187" s="125" t="str">
        <f t="shared" si="176"/>
        <v/>
      </c>
      <c r="BU187" s="125" t="str">
        <f t="shared" si="177"/>
        <v/>
      </c>
      <c r="BV187" s="125" t="str">
        <f t="shared" si="178"/>
        <v/>
      </c>
      <c r="BW187" s="129" t="str">
        <f t="shared" si="179"/>
        <v/>
      </c>
      <c r="BX187" s="13"/>
      <c r="BY187" s="15"/>
      <c r="BZ187" s="14"/>
      <c r="CA187" s="117" t="str">
        <f>IF(_xlfn.XLOOKUP(BY187, AutoFill_classes!$A:$A, AutoFill_classes!$B:$B,"")=0,"",_xlfn.XLOOKUP(BY187, AutoFill_classes!$A:$A, AutoFill_classes!$B:$B,""))</f>
        <v/>
      </c>
      <c r="CB187" s="108"/>
      <c r="CC187" s="14"/>
      <c r="CD187" s="14"/>
      <c r="CE187" s="14"/>
      <c r="CF187" s="21"/>
      <c r="CG187" s="22"/>
      <c r="CH187" s="63"/>
      <c r="CI187" s="23"/>
      <c r="CJ187" s="121" t="str">
        <f t="shared" si="180"/>
        <v/>
      </c>
      <c r="CK187" s="20"/>
      <c r="CL187" s="20"/>
      <c r="CM187" s="20"/>
      <c r="CN187" s="20"/>
      <c r="CO187" s="125" t="str">
        <f t="shared" si="181"/>
        <v/>
      </c>
      <c r="CP187" s="14"/>
      <c r="CQ187" s="125" t="str">
        <f t="shared" si="182"/>
        <v/>
      </c>
      <c r="CR187" s="20"/>
      <c r="CS187" s="20"/>
      <c r="CT187" s="125" t="str">
        <f t="shared" si="183"/>
        <v/>
      </c>
      <c r="CU187" s="14"/>
      <c r="CV187" s="125" t="str">
        <f t="shared" si="184"/>
        <v/>
      </c>
      <c r="CW187" s="20"/>
      <c r="CX187" s="20"/>
      <c r="CY187" s="125" t="str">
        <f t="shared" si="185"/>
        <v/>
      </c>
      <c r="CZ187" s="125" t="str">
        <f t="shared" si="186"/>
        <v/>
      </c>
      <c r="DA187" s="125" t="str">
        <f t="shared" si="187"/>
        <v/>
      </c>
      <c r="DB187" s="129" t="str">
        <f t="shared" si="188"/>
        <v/>
      </c>
      <c r="DC187" s="14"/>
      <c r="DD187" s="62"/>
      <c r="DE187" s="105">
        <v>185</v>
      </c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</row>
    <row r="188" spans="1:176" s="1" customFormat="1" ht="13" hidden="1" customHeight="1" outlineLevel="1" x14ac:dyDescent="0.2">
      <c r="A188" s="4"/>
      <c r="B188" s="115" t="str">
        <f>IF(_xlfn.XLOOKUP(A188, AutoFill_names!B:B, AutoFill_names!C:C,"")=0,"",_xlfn.XLOOKUP(A188, AutoFill_names!B:B, AutoFill_names!C:C,""))</f>
        <v/>
      </c>
      <c r="C188" s="115" t="str">
        <f>IF(_xlfn.XLOOKUP(A188, AutoFill_names!B:B, AutoFill_names!D:D,"")=0,"",_xlfn.XLOOKUP(A188, AutoFill_names!B:B, AutoFill_names!D:D,""))</f>
        <v/>
      </c>
      <c r="D188" s="115" t="str">
        <f>IF(_xlfn.XLOOKUP(A188, AutoFill_names!B:B, AutoFill_names!E:E,"")=0,"",_xlfn.XLOOKUP(A188, AutoFill_names!B:B, AutoFill_names!E:E,""))</f>
        <v/>
      </c>
      <c r="E188" s="115" t="str">
        <f>IF(_xlfn.XLOOKUP(A188, AutoFill_names!B:B, AutoFill_names!F:F,"")=0,"",_xlfn.XLOOKUP(A188, AutoFill_names!B:B, AutoFill_names!F:F,""))</f>
        <v/>
      </c>
      <c r="F188" s="92"/>
      <c r="J188" s="115" t="str">
        <f>IF(_xlfn.XLOOKUP(A188, AutoFill_names!B:B, AutoFill_names!K:K,"")=0,"",_xlfn.XLOOKUP(A188, AutoFill_names!B:B, AutoFill_names!K:K,""))</f>
        <v/>
      </c>
      <c r="K188" s="115" t="str">
        <f>IF(_xlfn.XLOOKUP(A188, AutoFill_names!B:B, AutoFill_names!L:L,"")=0,"",_xlfn.XLOOKUP(A188, AutoFill_names!B:B, AutoFill_names!L:L,""))</f>
        <v/>
      </c>
      <c r="L188" s="31"/>
      <c r="M188" s="31"/>
      <c r="N188" s="117" t="str">
        <f>IF(_xlfn.XLOOKUP(L188, AutoFill_classes!A:A, AutoFill_classes!B:B,"")=0,"",_xlfn.XLOOKUP(L188, AutoFill_classes!A:A, AutoFill_classes!B:B,""))</f>
        <v/>
      </c>
      <c r="O188" s="108"/>
      <c r="P188" s="6"/>
      <c r="Q188" s="6"/>
      <c r="R188" s="6"/>
      <c r="S188" s="2"/>
      <c r="T188" s="3"/>
      <c r="U188" s="2"/>
      <c r="X188" s="63"/>
      <c r="Y188" s="19"/>
      <c r="Z188" s="121" t="str">
        <f t="shared" si="162"/>
        <v/>
      </c>
      <c r="AA188" s="20"/>
      <c r="AB188" s="20"/>
      <c r="AC188" s="20"/>
      <c r="AD188" s="20"/>
      <c r="AE188" s="125" t="str">
        <f t="shared" si="163"/>
        <v/>
      </c>
      <c r="AF188" s="14"/>
      <c r="AG188" s="125" t="str">
        <f t="shared" si="164"/>
        <v/>
      </c>
      <c r="AH188" s="20"/>
      <c r="AI188" s="20"/>
      <c r="AJ188" s="125" t="str">
        <f t="shared" si="165"/>
        <v/>
      </c>
      <c r="AK188" s="14"/>
      <c r="AL188" s="125" t="str">
        <f t="shared" si="166"/>
        <v/>
      </c>
      <c r="AM188" s="20"/>
      <c r="AN188" s="20"/>
      <c r="AO188" s="125" t="str">
        <f t="shared" si="167"/>
        <v/>
      </c>
      <c r="AP188" s="125" t="str">
        <f t="shared" si="168"/>
        <v/>
      </c>
      <c r="AQ188" s="125" t="str">
        <f t="shared" si="169"/>
        <v/>
      </c>
      <c r="AR188" s="129" t="str">
        <f t="shared" si="170"/>
        <v/>
      </c>
      <c r="AS188" s="14"/>
      <c r="AT188" s="13"/>
      <c r="AU188" s="13"/>
      <c r="AV188" s="117" t="str">
        <f>IF(_xlfn.XLOOKUP(AT188, AutoFill_classes!$A:$A, AutoFill_classes!$B:$B,"")=0,"",_xlfn.XLOOKUP(AT188, AutoFill_classes!$A:$A, AutoFill_classes!$B:$B,""))</f>
        <v/>
      </c>
      <c r="AW188" s="108"/>
      <c r="AX188" s="11"/>
      <c r="AY188" s="13"/>
      <c r="AZ188" s="11"/>
      <c r="BA188" s="13"/>
      <c r="BB188" s="13"/>
      <c r="BC188" s="63"/>
      <c r="BD188" s="18"/>
      <c r="BE188" s="121" t="str">
        <f t="shared" si="171"/>
        <v/>
      </c>
      <c r="BF188" s="20"/>
      <c r="BG188" s="20"/>
      <c r="BH188" s="20"/>
      <c r="BI188" s="20"/>
      <c r="BJ188" s="125" t="str">
        <f t="shared" si="172"/>
        <v/>
      </c>
      <c r="BK188" s="14"/>
      <c r="BL188" s="125" t="str">
        <f t="shared" si="173"/>
        <v/>
      </c>
      <c r="BM188" s="20"/>
      <c r="BN188" s="20"/>
      <c r="BO188" s="125" t="str">
        <f t="shared" si="174"/>
        <v/>
      </c>
      <c r="BP188" s="14"/>
      <c r="BQ188" s="125" t="str">
        <f t="shared" si="175"/>
        <v/>
      </c>
      <c r="BR188" s="20"/>
      <c r="BS188" s="20"/>
      <c r="BT188" s="125" t="str">
        <f t="shared" si="176"/>
        <v/>
      </c>
      <c r="BU188" s="125" t="str">
        <f t="shared" si="177"/>
        <v/>
      </c>
      <c r="BV188" s="125" t="str">
        <f t="shared" si="178"/>
        <v/>
      </c>
      <c r="BW188" s="129" t="str">
        <f t="shared" si="179"/>
        <v/>
      </c>
      <c r="BX188" s="13"/>
      <c r="BY188" s="15"/>
      <c r="BZ188" s="14"/>
      <c r="CA188" s="117" t="str">
        <f>IF(_xlfn.XLOOKUP(BY188, AutoFill_classes!$A:$A, AutoFill_classes!$B:$B,"")=0,"",_xlfn.XLOOKUP(BY188, AutoFill_classes!$A:$A, AutoFill_classes!$B:$B,""))</f>
        <v/>
      </c>
      <c r="CB188" s="108"/>
      <c r="CC188" s="14"/>
      <c r="CD188" s="14"/>
      <c r="CE188" s="14"/>
      <c r="CF188" s="21"/>
      <c r="CG188" s="22"/>
      <c r="CH188" s="63"/>
      <c r="CI188" s="23"/>
      <c r="CJ188" s="121" t="str">
        <f t="shared" si="180"/>
        <v/>
      </c>
      <c r="CK188" s="20"/>
      <c r="CL188" s="20"/>
      <c r="CM188" s="20"/>
      <c r="CN188" s="20"/>
      <c r="CO188" s="125" t="str">
        <f t="shared" si="181"/>
        <v/>
      </c>
      <c r="CP188" s="14"/>
      <c r="CQ188" s="125" t="str">
        <f t="shared" si="182"/>
        <v/>
      </c>
      <c r="CR188" s="20"/>
      <c r="CS188" s="20"/>
      <c r="CT188" s="125" t="str">
        <f t="shared" si="183"/>
        <v/>
      </c>
      <c r="CU188" s="14"/>
      <c r="CV188" s="125" t="str">
        <f t="shared" si="184"/>
        <v/>
      </c>
      <c r="CW188" s="20"/>
      <c r="CX188" s="20"/>
      <c r="CY188" s="125" t="str">
        <f t="shared" si="185"/>
        <v/>
      </c>
      <c r="CZ188" s="125" t="str">
        <f t="shared" si="186"/>
        <v/>
      </c>
      <c r="DA188" s="125" t="str">
        <f t="shared" si="187"/>
        <v/>
      </c>
      <c r="DB188" s="129" t="str">
        <f t="shared" si="188"/>
        <v/>
      </c>
      <c r="DC188" s="14"/>
      <c r="DD188" s="62"/>
      <c r="DE188" s="105">
        <v>186</v>
      </c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</row>
    <row r="189" spans="1:176" s="1" customFormat="1" ht="13" hidden="1" customHeight="1" outlineLevel="1" x14ac:dyDescent="0.2">
      <c r="A189" s="4"/>
      <c r="B189" s="115" t="str">
        <f>IF(_xlfn.XLOOKUP(A189, AutoFill_names!B:B, AutoFill_names!C:C,"")=0,"",_xlfn.XLOOKUP(A189, AutoFill_names!B:B, AutoFill_names!C:C,""))</f>
        <v/>
      </c>
      <c r="C189" s="115" t="str">
        <f>IF(_xlfn.XLOOKUP(A189, AutoFill_names!B:B, AutoFill_names!D:D,"")=0,"",_xlfn.XLOOKUP(A189, AutoFill_names!B:B, AutoFill_names!D:D,""))</f>
        <v/>
      </c>
      <c r="D189" s="115" t="str">
        <f>IF(_xlfn.XLOOKUP(A189, AutoFill_names!B:B, AutoFill_names!E:E,"")=0,"",_xlfn.XLOOKUP(A189, AutoFill_names!B:B, AutoFill_names!E:E,""))</f>
        <v/>
      </c>
      <c r="E189" s="115" t="str">
        <f>IF(_xlfn.XLOOKUP(A189, AutoFill_names!B:B, AutoFill_names!F:F,"")=0,"",_xlfn.XLOOKUP(A189, AutoFill_names!B:B, AutoFill_names!F:F,""))</f>
        <v/>
      </c>
      <c r="F189" s="92"/>
      <c r="J189" s="115" t="str">
        <f>IF(_xlfn.XLOOKUP(A189, AutoFill_names!B:B, AutoFill_names!K:K,"")=0,"",_xlfn.XLOOKUP(A189, AutoFill_names!B:B, AutoFill_names!K:K,""))</f>
        <v/>
      </c>
      <c r="K189" s="115" t="str">
        <f>IF(_xlfn.XLOOKUP(A189, AutoFill_names!B:B, AutoFill_names!L:L,"")=0,"",_xlfn.XLOOKUP(A189, AutoFill_names!B:B, AutoFill_names!L:L,""))</f>
        <v/>
      </c>
      <c r="L189" s="31"/>
      <c r="M189" s="31"/>
      <c r="N189" s="117" t="str">
        <f>IF(_xlfn.XLOOKUP(L189, AutoFill_classes!A:A, AutoFill_classes!B:B,"")=0,"",_xlfn.XLOOKUP(L189, AutoFill_classes!A:A, AutoFill_classes!B:B,""))</f>
        <v/>
      </c>
      <c r="O189" s="108"/>
      <c r="P189" s="6"/>
      <c r="Q189" s="6"/>
      <c r="R189" s="6"/>
      <c r="S189" s="2"/>
      <c r="T189" s="3"/>
      <c r="U189" s="2"/>
      <c r="X189" s="63"/>
      <c r="Y189" s="19"/>
      <c r="Z189" s="121" t="str">
        <f t="shared" si="162"/>
        <v/>
      </c>
      <c r="AA189" s="20"/>
      <c r="AB189" s="20"/>
      <c r="AC189" s="20"/>
      <c r="AD189" s="20"/>
      <c r="AE189" s="125" t="str">
        <f t="shared" si="163"/>
        <v/>
      </c>
      <c r="AF189" s="14"/>
      <c r="AG189" s="125" t="str">
        <f t="shared" si="164"/>
        <v/>
      </c>
      <c r="AH189" s="20"/>
      <c r="AI189" s="20"/>
      <c r="AJ189" s="125" t="str">
        <f t="shared" si="165"/>
        <v/>
      </c>
      <c r="AK189" s="14"/>
      <c r="AL189" s="125" t="str">
        <f t="shared" si="166"/>
        <v/>
      </c>
      <c r="AM189" s="20"/>
      <c r="AN189" s="20"/>
      <c r="AO189" s="125" t="str">
        <f t="shared" si="167"/>
        <v/>
      </c>
      <c r="AP189" s="125" t="str">
        <f t="shared" si="168"/>
        <v/>
      </c>
      <c r="AQ189" s="125" t="str">
        <f t="shared" si="169"/>
        <v/>
      </c>
      <c r="AR189" s="129" t="str">
        <f t="shared" si="170"/>
        <v/>
      </c>
      <c r="AS189" s="14"/>
      <c r="AT189" s="13"/>
      <c r="AU189" s="13"/>
      <c r="AV189" s="117" t="str">
        <f>IF(_xlfn.XLOOKUP(AT189, AutoFill_classes!$A:$A, AutoFill_classes!$B:$B,"")=0,"",_xlfn.XLOOKUP(AT189, AutoFill_classes!$A:$A, AutoFill_classes!$B:$B,""))</f>
        <v/>
      </c>
      <c r="AW189" s="108"/>
      <c r="AX189" s="11"/>
      <c r="AY189" s="13"/>
      <c r="AZ189" s="11"/>
      <c r="BA189" s="13"/>
      <c r="BB189" s="13"/>
      <c r="BC189" s="63"/>
      <c r="BD189" s="18"/>
      <c r="BE189" s="121" t="str">
        <f t="shared" si="171"/>
        <v/>
      </c>
      <c r="BF189" s="20"/>
      <c r="BG189" s="20"/>
      <c r="BH189" s="20"/>
      <c r="BI189" s="20"/>
      <c r="BJ189" s="125" t="str">
        <f t="shared" si="172"/>
        <v/>
      </c>
      <c r="BK189" s="14"/>
      <c r="BL189" s="125" t="str">
        <f t="shared" si="173"/>
        <v/>
      </c>
      <c r="BM189" s="20"/>
      <c r="BN189" s="20"/>
      <c r="BO189" s="125" t="str">
        <f t="shared" si="174"/>
        <v/>
      </c>
      <c r="BP189" s="14"/>
      <c r="BQ189" s="125" t="str">
        <f t="shared" si="175"/>
        <v/>
      </c>
      <c r="BR189" s="20"/>
      <c r="BS189" s="20"/>
      <c r="BT189" s="125" t="str">
        <f t="shared" si="176"/>
        <v/>
      </c>
      <c r="BU189" s="125" t="str">
        <f t="shared" si="177"/>
        <v/>
      </c>
      <c r="BV189" s="125" t="str">
        <f t="shared" si="178"/>
        <v/>
      </c>
      <c r="BW189" s="129" t="str">
        <f t="shared" si="179"/>
        <v/>
      </c>
      <c r="BX189" s="13"/>
      <c r="BY189" s="15"/>
      <c r="BZ189" s="14"/>
      <c r="CA189" s="117" t="str">
        <f>IF(_xlfn.XLOOKUP(BY189, AutoFill_classes!$A:$A, AutoFill_classes!$B:$B,"")=0,"",_xlfn.XLOOKUP(BY189, AutoFill_classes!$A:$A, AutoFill_classes!$B:$B,""))</f>
        <v/>
      </c>
      <c r="CB189" s="108"/>
      <c r="CC189" s="14"/>
      <c r="CD189" s="14"/>
      <c r="CE189" s="14"/>
      <c r="CF189" s="21"/>
      <c r="CG189" s="22"/>
      <c r="CH189" s="63"/>
      <c r="CI189" s="23"/>
      <c r="CJ189" s="121" t="str">
        <f t="shared" si="180"/>
        <v/>
      </c>
      <c r="CK189" s="20"/>
      <c r="CL189" s="20"/>
      <c r="CM189" s="20"/>
      <c r="CN189" s="20"/>
      <c r="CO189" s="125" t="str">
        <f t="shared" si="181"/>
        <v/>
      </c>
      <c r="CP189" s="14"/>
      <c r="CQ189" s="125" t="str">
        <f t="shared" si="182"/>
        <v/>
      </c>
      <c r="CR189" s="20"/>
      <c r="CS189" s="20"/>
      <c r="CT189" s="125" t="str">
        <f t="shared" si="183"/>
        <v/>
      </c>
      <c r="CU189" s="14"/>
      <c r="CV189" s="125" t="str">
        <f t="shared" si="184"/>
        <v/>
      </c>
      <c r="CW189" s="20"/>
      <c r="CX189" s="20"/>
      <c r="CY189" s="125" t="str">
        <f t="shared" si="185"/>
        <v/>
      </c>
      <c r="CZ189" s="125" t="str">
        <f t="shared" si="186"/>
        <v/>
      </c>
      <c r="DA189" s="125" t="str">
        <f t="shared" si="187"/>
        <v/>
      </c>
      <c r="DB189" s="129" t="str">
        <f t="shared" si="188"/>
        <v/>
      </c>
      <c r="DC189" s="14"/>
      <c r="DD189" s="62"/>
      <c r="DE189" s="105">
        <v>187</v>
      </c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spans="1:176" s="1" customFormat="1" ht="13" hidden="1" customHeight="1" outlineLevel="1" x14ac:dyDescent="0.2">
      <c r="A190" s="4"/>
      <c r="B190" s="115" t="str">
        <f>IF(_xlfn.XLOOKUP(A190, AutoFill_names!B:B, AutoFill_names!C:C,"")=0,"",_xlfn.XLOOKUP(A190, AutoFill_names!B:B, AutoFill_names!C:C,""))</f>
        <v/>
      </c>
      <c r="C190" s="115" t="str">
        <f>IF(_xlfn.XLOOKUP(A190, AutoFill_names!B:B, AutoFill_names!D:D,"")=0,"",_xlfn.XLOOKUP(A190, AutoFill_names!B:B, AutoFill_names!D:D,""))</f>
        <v/>
      </c>
      <c r="D190" s="115" t="str">
        <f>IF(_xlfn.XLOOKUP(A190, AutoFill_names!B:B, AutoFill_names!E:E,"")=0,"",_xlfn.XLOOKUP(A190, AutoFill_names!B:B, AutoFill_names!E:E,""))</f>
        <v/>
      </c>
      <c r="E190" s="115" t="str">
        <f>IF(_xlfn.XLOOKUP(A190, AutoFill_names!B:B, AutoFill_names!F:F,"")=0,"",_xlfn.XLOOKUP(A190, AutoFill_names!B:B, AutoFill_names!F:F,""))</f>
        <v/>
      </c>
      <c r="F190" s="92"/>
      <c r="J190" s="115" t="str">
        <f>IF(_xlfn.XLOOKUP(A190, AutoFill_names!B:B, AutoFill_names!K:K,"")=0,"",_xlfn.XLOOKUP(A190, AutoFill_names!B:B, AutoFill_names!K:K,""))</f>
        <v/>
      </c>
      <c r="K190" s="115" t="str">
        <f>IF(_xlfn.XLOOKUP(A190, AutoFill_names!B:B, AutoFill_names!L:L,"")=0,"",_xlfn.XLOOKUP(A190, AutoFill_names!B:B, AutoFill_names!L:L,""))</f>
        <v/>
      </c>
      <c r="L190" s="31"/>
      <c r="M190" s="31"/>
      <c r="N190" s="117" t="str">
        <f>IF(_xlfn.XLOOKUP(L190, AutoFill_classes!A:A, AutoFill_classes!B:B,"")=0,"",_xlfn.XLOOKUP(L190, AutoFill_classes!A:A, AutoFill_classes!B:B,""))</f>
        <v/>
      </c>
      <c r="O190" s="108"/>
      <c r="P190" s="6"/>
      <c r="Q190" s="6"/>
      <c r="R190" s="6"/>
      <c r="S190" s="2"/>
      <c r="T190" s="3"/>
      <c r="U190" s="2"/>
      <c r="X190" s="63"/>
      <c r="Y190" s="19"/>
      <c r="Z190" s="121" t="str">
        <f t="shared" si="162"/>
        <v/>
      </c>
      <c r="AA190" s="20"/>
      <c r="AB190" s="20"/>
      <c r="AC190" s="20"/>
      <c r="AD190" s="20"/>
      <c r="AE190" s="125" t="str">
        <f t="shared" si="163"/>
        <v/>
      </c>
      <c r="AF190" s="14"/>
      <c r="AG190" s="125" t="str">
        <f t="shared" si="164"/>
        <v/>
      </c>
      <c r="AH190" s="20"/>
      <c r="AI190" s="20"/>
      <c r="AJ190" s="125" t="str">
        <f t="shared" si="165"/>
        <v/>
      </c>
      <c r="AK190" s="14"/>
      <c r="AL190" s="125" t="str">
        <f t="shared" si="166"/>
        <v/>
      </c>
      <c r="AM190" s="20"/>
      <c r="AN190" s="20"/>
      <c r="AO190" s="125" t="str">
        <f t="shared" si="167"/>
        <v/>
      </c>
      <c r="AP190" s="125" t="str">
        <f t="shared" si="168"/>
        <v/>
      </c>
      <c r="AQ190" s="125" t="str">
        <f t="shared" si="169"/>
        <v/>
      </c>
      <c r="AR190" s="129" t="str">
        <f t="shared" si="170"/>
        <v/>
      </c>
      <c r="AS190" s="14"/>
      <c r="AT190" s="13"/>
      <c r="AU190" s="13"/>
      <c r="AV190" s="117" t="str">
        <f>IF(_xlfn.XLOOKUP(AT190, AutoFill_classes!$A:$A, AutoFill_classes!$B:$B,"")=0,"",_xlfn.XLOOKUP(AT190, AutoFill_classes!$A:$A, AutoFill_classes!$B:$B,""))</f>
        <v/>
      </c>
      <c r="AW190" s="108"/>
      <c r="AX190" s="11"/>
      <c r="AY190" s="13"/>
      <c r="AZ190" s="11"/>
      <c r="BA190" s="13"/>
      <c r="BB190" s="13"/>
      <c r="BC190" s="63"/>
      <c r="BD190" s="18"/>
      <c r="BE190" s="121" t="str">
        <f t="shared" si="171"/>
        <v/>
      </c>
      <c r="BF190" s="20"/>
      <c r="BG190" s="20"/>
      <c r="BH190" s="20"/>
      <c r="BI190" s="20"/>
      <c r="BJ190" s="125" t="str">
        <f t="shared" si="172"/>
        <v/>
      </c>
      <c r="BK190" s="14"/>
      <c r="BL190" s="125" t="str">
        <f t="shared" si="173"/>
        <v/>
      </c>
      <c r="BM190" s="20"/>
      <c r="BN190" s="20"/>
      <c r="BO190" s="125" t="str">
        <f t="shared" si="174"/>
        <v/>
      </c>
      <c r="BP190" s="14"/>
      <c r="BQ190" s="125" t="str">
        <f t="shared" si="175"/>
        <v/>
      </c>
      <c r="BR190" s="20"/>
      <c r="BS190" s="20"/>
      <c r="BT190" s="125" t="str">
        <f t="shared" si="176"/>
        <v/>
      </c>
      <c r="BU190" s="125" t="str">
        <f t="shared" si="177"/>
        <v/>
      </c>
      <c r="BV190" s="125" t="str">
        <f t="shared" si="178"/>
        <v/>
      </c>
      <c r="BW190" s="129" t="str">
        <f t="shared" si="179"/>
        <v/>
      </c>
      <c r="BX190" s="13"/>
      <c r="BY190" s="15"/>
      <c r="BZ190" s="14"/>
      <c r="CA190" s="117" t="str">
        <f>IF(_xlfn.XLOOKUP(BY190, AutoFill_classes!$A:$A, AutoFill_classes!$B:$B,"")=0,"",_xlfn.XLOOKUP(BY190, AutoFill_classes!$A:$A, AutoFill_classes!$B:$B,""))</f>
        <v/>
      </c>
      <c r="CB190" s="108"/>
      <c r="CC190" s="14"/>
      <c r="CD190" s="14"/>
      <c r="CE190" s="14"/>
      <c r="CF190" s="21"/>
      <c r="CG190" s="22"/>
      <c r="CH190" s="63"/>
      <c r="CI190" s="23"/>
      <c r="CJ190" s="121" t="str">
        <f t="shared" si="180"/>
        <v/>
      </c>
      <c r="CK190" s="20"/>
      <c r="CL190" s="20"/>
      <c r="CM190" s="20"/>
      <c r="CN190" s="20"/>
      <c r="CO190" s="125" t="str">
        <f t="shared" si="181"/>
        <v/>
      </c>
      <c r="CP190" s="14"/>
      <c r="CQ190" s="125" t="str">
        <f t="shared" si="182"/>
        <v/>
      </c>
      <c r="CR190" s="20"/>
      <c r="CS190" s="20"/>
      <c r="CT190" s="125" t="str">
        <f t="shared" si="183"/>
        <v/>
      </c>
      <c r="CU190" s="14"/>
      <c r="CV190" s="125" t="str">
        <f t="shared" si="184"/>
        <v/>
      </c>
      <c r="CW190" s="20"/>
      <c r="CX190" s="20"/>
      <c r="CY190" s="125" t="str">
        <f t="shared" si="185"/>
        <v/>
      </c>
      <c r="CZ190" s="125" t="str">
        <f t="shared" si="186"/>
        <v/>
      </c>
      <c r="DA190" s="125" t="str">
        <f t="shared" si="187"/>
        <v/>
      </c>
      <c r="DB190" s="129" t="str">
        <f t="shared" si="188"/>
        <v/>
      </c>
      <c r="DC190" s="14"/>
      <c r="DD190" s="62"/>
      <c r="DE190" s="105">
        <v>188</v>
      </c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</row>
    <row r="191" spans="1:176" s="1" customFormat="1" ht="13" hidden="1" customHeight="1" outlineLevel="1" x14ac:dyDescent="0.2">
      <c r="A191" s="4"/>
      <c r="B191" s="115" t="str">
        <f>IF(_xlfn.XLOOKUP(A191, AutoFill_names!B:B, AutoFill_names!C:C,"")=0,"",_xlfn.XLOOKUP(A191, AutoFill_names!B:B, AutoFill_names!C:C,""))</f>
        <v/>
      </c>
      <c r="C191" s="115" t="str">
        <f>IF(_xlfn.XLOOKUP(A191, AutoFill_names!B:B, AutoFill_names!D:D,"")=0,"",_xlfn.XLOOKUP(A191, AutoFill_names!B:B, AutoFill_names!D:D,""))</f>
        <v/>
      </c>
      <c r="D191" s="115" t="str">
        <f>IF(_xlfn.XLOOKUP(A191, AutoFill_names!B:B, AutoFill_names!E:E,"")=0,"",_xlfn.XLOOKUP(A191, AutoFill_names!B:B, AutoFill_names!E:E,""))</f>
        <v/>
      </c>
      <c r="E191" s="115" t="str">
        <f>IF(_xlfn.XLOOKUP(A191, AutoFill_names!B:B, AutoFill_names!F:F,"")=0,"",_xlfn.XLOOKUP(A191, AutoFill_names!B:B, AutoFill_names!F:F,""))</f>
        <v/>
      </c>
      <c r="F191" s="92"/>
      <c r="J191" s="115" t="str">
        <f>IF(_xlfn.XLOOKUP(A191, AutoFill_names!B:B, AutoFill_names!K:K,"")=0,"",_xlfn.XLOOKUP(A191, AutoFill_names!B:B, AutoFill_names!K:K,""))</f>
        <v/>
      </c>
      <c r="K191" s="115" t="str">
        <f>IF(_xlfn.XLOOKUP(A191, AutoFill_names!B:B, AutoFill_names!L:L,"")=0,"",_xlfn.XLOOKUP(A191, AutoFill_names!B:B, AutoFill_names!L:L,""))</f>
        <v/>
      </c>
      <c r="L191" s="31"/>
      <c r="M191" s="31"/>
      <c r="N191" s="117" t="str">
        <f>IF(_xlfn.XLOOKUP(L191, AutoFill_classes!A:A, AutoFill_classes!B:B,"")=0,"",_xlfn.XLOOKUP(L191, AutoFill_classes!A:A, AutoFill_classes!B:B,""))</f>
        <v/>
      </c>
      <c r="O191" s="108"/>
      <c r="P191" s="6"/>
      <c r="Q191" s="6"/>
      <c r="R191" s="6"/>
      <c r="S191" s="2"/>
      <c r="T191" s="3"/>
      <c r="U191" s="2"/>
      <c r="X191" s="63"/>
      <c r="Y191" s="19"/>
      <c r="Z191" s="121" t="str">
        <f t="shared" si="162"/>
        <v/>
      </c>
      <c r="AA191" s="20"/>
      <c r="AB191" s="20"/>
      <c r="AC191" s="20"/>
      <c r="AD191" s="20"/>
      <c r="AE191" s="125" t="str">
        <f t="shared" si="163"/>
        <v/>
      </c>
      <c r="AF191" s="14"/>
      <c r="AG191" s="125" t="str">
        <f t="shared" si="164"/>
        <v/>
      </c>
      <c r="AH191" s="20"/>
      <c r="AI191" s="20"/>
      <c r="AJ191" s="125" t="str">
        <f t="shared" si="165"/>
        <v/>
      </c>
      <c r="AK191" s="14"/>
      <c r="AL191" s="125" t="str">
        <f t="shared" si="166"/>
        <v/>
      </c>
      <c r="AM191" s="20"/>
      <c r="AN191" s="20"/>
      <c r="AO191" s="125" t="str">
        <f t="shared" si="167"/>
        <v/>
      </c>
      <c r="AP191" s="125" t="str">
        <f t="shared" si="168"/>
        <v/>
      </c>
      <c r="AQ191" s="125" t="str">
        <f t="shared" si="169"/>
        <v/>
      </c>
      <c r="AR191" s="129" t="str">
        <f t="shared" si="170"/>
        <v/>
      </c>
      <c r="AS191" s="14"/>
      <c r="AT191" s="13"/>
      <c r="AU191" s="13"/>
      <c r="AV191" s="117" t="str">
        <f>IF(_xlfn.XLOOKUP(AT191, AutoFill_classes!$A:$A, AutoFill_classes!$B:$B,"")=0,"",_xlfn.XLOOKUP(AT191, AutoFill_classes!$A:$A, AutoFill_classes!$B:$B,""))</f>
        <v/>
      </c>
      <c r="AW191" s="108"/>
      <c r="AX191" s="11"/>
      <c r="AY191" s="13"/>
      <c r="AZ191" s="11"/>
      <c r="BA191" s="13"/>
      <c r="BB191" s="13"/>
      <c r="BC191" s="63"/>
      <c r="BD191" s="18"/>
      <c r="BE191" s="121" t="str">
        <f t="shared" si="171"/>
        <v/>
      </c>
      <c r="BF191" s="20"/>
      <c r="BG191" s="20"/>
      <c r="BH191" s="20"/>
      <c r="BI191" s="20"/>
      <c r="BJ191" s="125" t="str">
        <f t="shared" si="172"/>
        <v/>
      </c>
      <c r="BK191" s="14"/>
      <c r="BL191" s="125" t="str">
        <f t="shared" si="173"/>
        <v/>
      </c>
      <c r="BM191" s="20"/>
      <c r="BN191" s="20"/>
      <c r="BO191" s="125" t="str">
        <f t="shared" si="174"/>
        <v/>
      </c>
      <c r="BP191" s="14"/>
      <c r="BQ191" s="125" t="str">
        <f t="shared" si="175"/>
        <v/>
      </c>
      <c r="BR191" s="20"/>
      <c r="BS191" s="20"/>
      <c r="BT191" s="125" t="str">
        <f t="shared" si="176"/>
        <v/>
      </c>
      <c r="BU191" s="125" t="str">
        <f t="shared" si="177"/>
        <v/>
      </c>
      <c r="BV191" s="125" t="str">
        <f t="shared" si="178"/>
        <v/>
      </c>
      <c r="BW191" s="129" t="str">
        <f t="shared" si="179"/>
        <v/>
      </c>
      <c r="BX191" s="13"/>
      <c r="BY191" s="15"/>
      <c r="BZ191" s="14"/>
      <c r="CA191" s="117" t="str">
        <f>IF(_xlfn.XLOOKUP(BY191, AutoFill_classes!$A:$A, AutoFill_classes!$B:$B,"")=0,"",_xlfn.XLOOKUP(BY191, AutoFill_classes!$A:$A, AutoFill_classes!$B:$B,""))</f>
        <v/>
      </c>
      <c r="CB191" s="108"/>
      <c r="CC191" s="14"/>
      <c r="CD191" s="14"/>
      <c r="CE191" s="14"/>
      <c r="CF191" s="21"/>
      <c r="CG191" s="22"/>
      <c r="CH191" s="63"/>
      <c r="CI191" s="23"/>
      <c r="CJ191" s="121" t="str">
        <f t="shared" si="180"/>
        <v/>
      </c>
      <c r="CK191" s="20"/>
      <c r="CL191" s="20"/>
      <c r="CM191" s="20"/>
      <c r="CN191" s="20"/>
      <c r="CO191" s="125" t="str">
        <f t="shared" si="181"/>
        <v/>
      </c>
      <c r="CP191" s="14"/>
      <c r="CQ191" s="125" t="str">
        <f t="shared" si="182"/>
        <v/>
      </c>
      <c r="CR191" s="20"/>
      <c r="CS191" s="20"/>
      <c r="CT191" s="125" t="str">
        <f t="shared" si="183"/>
        <v/>
      </c>
      <c r="CU191" s="14"/>
      <c r="CV191" s="125" t="str">
        <f t="shared" si="184"/>
        <v/>
      </c>
      <c r="CW191" s="20"/>
      <c r="CX191" s="20"/>
      <c r="CY191" s="125" t="str">
        <f t="shared" si="185"/>
        <v/>
      </c>
      <c r="CZ191" s="125" t="str">
        <f t="shared" si="186"/>
        <v/>
      </c>
      <c r="DA191" s="125" t="str">
        <f t="shared" si="187"/>
        <v/>
      </c>
      <c r="DB191" s="129" t="str">
        <f t="shared" si="188"/>
        <v/>
      </c>
      <c r="DC191" s="14"/>
      <c r="DD191" s="62"/>
      <c r="DE191" s="105">
        <v>189</v>
      </c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spans="1:176" s="1" customFormat="1" ht="13" hidden="1" customHeight="1" outlineLevel="1" x14ac:dyDescent="0.2">
      <c r="A192" s="4"/>
      <c r="B192" s="115" t="str">
        <f>IF(_xlfn.XLOOKUP(A192, AutoFill_names!B:B, AutoFill_names!C:C,"")=0,"",_xlfn.XLOOKUP(A192, AutoFill_names!B:B, AutoFill_names!C:C,""))</f>
        <v/>
      </c>
      <c r="C192" s="115" t="str">
        <f>IF(_xlfn.XLOOKUP(A192, AutoFill_names!B:B, AutoFill_names!D:D,"")=0,"",_xlfn.XLOOKUP(A192, AutoFill_names!B:B, AutoFill_names!D:D,""))</f>
        <v/>
      </c>
      <c r="D192" s="115" t="str">
        <f>IF(_xlfn.XLOOKUP(A192, AutoFill_names!B:B, AutoFill_names!E:E,"")=0,"",_xlfn.XLOOKUP(A192, AutoFill_names!B:B, AutoFill_names!E:E,""))</f>
        <v/>
      </c>
      <c r="E192" s="115" t="str">
        <f>IF(_xlfn.XLOOKUP(A192, AutoFill_names!B:B, AutoFill_names!F:F,"")=0,"",_xlfn.XLOOKUP(A192, AutoFill_names!B:B, AutoFill_names!F:F,""))</f>
        <v/>
      </c>
      <c r="F192" s="92"/>
      <c r="J192" s="115" t="str">
        <f>IF(_xlfn.XLOOKUP(A192, AutoFill_names!B:B, AutoFill_names!K:K,"")=0,"",_xlfn.XLOOKUP(A192, AutoFill_names!B:B, AutoFill_names!K:K,""))</f>
        <v/>
      </c>
      <c r="K192" s="115" t="str">
        <f>IF(_xlfn.XLOOKUP(A192, AutoFill_names!B:B, AutoFill_names!L:L,"")=0,"",_xlfn.XLOOKUP(A192, AutoFill_names!B:B, AutoFill_names!L:L,""))</f>
        <v/>
      </c>
      <c r="L192" s="31"/>
      <c r="M192" s="31"/>
      <c r="N192" s="117" t="str">
        <f>IF(_xlfn.XLOOKUP(L192, AutoFill_classes!A:A, AutoFill_classes!B:B,"")=0,"",_xlfn.XLOOKUP(L192, AutoFill_classes!A:A, AutoFill_classes!B:B,""))</f>
        <v/>
      </c>
      <c r="O192" s="108"/>
      <c r="P192" s="6"/>
      <c r="Q192" s="6"/>
      <c r="R192" s="6"/>
      <c r="S192" s="2"/>
      <c r="T192" s="3"/>
      <c r="U192" s="2"/>
      <c r="X192" s="63"/>
      <c r="Y192" s="19"/>
      <c r="Z192" s="121" t="str">
        <f t="shared" si="162"/>
        <v/>
      </c>
      <c r="AA192" s="20"/>
      <c r="AB192" s="20"/>
      <c r="AC192" s="20"/>
      <c r="AD192" s="20"/>
      <c r="AE192" s="125" t="str">
        <f t="shared" si="163"/>
        <v/>
      </c>
      <c r="AF192" s="14"/>
      <c r="AG192" s="125" t="str">
        <f t="shared" si="164"/>
        <v/>
      </c>
      <c r="AH192" s="20"/>
      <c r="AI192" s="20"/>
      <c r="AJ192" s="125" t="str">
        <f t="shared" si="165"/>
        <v/>
      </c>
      <c r="AK192" s="14"/>
      <c r="AL192" s="125" t="str">
        <f t="shared" si="166"/>
        <v/>
      </c>
      <c r="AM192" s="20"/>
      <c r="AN192" s="20"/>
      <c r="AO192" s="125" t="str">
        <f t="shared" si="167"/>
        <v/>
      </c>
      <c r="AP192" s="125" t="str">
        <f t="shared" si="168"/>
        <v/>
      </c>
      <c r="AQ192" s="125" t="str">
        <f t="shared" si="169"/>
        <v/>
      </c>
      <c r="AR192" s="129" t="str">
        <f t="shared" si="170"/>
        <v/>
      </c>
      <c r="AS192" s="14"/>
      <c r="AT192" s="13"/>
      <c r="AU192" s="13"/>
      <c r="AV192" s="117" t="str">
        <f>IF(_xlfn.XLOOKUP(AT192, AutoFill_classes!$A:$A, AutoFill_classes!$B:$B,"")=0,"",_xlfn.XLOOKUP(AT192, AutoFill_classes!$A:$A, AutoFill_classes!$B:$B,""))</f>
        <v/>
      </c>
      <c r="AW192" s="108"/>
      <c r="AX192" s="11"/>
      <c r="AY192" s="13"/>
      <c r="AZ192" s="11"/>
      <c r="BA192" s="13"/>
      <c r="BB192" s="13"/>
      <c r="BC192" s="63"/>
      <c r="BD192" s="18"/>
      <c r="BE192" s="121" t="str">
        <f t="shared" si="171"/>
        <v/>
      </c>
      <c r="BF192" s="20"/>
      <c r="BG192" s="20"/>
      <c r="BH192" s="20"/>
      <c r="BI192" s="20"/>
      <c r="BJ192" s="125" t="str">
        <f t="shared" si="172"/>
        <v/>
      </c>
      <c r="BK192" s="14"/>
      <c r="BL192" s="125" t="str">
        <f t="shared" si="173"/>
        <v/>
      </c>
      <c r="BM192" s="20"/>
      <c r="BN192" s="20"/>
      <c r="BO192" s="125" t="str">
        <f t="shared" si="174"/>
        <v/>
      </c>
      <c r="BP192" s="14"/>
      <c r="BQ192" s="125" t="str">
        <f t="shared" si="175"/>
        <v/>
      </c>
      <c r="BR192" s="20"/>
      <c r="BS192" s="20"/>
      <c r="BT192" s="125" t="str">
        <f t="shared" si="176"/>
        <v/>
      </c>
      <c r="BU192" s="125" t="str">
        <f t="shared" si="177"/>
        <v/>
      </c>
      <c r="BV192" s="125" t="str">
        <f t="shared" si="178"/>
        <v/>
      </c>
      <c r="BW192" s="129" t="str">
        <f t="shared" si="179"/>
        <v/>
      </c>
      <c r="BX192" s="13"/>
      <c r="BY192" s="15"/>
      <c r="BZ192" s="14"/>
      <c r="CA192" s="117" t="str">
        <f>IF(_xlfn.XLOOKUP(BY192, AutoFill_classes!$A:$A, AutoFill_classes!$B:$B,"")=0,"",_xlfn.XLOOKUP(BY192, AutoFill_classes!$A:$A, AutoFill_classes!$B:$B,""))</f>
        <v/>
      </c>
      <c r="CB192" s="108"/>
      <c r="CC192" s="14"/>
      <c r="CD192" s="14"/>
      <c r="CE192" s="14"/>
      <c r="CF192" s="21"/>
      <c r="CG192" s="22"/>
      <c r="CH192" s="63"/>
      <c r="CI192" s="23"/>
      <c r="CJ192" s="121" t="str">
        <f t="shared" si="180"/>
        <v/>
      </c>
      <c r="CK192" s="20"/>
      <c r="CL192" s="20"/>
      <c r="CM192" s="20"/>
      <c r="CN192" s="20"/>
      <c r="CO192" s="125" t="str">
        <f t="shared" si="181"/>
        <v/>
      </c>
      <c r="CP192" s="14"/>
      <c r="CQ192" s="125" t="str">
        <f t="shared" si="182"/>
        <v/>
      </c>
      <c r="CR192" s="20"/>
      <c r="CS192" s="20"/>
      <c r="CT192" s="125" t="str">
        <f t="shared" si="183"/>
        <v/>
      </c>
      <c r="CU192" s="14"/>
      <c r="CV192" s="125" t="str">
        <f t="shared" si="184"/>
        <v/>
      </c>
      <c r="CW192" s="20"/>
      <c r="CX192" s="20"/>
      <c r="CY192" s="125" t="str">
        <f t="shared" si="185"/>
        <v/>
      </c>
      <c r="CZ192" s="125" t="str">
        <f t="shared" si="186"/>
        <v/>
      </c>
      <c r="DA192" s="125" t="str">
        <f t="shared" si="187"/>
        <v/>
      </c>
      <c r="DB192" s="129" t="str">
        <f t="shared" si="188"/>
        <v/>
      </c>
      <c r="DC192" s="14"/>
      <c r="DD192" s="62"/>
      <c r="DE192" s="105">
        <v>190</v>
      </c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</row>
    <row r="193" spans="1:176" s="1" customFormat="1" ht="13" hidden="1" customHeight="1" outlineLevel="1" x14ac:dyDescent="0.2">
      <c r="A193" s="4"/>
      <c r="B193" s="115" t="str">
        <f>IF(_xlfn.XLOOKUP(A193, AutoFill_names!B:B, AutoFill_names!C:C,"")=0,"",_xlfn.XLOOKUP(A193, AutoFill_names!B:B, AutoFill_names!C:C,""))</f>
        <v/>
      </c>
      <c r="C193" s="115" t="str">
        <f>IF(_xlfn.XLOOKUP(A193, AutoFill_names!B:B, AutoFill_names!D:D,"")=0,"",_xlfn.XLOOKUP(A193, AutoFill_names!B:B, AutoFill_names!D:D,""))</f>
        <v/>
      </c>
      <c r="D193" s="115" t="str">
        <f>IF(_xlfn.XLOOKUP(A193, AutoFill_names!B:B, AutoFill_names!E:E,"")=0,"",_xlfn.XLOOKUP(A193, AutoFill_names!B:B, AutoFill_names!E:E,""))</f>
        <v/>
      </c>
      <c r="E193" s="115" t="str">
        <f>IF(_xlfn.XLOOKUP(A193, AutoFill_names!B:B, AutoFill_names!F:F,"")=0,"",_xlfn.XLOOKUP(A193, AutoFill_names!B:B, AutoFill_names!F:F,""))</f>
        <v/>
      </c>
      <c r="F193" s="92"/>
      <c r="J193" s="115" t="str">
        <f>IF(_xlfn.XLOOKUP(A193, AutoFill_names!B:B, AutoFill_names!K:K,"")=0,"",_xlfn.XLOOKUP(A193, AutoFill_names!B:B, AutoFill_names!K:K,""))</f>
        <v/>
      </c>
      <c r="K193" s="115" t="str">
        <f>IF(_xlfn.XLOOKUP(A193, AutoFill_names!B:B, AutoFill_names!L:L,"")=0,"",_xlfn.XLOOKUP(A193, AutoFill_names!B:B, AutoFill_names!L:L,""))</f>
        <v/>
      </c>
      <c r="L193" s="31"/>
      <c r="M193" s="31"/>
      <c r="N193" s="117" t="str">
        <f>IF(_xlfn.XLOOKUP(L193, AutoFill_classes!A:A, AutoFill_classes!B:B,"")=0,"",_xlfn.XLOOKUP(L193, AutoFill_classes!A:A, AutoFill_classes!B:B,""))</f>
        <v/>
      </c>
      <c r="O193" s="108"/>
      <c r="P193" s="6"/>
      <c r="Q193" s="6"/>
      <c r="R193" s="6"/>
      <c r="S193" s="2"/>
      <c r="T193" s="3"/>
      <c r="U193" s="2"/>
      <c r="X193" s="63"/>
      <c r="Y193" s="19"/>
      <c r="Z193" s="121" t="str">
        <f t="shared" si="162"/>
        <v/>
      </c>
      <c r="AA193" s="20"/>
      <c r="AB193" s="20"/>
      <c r="AC193" s="20"/>
      <c r="AD193" s="20"/>
      <c r="AE193" s="125" t="str">
        <f t="shared" si="163"/>
        <v/>
      </c>
      <c r="AF193" s="14"/>
      <c r="AG193" s="125" t="str">
        <f t="shared" si="164"/>
        <v/>
      </c>
      <c r="AH193" s="20"/>
      <c r="AI193" s="20"/>
      <c r="AJ193" s="125" t="str">
        <f t="shared" si="165"/>
        <v/>
      </c>
      <c r="AK193" s="14"/>
      <c r="AL193" s="125" t="str">
        <f t="shared" si="166"/>
        <v/>
      </c>
      <c r="AM193" s="20"/>
      <c r="AN193" s="20"/>
      <c r="AO193" s="125" t="str">
        <f t="shared" si="167"/>
        <v/>
      </c>
      <c r="AP193" s="125" t="str">
        <f t="shared" si="168"/>
        <v/>
      </c>
      <c r="AQ193" s="125" t="str">
        <f t="shared" si="169"/>
        <v/>
      </c>
      <c r="AR193" s="129" t="str">
        <f t="shared" si="170"/>
        <v/>
      </c>
      <c r="AS193" s="14"/>
      <c r="AT193" s="13"/>
      <c r="AU193" s="13"/>
      <c r="AV193" s="117" t="str">
        <f>IF(_xlfn.XLOOKUP(AT193, AutoFill_classes!$A:$A, AutoFill_classes!$B:$B,"")=0,"",_xlfn.XLOOKUP(AT193, AutoFill_classes!$A:$A, AutoFill_classes!$B:$B,""))</f>
        <v/>
      </c>
      <c r="AW193" s="108"/>
      <c r="AX193" s="11"/>
      <c r="AY193" s="13"/>
      <c r="AZ193" s="11"/>
      <c r="BA193" s="13"/>
      <c r="BB193" s="13"/>
      <c r="BC193" s="63"/>
      <c r="BD193" s="18"/>
      <c r="BE193" s="121" t="str">
        <f t="shared" si="171"/>
        <v/>
      </c>
      <c r="BF193" s="20"/>
      <c r="BG193" s="20"/>
      <c r="BH193" s="20"/>
      <c r="BI193" s="20"/>
      <c r="BJ193" s="125" t="str">
        <f t="shared" si="172"/>
        <v/>
      </c>
      <c r="BK193" s="14"/>
      <c r="BL193" s="125" t="str">
        <f t="shared" si="173"/>
        <v/>
      </c>
      <c r="BM193" s="20"/>
      <c r="BN193" s="20"/>
      <c r="BO193" s="125" t="str">
        <f t="shared" si="174"/>
        <v/>
      </c>
      <c r="BP193" s="14"/>
      <c r="BQ193" s="125" t="str">
        <f t="shared" si="175"/>
        <v/>
      </c>
      <c r="BR193" s="20"/>
      <c r="BS193" s="20"/>
      <c r="BT193" s="125" t="str">
        <f t="shared" si="176"/>
        <v/>
      </c>
      <c r="BU193" s="125" t="str">
        <f t="shared" si="177"/>
        <v/>
      </c>
      <c r="BV193" s="125" t="str">
        <f t="shared" si="178"/>
        <v/>
      </c>
      <c r="BW193" s="129" t="str">
        <f t="shared" si="179"/>
        <v/>
      </c>
      <c r="BX193" s="13"/>
      <c r="BY193" s="15"/>
      <c r="BZ193" s="14"/>
      <c r="CA193" s="117" t="str">
        <f>IF(_xlfn.XLOOKUP(BY193, AutoFill_classes!$A:$A, AutoFill_classes!$B:$B,"")=0,"",_xlfn.XLOOKUP(BY193, AutoFill_classes!$A:$A, AutoFill_classes!$B:$B,""))</f>
        <v/>
      </c>
      <c r="CB193" s="108"/>
      <c r="CC193" s="14"/>
      <c r="CD193" s="14"/>
      <c r="CE193" s="14"/>
      <c r="CF193" s="21"/>
      <c r="CG193" s="22"/>
      <c r="CH193" s="63"/>
      <c r="CI193" s="23"/>
      <c r="CJ193" s="121" t="str">
        <f t="shared" si="180"/>
        <v/>
      </c>
      <c r="CK193" s="20"/>
      <c r="CL193" s="20"/>
      <c r="CM193" s="20"/>
      <c r="CN193" s="20"/>
      <c r="CO193" s="125" t="str">
        <f t="shared" si="181"/>
        <v/>
      </c>
      <c r="CP193" s="14"/>
      <c r="CQ193" s="125" t="str">
        <f t="shared" si="182"/>
        <v/>
      </c>
      <c r="CR193" s="20"/>
      <c r="CS193" s="20"/>
      <c r="CT193" s="125" t="str">
        <f t="shared" si="183"/>
        <v/>
      </c>
      <c r="CU193" s="14"/>
      <c r="CV193" s="125" t="str">
        <f t="shared" si="184"/>
        <v/>
      </c>
      <c r="CW193" s="20"/>
      <c r="CX193" s="20"/>
      <c r="CY193" s="125" t="str">
        <f t="shared" si="185"/>
        <v/>
      </c>
      <c r="CZ193" s="125" t="str">
        <f t="shared" si="186"/>
        <v/>
      </c>
      <c r="DA193" s="125" t="str">
        <f t="shared" si="187"/>
        <v/>
      </c>
      <c r="DB193" s="129" t="str">
        <f t="shared" si="188"/>
        <v/>
      </c>
      <c r="DC193" s="14"/>
      <c r="DD193" s="62"/>
      <c r="DE193" s="105">
        <v>191</v>
      </c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</row>
    <row r="194" spans="1:176" s="1" customFormat="1" ht="13" hidden="1" customHeight="1" outlineLevel="1" x14ac:dyDescent="0.2">
      <c r="A194" s="4"/>
      <c r="B194" s="115" t="str">
        <f>IF(_xlfn.XLOOKUP(A194, AutoFill_names!B:B, AutoFill_names!C:C,"")=0,"",_xlfn.XLOOKUP(A194, AutoFill_names!B:B, AutoFill_names!C:C,""))</f>
        <v/>
      </c>
      <c r="C194" s="115" t="str">
        <f>IF(_xlfn.XLOOKUP(A194, AutoFill_names!B:B, AutoFill_names!D:D,"")=0,"",_xlfn.XLOOKUP(A194, AutoFill_names!B:B, AutoFill_names!D:D,""))</f>
        <v/>
      </c>
      <c r="D194" s="115" t="str">
        <f>IF(_xlfn.XLOOKUP(A194, AutoFill_names!B:B, AutoFill_names!E:E,"")=0,"",_xlfn.XLOOKUP(A194, AutoFill_names!B:B, AutoFill_names!E:E,""))</f>
        <v/>
      </c>
      <c r="E194" s="115" t="str">
        <f>IF(_xlfn.XLOOKUP(A194, AutoFill_names!B:B, AutoFill_names!F:F,"")=0,"",_xlfn.XLOOKUP(A194, AutoFill_names!B:B, AutoFill_names!F:F,""))</f>
        <v/>
      </c>
      <c r="F194" s="92"/>
      <c r="J194" s="115" t="str">
        <f>IF(_xlfn.XLOOKUP(A194, AutoFill_names!B:B, AutoFill_names!K:K,"")=0,"",_xlfn.XLOOKUP(A194, AutoFill_names!B:B, AutoFill_names!K:K,""))</f>
        <v/>
      </c>
      <c r="K194" s="115" t="str">
        <f>IF(_xlfn.XLOOKUP(A194, AutoFill_names!B:B, AutoFill_names!L:L,"")=0,"",_xlfn.XLOOKUP(A194, AutoFill_names!B:B, AutoFill_names!L:L,""))</f>
        <v/>
      </c>
      <c r="L194" s="31"/>
      <c r="M194" s="31"/>
      <c r="N194" s="117" t="str">
        <f>IF(_xlfn.XLOOKUP(L194, AutoFill_classes!A:A, AutoFill_classes!B:B,"")=0,"",_xlfn.XLOOKUP(L194, AutoFill_classes!A:A, AutoFill_classes!B:B,""))</f>
        <v/>
      </c>
      <c r="O194" s="108"/>
      <c r="P194" s="6"/>
      <c r="Q194" s="6"/>
      <c r="R194" s="6"/>
      <c r="S194" s="2"/>
      <c r="T194" s="3"/>
      <c r="U194" s="2"/>
      <c r="X194" s="63"/>
      <c r="Y194" s="19"/>
      <c r="Z194" s="121" t="str">
        <f t="shared" si="162"/>
        <v/>
      </c>
      <c r="AA194" s="20"/>
      <c r="AB194" s="20"/>
      <c r="AC194" s="20"/>
      <c r="AD194" s="20"/>
      <c r="AE194" s="125" t="str">
        <f t="shared" si="163"/>
        <v/>
      </c>
      <c r="AF194" s="14"/>
      <c r="AG194" s="125" t="str">
        <f t="shared" si="164"/>
        <v/>
      </c>
      <c r="AH194" s="20"/>
      <c r="AI194" s="20"/>
      <c r="AJ194" s="125" t="str">
        <f t="shared" si="165"/>
        <v/>
      </c>
      <c r="AK194" s="14"/>
      <c r="AL194" s="125" t="str">
        <f t="shared" si="166"/>
        <v/>
      </c>
      <c r="AM194" s="20"/>
      <c r="AN194" s="20"/>
      <c r="AO194" s="125" t="str">
        <f t="shared" si="167"/>
        <v/>
      </c>
      <c r="AP194" s="125" t="str">
        <f t="shared" si="168"/>
        <v/>
      </c>
      <c r="AQ194" s="125" t="str">
        <f t="shared" si="169"/>
        <v/>
      </c>
      <c r="AR194" s="129" t="str">
        <f t="shared" si="170"/>
        <v/>
      </c>
      <c r="AS194" s="14"/>
      <c r="AT194" s="13"/>
      <c r="AU194" s="13"/>
      <c r="AV194" s="117" t="str">
        <f>IF(_xlfn.XLOOKUP(AT194, AutoFill_classes!$A:$A, AutoFill_classes!$B:$B,"")=0,"",_xlfn.XLOOKUP(AT194, AutoFill_classes!$A:$A, AutoFill_classes!$B:$B,""))</f>
        <v/>
      </c>
      <c r="AW194" s="108"/>
      <c r="AX194" s="11"/>
      <c r="AY194" s="13"/>
      <c r="AZ194" s="11"/>
      <c r="BA194" s="13"/>
      <c r="BB194" s="13"/>
      <c r="BC194" s="63"/>
      <c r="BD194" s="18"/>
      <c r="BE194" s="121" t="str">
        <f t="shared" si="171"/>
        <v/>
      </c>
      <c r="BF194" s="20"/>
      <c r="BG194" s="20"/>
      <c r="BH194" s="20"/>
      <c r="BI194" s="20"/>
      <c r="BJ194" s="125" t="str">
        <f t="shared" si="172"/>
        <v/>
      </c>
      <c r="BK194" s="14"/>
      <c r="BL194" s="125" t="str">
        <f t="shared" si="173"/>
        <v/>
      </c>
      <c r="BM194" s="20"/>
      <c r="BN194" s="20"/>
      <c r="BO194" s="125" t="str">
        <f t="shared" si="174"/>
        <v/>
      </c>
      <c r="BP194" s="14"/>
      <c r="BQ194" s="125" t="str">
        <f t="shared" si="175"/>
        <v/>
      </c>
      <c r="BR194" s="20"/>
      <c r="BS194" s="20"/>
      <c r="BT194" s="125" t="str">
        <f t="shared" si="176"/>
        <v/>
      </c>
      <c r="BU194" s="125" t="str">
        <f t="shared" si="177"/>
        <v/>
      </c>
      <c r="BV194" s="125" t="str">
        <f t="shared" si="178"/>
        <v/>
      </c>
      <c r="BW194" s="129" t="str">
        <f t="shared" si="179"/>
        <v/>
      </c>
      <c r="BX194" s="13"/>
      <c r="BY194" s="15"/>
      <c r="BZ194" s="14"/>
      <c r="CA194" s="117" t="str">
        <f>IF(_xlfn.XLOOKUP(BY194, AutoFill_classes!$A:$A, AutoFill_classes!$B:$B,"")=0,"",_xlfn.XLOOKUP(BY194, AutoFill_classes!$A:$A, AutoFill_classes!$B:$B,""))</f>
        <v/>
      </c>
      <c r="CB194" s="108"/>
      <c r="CC194" s="14"/>
      <c r="CD194" s="14"/>
      <c r="CE194" s="14"/>
      <c r="CF194" s="21"/>
      <c r="CG194" s="22"/>
      <c r="CH194" s="63"/>
      <c r="CI194" s="23"/>
      <c r="CJ194" s="121" t="str">
        <f t="shared" si="180"/>
        <v/>
      </c>
      <c r="CK194" s="20"/>
      <c r="CL194" s="20"/>
      <c r="CM194" s="20"/>
      <c r="CN194" s="20"/>
      <c r="CO194" s="125" t="str">
        <f t="shared" si="181"/>
        <v/>
      </c>
      <c r="CP194" s="14"/>
      <c r="CQ194" s="125" t="str">
        <f t="shared" si="182"/>
        <v/>
      </c>
      <c r="CR194" s="20"/>
      <c r="CS194" s="20"/>
      <c r="CT194" s="125" t="str">
        <f t="shared" si="183"/>
        <v/>
      </c>
      <c r="CU194" s="14"/>
      <c r="CV194" s="125" t="str">
        <f t="shared" si="184"/>
        <v/>
      </c>
      <c r="CW194" s="20"/>
      <c r="CX194" s="20"/>
      <c r="CY194" s="125" t="str">
        <f t="shared" si="185"/>
        <v/>
      </c>
      <c r="CZ194" s="125" t="str">
        <f t="shared" si="186"/>
        <v/>
      </c>
      <c r="DA194" s="125" t="str">
        <f t="shared" si="187"/>
        <v/>
      </c>
      <c r="DB194" s="129" t="str">
        <f t="shared" si="188"/>
        <v/>
      </c>
      <c r="DC194" s="14"/>
      <c r="DD194" s="62"/>
      <c r="DE194" s="105">
        <v>192</v>
      </c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</row>
    <row r="195" spans="1:176" s="1" customFormat="1" ht="13" hidden="1" customHeight="1" outlineLevel="1" x14ac:dyDescent="0.2">
      <c r="A195" s="4"/>
      <c r="B195" s="115" t="str">
        <f>IF(_xlfn.XLOOKUP(A195, AutoFill_names!B:B, AutoFill_names!C:C,"")=0,"",_xlfn.XLOOKUP(A195, AutoFill_names!B:B, AutoFill_names!C:C,""))</f>
        <v/>
      </c>
      <c r="C195" s="115" t="str">
        <f>IF(_xlfn.XLOOKUP(A195, AutoFill_names!B:B, AutoFill_names!D:D,"")=0,"",_xlfn.XLOOKUP(A195, AutoFill_names!B:B, AutoFill_names!D:D,""))</f>
        <v/>
      </c>
      <c r="D195" s="115" t="str">
        <f>IF(_xlfn.XLOOKUP(A195, AutoFill_names!B:B, AutoFill_names!E:E,"")=0,"",_xlfn.XLOOKUP(A195, AutoFill_names!B:B, AutoFill_names!E:E,""))</f>
        <v/>
      </c>
      <c r="E195" s="115" t="str">
        <f>IF(_xlfn.XLOOKUP(A195, AutoFill_names!B:B, AutoFill_names!F:F,"")=0,"",_xlfn.XLOOKUP(A195, AutoFill_names!B:B, AutoFill_names!F:F,""))</f>
        <v/>
      </c>
      <c r="F195" s="92"/>
      <c r="J195" s="115" t="str">
        <f>IF(_xlfn.XLOOKUP(A195, AutoFill_names!B:B, AutoFill_names!K:K,"")=0,"",_xlfn.XLOOKUP(A195, AutoFill_names!B:B, AutoFill_names!K:K,""))</f>
        <v/>
      </c>
      <c r="K195" s="115" t="str">
        <f>IF(_xlfn.XLOOKUP(A195, AutoFill_names!B:B, AutoFill_names!L:L,"")=0,"",_xlfn.XLOOKUP(A195, AutoFill_names!B:B, AutoFill_names!L:L,""))</f>
        <v/>
      </c>
      <c r="L195" s="31"/>
      <c r="M195" s="31"/>
      <c r="N195" s="117" t="str">
        <f>IF(_xlfn.XLOOKUP(L195, AutoFill_classes!A:A, AutoFill_classes!B:B,"")=0,"",_xlfn.XLOOKUP(L195, AutoFill_classes!A:A, AutoFill_classes!B:B,""))</f>
        <v/>
      </c>
      <c r="O195" s="108"/>
      <c r="P195" s="6"/>
      <c r="Q195" s="6"/>
      <c r="R195" s="6"/>
      <c r="S195" s="2"/>
      <c r="T195" s="3"/>
      <c r="U195" s="2"/>
      <c r="X195" s="63"/>
      <c r="Y195" s="19"/>
      <c r="Z195" s="121" t="str">
        <f t="shared" si="162"/>
        <v/>
      </c>
      <c r="AA195" s="20"/>
      <c r="AB195" s="20"/>
      <c r="AC195" s="20"/>
      <c r="AD195" s="20"/>
      <c r="AE195" s="125" t="str">
        <f t="shared" si="163"/>
        <v/>
      </c>
      <c r="AF195" s="14"/>
      <c r="AG195" s="125" t="str">
        <f t="shared" si="164"/>
        <v/>
      </c>
      <c r="AH195" s="20"/>
      <c r="AI195" s="20"/>
      <c r="AJ195" s="125" t="str">
        <f t="shared" si="165"/>
        <v/>
      </c>
      <c r="AK195" s="14"/>
      <c r="AL195" s="125" t="str">
        <f t="shared" si="166"/>
        <v/>
      </c>
      <c r="AM195" s="20"/>
      <c r="AN195" s="20"/>
      <c r="AO195" s="125" t="str">
        <f t="shared" si="167"/>
        <v/>
      </c>
      <c r="AP195" s="125" t="str">
        <f t="shared" si="168"/>
        <v/>
      </c>
      <c r="AQ195" s="125" t="str">
        <f t="shared" si="169"/>
        <v/>
      </c>
      <c r="AR195" s="129" t="str">
        <f t="shared" si="170"/>
        <v/>
      </c>
      <c r="AS195" s="14"/>
      <c r="AT195" s="13"/>
      <c r="AU195" s="13"/>
      <c r="AV195" s="117" t="str">
        <f>IF(_xlfn.XLOOKUP(AT195, AutoFill_classes!$A:$A, AutoFill_classes!$B:$B,"")=0,"",_xlfn.XLOOKUP(AT195, AutoFill_classes!$A:$A, AutoFill_classes!$B:$B,""))</f>
        <v/>
      </c>
      <c r="AW195" s="108"/>
      <c r="AX195" s="11"/>
      <c r="AY195" s="13"/>
      <c r="AZ195" s="11"/>
      <c r="BA195" s="13"/>
      <c r="BB195" s="13"/>
      <c r="BC195" s="63"/>
      <c r="BD195" s="18"/>
      <c r="BE195" s="121" t="str">
        <f t="shared" si="171"/>
        <v/>
      </c>
      <c r="BF195" s="20"/>
      <c r="BG195" s="20"/>
      <c r="BH195" s="20"/>
      <c r="BI195" s="20"/>
      <c r="BJ195" s="125" t="str">
        <f t="shared" si="172"/>
        <v/>
      </c>
      <c r="BK195" s="14"/>
      <c r="BL195" s="125" t="str">
        <f t="shared" si="173"/>
        <v/>
      </c>
      <c r="BM195" s="20"/>
      <c r="BN195" s="20"/>
      <c r="BO195" s="125" t="str">
        <f t="shared" si="174"/>
        <v/>
      </c>
      <c r="BP195" s="14"/>
      <c r="BQ195" s="125" t="str">
        <f t="shared" si="175"/>
        <v/>
      </c>
      <c r="BR195" s="20"/>
      <c r="BS195" s="20"/>
      <c r="BT195" s="125" t="str">
        <f t="shared" si="176"/>
        <v/>
      </c>
      <c r="BU195" s="125" t="str">
        <f t="shared" si="177"/>
        <v/>
      </c>
      <c r="BV195" s="125" t="str">
        <f t="shared" si="178"/>
        <v/>
      </c>
      <c r="BW195" s="129" t="str">
        <f t="shared" si="179"/>
        <v/>
      </c>
      <c r="BX195" s="13"/>
      <c r="BY195" s="15"/>
      <c r="BZ195" s="14"/>
      <c r="CA195" s="117" t="str">
        <f>IF(_xlfn.XLOOKUP(BY195, AutoFill_classes!$A:$A, AutoFill_classes!$B:$B,"")=0,"",_xlfn.XLOOKUP(BY195, AutoFill_classes!$A:$A, AutoFill_classes!$B:$B,""))</f>
        <v/>
      </c>
      <c r="CB195" s="108"/>
      <c r="CC195" s="14"/>
      <c r="CD195" s="14"/>
      <c r="CE195" s="14"/>
      <c r="CF195" s="21"/>
      <c r="CG195" s="22"/>
      <c r="CH195" s="63"/>
      <c r="CI195" s="23"/>
      <c r="CJ195" s="121" t="str">
        <f t="shared" si="180"/>
        <v/>
      </c>
      <c r="CK195" s="20"/>
      <c r="CL195" s="20"/>
      <c r="CM195" s="20"/>
      <c r="CN195" s="20"/>
      <c r="CO195" s="125" t="str">
        <f t="shared" si="181"/>
        <v/>
      </c>
      <c r="CP195" s="14"/>
      <c r="CQ195" s="125" t="str">
        <f t="shared" si="182"/>
        <v/>
      </c>
      <c r="CR195" s="20"/>
      <c r="CS195" s="20"/>
      <c r="CT195" s="125" t="str">
        <f t="shared" si="183"/>
        <v/>
      </c>
      <c r="CU195" s="14"/>
      <c r="CV195" s="125" t="str">
        <f t="shared" si="184"/>
        <v/>
      </c>
      <c r="CW195" s="20"/>
      <c r="CX195" s="20"/>
      <c r="CY195" s="125" t="str">
        <f t="shared" si="185"/>
        <v/>
      </c>
      <c r="CZ195" s="125" t="str">
        <f t="shared" si="186"/>
        <v/>
      </c>
      <c r="DA195" s="125" t="str">
        <f t="shared" si="187"/>
        <v/>
      </c>
      <c r="DB195" s="129" t="str">
        <f t="shared" si="188"/>
        <v/>
      </c>
      <c r="DC195" s="14"/>
      <c r="DD195" s="62"/>
      <c r="DE195" s="105">
        <v>193</v>
      </c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</row>
    <row r="196" spans="1:176" s="1" customFormat="1" ht="13" hidden="1" customHeight="1" outlineLevel="1" x14ac:dyDescent="0.2">
      <c r="A196" s="4"/>
      <c r="B196" s="115" t="str">
        <f>IF(_xlfn.XLOOKUP(A196, AutoFill_names!B:B, AutoFill_names!C:C,"")=0,"",_xlfn.XLOOKUP(A196, AutoFill_names!B:B, AutoFill_names!C:C,""))</f>
        <v/>
      </c>
      <c r="C196" s="115" t="str">
        <f>IF(_xlfn.XLOOKUP(A196, AutoFill_names!B:B, AutoFill_names!D:D,"")=0,"",_xlfn.XLOOKUP(A196, AutoFill_names!B:B, AutoFill_names!D:D,""))</f>
        <v/>
      </c>
      <c r="D196" s="115" t="str">
        <f>IF(_xlfn.XLOOKUP(A196, AutoFill_names!B:B, AutoFill_names!E:E,"")=0,"",_xlfn.XLOOKUP(A196, AutoFill_names!B:B, AutoFill_names!E:E,""))</f>
        <v/>
      </c>
      <c r="E196" s="115" t="str">
        <f>IF(_xlfn.XLOOKUP(A196, AutoFill_names!B:B, AutoFill_names!F:F,"")=0,"",_xlfn.XLOOKUP(A196, AutoFill_names!B:B, AutoFill_names!F:F,""))</f>
        <v/>
      </c>
      <c r="F196" s="92"/>
      <c r="J196" s="115" t="str">
        <f>IF(_xlfn.XLOOKUP(A196, AutoFill_names!B:B, AutoFill_names!K:K,"")=0,"",_xlfn.XLOOKUP(A196, AutoFill_names!B:B, AutoFill_names!K:K,""))</f>
        <v/>
      </c>
      <c r="K196" s="115" t="str">
        <f>IF(_xlfn.XLOOKUP(A196, AutoFill_names!B:B, AutoFill_names!L:L,"")=0,"",_xlfn.XLOOKUP(A196, AutoFill_names!B:B, AutoFill_names!L:L,""))</f>
        <v/>
      </c>
      <c r="L196" s="31"/>
      <c r="M196" s="31"/>
      <c r="N196" s="117" t="str">
        <f>IF(_xlfn.XLOOKUP(L196, AutoFill_classes!A:A, AutoFill_classes!B:B,"")=0,"",_xlfn.XLOOKUP(L196, AutoFill_classes!A:A, AutoFill_classes!B:B,""))</f>
        <v/>
      </c>
      <c r="O196" s="108"/>
      <c r="P196" s="6"/>
      <c r="Q196" s="6"/>
      <c r="R196" s="6"/>
      <c r="S196" s="2"/>
      <c r="T196" s="3"/>
      <c r="U196" s="2"/>
      <c r="X196" s="63"/>
      <c r="Y196" s="19"/>
      <c r="Z196" s="121" t="str">
        <f t="shared" si="162"/>
        <v/>
      </c>
      <c r="AA196" s="20"/>
      <c r="AB196" s="20"/>
      <c r="AC196" s="20"/>
      <c r="AD196" s="20"/>
      <c r="AE196" s="125" t="str">
        <f t="shared" si="163"/>
        <v/>
      </c>
      <c r="AF196" s="14"/>
      <c r="AG196" s="125" t="str">
        <f t="shared" si="164"/>
        <v/>
      </c>
      <c r="AH196" s="20"/>
      <c r="AI196" s="20"/>
      <c r="AJ196" s="125" t="str">
        <f t="shared" si="165"/>
        <v/>
      </c>
      <c r="AK196" s="14"/>
      <c r="AL196" s="125" t="str">
        <f t="shared" si="166"/>
        <v/>
      </c>
      <c r="AM196" s="20"/>
      <c r="AN196" s="20"/>
      <c r="AO196" s="125" t="str">
        <f t="shared" si="167"/>
        <v/>
      </c>
      <c r="AP196" s="125" t="str">
        <f t="shared" si="168"/>
        <v/>
      </c>
      <c r="AQ196" s="125" t="str">
        <f t="shared" si="169"/>
        <v/>
      </c>
      <c r="AR196" s="129" t="str">
        <f t="shared" si="170"/>
        <v/>
      </c>
      <c r="AS196" s="14"/>
      <c r="AT196" s="13"/>
      <c r="AU196" s="13"/>
      <c r="AV196" s="117" t="str">
        <f>IF(_xlfn.XLOOKUP(AT196, AutoFill_classes!$A:$A, AutoFill_classes!$B:$B,"")=0,"",_xlfn.XLOOKUP(AT196, AutoFill_classes!$A:$A, AutoFill_classes!$B:$B,""))</f>
        <v/>
      </c>
      <c r="AW196" s="108"/>
      <c r="AX196" s="11"/>
      <c r="AY196" s="13"/>
      <c r="AZ196" s="11"/>
      <c r="BA196" s="13"/>
      <c r="BB196" s="13"/>
      <c r="BC196" s="63"/>
      <c r="BD196" s="18"/>
      <c r="BE196" s="121" t="str">
        <f t="shared" si="171"/>
        <v/>
      </c>
      <c r="BF196" s="20"/>
      <c r="BG196" s="20"/>
      <c r="BH196" s="20"/>
      <c r="BI196" s="20"/>
      <c r="BJ196" s="125" t="str">
        <f t="shared" si="172"/>
        <v/>
      </c>
      <c r="BK196" s="14"/>
      <c r="BL196" s="125" t="str">
        <f t="shared" si="173"/>
        <v/>
      </c>
      <c r="BM196" s="20"/>
      <c r="BN196" s="20"/>
      <c r="BO196" s="125" t="str">
        <f t="shared" si="174"/>
        <v/>
      </c>
      <c r="BP196" s="14"/>
      <c r="BQ196" s="125" t="str">
        <f t="shared" si="175"/>
        <v/>
      </c>
      <c r="BR196" s="20"/>
      <c r="BS196" s="20"/>
      <c r="BT196" s="125" t="str">
        <f t="shared" si="176"/>
        <v/>
      </c>
      <c r="BU196" s="125" t="str">
        <f t="shared" si="177"/>
        <v/>
      </c>
      <c r="BV196" s="125" t="str">
        <f t="shared" si="178"/>
        <v/>
      </c>
      <c r="BW196" s="129" t="str">
        <f t="shared" si="179"/>
        <v/>
      </c>
      <c r="BX196" s="13"/>
      <c r="BY196" s="15"/>
      <c r="BZ196" s="14"/>
      <c r="CA196" s="117" t="str">
        <f>IF(_xlfn.XLOOKUP(BY196, AutoFill_classes!$A:$A, AutoFill_classes!$B:$B,"")=0,"",_xlfn.XLOOKUP(BY196, AutoFill_classes!$A:$A, AutoFill_classes!$B:$B,""))</f>
        <v/>
      </c>
      <c r="CB196" s="108"/>
      <c r="CC196" s="14"/>
      <c r="CD196" s="14"/>
      <c r="CE196" s="14"/>
      <c r="CF196" s="21"/>
      <c r="CG196" s="22"/>
      <c r="CH196" s="63"/>
      <c r="CI196" s="23"/>
      <c r="CJ196" s="121" t="str">
        <f t="shared" si="180"/>
        <v/>
      </c>
      <c r="CK196" s="20"/>
      <c r="CL196" s="20"/>
      <c r="CM196" s="20"/>
      <c r="CN196" s="20"/>
      <c r="CO196" s="125" t="str">
        <f t="shared" si="181"/>
        <v/>
      </c>
      <c r="CP196" s="14"/>
      <c r="CQ196" s="125" t="str">
        <f t="shared" si="182"/>
        <v/>
      </c>
      <c r="CR196" s="20"/>
      <c r="CS196" s="20"/>
      <c r="CT196" s="125" t="str">
        <f t="shared" si="183"/>
        <v/>
      </c>
      <c r="CU196" s="14"/>
      <c r="CV196" s="125" t="str">
        <f t="shared" si="184"/>
        <v/>
      </c>
      <c r="CW196" s="20"/>
      <c r="CX196" s="20"/>
      <c r="CY196" s="125" t="str">
        <f t="shared" si="185"/>
        <v/>
      </c>
      <c r="CZ196" s="125" t="str">
        <f t="shared" si="186"/>
        <v/>
      </c>
      <c r="DA196" s="125" t="str">
        <f t="shared" si="187"/>
        <v/>
      </c>
      <c r="DB196" s="129" t="str">
        <f t="shared" si="188"/>
        <v/>
      </c>
      <c r="DC196" s="14"/>
      <c r="DD196" s="62"/>
      <c r="DE196" s="105">
        <v>194</v>
      </c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</row>
    <row r="197" spans="1:176" s="1" customFormat="1" ht="13" hidden="1" customHeight="1" outlineLevel="1" x14ac:dyDescent="0.2">
      <c r="A197" s="4"/>
      <c r="B197" s="115" t="str">
        <f>IF(_xlfn.XLOOKUP(A197, AutoFill_names!B:B, AutoFill_names!C:C,"")=0,"",_xlfn.XLOOKUP(A197, AutoFill_names!B:B, AutoFill_names!C:C,""))</f>
        <v/>
      </c>
      <c r="C197" s="115" t="str">
        <f>IF(_xlfn.XLOOKUP(A197, AutoFill_names!B:B, AutoFill_names!D:D,"")=0,"",_xlfn.XLOOKUP(A197, AutoFill_names!B:B, AutoFill_names!D:D,""))</f>
        <v/>
      </c>
      <c r="D197" s="115" t="str">
        <f>IF(_xlfn.XLOOKUP(A197, AutoFill_names!B:B, AutoFill_names!E:E,"")=0,"",_xlfn.XLOOKUP(A197, AutoFill_names!B:B, AutoFill_names!E:E,""))</f>
        <v/>
      </c>
      <c r="E197" s="115" t="str">
        <f>IF(_xlfn.XLOOKUP(A197, AutoFill_names!B:B, AutoFill_names!F:F,"")=0,"",_xlfn.XLOOKUP(A197, AutoFill_names!B:B, AutoFill_names!F:F,""))</f>
        <v/>
      </c>
      <c r="F197" s="92"/>
      <c r="J197" s="115" t="str">
        <f>IF(_xlfn.XLOOKUP(A197, AutoFill_names!B:B, AutoFill_names!K:K,"")=0,"",_xlfn.XLOOKUP(A197, AutoFill_names!B:B, AutoFill_names!K:K,""))</f>
        <v/>
      </c>
      <c r="K197" s="115" t="str">
        <f>IF(_xlfn.XLOOKUP(A197, AutoFill_names!B:B, AutoFill_names!L:L,"")=0,"",_xlfn.XLOOKUP(A197, AutoFill_names!B:B, AutoFill_names!L:L,""))</f>
        <v/>
      </c>
      <c r="L197" s="31"/>
      <c r="M197" s="31"/>
      <c r="N197" s="117" t="str">
        <f>IF(_xlfn.XLOOKUP(L197, AutoFill_classes!A:A, AutoFill_classes!B:B,"")=0,"",_xlfn.XLOOKUP(L197, AutoFill_classes!A:A, AutoFill_classes!B:B,""))</f>
        <v/>
      </c>
      <c r="O197" s="108"/>
      <c r="P197" s="6"/>
      <c r="Q197" s="6"/>
      <c r="R197" s="6"/>
      <c r="S197" s="2"/>
      <c r="T197" s="3"/>
      <c r="U197" s="2"/>
      <c r="X197" s="63"/>
      <c r="Y197" s="19"/>
      <c r="Z197" s="121" t="str">
        <f t="shared" si="162"/>
        <v/>
      </c>
      <c r="AA197" s="20"/>
      <c r="AB197" s="20"/>
      <c r="AC197" s="20"/>
      <c r="AD197" s="20"/>
      <c r="AE197" s="125" t="str">
        <f t="shared" si="163"/>
        <v/>
      </c>
      <c r="AF197" s="14"/>
      <c r="AG197" s="125" t="str">
        <f t="shared" si="164"/>
        <v/>
      </c>
      <c r="AH197" s="20"/>
      <c r="AI197" s="20"/>
      <c r="AJ197" s="125" t="str">
        <f t="shared" si="165"/>
        <v/>
      </c>
      <c r="AK197" s="14"/>
      <c r="AL197" s="125" t="str">
        <f t="shared" si="166"/>
        <v/>
      </c>
      <c r="AM197" s="20"/>
      <c r="AN197" s="20"/>
      <c r="AO197" s="125" t="str">
        <f t="shared" si="167"/>
        <v/>
      </c>
      <c r="AP197" s="125" t="str">
        <f t="shared" si="168"/>
        <v/>
      </c>
      <c r="AQ197" s="125" t="str">
        <f t="shared" si="169"/>
        <v/>
      </c>
      <c r="AR197" s="129" t="str">
        <f t="shared" si="170"/>
        <v/>
      </c>
      <c r="AS197" s="14"/>
      <c r="AT197" s="13"/>
      <c r="AU197" s="13"/>
      <c r="AV197" s="117" t="str">
        <f>IF(_xlfn.XLOOKUP(AT197, AutoFill_classes!$A:$A, AutoFill_classes!$B:$B,"")=0,"",_xlfn.XLOOKUP(AT197, AutoFill_classes!$A:$A, AutoFill_classes!$B:$B,""))</f>
        <v/>
      </c>
      <c r="AW197" s="108"/>
      <c r="AX197" s="11"/>
      <c r="AY197" s="13"/>
      <c r="AZ197" s="11"/>
      <c r="BA197" s="13"/>
      <c r="BB197" s="13"/>
      <c r="BC197" s="63"/>
      <c r="BD197" s="18"/>
      <c r="BE197" s="121" t="str">
        <f t="shared" si="171"/>
        <v/>
      </c>
      <c r="BF197" s="20"/>
      <c r="BG197" s="20"/>
      <c r="BH197" s="20"/>
      <c r="BI197" s="20"/>
      <c r="BJ197" s="125" t="str">
        <f t="shared" si="172"/>
        <v/>
      </c>
      <c r="BK197" s="14"/>
      <c r="BL197" s="125" t="str">
        <f t="shared" si="173"/>
        <v/>
      </c>
      <c r="BM197" s="20"/>
      <c r="BN197" s="20"/>
      <c r="BO197" s="125" t="str">
        <f t="shared" si="174"/>
        <v/>
      </c>
      <c r="BP197" s="14"/>
      <c r="BQ197" s="125" t="str">
        <f t="shared" si="175"/>
        <v/>
      </c>
      <c r="BR197" s="20"/>
      <c r="BS197" s="20"/>
      <c r="BT197" s="125" t="str">
        <f t="shared" si="176"/>
        <v/>
      </c>
      <c r="BU197" s="125" t="str">
        <f t="shared" si="177"/>
        <v/>
      </c>
      <c r="BV197" s="125" t="str">
        <f t="shared" si="178"/>
        <v/>
      </c>
      <c r="BW197" s="129" t="str">
        <f t="shared" si="179"/>
        <v/>
      </c>
      <c r="BX197" s="13"/>
      <c r="BY197" s="15"/>
      <c r="BZ197" s="14"/>
      <c r="CA197" s="117" t="str">
        <f>IF(_xlfn.XLOOKUP(BY197, AutoFill_classes!$A:$A, AutoFill_classes!$B:$B,"")=0,"",_xlfn.XLOOKUP(BY197, AutoFill_classes!$A:$A, AutoFill_classes!$B:$B,""))</f>
        <v/>
      </c>
      <c r="CB197" s="108"/>
      <c r="CC197" s="14"/>
      <c r="CD197" s="14"/>
      <c r="CE197" s="14"/>
      <c r="CF197" s="21"/>
      <c r="CG197" s="22"/>
      <c r="CH197" s="63"/>
      <c r="CI197" s="23"/>
      <c r="CJ197" s="121" t="str">
        <f t="shared" si="180"/>
        <v/>
      </c>
      <c r="CK197" s="20"/>
      <c r="CL197" s="20"/>
      <c r="CM197" s="20"/>
      <c r="CN197" s="20"/>
      <c r="CO197" s="125" t="str">
        <f t="shared" si="181"/>
        <v/>
      </c>
      <c r="CP197" s="14"/>
      <c r="CQ197" s="125" t="str">
        <f t="shared" si="182"/>
        <v/>
      </c>
      <c r="CR197" s="20"/>
      <c r="CS197" s="20"/>
      <c r="CT197" s="125" t="str">
        <f t="shared" si="183"/>
        <v/>
      </c>
      <c r="CU197" s="14"/>
      <c r="CV197" s="125" t="str">
        <f t="shared" si="184"/>
        <v/>
      </c>
      <c r="CW197" s="20"/>
      <c r="CX197" s="20"/>
      <c r="CY197" s="125" t="str">
        <f t="shared" si="185"/>
        <v/>
      </c>
      <c r="CZ197" s="125" t="str">
        <f t="shared" si="186"/>
        <v/>
      </c>
      <c r="DA197" s="125" t="str">
        <f t="shared" si="187"/>
        <v/>
      </c>
      <c r="DB197" s="129" t="str">
        <f t="shared" si="188"/>
        <v/>
      </c>
      <c r="DC197" s="14"/>
      <c r="DD197" s="62"/>
      <c r="DE197" s="105">
        <v>195</v>
      </c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</row>
    <row r="198" spans="1:176" s="1" customFormat="1" ht="13" hidden="1" customHeight="1" outlineLevel="1" x14ac:dyDescent="0.2">
      <c r="A198" s="4"/>
      <c r="B198" s="115" t="str">
        <f>IF(_xlfn.XLOOKUP(A198, AutoFill_names!B:B, AutoFill_names!C:C,"")=0,"",_xlfn.XLOOKUP(A198, AutoFill_names!B:B, AutoFill_names!C:C,""))</f>
        <v/>
      </c>
      <c r="C198" s="115" t="str">
        <f>IF(_xlfn.XLOOKUP(A198, AutoFill_names!B:B, AutoFill_names!D:D,"")=0,"",_xlfn.XLOOKUP(A198, AutoFill_names!B:B, AutoFill_names!D:D,""))</f>
        <v/>
      </c>
      <c r="D198" s="115" t="str">
        <f>IF(_xlfn.XLOOKUP(A198, AutoFill_names!B:B, AutoFill_names!E:E,"")=0,"",_xlfn.XLOOKUP(A198, AutoFill_names!B:B, AutoFill_names!E:E,""))</f>
        <v/>
      </c>
      <c r="E198" s="115" t="str">
        <f>IF(_xlfn.XLOOKUP(A198, AutoFill_names!B:B, AutoFill_names!F:F,"")=0,"",_xlfn.XLOOKUP(A198, AutoFill_names!B:B, AutoFill_names!F:F,""))</f>
        <v/>
      </c>
      <c r="F198" s="92"/>
      <c r="J198" s="115" t="str">
        <f>IF(_xlfn.XLOOKUP(A198, AutoFill_names!B:B, AutoFill_names!K:K,"")=0,"",_xlfn.XLOOKUP(A198, AutoFill_names!B:B, AutoFill_names!K:K,""))</f>
        <v/>
      </c>
      <c r="K198" s="115" t="str">
        <f>IF(_xlfn.XLOOKUP(A198, AutoFill_names!B:B, AutoFill_names!L:L,"")=0,"",_xlfn.XLOOKUP(A198, AutoFill_names!B:B, AutoFill_names!L:L,""))</f>
        <v/>
      </c>
      <c r="L198" s="31"/>
      <c r="M198" s="31"/>
      <c r="N198" s="117" t="str">
        <f>IF(_xlfn.XLOOKUP(L198, AutoFill_classes!A:A, AutoFill_classes!B:B,"")=0,"",_xlfn.XLOOKUP(L198, AutoFill_classes!A:A, AutoFill_classes!B:B,""))</f>
        <v/>
      </c>
      <c r="O198" s="108"/>
      <c r="P198" s="6"/>
      <c r="Q198" s="6"/>
      <c r="R198" s="6"/>
      <c r="S198" s="2"/>
      <c r="T198" s="3"/>
      <c r="U198" s="2"/>
      <c r="X198" s="63"/>
      <c r="Y198" s="19"/>
      <c r="Z198" s="121" t="str">
        <f t="shared" si="162"/>
        <v/>
      </c>
      <c r="AA198" s="20"/>
      <c r="AB198" s="20"/>
      <c r="AC198" s="20"/>
      <c r="AD198" s="20"/>
      <c r="AE198" s="125" t="str">
        <f t="shared" si="163"/>
        <v/>
      </c>
      <c r="AF198" s="14"/>
      <c r="AG198" s="125" t="str">
        <f t="shared" si="164"/>
        <v/>
      </c>
      <c r="AH198" s="20"/>
      <c r="AI198" s="20"/>
      <c r="AJ198" s="125" t="str">
        <f t="shared" si="165"/>
        <v/>
      </c>
      <c r="AK198" s="14"/>
      <c r="AL198" s="125" t="str">
        <f t="shared" si="166"/>
        <v/>
      </c>
      <c r="AM198" s="20"/>
      <c r="AN198" s="20"/>
      <c r="AO198" s="125" t="str">
        <f t="shared" si="167"/>
        <v/>
      </c>
      <c r="AP198" s="125" t="str">
        <f t="shared" si="168"/>
        <v/>
      </c>
      <c r="AQ198" s="125" t="str">
        <f t="shared" si="169"/>
        <v/>
      </c>
      <c r="AR198" s="129" t="str">
        <f t="shared" si="170"/>
        <v/>
      </c>
      <c r="AS198" s="14"/>
      <c r="AT198" s="13"/>
      <c r="AU198" s="13"/>
      <c r="AV198" s="117" t="str">
        <f>IF(_xlfn.XLOOKUP(AT198, AutoFill_classes!$A:$A, AutoFill_classes!$B:$B,"")=0,"",_xlfn.XLOOKUP(AT198, AutoFill_classes!$A:$A, AutoFill_classes!$B:$B,""))</f>
        <v/>
      </c>
      <c r="AW198" s="108"/>
      <c r="AX198" s="11"/>
      <c r="AY198" s="13"/>
      <c r="AZ198" s="11"/>
      <c r="BA198" s="13"/>
      <c r="BB198" s="13"/>
      <c r="BC198" s="63"/>
      <c r="BD198" s="18"/>
      <c r="BE198" s="121" t="str">
        <f t="shared" si="171"/>
        <v/>
      </c>
      <c r="BF198" s="20"/>
      <c r="BG198" s="20"/>
      <c r="BH198" s="20"/>
      <c r="BI198" s="20"/>
      <c r="BJ198" s="125" t="str">
        <f t="shared" si="172"/>
        <v/>
      </c>
      <c r="BK198" s="14"/>
      <c r="BL198" s="125" t="str">
        <f t="shared" si="173"/>
        <v/>
      </c>
      <c r="BM198" s="20"/>
      <c r="BN198" s="20"/>
      <c r="BO198" s="125" t="str">
        <f t="shared" si="174"/>
        <v/>
      </c>
      <c r="BP198" s="14"/>
      <c r="BQ198" s="125" t="str">
        <f t="shared" si="175"/>
        <v/>
      </c>
      <c r="BR198" s="20"/>
      <c r="BS198" s="20"/>
      <c r="BT198" s="125" t="str">
        <f t="shared" si="176"/>
        <v/>
      </c>
      <c r="BU198" s="125" t="str">
        <f t="shared" si="177"/>
        <v/>
      </c>
      <c r="BV198" s="125" t="str">
        <f t="shared" si="178"/>
        <v/>
      </c>
      <c r="BW198" s="129" t="str">
        <f t="shared" si="179"/>
        <v/>
      </c>
      <c r="BX198" s="13"/>
      <c r="BY198" s="15"/>
      <c r="BZ198" s="14"/>
      <c r="CA198" s="117" t="str">
        <f>IF(_xlfn.XLOOKUP(BY198, AutoFill_classes!$A:$A, AutoFill_classes!$B:$B,"")=0,"",_xlfn.XLOOKUP(BY198, AutoFill_classes!$A:$A, AutoFill_classes!$B:$B,""))</f>
        <v/>
      </c>
      <c r="CB198" s="108"/>
      <c r="CC198" s="14"/>
      <c r="CD198" s="14"/>
      <c r="CE198" s="14"/>
      <c r="CF198" s="21"/>
      <c r="CG198" s="22"/>
      <c r="CH198" s="63"/>
      <c r="CI198" s="23"/>
      <c r="CJ198" s="121" t="str">
        <f t="shared" si="180"/>
        <v/>
      </c>
      <c r="CK198" s="20"/>
      <c r="CL198" s="20"/>
      <c r="CM198" s="20"/>
      <c r="CN198" s="20"/>
      <c r="CO198" s="125" t="str">
        <f t="shared" si="181"/>
        <v/>
      </c>
      <c r="CP198" s="14"/>
      <c r="CQ198" s="125" t="str">
        <f t="shared" si="182"/>
        <v/>
      </c>
      <c r="CR198" s="20"/>
      <c r="CS198" s="20"/>
      <c r="CT198" s="125" t="str">
        <f t="shared" si="183"/>
        <v/>
      </c>
      <c r="CU198" s="14"/>
      <c r="CV198" s="125" t="str">
        <f t="shared" si="184"/>
        <v/>
      </c>
      <c r="CW198" s="20"/>
      <c r="CX198" s="20"/>
      <c r="CY198" s="125" t="str">
        <f t="shared" si="185"/>
        <v/>
      </c>
      <c r="CZ198" s="125" t="str">
        <f t="shared" si="186"/>
        <v/>
      </c>
      <c r="DA198" s="125" t="str">
        <f t="shared" si="187"/>
        <v/>
      </c>
      <c r="DB198" s="129" t="str">
        <f t="shared" si="188"/>
        <v/>
      </c>
      <c r="DC198" s="14"/>
      <c r="DD198" s="62"/>
      <c r="DE198" s="105">
        <v>196</v>
      </c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</row>
    <row r="199" spans="1:176" s="1" customFormat="1" ht="13" hidden="1" customHeight="1" outlineLevel="1" x14ac:dyDescent="0.2">
      <c r="A199" s="4"/>
      <c r="B199" s="115" t="str">
        <f>IF(_xlfn.XLOOKUP(A199, AutoFill_names!B:B, AutoFill_names!C:C,"")=0,"",_xlfn.XLOOKUP(A199, AutoFill_names!B:B, AutoFill_names!C:C,""))</f>
        <v/>
      </c>
      <c r="C199" s="115" t="str">
        <f>IF(_xlfn.XLOOKUP(A199, AutoFill_names!B:B, AutoFill_names!D:D,"")=0,"",_xlfn.XLOOKUP(A199, AutoFill_names!B:B, AutoFill_names!D:D,""))</f>
        <v/>
      </c>
      <c r="D199" s="115" t="str">
        <f>IF(_xlfn.XLOOKUP(A199, AutoFill_names!B:B, AutoFill_names!E:E,"")=0,"",_xlfn.XLOOKUP(A199, AutoFill_names!B:B, AutoFill_names!E:E,""))</f>
        <v/>
      </c>
      <c r="E199" s="115" t="str">
        <f>IF(_xlfn.XLOOKUP(A199, AutoFill_names!B:B, AutoFill_names!F:F,"")=0,"",_xlfn.XLOOKUP(A199, AutoFill_names!B:B, AutoFill_names!F:F,""))</f>
        <v/>
      </c>
      <c r="F199" s="92"/>
      <c r="J199" s="115" t="str">
        <f>IF(_xlfn.XLOOKUP(A199, AutoFill_names!B:B, AutoFill_names!K:K,"")=0,"",_xlfn.XLOOKUP(A199, AutoFill_names!B:B, AutoFill_names!K:K,""))</f>
        <v/>
      </c>
      <c r="K199" s="115" t="str">
        <f>IF(_xlfn.XLOOKUP(A199, AutoFill_names!B:B, AutoFill_names!L:L,"")=0,"",_xlfn.XLOOKUP(A199, AutoFill_names!B:B, AutoFill_names!L:L,""))</f>
        <v/>
      </c>
      <c r="L199" s="31"/>
      <c r="M199" s="31"/>
      <c r="N199" s="117" t="str">
        <f>IF(_xlfn.XLOOKUP(L199, AutoFill_classes!A:A, AutoFill_classes!B:B,"")=0,"",_xlfn.XLOOKUP(L199, AutoFill_classes!A:A, AutoFill_classes!B:B,""))</f>
        <v/>
      </c>
      <c r="O199" s="108"/>
      <c r="P199" s="6"/>
      <c r="Q199" s="6"/>
      <c r="R199" s="6"/>
      <c r="S199" s="2"/>
      <c r="T199" s="3"/>
      <c r="U199" s="2"/>
      <c r="X199" s="63"/>
      <c r="Y199" s="19"/>
      <c r="Z199" s="121" t="str">
        <f t="shared" si="162"/>
        <v/>
      </c>
      <c r="AA199" s="20"/>
      <c r="AB199" s="20"/>
      <c r="AC199" s="20"/>
      <c r="AD199" s="20"/>
      <c r="AE199" s="125" t="str">
        <f t="shared" si="163"/>
        <v/>
      </c>
      <c r="AF199" s="14"/>
      <c r="AG199" s="125" t="str">
        <f t="shared" si="164"/>
        <v/>
      </c>
      <c r="AH199" s="20"/>
      <c r="AI199" s="20"/>
      <c r="AJ199" s="125" t="str">
        <f t="shared" si="165"/>
        <v/>
      </c>
      <c r="AK199" s="14"/>
      <c r="AL199" s="125" t="str">
        <f t="shared" si="166"/>
        <v/>
      </c>
      <c r="AM199" s="20"/>
      <c r="AN199" s="20"/>
      <c r="AO199" s="125" t="str">
        <f t="shared" si="167"/>
        <v/>
      </c>
      <c r="AP199" s="125" t="str">
        <f t="shared" si="168"/>
        <v/>
      </c>
      <c r="AQ199" s="125" t="str">
        <f t="shared" si="169"/>
        <v/>
      </c>
      <c r="AR199" s="129" t="str">
        <f t="shared" si="170"/>
        <v/>
      </c>
      <c r="AS199" s="14"/>
      <c r="AT199" s="13"/>
      <c r="AU199" s="13"/>
      <c r="AV199" s="117" t="str">
        <f>IF(_xlfn.XLOOKUP(AT199, AutoFill_classes!$A:$A, AutoFill_classes!$B:$B,"")=0,"",_xlfn.XLOOKUP(AT199, AutoFill_classes!$A:$A, AutoFill_classes!$B:$B,""))</f>
        <v/>
      </c>
      <c r="AW199" s="108"/>
      <c r="AX199" s="11"/>
      <c r="AY199" s="13"/>
      <c r="AZ199" s="11"/>
      <c r="BA199" s="13"/>
      <c r="BB199" s="13"/>
      <c r="BC199" s="63"/>
      <c r="BD199" s="18"/>
      <c r="BE199" s="121" t="str">
        <f t="shared" si="171"/>
        <v/>
      </c>
      <c r="BF199" s="20"/>
      <c r="BG199" s="20"/>
      <c r="BH199" s="20"/>
      <c r="BI199" s="20"/>
      <c r="BJ199" s="125" t="str">
        <f t="shared" si="172"/>
        <v/>
      </c>
      <c r="BK199" s="14"/>
      <c r="BL199" s="125" t="str">
        <f t="shared" si="173"/>
        <v/>
      </c>
      <c r="BM199" s="20"/>
      <c r="BN199" s="20"/>
      <c r="BO199" s="125" t="str">
        <f t="shared" si="174"/>
        <v/>
      </c>
      <c r="BP199" s="14"/>
      <c r="BQ199" s="125" t="str">
        <f t="shared" si="175"/>
        <v/>
      </c>
      <c r="BR199" s="20"/>
      <c r="BS199" s="20"/>
      <c r="BT199" s="125" t="str">
        <f t="shared" si="176"/>
        <v/>
      </c>
      <c r="BU199" s="125" t="str">
        <f t="shared" si="177"/>
        <v/>
      </c>
      <c r="BV199" s="125" t="str">
        <f t="shared" si="178"/>
        <v/>
      </c>
      <c r="BW199" s="129" t="str">
        <f t="shared" si="179"/>
        <v/>
      </c>
      <c r="BX199" s="13"/>
      <c r="BY199" s="15"/>
      <c r="BZ199" s="14"/>
      <c r="CA199" s="117" t="str">
        <f>IF(_xlfn.XLOOKUP(BY199, AutoFill_classes!$A:$A, AutoFill_classes!$B:$B,"")=0,"",_xlfn.XLOOKUP(BY199, AutoFill_classes!$A:$A, AutoFill_classes!$B:$B,""))</f>
        <v/>
      </c>
      <c r="CB199" s="108"/>
      <c r="CC199" s="14"/>
      <c r="CD199" s="14"/>
      <c r="CE199" s="14"/>
      <c r="CF199" s="21"/>
      <c r="CG199" s="22"/>
      <c r="CH199" s="63"/>
      <c r="CI199" s="23"/>
      <c r="CJ199" s="121" t="str">
        <f t="shared" si="180"/>
        <v/>
      </c>
      <c r="CK199" s="20"/>
      <c r="CL199" s="20"/>
      <c r="CM199" s="20"/>
      <c r="CN199" s="20"/>
      <c r="CO199" s="125" t="str">
        <f t="shared" si="181"/>
        <v/>
      </c>
      <c r="CP199" s="14"/>
      <c r="CQ199" s="125" t="str">
        <f t="shared" si="182"/>
        <v/>
      </c>
      <c r="CR199" s="20"/>
      <c r="CS199" s="20"/>
      <c r="CT199" s="125" t="str">
        <f t="shared" si="183"/>
        <v/>
      </c>
      <c r="CU199" s="14"/>
      <c r="CV199" s="125" t="str">
        <f t="shared" si="184"/>
        <v/>
      </c>
      <c r="CW199" s="20"/>
      <c r="CX199" s="20"/>
      <c r="CY199" s="125" t="str">
        <f t="shared" si="185"/>
        <v/>
      </c>
      <c r="CZ199" s="125" t="str">
        <f t="shared" si="186"/>
        <v/>
      </c>
      <c r="DA199" s="125" t="str">
        <f t="shared" si="187"/>
        <v/>
      </c>
      <c r="DB199" s="129" t="str">
        <f t="shared" si="188"/>
        <v/>
      </c>
      <c r="DC199" s="14"/>
      <c r="DD199" s="62"/>
      <c r="DE199" s="105">
        <v>197</v>
      </c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</row>
    <row r="200" spans="1:176" s="1" customFormat="1" ht="13" hidden="1" customHeight="1" outlineLevel="1" x14ac:dyDescent="0.2">
      <c r="A200" s="4"/>
      <c r="B200" s="115" t="str">
        <f>IF(_xlfn.XLOOKUP(A200, AutoFill_names!B:B, AutoFill_names!C:C,"")=0,"",_xlfn.XLOOKUP(A200, AutoFill_names!B:B, AutoFill_names!C:C,""))</f>
        <v/>
      </c>
      <c r="C200" s="115" t="str">
        <f>IF(_xlfn.XLOOKUP(A200, AutoFill_names!B:B, AutoFill_names!D:D,"")=0,"",_xlfn.XLOOKUP(A200, AutoFill_names!B:B, AutoFill_names!D:D,""))</f>
        <v/>
      </c>
      <c r="D200" s="115" t="str">
        <f>IF(_xlfn.XLOOKUP(A200, AutoFill_names!B:B, AutoFill_names!E:E,"")=0,"",_xlfn.XLOOKUP(A200, AutoFill_names!B:B, AutoFill_names!E:E,""))</f>
        <v/>
      </c>
      <c r="E200" s="115" t="str">
        <f>IF(_xlfn.XLOOKUP(A200, AutoFill_names!B:B, AutoFill_names!F:F,"")=0,"",_xlfn.XLOOKUP(A200, AutoFill_names!B:B, AutoFill_names!F:F,""))</f>
        <v/>
      </c>
      <c r="F200" s="92"/>
      <c r="J200" s="115" t="str">
        <f>IF(_xlfn.XLOOKUP(A200, AutoFill_names!B:B, AutoFill_names!K:K,"")=0,"",_xlfn.XLOOKUP(A200, AutoFill_names!B:B, AutoFill_names!K:K,""))</f>
        <v/>
      </c>
      <c r="K200" s="115" t="str">
        <f>IF(_xlfn.XLOOKUP(A200, AutoFill_names!B:B, AutoFill_names!L:L,"")=0,"",_xlfn.XLOOKUP(A200, AutoFill_names!B:B, AutoFill_names!L:L,""))</f>
        <v/>
      </c>
      <c r="L200" s="31"/>
      <c r="M200" s="31"/>
      <c r="N200" s="117" t="str">
        <f>IF(_xlfn.XLOOKUP(L200, AutoFill_classes!A:A, AutoFill_classes!B:B,"")=0,"",_xlfn.XLOOKUP(L200, AutoFill_classes!A:A, AutoFill_classes!B:B,""))</f>
        <v/>
      </c>
      <c r="O200" s="108"/>
      <c r="P200" s="6"/>
      <c r="Q200" s="6"/>
      <c r="R200" s="6"/>
      <c r="S200" s="2"/>
      <c r="T200" s="3"/>
      <c r="U200" s="2"/>
      <c r="X200" s="63"/>
      <c r="Y200" s="19"/>
      <c r="Z200" s="121" t="str">
        <f t="shared" si="162"/>
        <v/>
      </c>
      <c r="AA200" s="20"/>
      <c r="AB200" s="20"/>
      <c r="AC200" s="20"/>
      <c r="AD200" s="20"/>
      <c r="AE200" s="125" t="str">
        <f t="shared" si="163"/>
        <v/>
      </c>
      <c r="AF200" s="14"/>
      <c r="AG200" s="125" t="str">
        <f t="shared" si="164"/>
        <v/>
      </c>
      <c r="AH200" s="20"/>
      <c r="AI200" s="20"/>
      <c r="AJ200" s="125" t="str">
        <f t="shared" si="165"/>
        <v/>
      </c>
      <c r="AK200" s="14"/>
      <c r="AL200" s="125" t="str">
        <f t="shared" si="166"/>
        <v/>
      </c>
      <c r="AM200" s="20"/>
      <c r="AN200" s="20"/>
      <c r="AO200" s="125" t="str">
        <f t="shared" si="167"/>
        <v/>
      </c>
      <c r="AP200" s="125" t="str">
        <f t="shared" si="168"/>
        <v/>
      </c>
      <c r="AQ200" s="125" t="str">
        <f t="shared" si="169"/>
        <v/>
      </c>
      <c r="AR200" s="129" t="str">
        <f t="shared" si="170"/>
        <v/>
      </c>
      <c r="AS200" s="14"/>
      <c r="AT200" s="13"/>
      <c r="AU200" s="13"/>
      <c r="AV200" s="117" t="str">
        <f>IF(_xlfn.XLOOKUP(AT200, AutoFill_classes!$A:$A, AutoFill_classes!$B:$B,"")=0,"",_xlfn.XLOOKUP(AT200, AutoFill_classes!$A:$A, AutoFill_classes!$B:$B,""))</f>
        <v/>
      </c>
      <c r="AW200" s="108"/>
      <c r="AX200" s="11"/>
      <c r="AY200" s="13"/>
      <c r="AZ200" s="11"/>
      <c r="BA200" s="13"/>
      <c r="BB200" s="13"/>
      <c r="BC200" s="63"/>
      <c r="BD200" s="18"/>
      <c r="BE200" s="121" t="str">
        <f t="shared" si="171"/>
        <v/>
      </c>
      <c r="BF200" s="20"/>
      <c r="BG200" s="20"/>
      <c r="BH200" s="20"/>
      <c r="BI200" s="20"/>
      <c r="BJ200" s="125" t="str">
        <f t="shared" si="172"/>
        <v/>
      </c>
      <c r="BK200" s="14"/>
      <c r="BL200" s="125" t="str">
        <f t="shared" si="173"/>
        <v/>
      </c>
      <c r="BM200" s="20"/>
      <c r="BN200" s="20"/>
      <c r="BO200" s="125" t="str">
        <f t="shared" si="174"/>
        <v/>
      </c>
      <c r="BP200" s="14"/>
      <c r="BQ200" s="125" t="str">
        <f t="shared" si="175"/>
        <v/>
      </c>
      <c r="BR200" s="20"/>
      <c r="BS200" s="20"/>
      <c r="BT200" s="125" t="str">
        <f t="shared" si="176"/>
        <v/>
      </c>
      <c r="BU200" s="125" t="str">
        <f t="shared" si="177"/>
        <v/>
      </c>
      <c r="BV200" s="125" t="str">
        <f t="shared" si="178"/>
        <v/>
      </c>
      <c r="BW200" s="129" t="str">
        <f t="shared" si="179"/>
        <v/>
      </c>
      <c r="BX200" s="13"/>
      <c r="BY200" s="15"/>
      <c r="BZ200" s="14"/>
      <c r="CA200" s="117" t="str">
        <f>IF(_xlfn.XLOOKUP(BY200, AutoFill_classes!$A:$A, AutoFill_classes!$B:$B,"")=0,"",_xlfn.XLOOKUP(BY200, AutoFill_classes!$A:$A, AutoFill_classes!$B:$B,""))</f>
        <v/>
      </c>
      <c r="CB200" s="108"/>
      <c r="CC200" s="14"/>
      <c r="CD200" s="14"/>
      <c r="CE200" s="14"/>
      <c r="CF200" s="21"/>
      <c r="CG200" s="22"/>
      <c r="CH200" s="63"/>
      <c r="CI200" s="23"/>
      <c r="CJ200" s="121" t="str">
        <f t="shared" si="180"/>
        <v/>
      </c>
      <c r="CK200" s="20"/>
      <c r="CL200" s="20"/>
      <c r="CM200" s="20"/>
      <c r="CN200" s="20"/>
      <c r="CO200" s="125" t="str">
        <f t="shared" si="181"/>
        <v/>
      </c>
      <c r="CP200" s="14"/>
      <c r="CQ200" s="125" t="str">
        <f t="shared" si="182"/>
        <v/>
      </c>
      <c r="CR200" s="20"/>
      <c r="CS200" s="20"/>
      <c r="CT200" s="125" t="str">
        <f t="shared" si="183"/>
        <v/>
      </c>
      <c r="CU200" s="14"/>
      <c r="CV200" s="125" t="str">
        <f t="shared" si="184"/>
        <v/>
      </c>
      <c r="CW200" s="20"/>
      <c r="CX200" s="20"/>
      <c r="CY200" s="125" t="str">
        <f t="shared" si="185"/>
        <v/>
      </c>
      <c r="CZ200" s="125" t="str">
        <f t="shared" si="186"/>
        <v/>
      </c>
      <c r="DA200" s="125" t="str">
        <f t="shared" si="187"/>
        <v/>
      </c>
      <c r="DB200" s="129" t="str">
        <f t="shared" si="188"/>
        <v/>
      </c>
      <c r="DC200" s="14"/>
      <c r="DD200" s="62"/>
      <c r="DE200" s="105">
        <v>198</v>
      </c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</row>
    <row r="201" spans="1:176" s="1" customFormat="1" ht="13" hidden="1" customHeight="1" outlineLevel="1" x14ac:dyDescent="0.2">
      <c r="A201" s="4"/>
      <c r="B201" s="115" t="str">
        <f>IF(_xlfn.XLOOKUP(A201, AutoFill_names!B:B, AutoFill_names!C:C,"")=0,"",_xlfn.XLOOKUP(A201, AutoFill_names!B:B, AutoFill_names!C:C,""))</f>
        <v/>
      </c>
      <c r="C201" s="115" t="str">
        <f>IF(_xlfn.XLOOKUP(A201, AutoFill_names!B:B, AutoFill_names!D:D,"")=0,"",_xlfn.XLOOKUP(A201, AutoFill_names!B:B, AutoFill_names!D:D,""))</f>
        <v/>
      </c>
      <c r="D201" s="115" t="str">
        <f>IF(_xlfn.XLOOKUP(A201, AutoFill_names!B:B, AutoFill_names!E:E,"")=0,"",_xlfn.XLOOKUP(A201, AutoFill_names!B:B, AutoFill_names!E:E,""))</f>
        <v/>
      </c>
      <c r="E201" s="115" t="str">
        <f>IF(_xlfn.XLOOKUP(A201, AutoFill_names!B:B, AutoFill_names!F:F,"")=0,"",_xlfn.XLOOKUP(A201, AutoFill_names!B:B, AutoFill_names!F:F,""))</f>
        <v/>
      </c>
      <c r="F201" s="92"/>
      <c r="J201" s="115" t="str">
        <f>IF(_xlfn.XLOOKUP(A201, AutoFill_names!B:B, AutoFill_names!K:K,"")=0,"",_xlfn.XLOOKUP(A201, AutoFill_names!B:B, AutoFill_names!K:K,""))</f>
        <v/>
      </c>
      <c r="K201" s="115" t="str">
        <f>IF(_xlfn.XLOOKUP(A201, AutoFill_names!B:B, AutoFill_names!L:L,"")=0,"",_xlfn.XLOOKUP(A201, AutoFill_names!B:B, AutoFill_names!L:L,""))</f>
        <v/>
      </c>
      <c r="L201" s="31"/>
      <c r="M201" s="31"/>
      <c r="N201" s="117" t="str">
        <f>IF(_xlfn.XLOOKUP(L201, AutoFill_classes!A:A, AutoFill_classes!B:B,"")=0,"",_xlfn.XLOOKUP(L201, AutoFill_classes!A:A, AutoFill_classes!B:B,""))</f>
        <v/>
      </c>
      <c r="O201" s="108"/>
      <c r="P201" s="6"/>
      <c r="Q201" s="6"/>
      <c r="R201" s="6"/>
      <c r="S201" s="2"/>
      <c r="T201" s="3"/>
      <c r="U201" s="2"/>
      <c r="X201" s="63"/>
      <c r="Y201" s="19"/>
      <c r="Z201" s="121" t="str">
        <f t="shared" si="162"/>
        <v/>
      </c>
      <c r="AA201" s="20"/>
      <c r="AB201" s="20"/>
      <c r="AC201" s="20"/>
      <c r="AD201" s="20"/>
      <c r="AE201" s="125" t="str">
        <f t="shared" si="163"/>
        <v/>
      </c>
      <c r="AF201" s="14"/>
      <c r="AG201" s="125" t="str">
        <f t="shared" si="164"/>
        <v/>
      </c>
      <c r="AH201" s="20"/>
      <c r="AI201" s="20"/>
      <c r="AJ201" s="125" t="str">
        <f t="shared" si="165"/>
        <v/>
      </c>
      <c r="AK201" s="14"/>
      <c r="AL201" s="125" t="str">
        <f t="shared" si="166"/>
        <v/>
      </c>
      <c r="AM201" s="20"/>
      <c r="AN201" s="20"/>
      <c r="AO201" s="125" t="str">
        <f t="shared" si="167"/>
        <v/>
      </c>
      <c r="AP201" s="125" t="str">
        <f t="shared" si="168"/>
        <v/>
      </c>
      <c r="AQ201" s="125" t="str">
        <f t="shared" si="169"/>
        <v/>
      </c>
      <c r="AR201" s="129" t="str">
        <f t="shared" si="170"/>
        <v/>
      </c>
      <c r="AS201" s="14"/>
      <c r="AT201" s="13"/>
      <c r="AU201" s="13"/>
      <c r="AV201" s="117" t="str">
        <f>IF(_xlfn.XLOOKUP(AT201, AutoFill_classes!$A:$A, AutoFill_classes!$B:$B,"")=0,"",_xlfn.XLOOKUP(AT201, AutoFill_classes!$A:$A, AutoFill_classes!$B:$B,""))</f>
        <v/>
      </c>
      <c r="AW201" s="108"/>
      <c r="AX201" s="11"/>
      <c r="AY201" s="13"/>
      <c r="AZ201" s="11"/>
      <c r="BA201" s="13"/>
      <c r="BB201" s="13"/>
      <c r="BC201" s="63"/>
      <c r="BD201" s="18"/>
      <c r="BE201" s="121" t="str">
        <f t="shared" si="171"/>
        <v/>
      </c>
      <c r="BF201" s="20"/>
      <c r="BG201" s="20"/>
      <c r="BH201" s="20"/>
      <c r="BI201" s="20"/>
      <c r="BJ201" s="125" t="str">
        <f t="shared" si="172"/>
        <v/>
      </c>
      <c r="BK201" s="14"/>
      <c r="BL201" s="125" t="str">
        <f t="shared" si="173"/>
        <v/>
      </c>
      <c r="BM201" s="20"/>
      <c r="BN201" s="20"/>
      <c r="BO201" s="125" t="str">
        <f t="shared" si="174"/>
        <v/>
      </c>
      <c r="BP201" s="14"/>
      <c r="BQ201" s="125" t="str">
        <f t="shared" si="175"/>
        <v/>
      </c>
      <c r="BR201" s="20"/>
      <c r="BS201" s="20"/>
      <c r="BT201" s="125" t="str">
        <f t="shared" si="176"/>
        <v/>
      </c>
      <c r="BU201" s="125" t="str">
        <f t="shared" si="177"/>
        <v/>
      </c>
      <c r="BV201" s="125" t="str">
        <f t="shared" si="178"/>
        <v/>
      </c>
      <c r="BW201" s="129" t="str">
        <f t="shared" si="179"/>
        <v/>
      </c>
      <c r="BX201" s="13"/>
      <c r="BY201" s="15"/>
      <c r="BZ201" s="14"/>
      <c r="CA201" s="117" t="str">
        <f>IF(_xlfn.XLOOKUP(BY201, AutoFill_classes!$A:$A, AutoFill_classes!$B:$B,"")=0,"",_xlfn.XLOOKUP(BY201, AutoFill_classes!$A:$A, AutoFill_classes!$B:$B,""))</f>
        <v/>
      </c>
      <c r="CB201" s="108"/>
      <c r="CC201" s="14"/>
      <c r="CD201" s="14"/>
      <c r="CE201" s="14"/>
      <c r="CF201" s="21"/>
      <c r="CG201" s="22"/>
      <c r="CH201" s="63"/>
      <c r="CI201" s="23"/>
      <c r="CJ201" s="121" t="str">
        <f t="shared" si="180"/>
        <v/>
      </c>
      <c r="CK201" s="20"/>
      <c r="CL201" s="20"/>
      <c r="CM201" s="20"/>
      <c r="CN201" s="20"/>
      <c r="CO201" s="125" t="str">
        <f t="shared" si="181"/>
        <v/>
      </c>
      <c r="CP201" s="14"/>
      <c r="CQ201" s="125" t="str">
        <f t="shared" si="182"/>
        <v/>
      </c>
      <c r="CR201" s="20"/>
      <c r="CS201" s="20"/>
      <c r="CT201" s="125" t="str">
        <f t="shared" si="183"/>
        <v/>
      </c>
      <c r="CU201" s="14"/>
      <c r="CV201" s="125" t="str">
        <f t="shared" si="184"/>
        <v/>
      </c>
      <c r="CW201" s="20"/>
      <c r="CX201" s="20"/>
      <c r="CY201" s="125" t="str">
        <f t="shared" si="185"/>
        <v/>
      </c>
      <c r="CZ201" s="125" t="str">
        <f t="shared" si="186"/>
        <v/>
      </c>
      <c r="DA201" s="125" t="str">
        <f t="shared" si="187"/>
        <v/>
      </c>
      <c r="DB201" s="129" t="str">
        <f t="shared" si="188"/>
        <v/>
      </c>
      <c r="DC201" s="14"/>
      <c r="DD201" s="62"/>
      <c r="DE201" s="105">
        <v>199</v>
      </c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</row>
    <row r="202" spans="1:176" s="1" customFormat="1" ht="13" hidden="1" customHeight="1" outlineLevel="1" x14ac:dyDescent="0.2">
      <c r="A202" s="4"/>
      <c r="B202" s="115" t="str">
        <f>IF(_xlfn.XLOOKUP(A202, AutoFill_names!B:B, AutoFill_names!C:C,"")=0,"",_xlfn.XLOOKUP(A202, AutoFill_names!B:B, AutoFill_names!C:C,""))</f>
        <v/>
      </c>
      <c r="C202" s="115" t="str">
        <f>IF(_xlfn.XLOOKUP(A202, AutoFill_names!B:B, AutoFill_names!D:D,"")=0,"",_xlfn.XLOOKUP(A202, AutoFill_names!B:B, AutoFill_names!D:D,""))</f>
        <v/>
      </c>
      <c r="D202" s="115" t="str">
        <f>IF(_xlfn.XLOOKUP(A202, AutoFill_names!B:B, AutoFill_names!E:E,"")=0,"",_xlfn.XLOOKUP(A202, AutoFill_names!B:B, AutoFill_names!E:E,""))</f>
        <v/>
      </c>
      <c r="E202" s="115" t="str">
        <f>IF(_xlfn.XLOOKUP(A202, AutoFill_names!B:B, AutoFill_names!F:F,"")=0,"",_xlfn.XLOOKUP(A202, AutoFill_names!B:B, AutoFill_names!F:F,""))</f>
        <v/>
      </c>
      <c r="F202" s="92"/>
      <c r="J202" s="115" t="str">
        <f>IF(_xlfn.XLOOKUP(A202, AutoFill_names!B:B, AutoFill_names!K:K,"")=0,"",_xlfn.XLOOKUP(A202, AutoFill_names!B:B, AutoFill_names!K:K,""))</f>
        <v/>
      </c>
      <c r="K202" s="115" t="str">
        <f>IF(_xlfn.XLOOKUP(A202, AutoFill_names!B:B, AutoFill_names!L:L,"")=0,"",_xlfn.XLOOKUP(A202, AutoFill_names!B:B, AutoFill_names!L:L,""))</f>
        <v/>
      </c>
      <c r="L202" s="31"/>
      <c r="M202" s="31"/>
      <c r="N202" s="117" t="str">
        <f>IF(_xlfn.XLOOKUP(L202, AutoFill_classes!A:A, AutoFill_classes!B:B,"")=0,"",_xlfn.XLOOKUP(L202, AutoFill_classes!A:A, AutoFill_classes!B:B,""))</f>
        <v/>
      </c>
      <c r="O202" s="108"/>
      <c r="P202" s="6"/>
      <c r="Q202" s="6"/>
      <c r="R202" s="6"/>
      <c r="S202" s="2"/>
      <c r="T202" s="3"/>
      <c r="U202" s="2"/>
      <c r="X202" s="63"/>
      <c r="Y202" s="19"/>
      <c r="Z202" s="121" t="str">
        <f t="shared" si="162"/>
        <v/>
      </c>
      <c r="AA202" s="20"/>
      <c r="AB202" s="20"/>
      <c r="AC202" s="20"/>
      <c r="AD202" s="20"/>
      <c r="AE202" s="125" t="str">
        <f t="shared" si="163"/>
        <v/>
      </c>
      <c r="AF202" s="14"/>
      <c r="AG202" s="125" t="str">
        <f t="shared" si="164"/>
        <v/>
      </c>
      <c r="AH202" s="20"/>
      <c r="AI202" s="20"/>
      <c r="AJ202" s="125" t="str">
        <f t="shared" si="165"/>
        <v/>
      </c>
      <c r="AK202" s="14"/>
      <c r="AL202" s="125" t="str">
        <f t="shared" si="166"/>
        <v/>
      </c>
      <c r="AM202" s="20"/>
      <c r="AN202" s="20"/>
      <c r="AO202" s="125" t="str">
        <f t="shared" si="167"/>
        <v/>
      </c>
      <c r="AP202" s="125" t="str">
        <f t="shared" si="168"/>
        <v/>
      </c>
      <c r="AQ202" s="125" t="str">
        <f t="shared" si="169"/>
        <v/>
      </c>
      <c r="AR202" s="129" t="str">
        <f t="shared" si="170"/>
        <v/>
      </c>
      <c r="AS202" s="14"/>
      <c r="AT202" s="13"/>
      <c r="AU202" s="13"/>
      <c r="AV202" s="117" t="str">
        <f>IF(_xlfn.XLOOKUP(AT202, AutoFill_classes!$A:$A, AutoFill_classes!$B:$B,"")=0,"",_xlfn.XLOOKUP(AT202, AutoFill_classes!$A:$A, AutoFill_classes!$B:$B,""))</f>
        <v/>
      </c>
      <c r="AW202" s="108"/>
      <c r="AX202" s="11"/>
      <c r="AY202" s="13"/>
      <c r="AZ202" s="11"/>
      <c r="BA202" s="13"/>
      <c r="BB202" s="13"/>
      <c r="BC202" s="63"/>
      <c r="BD202" s="18"/>
      <c r="BE202" s="121" t="str">
        <f t="shared" si="171"/>
        <v/>
      </c>
      <c r="BF202" s="20"/>
      <c r="BG202" s="20"/>
      <c r="BH202" s="20"/>
      <c r="BI202" s="20"/>
      <c r="BJ202" s="125" t="str">
        <f t="shared" si="172"/>
        <v/>
      </c>
      <c r="BK202" s="14"/>
      <c r="BL202" s="125" t="str">
        <f t="shared" si="173"/>
        <v/>
      </c>
      <c r="BM202" s="20"/>
      <c r="BN202" s="20"/>
      <c r="BO202" s="125" t="str">
        <f t="shared" si="174"/>
        <v/>
      </c>
      <c r="BP202" s="14"/>
      <c r="BQ202" s="125" t="str">
        <f t="shared" si="175"/>
        <v/>
      </c>
      <c r="BR202" s="20"/>
      <c r="BS202" s="20"/>
      <c r="BT202" s="125" t="str">
        <f t="shared" si="176"/>
        <v/>
      </c>
      <c r="BU202" s="125" t="str">
        <f t="shared" si="177"/>
        <v/>
      </c>
      <c r="BV202" s="125" t="str">
        <f t="shared" si="178"/>
        <v/>
      </c>
      <c r="BW202" s="129" t="str">
        <f t="shared" si="179"/>
        <v/>
      </c>
      <c r="BX202" s="13"/>
      <c r="BY202" s="15"/>
      <c r="BZ202" s="14"/>
      <c r="CA202" s="117" t="str">
        <f>IF(_xlfn.XLOOKUP(BY202, AutoFill_classes!$A:$A, AutoFill_classes!$B:$B,"")=0,"",_xlfn.XLOOKUP(BY202, AutoFill_classes!$A:$A, AutoFill_classes!$B:$B,""))</f>
        <v/>
      </c>
      <c r="CB202" s="108"/>
      <c r="CC202" s="14"/>
      <c r="CD202" s="14"/>
      <c r="CE202" s="14"/>
      <c r="CF202" s="21"/>
      <c r="CG202" s="22"/>
      <c r="CH202" s="63"/>
      <c r="CI202" s="23"/>
      <c r="CJ202" s="121" t="str">
        <f t="shared" si="180"/>
        <v/>
      </c>
      <c r="CK202" s="20"/>
      <c r="CL202" s="20"/>
      <c r="CM202" s="20"/>
      <c r="CN202" s="20"/>
      <c r="CO202" s="125" t="str">
        <f t="shared" si="181"/>
        <v/>
      </c>
      <c r="CP202" s="14"/>
      <c r="CQ202" s="125" t="str">
        <f t="shared" si="182"/>
        <v/>
      </c>
      <c r="CR202" s="20"/>
      <c r="CS202" s="20"/>
      <c r="CT202" s="125" t="str">
        <f t="shared" si="183"/>
        <v/>
      </c>
      <c r="CU202" s="14"/>
      <c r="CV202" s="125" t="str">
        <f t="shared" si="184"/>
        <v/>
      </c>
      <c r="CW202" s="20"/>
      <c r="CX202" s="20"/>
      <c r="CY202" s="125" t="str">
        <f t="shared" si="185"/>
        <v/>
      </c>
      <c r="CZ202" s="125" t="str">
        <f t="shared" si="186"/>
        <v/>
      </c>
      <c r="DA202" s="125" t="str">
        <f t="shared" si="187"/>
        <v/>
      </c>
      <c r="DB202" s="129" t="str">
        <f t="shared" si="188"/>
        <v/>
      </c>
      <c r="DC202" s="14"/>
      <c r="DD202" s="62"/>
      <c r="DE202" s="105">
        <v>200</v>
      </c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</row>
    <row r="203" spans="1:176" s="1" customFormat="1" ht="13" hidden="1" customHeight="1" outlineLevel="1" x14ac:dyDescent="0.2">
      <c r="A203" s="4"/>
      <c r="B203" s="115" t="str">
        <f>IF(_xlfn.XLOOKUP(A203, AutoFill_names!B:B, AutoFill_names!C:C,"")=0,"",_xlfn.XLOOKUP(A203, AutoFill_names!B:B, AutoFill_names!C:C,""))</f>
        <v/>
      </c>
      <c r="C203" s="115" t="str">
        <f>IF(_xlfn.XLOOKUP(A203, AutoFill_names!B:B, AutoFill_names!D:D,"")=0,"",_xlfn.XLOOKUP(A203, AutoFill_names!B:B, AutoFill_names!D:D,""))</f>
        <v/>
      </c>
      <c r="D203" s="115" t="str">
        <f>IF(_xlfn.XLOOKUP(A203, AutoFill_names!B:B, AutoFill_names!E:E,"")=0,"",_xlfn.XLOOKUP(A203, AutoFill_names!B:B, AutoFill_names!E:E,""))</f>
        <v/>
      </c>
      <c r="E203" s="115" t="str">
        <f>IF(_xlfn.XLOOKUP(A203, AutoFill_names!B:B, AutoFill_names!F:F,"")=0,"",_xlfn.XLOOKUP(A203, AutoFill_names!B:B, AutoFill_names!F:F,""))</f>
        <v/>
      </c>
      <c r="F203" s="92"/>
      <c r="J203" s="115" t="str">
        <f>IF(_xlfn.XLOOKUP(A203, AutoFill_names!B:B, AutoFill_names!K:K,"")=0,"",_xlfn.XLOOKUP(A203, AutoFill_names!B:B, AutoFill_names!K:K,""))</f>
        <v/>
      </c>
      <c r="K203" s="115" t="str">
        <f>IF(_xlfn.XLOOKUP(A203, AutoFill_names!B:B, AutoFill_names!L:L,"")=0,"",_xlfn.XLOOKUP(A203, AutoFill_names!B:B, AutoFill_names!L:L,""))</f>
        <v/>
      </c>
      <c r="L203" s="31"/>
      <c r="M203" s="31"/>
      <c r="N203" s="117" t="str">
        <f>IF(_xlfn.XLOOKUP(L203, AutoFill_classes!A:A, AutoFill_classes!B:B,"")=0,"",_xlfn.XLOOKUP(L203, AutoFill_classes!A:A, AutoFill_classes!B:B,""))</f>
        <v/>
      </c>
      <c r="O203" s="108"/>
      <c r="P203" s="6"/>
      <c r="Q203" s="6"/>
      <c r="R203" s="6"/>
      <c r="S203" s="2"/>
      <c r="T203" s="3"/>
      <c r="U203" s="2"/>
      <c r="X203" s="63"/>
      <c r="Y203" s="19"/>
      <c r="Z203" s="121" t="str">
        <f t="shared" si="162"/>
        <v/>
      </c>
      <c r="AA203" s="20"/>
      <c r="AB203" s="20"/>
      <c r="AC203" s="20"/>
      <c r="AD203" s="20"/>
      <c r="AE203" s="125" t="str">
        <f t="shared" si="163"/>
        <v/>
      </c>
      <c r="AF203" s="14"/>
      <c r="AG203" s="125" t="str">
        <f t="shared" si="164"/>
        <v/>
      </c>
      <c r="AH203" s="20"/>
      <c r="AI203" s="20"/>
      <c r="AJ203" s="125" t="str">
        <f t="shared" si="165"/>
        <v/>
      </c>
      <c r="AK203" s="14"/>
      <c r="AL203" s="125" t="str">
        <f t="shared" si="166"/>
        <v/>
      </c>
      <c r="AM203" s="20"/>
      <c r="AN203" s="20"/>
      <c r="AO203" s="125" t="str">
        <f t="shared" si="167"/>
        <v/>
      </c>
      <c r="AP203" s="125" t="str">
        <f t="shared" si="168"/>
        <v/>
      </c>
      <c r="AQ203" s="125" t="str">
        <f t="shared" si="169"/>
        <v/>
      </c>
      <c r="AR203" s="129" t="str">
        <f t="shared" si="170"/>
        <v/>
      </c>
      <c r="AS203" s="14"/>
      <c r="AT203" s="13"/>
      <c r="AU203" s="13"/>
      <c r="AV203" s="117" t="str">
        <f>IF(_xlfn.XLOOKUP(AT203, AutoFill_classes!$A:$A, AutoFill_classes!$B:$B,"")=0,"",_xlfn.XLOOKUP(AT203, AutoFill_classes!$A:$A, AutoFill_classes!$B:$B,""))</f>
        <v/>
      </c>
      <c r="AW203" s="108"/>
      <c r="AX203" s="11"/>
      <c r="AY203" s="13"/>
      <c r="AZ203" s="11"/>
      <c r="BA203" s="13"/>
      <c r="BB203" s="13"/>
      <c r="BC203" s="63"/>
      <c r="BD203" s="18"/>
      <c r="BE203" s="121" t="str">
        <f t="shared" si="171"/>
        <v/>
      </c>
      <c r="BF203" s="20"/>
      <c r="BG203" s="20"/>
      <c r="BH203" s="20"/>
      <c r="BI203" s="20"/>
      <c r="BJ203" s="125" t="str">
        <f t="shared" si="172"/>
        <v/>
      </c>
      <c r="BK203" s="14"/>
      <c r="BL203" s="125" t="str">
        <f t="shared" si="173"/>
        <v/>
      </c>
      <c r="BM203" s="20"/>
      <c r="BN203" s="20"/>
      <c r="BO203" s="125" t="str">
        <f t="shared" si="174"/>
        <v/>
      </c>
      <c r="BP203" s="14"/>
      <c r="BQ203" s="125" t="str">
        <f t="shared" si="175"/>
        <v/>
      </c>
      <c r="BR203" s="20"/>
      <c r="BS203" s="20"/>
      <c r="BT203" s="125" t="str">
        <f t="shared" si="176"/>
        <v/>
      </c>
      <c r="BU203" s="125" t="str">
        <f t="shared" si="177"/>
        <v/>
      </c>
      <c r="BV203" s="125" t="str">
        <f t="shared" si="178"/>
        <v/>
      </c>
      <c r="BW203" s="129" t="str">
        <f t="shared" si="179"/>
        <v/>
      </c>
      <c r="BX203" s="13"/>
      <c r="BY203" s="15"/>
      <c r="BZ203" s="14"/>
      <c r="CA203" s="117" t="str">
        <f>IF(_xlfn.XLOOKUP(BY203, AutoFill_classes!$A:$A, AutoFill_classes!$B:$B,"")=0,"",_xlfn.XLOOKUP(BY203, AutoFill_classes!$A:$A, AutoFill_classes!$B:$B,""))</f>
        <v/>
      </c>
      <c r="CB203" s="108"/>
      <c r="CC203" s="14"/>
      <c r="CD203" s="14"/>
      <c r="CE203" s="14"/>
      <c r="CF203" s="21"/>
      <c r="CG203" s="22"/>
      <c r="CH203" s="63"/>
      <c r="CI203" s="23"/>
      <c r="CJ203" s="121" t="str">
        <f t="shared" si="180"/>
        <v/>
      </c>
      <c r="CK203" s="20"/>
      <c r="CL203" s="20"/>
      <c r="CM203" s="20"/>
      <c r="CN203" s="20"/>
      <c r="CO203" s="125" t="str">
        <f t="shared" si="181"/>
        <v/>
      </c>
      <c r="CP203" s="14"/>
      <c r="CQ203" s="125" t="str">
        <f t="shared" si="182"/>
        <v/>
      </c>
      <c r="CR203" s="20"/>
      <c r="CS203" s="20"/>
      <c r="CT203" s="125" t="str">
        <f t="shared" si="183"/>
        <v/>
      </c>
      <c r="CU203" s="14"/>
      <c r="CV203" s="125" t="str">
        <f t="shared" si="184"/>
        <v/>
      </c>
      <c r="CW203" s="20"/>
      <c r="CX203" s="20"/>
      <c r="CY203" s="125" t="str">
        <f t="shared" si="185"/>
        <v/>
      </c>
      <c r="CZ203" s="125" t="str">
        <f t="shared" si="186"/>
        <v/>
      </c>
      <c r="DA203" s="125" t="str">
        <f t="shared" si="187"/>
        <v/>
      </c>
      <c r="DB203" s="129" t="str">
        <f t="shared" si="188"/>
        <v/>
      </c>
      <c r="DC203" s="14"/>
      <c r="DD203" s="62"/>
      <c r="DE203" s="105">
        <v>201</v>
      </c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</row>
    <row r="204" spans="1:176" s="1" customFormat="1" ht="13" hidden="1" customHeight="1" outlineLevel="1" x14ac:dyDescent="0.2">
      <c r="A204" s="4"/>
      <c r="B204" s="115" t="str">
        <f>IF(_xlfn.XLOOKUP(A204, AutoFill_names!B:B, AutoFill_names!C:C,"")=0,"",_xlfn.XLOOKUP(A204, AutoFill_names!B:B, AutoFill_names!C:C,""))</f>
        <v/>
      </c>
      <c r="C204" s="115" t="str">
        <f>IF(_xlfn.XLOOKUP(A204, AutoFill_names!B:B, AutoFill_names!D:D,"")=0,"",_xlfn.XLOOKUP(A204, AutoFill_names!B:B, AutoFill_names!D:D,""))</f>
        <v/>
      </c>
      <c r="D204" s="115" t="str">
        <f>IF(_xlfn.XLOOKUP(A204, AutoFill_names!B:B, AutoFill_names!E:E,"")=0,"",_xlfn.XLOOKUP(A204, AutoFill_names!B:B, AutoFill_names!E:E,""))</f>
        <v/>
      </c>
      <c r="E204" s="115" t="str">
        <f>IF(_xlfn.XLOOKUP(A204, AutoFill_names!B:B, AutoFill_names!F:F,"")=0,"",_xlfn.XLOOKUP(A204, AutoFill_names!B:B, AutoFill_names!F:F,""))</f>
        <v/>
      </c>
      <c r="F204" s="92"/>
      <c r="J204" s="115" t="str">
        <f>IF(_xlfn.XLOOKUP(A204, AutoFill_names!B:B, AutoFill_names!K:K,"")=0,"",_xlfn.XLOOKUP(A204, AutoFill_names!B:B, AutoFill_names!K:K,""))</f>
        <v/>
      </c>
      <c r="K204" s="115" t="str">
        <f>IF(_xlfn.XLOOKUP(A204, AutoFill_names!B:B, AutoFill_names!L:L,"")=0,"",_xlfn.XLOOKUP(A204, AutoFill_names!B:B, AutoFill_names!L:L,""))</f>
        <v/>
      </c>
      <c r="L204" s="31"/>
      <c r="M204" s="31"/>
      <c r="N204" s="117" t="str">
        <f>IF(_xlfn.XLOOKUP(L204, AutoFill_classes!A:A, AutoFill_classes!B:B,"")=0,"",_xlfn.XLOOKUP(L204, AutoFill_classes!A:A, AutoFill_classes!B:B,""))</f>
        <v/>
      </c>
      <c r="O204" s="108"/>
      <c r="P204" s="6"/>
      <c r="Q204" s="6"/>
      <c r="R204" s="6"/>
      <c r="S204" s="2"/>
      <c r="T204" s="3"/>
      <c r="U204" s="2"/>
      <c r="X204" s="63"/>
      <c r="Y204" s="19"/>
      <c r="Z204" s="121" t="str">
        <f t="shared" si="162"/>
        <v/>
      </c>
      <c r="AA204" s="20"/>
      <c r="AB204" s="20"/>
      <c r="AC204" s="20"/>
      <c r="AD204" s="20"/>
      <c r="AE204" s="125" t="str">
        <f t="shared" si="163"/>
        <v/>
      </c>
      <c r="AF204" s="14"/>
      <c r="AG204" s="125" t="str">
        <f t="shared" si="164"/>
        <v/>
      </c>
      <c r="AH204" s="20"/>
      <c r="AI204" s="20"/>
      <c r="AJ204" s="125" t="str">
        <f t="shared" si="165"/>
        <v/>
      </c>
      <c r="AK204" s="14"/>
      <c r="AL204" s="125" t="str">
        <f t="shared" si="166"/>
        <v/>
      </c>
      <c r="AM204" s="20"/>
      <c r="AN204" s="20"/>
      <c r="AO204" s="125" t="str">
        <f t="shared" si="167"/>
        <v/>
      </c>
      <c r="AP204" s="125" t="str">
        <f t="shared" si="168"/>
        <v/>
      </c>
      <c r="AQ204" s="125" t="str">
        <f t="shared" si="169"/>
        <v/>
      </c>
      <c r="AR204" s="129" t="str">
        <f t="shared" si="170"/>
        <v/>
      </c>
      <c r="AS204" s="14"/>
      <c r="AT204" s="13"/>
      <c r="AU204" s="13"/>
      <c r="AV204" s="117" t="str">
        <f>IF(_xlfn.XLOOKUP(AT204, AutoFill_classes!$A:$A, AutoFill_classes!$B:$B,"")=0,"",_xlfn.XLOOKUP(AT204, AutoFill_classes!$A:$A, AutoFill_classes!$B:$B,""))</f>
        <v/>
      </c>
      <c r="AW204" s="108"/>
      <c r="AX204" s="11"/>
      <c r="AY204" s="13"/>
      <c r="AZ204" s="11"/>
      <c r="BA204" s="13"/>
      <c r="BB204" s="13"/>
      <c r="BC204" s="63"/>
      <c r="BD204" s="18"/>
      <c r="BE204" s="121" t="str">
        <f t="shared" si="171"/>
        <v/>
      </c>
      <c r="BF204" s="20"/>
      <c r="BG204" s="20"/>
      <c r="BH204" s="20"/>
      <c r="BI204" s="20"/>
      <c r="BJ204" s="125" t="str">
        <f t="shared" si="172"/>
        <v/>
      </c>
      <c r="BK204" s="14"/>
      <c r="BL204" s="125" t="str">
        <f t="shared" si="173"/>
        <v/>
      </c>
      <c r="BM204" s="20"/>
      <c r="BN204" s="20"/>
      <c r="BO204" s="125" t="str">
        <f t="shared" si="174"/>
        <v/>
      </c>
      <c r="BP204" s="14"/>
      <c r="BQ204" s="125" t="str">
        <f t="shared" si="175"/>
        <v/>
      </c>
      <c r="BR204" s="20"/>
      <c r="BS204" s="20"/>
      <c r="BT204" s="125" t="str">
        <f t="shared" si="176"/>
        <v/>
      </c>
      <c r="BU204" s="125" t="str">
        <f t="shared" si="177"/>
        <v/>
      </c>
      <c r="BV204" s="125" t="str">
        <f t="shared" si="178"/>
        <v/>
      </c>
      <c r="BW204" s="129" t="str">
        <f t="shared" si="179"/>
        <v/>
      </c>
      <c r="BX204" s="13"/>
      <c r="BY204" s="15"/>
      <c r="BZ204" s="14"/>
      <c r="CA204" s="117" t="str">
        <f>IF(_xlfn.XLOOKUP(BY204, AutoFill_classes!$A:$A, AutoFill_classes!$B:$B,"")=0,"",_xlfn.XLOOKUP(BY204, AutoFill_classes!$A:$A, AutoFill_classes!$B:$B,""))</f>
        <v/>
      </c>
      <c r="CB204" s="108"/>
      <c r="CC204" s="14"/>
      <c r="CD204" s="14"/>
      <c r="CE204" s="14"/>
      <c r="CF204" s="21"/>
      <c r="CG204" s="22"/>
      <c r="CH204" s="63"/>
      <c r="CI204" s="23"/>
      <c r="CJ204" s="121" t="str">
        <f t="shared" si="180"/>
        <v/>
      </c>
      <c r="CK204" s="20"/>
      <c r="CL204" s="20"/>
      <c r="CM204" s="20"/>
      <c r="CN204" s="20"/>
      <c r="CO204" s="125" t="str">
        <f t="shared" si="181"/>
        <v/>
      </c>
      <c r="CP204" s="14"/>
      <c r="CQ204" s="125" t="str">
        <f t="shared" si="182"/>
        <v/>
      </c>
      <c r="CR204" s="20"/>
      <c r="CS204" s="20"/>
      <c r="CT204" s="125" t="str">
        <f t="shared" si="183"/>
        <v/>
      </c>
      <c r="CU204" s="14"/>
      <c r="CV204" s="125" t="str">
        <f t="shared" si="184"/>
        <v/>
      </c>
      <c r="CW204" s="20"/>
      <c r="CX204" s="20"/>
      <c r="CY204" s="125" t="str">
        <f t="shared" si="185"/>
        <v/>
      </c>
      <c r="CZ204" s="125" t="str">
        <f t="shared" si="186"/>
        <v/>
      </c>
      <c r="DA204" s="125" t="str">
        <f t="shared" si="187"/>
        <v/>
      </c>
      <c r="DB204" s="129" t="str">
        <f t="shared" si="188"/>
        <v/>
      </c>
      <c r="DC204" s="14"/>
      <c r="DD204" s="62"/>
      <c r="DE204" s="105">
        <v>202</v>
      </c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</row>
    <row r="205" spans="1:176" s="1" customFormat="1" ht="13" hidden="1" customHeight="1" outlineLevel="1" x14ac:dyDescent="0.2">
      <c r="A205" s="4"/>
      <c r="B205" s="115" t="str">
        <f>IF(_xlfn.XLOOKUP(A205, AutoFill_names!B:B, AutoFill_names!C:C,"")=0,"",_xlfn.XLOOKUP(A205, AutoFill_names!B:B, AutoFill_names!C:C,""))</f>
        <v/>
      </c>
      <c r="C205" s="115" t="str">
        <f>IF(_xlfn.XLOOKUP(A205, AutoFill_names!B:B, AutoFill_names!D:D,"")=0,"",_xlfn.XLOOKUP(A205, AutoFill_names!B:B, AutoFill_names!D:D,""))</f>
        <v/>
      </c>
      <c r="D205" s="115" t="str">
        <f>IF(_xlfn.XLOOKUP(A205, AutoFill_names!B:B, AutoFill_names!E:E,"")=0,"",_xlfn.XLOOKUP(A205, AutoFill_names!B:B, AutoFill_names!E:E,""))</f>
        <v/>
      </c>
      <c r="E205" s="115" t="str">
        <f>IF(_xlfn.XLOOKUP(A205, AutoFill_names!B:B, AutoFill_names!F:F,"")=0,"",_xlfn.XLOOKUP(A205, AutoFill_names!B:B, AutoFill_names!F:F,""))</f>
        <v/>
      </c>
      <c r="F205" s="92"/>
      <c r="J205" s="115" t="str">
        <f>IF(_xlfn.XLOOKUP(A205, AutoFill_names!B:B, AutoFill_names!K:K,"")=0,"",_xlfn.XLOOKUP(A205, AutoFill_names!B:B, AutoFill_names!K:K,""))</f>
        <v/>
      </c>
      <c r="K205" s="115" t="str">
        <f>IF(_xlfn.XLOOKUP(A205, AutoFill_names!B:B, AutoFill_names!L:L,"")=0,"",_xlfn.XLOOKUP(A205, AutoFill_names!B:B, AutoFill_names!L:L,""))</f>
        <v/>
      </c>
      <c r="L205" s="31"/>
      <c r="M205" s="31"/>
      <c r="N205" s="117" t="str">
        <f>IF(_xlfn.XLOOKUP(L205, AutoFill_classes!A:A, AutoFill_classes!B:B,"")=0,"",_xlfn.XLOOKUP(L205, AutoFill_classes!A:A, AutoFill_classes!B:B,""))</f>
        <v/>
      </c>
      <c r="O205" s="108"/>
      <c r="P205" s="6"/>
      <c r="Q205" s="6"/>
      <c r="R205" s="6"/>
      <c r="S205" s="2"/>
      <c r="T205" s="3"/>
      <c r="U205" s="2"/>
      <c r="X205" s="63"/>
      <c r="Y205" s="19"/>
      <c r="Z205" s="121" t="str">
        <f t="shared" si="162"/>
        <v/>
      </c>
      <c r="AA205" s="20"/>
      <c r="AB205" s="20"/>
      <c r="AC205" s="20"/>
      <c r="AD205" s="20"/>
      <c r="AE205" s="125" t="str">
        <f t="shared" si="163"/>
        <v/>
      </c>
      <c r="AF205" s="14"/>
      <c r="AG205" s="125" t="str">
        <f t="shared" si="164"/>
        <v/>
      </c>
      <c r="AH205" s="20"/>
      <c r="AI205" s="20"/>
      <c r="AJ205" s="125" t="str">
        <f t="shared" si="165"/>
        <v/>
      </c>
      <c r="AK205" s="14"/>
      <c r="AL205" s="125" t="str">
        <f t="shared" si="166"/>
        <v/>
      </c>
      <c r="AM205" s="20"/>
      <c r="AN205" s="20"/>
      <c r="AO205" s="125" t="str">
        <f t="shared" si="167"/>
        <v/>
      </c>
      <c r="AP205" s="125" t="str">
        <f t="shared" si="168"/>
        <v/>
      </c>
      <c r="AQ205" s="125" t="str">
        <f t="shared" si="169"/>
        <v/>
      </c>
      <c r="AR205" s="129" t="str">
        <f t="shared" si="170"/>
        <v/>
      </c>
      <c r="AS205" s="14"/>
      <c r="AT205" s="13"/>
      <c r="AU205" s="13"/>
      <c r="AV205" s="117" t="str">
        <f>IF(_xlfn.XLOOKUP(AT205, AutoFill_classes!$A:$A, AutoFill_classes!$B:$B,"")=0,"",_xlfn.XLOOKUP(AT205, AutoFill_classes!$A:$A, AutoFill_classes!$B:$B,""))</f>
        <v/>
      </c>
      <c r="AW205" s="108"/>
      <c r="AX205" s="11"/>
      <c r="AY205" s="13"/>
      <c r="AZ205" s="11"/>
      <c r="BA205" s="13"/>
      <c r="BB205" s="13"/>
      <c r="BC205" s="63"/>
      <c r="BD205" s="18"/>
      <c r="BE205" s="121" t="str">
        <f t="shared" si="171"/>
        <v/>
      </c>
      <c r="BF205" s="20"/>
      <c r="BG205" s="20"/>
      <c r="BH205" s="20"/>
      <c r="BI205" s="20"/>
      <c r="BJ205" s="125" t="str">
        <f t="shared" si="172"/>
        <v/>
      </c>
      <c r="BK205" s="14"/>
      <c r="BL205" s="125" t="str">
        <f t="shared" si="173"/>
        <v/>
      </c>
      <c r="BM205" s="20"/>
      <c r="BN205" s="20"/>
      <c r="BO205" s="125" t="str">
        <f t="shared" si="174"/>
        <v/>
      </c>
      <c r="BP205" s="14"/>
      <c r="BQ205" s="125" t="str">
        <f t="shared" si="175"/>
        <v/>
      </c>
      <c r="BR205" s="20"/>
      <c r="BS205" s="20"/>
      <c r="BT205" s="125" t="str">
        <f t="shared" si="176"/>
        <v/>
      </c>
      <c r="BU205" s="125" t="str">
        <f t="shared" si="177"/>
        <v/>
      </c>
      <c r="BV205" s="125" t="str">
        <f t="shared" si="178"/>
        <v/>
      </c>
      <c r="BW205" s="129" t="str">
        <f t="shared" si="179"/>
        <v/>
      </c>
      <c r="BX205" s="13"/>
      <c r="BY205" s="15"/>
      <c r="BZ205" s="14"/>
      <c r="CA205" s="117" t="str">
        <f>IF(_xlfn.XLOOKUP(BY205, AutoFill_classes!$A:$A, AutoFill_classes!$B:$B,"")=0,"",_xlfn.XLOOKUP(BY205, AutoFill_classes!$A:$A, AutoFill_classes!$B:$B,""))</f>
        <v/>
      </c>
      <c r="CB205" s="108"/>
      <c r="CC205" s="14"/>
      <c r="CD205" s="14"/>
      <c r="CE205" s="14"/>
      <c r="CF205" s="21"/>
      <c r="CG205" s="22"/>
      <c r="CH205" s="63"/>
      <c r="CI205" s="23"/>
      <c r="CJ205" s="121" t="str">
        <f t="shared" si="180"/>
        <v/>
      </c>
      <c r="CK205" s="20"/>
      <c r="CL205" s="20"/>
      <c r="CM205" s="20"/>
      <c r="CN205" s="20"/>
      <c r="CO205" s="125" t="str">
        <f t="shared" si="181"/>
        <v/>
      </c>
      <c r="CP205" s="14"/>
      <c r="CQ205" s="125" t="str">
        <f t="shared" si="182"/>
        <v/>
      </c>
      <c r="CR205" s="20"/>
      <c r="CS205" s="20"/>
      <c r="CT205" s="125" t="str">
        <f t="shared" si="183"/>
        <v/>
      </c>
      <c r="CU205" s="14"/>
      <c r="CV205" s="125" t="str">
        <f t="shared" si="184"/>
        <v/>
      </c>
      <c r="CW205" s="20"/>
      <c r="CX205" s="20"/>
      <c r="CY205" s="125" t="str">
        <f t="shared" si="185"/>
        <v/>
      </c>
      <c r="CZ205" s="125" t="str">
        <f t="shared" si="186"/>
        <v/>
      </c>
      <c r="DA205" s="125" t="str">
        <f t="shared" si="187"/>
        <v/>
      </c>
      <c r="DB205" s="129" t="str">
        <f t="shared" si="188"/>
        <v/>
      </c>
      <c r="DC205" s="14"/>
      <c r="DD205" s="62"/>
      <c r="DE205" s="105">
        <v>203</v>
      </c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</row>
    <row r="206" spans="1:176" s="1" customFormat="1" ht="13" hidden="1" customHeight="1" outlineLevel="1" x14ac:dyDescent="0.2">
      <c r="A206" s="4"/>
      <c r="B206" s="115" t="str">
        <f>IF(_xlfn.XLOOKUP(A206, AutoFill_names!B:B, AutoFill_names!C:C,"")=0,"",_xlfn.XLOOKUP(A206, AutoFill_names!B:B, AutoFill_names!C:C,""))</f>
        <v/>
      </c>
      <c r="C206" s="115" t="str">
        <f>IF(_xlfn.XLOOKUP(A206, AutoFill_names!B:B, AutoFill_names!D:D,"")=0,"",_xlfn.XLOOKUP(A206, AutoFill_names!B:B, AutoFill_names!D:D,""))</f>
        <v/>
      </c>
      <c r="D206" s="115" t="str">
        <f>IF(_xlfn.XLOOKUP(A206, AutoFill_names!B:B, AutoFill_names!E:E,"")=0,"",_xlfn.XLOOKUP(A206, AutoFill_names!B:B, AutoFill_names!E:E,""))</f>
        <v/>
      </c>
      <c r="E206" s="115" t="str">
        <f>IF(_xlfn.XLOOKUP(A206, AutoFill_names!B:B, AutoFill_names!F:F,"")=0,"",_xlfn.XLOOKUP(A206, AutoFill_names!B:B, AutoFill_names!F:F,""))</f>
        <v/>
      </c>
      <c r="F206" s="92"/>
      <c r="J206" s="115" t="str">
        <f>IF(_xlfn.XLOOKUP(A206, AutoFill_names!B:B, AutoFill_names!K:K,"")=0,"",_xlfn.XLOOKUP(A206, AutoFill_names!B:B, AutoFill_names!K:K,""))</f>
        <v/>
      </c>
      <c r="K206" s="115" t="str">
        <f>IF(_xlfn.XLOOKUP(A206, AutoFill_names!B:B, AutoFill_names!L:L,"")=0,"",_xlfn.XLOOKUP(A206, AutoFill_names!B:B, AutoFill_names!L:L,""))</f>
        <v/>
      </c>
      <c r="L206" s="31"/>
      <c r="M206" s="31"/>
      <c r="N206" s="117" t="str">
        <f>IF(_xlfn.XLOOKUP(L206, AutoFill_classes!A:A, AutoFill_classes!B:B,"")=0,"",_xlfn.XLOOKUP(L206, AutoFill_classes!A:A, AutoFill_classes!B:B,""))</f>
        <v/>
      </c>
      <c r="O206" s="108"/>
      <c r="P206" s="6"/>
      <c r="Q206" s="6"/>
      <c r="R206" s="6"/>
      <c r="S206" s="2"/>
      <c r="T206" s="3"/>
      <c r="U206" s="2"/>
      <c r="X206" s="63"/>
      <c r="Y206" s="19"/>
      <c r="Z206" s="121" t="str">
        <f t="shared" si="162"/>
        <v/>
      </c>
      <c r="AA206" s="20"/>
      <c r="AB206" s="20"/>
      <c r="AC206" s="20"/>
      <c r="AD206" s="20"/>
      <c r="AE206" s="125" t="str">
        <f t="shared" si="163"/>
        <v/>
      </c>
      <c r="AF206" s="14"/>
      <c r="AG206" s="125" t="str">
        <f t="shared" si="164"/>
        <v/>
      </c>
      <c r="AH206" s="20"/>
      <c r="AI206" s="20"/>
      <c r="AJ206" s="125" t="str">
        <f t="shared" si="165"/>
        <v/>
      </c>
      <c r="AK206" s="14"/>
      <c r="AL206" s="125" t="str">
        <f t="shared" si="166"/>
        <v/>
      </c>
      <c r="AM206" s="20"/>
      <c r="AN206" s="20"/>
      <c r="AO206" s="125" t="str">
        <f t="shared" si="167"/>
        <v/>
      </c>
      <c r="AP206" s="125" t="str">
        <f t="shared" si="168"/>
        <v/>
      </c>
      <c r="AQ206" s="125" t="str">
        <f t="shared" si="169"/>
        <v/>
      </c>
      <c r="AR206" s="129" t="str">
        <f t="shared" si="170"/>
        <v/>
      </c>
      <c r="AS206" s="14"/>
      <c r="AT206" s="13"/>
      <c r="AU206" s="13"/>
      <c r="AV206" s="117" t="str">
        <f>IF(_xlfn.XLOOKUP(AT206, AutoFill_classes!$A:$A, AutoFill_classes!$B:$B,"")=0,"",_xlfn.XLOOKUP(AT206, AutoFill_classes!$A:$A, AutoFill_classes!$B:$B,""))</f>
        <v/>
      </c>
      <c r="AW206" s="108"/>
      <c r="AX206" s="11"/>
      <c r="AY206" s="13"/>
      <c r="AZ206" s="11"/>
      <c r="BA206" s="13"/>
      <c r="BB206" s="13"/>
      <c r="BC206" s="63"/>
      <c r="BD206" s="18"/>
      <c r="BE206" s="121" t="str">
        <f t="shared" si="171"/>
        <v/>
      </c>
      <c r="BF206" s="20"/>
      <c r="BG206" s="20"/>
      <c r="BH206" s="20"/>
      <c r="BI206" s="20"/>
      <c r="BJ206" s="125" t="str">
        <f t="shared" si="172"/>
        <v/>
      </c>
      <c r="BK206" s="14"/>
      <c r="BL206" s="125" t="str">
        <f t="shared" si="173"/>
        <v/>
      </c>
      <c r="BM206" s="20"/>
      <c r="BN206" s="20"/>
      <c r="BO206" s="125" t="str">
        <f t="shared" si="174"/>
        <v/>
      </c>
      <c r="BP206" s="14"/>
      <c r="BQ206" s="125" t="str">
        <f t="shared" si="175"/>
        <v/>
      </c>
      <c r="BR206" s="20"/>
      <c r="BS206" s="20"/>
      <c r="BT206" s="125" t="str">
        <f t="shared" si="176"/>
        <v/>
      </c>
      <c r="BU206" s="125" t="str">
        <f t="shared" si="177"/>
        <v/>
      </c>
      <c r="BV206" s="125" t="str">
        <f t="shared" si="178"/>
        <v/>
      </c>
      <c r="BW206" s="129" t="str">
        <f t="shared" si="179"/>
        <v/>
      </c>
      <c r="BX206" s="13"/>
      <c r="BY206" s="15"/>
      <c r="BZ206" s="14"/>
      <c r="CA206" s="117" t="str">
        <f>IF(_xlfn.XLOOKUP(BY206, AutoFill_classes!$A:$A, AutoFill_classes!$B:$B,"")=0,"",_xlfn.XLOOKUP(BY206, AutoFill_classes!$A:$A, AutoFill_classes!$B:$B,""))</f>
        <v/>
      </c>
      <c r="CB206" s="108"/>
      <c r="CC206" s="14"/>
      <c r="CD206" s="14"/>
      <c r="CE206" s="14"/>
      <c r="CF206" s="21"/>
      <c r="CG206" s="22"/>
      <c r="CH206" s="63"/>
      <c r="CI206" s="23"/>
      <c r="CJ206" s="121" t="str">
        <f t="shared" si="180"/>
        <v/>
      </c>
      <c r="CK206" s="20"/>
      <c r="CL206" s="20"/>
      <c r="CM206" s="20"/>
      <c r="CN206" s="20"/>
      <c r="CO206" s="125" t="str">
        <f t="shared" si="181"/>
        <v/>
      </c>
      <c r="CP206" s="14"/>
      <c r="CQ206" s="125" t="str">
        <f t="shared" si="182"/>
        <v/>
      </c>
      <c r="CR206" s="20"/>
      <c r="CS206" s="20"/>
      <c r="CT206" s="125" t="str">
        <f t="shared" si="183"/>
        <v/>
      </c>
      <c r="CU206" s="14"/>
      <c r="CV206" s="125" t="str">
        <f t="shared" si="184"/>
        <v/>
      </c>
      <c r="CW206" s="20"/>
      <c r="CX206" s="20"/>
      <c r="CY206" s="125" t="str">
        <f t="shared" si="185"/>
        <v/>
      </c>
      <c r="CZ206" s="125" t="str">
        <f t="shared" si="186"/>
        <v/>
      </c>
      <c r="DA206" s="125" t="str">
        <f t="shared" si="187"/>
        <v/>
      </c>
      <c r="DB206" s="129" t="str">
        <f t="shared" si="188"/>
        <v/>
      </c>
      <c r="DC206" s="14"/>
      <c r="DD206" s="62"/>
      <c r="DE206" s="105">
        <v>204</v>
      </c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</row>
    <row r="207" spans="1:176" s="1" customFormat="1" ht="13" hidden="1" customHeight="1" outlineLevel="1" x14ac:dyDescent="0.2">
      <c r="A207" s="4"/>
      <c r="B207" s="115" t="str">
        <f>IF(_xlfn.XLOOKUP(A207, AutoFill_names!B:B, AutoFill_names!C:C,"")=0,"",_xlfn.XLOOKUP(A207, AutoFill_names!B:B, AutoFill_names!C:C,""))</f>
        <v/>
      </c>
      <c r="C207" s="115" t="str">
        <f>IF(_xlfn.XLOOKUP(A207, AutoFill_names!B:B, AutoFill_names!D:D,"")=0,"",_xlfn.XLOOKUP(A207, AutoFill_names!B:B, AutoFill_names!D:D,""))</f>
        <v/>
      </c>
      <c r="D207" s="115" t="str">
        <f>IF(_xlfn.XLOOKUP(A207, AutoFill_names!B:B, AutoFill_names!E:E,"")=0,"",_xlfn.XLOOKUP(A207, AutoFill_names!B:B, AutoFill_names!E:E,""))</f>
        <v/>
      </c>
      <c r="E207" s="115" t="str">
        <f>IF(_xlfn.XLOOKUP(A207, AutoFill_names!B:B, AutoFill_names!F:F,"")=0,"",_xlfn.XLOOKUP(A207, AutoFill_names!B:B, AutoFill_names!F:F,""))</f>
        <v/>
      </c>
      <c r="F207" s="92"/>
      <c r="J207" s="115" t="str">
        <f>IF(_xlfn.XLOOKUP(A207, AutoFill_names!B:B, AutoFill_names!K:K,"")=0,"",_xlfn.XLOOKUP(A207, AutoFill_names!B:B, AutoFill_names!K:K,""))</f>
        <v/>
      </c>
      <c r="K207" s="115" t="str">
        <f>IF(_xlfn.XLOOKUP(A207, AutoFill_names!B:B, AutoFill_names!L:L,"")=0,"",_xlfn.XLOOKUP(A207, AutoFill_names!B:B, AutoFill_names!L:L,""))</f>
        <v/>
      </c>
      <c r="L207" s="31"/>
      <c r="M207" s="31"/>
      <c r="N207" s="117" t="str">
        <f>IF(_xlfn.XLOOKUP(L207, AutoFill_classes!A:A, AutoFill_classes!B:B,"")=0,"",_xlfn.XLOOKUP(L207, AutoFill_classes!A:A, AutoFill_classes!B:B,""))</f>
        <v/>
      </c>
      <c r="O207" s="108"/>
      <c r="P207" s="6"/>
      <c r="Q207" s="6"/>
      <c r="R207" s="6"/>
      <c r="S207" s="2"/>
      <c r="T207" s="3"/>
      <c r="U207" s="2"/>
      <c r="X207" s="63"/>
      <c r="Y207" s="19"/>
      <c r="Z207" s="121" t="str">
        <f t="shared" si="162"/>
        <v/>
      </c>
      <c r="AA207" s="20"/>
      <c r="AB207" s="20"/>
      <c r="AC207" s="20"/>
      <c r="AD207" s="20"/>
      <c r="AE207" s="125" t="str">
        <f t="shared" si="163"/>
        <v/>
      </c>
      <c r="AF207" s="14"/>
      <c r="AG207" s="125" t="str">
        <f t="shared" si="164"/>
        <v/>
      </c>
      <c r="AH207" s="20"/>
      <c r="AI207" s="20"/>
      <c r="AJ207" s="125" t="str">
        <f t="shared" si="165"/>
        <v/>
      </c>
      <c r="AK207" s="14"/>
      <c r="AL207" s="125" t="str">
        <f t="shared" si="166"/>
        <v/>
      </c>
      <c r="AM207" s="20"/>
      <c r="AN207" s="20"/>
      <c r="AO207" s="125" t="str">
        <f t="shared" si="167"/>
        <v/>
      </c>
      <c r="AP207" s="125" t="str">
        <f t="shared" si="168"/>
        <v/>
      </c>
      <c r="AQ207" s="125" t="str">
        <f t="shared" si="169"/>
        <v/>
      </c>
      <c r="AR207" s="129" t="str">
        <f t="shared" si="170"/>
        <v/>
      </c>
      <c r="AS207" s="14"/>
      <c r="AT207" s="13"/>
      <c r="AU207" s="13"/>
      <c r="AV207" s="117" t="str">
        <f>IF(_xlfn.XLOOKUP(AT207, AutoFill_classes!$A:$A, AutoFill_classes!$B:$B,"")=0,"",_xlfn.XLOOKUP(AT207, AutoFill_classes!$A:$A, AutoFill_classes!$B:$B,""))</f>
        <v/>
      </c>
      <c r="AW207" s="108"/>
      <c r="AX207" s="11"/>
      <c r="AY207" s="13"/>
      <c r="AZ207" s="11"/>
      <c r="BA207" s="13"/>
      <c r="BB207" s="13"/>
      <c r="BC207" s="63"/>
      <c r="BD207" s="18"/>
      <c r="BE207" s="121" t="str">
        <f t="shared" si="171"/>
        <v/>
      </c>
      <c r="BF207" s="20"/>
      <c r="BG207" s="20"/>
      <c r="BH207" s="20"/>
      <c r="BI207" s="20"/>
      <c r="BJ207" s="125" t="str">
        <f t="shared" si="172"/>
        <v/>
      </c>
      <c r="BK207" s="14"/>
      <c r="BL207" s="125" t="str">
        <f t="shared" si="173"/>
        <v/>
      </c>
      <c r="BM207" s="20"/>
      <c r="BN207" s="20"/>
      <c r="BO207" s="125" t="str">
        <f t="shared" si="174"/>
        <v/>
      </c>
      <c r="BP207" s="14"/>
      <c r="BQ207" s="125" t="str">
        <f t="shared" si="175"/>
        <v/>
      </c>
      <c r="BR207" s="20"/>
      <c r="BS207" s="20"/>
      <c r="BT207" s="125" t="str">
        <f t="shared" si="176"/>
        <v/>
      </c>
      <c r="BU207" s="125" t="str">
        <f t="shared" si="177"/>
        <v/>
      </c>
      <c r="BV207" s="125" t="str">
        <f t="shared" si="178"/>
        <v/>
      </c>
      <c r="BW207" s="129" t="str">
        <f t="shared" si="179"/>
        <v/>
      </c>
      <c r="BX207" s="13"/>
      <c r="BY207" s="15"/>
      <c r="BZ207" s="14"/>
      <c r="CA207" s="117" t="str">
        <f>IF(_xlfn.XLOOKUP(BY207, AutoFill_classes!$A:$A, AutoFill_classes!$B:$B,"")=0,"",_xlfn.XLOOKUP(BY207, AutoFill_classes!$A:$A, AutoFill_classes!$B:$B,""))</f>
        <v/>
      </c>
      <c r="CB207" s="108"/>
      <c r="CC207" s="14"/>
      <c r="CD207" s="14"/>
      <c r="CE207" s="14"/>
      <c r="CF207" s="21"/>
      <c r="CG207" s="22"/>
      <c r="CH207" s="63"/>
      <c r="CI207" s="23"/>
      <c r="CJ207" s="121" t="str">
        <f t="shared" si="180"/>
        <v/>
      </c>
      <c r="CK207" s="20"/>
      <c r="CL207" s="20"/>
      <c r="CM207" s="20"/>
      <c r="CN207" s="20"/>
      <c r="CO207" s="125" t="str">
        <f t="shared" si="181"/>
        <v/>
      </c>
      <c r="CP207" s="14"/>
      <c r="CQ207" s="125" t="str">
        <f t="shared" si="182"/>
        <v/>
      </c>
      <c r="CR207" s="20"/>
      <c r="CS207" s="20"/>
      <c r="CT207" s="125" t="str">
        <f t="shared" si="183"/>
        <v/>
      </c>
      <c r="CU207" s="14"/>
      <c r="CV207" s="125" t="str">
        <f t="shared" si="184"/>
        <v/>
      </c>
      <c r="CW207" s="20"/>
      <c r="CX207" s="20"/>
      <c r="CY207" s="125" t="str">
        <f t="shared" si="185"/>
        <v/>
      </c>
      <c r="CZ207" s="125" t="str">
        <f t="shared" si="186"/>
        <v/>
      </c>
      <c r="DA207" s="125" t="str">
        <f t="shared" si="187"/>
        <v/>
      </c>
      <c r="DB207" s="129" t="str">
        <f t="shared" si="188"/>
        <v/>
      </c>
      <c r="DC207" s="14"/>
      <c r="DD207" s="62"/>
      <c r="DE207" s="105">
        <v>205</v>
      </c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</row>
    <row r="208" spans="1:176" s="1" customFormat="1" ht="13" hidden="1" customHeight="1" outlineLevel="1" x14ac:dyDescent="0.2">
      <c r="A208" s="4"/>
      <c r="B208" s="115" t="str">
        <f>IF(_xlfn.XLOOKUP(A208, AutoFill_names!B:B, AutoFill_names!C:C,"")=0,"",_xlfn.XLOOKUP(A208, AutoFill_names!B:B, AutoFill_names!C:C,""))</f>
        <v/>
      </c>
      <c r="C208" s="115" t="str">
        <f>IF(_xlfn.XLOOKUP(A208, AutoFill_names!B:B, AutoFill_names!D:D,"")=0,"",_xlfn.XLOOKUP(A208, AutoFill_names!B:B, AutoFill_names!D:D,""))</f>
        <v/>
      </c>
      <c r="D208" s="115" t="str">
        <f>IF(_xlfn.XLOOKUP(A208, AutoFill_names!B:B, AutoFill_names!E:E,"")=0,"",_xlfn.XLOOKUP(A208, AutoFill_names!B:B, AutoFill_names!E:E,""))</f>
        <v/>
      </c>
      <c r="E208" s="115" t="str">
        <f>IF(_xlfn.XLOOKUP(A208, AutoFill_names!B:B, AutoFill_names!F:F,"")=0,"",_xlfn.XLOOKUP(A208, AutoFill_names!B:B, AutoFill_names!F:F,""))</f>
        <v/>
      </c>
      <c r="F208" s="92"/>
      <c r="J208" s="115" t="str">
        <f>IF(_xlfn.XLOOKUP(A208, AutoFill_names!B:B, AutoFill_names!K:K,"")=0,"",_xlfn.XLOOKUP(A208, AutoFill_names!B:B, AutoFill_names!K:K,""))</f>
        <v/>
      </c>
      <c r="K208" s="115" t="str">
        <f>IF(_xlfn.XLOOKUP(A208, AutoFill_names!B:B, AutoFill_names!L:L,"")=0,"",_xlfn.XLOOKUP(A208, AutoFill_names!B:B, AutoFill_names!L:L,""))</f>
        <v/>
      </c>
      <c r="L208" s="31"/>
      <c r="M208" s="31"/>
      <c r="N208" s="117" t="str">
        <f>IF(_xlfn.XLOOKUP(L208, AutoFill_classes!A:A, AutoFill_classes!B:B,"")=0,"",_xlfn.XLOOKUP(L208, AutoFill_classes!A:A, AutoFill_classes!B:B,""))</f>
        <v/>
      </c>
      <c r="O208" s="108"/>
      <c r="P208" s="6"/>
      <c r="Q208" s="6"/>
      <c r="R208" s="6"/>
      <c r="S208" s="2"/>
      <c r="T208" s="3"/>
      <c r="U208" s="2"/>
      <c r="X208" s="63"/>
      <c r="Y208" s="19"/>
      <c r="Z208" s="121" t="str">
        <f t="shared" si="162"/>
        <v/>
      </c>
      <c r="AA208" s="20"/>
      <c r="AB208" s="20"/>
      <c r="AC208" s="20"/>
      <c r="AD208" s="20"/>
      <c r="AE208" s="125" t="str">
        <f t="shared" si="163"/>
        <v/>
      </c>
      <c r="AF208" s="14"/>
      <c r="AG208" s="125" t="str">
        <f t="shared" si="164"/>
        <v/>
      </c>
      <c r="AH208" s="20"/>
      <c r="AI208" s="20"/>
      <c r="AJ208" s="125" t="str">
        <f t="shared" si="165"/>
        <v/>
      </c>
      <c r="AK208" s="14"/>
      <c r="AL208" s="125" t="str">
        <f t="shared" si="166"/>
        <v/>
      </c>
      <c r="AM208" s="20"/>
      <c r="AN208" s="20"/>
      <c r="AO208" s="125" t="str">
        <f t="shared" si="167"/>
        <v/>
      </c>
      <c r="AP208" s="125" t="str">
        <f t="shared" si="168"/>
        <v/>
      </c>
      <c r="AQ208" s="125" t="str">
        <f t="shared" si="169"/>
        <v/>
      </c>
      <c r="AR208" s="129" t="str">
        <f t="shared" si="170"/>
        <v/>
      </c>
      <c r="AS208" s="14"/>
      <c r="AT208" s="13"/>
      <c r="AU208" s="13"/>
      <c r="AV208" s="117" t="str">
        <f>IF(_xlfn.XLOOKUP(AT208, AutoFill_classes!$A:$A, AutoFill_classes!$B:$B,"")=0,"",_xlfn.XLOOKUP(AT208, AutoFill_classes!$A:$A, AutoFill_classes!$B:$B,""))</f>
        <v/>
      </c>
      <c r="AW208" s="108"/>
      <c r="AX208" s="11"/>
      <c r="AY208" s="13"/>
      <c r="AZ208" s="11"/>
      <c r="BA208" s="13"/>
      <c r="BB208" s="13"/>
      <c r="BC208" s="63"/>
      <c r="BD208" s="18"/>
      <c r="BE208" s="121" t="str">
        <f t="shared" si="171"/>
        <v/>
      </c>
      <c r="BF208" s="20"/>
      <c r="BG208" s="20"/>
      <c r="BH208" s="20"/>
      <c r="BI208" s="20"/>
      <c r="BJ208" s="125" t="str">
        <f t="shared" si="172"/>
        <v/>
      </c>
      <c r="BK208" s="14"/>
      <c r="BL208" s="125" t="str">
        <f t="shared" si="173"/>
        <v/>
      </c>
      <c r="BM208" s="20"/>
      <c r="BN208" s="20"/>
      <c r="BO208" s="125" t="str">
        <f t="shared" si="174"/>
        <v/>
      </c>
      <c r="BP208" s="14"/>
      <c r="BQ208" s="125" t="str">
        <f t="shared" si="175"/>
        <v/>
      </c>
      <c r="BR208" s="20"/>
      <c r="BS208" s="20"/>
      <c r="BT208" s="125" t="str">
        <f t="shared" si="176"/>
        <v/>
      </c>
      <c r="BU208" s="125" t="str">
        <f t="shared" si="177"/>
        <v/>
      </c>
      <c r="BV208" s="125" t="str">
        <f t="shared" si="178"/>
        <v/>
      </c>
      <c r="BW208" s="129" t="str">
        <f t="shared" si="179"/>
        <v/>
      </c>
      <c r="BX208" s="13"/>
      <c r="BY208" s="15"/>
      <c r="BZ208" s="14"/>
      <c r="CA208" s="117" t="str">
        <f>IF(_xlfn.XLOOKUP(BY208, AutoFill_classes!$A:$A, AutoFill_classes!$B:$B,"")=0,"",_xlfn.XLOOKUP(BY208, AutoFill_classes!$A:$A, AutoFill_classes!$B:$B,""))</f>
        <v/>
      </c>
      <c r="CB208" s="108"/>
      <c r="CC208" s="14"/>
      <c r="CD208" s="14"/>
      <c r="CE208" s="14"/>
      <c r="CF208" s="21"/>
      <c r="CG208" s="22"/>
      <c r="CH208" s="63"/>
      <c r="CI208" s="23"/>
      <c r="CJ208" s="121" t="str">
        <f t="shared" si="180"/>
        <v/>
      </c>
      <c r="CK208" s="20"/>
      <c r="CL208" s="20"/>
      <c r="CM208" s="20"/>
      <c r="CN208" s="20"/>
      <c r="CO208" s="125" t="str">
        <f t="shared" si="181"/>
        <v/>
      </c>
      <c r="CP208" s="14"/>
      <c r="CQ208" s="125" t="str">
        <f t="shared" si="182"/>
        <v/>
      </c>
      <c r="CR208" s="20"/>
      <c r="CS208" s="20"/>
      <c r="CT208" s="125" t="str">
        <f t="shared" si="183"/>
        <v/>
      </c>
      <c r="CU208" s="14"/>
      <c r="CV208" s="125" t="str">
        <f t="shared" si="184"/>
        <v/>
      </c>
      <c r="CW208" s="20"/>
      <c r="CX208" s="20"/>
      <c r="CY208" s="125" t="str">
        <f t="shared" si="185"/>
        <v/>
      </c>
      <c r="CZ208" s="125" t="str">
        <f t="shared" si="186"/>
        <v/>
      </c>
      <c r="DA208" s="125" t="str">
        <f t="shared" si="187"/>
        <v/>
      </c>
      <c r="DB208" s="129" t="str">
        <f t="shared" si="188"/>
        <v/>
      </c>
      <c r="DC208" s="14"/>
      <c r="DD208" s="62"/>
      <c r="DE208" s="105">
        <v>206</v>
      </c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spans="1:176" s="1" customFormat="1" ht="13" hidden="1" customHeight="1" outlineLevel="1" x14ac:dyDescent="0.2">
      <c r="A209" s="4"/>
      <c r="B209" s="115" t="str">
        <f>IF(_xlfn.XLOOKUP(A209, AutoFill_names!B:B, AutoFill_names!C:C,"")=0,"",_xlfn.XLOOKUP(A209, AutoFill_names!B:B, AutoFill_names!C:C,""))</f>
        <v/>
      </c>
      <c r="C209" s="115" t="str">
        <f>IF(_xlfn.XLOOKUP(A209, AutoFill_names!B:B, AutoFill_names!D:D,"")=0,"",_xlfn.XLOOKUP(A209, AutoFill_names!B:B, AutoFill_names!D:D,""))</f>
        <v/>
      </c>
      <c r="D209" s="115" t="str">
        <f>IF(_xlfn.XLOOKUP(A209, AutoFill_names!B:B, AutoFill_names!E:E,"")=0,"",_xlfn.XLOOKUP(A209, AutoFill_names!B:B, AutoFill_names!E:E,""))</f>
        <v/>
      </c>
      <c r="E209" s="115" t="str">
        <f>IF(_xlfn.XLOOKUP(A209, AutoFill_names!B:B, AutoFill_names!F:F,"")=0,"",_xlfn.XLOOKUP(A209, AutoFill_names!B:B, AutoFill_names!F:F,""))</f>
        <v/>
      </c>
      <c r="F209" s="92"/>
      <c r="J209" s="115" t="str">
        <f>IF(_xlfn.XLOOKUP(A209, AutoFill_names!B:B, AutoFill_names!K:K,"")=0,"",_xlfn.XLOOKUP(A209, AutoFill_names!B:B, AutoFill_names!K:K,""))</f>
        <v/>
      </c>
      <c r="K209" s="115" t="str">
        <f>IF(_xlfn.XLOOKUP(A209, AutoFill_names!B:B, AutoFill_names!L:L,"")=0,"",_xlfn.XLOOKUP(A209, AutoFill_names!B:B, AutoFill_names!L:L,""))</f>
        <v/>
      </c>
      <c r="L209" s="31"/>
      <c r="M209" s="31"/>
      <c r="N209" s="117" t="str">
        <f>IF(_xlfn.XLOOKUP(L209, AutoFill_classes!A:A, AutoFill_classes!B:B,"")=0,"",_xlfn.XLOOKUP(L209, AutoFill_classes!A:A, AutoFill_classes!B:B,""))</f>
        <v/>
      </c>
      <c r="O209" s="108"/>
      <c r="P209" s="6"/>
      <c r="Q209" s="6"/>
      <c r="R209" s="6"/>
      <c r="S209" s="2"/>
      <c r="T209" s="3"/>
      <c r="U209" s="2"/>
      <c r="X209" s="63"/>
      <c r="Y209" s="19"/>
      <c r="Z209" s="121" t="str">
        <f t="shared" si="162"/>
        <v/>
      </c>
      <c r="AA209" s="20"/>
      <c r="AB209" s="20"/>
      <c r="AC209" s="20"/>
      <c r="AD209" s="20"/>
      <c r="AE209" s="125" t="str">
        <f t="shared" si="163"/>
        <v/>
      </c>
      <c r="AF209" s="14"/>
      <c r="AG209" s="125" t="str">
        <f t="shared" si="164"/>
        <v/>
      </c>
      <c r="AH209" s="20"/>
      <c r="AI209" s="20"/>
      <c r="AJ209" s="125" t="str">
        <f t="shared" si="165"/>
        <v/>
      </c>
      <c r="AK209" s="14"/>
      <c r="AL209" s="125" t="str">
        <f t="shared" si="166"/>
        <v/>
      </c>
      <c r="AM209" s="20"/>
      <c r="AN209" s="20"/>
      <c r="AO209" s="125" t="str">
        <f t="shared" si="167"/>
        <v/>
      </c>
      <c r="AP209" s="125" t="str">
        <f t="shared" si="168"/>
        <v/>
      </c>
      <c r="AQ209" s="125" t="str">
        <f t="shared" si="169"/>
        <v/>
      </c>
      <c r="AR209" s="129" t="str">
        <f t="shared" si="170"/>
        <v/>
      </c>
      <c r="AS209" s="14"/>
      <c r="AT209" s="13"/>
      <c r="AU209" s="13"/>
      <c r="AV209" s="117" t="str">
        <f>IF(_xlfn.XLOOKUP(AT209, AutoFill_classes!$A:$A, AutoFill_classes!$B:$B,"")=0,"",_xlfn.XLOOKUP(AT209, AutoFill_classes!$A:$A, AutoFill_classes!$B:$B,""))</f>
        <v/>
      </c>
      <c r="AW209" s="108"/>
      <c r="AX209" s="11"/>
      <c r="AY209" s="13"/>
      <c r="AZ209" s="11"/>
      <c r="BA209" s="13"/>
      <c r="BB209" s="13"/>
      <c r="BC209" s="63"/>
      <c r="BD209" s="18"/>
      <c r="BE209" s="121" t="str">
        <f t="shared" si="171"/>
        <v/>
      </c>
      <c r="BF209" s="20"/>
      <c r="BG209" s="20"/>
      <c r="BH209" s="20"/>
      <c r="BI209" s="20"/>
      <c r="BJ209" s="125" t="str">
        <f t="shared" si="172"/>
        <v/>
      </c>
      <c r="BK209" s="14"/>
      <c r="BL209" s="125" t="str">
        <f t="shared" si="173"/>
        <v/>
      </c>
      <c r="BM209" s="20"/>
      <c r="BN209" s="20"/>
      <c r="BO209" s="125" t="str">
        <f t="shared" si="174"/>
        <v/>
      </c>
      <c r="BP209" s="14"/>
      <c r="BQ209" s="125" t="str">
        <f t="shared" si="175"/>
        <v/>
      </c>
      <c r="BR209" s="20"/>
      <c r="BS209" s="20"/>
      <c r="BT209" s="125" t="str">
        <f t="shared" si="176"/>
        <v/>
      </c>
      <c r="BU209" s="125" t="str">
        <f t="shared" si="177"/>
        <v/>
      </c>
      <c r="BV209" s="125" t="str">
        <f t="shared" si="178"/>
        <v/>
      </c>
      <c r="BW209" s="129" t="str">
        <f t="shared" si="179"/>
        <v/>
      </c>
      <c r="BX209" s="13"/>
      <c r="BY209" s="15"/>
      <c r="BZ209" s="14"/>
      <c r="CA209" s="117" t="str">
        <f>IF(_xlfn.XLOOKUP(BY209, AutoFill_classes!$A:$A, AutoFill_classes!$B:$B,"")=0,"",_xlfn.XLOOKUP(BY209, AutoFill_classes!$A:$A, AutoFill_classes!$B:$B,""))</f>
        <v/>
      </c>
      <c r="CB209" s="108"/>
      <c r="CC209" s="14"/>
      <c r="CD209" s="14"/>
      <c r="CE209" s="14"/>
      <c r="CF209" s="21"/>
      <c r="CG209" s="22"/>
      <c r="CH209" s="63"/>
      <c r="CI209" s="23"/>
      <c r="CJ209" s="121" t="str">
        <f t="shared" si="180"/>
        <v/>
      </c>
      <c r="CK209" s="20"/>
      <c r="CL209" s="20"/>
      <c r="CM209" s="20"/>
      <c r="CN209" s="20"/>
      <c r="CO209" s="125" t="str">
        <f t="shared" si="181"/>
        <v/>
      </c>
      <c r="CP209" s="14"/>
      <c r="CQ209" s="125" t="str">
        <f t="shared" si="182"/>
        <v/>
      </c>
      <c r="CR209" s="20"/>
      <c r="CS209" s="20"/>
      <c r="CT209" s="125" t="str">
        <f t="shared" si="183"/>
        <v/>
      </c>
      <c r="CU209" s="14"/>
      <c r="CV209" s="125" t="str">
        <f t="shared" si="184"/>
        <v/>
      </c>
      <c r="CW209" s="20"/>
      <c r="CX209" s="20"/>
      <c r="CY209" s="125" t="str">
        <f t="shared" si="185"/>
        <v/>
      </c>
      <c r="CZ209" s="125" t="str">
        <f t="shared" si="186"/>
        <v/>
      </c>
      <c r="DA209" s="125" t="str">
        <f t="shared" si="187"/>
        <v/>
      </c>
      <c r="DB209" s="129" t="str">
        <f t="shared" si="188"/>
        <v/>
      </c>
      <c r="DC209" s="14"/>
      <c r="DD209" s="62"/>
      <c r="DE209" s="105">
        <v>207</v>
      </c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</row>
    <row r="210" spans="1:176" s="1" customFormat="1" ht="13" hidden="1" customHeight="1" outlineLevel="1" x14ac:dyDescent="0.2">
      <c r="A210" s="4"/>
      <c r="B210" s="115" t="str">
        <f>IF(_xlfn.XLOOKUP(A210, AutoFill_names!B:B, AutoFill_names!C:C,"")=0,"",_xlfn.XLOOKUP(A210, AutoFill_names!B:B, AutoFill_names!C:C,""))</f>
        <v/>
      </c>
      <c r="C210" s="115" t="str">
        <f>IF(_xlfn.XLOOKUP(A210, AutoFill_names!B:B, AutoFill_names!D:D,"")=0,"",_xlfn.XLOOKUP(A210, AutoFill_names!B:B, AutoFill_names!D:D,""))</f>
        <v/>
      </c>
      <c r="D210" s="115" t="str">
        <f>IF(_xlfn.XLOOKUP(A210, AutoFill_names!B:B, AutoFill_names!E:E,"")=0,"",_xlfn.XLOOKUP(A210, AutoFill_names!B:B, AutoFill_names!E:E,""))</f>
        <v/>
      </c>
      <c r="E210" s="115" t="str">
        <f>IF(_xlfn.XLOOKUP(A210, AutoFill_names!B:B, AutoFill_names!F:F,"")=0,"",_xlfn.XLOOKUP(A210, AutoFill_names!B:B, AutoFill_names!F:F,""))</f>
        <v/>
      </c>
      <c r="F210" s="92"/>
      <c r="J210" s="115" t="str">
        <f>IF(_xlfn.XLOOKUP(A210, AutoFill_names!B:B, AutoFill_names!K:K,"")=0,"",_xlfn.XLOOKUP(A210, AutoFill_names!B:B, AutoFill_names!K:K,""))</f>
        <v/>
      </c>
      <c r="K210" s="115" t="str">
        <f>IF(_xlfn.XLOOKUP(A210, AutoFill_names!B:B, AutoFill_names!L:L,"")=0,"",_xlfn.XLOOKUP(A210, AutoFill_names!B:B, AutoFill_names!L:L,""))</f>
        <v/>
      </c>
      <c r="L210" s="31"/>
      <c r="M210" s="31"/>
      <c r="N210" s="117" t="str">
        <f>IF(_xlfn.XLOOKUP(L210, AutoFill_classes!A:A, AutoFill_classes!B:B,"")=0,"",_xlfn.XLOOKUP(L210, AutoFill_classes!A:A, AutoFill_classes!B:B,""))</f>
        <v/>
      </c>
      <c r="O210" s="108"/>
      <c r="P210" s="6"/>
      <c r="Q210" s="6"/>
      <c r="R210" s="6"/>
      <c r="S210" s="2"/>
      <c r="T210" s="3"/>
      <c r="U210" s="2"/>
      <c r="X210" s="63"/>
      <c r="Y210" s="19"/>
      <c r="Z210" s="121" t="str">
        <f t="shared" si="162"/>
        <v/>
      </c>
      <c r="AA210" s="20"/>
      <c r="AB210" s="20"/>
      <c r="AC210" s="20"/>
      <c r="AD210" s="20"/>
      <c r="AE210" s="125" t="str">
        <f t="shared" si="163"/>
        <v/>
      </c>
      <c r="AF210" s="14"/>
      <c r="AG210" s="125" t="str">
        <f t="shared" si="164"/>
        <v/>
      </c>
      <c r="AH210" s="20"/>
      <c r="AI210" s="20"/>
      <c r="AJ210" s="125" t="str">
        <f t="shared" si="165"/>
        <v/>
      </c>
      <c r="AK210" s="14"/>
      <c r="AL210" s="125" t="str">
        <f t="shared" si="166"/>
        <v/>
      </c>
      <c r="AM210" s="20"/>
      <c r="AN210" s="20"/>
      <c r="AO210" s="125" t="str">
        <f t="shared" si="167"/>
        <v/>
      </c>
      <c r="AP210" s="125" t="str">
        <f t="shared" si="168"/>
        <v/>
      </c>
      <c r="AQ210" s="125" t="str">
        <f t="shared" si="169"/>
        <v/>
      </c>
      <c r="AR210" s="129" t="str">
        <f t="shared" si="170"/>
        <v/>
      </c>
      <c r="AS210" s="14"/>
      <c r="AT210" s="13"/>
      <c r="AU210" s="13"/>
      <c r="AV210" s="117" t="str">
        <f>IF(_xlfn.XLOOKUP(AT210, AutoFill_classes!$A:$A, AutoFill_classes!$B:$B,"")=0,"",_xlfn.XLOOKUP(AT210, AutoFill_classes!$A:$A, AutoFill_classes!$B:$B,""))</f>
        <v/>
      </c>
      <c r="AW210" s="108"/>
      <c r="AX210" s="11"/>
      <c r="AY210" s="13"/>
      <c r="AZ210" s="11"/>
      <c r="BA210" s="13"/>
      <c r="BB210" s="13"/>
      <c r="BC210" s="63"/>
      <c r="BD210" s="18"/>
      <c r="BE210" s="121" t="str">
        <f t="shared" si="171"/>
        <v/>
      </c>
      <c r="BF210" s="20"/>
      <c r="BG210" s="20"/>
      <c r="BH210" s="20"/>
      <c r="BI210" s="20"/>
      <c r="BJ210" s="125" t="str">
        <f t="shared" si="172"/>
        <v/>
      </c>
      <c r="BK210" s="14"/>
      <c r="BL210" s="125" t="str">
        <f t="shared" si="173"/>
        <v/>
      </c>
      <c r="BM210" s="20"/>
      <c r="BN210" s="20"/>
      <c r="BO210" s="125" t="str">
        <f t="shared" si="174"/>
        <v/>
      </c>
      <c r="BP210" s="14"/>
      <c r="BQ210" s="125" t="str">
        <f t="shared" si="175"/>
        <v/>
      </c>
      <c r="BR210" s="20"/>
      <c r="BS210" s="20"/>
      <c r="BT210" s="125" t="str">
        <f t="shared" si="176"/>
        <v/>
      </c>
      <c r="BU210" s="125" t="str">
        <f t="shared" si="177"/>
        <v/>
      </c>
      <c r="BV210" s="125" t="str">
        <f t="shared" si="178"/>
        <v/>
      </c>
      <c r="BW210" s="129" t="str">
        <f t="shared" si="179"/>
        <v/>
      </c>
      <c r="BX210" s="13"/>
      <c r="BY210" s="15"/>
      <c r="BZ210" s="14"/>
      <c r="CA210" s="117" t="str">
        <f>IF(_xlfn.XLOOKUP(BY210, AutoFill_classes!$A:$A, AutoFill_classes!$B:$B,"")=0,"",_xlfn.XLOOKUP(BY210, AutoFill_classes!$A:$A, AutoFill_classes!$B:$B,""))</f>
        <v/>
      </c>
      <c r="CB210" s="108"/>
      <c r="CC210" s="14"/>
      <c r="CD210" s="14"/>
      <c r="CE210" s="14"/>
      <c r="CF210" s="21"/>
      <c r="CG210" s="22"/>
      <c r="CH210" s="63"/>
      <c r="CI210" s="23"/>
      <c r="CJ210" s="121" t="str">
        <f t="shared" si="180"/>
        <v/>
      </c>
      <c r="CK210" s="20"/>
      <c r="CL210" s="20"/>
      <c r="CM210" s="20"/>
      <c r="CN210" s="20"/>
      <c r="CO210" s="125" t="str">
        <f t="shared" si="181"/>
        <v/>
      </c>
      <c r="CP210" s="14"/>
      <c r="CQ210" s="125" t="str">
        <f t="shared" si="182"/>
        <v/>
      </c>
      <c r="CR210" s="20"/>
      <c r="CS210" s="20"/>
      <c r="CT210" s="125" t="str">
        <f t="shared" si="183"/>
        <v/>
      </c>
      <c r="CU210" s="14"/>
      <c r="CV210" s="125" t="str">
        <f t="shared" si="184"/>
        <v/>
      </c>
      <c r="CW210" s="20"/>
      <c r="CX210" s="20"/>
      <c r="CY210" s="125" t="str">
        <f t="shared" si="185"/>
        <v/>
      </c>
      <c r="CZ210" s="125" t="str">
        <f t="shared" si="186"/>
        <v/>
      </c>
      <c r="DA210" s="125" t="str">
        <f t="shared" si="187"/>
        <v/>
      </c>
      <c r="DB210" s="129" t="str">
        <f t="shared" si="188"/>
        <v/>
      </c>
      <c r="DC210" s="14"/>
      <c r="DD210" s="62"/>
      <c r="DE210" s="105">
        <v>208</v>
      </c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</row>
    <row r="211" spans="1:176" s="1" customFormat="1" ht="13" hidden="1" customHeight="1" outlineLevel="1" x14ac:dyDescent="0.2">
      <c r="A211" s="4"/>
      <c r="B211" s="115" t="str">
        <f>IF(_xlfn.XLOOKUP(A211, AutoFill_names!B:B, AutoFill_names!C:C,"")=0,"",_xlfn.XLOOKUP(A211, AutoFill_names!B:B, AutoFill_names!C:C,""))</f>
        <v/>
      </c>
      <c r="C211" s="115" t="str">
        <f>IF(_xlfn.XLOOKUP(A211, AutoFill_names!B:B, AutoFill_names!D:D,"")=0,"",_xlfn.XLOOKUP(A211, AutoFill_names!B:B, AutoFill_names!D:D,""))</f>
        <v/>
      </c>
      <c r="D211" s="115" t="str">
        <f>IF(_xlfn.XLOOKUP(A211, AutoFill_names!B:B, AutoFill_names!E:E,"")=0,"",_xlfn.XLOOKUP(A211, AutoFill_names!B:B, AutoFill_names!E:E,""))</f>
        <v/>
      </c>
      <c r="E211" s="115" t="str">
        <f>IF(_xlfn.XLOOKUP(A211, AutoFill_names!B:B, AutoFill_names!F:F,"")=0,"",_xlfn.XLOOKUP(A211, AutoFill_names!B:B, AutoFill_names!F:F,""))</f>
        <v/>
      </c>
      <c r="F211" s="92"/>
      <c r="J211" s="115" t="str">
        <f>IF(_xlfn.XLOOKUP(A211, AutoFill_names!B:B, AutoFill_names!K:K,"")=0,"",_xlfn.XLOOKUP(A211, AutoFill_names!B:B, AutoFill_names!K:K,""))</f>
        <v/>
      </c>
      <c r="K211" s="115" t="str">
        <f>IF(_xlfn.XLOOKUP(A211, AutoFill_names!B:B, AutoFill_names!L:L,"")=0,"",_xlfn.XLOOKUP(A211, AutoFill_names!B:B, AutoFill_names!L:L,""))</f>
        <v/>
      </c>
      <c r="L211" s="31"/>
      <c r="M211" s="31"/>
      <c r="N211" s="117" t="str">
        <f>IF(_xlfn.XLOOKUP(L211, AutoFill_classes!A:A, AutoFill_classes!B:B,"")=0,"",_xlfn.XLOOKUP(L211, AutoFill_classes!A:A, AutoFill_classes!B:B,""))</f>
        <v/>
      </c>
      <c r="O211" s="108"/>
      <c r="P211" s="6"/>
      <c r="Q211" s="6"/>
      <c r="R211" s="6"/>
      <c r="S211" s="2"/>
      <c r="T211" s="3"/>
      <c r="U211" s="2"/>
      <c r="X211" s="63"/>
      <c r="Y211" s="19"/>
      <c r="Z211" s="121" t="str">
        <f t="shared" si="162"/>
        <v/>
      </c>
      <c r="AA211" s="20"/>
      <c r="AB211" s="20"/>
      <c r="AC211" s="20"/>
      <c r="AD211" s="20"/>
      <c r="AE211" s="125" t="str">
        <f t="shared" si="163"/>
        <v/>
      </c>
      <c r="AF211" s="14"/>
      <c r="AG211" s="125" t="str">
        <f t="shared" si="164"/>
        <v/>
      </c>
      <c r="AH211" s="20"/>
      <c r="AI211" s="20"/>
      <c r="AJ211" s="125" t="str">
        <f t="shared" si="165"/>
        <v/>
      </c>
      <c r="AK211" s="14"/>
      <c r="AL211" s="125" t="str">
        <f t="shared" si="166"/>
        <v/>
      </c>
      <c r="AM211" s="20"/>
      <c r="AN211" s="20"/>
      <c r="AO211" s="125" t="str">
        <f t="shared" si="167"/>
        <v/>
      </c>
      <c r="AP211" s="125" t="str">
        <f t="shared" si="168"/>
        <v/>
      </c>
      <c r="AQ211" s="125" t="str">
        <f t="shared" si="169"/>
        <v/>
      </c>
      <c r="AR211" s="129" t="str">
        <f t="shared" si="170"/>
        <v/>
      </c>
      <c r="AS211" s="14"/>
      <c r="AT211" s="13"/>
      <c r="AU211" s="13"/>
      <c r="AV211" s="117" t="str">
        <f>IF(_xlfn.XLOOKUP(AT211, AutoFill_classes!$A:$A, AutoFill_classes!$B:$B,"")=0,"",_xlfn.XLOOKUP(AT211, AutoFill_classes!$A:$A, AutoFill_classes!$B:$B,""))</f>
        <v/>
      </c>
      <c r="AW211" s="108"/>
      <c r="AX211" s="11"/>
      <c r="AY211" s="13"/>
      <c r="AZ211" s="11"/>
      <c r="BA211" s="13"/>
      <c r="BB211" s="13"/>
      <c r="BC211" s="63"/>
      <c r="BD211" s="18"/>
      <c r="BE211" s="121" t="str">
        <f t="shared" si="171"/>
        <v/>
      </c>
      <c r="BF211" s="20"/>
      <c r="BG211" s="20"/>
      <c r="BH211" s="20"/>
      <c r="BI211" s="20"/>
      <c r="BJ211" s="125" t="str">
        <f t="shared" si="172"/>
        <v/>
      </c>
      <c r="BK211" s="14"/>
      <c r="BL211" s="125" t="str">
        <f t="shared" si="173"/>
        <v/>
      </c>
      <c r="BM211" s="20"/>
      <c r="BN211" s="20"/>
      <c r="BO211" s="125" t="str">
        <f t="shared" si="174"/>
        <v/>
      </c>
      <c r="BP211" s="14"/>
      <c r="BQ211" s="125" t="str">
        <f t="shared" si="175"/>
        <v/>
      </c>
      <c r="BR211" s="20"/>
      <c r="BS211" s="20"/>
      <c r="BT211" s="125" t="str">
        <f t="shared" si="176"/>
        <v/>
      </c>
      <c r="BU211" s="125" t="str">
        <f t="shared" si="177"/>
        <v/>
      </c>
      <c r="BV211" s="125" t="str">
        <f t="shared" si="178"/>
        <v/>
      </c>
      <c r="BW211" s="129" t="str">
        <f t="shared" si="179"/>
        <v/>
      </c>
      <c r="BX211" s="13"/>
      <c r="BY211" s="15"/>
      <c r="BZ211" s="14"/>
      <c r="CA211" s="117" t="str">
        <f>IF(_xlfn.XLOOKUP(BY211, AutoFill_classes!$A:$A, AutoFill_classes!$B:$B,"")=0,"",_xlfn.XLOOKUP(BY211, AutoFill_classes!$A:$A, AutoFill_classes!$B:$B,""))</f>
        <v/>
      </c>
      <c r="CB211" s="108"/>
      <c r="CC211" s="14"/>
      <c r="CD211" s="14"/>
      <c r="CE211" s="14"/>
      <c r="CF211" s="21"/>
      <c r="CG211" s="22"/>
      <c r="CH211" s="63"/>
      <c r="CI211" s="23"/>
      <c r="CJ211" s="121" t="str">
        <f t="shared" si="180"/>
        <v/>
      </c>
      <c r="CK211" s="20"/>
      <c r="CL211" s="20"/>
      <c r="CM211" s="20"/>
      <c r="CN211" s="20"/>
      <c r="CO211" s="125" t="str">
        <f t="shared" si="181"/>
        <v/>
      </c>
      <c r="CP211" s="14"/>
      <c r="CQ211" s="125" t="str">
        <f t="shared" si="182"/>
        <v/>
      </c>
      <c r="CR211" s="20"/>
      <c r="CS211" s="20"/>
      <c r="CT211" s="125" t="str">
        <f t="shared" si="183"/>
        <v/>
      </c>
      <c r="CU211" s="14"/>
      <c r="CV211" s="125" t="str">
        <f t="shared" si="184"/>
        <v/>
      </c>
      <c r="CW211" s="20"/>
      <c r="CX211" s="20"/>
      <c r="CY211" s="125" t="str">
        <f t="shared" si="185"/>
        <v/>
      </c>
      <c r="CZ211" s="125" t="str">
        <f t="shared" si="186"/>
        <v/>
      </c>
      <c r="DA211" s="125" t="str">
        <f t="shared" si="187"/>
        <v/>
      </c>
      <c r="DB211" s="129" t="str">
        <f t="shared" si="188"/>
        <v/>
      </c>
      <c r="DC211" s="14"/>
      <c r="DD211" s="62"/>
      <c r="DE211" s="105">
        <v>209</v>
      </c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</row>
    <row r="212" spans="1:176" s="116" customFormat="1" ht="34" customHeight="1" collapsed="1" x14ac:dyDescent="0.2">
      <c r="A212" s="66" t="s">
        <v>68</v>
      </c>
      <c r="B212" s="112" t="str">
        <f>"Total Credits: " &amp; IFERROR(IF(DD212=0,"",DD212),"")</f>
        <v xml:space="preserve">Total Credits: </v>
      </c>
      <c r="C212" s="113"/>
      <c r="D212" s="114"/>
      <c r="E212" s="114"/>
      <c r="F212" s="138"/>
      <c r="G212" s="114"/>
      <c r="H212" s="114"/>
      <c r="I212" s="114"/>
      <c r="J212" s="114"/>
      <c r="K212" s="114"/>
      <c r="L212" s="114"/>
      <c r="M212" s="114"/>
      <c r="N212" s="114"/>
      <c r="O212" s="114"/>
      <c r="P212" s="139"/>
      <c r="Q212" s="139"/>
      <c r="R212" s="139"/>
      <c r="S212" s="114"/>
      <c r="T212" s="114"/>
      <c r="U212" s="114"/>
      <c r="V212" s="136"/>
      <c r="W212" s="136"/>
      <c r="X212" s="140" t="str">
        <f>IF(SUM(X213:X241)=0, "", SUM(X213:X241))</f>
        <v/>
      </c>
      <c r="Y212" s="120"/>
      <c r="Z212" s="120"/>
      <c r="AA212" s="141"/>
      <c r="AB212" s="141"/>
      <c r="AC212" s="141"/>
      <c r="AD212" s="141"/>
      <c r="AE212" s="124"/>
      <c r="AF212" s="124"/>
      <c r="AG212" s="124"/>
      <c r="AH212" s="141"/>
      <c r="AI212" s="141"/>
      <c r="AJ212" s="124"/>
      <c r="AK212" s="124"/>
      <c r="AL212" s="124"/>
      <c r="AM212" s="141"/>
      <c r="AN212" s="141"/>
      <c r="AO212" s="127"/>
      <c r="AP212" s="127"/>
      <c r="AQ212" s="127"/>
      <c r="AR212" s="127"/>
      <c r="AS212" s="127"/>
      <c r="AT212" s="133"/>
      <c r="AU212" s="133"/>
      <c r="AV212" s="114"/>
      <c r="AW212" s="114"/>
      <c r="AX212" s="133"/>
      <c r="AY212" s="133"/>
      <c r="AZ212" s="133"/>
      <c r="BA212" s="133"/>
      <c r="BB212" s="133"/>
      <c r="BC212" s="140" t="str">
        <f>IF(SUM(BC213:BC241)=0, "", SUM(BC213:BC241))</f>
        <v/>
      </c>
      <c r="BD212" s="131"/>
      <c r="BE212" s="131"/>
      <c r="BF212" s="142"/>
      <c r="BG212" s="142"/>
      <c r="BH212" s="142"/>
      <c r="BI212" s="142"/>
      <c r="BJ212" s="133"/>
      <c r="BK212" s="133"/>
      <c r="BL212" s="133"/>
      <c r="BM212" s="142"/>
      <c r="BN212" s="142"/>
      <c r="BO212" s="133"/>
      <c r="BP212" s="133"/>
      <c r="BQ212" s="133"/>
      <c r="BR212" s="142"/>
      <c r="BS212" s="142"/>
      <c r="BT212" s="133"/>
      <c r="BU212" s="133"/>
      <c r="BV212" s="133"/>
      <c r="BW212" s="127"/>
      <c r="BX212" s="133"/>
      <c r="BY212" s="133"/>
      <c r="BZ212" s="133"/>
      <c r="CA212" s="114"/>
      <c r="CB212" s="114"/>
      <c r="CC212" s="133"/>
      <c r="CD212" s="133"/>
      <c r="CE212" s="133"/>
      <c r="CF212" s="136"/>
      <c r="CG212" s="120"/>
      <c r="CH212" s="140" t="str">
        <f>IF(SUM(CH213:CH241)=0, "", SUM(CH213:CH241))</f>
        <v/>
      </c>
      <c r="CI212" s="120"/>
      <c r="CJ212" s="120"/>
      <c r="CK212" s="143"/>
      <c r="CL212" s="143"/>
      <c r="CM212" s="143"/>
      <c r="CN212" s="143"/>
      <c r="CO212" s="136"/>
      <c r="CP212" s="144"/>
      <c r="CQ212" s="136"/>
      <c r="CR212" s="143"/>
      <c r="CS212" s="143"/>
      <c r="CT212" s="136"/>
      <c r="CU212" s="144"/>
      <c r="CV212" s="136"/>
      <c r="CW212" s="143"/>
      <c r="CX212" s="143"/>
      <c r="CY212" s="136"/>
      <c r="CZ212" s="136"/>
      <c r="DA212" s="136"/>
      <c r="DB212" s="127"/>
      <c r="DC212" s="144"/>
      <c r="DD212" s="140" t="str">
        <f>IF(SUM(L212:DC212)=0, "", SUM(L212:DC212))</f>
        <v/>
      </c>
      <c r="DE212" s="105">
        <v>210</v>
      </c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</row>
    <row r="213" spans="1:176" s="1" customFormat="1" ht="13" hidden="1" customHeight="1" outlineLevel="1" x14ac:dyDescent="0.2">
      <c r="A213" s="4"/>
      <c r="B213" s="115" t="str">
        <f>IF(_xlfn.XLOOKUP(A213, AutoFill_names!B:B, AutoFill_names!C:C,"")=0,"",_xlfn.XLOOKUP(A213, AutoFill_names!B:B, AutoFill_names!C:C,""))</f>
        <v/>
      </c>
      <c r="C213" s="115" t="str">
        <f>IF(_xlfn.XLOOKUP(A213, AutoFill_names!B:B, AutoFill_names!D:D,"")=0,"",_xlfn.XLOOKUP(A213, AutoFill_names!B:B, AutoFill_names!D:D,""))</f>
        <v/>
      </c>
      <c r="D213" s="115" t="str">
        <f>IF(_xlfn.XLOOKUP(A213, AutoFill_names!B:B, AutoFill_names!E:E,"")=0,"",_xlfn.XLOOKUP(A213, AutoFill_names!B:B, AutoFill_names!E:E,""))</f>
        <v/>
      </c>
      <c r="E213" s="115" t="str">
        <f>IF(_xlfn.XLOOKUP(A213, AutoFill_names!B:B, AutoFill_names!F:F,"")=0,"",_xlfn.XLOOKUP(A213, AutoFill_names!B:B, AutoFill_names!F:F,""))</f>
        <v/>
      </c>
      <c r="F213" s="92"/>
      <c r="J213" s="115" t="str">
        <f>IF(_xlfn.XLOOKUP(A213, AutoFill_names!B:B, AutoFill_names!K:K,"")=0,"",_xlfn.XLOOKUP(A213, AutoFill_names!B:B, AutoFill_names!K:K,""))</f>
        <v/>
      </c>
      <c r="K213" s="115" t="str">
        <f>IF(_xlfn.XLOOKUP(A213, AutoFill_names!B:B, AutoFill_names!L:L,"")=0,"",_xlfn.XLOOKUP(A213, AutoFill_names!B:B, AutoFill_names!L:L,""))</f>
        <v/>
      </c>
      <c r="L213" s="31"/>
      <c r="M213" s="31"/>
      <c r="N213" s="117" t="str">
        <f>IF(_xlfn.XLOOKUP(L213, AutoFill_classes!A:A, AutoFill_classes!B:B,"")=0,"",_xlfn.XLOOKUP(L213, AutoFill_classes!A:A, AutoFill_classes!B:B,""))</f>
        <v/>
      </c>
      <c r="O213" s="108"/>
      <c r="P213" s="6"/>
      <c r="Q213" s="6"/>
      <c r="R213" s="6"/>
      <c r="X213" s="63"/>
      <c r="Y213" s="19"/>
      <c r="Z213" s="121" t="str">
        <f t="shared" ref="Z213:Z241" si="189">IF(X213*Y213=0,"",X213*Y213)</f>
        <v/>
      </c>
      <c r="AA213" s="20"/>
      <c r="AB213" s="20"/>
      <c r="AC213" s="20"/>
      <c r="AD213" s="20"/>
      <c r="AE213" s="125" t="str">
        <f t="shared" ref="AE213:AE241" si="190">IF(ROUNDUP((AD213-AC213)/7,0)=0,"",ROUNDUP((AD213-AC213)/7,0))</f>
        <v/>
      </c>
      <c r="AF213" s="14"/>
      <c r="AG213" s="125" t="str">
        <f t="shared" ref="AG213:AG241" si="191">IFERROR(IF(AE213*AF213=0,"",AE213*AF213), "")</f>
        <v/>
      </c>
      <c r="AH213" s="20"/>
      <c r="AI213" s="20"/>
      <c r="AJ213" s="125" t="str">
        <f t="shared" ref="AJ213:AJ241" si="192">IF(ROUNDUP((AI213-AH213)/7,0)=0,"",ROUNDUP((AI213-AH213)/7,0))</f>
        <v/>
      </c>
      <c r="AK213" s="14"/>
      <c r="AL213" s="125" t="str">
        <f t="shared" ref="AL213:AL241" si="193">IFERROR(IF(AJ213*AK213=0,"",AJ213*AK213), "")</f>
        <v/>
      </c>
      <c r="AM213" s="20"/>
      <c r="AN213" s="20"/>
      <c r="AO213" s="125" t="str">
        <f t="shared" ref="AO213:AO241" si="194">IF(ROUNDUP((AN213-AM213)/7,0)=0,"",ROUNDUP((AN213-AM213)/7,0))</f>
        <v/>
      </c>
      <c r="AP213" s="125" t="str">
        <f t="shared" ref="AP213:AP241" si="195">IFERROR(IF((AS213-(AF213+AK213))/AO213=0,"",ROUNDUP((AS213-(AF213+AK213))/AO213,0)), "")</f>
        <v/>
      </c>
      <c r="AQ213" s="125" t="str">
        <f t="shared" ref="AQ213:AQ241" si="196">IFERROR(IF((AS213-(AG213+AL213))=0, "", (AS213-(AG213+AL213))), "")</f>
        <v/>
      </c>
      <c r="AR213" s="129" t="str">
        <f t="shared" ref="AR213:AR241" si="197">IFERROR(IF((AE213+AJ213+AO213)=0, "", (AE213+AJ213+AO213)), "")</f>
        <v/>
      </c>
      <c r="AS213" s="14"/>
      <c r="AT213" s="33"/>
      <c r="AU213" s="33"/>
      <c r="AV213" s="117" t="str">
        <f>IF(_xlfn.XLOOKUP(AT213, AutoFill_classes!$A:$A, AutoFill_classes!$B:$B,"")=0,"",_xlfn.XLOOKUP(AT213, AutoFill_classes!$A:$A, AutoFill_classes!$B:$B,""))</f>
        <v/>
      </c>
      <c r="AW213" s="108"/>
      <c r="AX213" s="11"/>
      <c r="AY213" s="12"/>
      <c r="AZ213" s="11"/>
      <c r="BA213" s="13"/>
      <c r="BB213" s="13"/>
      <c r="BC213" s="63"/>
      <c r="BD213" s="19"/>
      <c r="BE213" s="121" t="str">
        <f t="shared" ref="BE213:BE241" si="198">IF(BC213*BD213=0,"",BC213*BD213)</f>
        <v/>
      </c>
      <c r="BF213" s="20"/>
      <c r="BG213" s="20"/>
      <c r="BH213" s="20"/>
      <c r="BI213" s="20"/>
      <c r="BJ213" s="125" t="str">
        <f t="shared" ref="BJ213:BJ241" si="199">IF(ROUNDUP((BI213-BH213)/7,0)=0,"",ROUNDUP((BI213-BH213)/7,0))</f>
        <v/>
      </c>
      <c r="BK213" s="14"/>
      <c r="BL213" s="125" t="str">
        <f t="shared" ref="BL213:BL241" si="200">IFERROR(IF(BJ213*BK213=0,"",BJ213*BK213), "")</f>
        <v/>
      </c>
      <c r="BM213" s="20"/>
      <c r="BN213" s="20"/>
      <c r="BO213" s="125" t="str">
        <f t="shared" ref="BO213:BO241" si="201">IF(ROUNDUP((BN213-BM213)/7,0)=0,"",ROUNDUP((BN213-BM213)/7,0))</f>
        <v/>
      </c>
      <c r="BP213" s="14"/>
      <c r="BQ213" s="125" t="str">
        <f t="shared" ref="BQ213:BQ241" si="202">IFERROR(IF(BO213*BP213=0,"",BO213*BP213), "")</f>
        <v/>
      </c>
      <c r="BR213" s="20"/>
      <c r="BS213" s="20"/>
      <c r="BT213" s="125" t="str">
        <f t="shared" ref="BT213:BT241" si="203">IF(ROUNDUP((BS213-BR213)/7,0)=0,"",ROUNDUP((BS213-BR213)/7,0))</f>
        <v/>
      </c>
      <c r="BU213" s="125" t="str">
        <f t="shared" ref="BU213:BU241" si="204">IFERROR(IF((BX213-(BK213+BP213))/BT213=0,"",ROUNDUP((BX213-(BK213+BP213))/BT213,0)), "")</f>
        <v/>
      </c>
      <c r="BV213" s="125" t="str">
        <f t="shared" ref="BV213:BV241" si="205">IFERROR(IF((BX213-(BL213+BQ213))=0, "", (BX213-(BL213+BQ213))), "")</f>
        <v/>
      </c>
      <c r="BW213" s="129" t="str">
        <f t="shared" ref="BW213:BW241" si="206">IFERROR(IF((BJ213+BO213+BT213)=0, "", (BJ213+BO213+BT213)), "")</f>
        <v/>
      </c>
      <c r="BX213" s="11"/>
      <c r="BY213" s="15"/>
      <c r="BZ213" s="14"/>
      <c r="CA213" s="117" t="str">
        <f>IF(_xlfn.XLOOKUP(BY213, AutoFill_classes!$A:$A, AutoFill_classes!$B:$B,"")=0,"",_xlfn.XLOOKUP(BY213, AutoFill_classes!$A:$A, AutoFill_classes!$B:$B,""))</f>
        <v/>
      </c>
      <c r="CB213" s="108"/>
      <c r="CC213" s="14"/>
      <c r="CD213" s="14"/>
      <c r="CE213" s="14"/>
      <c r="CF213" s="21"/>
      <c r="CG213" s="22"/>
      <c r="CH213" s="63"/>
      <c r="CI213" s="23"/>
      <c r="CJ213" s="121" t="str">
        <f t="shared" ref="CJ213:CJ241" si="207">IF(CH213*CI213=0,"",CH213*CI213)</f>
        <v/>
      </c>
      <c r="CK213" s="20"/>
      <c r="CL213" s="20"/>
      <c r="CM213" s="20"/>
      <c r="CN213" s="20"/>
      <c r="CO213" s="125" t="str">
        <f t="shared" ref="CO213:CO241" si="208">IF(ROUNDUP((CN213-CM213)/7,0)=0,"",ROUNDUP((CN213-CM213)/7,0))</f>
        <v/>
      </c>
      <c r="CP213" s="14"/>
      <c r="CQ213" s="125" t="str">
        <f t="shared" ref="CQ213:CQ241" si="209">IFERROR(IF(CO213*CP213=0,"",CO213*CP213), "")</f>
        <v/>
      </c>
      <c r="CR213" s="20"/>
      <c r="CS213" s="20"/>
      <c r="CT213" s="125" t="str">
        <f t="shared" ref="CT213:CT241" si="210">IF(ROUNDUP((CS213-CR213)/7,0)=0,"",ROUNDUP((CS213-CR213)/7,0))</f>
        <v/>
      </c>
      <c r="CU213" s="14"/>
      <c r="CV213" s="125" t="str">
        <f t="shared" ref="CV213:CV241" si="211">IFERROR(IF(CT213*CU213=0,"",CT213*CU213), "")</f>
        <v/>
      </c>
      <c r="CW213" s="20"/>
      <c r="CX213" s="20"/>
      <c r="CY213" s="125" t="str">
        <f t="shared" ref="CY213:CY241" si="212">IF(ROUNDUP((CX213-CW213)/7,0)=0,"",ROUNDUP((CX213-CW213)/7,0))</f>
        <v/>
      </c>
      <c r="CZ213" s="125" t="str">
        <f t="shared" ref="CZ213:CZ241" si="213">IFERROR(IF((DC213-(CP213+CU213))/CY213=0,"",ROUNDUP((DC213-(CP213+CU213))/CY213,0)), "")</f>
        <v/>
      </c>
      <c r="DA213" s="125" t="str">
        <f t="shared" ref="DA213:DA241" si="214">IFERROR(IF((DC213-(CQ213+CV213))=0, "", (DC213-(CQ213+CV213))), "")</f>
        <v/>
      </c>
      <c r="DB213" s="129" t="str">
        <f t="shared" ref="DB213:DB241" si="215">IFERROR(IF((CO213+CT213+CY213)=0, "", (CO213+CT213+CY213)), "")</f>
        <v/>
      </c>
      <c r="DC213" s="14"/>
      <c r="DD213" s="62"/>
      <c r="DE213" s="105">
        <v>211</v>
      </c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</row>
    <row r="214" spans="1:176" s="1" customFormat="1" ht="13" hidden="1" customHeight="1" outlineLevel="1" x14ac:dyDescent="0.2">
      <c r="A214" s="4"/>
      <c r="B214" s="115" t="str">
        <f>IF(_xlfn.XLOOKUP(A214, AutoFill_names!B:B, AutoFill_names!C:C,"")=0,"",_xlfn.XLOOKUP(A214, AutoFill_names!B:B, AutoFill_names!C:C,""))</f>
        <v/>
      </c>
      <c r="C214" s="115" t="str">
        <f>IF(_xlfn.XLOOKUP(A214, AutoFill_names!B:B, AutoFill_names!D:D,"")=0,"",_xlfn.XLOOKUP(A214, AutoFill_names!B:B, AutoFill_names!D:D,""))</f>
        <v/>
      </c>
      <c r="D214" s="115" t="str">
        <f>IF(_xlfn.XLOOKUP(A214, AutoFill_names!B:B, AutoFill_names!E:E,"")=0,"",_xlfn.XLOOKUP(A214, AutoFill_names!B:B, AutoFill_names!E:E,""))</f>
        <v/>
      </c>
      <c r="E214" s="115" t="str">
        <f>IF(_xlfn.XLOOKUP(A214, AutoFill_names!B:B, AutoFill_names!F:F,"")=0,"",_xlfn.XLOOKUP(A214, AutoFill_names!B:B, AutoFill_names!F:F,""))</f>
        <v/>
      </c>
      <c r="F214" s="92"/>
      <c r="J214" s="115" t="str">
        <f>IF(_xlfn.XLOOKUP(A214, AutoFill_names!B:B, AutoFill_names!K:K,"")=0,"",_xlfn.XLOOKUP(A214, AutoFill_names!B:B, AutoFill_names!K:K,""))</f>
        <v/>
      </c>
      <c r="K214" s="115" t="str">
        <f>IF(_xlfn.XLOOKUP(A214, AutoFill_names!B:B, AutoFill_names!L:L,"")=0,"",_xlfn.XLOOKUP(A214, AutoFill_names!B:B, AutoFill_names!L:L,""))</f>
        <v/>
      </c>
      <c r="L214" s="31"/>
      <c r="M214" s="31"/>
      <c r="N214" s="117" t="str">
        <f>IF(_xlfn.XLOOKUP(L214, AutoFill_classes!A:A, AutoFill_classes!B:B,"")=0,"",_xlfn.XLOOKUP(L214, AutoFill_classes!A:A, AutoFill_classes!B:B,""))</f>
        <v/>
      </c>
      <c r="O214" s="108"/>
      <c r="P214" s="6"/>
      <c r="Q214" s="6"/>
      <c r="R214" s="6"/>
      <c r="X214" s="63"/>
      <c r="Y214" s="19"/>
      <c r="Z214" s="121" t="str">
        <f t="shared" si="189"/>
        <v/>
      </c>
      <c r="AA214" s="20"/>
      <c r="AB214" s="20"/>
      <c r="AC214" s="20"/>
      <c r="AD214" s="20"/>
      <c r="AE214" s="125" t="str">
        <f t="shared" si="190"/>
        <v/>
      </c>
      <c r="AF214" s="14"/>
      <c r="AG214" s="125" t="str">
        <f t="shared" si="191"/>
        <v/>
      </c>
      <c r="AH214" s="20"/>
      <c r="AI214" s="20"/>
      <c r="AJ214" s="125" t="str">
        <f t="shared" si="192"/>
        <v/>
      </c>
      <c r="AK214" s="14"/>
      <c r="AL214" s="125" t="str">
        <f t="shared" si="193"/>
        <v/>
      </c>
      <c r="AM214" s="20"/>
      <c r="AN214" s="20"/>
      <c r="AO214" s="125" t="str">
        <f t="shared" si="194"/>
        <v/>
      </c>
      <c r="AP214" s="125" t="str">
        <f t="shared" si="195"/>
        <v/>
      </c>
      <c r="AQ214" s="125" t="str">
        <f t="shared" si="196"/>
        <v/>
      </c>
      <c r="AR214" s="129" t="str">
        <f t="shared" si="197"/>
        <v/>
      </c>
      <c r="AS214" s="14"/>
      <c r="AT214" s="33"/>
      <c r="AU214" s="33"/>
      <c r="AV214" s="117" t="str">
        <f>IF(_xlfn.XLOOKUP(AT214, AutoFill_classes!$A:$A, AutoFill_classes!$B:$B,"")=0,"",_xlfn.XLOOKUP(AT214, AutoFill_classes!$A:$A, AutoFill_classes!$B:$B,""))</f>
        <v/>
      </c>
      <c r="AW214" s="108"/>
      <c r="AX214" s="11"/>
      <c r="AY214" s="12"/>
      <c r="AZ214" s="11"/>
      <c r="BA214" s="13"/>
      <c r="BB214" s="13"/>
      <c r="BC214" s="63"/>
      <c r="BD214" s="19"/>
      <c r="BE214" s="121" t="str">
        <f t="shared" si="198"/>
        <v/>
      </c>
      <c r="BF214" s="20"/>
      <c r="BG214" s="20"/>
      <c r="BH214" s="20"/>
      <c r="BI214" s="20"/>
      <c r="BJ214" s="125" t="str">
        <f t="shared" si="199"/>
        <v/>
      </c>
      <c r="BK214" s="14"/>
      <c r="BL214" s="125" t="str">
        <f t="shared" si="200"/>
        <v/>
      </c>
      <c r="BM214" s="20"/>
      <c r="BN214" s="20"/>
      <c r="BO214" s="125" t="str">
        <f t="shared" si="201"/>
        <v/>
      </c>
      <c r="BP214" s="14"/>
      <c r="BQ214" s="125" t="str">
        <f t="shared" si="202"/>
        <v/>
      </c>
      <c r="BR214" s="20"/>
      <c r="BS214" s="20"/>
      <c r="BT214" s="125" t="str">
        <f t="shared" si="203"/>
        <v/>
      </c>
      <c r="BU214" s="125" t="str">
        <f t="shared" si="204"/>
        <v/>
      </c>
      <c r="BV214" s="125" t="str">
        <f t="shared" si="205"/>
        <v/>
      </c>
      <c r="BW214" s="129" t="str">
        <f t="shared" si="206"/>
        <v/>
      </c>
      <c r="BX214" s="11"/>
      <c r="BY214" s="15"/>
      <c r="BZ214" s="14"/>
      <c r="CA214" s="117" t="str">
        <f>IF(_xlfn.XLOOKUP(BY214, AutoFill_classes!$A:$A, AutoFill_classes!$B:$B,"")=0,"",_xlfn.XLOOKUP(BY214, AutoFill_classes!$A:$A, AutoFill_classes!$B:$B,""))</f>
        <v/>
      </c>
      <c r="CB214" s="108"/>
      <c r="CC214" s="14"/>
      <c r="CD214" s="14"/>
      <c r="CE214" s="14"/>
      <c r="CF214" s="21"/>
      <c r="CG214" s="22"/>
      <c r="CH214" s="63"/>
      <c r="CI214" s="23"/>
      <c r="CJ214" s="121" t="str">
        <f t="shared" si="207"/>
        <v/>
      </c>
      <c r="CK214" s="20"/>
      <c r="CL214" s="20"/>
      <c r="CM214" s="20"/>
      <c r="CN214" s="20"/>
      <c r="CO214" s="125" t="str">
        <f t="shared" si="208"/>
        <v/>
      </c>
      <c r="CP214" s="14"/>
      <c r="CQ214" s="125" t="str">
        <f t="shared" si="209"/>
        <v/>
      </c>
      <c r="CR214" s="20"/>
      <c r="CS214" s="20"/>
      <c r="CT214" s="125" t="str">
        <f t="shared" si="210"/>
        <v/>
      </c>
      <c r="CU214" s="14"/>
      <c r="CV214" s="125" t="str">
        <f t="shared" si="211"/>
        <v/>
      </c>
      <c r="CW214" s="20"/>
      <c r="CX214" s="20"/>
      <c r="CY214" s="125" t="str">
        <f t="shared" si="212"/>
        <v/>
      </c>
      <c r="CZ214" s="125" t="str">
        <f t="shared" si="213"/>
        <v/>
      </c>
      <c r="DA214" s="125" t="str">
        <f t="shared" si="214"/>
        <v/>
      </c>
      <c r="DB214" s="129" t="str">
        <f t="shared" si="215"/>
        <v/>
      </c>
      <c r="DC214" s="14"/>
      <c r="DD214" s="62"/>
      <c r="DE214" s="105">
        <v>212</v>
      </c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</row>
    <row r="215" spans="1:176" s="1" customFormat="1" ht="13" hidden="1" customHeight="1" outlineLevel="1" x14ac:dyDescent="0.2">
      <c r="A215" s="4"/>
      <c r="B215" s="115" t="str">
        <f>IF(_xlfn.XLOOKUP(A215, AutoFill_names!B:B, AutoFill_names!C:C,"")=0,"",_xlfn.XLOOKUP(A215, AutoFill_names!B:B, AutoFill_names!C:C,""))</f>
        <v/>
      </c>
      <c r="C215" s="115" t="str">
        <f>IF(_xlfn.XLOOKUP(A215, AutoFill_names!B:B, AutoFill_names!D:D,"")=0,"",_xlfn.XLOOKUP(A215, AutoFill_names!B:B, AutoFill_names!D:D,""))</f>
        <v/>
      </c>
      <c r="D215" s="115" t="str">
        <f>IF(_xlfn.XLOOKUP(A215, AutoFill_names!B:B, AutoFill_names!E:E,"")=0,"",_xlfn.XLOOKUP(A215, AutoFill_names!B:B, AutoFill_names!E:E,""))</f>
        <v/>
      </c>
      <c r="E215" s="115" t="str">
        <f>IF(_xlfn.XLOOKUP(A215, AutoFill_names!B:B, AutoFill_names!F:F,"")=0,"",_xlfn.XLOOKUP(A215, AutoFill_names!B:B, AutoFill_names!F:F,""))</f>
        <v/>
      </c>
      <c r="F215" s="92"/>
      <c r="J215" s="115" t="str">
        <f>IF(_xlfn.XLOOKUP(A215, AutoFill_names!B:B, AutoFill_names!K:K,"")=0,"",_xlfn.XLOOKUP(A215, AutoFill_names!B:B, AutoFill_names!K:K,""))</f>
        <v/>
      </c>
      <c r="K215" s="115" t="str">
        <f>IF(_xlfn.XLOOKUP(A215, AutoFill_names!B:B, AutoFill_names!L:L,"")=0,"",_xlfn.XLOOKUP(A215, AutoFill_names!B:B, AutoFill_names!L:L,""))</f>
        <v/>
      </c>
      <c r="L215" s="31"/>
      <c r="M215" s="31"/>
      <c r="N215" s="117" t="str">
        <f>IF(_xlfn.XLOOKUP(L215, AutoFill_classes!A:A, AutoFill_classes!B:B,"")=0,"",_xlfn.XLOOKUP(L215, AutoFill_classes!A:A, AutoFill_classes!B:B,""))</f>
        <v/>
      </c>
      <c r="O215" s="108"/>
      <c r="P215" s="6"/>
      <c r="Q215" s="6"/>
      <c r="R215" s="6"/>
      <c r="X215" s="63"/>
      <c r="Y215" s="19"/>
      <c r="Z215" s="121" t="str">
        <f t="shared" si="189"/>
        <v/>
      </c>
      <c r="AA215" s="20"/>
      <c r="AB215" s="20"/>
      <c r="AC215" s="20"/>
      <c r="AD215" s="20"/>
      <c r="AE215" s="125" t="str">
        <f t="shared" si="190"/>
        <v/>
      </c>
      <c r="AF215" s="14"/>
      <c r="AG215" s="125" t="str">
        <f t="shared" si="191"/>
        <v/>
      </c>
      <c r="AH215" s="20"/>
      <c r="AI215" s="20"/>
      <c r="AJ215" s="125" t="str">
        <f t="shared" si="192"/>
        <v/>
      </c>
      <c r="AK215" s="14"/>
      <c r="AL215" s="125" t="str">
        <f t="shared" si="193"/>
        <v/>
      </c>
      <c r="AM215" s="20"/>
      <c r="AN215" s="20"/>
      <c r="AO215" s="125" t="str">
        <f t="shared" si="194"/>
        <v/>
      </c>
      <c r="AP215" s="125" t="str">
        <f t="shared" si="195"/>
        <v/>
      </c>
      <c r="AQ215" s="125" t="str">
        <f t="shared" si="196"/>
        <v/>
      </c>
      <c r="AR215" s="129" t="str">
        <f t="shared" si="197"/>
        <v/>
      </c>
      <c r="AS215" s="14"/>
      <c r="AT215" s="33"/>
      <c r="AU215" s="33"/>
      <c r="AV215" s="117" t="str">
        <f>IF(_xlfn.XLOOKUP(AT215, AutoFill_classes!$A:$A, AutoFill_classes!$B:$B,"")=0,"",_xlfn.XLOOKUP(AT215, AutoFill_classes!$A:$A, AutoFill_classes!$B:$B,""))</f>
        <v/>
      </c>
      <c r="AW215" s="108"/>
      <c r="AX215" s="11"/>
      <c r="AY215" s="12"/>
      <c r="AZ215" s="11"/>
      <c r="BA215" s="13"/>
      <c r="BB215" s="13"/>
      <c r="BC215" s="63"/>
      <c r="BD215" s="19"/>
      <c r="BE215" s="121" t="str">
        <f t="shared" si="198"/>
        <v/>
      </c>
      <c r="BF215" s="20"/>
      <c r="BG215" s="20"/>
      <c r="BH215" s="20"/>
      <c r="BI215" s="20"/>
      <c r="BJ215" s="125" t="str">
        <f t="shared" si="199"/>
        <v/>
      </c>
      <c r="BK215" s="14"/>
      <c r="BL215" s="125" t="str">
        <f t="shared" si="200"/>
        <v/>
      </c>
      <c r="BM215" s="20"/>
      <c r="BN215" s="20"/>
      <c r="BO215" s="125" t="str">
        <f t="shared" si="201"/>
        <v/>
      </c>
      <c r="BP215" s="14"/>
      <c r="BQ215" s="125" t="str">
        <f t="shared" si="202"/>
        <v/>
      </c>
      <c r="BR215" s="20"/>
      <c r="BS215" s="20"/>
      <c r="BT215" s="125" t="str">
        <f t="shared" si="203"/>
        <v/>
      </c>
      <c r="BU215" s="125" t="str">
        <f t="shared" si="204"/>
        <v/>
      </c>
      <c r="BV215" s="125" t="str">
        <f t="shared" si="205"/>
        <v/>
      </c>
      <c r="BW215" s="129" t="str">
        <f t="shared" si="206"/>
        <v/>
      </c>
      <c r="BX215" s="11"/>
      <c r="BY215" s="15"/>
      <c r="BZ215" s="14"/>
      <c r="CA215" s="117" t="str">
        <f>IF(_xlfn.XLOOKUP(BY215, AutoFill_classes!$A:$A, AutoFill_classes!$B:$B,"")=0,"",_xlfn.XLOOKUP(BY215, AutoFill_classes!$A:$A, AutoFill_classes!$B:$B,""))</f>
        <v/>
      </c>
      <c r="CB215" s="108"/>
      <c r="CC215" s="14"/>
      <c r="CD215" s="14"/>
      <c r="CE215" s="14"/>
      <c r="CF215" s="21"/>
      <c r="CG215" s="22"/>
      <c r="CH215" s="63"/>
      <c r="CI215" s="23"/>
      <c r="CJ215" s="121" t="str">
        <f t="shared" si="207"/>
        <v/>
      </c>
      <c r="CK215" s="20"/>
      <c r="CL215" s="20"/>
      <c r="CM215" s="20"/>
      <c r="CN215" s="20"/>
      <c r="CO215" s="125" t="str">
        <f t="shared" si="208"/>
        <v/>
      </c>
      <c r="CP215" s="14"/>
      <c r="CQ215" s="125" t="str">
        <f t="shared" si="209"/>
        <v/>
      </c>
      <c r="CR215" s="20"/>
      <c r="CS215" s="20"/>
      <c r="CT215" s="125" t="str">
        <f t="shared" si="210"/>
        <v/>
      </c>
      <c r="CU215" s="14"/>
      <c r="CV215" s="125" t="str">
        <f t="shared" si="211"/>
        <v/>
      </c>
      <c r="CW215" s="20"/>
      <c r="CX215" s="20"/>
      <c r="CY215" s="125" t="str">
        <f t="shared" si="212"/>
        <v/>
      </c>
      <c r="CZ215" s="125" t="str">
        <f t="shared" si="213"/>
        <v/>
      </c>
      <c r="DA215" s="125" t="str">
        <f t="shared" si="214"/>
        <v/>
      </c>
      <c r="DB215" s="129" t="str">
        <f t="shared" si="215"/>
        <v/>
      </c>
      <c r="DC215" s="14"/>
      <c r="DD215" s="62"/>
      <c r="DE215" s="105">
        <v>213</v>
      </c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</row>
    <row r="216" spans="1:176" s="1" customFormat="1" ht="13" hidden="1" customHeight="1" outlineLevel="1" x14ac:dyDescent="0.2">
      <c r="A216" s="4"/>
      <c r="B216" s="115" t="str">
        <f>IF(_xlfn.XLOOKUP(A216, AutoFill_names!B:B, AutoFill_names!C:C,"")=0,"",_xlfn.XLOOKUP(A216, AutoFill_names!B:B, AutoFill_names!C:C,""))</f>
        <v/>
      </c>
      <c r="C216" s="115" t="str">
        <f>IF(_xlfn.XLOOKUP(A216, AutoFill_names!B:B, AutoFill_names!D:D,"")=0,"",_xlfn.XLOOKUP(A216, AutoFill_names!B:B, AutoFill_names!D:D,""))</f>
        <v/>
      </c>
      <c r="D216" s="115" t="str">
        <f>IF(_xlfn.XLOOKUP(A216, AutoFill_names!B:B, AutoFill_names!E:E,"")=0,"",_xlfn.XLOOKUP(A216, AutoFill_names!B:B, AutoFill_names!E:E,""))</f>
        <v/>
      </c>
      <c r="E216" s="115" t="str">
        <f>IF(_xlfn.XLOOKUP(A216, AutoFill_names!B:B, AutoFill_names!F:F,"")=0,"",_xlfn.XLOOKUP(A216, AutoFill_names!B:B, AutoFill_names!F:F,""))</f>
        <v/>
      </c>
      <c r="F216" s="92"/>
      <c r="J216" s="115" t="str">
        <f>IF(_xlfn.XLOOKUP(A216, AutoFill_names!B:B, AutoFill_names!K:K,"")=0,"",_xlfn.XLOOKUP(A216, AutoFill_names!B:B, AutoFill_names!K:K,""))</f>
        <v/>
      </c>
      <c r="K216" s="115" t="str">
        <f>IF(_xlfn.XLOOKUP(A216, AutoFill_names!B:B, AutoFill_names!L:L,"")=0,"",_xlfn.XLOOKUP(A216, AutoFill_names!B:B, AutoFill_names!L:L,""))</f>
        <v/>
      </c>
      <c r="L216" s="31"/>
      <c r="M216" s="31"/>
      <c r="N216" s="117" t="str">
        <f>IF(_xlfn.XLOOKUP(L216, AutoFill_classes!A:A, AutoFill_classes!B:B,"")=0,"",_xlfn.XLOOKUP(L216, AutoFill_classes!A:A, AutoFill_classes!B:B,""))</f>
        <v/>
      </c>
      <c r="O216" s="108"/>
      <c r="P216" s="6"/>
      <c r="Q216" s="6"/>
      <c r="R216" s="6"/>
      <c r="X216" s="63"/>
      <c r="Y216" s="19"/>
      <c r="Z216" s="121" t="str">
        <f t="shared" si="189"/>
        <v/>
      </c>
      <c r="AA216" s="20"/>
      <c r="AB216" s="20"/>
      <c r="AC216" s="20"/>
      <c r="AD216" s="20"/>
      <c r="AE216" s="125" t="str">
        <f t="shared" si="190"/>
        <v/>
      </c>
      <c r="AF216" s="14"/>
      <c r="AG216" s="125" t="str">
        <f t="shared" si="191"/>
        <v/>
      </c>
      <c r="AH216" s="20"/>
      <c r="AI216" s="20"/>
      <c r="AJ216" s="125" t="str">
        <f t="shared" si="192"/>
        <v/>
      </c>
      <c r="AK216" s="14"/>
      <c r="AL216" s="125" t="str">
        <f t="shared" si="193"/>
        <v/>
      </c>
      <c r="AM216" s="20"/>
      <c r="AN216" s="20"/>
      <c r="AO216" s="125" t="str">
        <f t="shared" si="194"/>
        <v/>
      </c>
      <c r="AP216" s="125" t="str">
        <f t="shared" si="195"/>
        <v/>
      </c>
      <c r="AQ216" s="125" t="str">
        <f t="shared" si="196"/>
        <v/>
      </c>
      <c r="AR216" s="129" t="str">
        <f t="shared" si="197"/>
        <v/>
      </c>
      <c r="AS216" s="14"/>
      <c r="AT216" s="33"/>
      <c r="AU216" s="33"/>
      <c r="AV216" s="117" t="str">
        <f>IF(_xlfn.XLOOKUP(AT216, AutoFill_classes!$A:$A, AutoFill_classes!$B:$B,"")=0,"",_xlfn.XLOOKUP(AT216, AutoFill_classes!$A:$A, AutoFill_classes!$B:$B,""))</f>
        <v/>
      </c>
      <c r="AW216" s="108"/>
      <c r="AX216" s="11"/>
      <c r="AY216" s="12"/>
      <c r="AZ216" s="11"/>
      <c r="BA216" s="13"/>
      <c r="BB216" s="13"/>
      <c r="BC216" s="63"/>
      <c r="BD216" s="19"/>
      <c r="BE216" s="121" t="str">
        <f t="shared" si="198"/>
        <v/>
      </c>
      <c r="BF216" s="20"/>
      <c r="BG216" s="20"/>
      <c r="BH216" s="20"/>
      <c r="BI216" s="20"/>
      <c r="BJ216" s="125" t="str">
        <f t="shared" si="199"/>
        <v/>
      </c>
      <c r="BK216" s="14"/>
      <c r="BL216" s="125" t="str">
        <f t="shared" si="200"/>
        <v/>
      </c>
      <c r="BM216" s="20"/>
      <c r="BN216" s="20"/>
      <c r="BO216" s="125" t="str">
        <f t="shared" si="201"/>
        <v/>
      </c>
      <c r="BP216" s="14"/>
      <c r="BQ216" s="125" t="str">
        <f t="shared" si="202"/>
        <v/>
      </c>
      <c r="BR216" s="20"/>
      <c r="BS216" s="20"/>
      <c r="BT216" s="125" t="str">
        <f t="shared" si="203"/>
        <v/>
      </c>
      <c r="BU216" s="125" t="str">
        <f t="shared" si="204"/>
        <v/>
      </c>
      <c r="BV216" s="125" t="str">
        <f t="shared" si="205"/>
        <v/>
      </c>
      <c r="BW216" s="129" t="str">
        <f t="shared" si="206"/>
        <v/>
      </c>
      <c r="BX216" s="11"/>
      <c r="BY216" s="15"/>
      <c r="BZ216" s="14"/>
      <c r="CA216" s="117" t="str">
        <f>IF(_xlfn.XLOOKUP(BY216, AutoFill_classes!$A:$A, AutoFill_classes!$B:$B,"")=0,"",_xlfn.XLOOKUP(BY216, AutoFill_classes!$A:$A, AutoFill_classes!$B:$B,""))</f>
        <v/>
      </c>
      <c r="CB216" s="108"/>
      <c r="CC216" s="14"/>
      <c r="CD216" s="14"/>
      <c r="CE216" s="14"/>
      <c r="CF216" s="21"/>
      <c r="CG216" s="22"/>
      <c r="CH216" s="63"/>
      <c r="CI216" s="23"/>
      <c r="CJ216" s="121" t="str">
        <f t="shared" si="207"/>
        <v/>
      </c>
      <c r="CK216" s="20"/>
      <c r="CL216" s="20"/>
      <c r="CM216" s="20"/>
      <c r="CN216" s="20"/>
      <c r="CO216" s="125" t="str">
        <f t="shared" si="208"/>
        <v/>
      </c>
      <c r="CP216" s="14"/>
      <c r="CQ216" s="125" t="str">
        <f t="shared" si="209"/>
        <v/>
      </c>
      <c r="CR216" s="20"/>
      <c r="CS216" s="20"/>
      <c r="CT216" s="125" t="str">
        <f t="shared" si="210"/>
        <v/>
      </c>
      <c r="CU216" s="14"/>
      <c r="CV216" s="125" t="str">
        <f t="shared" si="211"/>
        <v/>
      </c>
      <c r="CW216" s="20"/>
      <c r="CX216" s="20"/>
      <c r="CY216" s="125" t="str">
        <f t="shared" si="212"/>
        <v/>
      </c>
      <c r="CZ216" s="125" t="str">
        <f t="shared" si="213"/>
        <v/>
      </c>
      <c r="DA216" s="125" t="str">
        <f t="shared" si="214"/>
        <v/>
      </c>
      <c r="DB216" s="129" t="str">
        <f t="shared" si="215"/>
        <v/>
      </c>
      <c r="DC216" s="14"/>
      <c r="DD216" s="62"/>
      <c r="DE216" s="105">
        <v>214</v>
      </c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</row>
    <row r="217" spans="1:176" s="1" customFormat="1" ht="13" hidden="1" customHeight="1" outlineLevel="1" x14ac:dyDescent="0.2">
      <c r="A217" s="4"/>
      <c r="B217" s="115" t="str">
        <f>IF(_xlfn.XLOOKUP(A217, AutoFill_names!B:B, AutoFill_names!C:C,"")=0,"",_xlfn.XLOOKUP(A217, AutoFill_names!B:B, AutoFill_names!C:C,""))</f>
        <v/>
      </c>
      <c r="C217" s="115" t="str">
        <f>IF(_xlfn.XLOOKUP(A217, AutoFill_names!B:B, AutoFill_names!D:D,"")=0,"",_xlfn.XLOOKUP(A217, AutoFill_names!B:B, AutoFill_names!D:D,""))</f>
        <v/>
      </c>
      <c r="D217" s="115" t="str">
        <f>IF(_xlfn.XLOOKUP(A217, AutoFill_names!B:B, AutoFill_names!E:E,"")=0,"",_xlfn.XLOOKUP(A217, AutoFill_names!B:B, AutoFill_names!E:E,""))</f>
        <v/>
      </c>
      <c r="E217" s="115" t="str">
        <f>IF(_xlfn.XLOOKUP(A217, AutoFill_names!B:B, AutoFill_names!F:F,"")=0,"",_xlfn.XLOOKUP(A217, AutoFill_names!B:B, AutoFill_names!F:F,""))</f>
        <v/>
      </c>
      <c r="F217" s="92"/>
      <c r="J217" s="115" t="str">
        <f>IF(_xlfn.XLOOKUP(A217, AutoFill_names!B:B, AutoFill_names!K:K,"")=0,"",_xlfn.XLOOKUP(A217, AutoFill_names!B:B, AutoFill_names!K:K,""))</f>
        <v/>
      </c>
      <c r="K217" s="115" t="str">
        <f>IF(_xlfn.XLOOKUP(A217, AutoFill_names!B:B, AutoFill_names!L:L,"")=0,"",_xlfn.XLOOKUP(A217, AutoFill_names!B:B, AutoFill_names!L:L,""))</f>
        <v/>
      </c>
      <c r="L217" s="31"/>
      <c r="M217" s="31"/>
      <c r="N217" s="117" t="str">
        <f>IF(_xlfn.XLOOKUP(L217, AutoFill_classes!A:A, AutoFill_classes!B:B,"")=0,"",_xlfn.XLOOKUP(L217, AutoFill_classes!A:A, AutoFill_classes!B:B,""))</f>
        <v/>
      </c>
      <c r="O217" s="108"/>
      <c r="P217" s="6"/>
      <c r="Q217" s="6"/>
      <c r="R217" s="6"/>
      <c r="X217" s="63"/>
      <c r="Y217" s="19"/>
      <c r="Z217" s="121" t="str">
        <f t="shared" si="189"/>
        <v/>
      </c>
      <c r="AA217" s="20"/>
      <c r="AB217" s="20"/>
      <c r="AC217" s="20"/>
      <c r="AD217" s="20"/>
      <c r="AE217" s="125" t="str">
        <f t="shared" si="190"/>
        <v/>
      </c>
      <c r="AF217" s="14"/>
      <c r="AG217" s="125" t="str">
        <f t="shared" si="191"/>
        <v/>
      </c>
      <c r="AH217" s="20"/>
      <c r="AI217" s="20"/>
      <c r="AJ217" s="125" t="str">
        <f t="shared" si="192"/>
        <v/>
      </c>
      <c r="AK217" s="14"/>
      <c r="AL217" s="125" t="str">
        <f t="shared" si="193"/>
        <v/>
      </c>
      <c r="AM217" s="20"/>
      <c r="AN217" s="20"/>
      <c r="AO217" s="125" t="str">
        <f t="shared" si="194"/>
        <v/>
      </c>
      <c r="AP217" s="125" t="str">
        <f t="shared" si="195"/>
        <v/>
      </c>
      <c r="AQ217" s="125" t="str">
        <f t="shared" si="196"/>
        <v/>
      </c>
      <c r="AR217" s="129" t="str">
        <f t="shared" si="197"/>
        <v/>
      </c>
      <c r="AS217" s="14"/>
      <c r="AT217" s="33"/>
      <c r="AU217" s="33"/>
      <c r="AV217" s="117" t="str">
        <f>IF(_xlfn.XLOOKUP(AT217, AutoFill_classes!$A:$A, AutoFill_classes!$B:$B,"")=0,"",_xlfn.XLOOKUP(AT217, AutoFill_classes!$A:$A, AutoFill_classes!$B:$B,""))</f>
        <v/>
      </c>
      <c r="AW217" s="108"/>
      <c r="AX217" s="11"/>
      <c r="AY217" s="12"/>
      <c r="AZ217" s="11"/>
      <c r="BA217" s="13"/>
      <c r="BB217" s="13"/>
      <c r="BC217" s="63"/>
      <c r="BD217" s="19"/>
      <c r="BE217" s="121" t="str">
        <f t="shared" si="198"/>
        <v/>
      </c>
      <c r="BF217" s="20"/>
      <c r="BG217" s="20"/>
      <c r="BH217" s="20"/>
      <c r="BI217" s="20"/>
      <c r="BJ217" s="125" t="str">
        <f t="shared" si="199"/>
        <v/>
      </c>
      <c r="BK217" s="14"/>
      <c r="BL217" s="125" t="str">
        <f t="shared" si="200"/>
        <v/>
      </c>
      <c r="BM217" s="20"/>
      <c r="BN217" s="20"/>
      <c r="BO217" s="125" t="str">
        <f t="shared" si="201"/>
        <v/>
      </c>
      <c r="BP217" s="14"/>
      <c r="BQ217" s="125" t="str">
        <f t="shared" si="202"/>
        <v/>
      </c>
      <c r="BR217" s="20"/>
      <c r="BS217" s="20"/>
      <c r="BT217" s="125" t="str">
        <f t="shared" si="203"/>
        <v/>
      </c>
      <c r="BU217" s="125" t="str">
        <f t="shared" si="204"/>
        <v/>
      </c>
      <c r="BV217" s="125" t="str">
        <f t="shared" si="205"/>
        <v/>
      </c>
      <c r="BW217" s="129" t="str">
        <f t="shared" si="206"/>
        <v/>
      </c>
      <c r="BX217" s="11"/>
      <c r="BY217" s="15"/>
      <c r="BZ217" s="14"/>
      <c r="CA217" s="117" t="str">
        <f>IF(_xlfn.XLOOKUP(BY217, AutoFill_classes!$A:$A, AutoFill_classes!$B:$B,"")=0,"",_xlfn.XLOOKUP(BY217, AutoFill_classes!$A:$A, AutoFill_classes!$B:$B,""))</f>
        <v/>
      </c>
      <c r="CB217" s="108"/>
      <c r="CC217" s="14"/>
      <c r="CD217" s="14"/>
      <c r="CE217" s="14"/>
      <c r="CF217" s="21"/>
      <c r="CG217" s="22"/>
      <c r="CH217" s="63"/>
      <c r="CI217" s="23"/>
      <c r="CJ217" s="121" t="str">
        <f t="shared" si="207"/>
        <v/>
      </c>
      <c r="CK217" s="20"/>
      <c r="CL217" s="20"/>
      <c r="CM217" s="20"/>
      <c r="CN217" s="20"/>
      <c r="CO217" s="125" t="str">
        <f t="shared" si="208"/>
        <v/>
      </c>
      <c r="CP217" s="14"/>
      <c r="CQ217" s="125" t="str">
        <f t="shared" si="209"/>
        <v/>
      </c>
      <c r="CR217" s="20"/>
      <c r="CS217" s="20"/>
      <c r="CT217" s="125" t="str">
        <f t="shared" si="210"/>
        <v/>
      </c>
      <c r="CU217" s="14"/>
      <c r="CV217" s="125" t="str">
        <f t="shared" si="211"/>
        <v/>
      </c>
      <c r="CW217" s="20"/>
      <c r="CX217" s="20"/>
      <c r="CY217" s="125" t="str">
        <f t="shared" si="212"/>
        <v/>
      </c>
      <c r="CZ217" s="125" t="str">
        <f t="shared" si="213"/>
        <v/>
      </c>
      <c r="DA217" s="125" t="str">
        <f t="shared" si="214"/>
        <v/>
      </c>
      <c r="DB217" s="129" t="str">
        <f t="shared" si="215"/>
        <v/>
      </c>
      <c r="DC217" s="14"/>
      <c r="DD217" s="62"/>
      <c r="DE217" s="105">
        <v>215</v>
      </c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</row>
    <row r="218" spans="1:176" s="1" customFormat="1" ht="13" hidden="1" customHeight="1" outlineLevel="1" x14ac:dyDescent="0.2">
      <c r="A218" s="4"/>
      <c r="B218" s="115" t="str">
        <f>IF(_xlfn.XLOOKUP(A218, AutoFill_names!B:B, AutoFill_names!C:C,"")=0,"",_xlfn.XLOOKUP(A218, AutoFill_names!B:B, AutoFill_names!C:C,""))</f>
        <v/>
      </c>
      <c r="C218" s="115" t="str">
        <f>IF(_xlfn.XLOOKUP(A218, AutoFill_names!B:B, AutoFill_names!D:D,"")=0,"",_xlfn.XLOOKUP(A218, AutoFill_names!B:B, AutoFill_names!D:D,""))</f>
        <v/>
      </c>
      <c r="D218" s="115" t="str">
        <f>IF(_xlfn.XLOOKUP(A218, AutoFill_names!B:B, AutoFill_names!E:E,"")=0,"",_xlfn.XLOOKUP(A218, AutoFill_names!B:B, AutoFill_names!E:E,""))</f>
        <v/>
      </c>
      <c r="E218" s="115" t="str">
        <f>IF(_xlfn.XLOOKUP(A218, AutoFill_names!B:B, AutoFill_names!F:F,"")=0,"",_xlfn.XLOOKUP(A218, AutoFill_names!B:B, AutoFill_names!F:F,""))</f>
        <v/>
      </c>
      <c r="F218" s="92"/>
      <c r="J218" s="115" t="str">
        <f>IF(_xlfn.XLOOKUP(A218, AutoFill_names!B:B, AutoFill_names!K:K,"")=0,"",_xlfn.XLOOKUP(A218, AutoFill_names!B:B, AutoFill_names!K:K,""))</f>
        <v/>
      </c>
      <c r="K218" s="115" t="str">
        <f>IF(_xlfn.XLOOKUP(A218, AutoFill_names!B:B, AutoFill_names!L:L,"")=0,"",_xlfn.XLOOKUP(A218, AutoFill_names!B:B, AutoFill_names!L:L,""))</f>
        <v/>
      </c>
      <c r="L218" s="31"/>
      <c r="M218" s="31"/>
      <c r="N218" s="117" t="str">
        <f>IF(_xlfn.XLOOKUP(L218, AutoFill_classes!A:A, AutoFill_classes!B:B,"")=0,"",_xlfn.XLOOKUP(L218, AutoFill_classes!A:A, AutoFill_classes!B:B,""))</f>
        <v/>
      </c>
      <c r="O218" s="108"/>
      <c r="P218" s="6"/>
      <c r="Q218" s="6"/>
      <c r="R218" s="6"/>
      <c r="X218" s="63"/>
      <c r="Y218" s="19"/>
      <c r="Z218" s="121" t="str">
        <f t="shared" si="189"/>
        <v/>
      </c>
      <c r="AA218" s="20"/>
      <c r="AB218" s="20"/>
      <c r="AC218" s="20"/>
      <c r="AD218" s="20"/>
      <c r="AE218" s="125" t="str">
        <f t="shared" si="190"/>
        <v/>
      </c>
      <c r="AF218" s="14"/>
      <c r="AG218" s="125" t="str">
        <f t="shared" si="191"/>
        <v/>
      </c>
      <c r="AH218" s="20"/>
      <c r="AI218" s="20"/>
      <c r="AJ218" s="125" t="str">
        <f t="shared" si="192"/>
        <v/>
      </c>
      <c r="AK218" s="14"/>
      <c r="AL218" s="125" t="str">
        <f t="shared" si="193"/>
        <v/>
      </c>
      <c r="AM218" s="20"/>
      <c r="AN218" s="20"/>
      <c r="AO218" s="125" t="str">
        <f t="shared" si="194"/>
        <v/>
      </c>
      <c r="AP218" s="125" t="str">
        <f t="shared" si="195"/>
        <v/>
      </c>
      <c r="AQ218" s="125" t="str">
        <f t="shared" si="196"/>
        <v/>
      </c>
      <c r="AR218" s="129" t="str">
        <f t="shared" si="197"/>
        <v/>
      </c>
      <c r="AS218" s="14"/>
      <c r="AT218" s="33"/>
      <c r="AU218" s="33"/>
      <c r="AV218" s="117" t="str">
        <f>IF(_xlfn.XLOOKUP(AT218, AutoFill_classes!$A:$A, AutoFill_classes!$B:$B,"")=0,"",_xlfn.XLOOKUP(AT218, AutoFill_classes!$A:$A, AutoFill_classes!$B:$B,""))</f>
        <v/>
      </c>
      <c r="AW218" s="108"/>
      <c r="AX218" s="11"/>
      <c r="AY218" s="12"/>
      <c r="AZ218" s="11"/>
      <c r="BA218" s="13"/>
      <c r="BB218" s="13"/>
      <c r="BC218" s="63"/>
      <c r="BD218" s="19"/>
      <c r="BE218" s="121" t="str">
        <f t="shared" si="198"/>
        <v/>
      </c>
      <c r="BF218" s="20"/>
      <c r="BG218" s="20"/>
      <c r="BH218" s="20"/>
      <c r="BI218" s="20"/>
      <c r="BJ218" s="125" t="str">
        <f t="shared" si="199"/>
        <v/>
      </c>
      <c r="BK218" s="14"/>
      <c r="BL218" s="125" t="str">
        <f t="shared" si="200"/>
        <v/>
      </c>
      <c r="BM218" s="20"/>
      <c r="BN218" s="20"/>
      <c r="BO218" s="125" t="str">
        <f t="shared" si="201"/>
        <v/>
      </c>
      <c r="BP218" s="14"/>
      <c r="BQ218" s="125" t="str">
        <f t="shared" si="202"/>
        <v/>
      </c>
      <c r="BR218" s="20"/>
      <c r="BS218" s="20"/>
      <c r="BT218" s="125" t="str">
        <f t="shared" si="203"/>
        <v/>
      </c>
      <c r="BU218" s="125" t="str">
        <f t="shared" si="204"/>
        <v/>
      </c>
      <c r="BV218" s="125" t="str">
        <f t="shared" si="205"/>
        <v/>
      </c>
      <c r="BW218" s="129" t="str">
        <f t="shared" si="206"/>
        <v/>
      </c>
      <c r="BX218" s="11"/>
      <c r="BY218" s="15"/>
      <c r="BZ218" s="14"/>
      <c r="CA218" s="117" t="str">
        <f>IF(_xlfn.XLOOKUP(BY218, AutoFill_classes!$A:$A, AutoFill_classes!$B:$B,"")=0,"",_xlfn.XLOOKUP(BY218, AutoFill_classes!$A:$A, AutoFill_classes!$B:$B,""))</f>
        <v/>
      </c>
      <c r="CB218" s="108"/>
      <c r="CC218" s="14"/>
      <c r="CD218" s="14"/>
      <c r="CE218" s="14"/>
      <c r="CF218" s="21"/>
      <c r="CG218" s="22"/>
      <c r="CH218" s="63"/>
      <c r="CI218" s="23"/>
      <c r="CJ218" s="121" t="str">
        <f t="shared" si="207"/>
        <v/>
      </c>
      <c r="CK218" s="20"/>
      <c r="CL218" s="20"/>
      <c r="CM218" s="20"/>
      <c r="CN218" s="20"/>
      <c r="CO218" s="125" t="str">
        <f t="shared" si="208"/>
        <v/>
      </c>
      <c r="CP218" s="14"/>
      <c r="CQ218" s="125" t="str">
        <f t="shared" si="209"/>
        <v/>
      </c>
      <c r="CR218" s="20"/>
      <c r="CS218" s="20"/>
      <c r="CT218" s="125" t="str">
        <f t="shared" si="210"/>
        <v/>
      </c>
      <c r="CU218" s="14"/>
      <c r="CV218" s="125" t="str">
        <f t="shared" si="211"/>
        <v/>
      </c>
      <c r="CW218" s="20"/>
      <c r="CX218" s="20"/>
      <c r="CY218" s="125" t="str">
        <f t="shared" si="212"/>
        <v/>
      </c>
      <c r="CZ218" s="125" t="str">
        <f t="shared" si="213"/>
        <v/>
      </c>
      <c r="DA218" s="125" t="str">
        <f t="shared" si="214"/>
        <v/>
      </c>
      <c r="DB218" s="129" t="str">
        <f t="shared" si="215"/>
        <v/>
      </c>
      <c r="DC218" s="14"/>
      <c r="DD218" s="62"/>
      <c r="DE218" s="105">
        <v>216</v>
      </c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</row>
    <row r="219" spans="1:176" s="1" customFormat="1" ht="13" hidden="1" customHeight="1" outlineLevel="1" x14ac:dyDescent="0.2">
      <c r="A219" s="4"/>
      <c r="B219" s="115" t="str">
        <f>IF(_xlfn.XLOOKUP(A219, AutoFill_names!B:B, AutoFill_names!C:C,"")=0,"",_xlfn.XLOOKUP(A219, AutoFill_names!B:B, AutoFill_names!C:C,""))</f>
        <v/>
      </c>
      <c r="C219" s="115" t="str">
        <f>IF(_xlfn.XLOOKUP(A219, AutoFill_names!B:B, AutoFill_names!D:D,"")=0,"",_xlfn.XLOOKUP(A219, AutoFill_names!B:B, AutoFill_names!D:D,""))</f>
        <v/>
      </c>
      <c r="D219" s="115" t="str">
        <f>IF(_xlfn.XLOOKUP(A219, AutoFill_names!B:B, AutoFill_names!E:E,"")=0,"",_xlfn.XLOOKUP(A219, AutoFill_names!B:B, AutoFill_names!E:E,""))</f>
        <v/>
      </c>
      <c r="E219" s="115" t="str">
        <f>IF(_xlfn.XLOOKUP(A219, AutoFill_names!B:B, AutoFill_names!F:F,"")=0,"",_xlfn.XLOOKUP(A219, AutoFill_names!B:B, AutoFill_names!F:F,""))</f>
        <v/>
      </c>
      <c r="F219" s="92"/>
      <c r="J219" s="115" t="str">
        <f>IF(_xlfn.XLOOKUP(A219, AutoFill_names!B:B, AutoFill_names!K:K,"")=0,"",_xlfn.XLOOKUP(A219, AutoFill_names!B:B, AutoFill_names!K:K,""))</f>
        <v/>
      </c>
      <c r="K219" s="115" t="str">
        <f>IF(_xlfn.XLOOKUP(A219, AutoFill_names!B:B, AutoFill_names!L:L,"")=0,"",_xlfn.XLOOKUP(A219, AutoFill_names!B:B, AutoFill_names!L:L,""))</f>
        <v/>
      </c>
      <c r="L219" s="31"/>
      <c r="M219" s="31"/>
      <c r="N219" s="117" t="str">
        <f>IF(_xlfn.XLOOKUP(L219, AutoFill_classes!A:A, AutoFill_classes!B:B,"")=0,"",_xlfn.XLOOKUP(L219, AutoFill_classes!A:A, AutoFill_classes!B:B,""))</f>
        <v/>
      </c>
      <c r="O219" s="108"/>
      <c r="P219" s="6"/>
      <c r="Q219" s="6"/>
      <c r="R219" s="6"/>
      <c r="X219" s="63"/>
      <c r="Y219" s="19"/>
      <c r="Z219" s="121" t="str">
        <f t="shared" si="189"/>
        <v/>
      </c>
      <c r="AA219" s="20"/>
      <c r="AB219" s="20"/>
      <c r="AC219" s="20"/>
      <c r="AD219" s="20"/>
      <c r="AE219" s="125" t="str">
        <f t="shared" si="190"/>
        <v/>
      </c>
      <c r="AF219" s="14"/>
      <c r="AG219" s="125" t="str">
        <f t="shared" si="191"/>
        <v/>
      </c>
      <c r="AH219" s="20"/>
      <c r="AI219" s="20"/>
      <c r="AJ219" s="125" t="str">
        <f t="shared" si="192"/>
        <v/>
      </c>
      <c r="AK219" s="14"/>
      <c r="AL219" s="125" t="str">
        <f t="shared" si="193"/>
        <v/>
      </c>
      <c r="AM219" s="20"/>
      <c r="AN219" s="20"/>
      <c r="AO219" s="125" t="str">
        <f t="shared" si="194"/>
        <v/>
      </c>
      <c r="AP219" s="125" t="str">
        <f t="shared" si="195"/>
        <v/>
      </c>
      <c r="AQ219" s="125" t="str">
        <f t="shared" si="196"/>
        <v/>
      </c>
      <c r="AR219" s="129" t="str">
        <f t="shared" si="197"/>
        <v/>
      </c>
      <c r="AS219" s="14"/>
      <c r="AT219" s="33"/>
      <c r="AU219" s="33"/>
      <c r="AV219" s="117" t="str">
        <f>IF(_xlfn.XLOOKUP(AT219, AutoFill_classes!$A:$A, AutoFill_classes!$B:$B,"")=0,"",_xlfn.XLOOKUP(AT219, AutoFill_classes!$A:$A, AutoFill_classes!$B:$B,""))</f>
        <v/>
      </c>
      <c r="AW219" s="108"/>
      <c r="AX219" s="11"/>
      <c r="AY219" s="12"/>
      <c r="AZ219" s="11"/>
      <c r="BA219" s="13"/>
      <c r="BB219" s="13"/>
      <c r="BC219" s="63"/>
      <c r="BD219" s="19"/>
      <c r="BE219" s="121" t="str">
        <f t="shared" si="198"/>
        <v/>
      </c>
      <c r="BF219" s="20"/>
      <c r="BG219" s="20"/>
      <c r="BH219" s="20"/>
      <c r="BI219" s="20"/>
      <c r="BJ219" s="125" t="str">
        <f t="shared" si="199"/>
        <v/>
      </c>
      <c r="BK219" s="14"/>
      <c r="BL219" s="125" t="str">
        <f t="shared" si="200"/>
        <v/>
      </c>
      <c r="BM219" s="20"/>
      <c r="BN219" s="20"/>
      <c r="BO219" s="125" t="str">
        <f t="shared" si="201"/>
        <v/>
      </c>
      <c r="BP219" s="14"/>
      <c r="BQ219" s="125" t="str">
        <f t="shared" si="202"/>
        <v/>
      </c>
      <c r="BR219" s="20"/>
      <c r="BS219" s="20"/>
      <c r="BT219" s="125" t="str">
        <f t="shared" si="203"/>
        <v/>
      </c>
      <c r="BU219" s="125" t="str">
        <f t="shared" si="204"/>
        <v/>
      </c>
      <c r="BV219" s="125" t="str">
        <f t="shared" si="205"/>
        <v/>
      </c>
      <c r="BW219" s="129" t="str">
        <f t="shared" si="206"/>
        <v/>
      </c>
      <c r="BX219" s="11"/>
      <c r="BY219" s="15"/>
      <c r="BZ219" s="14"/>
      <c r="CA219" s="117" t="str">
        <f>IF(_xlfn.XLOOKUP(BY219, AutoFill_classes!$A:$A, AutoFill_classes!$B:$B,"")=0,"",_xlfn.XLOOKUP(BY219, AutoFill_classes!$A:$A, AutoFill_classes!$B:$B,""))</f>
        <v/>
      </c>
      <c r="CB219" s="108"/>
      <c r="CC219" s="14"/>
      <c r="CD219" s="14"/>
      <c r="CE219" s="14"/>
      <c r="CF219" s="21"/>
      <c r="CG219" s="22"/>
      <c r="CH219" s="63"/>
      <c r="CI219" s="23"/>
      <c r="CJ219" s="121" t="str">
        <f t="shared" si="207"/>
        <v/>
      </c>
      <c r="CK219" s="20"/>
      <c r="CL219" s="20"/>
      <c r="CM219" s="20"/>
      <c r="CN219" s="20"/>
      <c r="CO219" s="125" t="str">
        <f t="shared" si="208"/>
        <v/>
      </c>
      <c r="CP219" s="14"/>
      <c r="CQ219" s="125" t="str">
        <f t="shared" si="209"/>
        <v/>
      </c>
      <c r="CR219" s="20"/>
      <c r="CS219" s="20"/>
      <c r="CT219" s="125" t="str">
        <f t="shared" si="210"/>
        <v/>
      </c>
      <c r="CU219" s="14"/>
      <c r="CV219" s="125" t="str">
        <f t="shared" si="211"/>
        <v/>
      </c>
      <c r="CW219" s="20"/>
      <c r="CX219" s="20"/>
      <c r="CY219" s="125" t="str">
        <f t="shared" si="212"/>
        <v/>
      </c>
      <c r="CZ219" s="125" t="str">
        <f t="shared" si="213"/>
        <v/>
      </c>
      <c r="DA219" s="125" t="str">
        <f t="shared" si="214"/>
        <v/>
      </c>
      <c r="DB219" s="129" t="str">
        <f t="shared" si="215"/>
        <v/>
      </c>
      <c r="DC219" s="14"/>
      <c r="DD219" s="62"/>
      <c r="DE219" s="105">
        <v>217</v>
      </c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</row>
    <row r="220" spans="1:176" s="1" customFormat="1" ht="13" hidden="1" customHeight="1" outlineLevel="1" x14ac:dyDescent="0.2">
      <c r="A220" s="4"/>
      <c r="B220" s="115" t="str">
        <f>IF(_xlfn.XLOOKUP(A220, AutoFill_names!B:B, AutoFill_names!C:C,"")=0,"",_xlfn.XLOOKUP(A220, AutoFill_names!B:B, AutoFill_names!C:C,""))</f>
        <v/>
      </c>
      <c r="C220" s="115" t="str">
        <f>IF(_xlfn.XLOOKUP(A220, AutoFill_names!B:B, AutoFill_names!D:D,"")=0,"",_xlfn.XLOOKUP(A220, AutoFill_names!B:B, AutoFill_names!D:D,""))</f>
        <v/>
      </c>
      <c r="D220" s="115" t="str">
        <f>IF(_xlfn.XLOOKUP(A220, AutoFill_names!B:B, AutoFill_names!E:E,"")=0,"",_xlfn.XLOOKUP(A220, AutoFill_names!B:B, AutoFill_names!E:E,""))</f>
        <v/>
      </c>
      <c r="E220" s="115" t="str">
        <f>IF(_xlfn.XLOOKUP(A220, AutoFill_names!B:B, AutoFill_names!F:F,"")=0,"",_xlfn.XLOOKUP(A220, AutoFill_names!B:B, AutoFill_names!F:F,""))</f>
        <v/>
      </c>
      <c r="F220" s="92"/>
      <c r="J220" s="115" t="str">
        <f>IF(_xlfn.XLOOKUP(A220, AutoFill_names!B:B, AutoFill_names!K:K,"")=0,"",_xlfn.XLOOKUP(A220, AutoFill_names!B:B, AutoFill_names!K:K,""))</f>
        <v/>
      </c>
      <c r="K220" s="115" t="str">
        <f>IF(_xlfn.XLOOKUP(A220, AutoFill_names!B:B, AutoFill_names!L:L,"")=0,"",_xlfn.XLOOKUP(A220, AutoFill_names!B:B, AutoFill_names!L:L,""))</f>
        <v/>
      </c>
      <c r="L220" s="31"/>
      <c r="M220" s="31"/>
      <c r="N220" s="117" t="str">
        <f>IF(_xlfn.XLOOKUP(L220, AutoFill_classes!A:A, AutoFill_classes!B:B,"")=0,"",_xlfn.XLOOKUP(L220, AutoFill_classes!A:A, AutoFill_classes!B:B,""))</f>
        <v/>
      </c>
      <c r="O220" s="108"/>
      <c r="P220" s="6"/>
      <c r="Q220" s="6"/>
      <c r="R220" s="6"/>
      <c r="X220" s="63"/>
      <c r="Y220" s="19"/>
      <c r="Z220" s="121" t="str">
        <f t="shared" si="189"/>
        <v/>
      </c>
      <c r="AA220" s="20"/>
      <c r="AB220" s="20"/>
      <c r="AC220" s="20"/>
      <c r="AD220" s="20"/>
      <c r="AE220" s="125" t="str">
        <f t="shared" si="190"/>
        <v/>
      </c>
      <c r="AF220" s="14"/>
      <c r="AG220" s="125" t="str">
        <f t="shared" si="191"/>
        <v/>
      </c>
      <c r="AH220" s="20"/>
      <c r="AI220" s="20"/>
      <c r="AJ220" s="125" t="str">
        <f t="shared" si="192"/>
        <v/>
      </c>
      <c r="AK220" s="14"/>
      <c r="AL220" s="125" t="str">
        <f t="shared" si="193"/>
        <v/>
      </c>
      <c r="AM220" s="20"/>
      <c r="AN220" s="20"/>
      <c r="AO220" s="125" t="str">
        <f t="shared" si="194"/>
        <v/>
      </c>
      <c r="AP220" s="125" t="str">
        <f t="shared" si="195"/>
        <v/>
      </c>
      <c r="AQ220" s="125" t="str">
        <f t="shared" si="196"/>
        <v/>
      </c>
      <c r="AR220" s="129" t="str">
        <f t="shared" si="197"/>
        <v/>
      </c>
      <c r="AS220" s="14"/>
      <c r="AT220" s="33"/>
      <c r="AU220" s="33"/>
      <c r="AV220" s="117" t="str">
        <f>IF(_xlfn.XLOOKUP(AT220, AutoFill_classes!$A:$A, AutoFill_classes!$B:$B,"")=0,"",_xlfn.XLOOKUP(AT220, AutoFill_classes!$A:$A, AutoFill_classes!$B:$B,""))</f>
        <v/>
      </c>
      <c r="AW220" s="108"/>
      <c r="AX220" s="11"/>
      <c r="AY220" s="12"/>
      <c r="AZ220" s="11"/>
      <c r="BA220" s="13"/>
      <c r="BB220" s="13"/>
      <c r="BC220" s="63"/>
      <c r="BD220" s="19"/>
      <c r="BE220" s="121" t="str">
        <f t="shared" si="198"/>
        <v/>
      </c>
      <c r="BF220" s="20"/>
      <c r="BG220" s="20"/>
      <c r="BH220" s="20"/>
      <c r="BI220" s="20"/>
      <c r="BJ220" s="125" t="str">
        <f t="shared" si="199"/>
        <v/>
      </c>
      <c r="BK220" s="14"/>
      <c r="BL220" s="125" t="str">
        <f t="shared" si="200"/>
        <v/>
      </c>
      <c r="BM220" s="20"/>
      <c r="BN220" s="20"/>
      <c r="BO220" s="125" t="str">
        <f t="shared" si="201"/>
        <v/>
      </c>
      <c r="BP220" s="14"/>
      <c r="BQ220" s="125" t="str">
        <f t="shared" si="202"/>
        <v/>
      </c>
      <c r="BR220" s="20"/>
      <c r="BS220" s="20"/>
      <c r="BT220" s="125" t="str">
        <f t="shared" si="203"/>
        <v/>
      </c>
      <c r="BU220" s="125" t="str">
        <f t="shared" si="204"/>
        <v/>
      </c>
      <c r="BV220" s="125" t="str">
        <f t="shared" si="205"/>
        <v/>
      </c>
      <c r="BW220" s="129" t="str">
        <f t="shared" si="206"/>
        <v/>
      </c>
      <c r="BX220" s="11"/>
      <c r="BY220" s="15"/>
      <c r="BZ220" s="14"/>
      <c r="CA220" s="117" t="str">
        <f>IF(_xlfn.XLOOKUP(BY220, AutoFill_classes!$A:$A, AutoFill_classes!$B:$B,"")=0,"",_xlfn.XLOOKUP(BY220, AutoFill_classes!$A:$A, AutoFill_classes!$B:$B,""))</f>
        <v/>
      </c>
      <c r="CB220" s="108"/>
      <c r="CC220" s="14"/>
      <c r="CD220" s="14"/>
      <c r="CE220" s="14"/>
      <c r="CF220" s="21"/>
      <c r="CG220" s="22"/>
      <c r="CH220" s="63"/>
      <c r="CI220" s="23"/>
      <c r="CJ220" s="121" t="str">
        <f t="shared" si="207"/>
        <v/>
      </c>
      <c r="CK220" s="20"/>
      <c r="CL220" s="20"/>
      <c r="CM220" s="20"/>
      <c r="CN220" s="20"/>
      <c r="CO220" s="125" t="str">
        <f t="shared" si="208"/>
        <v/>
      </c>
      <c r="CP220" s="14"/>
      <c r="CQ220" s="125" t="str">
        <f t="shared" si="209"/>
        <v/>
      </c>
      <c r="CR220" s="20"/>
      <c r="CS220" s="20"/>
      <c r="CT220" s="125" t="str">
        <f t="shared" si="210"/>
        <v/>
      </c>
      <c r="CU220" s="14"/>
      <c r="CV220" s="125" t="str">
        <f t="shared" si="211"/>
        <v/>
      </c>
      <c r="CW220" s="20"/>
      <c r="CX220" s="20"/>
      <c r="CY220" s="125" t="str">
        <f t="shared" si="212"/>
        <v/>
      </c>
      <c r="CZ220" s="125" t="str">
        <f t="shared" si="213"/>
        <v/>
      </c>
      <c r="DA220" s="125" t="str">
        <f t="shared" si="214"/>
        <v/>
      </c>
      <c r="DB220" s="129" t="str">
        <f t="shared" si="215"/>
        <v/>
      </c>
      <c r="DC220" s="14"/>
      <c r="DD220" s="62"/>
      <c r="DE220" s="105">
        <v>218</v>
      </c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</row>
    <row r="221" spans="1:176" s="1" customFormat="1" ht="13" hidden="1" customHeight="1" outlineLevel="1" x14ac:dyDescent="0.2">
      <c r="A221" s="4"/>
      <c r="B221" s="115" t="str">
        <f>IF(_xlfn.XLOOKUP(A221, AutoFill_names!B:B, AutoFill_names!C:C,"")=0,"",_xlfn.XLOOKUP(A221, AutoFill_names!B:B, AutoFill_names!C:C,""))</f>
        <v/>
      </c>
      <c r="C221" s="115" t="str">
        <f>IF(_xlfn.XLOOKUP(A221, AutoFill_names!B:B, AutoFill_names!D:D,"")=0,"",_xlfn.XLOOKUP(A221, AutoFill_names!B:B, AutoFill_names!D:D,""))</f>
        <v/>
      </c>
      <c r="D221" s="115" t="str">
        <f>IF(_xlfn.XLOOKUP(A221, AutoFill_names!B:B, AutoFill_names!E:E,"")=0,"",_xlfn.XLOOKUP(A221, AutoFill_names!B:B, AutoFill_names!E:E,""))</f>
        <v/>
      </c>
      <c r="E221" s="115" t="str">
        <f>IF(_xlfn.XLOOKUP(A221, AutoFill_names!B:B, AutoFill_names!F:F,"")=0,"",_xlfn.XLOOKUP(A221, AutoFill_names!B:B, AutoFill_names!F:F,""))</f>
        <v/>
      </c>
      <c r="F221" s="92"/>
      <c r="J221" s="115" t="str">
        <f>IF(_xlfn.XLOOKUP(A221, AutoFill_names!B:B, AutoFill_names!K:K,"")=0,"",_xlfn.XLOOKUP(A221, AutoFill_names!B:B, AutoFill_names!K:K,""))</f>
        <v/>
      </c>
      <c r="K221" s="115" t="str">
        <f>IF(_xlfn.XLOOKUP(A221, AutoFill_names!B:B, AutoFill_names!L:L,"")=0,"",_xlfn.XLOOKUP(A221, AutoFill_names!B:B, AutoFill_names!L:L,""))</f>
        <v/>
      </c>
      <c r="L221" s="31"/>
      <c r="M221" s="31"/>
      <c r="N221" s="117" t="str">
        <f>IF(_xlfn.XLOOKUP(L221, AutoFill_classes!A:A, AutoFill_classes!B:B,"")=0,"",_xlfn.XLOOKUP(L221, AutoFill_classes!A:A, AutoFill_classes!B:B,""))</f>
        <v/>
      </c>
      <c r="O221" s="108"/>
      <c r="P221" s="6"/>
      <c r="Q221" s="6"/>
      <c r="R221" s="6"/>
      <c r="X221" s="63"/>
      <c r="Y221" s="19"/>
      <c r="Z221" s="121" t="str">
        <f t="shared" si="189"/>
        <v/>
      </c>
      <c r="AA221" s="20"/>
      <c r="AB221" s="20"/>
      <c r="AC221" s="20"/>
      <c r="AD221" s="20"/>
      <c r="AE221" s="125" t="str">
        <f t="shared" si="190"/>
        <v/>
      </c>
      <c r="AF221" s="14"/>
      <c r="AG221" s="125" t="str">
        <f t="shared" si="191"/>
        <v/>
      </c>
      <c r="AH221" s="20"/>
      <c r="AI221" s="20"/>
      <c r="AJ221" s="125" t="str">
        <f t="shared" si="192"/>
        <v/>
      </c>
      <c r="AK221" s="14"/>
      <c r="AL221" s="125" t="str">
        <f t="shared" si="193"/>
        <v/>
      </c>
      <c r="AM221" s="20"/>
      <c r="AN221" s="20"/>
      <c r="AO221" s="125" t="str">
        <f t="shared" si="194"/>
        <v/>
      </c>
      <c r="AP221" s="125" t="str">
        <f t="shared" si="195"/>
        <v/>
      </c>
      <c r="AQ221" s="125" t="str">
        <f t="shared" si="196"/>
        <v/>
      </c>
      <c r="AR221" s="129" t="str">
        <f t="shared" si="197"/>
        <v/>
      </c>
      <c r="AS221" s="14"/>
      <c r="AT221" s="33"/>
      <c r="AU221" s="33"/>
      <c r="AV221" s="117" t="str">
        <f>IF(_xlfn.XLOOKUP(AT221, AutoFill_classes!$A:$A, AutoFill_classes!$B:$B,"")=0,"",_xlfn.XLOOKUP(AT221, AutoFill_classes!$A:$A, AutoFill_classes!$B:$B,""))</f>
        <v/>
      </c>
      <c r="AW221" s="108"/>
      <c r="AX221" s="11"/>
      <c r="AY221" s="12"/>
      <c r="AZ221" s="11"/>
      <c r="BA221" s="13"/>
      <c r="BB221" s="13"/>
      <c r="BC221" s="63"/>
      <c r="BD221" s="19"/>
      <c r="BE221" s="121" t="str">
        <f t="shared" si="198"/>
        <v/>
      </c>
      <c r="BF221" s="20"/>
      <c r="BG221" s="20"/>
      <c r="BH221" s="20"/>
      <c r="BI221" s="20"/>
      <c r="BJ221" s="125" t="str">
        <f t="shared" si="199"/>
        <v/>
      </c>
      <c r="BK221" s="14"/>
      <c r="BL221" s="125" t="str">
        <f t="shared" si="200"/>
        <v/>
      </c>
      <c r="BM221" s="20"/>
      <c r="BN221" s="20"/>
      <c r="BO221" s="125" t="str">
        <f t="shared" si="201"/>
        <v/>
      </c>
      <c r="BP221" s="14"/>
      <c r="BQ221" s="125" t="str">
        <f t="shared" si="202"/>
        <v/>
      </c>
      <c r="BR221" s="20"/>
      <c r="BS221" s="20"/>
      <c r="BT221" s="125" t="str">
        <f t="shared" si="203"/>
        <v/>
      </c>
      <c r="BU221" s="125" t="str">
        <f t="shared" si="204"/>
        <v/>
      </c>
      <c r="BV221" s="125" t="str">
        <f t="shared" si="205"/>
        <v/>
      </c>
      <c r="BW221" s="129" t="str">
        <f t="shared" si="206"/>
        <v/>
      </c>
      <c r="BX221" s="11"/>
      <c r="BY221" s="15"/>
      <c r="BZ221" s="14"/>
      <c r="CA221" s="117" t="str">
        <f>IF(_xlfn.XLOOKUP(BY221, AutoFill_classes!$A:$A, AutoFill_classes!$B:$B,"")=0,"",_xlfn.XLOOKUP(BY221, AutoFill_classes!$A:$A, AutoFill_classes!$B:$B,""))</f>
        <v/>
      </c>
      <c r="CB221" s="108"/>
      <c r="CC221" s="14"/>
      <c r="CD221" s="14"/>
      <c r="CE221" s="14"/>
      <c r="CF221" s="21"/>
      <c r="CG221" s="22"/>
      <c r="CH221" s="63"/>
      <c r="CI221" s="23"/>
      <c r="CJ221" s="121" t="str">
        <f t="shared" si="207"/>
        <v/>
      </c>
      <c r="CK221" s="20"/>
      <c r="CL221" s="20"/>
      <c r="CM221" s="20"/>
      <c r="CN221" s="20"/>
      <c r="CO221" s="125" t="str">
        <f t="shared" si="208"/>
        <v/>
      </c>
      <c r="CP221" s="14"/>
      <c r="CQ221" s="125" t="str">
        <f t="shared" si="209"/>
        <v/>
      </c>
      <c r="CR221" s="20"/>
      <c r="CS221" s="20"/>
      <c r="CT221" s="125" t="str">
        <f t="shared" si="210"/>
        <v/>
      </c>
      <c r="CU221" s="14"/>
      <c r="CV221" s="125" t="str">
        <f t="shared" si="211"/>
        <v/>
      </c>
      <c r="CW221" s="20"/>
      <c r="CX221" s="20"/>
      <c r="CY221" s="125" t="str">
        <f t="shared" si="212"/>
        <v/>
      </c>
      <c r="CZ221" s="125" t="str">
        <f t="shared" si="213"/>
        <v/>
      </c>
      <c r="DA221" s="125" t="str">
        <f t="shared" si="214"/>
        <v/>
      </c>
      <c r="DB221" s="129" t="str">
        <f t="shared" si="215"/>
        <v/>
      </c>
      <c r="DC221" s="14"/>
      <c r="DD221" s="62"/>
      <c r="DE221" s="105">
        <v>219</v>
      </c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spans="1:176" s="1" customFormat="1" ht="13" hidden="1" customHeight="1" outlineLevel="1" x14ac:dyDescent="0.2">
      <c r="A222" s="4"/>
      <c r="B222" s="115" t="str">
        <f>IF(_xlfn.XLOOKUP(A222, AutoFill_names!B:B, AutoFill_names!C:C,"")=0,"",_xlfn.XLOOKUP(A222, AutoFill_names!B:B, AutoFill_names!C:C,""))</f>
        <v/>
      </c>
      <c r="C222" s="115" t="str">
        <f>IF(_xlfn.XLOOKUP(A222, AutoFill_names!B:B, AutoFill_names!D:D,"")=0,"",_xlfn.XLOOKUP(A222, AutoFill_names!B:B, AutoFill_names!D:D,""))</f>
        <v/>
      </c>
      <c r="D222" s="115" t="str">
        <f>IF(_xlfn.XLOOKUP(A222, AutoFill_names!B:B, AutoFill_names!E:E,"")=0,"",_xlfn.XLOOKUP(A222, AutoFill_names!B:B, AutoFill_names!E:E,""))</f>
        <v/>
      </c>
      <c r="E222" s="115" t="str">
        <f>IF(_xlfn.XLOOKUP(A222, AutoFill_names!B:B, AutoFill_names!F:F,"")=0,"",_xlfn.XLOOKUP(A222, AutoFill_names!B:B, AutoFill_names!F:F,""))</f>
        <v/>
      </c>
      <c r="F222" s="92"/>
      <c r="J222" s="115" t="str">
        <f>IF(_xlfn.XLOOKUP(A222, AutoFill_names!B:B, AutoFill_names!K:K,"")=0,"",_xlfn.XLOOKUP(A222, AutoFill_names!B:B, AutoFill_names!K:K,""))</f>
        <v/>
      </c>
      <c r="K222" s="115" t="str">
        <f>IF(_xlfn.XLOOKUP(A222, AutoFill_names!B:B, AutoFill_names!L:L,"")=0,"",_xlfn.XLOOKUP(A222, AutoFill_names!B:B, AutoFill_names!L:L,""))</f>
        <v/>
      </c>
      <c r="L222" s="31"/>
      <c r="M222" s="31"/>
      <c r="N222" s="117" t="str">
        <f>IF(_xlfn.XLOOKUP(L222, AutoFill_classes!A:A, AutoFill_classes!B:B,"")=0,"",_xlfn.XLOOKUP(L222, AutoFill_classes!A:A, AutoFill_classes!B:B,""))</f>
        <v/>
      </c>
      <c r="O222" s="108"/>
      <c r="P222" s="6"/>
      <c r="Q222" s="6"/>
      <c r="R222" s="6"/>
      <c r="X222" s="63"/>
      <c r="Y222" s="19"/>
      <c r="Z222" s="121" t="str">
        <f t="shared" si="189"/>
        <v/>
      </c>
      <c r="AA222" s="20"/>
      <c r="AB222" s="20"/>
      <c r="AC222" s="20"/>
      <c r="AD222" s="20"/>
      <c r="AE222" s="125" t="str">
        <f t="shared" si="190"/>
        <v/>
      </c>
      <c r="AF222" s="14"/>
      <c r="AG222" s="125" t="str">
        <f t="shared" si="191"/>
        <v/>
      </c>
      <c r="AH222" s="20"/>
      <c r="AI222" s="20"/>
      <c r="AJ222" s="125" t="str">
        <f t="shared" si="192"/>
        <v/>
      </c>
      <c r="AK222" s="14"/>
      <c r="AL222" s="125" t="str">
        <f t="shared" si="193"/>
        <v/>
      </c>
      <c r="AM222" s="20"/>
      <c r="AN222" s="20"/>
      <c r="AO222" s="125" t="str">
        <f t="shared" si="194"/>
        <v/>
      </c>
      <c r="AP222" s="125" t="str">
        <f t="shared" si="195"/>
        <v/>
      </c>
      <c r="AQ222" s="125" t="str">
        <f t="shared" si="196"/>
        <v/>
      </c>
      <c r="AR222" s="129" t="str">
        <f t="shared" si="197"/>
        <v/>
      </c>
      <c r="AS222" s="14"/>
      <c r="AT222" s="33"/>
      <c r="AU222" s="33"/>
      <c r="AV222" s="117" t="str">
        <f>IF(_xlfn.XLOOKUP(AT222, AutoFill_classes!$A:$A, AutoFill_classes!$B:$B,"")=0,"",_xlfn.XLOOKUP(AT222, AutoFill_classes!$A:$A, AutoFill_classes!$B:$B,""))</f>
        <v/>
      </c>
      <c r="AW222" s="108"/>
      <c r="AX222" s="11"/>
      <c r="AY222" s="12"/>
      <c r="AZ222" s="11"/>
      <c r="BA222" s="13"/>
      <c r="BB222" s="13"/>
      <c r="BC222" s="63"/>
      <c r="BD222" s="19"/>
      <c r="BE222" s="121" t="str">
        <f t="shared" si="198"/>
        <v/>
      </c>
      <c r="BF222" s="20"/>
      <c r="BG222" s="20"/>
      <c r="BH222" s="20"/>
      <c r="BI222" s="20"/>
      <c r="BJ222" s="125" t="str">
        <f t="shared" si="199"/>
        <v/>
      </c>
      <c r="BK222" s="14"/>
      <c r="BL222" s="125" t="str">
        <f t="shared" si="200"/>
        <v/>
      </c>
      <c r="BM222" s="20"/>
      <c r="BN222" s="20"/>
      <c r="BO222" s="125" t="str">
        <f t="shared" si="201"/>
        <v/>
      </c>
      <c r="BP222" s="14"/>
      <c r="BQ222" s="125" t="str">
        <f t="shared" si="202"/>
        <v/>
      </c>
      <c r="BR222" s="20"/>
      <c r="BS222" s="20"/>
      <c r="BT222" s="125" t="str">
        <f t="shared" si="203"/>
        <v/>
      </c>
      <c r="BU222" s="125" t="str">
        <f t="shared" si="204"/>
        <v/>
      </c>
      <c r="BV222" s="125" t="str">
        <f t="shared" si="205"/>
        <v/>
      </c>
      <c r="BW222" s="129" t="str">
        <f t="shared" si="206"/>
        <v/>
      </c>
      <c r="BX222" s="11"/>
      <c r="BY222" s="15"/>
      <c r="BZ222" s="14"/>
      <c r="CA222" s="117" t="str">
        <f>IF(_xlfn.XLOOKUP(BY222, AutoFill_classes!$A:$A, AutoFill_classes!$B:$B,"")=0,"",_xlfn.XLOOKUP(BY222, AutoFill_classes!$A:$A, AutoFill_classes!$B:$B,""))</f>
        <v/>
      </c>
      <c r="CB222" s="108"/>
      <c r="CC222" s="14"/>
      <c r="CD222" s="14"/>
      <c r="CE222" s="14"/>
      <c r="CF222" s="21"/>
      <c r="CG222" s="22"/>
      <c r="CH222" s="63"/>
      <c r="CI222" s="23"/>
      <c r="CJ222" s="121" t="str">
        <f t="shared" si="207"/>
        <v/>
      </c>
      <c r="CK222" s="20"/>
      <c r="CL222" s="20"/>
      <c r="CM222" s="20"/>
      <c r="CN222" s="20"/>
      <c r="CO222" s="125" t="str">
        <f t="shared" si="208"/>
        <v/>
      </c>
      <c r="CP222" s="14"/>
      <c r="CQ222" s="125" t="str">
        <f t="shared" si="209"/>
        <v/>
      </c>
      <c r="CR222" s="20"/>
      <c r="CS222" s="20"/>
      <c r="CT222" s="125" t="str">
        <f t="shared" si="210"/>
        <v/>
      </c>
      <c r="CU222" s="14"/>
      <c r="CV222" s="125" t="str">
        <f t="shared" si="211"/>
        <v/>
      </c>
      <c r="CW222" s="20"/>
      <c r="CX222" s="20"/>
      <c r="CY222" s="125" t="str">
        <f t="shared" si="212"/>
        <v/>
      </c>
      <c r="CZ222" s="125" t="str">
        <f t="shared" si="213"/>
        <v/>
      </c>
      <c r="DA222" s="125" t="str">
        <f t="shared" si="214"/>
        <v/>
      </c>
      <c r="DB222" s="129" t="str">
        <f t="shared" si="215"/>
        <v/>
      </c>
      <c r="DC222" s="14"/>
      <c r="DD222" s="62"/>
      <c r="DE222" s="105">
        <v>220</v>
      </c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</row>
    <row r="223" spans="1:176" s="1" customFormat="1" ht="13" hidden="1" customHeight="1" outlineLevel="1" x14ac:dyDescent="0.2">
      <c r="A223" s="4"/>
      <c r="B223" s="115" t="str">
        <f>IF(_xlfn.XLOOKUP(A223, AutoFill_names!B:B, AutoFill_names!C:C,"")=0,"",_xlfn.XLOOKUP(A223, AutoFill_names!B:B, AutoFill_names!C:C,""))</f>
        <v/>
      </c>
      <c r="C223" s="115" t="str">
        <f>IF(_xlfn.XLOOKUP(A223, AutoFill_names!B:B, AutoFill_names!D:D,"")=0,"",_xlfn.XLOOKUP(A223, AutoFill_names!B:B, AutoFill_names!D:D,""))</f>
        <v/>
      </c>
      <c r="D223" s="115" t="str">
        <f>IF(_xlfn.XLOOKUP(A223, AutoFill_names!B:B, AutoFill_names!E:E,"")=0,"",_xlfn.XLOOKUP(A223, AutoFill_names!B:B, AutoFill_names!E:E,""))</f>
        <v/>
      </c>
      <c r="E223" s="115" t="str">
        <f>IF(_xlfn.XLOOKUP(A223, AutoFill_names!B:B, AutoFill_names!F:F,"")=0,"",_xlfn.XLOOKUP(A223, AutoFill_names!B:B, AutoFill_names!F:F,""))</f>
        <v/>
      </c>
      <c r="F223" s="92"/>
      <c r="J223" s="115" t="str">
        <f>IF(_xlfn.XLOOKUP(A223, AutoFill_names!B:B, AutoFill_names!K:K,"")=0,"",_xlfn.XLOOKUP(A223, AutoFill_names!B:B, AutoFill_names!K:K,""))</f>
        <v/>
      </c>
      <c r="K223" s="115" t="str">
        <f>IF(_xlfn.XLOOKUP(A223, AutoFill_names!B:B, AutoFill_names!L:L,"")=0,"",_xlfn.XLOOKUP(A223, AutoFill_names!B:B, AutoFill_names!L:L,""))</f>
        <v/>
      </c>
      <c r="L223" s="31"/>
      <c r="M223" s="31"/>
      <c r="N223" s="117" t="str">
        <f>IF(_xlfn.XLOOKUP(L223, AutoFill_classes!A:A, AutoFill_classes!B:B,"")=0,"",_xlfn.XLOOKUP(L223, AutoFill_classes!A:A, AutoFill_classes!B:B,""))</f>
        <v/>
      </c>
      <c r="O223" s="108"/>
      <c r="P223" s="6"/>
      <c r="Q223" s="6"/>
      <c r="R223" s="6"/>
      <c r="X223" s="63"/>
      <c r="Y223" s="19"/>
      <c r="Z223" s="121" t="str">
        <f t="shared" si="189"/>
        <v/>
      </c>
      <c r="AA223" s="20"/>
      <c r="AB223" s="20"/>
      <c r="AC223" s="20"/>
      <c r="AD223" s="20"/>
      <c r="AE223" s="125" t="str">
        <f t="shared" si="190"/>
        <v/>
      </c>
      <c r="AF223" s="14"/>
      <c r="AG223" s="125" t="str">
        <f t="shared" si="191"/>
        <v/>
      </c>
      <c r="AH223" s="20"/>
      <c r="AI223" s="20"/>
      <c r="AJ223" s="125" t="str">
        <f t="shared" si="192"/>
        <v/>
      </c>
      <c r="AK223" s="14"/>
      <c r="AL223" s="125" t="str">
        <f t="shared" si="193"/>
        <v/>
      </c>
      <c r="AM223" s="20"/>
      <c r="AN223" s="20"/>
      <c r="AO223" s="125" t="str">
        <f t="shared" si="194"/>
        <v/>
      </c>
      <c r="AP223" s="125" t="str">
        <f t="shared" si="195"/>
        <v/>
      </c>
      <c r="AQ223" s="125" t="str">
        <f t="shared" si="196"/>
        <v/>
      </c>
      <c r="AR223" s="129" t="str">
        <f t="shared" si="197"/>
        <v/>
      </c>
      <c r="AS223" s="14"/>
      <c r="AT223" s="33"/>
      <c r="AU223" s="33"/>
      <c r="AV223" s="117" t="str">
        <f>IF(_xlfn.XLOOKUP(AT223, AutoFill_classes!$A:$A, AutoFill_classes!$B:$B,"")=0,"",_xlfn.XLOOKUP(AT223, AutoFill_classes!$A:$A, AutoFill_classes!$B:$B,""))</f>
        <v/>
      </c>
      <c r="AW223" s="108"/>
      <c r="AX223" s="11"/>
      <c r="AY223" s="12"/>
      <c r="AZ223" s="11"/>
      <c r="BA223" s="13"/>
      <c r="BB223" s="13"/>
      <c r="BC223" s="63"/>
      <c r="BD223" s="19"/>
      <c r="BE223" s="121" t="str">
        <f t="shared" si="198"/>
        <v/>
      </c>
      <c r="BF223" s="20"/>
      <c r="BG223" s="20"/>
      <c r="BH223" s="20"/>
      <c r="BI223" s="20"/>
      <c r="BJ223" s="125" t="str">
        <f t="shared" si="199"/>
        <v/>
      </c>
      <c r="BK223" s="14"/>
      <c r="BL223" s="125" t="str">
        <f t="shared" si="200"/>
        <v/>
      </c>
      <c r="BM223" s="20"/>
      <c r="BN223" s="20"/>
      <c r="BO223" s="125" t="str">
        <f t="shared" si="201"/>
        <v/>
      </c>
      <c r="BP223" s="14"/>
      <c r="BQ223" s="125" t="str">
        <f t="shared" si="202"/>
        <v/>
      </c>
      <c r="BR223" s="20"/>
      <c r="BS223" s="20"/>
      <c r="BT223" s="125" t="str">
        <f t="shared" si="203"/>
        <v/>
      </c>
      <c r="BU223" s="125" t="str">
        <f t="shared" si="204"/>
        <v/>
      </c>
      <c r="BV223" s="125" t="str">
        <f t="shared" si="205"/>
        <v/>
      </c>
      <c r="BW223" s="129" t="str">
        <f t="shared" si="206"/>
        <v/>
      </c>
      <c r="BX223" s="11"/>
      <c r="BY223" s="15"/>
      <c r="BZ223" s="14"/>
      <c r="CA223" s="117" t="str">
        <f>IF(_xlfn.XLOOKUP(BY223, AutoFill_classes!$A:$A, AutoFill_classes!$B:$B,"")=0,"",_xlfn.XLOOKUP(BY223, AutoFill_classes!$A:$A, AutoFill_classes!$B:$B,""))</f>
        <v/>
      </c>
      <c r="CB223" s="108"/>
      <c r="CC223" s="14"/>
      <c r="CD223" s="14"/>
      <c r="CE223" s="14"/>
      <c r="CF223" s="21"/>
      <c r="CG223" s="22"/>
      <c r="CH223" s="63"/>
      <c r="CI223" s="23"/>
      <c r="CJ223" s="121" t="str">
        <f t="shared" si="207"/>
        <v/>
      </c>
      <c r="CK223" s="20"/>
      <c r="CL223" s="20"/>
      <c r="CM223" s="20"/>
      <c r="CN223" s="20"/>
      <c r="CO223" s="125" t="str">
        <f t="shared" si="208"/>
        <v/>
      </c>
      <c r="CP223" s="14"/>
      <c r="CQ223" s="125" t="str">
        <f t="shared" si="209"/>
        <v/>
      </c>
      <c r="CR223" s="20"/>
      <c r="CS223" s="20"/>
      <c r="CT223" s="125" t="str">
        <f t="shared" si="210"/>
        <v/>
      </c>
      <c r="CU223" s="14"/>
      <c r="CV223" s="125" t="str">
        <f t="shared" si="211"/>
        <v/>
      </c>
      <c r="CW223" s="20"/>
      <c r="CX223" s="20"/>
      <c r="CY223" s="125" t="str">
        <f t="shared" si="212"/>
        <v/>
      </c>
      <c r="CZ223" s="125" t="str">
        <f t="shared" si="213"/>
        <v/>
      </c>
      <c r="DA223" s="125" t="str">
        <f t="shared" si="214"/>
        <v/>
      </c>
      <c r="DB223" s="129" t="str">
        <f t="shared" si="215"/>
        <v/>
      </c>
      <c r="DC223" s="14"/>
      <c r="DD223" s="62"/>
      <c r="DE223" s="105">
        <v>221</v>
      </c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spans="1:176" s="1" customFormat="1" ht="13" hidden="1" customHeight="1" outlineLevel="1" x14ac:dyDescent="0.2">
      <c r="A224" s="4"/>
      <c r="B224" s="115" t="str">
        <f>IF(_xlfn.XLOOKUP(A224, AutoFill_names!B:B, AutoFill_names!C:C,"")=0,"",_xlfn.XLOOKUP(A224, AutoFill_names!B:B, AutoFill_names!C:C,""))</f>
        <v/>
      </c>
      <c r="C224" s="115" t="str">
        <f>IF(_xlfn.XLOOKUP(A224, AutoFill_names!B:B, AutoFill_names!D:D,"")=0,"",_xlfn.XLOOKUP(A224, AutoFill_names!B:B, AutoFill_names!D:D,""))</f>
        <v/>
      </c>
      <c r="D224" s="115" t="str">
        <f>IF(_xlfn.XLOOKUP(A224, AutoFill_names!B:B, AutoFill_names!E:E,"")=0,"",_xlfn.XLOOKUP(A224, AutoFill_names!B:B, AutoFill_names!E:E,""))</f>
        <v/>
      </c>
      <c r="E224" s="115" t="str">
        <f>IF(_xlfn.XLOOKUP(A224, AutoFill_names!B:B, AutoFill_names!F:F,"")=0,"",_xlfn.XLOOKUP(A224, AutoFill_names!B:B, AutoFill_names!F:F,""))</f>
        <v/>
      </c>
      <c r="F224" s="92"/>
      <c r="J224" s="115" t="str">
        <f>IF(_xlfn.XLOOKUP(A224, AutoFill_names!B:B, AutoFill_names!K:K,"")=0,"",_xlfn.XLOOKUP(A224, AutoFill_names!B:B, AutoFill_names!K:K,""))</f>
        <v/>
      </c>
      <c r="K224" s="115" t="str">
        <f>IF(_xlfn.XLOOKUP(A224, AutoFill_names!B:B, AutoFill_names!L:L,"")=0,"",_xlfn.XLOOKUP(A224, AutoFill_names!B:B, AutoFill_names!L:L,""))</f>
        <v/>
      </c>
      <c r="L224" s="31"/>
      <c r="M224" s="31"/>
      <c r="N224" s="117" t="str">
        <f>IF(_xlfn.XLOOKUP(L224, AutoFill_classes!A:A, AutoFill_classes!B:B,"")=0,"",_xlfn.XLOOKUP(L224, AutoFill_classes!A:A, AutoFill_classes!B:B,""))</f>
        <v/>
      </c>
      <c r="O224" s="108"/>
      <c r="P224" s="6"/>
      <c r="Q224" s="6"/>
      <c r="R224" s="6"/>
      <c r="X224" s="63"/>
      <c r="Y224" s="19"/>
      <c r="Z224" s="121" t="str">
        <f t="shared" si="189"/>
        <v/>
      </c>
      <c r="AA224" s="20"/>
      <c r="AB224" s="20"/>
      <c r="AC224" s="20"/>
      <c r="AD224" s="20"/>
      <c r="AE224" s="125" t="str">
        <f t="shared" si="190"/>
        <v/>
      </c>
      <c r="AF224" s="14"/>
      <c r="AG224" s="125" t="str">
        <f t="shared" si="191"/>
        <v/>
      </c>
      <c r="AH224" s="20"/>
      <c r="AI224" s="20"/>
      <c r="AJ224" s="125" t="str">
        <f t="shared" si="192"/>
        <v/>
      </c>
      <c r="AK224" s="14"/>
      <c r="AL224" s="125" t="str">
        <f t="shared" si="193"/>
        <v/>
      </c>
      <c r="AM224" s="20"/>
      <c r="AN224" s="20"/>
      <c r="AO224" s="125" t="str">
        <f t="shared" si="194"/>
        <v/>
      </c>
      <c r="AP224" s="125" t="str">
        <f t="shared" si="195"/>
        <v/>
      </c>
      <c r="AQ224" s="125" t="str">
        <f t="shared" si="196"/>
        <v/>
      </c>
      <c r="AR224" s="129" t="str">
        <f t="shared" si="197"/>
        <v/>
      </c>
      <c r="AS224" s="14"/>
      <c r="AT224" s="33"/>
      <c r="AU224" s="33"/>
      <c r="AV224" s="117" t="str">
        <f>IF(_xlfn.XLOOKUP(AT224, AutoFill_classes!$A:$A, AutoFill_classes!$B:$B,"")=0,"",_xlfn.XLOOKUP(AT224, AutoFill_classes!$A:$A, AutoFill_classes!$B:$B,""))</f>
        <v/>
      </c>
      <c r="AW224" s="108"/>
      <c r="AX224" s="11"/>
      <c r="AY224" s="12"/>
      <c r="AZ224" s="11"/>
      <c r="BA224" s="13"/>
      <c r="BB224" s="13"/>
      <c r="BC224" s="63"/>
      <c r="BD224" s="19"/>
      <c r="BE224" s="121" t="str">
        <f t="shared" si="198"/>
        <v/>
      </c>
      <c r="BF224" s="20"/>
      <c r="BG224" s="20"/>
      <c r="BH224" s="20"/>
      <c r="BI224" s="20"/>
      <c r="BJ224" s="125" t="str">
        <f t="shared" si="199"/>
        <v/>
      </c>
      <c r="BK224" s="14"/>
      <c r="BL224" s="125" t="str">
        <f t="shared" si="200"/>
        <v/>
      </c>
      <c r="BM224" s="20"/>
      <c r="BN224" s="20"/>
      <c r="BO224" s="125" t="str">
        <f t="shared" si="201"/>
        <v/>
      </c>
      <c r="BP224" s="14"/>
      <c r="BQ224" s="125" t="str">
        <f t="shared" si="202"/>
        <v/>
      </c>
      <c r="BR224" s="20"/>
      <c r="BS224" s="20"/>
      <c r="BT224" s="125" t="str">
        <f t="shared" si="203"/>
        <v/>
      </c>
      <c r="BU224" s="125" t="str">
        <f t="shared" si="204"/>
        <v/>
      </c>
      <c r="BV224" s="125" t="str">
        <f t="shared" si="205"/>
        <v/>
      </c>
      <c r="BW224" s="129" t="str">
        <f t="shared" si="206"/>
        <v/>
      </c>
      <c r="BX224" s="11"/>
      <c r="BY224" s="15"/>
      <c r="BZ224" s="14"/>
      <c r="CA224" s="117" t="str">
        <f>IF(_xlfn.XLOOKUP(BY224, AutoFill_classes!$A:$A, AutoFill_classes!$B:$B,"")=0,"",_xlfn.XLOOKUP(BY224, AutoFill_classes!$A:$A, AutoFill_classes!$B:$B,""))</f>
        <v/>
      </c>
      <c r="CB224" s="108"/>
      <c r="CC224" s="14"/>
      <c r="CD224" s="14"/>
      <c r="CE224" s="14"/>
      <c r="CF224" s="21"/>
      <c r="CG224" s="22"/>
      <c r="CH224" s="63"/>
      <c r="CI224" s="23"/>
      <c r="CJ224" s="121" t="str">
        <f t="shared" si="207"/>
        <v/>
      </c>
      <c r="CK224" s="20"/>
      <c r="CL224" s="20"/>
      <c r="CM224" s="20"/>
      <c r="CN224" s="20"/>
      <c r="CO224" s="125" t="str">
        <f t="shared" si="208"/>
        <v/>
      </c>
      <c r="CP224" s="14"/>
      <c r="CQ224" s="125" t="str">
        <f t="shared" si="209"/>
        <v/>
      </c>
      <c r="CR224" s="20"/>
      <c r="CS224" s="20"/>
      <c r="CT224" s="125" t="str">
        <f t="shared" si="210"/>
        <v/>
      </c>
      <c r="CU224" s="14"/>
      <c r="CV224" s="125" t="str">
        <f t="shared" si="211"/>
        <v/>
      </c>
      <c r="CW224" s="20"/>
      <c r="CX224" s="20"/>
      <c r="CY224" s="125" t="str">
        <f t="shared" si="212"/>
        <v/>
      </c>
      <c r="CZ224" s="125" t="str">
        <f t="shared" si="213"/>
        <v/>
      </c>
      <c r="DA224" s="125" t="str">
        <f t="shared" si="214"/>
        <v/>
      </c>
      <c r="DB224" s="129" t="str">
        <f t="shared" si="215"/>
        <v/>
      </c>
      <c r="DC224" s="14"/>
      <c r="DD224" s="62"/>
      <c r="DE224" s="105">
        <v>222</v>
      </c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</row>
    <row r="225" spans="1:176" s="1" customFormat="1" ht="13" hidden="1" customHeight="1" outlineLevel="1" x14ac:dyDescent="0.2">
      <c r="A225" s="4"/>
      <c r="B225" s="115" t="str">
        <f>IF(_xlfn.XLOOKUP(A225, AutoFill_names!B:B, AutoFill_names!C:C,"")=0,"",_xlfn.XLOOKUP(A225, AutoFill_names!B:B, AutoFill_names!C:C,""))</f>
        <v/>
      </c>
      <c r="C225" s="115" t="str">
        <f>IF(_xlfn.XLOOKUP(A225, AutoFill_names!B:B, AutoFill_names!D:D,"")=0,"",_xlfn.XLOOKUP(A225, AutoFill_names!B:B, AutoFill_names!D:D,""))</f>
        <v/>
      </c>
      <c r="D225" s="115" t="str">
        <f>IF(_xlfn.XLOOKUP(A225, AutoFill_names!B:B, AutoFill_names!E:E,"")=0,"",_xlfn.XLOOKUP(A225, AutoFill_names!B:B, AutoFill_names!E:E,""))</f>
        <v/>
      </c>
      <c r="E225" s="115" t="str">
        <f>IF(_xlfn.XLOOKUP(A225, AutoFill_names!B:B, AutoFill_names!F:F,"")=0,"",_xlfn.XLOOKUP(A225, AutoFill_names!B:B, AutoFill_names!F:F,""))</f>
        <v/>
      </c>
      <c r="F225" s="92"/>
      <c r="J225" s="115" t="str">
        <f>IF(_xlfn.XLOOKUP(A225, AutoFill_names!B:B, AutoFill_names!K:K,"")=0,"",_xlfn.XLOOKUP(A225, AutoFill_names!B:B, AutoFill_names!K:K,""))</f>
        <v/>
      </c>
      <c r="K225" s="115" t="str">
        <f>IF(_xlfn.XLOOKUP(A225, AutoFill_names!B:B, AutoFill_names!L:L,"")=0,"",_xlfn.XLOOKUP(A225, AutoFill_names!B:B, AutoFill_names!L:L,""))</f>
        <v/>
      </c>
      <c r="L225" s="31"/>
      <c r="M225" s="31"/>
      <c r="N225" s="117" t="str">
        <f>IF(_xlfn.XLOOKUP(L225, AutoFill_classes!A:A, AutoFill_classes!B:B,"")=0,"",_xlfn.XLOOKUP(L225, AutoFill_classes!A:A, AutoFill_classes!B:B,""))</f>
        <v/>
      </c>
      <c r="O225" s="108"/>
      <c r="P225" s="6"/>
      <c r="Q225" s="6"/>
      <c r="R225" s="6"/>
      <c r="X225" s="63"/>
      <c r="Y225" s="19"/>
      <c r="Z225" s="121" t="str">
        <f t="shared" si="189"/>
        <v/>
      </c>
      <c r="AA225" s="20"/>
      <c r="AB225" s="20"/>
      <c r="AC225" s="20"/>
      <c r="AD225" s="20"/>
      <c r="AE225" s="125" t="str">
        <f t="shared" si="190"/>
        <v/>
      </c>
      <c r="AF225" s="14"/>
      <c r="AG225" s="125" t="str">
        <f t="shared" si="191"/>
        <v/>
      </c>
      <c r="AH225" s="20"/>
      <c r="AI225" s="20"/>
      <c r="AJ225" s="125" t="str">
        <f t="shared" si="192"/>
        <v/>
      </c>
      <c r="AK225" s="14"/>
      <c r="AL225" s="125" t="str">
        <f t="shared" si="193"/>
        <v/>
      </c>
      <c r="AM225" s="20"/>
      <c r="AN225" s="20"/>
      <c r="AO225" s="125" t="str">
        <f t="shared" si="194"/>
        <v/>
      </c>
      <c r="AP225" s="125" t="str">
        <f t="shared" si="195"/>
        <v/>
      </c>
      <c r="AQ225" s="125" t="str">
        <f t="shared" si="196"/>
        <v/>
      </c>
      <c r="AR225" s="129" t="str">
        <f t="shared" si="197"/>
        <v/>
      </c>
      <c r="AS225" s="14"/>
      <c r="AT225" s="33"/>
      <c r="AU225" s="33"/>
      <c r="AV225" s="117" t="str">
        <f>IF(_xlfn.XLOOKUP(AT225, AutoFill_classes!$A:$A, AutoFill_classes!$B:$B,"")=0,"",_xlfn.XLOOKUP(AT225, AutoFill_classes!$A:$A, AutoFill_classes!$B:$B,""))</f>
        <v/>
      </c>
      <c r="AW225" s="108"/>
      <c r="AX225" s="11"/>
      <c r="AY225" s="12"/>
      <c r="AZ225" s="11"/>
      <c r="BA225" s="13"/>
      <c r="BB225" s="13"/>
      <c r="BC225" s="63"/>
      <c r="BD225" s="19"/>
      <c r="BE225" s="121" t="str">
        <f t="shared" si="198"/>
        <v/>
      </c>
      <c r="BF225" s="20"/>
      <c r="BG225" s="20"/>
      <c r="BH225" s="20"/>
      <c r="BI225" s="20"/>
      <c r="BJ225" s="125" t="str">
        <f t="shared" si="199"/>
        <v/>
      </c>
      <c r="BK225" s="14"/>
      <c r="BL225" s="125" t="str">
        <f t="shared" si="200"/>
        <v/>
      </c>
      <c r="BM225" s="20"/>
      <c r="BN225" s="20"/>
      <c r="BO225" s="125" t="str">
        <f t="shared" si="201"/>
        <v/>
      </c>
      <c r="BP225" s="14"/>
      <c r="BQ225" s="125" t="str">
        <f t="shared" si="202"/>
        <v/>
      </c>
      <c r="BR225" s="20"/>
      <c r="BS225" s="20"/>
      <c r="BT225" s="125" t="str">
        <f t="shared" si="203"/>
        <v/>
      </c>
      <c r="BU225" s="125" t="str">
        <f t="shared" si="204"/>
        <v/>
      </c>
      <c r="BV225" s="125" t="str">
        <f t="shared" si="205"/>
        <v/>
      </c>
      <c r="BW225" s="129" t="str">
        <f t="shared" si="206"/>
        <v/>
      </c>
      <c r="BX225" s="11"/>
      <c r="BY225" s="15"/>
      <c r="BZ225" s="14"/>
      <c r="CA225" s="117" t="str">
        <f>IF(_xlfn.XLOOKUP(BY225, AutoFill_classes!$A:$A, AutoFill_classes!$B:$B,"")=0,"",_xlfn.XLOOKUP(BY225, AutoFill_classes!$A:$A, AutoFill_classes!$B:$B,""))</f>
        <v/>
      </c>
      <c r="CB225" s="108"/>
      <c r="CC225" s="14"/>
      <c r="CD225" s="14"/>
      <c r="CE225" s="14"/>
      <c r="CF225" s="21"/>
      <c r="CG225" s="22"/>
      <c r="CH225" s="63"/>
      <c r="CI225" s="23"/>
      <c r="CJ225" s="121" t="str">
        <f t="shared" si="207"/>
        <v/>
      </c>
      <c r="CK225" s="20"/>
      <c r="CL225" s="20"/>
      <c r="CM225" s="20"/>
      <c r="CN225" s="20"/>
      <c r="CO225" s="125" t="str">
        <f t="shared" si="208"/>
        <v/>
      </c>
      <c r="CP225" s="14"/>
      <c r="CQ225" s="125" t="str">
        <f t="shared" si="209"/>
        <v/>
      </c>
      <c r="CR225" s="20"/>
      <c r="CS225" s="20"/>
      <c r="CT225" s="125" t="str">
        <f t="shared" si="210"/>
        <v/>
      </c>
      <c r="CU225" s="14"/>
      <c r="CV225" s="125" t="str">
        <f t="shared" si="211"/>
        <v/>
      </c>
      <c r="CW225" s="20"/>
      <c r="CX225" s="20"/>
      <c r="CY225" s="125" t="str">
        <f t="shared" si="212"/>
        <v/>
      </c>
      <c r="CZ225" s="125" t="str">
        <f t="shared" si="213"/>
        <v/>
      </c>
      <c r="DA225" s="125" t="str">
        <f t="shared" si="214"/>
        <v/>
      </c>
      <c r="DB225" s="129" t="str">
        <f t="shared" si="215"/>
        <v/>
      </c>
      <c r="DC225" s="14"/>
      <c r="DD225" s="62"/>
      <c r="DE225" s="105">
        <v>223</v>
      </c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</row>
    <row r="226" spans="1:176" s="1" customFormat="1" ht="13" hidden="1" customHeight="1" outlineLevel="1" x14ac:dyDescent="0.2">
      <c r="A226" s="4"/>
      <c r="B226" s="115" t="str">
        <f>IF(_xlfn.XLOOKUP(A226, AutoFill_names!B:B, AutoFill_names!C:C,"")=0,"",_xlfn.XLOOKUP(A226, AutoFill_names!B:B, AutoFill_names!C:C,""))</f>
        <v/>
      </c>
      <c r="C226" s="115" t="str">
        <f>IF(_xlfn.XLOOKUP(A226, AutoFill_names!B:B, AutoFill_names!D:D,"")=0,"",_xlfn.XLOOKUP(A226, AutoFill_names!B:B, AutoFill_names!D:D,""))</f>
        <v/>
      </c>
      <c r="D226" s="115" t="str">
        <f>IF(_xlfn.XLOOKUP(A226, AutoFill_names!B:B, AutoFill_names!E:E,"")=0,"",_xlfn.XLOOKUP(A226, AutoFill_names!B:B, AutoFill_names!E:E,""))</f>
        <v/>
      </c>
      <c r="E226" s="115" t="str">
        <f>IF(_xlfn.XLOOKUP(A226, AutoFill_names!B:B, AutoFill_names!F:F,"")=0,"",_xlfn.XLOOKUP(A226, AutoFill_names!B:B, AutoFill_names!F:F,""))</f>
        <v/>
      </c>
      <c r="F226" s="92"/>
      <c r="J226" s="115" t="str">
        <f>IF(_xlfn.XLOOKUP(A226, AutoFill_names!B:B, AutoFill_names!K:K,"")=0,"",_xlfn.XLOOKUP(A226, AutoFill_names!B:B, AutoFill_names!K:K,""))</f>
        <v/>
      </c>
      <c r="K226" s="115" t="str">
        <f>IF(_xlfn.XLOOKUP(A226, AutoFill_names!B:B, AutoFill_names!L:L,"")=0,"",_xlfn.XLOOKUP(A226, AutoFill_names!B:B, AutoFill_names!L:L,""))</f>
        <v/>
      </c>
      <c r="L226" s="31"/>
      <c r="M226" s="31"/>
      <c r="N226" s="117" t="str">
        <f>IF(_xlfn.XLOOKUP(L226, AutoFill_classes!A:A, AutoFill_classes!B:B,"")=0,"",_xlfn.XLOOKUP(L226, AutoFill_classes!A:A, AutoFill_classes!B:B,""))</f>
        <v/>
      </c>
      <c r="O226" s="108"/>
      <c r="P226" s="6"/>
      <c r="Q226" s="6"/>
      <c r="R226" s="6"/>
      <c r="X226" s="63"/>
      <c r="Y226" s="19"/>
      <c r="Z226" s="121" t="str">
        <f t="shared" si="189"/>
        <v/>
      </c>
      <c r="AA226" s="20"/>
      <c r="AB226" s="20"/>
      <c r="AC226" s="20"/>
      <c r="AD226" s="20"/>
      <c r="AE226" s="125" t="str">
        <f t="shared" si="190"/>
        <v/>
      </c>
      <c r="AF226" s="14"/>
      <c r="AG226" s="125" t="str">
        <f t="shared" si="191"/>
        <v/>
      </c>
      <c r="AH226" s="20"/>
      <c r="AI226" s="20"/>
      <c r="AJ226" s="125" t="str">
        <f t="shared" si="192"/>
        <v/>
      </c>
      <c r="AK226" s="14"/>
      <c r="AL226" s="125" t="str">
        <f t="shared" si="193"/>
        <v/>
      </c>
      <c r="AM226" s="20"/>
      <c r="AN226" s="20"/>
      <c r="AO226" s="125" t="str">
        <f t="shared" si="194"/>
        <v/>
      </c>
      <c r="AP226" s="125" t="str">
        <f t="shared" si="195"/>
        <v/>
      </c>
      <c r="AQ226" s="125" t="str">
        <f t="shared" si="196"/>
        <v/>
      </c>
      <c r="AR226" s="129" t="str">
        <f t="shared" si="197"/>
        <v/>
      </c>
      <c r="AS226" s="14"/>
      <c r="AT226" s="33"/>
      <c r="AU226" s="33"/>
      <c r="AV226" s="117" t="str">
        <f>IF(_xlfn.XLOOKUP(AT226, AutoFill_classes!$A:$A, AutoFill_classes!$B:$B,"")=0,"",_xlfn.XLOOKUP(AT226, AutoFill_classes!$A:$A, AutoFill_classes!$B:$B,""))</f>
        <v/>
      </c>
      <c r="AW226" s="108"/>
      <c r="AX226" s="11"/>
      <c r="AY226" s="12"/>
      <c r="AZ226" s="11"/>
      <c r="BA226" s="13"/>
      <c r="BB226" s="13"/>
      <c r="BC226" s="63"/>
      <c r="BD226" s="19"/>
      <c r="BE226" s="121" t="str">
        <f t="shared" si="198"/>
        <v/>
      </c>
      <c r="BF226" s="20"/>
      <c r="BG226" s="20"/>
      <c r="BH226" s="20"/>
      <c r="BI226" s="20"/>
      <c r="BJ226" s="125" t="str">
        <f t="shared" si="199"/>
        <v/>
      </c>
      <c r="BK226" s="14"/>
      <c r="BL226" s="125" t="str">
        <f t="shared" si="200"/>
        <v/>
      </c>
      <c r="BM226" s="20"/>
      <c r="BN226" s="20"/>
      <c r="BO226" s="125" t="str">
        <f t="shared" si="201"/>
        <v/>
      </c>
      <c r="BP226" s="14"/>
      <c r="BQ226" s="125" t="str">
        <f t="shared" si="202"/>
        <v/>
      </c>
      <c r="BR226" s="20"/>
      <c r="BS226" s="20"/>
      <c r="BT226" s="125" t="str">
        <f t="shared" si="203"/>
        <v/>
      </c>
      <c r="BU226" s="125" t="str">
        <f t="shared" si="204"/>
        <v/>
      </c>
      <c r="BV226" s="125" t="str">
        <f t="shared" si="205"/>
        <v/>
      </c>
      <c r="BW226" s="129" t="str">
        <f t="shared" si="206"/>
        <v/>
      </c>
      <c r="BX226" s="11"/>
      <c r="BY226" s="15"/>
      <c r="BZ226" s="14"/>
      <c r="CA226" s="117" t="str">
        <f>IF(_xlfn.XLOOKUP(BY226, AutoFill_classes!$A:$A, AutoFill_classes!$B:$B,"")=0,"",_xlfn.XLOOKUP(BY226, AutoFill_classes!$A:$A, AutoFill_classes!$B:$B,""))</f>
        <v/>
      </c>
      <c r="CB226" s="108"/>
      <c r="CC226" s="14"/>
      <c r="CD226" s="14"/>
      <c r="CE226" s="14"/>
      <c r="CF226" s="21"/>
      <c r="CG226" s="22"/>
      <c r="CH226" s="63"/>
      <c r="CI226" s="23"/>
      <c r="CJ226" s="121" t="str">
        <f t="shared" si="207"/>
        <v/>
      </c>
      <c r="CK226" s="20"/>
      <c r="CL226" s="20"/>
      <c r="CM226" s="20"/>
      <c r="CN226" s="20"/>
      <c r="CO226" s="125" t="str">
        <f t="shared" si="208"/>
        <v/>
      </c>
      <c r="CP226" s="14"/>
      <c r="CQ226" s="125" t="str">
        <f t="shared" si="209"/>
        <v/>
      </c>
      <c r="CR226" s="20"/>
      <c r="CS226" s="20"/>
      <c r="CT226" s="125" t="str">
        <f t="shared" si="210"/>
        <v/>
      </c>
      <c r="CU226" s="14"/>
      <c r="CV226" s="125" t="str">
        <f t="shared" si="211"/>
        <v/>
      </c>
      <c r="CW226" s="20"/>
      <c r="CX226" s="20"/>
      <c r="CY226" s="125" t="str">
        <f t="shared" si="212"/>
        <v/>
      </c>
      <c r="CZ226" s="125" t="str">
        <f t="shared" si="213"/>
        <v/>
      </c>
      <c r="DA226" s="125" t="str">
        <f t="shared" si="214"/>
        <v/>
      </c>
      <c r="DB226" s="129" t="str">
        <f t="shared" si="215"/>
        <v/>
      </c>
      <c r="DC226" s="14"/>
      <c r="DD226" s="62"/>
      <c r="DE226" s="105">
        <v>224</v>
      </c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</row>
    <row r="227" spans="1:176" s="1" customFormat="1" ht="13" hidden="1" customHeight="1" outlineLevel="1" x14ac:dyDescent="0.2">
      <c r="A227" s="4"/>
      <c r="B227" s="115" t="str">
        <f>IF(_xlfn.XLOOKUP(A227, AutoFill_names!B:B, AutoFill_names!C:C,"")=0,"",_xlfn.XLOOKUP(A227, AutoFill_names!B:B, AutoFill_names!C:C,""))</f>
        <v/>
      </c>
      <c r="C227" s="115" t="str">
        <f>IF(_xlfn.XLOOKUP(A227, AutoFill_names!B:B, AutoFill_names!D:D,"")=0,"",_xlfn.XLOOKUP(A227, AutoFill_names!B:B, AutoFill_names!D:D,""))</f>
        <v/>
      </c>
      <c r="D227" s="115" t="str">
        <f>IF(_xlfn.XLOOKUP(A227, AutoFill_names!B:B, AutoFill_names!E:E,"")=0,"",_xlfn.XLOOKUP(A227, AutoFill_names!B:B, AutoFill_names!E:E,""))</f>
        <v/>
      </c>
      <c r="E227" s="115" t="str">
        <f>IF(_xlfn.XLOOKUP(A227, AutoFill_names!B:B, AutoFill_names!F:F,"")=0,"",_xlfn.XLOOKUP(A227, AutoFill_names!B:B, AutoFill_names!F:F,""))</f>
        <v/>
      </c>
      <c r="F227" s="92"/>
      <c r="J227" s="115" t="str">
        <f>IF(_xlfn.XLOOKUP(A227, AutoFill_names!B:B, AutoFill_names!K:K,"")=0,"",_xlfn.XLOOKUP(A227, AutoFill_names!B:B, AutoFill_names!K:K,""))</f>
        <v/>
      </c>
      <c r="K227" s="115" t="str">
        <f>IF(_xlfn.XLOOKUP(A227, AutoFill_names!B:B, AutoFill_names!L:L,"")=0,"",_xlfn.XLOOKUP(A227, AutoFill_names!B:B, AutoFill_names!L:L,""))</f>
        <v/>
      </c>
      <c r="L227" s="31"/>
      <c r="M227" s="31"/>
      <c r="N227" s="117" t="str">
        <f>IF(_xlfn.XLOOKUP(L227, AutoFill_classes!A:A, AutoFill_classes!B:B,"")=0,"",_xlfn.XLOOKUP(L227, AutoFill_classes!A:A, AutoFill_classes!B:B,""))</f>
        <v/>
      </c>
      <c r="O227" s="108"/>
      <c r="P227" s="6"/>
      <c r="Q227" s="6"/>
      <c r="R227" s="6"/>
      <c r="X227" s="63"/>
      <c r="Y227" s="19"/>
      <c r="Z227" s="121" t="str">
        <f t="shared" si="189"/>
        <v/>
      </c>
      <c r="AA227" s="20"/>
      <c r="AB227" s="20"/>
      <c r="AC227" s="20"/>
      <c r="AD227" s="20"/>
      <c r="AE227" s="125" t="str">
        <f t="shared" si="190"/>
        <v/>
      </c>
      <c r="AF227" s="14"/>
      <c r="AG227" s="125" t="str">
        <f t="shared" si="191"/>
        <v/>
      </c>
      <c r="AH227" s="20"/>
      <c r="AI227" s="20"/>
      <c r="AJ227" s="125" t="str">
        <f t="shared" si="192"/>
        <v/>
      </c>
      <c r="AK227" s="14"/>
      <c r="AL227" s="125" t="str">
        <f t="shared" si="193"/>
        <v/>
      </c>
      <c r="AM227" s="20"/>
      <c r="AN227" s="20"/>
      <c r="AO227" s="125" t="str">
        <f t="shared" si="194"/>
        <v/>
      </c>
      <c r="AP227" s="125" t="str">
        <f t="shared" si="195"/>
        <v/>
      </c>
      <c r="AQ227" s="125" t="str">
        <f t="shared" si="196"/>
        <v/>
      </c>
      <c r="AR227" s="129" t="str">
        <f t="shared" si="197"/>
        <v/>
      </c>
      <c r="AS227" s="14"/>
      <c r="AT227" s="33"/>
      <c r="AU227" s="33"/>
      <c r="AV227" s="117" t="str">
        <f>IF(_xlfn.XLOOKUP(AT227, AutoFill_classes!$A:$A, AutoFill_classes!$B:$B,"")=0,"",_xlfn.XLOOKUP(AT227, AutoFill_classes!$A:$A, AutoFill_classes!$B:$B,""))</f>
        <v/>
      </c>
      <c r="AW227" s="108"/>
      <c r="AX227" s="11"/>
      <c r="AY227" s="12"/>
      <c r="AZ227" s="11"/>
      <c r="BA227" s="13"/>
      <c r="BB227" s="13"/>
      <c r="BC227" s="63"/>
      <c r="BD227" s="19"/>
      <c r="BE227" s="121" t="str">
        <f t="shared" si="198"/>
        <v/>
      </c>
      <c r="BF227" s="20"/>
      <c r="BG227" s="20"/>
      <c r="BH227" s="20"/>
      <c r="BI227" s="20"/>
      <c r="BJ227" s="125" t="str">
        <f t="shared" si="199"/>
        <v/>
      </c>
      <c r="BK227" s="14"/>
      <c r="BL227" s="125" t="str">
        <f t="shared" si="200"/>
        <v/>
      </c>
      <c r="BM227" s="20"/>
      <c r="BN227" s="20"/>
      <c r="BO227" s="125" t="str">
        <f t="shared" si="201"/>
        <v/>
      </c>
      <c r="BP227" s="14"/>
      <c r="BQ227" s="125" t="str">
        <f t="shared" si="202"/>
        <v/>
      </c>
      <c r="BR227" s="20"/>
      <c r="BS227" s="20"/>
      <c r="BT227" s="125" t="str">
        <f t="shared" si="203"/>
        <v/>
      </c>
      <c r="BU227" s="125" t="str">
        <f t="shared" si="204"/>
        <v/>
      </c>
      <c r="BV227" s="125" t="str">
        <f t="shared" si="205"/>
        <v/>
      </c>
      <c r="BW227" s="129" t="str">
        <f t="shared" si="206"/>
        <v/>
      </c>
      <c r="BX227" s="11"/>
      <c r="BY227" s="15"/>
      <c r="BZ227" s="14"/>
      <c r="CA227" s="117" t="str">
        <f>IF(_xlfn.XLOOKUP(BY227, AutoFill_classes!$A:$A, AutoFill_classes!$B:$B,"")=0,"",_xlfn.XLOOKUP(BY227, AutoFill_classes!$A:$A, AutoFill_classes!$B:$B,""))</f>
        <v/>
      </c>
      <c r="CB227" s="108"/>
      <c r="CC227" s="14"/>
      <c r="CD227" s="14"/>
      <c r="CE227" s="14"/>
      <c r="CF227" s="21"/>
      <c r="CG227" s="22"/>
      <c r="CH227" s="63"/>
      <c r="CI227" s="23"/>
      <c r="CJ227" s="121" t="str">
        <f t="shared" si="207"/>
        <v/>
      </c>
      <c r="CK227" s="20"/>
      <c r="CL227" s="20"/>
      <c r="CM227" s="20"/>
      <c r="CN227" s="20"/>
      <c r="CO227" s="125" t="str">
        <f t="shared" si="208"/>
        <v/>
      </c>
      <c r="CP227" s="14"/>
      <c r="CQ227" s="125" t="str">
        <f t="shared" si="209"/>
        <v/>
      </c>
      <c r="CR227" s="20"/>
      <c r="CS227" s="20"/>
      <c r="CT227" s="125" t="str">
        <f t="shared" si="210"/>
        <v/>
      </c>
      <c r="CU227" s="14"/>
      <c r="CV227" s="125" t="str">
        <f t="shared" si="211"/>
        <v/>
      </c>
      <c r="CW227" s="20"/>
      <c r="CX227" s="20"/>
      <c r="CY227" s="125" t="str">
        <f t="shared" si="212"/>
        <v/>
      </c>
      <c r="CZ227" s="125" t="str">
        <f t="shared" si="213"/>
        <v/>
      </c>
      <c r="DA227" s="125" t="str">
        <f t="shared" si="214"/>
        <v/>
      </c>
      <c r="DB227" s="129" t="str">
        <f t="shared" si="215"/>
        <v/>
      </c>
      <c r="DC227" s="14"/>
      <c r="DD227" s="62"/>
      <c r="DE227" s="105">
        <v>225</v>
      </c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</row>
    <row r="228" spans="1:176" s="1" customFormat="1" ht="13" hidden="1" customHeight="1" outlineLevel="1" x14ac:dyDescent="0.2">
      <c r="A228" s="4"/>
      <c r="B228" s="115" t="str">
        <f>IF(_xlfn.XLOOKUP(A228, AutoFill_names!B:B, AutoFill_names!C:C,"")=0,"",_xlfn.XLOOKUP(A228, AutoFill_names!B:B, AutoFill_names!C:C,""))</f>
        <v/>
      </c>
      <c r="C228" s="115" t="str">
        <f>IF(_xlfn.XLOOKUP(A228, AutoFill_names!B:B, AutoFill_names!D:D,"")=0,"",_xlfn.XLOOKUP(A228, AutoFill_names!B:B, AutoFill_names!D:D,""))</f>
        <v/>
      </c>
      <c r="D228" s="115" t="str">
        <f>IF(_xlfn.XLOOKUP(A228, AutoFill_names!B:B, AutoFill_names!E:E,"")=0,"",_xlfn.XLOOKUP(A228, AutoFill_names!B:B, AutoFill_names!E:E,""))</f>
        <v/>
      </c>
      <c r="E228" s="115" t="str">
        <f>IF(_xlfn.XLOOKUP(A228, AutoFill_names!B:B, AutoFill_names!F:F,"")=0,"",_xlfn.XLOOKUP(A228, AutoFill_names!B:B, AutoFill_names!F:F,""))</f>
        <v/>
      </c>
      <c r="F228" s="92"/>
      <c r="J228" s="115" t="str">
        <f>IF(_xlfn.XLOOKUP(A228, AutoFill_names!B:B, AutoFill_names!K:K,"")=0,"",_xlfn.XLOOKUP(A228, AutoFill_names!B:B, AutoFill_names!K:K,""))</f>
        <v/>
      </c>
      <c r="K228" s="115" t="str">
        <f>IF(_xlfn.XLOOKUP(A228, AutoFill_names!B:B, AutoFill_names!L:L,"")=0,"",_xlfn.XLOOKUP(A228, AutoFill_names!B:B, AutoFill_names!L:L,""))</f>
        <v/>
      </c>
      <c r="L228" s="31"/>
      <c r="M228" s="31"/>
      <c r="N228" s="117" t="str">
        <f>IF(_xlfn.XLOOKUP(L228, AutoFill_classes!A:A, AutoFill_classes!B:B,"")=0,"",_xlfn.XLOOKUP(L228, AutoFill_classes!A:A, AutoFill_classes!B:B,""))</f>
        <v/>
      </c>
      <c r="O228" s="108"/>
      <c r="P228" s="6"/>
      <c r="Q228" s="6"/>
      <c r="R228" s="6"/>
      <c r="X228" s="63"/>
      <c r="Y228" s="19"/>
      <c r="Z228" s="121" t="str">
        <f t="shared" si="189"/>
        <v/>
      </c>
      <c r="AA228" s="20"/>
      <c r="AB228" s="20"/>
      <c r="AC228" s="20"/>
      <c r="AD228" s="20"/>
      <c r="AE228" s="125" t="str">
        <f t="shared" si="190"/>
        <v/>
      </c>
      <c r="AF228" s="14"/>
      <c r="AG228" s="125" t="str">
        <f t="shared" si="191"/>
        <v/>
      </c>
      <c r="AH228" s="20"/>
      <c r="AI228" s="20"/>
      <c r="AJ228" s="125" t="str">
        <f t="shared" si="192"/>
        <v/>
      </c>
      <c r="AK228" s="14"/>
      <c r="AL228" s="125" t="str">
        <f t="shared" si="193"/>
        <v/>
      </c>
      <c r="AM228" s="20"/>
      <c r="AN228" s="20"/>
      <c r="AO228" s="125" t="str">
        <f t="shared" si="194"/>
        <v/>
      </c>
      <c r="AP228" s="125" t="str">
        <f t="shared" si="195"/>
        <v/>
      </c>
      <c r="AQ228" s="125" t="str">
        <f t="shared" si="196"/>
        <v/>
      </c>
      <c r="AR228" s="129" t="str">
        <f t="shared" si="197"/>
        <v/>
      </c>
      <c r="AS228" s="14"/>
      <c r="AT228" s="33"/>
      <c r="AU228" s="33"/>
      <c r="AV228" s="117" t="str">
        <f>IF(_xlfn.XLOOKUP(AT228, AutoFill_classes!$A:$A, AutoFill_classes!$B:$B,"")=0,"",_xlfn.XLOOKUP(AT228, AutoFill_classes!$A:$A, AutoFill_classes!$B:$B,""))</f>
        <v/>
      </c>
      <c r="AW228" s="108"/>
      <c r="AX228" s="11"/>
      <c r="AY228" s="12"/>
      <c r="AZ228" s="11"/>
      <c r="BA228" s="13"/>
      <c r="BB228" s="13"/>
      <c r="BC228" s="63"/>
      <c r="BD228" s="19"/>
      <c r="BE228" s="121" t="str">
        <f t="shared" si="198"/>
        <v/>
      </c>
      <c r="BF228" s="20"/>
      <c r="BG228" s="20"/>
      <c r="BH228" s="20"/>
      <c r="BI228" s="20"/>
      <c r="BJ228" s="125" t="str">
        <f t="shared" si="199"/>
        <v/>
      </c>
      <c r="BK228" s="14"/>
      <c r="BL228" s="125" t="str">
        <f t="shared" si="200"/>
        <v/>
      </c>
      <c r="BM228" s="20"/>
      <c r="BN228" s="20"/>
      <c r="BO228" s="125" t="str">
        <f t="shared" si="201"/>
        <v/>
      </c>
      <c r="BP228" s="14"/>
      <c r="BQ228" s="125" t="str">
        <f t="shared" si="202"/>
        <v/>
      </c>
      <c r="BR228" s="20"/>
      <c r="BS228" s="20"/>
      <c r="BT228" s="125" t="str">
        <f t="shared" si="203"/>
        <v/>
      </c>
      <c r="BU228" s="125" t="str">
        <f t="shared" si="204"/>
        <v/>
      </c>
      <c r="BV228" s="125" t="str">
        <f t="shared" si="205"/>
        <v/>
      </c>
      <c r="BW228" s="129" t="str">
        <f t="shared" si="206"/>
        <v/>
      </c>
      <c r="BX228" s="11"/>
      <c r="BY228" s="15"/>
      <c r="BZ228" s="14"/>
      <c r="CA228" s="117" t="str">
        <f>IF(_xlfn.XLOOKUP(BY228, AutoFill_classes!$A:$A, AutoFill_classes!$B:$B,"")=0,"",_xlfn.XLOOKUP(BY228, AutoFill_classes!$A:$A, AutoFill_classes!$B:$B,""))</f>
        <v/>
      </c>
      <c r="CB228" s="108"/>
      <c r="CC228" s="14"/>
      <c r="CD228" s="14"/>
      <c r="CE228" s="14"/>
      <c r="CF228" s="21"/>
      <c r="CG228" s="22"/>
      <c r="CH228" s="63"/>
      <c r="CI228" s="23"/>
      <c r="CJ228" s="121" t="str">
        <f t="shared" si="207"/>
        <v/>
      </c>
      <c r="CK228" s="20"/>
      <c r="CL228" s="20"/>
      <c r="CM228" s="20"/>
      <c r="CN228" s="20"/>
      <c r="CO228" s="125" t="str">
        <f t="shared" si="208"/>
        <v/>
      </c>
      <c r="CP228" s="14"/>
      <c r="CQ228" s="125" t="str">
        <f t="shared" si="209"/>
        <v/>
      </c>
      <c r="CR228" s="20"/>
      <c r="CS228" s="20"/>
      <c r="CT228" s="125" t="str">
        <f t="shared" si="210"/>
        <v/>
      </c>
      <c r="CU228" s="14"/>
      <c r="CV228" s="125" t="str">
        <f t="shared" si="211"/>
        <v/>
      </c>
      <c r="CW228" s="20"/>
      <c r="CX228" s="20"/>
      <c r="CY228" s="125" t="str">
        <f t="shared" si="212"/>
        <v/>
      </c>
      <c r="CZ228" s="125" t="str">
        <f t="shared" si="213"/>
        <v/>
      </c>
      <c r="DA228" s="125" t="str">
        <f t="shared" si="214"/>
        <v/>
      </c>
      <c r="DB228" s="129" t="str">
        <f t="shared" si="215"/>
        <v/>
      </c>
      <c r="DC228" s="14"/>
      <c r="DD228" s="62"/>
      <c r="DE228" s="105">
        <v>226</v>
      </c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</row>
    <row r="229" spans="1:176" s="1" customFormat="1" ht="13" hidden="1" customHeight="1" outlineLevel="1" x14ac:dyDescent="0.2">
      <c r="A229" s="4"/>
      <c r="B229" s="115" t="str">
        <f>IF(_xlfn.XLOOKUP(A229, AutoFill_names!B:B, AutoFill_names!C:C,"")=0,"",_xlfn.XLOOKUP(A229, AutoFill_names!B:B, AutoFill_names!C:C,""))</f>
        <v/>
      </c>
      <c r="C229" s="115" t="str">
        <f>IF(_xlfn.XLOOKUP(A229, AutoFill_names!B:B, AutoFill_names!D:D,"")=0,"",_xlfn.XLOOKUP(A229, AutoFill_names!B:B, AutoFill_names!D:D,""))</f>
        <v/>
      </c>
      <c r="D229" s="115" t="str">
        <f>IF(_xlfn.XLOOKUP(A229, AutoFill_names!B:B, AutoFill_names!E:E,"")=0,"",_xlfn.XLOOKUP(A229, AutoFill_names!B:B, AutoFill_names!E:E,""))</f>
        <v/>
      </c>
      <c r="E229" s="115" t="str">
        <f>IF(_xlfn.XLOOKUP(A229, AutoFill_names!B:B, AutoFill_names!F:F,"")=0,"",_xlfn.XLOOKUP(A229, AutoFill_names!B:B, AutoFill_names!F:F,""))</f>
        <v/>
      </c>
      <c r="F229" s="92"/>
      <c r="J229" s="115" t="str">
        <f>IF(_xlfn.XLOOKUP(A229, AutoFill_names!B:B, AutoFill_names!K:K,"")=0,"",_xlfn.XLOOKUP(A229, AutoFill_names!B:B, AutoFill_names!K:K,""))</f>
        <v/>
      </c>
      <c r="K229" s="115" t="str">
        <f>IF(_xlfn.XLOOKUP(A229, AutoFill_names!B:B, AutoFill_names!L:L,"")=0,"",_xlfn.XLOOKUP(A229, AutoFill_names!B:B, AutoFill_names!L:L,""))</f>
        <v/>
      </c>
      <c r="L229" s="31"/>
      <c r="M229" s="31"/>
      <c r="N229" s="117" t="str">
        <f>IF(_xlfn.XLOOKUP(L229, AutoFill_classes!A:A, AutoFill_classes!B:B,"")=0,"",_xlfn.XLOOKUP(L229, AutoFill_classes!A:A, AutoFill_classes!B:B,""))</f>
        <v/>
      </c>
      <c r="O229" s="108"/>
      <c r="P229" s="6"/>
      <c r="Q229" s="6"/>
      <c r="R229" s="6"/>
      <c r="X229" s="63"/>
      <c r="Y229" s="19"/>
      <c r="Z229" s="121" t="str">
        <f t="shared" si="189"/>
        <v/>
      </c>
      <c r="AA229" s="20"/>
      <c r="AB229" s="20"/>
      <c r="AC229" s="20"/>
      <c r="AD229" s="20"/>
      <c r="AE229" s="125" t="str">
        <f t="shared" si="190"/>
        <v/>
      </c>
      <c r="AF229" s="14"/>
      <c r="AG229" s="125" t="str">
        <f t="shared" si="191"/>
        <v/>
      </c>
      <c r="AH229" s="20"/>
      <c r="AI229" s="20"/>
      <c r="AJ229" s="125" t="str">
        <f t="shared" si="192"/>
        <v/>
      </c>
      <c r="AK229" s="14"/>
      <c r="AL229" s="125" t="str">
        <f t="shared" si="193"/>
        <v/>
      </c>
      <c r="AM229" s="20"/>
      <c r="AN229" s="20"/>
      <c r="AO229" s="125" t="str">
        <f t="shared" si="194"/>
        <v/>
      </c>
      <c r="AP229" s="125" t="str">
        <f t="shared" si="195"/>
        <v/>
      </c>
      <c r="AQ229" s="125" t="str">
        <f t="shared" si="196"/>
        <v/>
      </c>
      <c r="AR229" s="129" t="str">
        <f t="shared" si="197"/>
        <v/>
      </c>
      <c r="AS229" s="14"/>
      <c r="AT229" s="33"/>
      <c r="AU229" s="33"/>
      <c r="AV229" s="117" t="str">
        <f>IF(_xlfn.XLOOKUP(AT229, AutoFill_classes!$A:$A, AutoFill_classes!$B:$B,"")=0,"",_xlfn.XLOOKUP(AT229, AutoFill_classes!$A:$A, AutoFill_classes!$B:$B,""))</f>
        <v/>
      </c>
      <c r="AW229" s="108"/>
      <c r="AX229" s="11"/>
      <c r="AY229" s="12"/>
      <c r="AZ229" s="11"/>
      <c r="BA229" s="13"/>
      <c r="BB229" s="13"/>
      <c r="BC229" s="63"/>
      <c r="BD229" s="19"/>
      <c r="BE229" s="121" t="str">
        <f t="shared" si="198"/>
        <v/>
      </c>
      <c r="BF229" s="20"/>
      <c r="BG229" s="20"/>
      <c r="BH229" s="20"/>
      <c r="BI229" s="20"/>
      <c r="BJ229" s="125" t="str">
        <f t="shared" si="199"/>
        <v/>
      </c>
      <c r="BK229" s="14"/>
      <c r="BL229" s="125" t="str">
        <f t="shared" si="200"/>
        <v/>
      </c>
      <c r="BM229" s="20"/>
      <c r="BN229" s="20"/>
      <c r="BO229" s="125" t="str">
        <f t="shared" si="201"/>
        <v/>
      </c>
      <c r="BP229" s="14"/>
      <c r="BQ229" s="125" t="str">
        <f t="shared" si="202"/>
        <v/>
      </c>
      <c r="BR229" s="20"/>
      <c r="BS229" s="20"/>
      <c r="BT229" s="125" t="str">
        <f t="shared" si="203"/>
        <v/>
      </c>
      <c r="BU229" s="125" t="str">
        <f t="shared" si="204"/>
        <v/>
      </c>
      <c r="BV229" s="125" t="str">
        <f t="shared" si="205"/>
        <v/>
      </c>
      <c r="BW229" s="129" t="str">
        <f t="shared" si="206"/>
        <v/>
      </c>
      <c r="BX229" s="11"/>
      <c r="BY229" s="15"/>
      <c r="BZ229" s="14"/>
      <c r="CA229" s="117" t="str">
        <f>IF(_xlfn.XLOOKUP(BY229, AutoFill_classes!$A:$A, AutoFill_classes!$B:$B,"")=0,"",_xlfn.XLOOKUP(BY229, AutoFill_classes!$A:$A, AutoFill_classes!$B:$B,""))</f>
        <v/>
      </c>
      <c r="CB229" s="108"/>
      <c r="CC229" s="14"/>
      <c r="CD229" s="14"/>
      <c r="CE229" s="14"/>
      <c r="CF229" s="21"/>
      <c r="CG229" s="22"/>
      <c r="CH229" s="63"/>
      <c r="CI229" s="23"/>
      <c r="CJ229" s="121" t="str">
        <f t="shared" si="207"/>
        <v/>
      </c>
      <c r="CK229" s="20"/>
      <c r="CL229" s="20"/>
      <c r="CM229" s="20"/>
      <c r="CN229" s="20"/>
      <c r="CO229" s="125" t="str">
        <f t="shared" si="208"/>
        <v/>
      </c>
      <c r="CP229" s="14"/>
      <c r="CQ229" s="125" t="str">
        <f t="shared" si="209"/>
        <v/>
      </c>
      <c r="CR229" s="20"/>
      <c r="CS229" s="20"/>
      <c r="CT229" s="125" t="str">
        <f t="shared" si="210"/>
        <v/>
      </c>
      <c r="CU229" s="14"/>
      <c r="CV229" s="125" t="str">
        <f t="shared" si="211"/>
        <v/>
      </c>
      <c r="CW229" s="20"/>
      <c r="CX229" s="20"/>
      <c r="CY229" s="125" t="str">
        <f t="shared" si="212"/>
        <v/>
      </c>
      <c r="CZ229" s="125" t="str">
        <f t="shared" si="213"/>
        <v/>
      </c>
      <c r="DA229" s="125" t="str">
        <f t="shared" si="214"/>
        <v/>
      </c>
      <c r="DB229" s="129" t="str">
        <f t="shared" si="215"/>
        <v/>
      </c>
      <c r="DC229" s="14"/>
      <c r="DD229" s="62"/>
      <c r="DE229" s="105">
        <v>227</v>
      </c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</row>
    <row r="230" spans="1:176" s="1" customFormat="1" ht="13" hidden="1" customHeight="1" outlineLevel="1" x14ac:dyDescent="0.2">
      <c r="A230" s="4"/>
      <c r="B230" s="115" t="str">
        <f>IF(_xlfn.XLOOKUP(A230, AutoFill_names!B:B, AutoFill_names!C:C,"")=0,"",_xlfn.XLOOKUP(A230, AutoFill_names!B:B, AutoFill_names!C:C,""))</f>
        <v/>
      </c>
      <c r="C230" s="115" t="str">
        <f>IF(_xlfn.XLOOKUP(A230, AutoFill_names!B:B, AutoFill_names!D:D,"")=0,"",_xlfn.XLOOKUP(A230, AutoFill_names!B:B, AutoFill_names!D:D,""))</f>
        <v/>
      </c>
      <c r="D230" s="115" t="str">
        <f>IF(_xlfn.XLOOKUP(A230, AutoFill_names!B:B, AutoFill_names!E:E,"")=0,"",_xlfn.XLOOKUP(A230, AutoFill_names!B:B, AutoFill_names!E:E,""))</f>
        <v/>
      </c>
      <c r="E230" s="115" t="str">
        <f>IF(_xlfn.XLOOKUP(A230, AutoFill_names!B:B, AutoFill_names!F:F,"")=0,"",_xlfn.XLOOKUP(A230, AutoFill_names!B:B, AutoFill_names!F:F,""))</f>
        <v/>
      </c>
      <c r="F230" s="92"/>
      <c r="J230" s="115" t="str">
        <f>IF(_xlfn.XLOOKUP(A230, AutoFill_names!B:B, AutoFill_names!K:K,"")=0,"",_xlfn.XLOOKUP(A230, AutoFill_names!B:B, AutoFill_names!K:K,""))</f>
        <v/>
      </c>
      <c r="K230" s="115" t="str">
        <f>IF(_xlfn.XLOOKUP(A230, AutoFill_names!B:B, AutoFill_names!L:L,"")=0,"",_xlfn.XLOOKUP(A230, AutoFill_names!B:B, AutoFill_names!L:L,""))</f>
        <v/>
      </c>
      <c r="L230" s="31"/>
      <c r="M230" s="31"/>
      <c r="N230" s="117" t="str">
        <f>IF(_xlfn.XLOOKUP(L230, AutoFill_classes!A:A, AutoFill_classes!B:B,"")=0,"",_xlfn.XLOOKUP(L230, AutoFill_classes!A:A, AutoFill_classes!B:B,""))</f>
        <v/>
      </c>
      <c r="O230" s="108"/>
      <c r="P230" s="6"/>
      <c r="Q230" s="6"/>
      <c r="R230" s="6"/>
      <c r="X230" s="63"/>
      <c r="Y230" s="19"/>
      <c r="Z230" s="121" t="str">
        <f t="shared" si="189"/>
        <v/>
      </c>
      <c r="AA230" s="20"/>
      <c r="AB230" s="20"/>
      <c r="AC230" s="20"/>
      <c r="AD230" s="20"/>
      <c r="AE230" s="125" t="str">
        <f t="shared" si="190"/>
        <v/>
      </c>
      <c r="AF230" s="14"/>
      <c r="AG230" s="125" t="str">
        <f t="shared" si="191"/>
        <v/>
      </c>
      <c r="AH230" s="20"/>
      <c r="AI230" s="20"/>
      <c r="AJ230" s="125" t="str">
        <f t="shared" si="192"/>
        <v/>
      </c>
      <c r="AK230" s="14"/>
      <c r="AL230" s="125" t="str">
        <f t="shared" si="193"/>
        <v/>
      </c>
      <c r="AM230" s="20"/>
      <c r="AN230" s="20"/>
      <c r="AO230" s="125" t="str">
        <f t="shared" si="194"/>
        <v/>
      </c>
      <c r="AP230" s="125" t="str">
        <f t="shared" si="195"/>
        <v/>
      </c>
      <c r="AQ230" s="125" t="str">
        <f t="shared" si="196"/>
        <v/>
      </c>
      <c r="AR230" s="129" t="str">
        <f t="shared" si="197"/>
        <v/>
      </c>
      <c r="AS230" s="14"/>
      <c r="AT230" s="33"/>
      <c r="AU230" s="33"/>
      <c r="AV230" s="117" t="str">
        <f>IF(_xlfn.XLOOKUP(AT230, AutoFill_classes!$A:$A, AutoFill_classes!$B:$B,"")=0,"",_xlfn.XLOOKUP(AT230, AutoFill_classes!$A:$A, AutoFill_classes!$B:$B,""))</f>
        <v/>
      </c>
      <c r="AW230" s="108"/>
      <c r="AX230" s="11"/>
      <c r="AY230" s="12"/>
      <c r="AZ230" s="11"/>
      <c r="BA230" s="13"/>
      <c r="BB230" s="13"/>
      <c r="BC230" s="63"/>
      <c r="BD230" s="19"/>
      <c r="BE230" s="121" t="str">
        <f t="shared" si="198"/>
        <v/>
      </c>
      <c r="BF230" s="20"/>
      <c r="BG230" s="20"/>
      <c r="BH230" s="20"/>
      <c r="BI230" s="20"/>
      <c r="BJ230" s="125" t="str">
        <f t="shared" si="199"/>
        <v/>
      </c>
      <c r="BK230" s="14"/>
      <c r="BL230" s="125" t="str">
        <f t="shared" si="200"/>
        <v/>
      </c>
      <c r="BM230" s="20"/>
      <c r="BN230" s="20"/>
      <c r="BO230" s="125" t="str">
        <f t="shared" si="201"/>
        <v/>
      </c>
      <c r="BP230" s="14"/>
      <c r="BQ230" s="125" t="str">
        <f t="shared" si="202"/>
        <v/>
      </c>
      <c r="BR230" s="20"/>
      <c r="BS230" s="20"/>
      <c r="BT230" s="125" t="str">
        <f t="shared" si="203"/>
        <v/>
      </c>
      <c r="BU230" s="125" t="str">
        <f t="shared" si="204"/>
        <v/>
      </c>
      <c r="BV230" s="125" t="str">
        <f t="shared" si="205"/>
        <v/>
      </c>
      <c r="BW230" s="129" t="str">
        <f t="shared" si="206"/>
        <v/>
      </c>
      <c r="BX230" s="11"/>
      <c r="BY230" s="15"/>
      <c r="BZ230" s="14"/>
      <c r="CA230" s="117" t="str">
        <f>IF(_xlfn.XLOOKUP(BY230, AutoFill_classes!$A:$A, AutoFill_classes!$B:$B,"")=0,"",_xlfn.XLOOKUP(BY230, AutoFill_classes!$A:$A, AutoFill_classes!$B:$B,""))</f>
        <v/>
      </c>
      <c r="CB230" s="108"/>
      <c r="CC230" s="14"/>
      <c r="CD230" s="14"/>
      <c r="CE230" s="14"/>
      <c r="CF230" s="21"/>
      <c r="CG230" s="22"/>
      <c r="CH230" s="63"/>
      <c r="CI230" s="23"/>
      <c r="CJ230" s="121" t="str">
        <f t="shared" si="207"/>
        <v/>
      </c>
      <c r="CK230" s="20"/>
      <c r="CL230" s="20"/>
      <c r="CM230" s="20"/>
      <c r="CN230" s="20"/>
      <c r="CO230" s="125" t="str">
        <f t="shared" si="208"/>
        <v/>
      </c>
      <c r="CP230" s="14"/>
      <c r="CQ230" s="125" t="str">
        <f t="shared" si="209"/>
        <v/>
      </c>
      <c r="CR230" s="20"/>
      <c r="CS230" s="20"/>
      <c r="CT230" s="125" t="str">
        <f t="shared" si="210"/>
        <v/>
      </c>
      <c r="CU230" s="14"/>
      <c r="CV230" s="125" t="str">
        <f t="shared" si="211"/>
        <v/>
      </c>
      <c r="CW230" s="20"/>
      <c r="CX230" s="20"/>
      <c r="CY230" s="125" t="str">
        <f t="shared" si="212"/>
        <v/>
      </c>
      <c r="CZ230" s="125" t="str">
        <f t="shared" si="213"/>
        <v/>
      </c>
      <c r="DA230" s="125" t="str">
        <f t="shared" si="214"/>
        <v/>
      </c>
      <c r="DB230" s="129" t="str">
        <f t="shared" si="215"/>
        <v/>
      </c>
      <c r="DC230" s="14"/>
      <c r="DD230" s="62"/>
      <c r="DE230" s="105">
        <v>228</v>
      </c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</row>
    <row r="231" spans="1:176" s="1" customFormat="1" ht="13" hidden="1" customHeight="1" outlineLevel="1" x14ac:dyDescent="0.2">
      <c r="A231" s="4"/>
      <c r="B231" s="115" t="str">
        <f>IF(_xlfn.XLOOKUP(A231, AutoFill_names!B:B, AutoFill_names!C:C,"")=0,"",_xlfn.XLOOKUP(A231, AutoFill_names!B:B, AutoFill_names!C:C,""))</f>
        <v/>
      </c>
      <c r="C231" s="115" t="str">
        <f>IF(_xlfn.XLOOKUP(A231, AutoFill_names!B:B, AutoFill_names!D:D,"")=0,"",_xlfn.XLOOKUP(A231, AutoFill_names!B:B, AutoFill_names!D:D,""))</f>
        <v/>
      </c>
      <c r="D231" s="115" t="str">
        <f>IF(_xlfn.XLOOKUP(A231, AutoFill_names!B:B, AutoFill_names!E:E,"")=0,"",_xlfn.XLOOKUP(A231, AutoFill_names!B:B, AutoFill_names!E:E,""))</f>
        <v/>
      </c>
      <c r="E231" s="115" t="str">
        <f>IF(_xlfn.XLOOKUP(A231, AutoFill_names!B:B, AutoFill_names!F:F,"")=0,"",_xlfn.XLOOKUP(A231, AutoFill_names!B:B, AutoFill_names!F:F,""))</f>
        <v/>
      </c>
      <c r="F231" s="92"/>
      <c r="J231" s="115" t="str">
        <f>IF(_xlfn.XLOOKUP(A231, AutoFill_names!B:B, AutoFill_names!K:K,"")=0,"",_xlfn.XLOOKUP(A231, AutoFill_names!B:B, AutoFill_names!K:K,""))</f>
        <v/>
      </c>
      <c r="K231" s="115" t="str">
        <f>IF(_xlfn.XLOOKUP(A231, AutoFill_names!B:B, AutoFill_names!L:L,"")=0,"",_xlfn.XLOOKUP(A231, AutoFill_names!B:B, AutoFill_names!L:L,""))</f>
        <v/>
      </c>
      <c r="L231" s="31"/>
      <c r="M231" s="31"/>
      <c r="N231" s="117" t="str">
        <f>IF(_xlfn.XLOOKUP(L231, AutoFill_classes!A:A, AutoFill_classes!B:B,"")=0,"",_xlfn.XLOOKUP(L231, AutoFill_classes!A:A, AutoFill_classes!B:B,""))</f>
        <v/>
      </c>
      <c r="O231" s="108"/>
      <c r="P231" s="6"/>
      <c r="Q231" s="6"/>
      <c r="R231" s="6"/>
      <c r="X231" s="63"/>
      <c r="Y231" s="19"/>
      <c r="Z231" s="121" t="str">
        <f t="shared" si="189"/>
        <v/>
      </c>
      <c r="AA231" s="20"/>
      <c r="AB231" s="20"/>
      <c r="AC231" s="20"/>
      <c r="AD231" s="20"/>
      <c r="AE231" s="125" t="str">
        <f t="shared" si="190"/>
        <v/>
      </c>
      <c r="AF231" s="14"/>
      <c r="AG231" s="125" t="str">
        <f t="shared" si="191"/>
        <v/>
      </c>
      <c r="AH231" s="20"/>
      <c r="AI231" s="20"/>
      <c r="AJ231" s="125" t="str">
        <f t="shared" si="192"/>
        <v/>
      </c>
      <c r="AK231" s="14"/>
      <c r="AL231" s="125" t="str">
        <f t="shared" si="193"/>
        <v/>
      </c>
      <c r="AM231" s="20"/>
      <c r="AN231" s="20"/>
      <c r="AO231" s="125" t="str">
        <f t="shared" si="194"/>
        <v/>
      </c>
      <c r="AP231" s="125" t="str">
        <f t="shared" si="195"/>
        <v/>
      </c>
      <c r="AQ231" s="125" t="str">
        <f t="shared" si="196"/>
        <v/>
      </c>
      <c r="AR231" s="129" t="str">
        <f t="shared" si="197"/>
        <v/>
      </c>
      <c r="AS231" s="14"/>
      <c r="AT231" s="33"/>
      <c r="AU231" s="33"/>
      <c r="AV231" s="117" t="str">
        <f>IF(_xlfn.XLOOKUP(AT231, AutoFill_classes!$A:$A, AutoFill_classes!$B:$B,"")=0,"",_xlfn.XLOOKUP(AT231, AutoFill_classes!$A:$A, AutoFill_classes!$B:$B,""))</f>
        <v/>
      </c>
      <c r="AW231" s="108"/>
      <c r="AX231" s="11"/>
      <c r="AY231" s="12"/>
      <c r="AZ231" s="11"/>
      <c r="BA231" s="13"/>
      <c r="BB231" s="13"/>
      <c r="BC231" s="63"/>
      <c r="BD231" s="19"/>
      <c r="BE231" s="121" t="str">
        <f t="shared" si="198"/>
        <v/>
      </c>
      <c r="BF231" s="20"/>
      <c r="BG231" s="20"/>
      <c r="BH231" s="20"/>
      <c r="BI231" s="20"/>
      <c r="BJ231" s="125" t="str">
        <f t="shared" si="199"/>
        <v/>
      </c>
      <c r="BK231" s="14"/>
      <c r="BL231" s="125" t="str">
        <f t="shared" si="200"/>
        <v/>
      </c>
      <c r="BM231" s="20"/>
      <c r="BN231" s="20"/>
      <c r="BO231" s="125" t="str">
        <f t="shared" si="201"/>
        <v/>
      </c>
      <c r="BP231" s="14"/>
      <c r="BQ231" s="125" t="str">
        <f t="shared" si="202"/>
        <v/>
      </c>
      <c r="BR231" s="20"/>
      <c r="BS231" s="20"/>
      <c r="BT231" s="125" t="str">
        <f t="shared" si="203"/>
        <v/>
      </c>
      <c r="BU231" s="125" t="str">
        <f t="shared" si="204"/>
        <v/>
      </c>
      <c r="BV231" s="125" t="str">
        <f t="shared" si="205"/>
        <v/>
      </c>
      <c r="BW231" s="129" t="str">
        <f t="shared" si="206"/>
        <v/>
      </c>
      <c r="BX231" s="11"/>
      <c r="BY231" s="15"/>
      <c r="BZ231" s="14"/>
      <c r="CA231" s="117" t="str">
        <f>IF(_xlfn.XLOOKUP(BY231, AutoFill_classes!$A:$A, AutoFill_classes!$B:$B,"")=0,"",_xlfn.XLOOKUP(BY231, AutoFill_classes!$A:$A, AutoFill_classes!$B:$B,""))</f>
        <v/>
      </c>
      <c r="CB231" s="108"/>
      <c r="CC231" s="14"/>
      <c r="CD231" s="14"/>
      <c r="CE231" s="14"/>
      <c r="CF231" s="21"/>
      <c r="CG231" s="22"/>
      <c r="CH231" s="63"/>
      <c r="CI231" s="23"/>
      <c r="CJ231" s="121" t="str">
        <f t="shared" si="207"/>
        <v/>
      </c>
      <c r="CK231" s="20"/>
      <c r="CL231" s="20"/>
      <c r="CM231" s="20"/>
      <c r="CN231" s="20"/>
      <c r="CO231" s="125" t="str">
        <f t="shared" si="208"/>
        <v/>
      </c>
      <c r="CP231" s="14"/>
      <c r="CQ231" s="125" t="str">
        <f t="shared" si="209"/>
        <v/>
      </c>
      <c r="CR231" s="20"/>
      <c r="CS231" s="20"/>
      <c r="CT231" s="125" t="str">
        <f t="shared" si="210"/>
        <v/>
      </c>
      <c r="CU231" s="14"/>
      <c r="CV231" s="125" t="str">
        <f t="shared" si="211"/>
        <v/>
      </c>
      <c r="CW231" s="20"/>
      <c r="CX231" s="20"/>
      <c r="CY231" s="125" t="str">
        <f t="shared" si="212"/>
        <v/>
      </c>
      <c r="CZ231" s="125" t="str">
        <f t="shared" si="213"/>
        <v/>
      </c>
      <c r="DA231" s="125" t="str">
        <f t="shared" si="214"/>
        <v/>
      </c>
      <c r="DB231" s="129" t="str">
        <f t="shared" si="215"/>
        <v/>
      </c>
      <c r="DC231" s="14"/>
      <c r="DD231" s="62"/>
      <c r="DE231" s="105">
        <v>229</v>
      </c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</row>
    <row r="232" spans="1:176" s="1" customFormat="1" ht="13" hidden="1" customHeight="1" outlineLevel="1" x14ac:dyDescent="0.2">
      <c r="A232" s="4"/>
      <c r="B232" s="115" t="str">
        <f>IF(_xlfn.XLOOKUP(A232, AutoFill_names!B:B, AutoFill_names!C:C,"")=0,"",_xlfn.XLOOKUP(A232, AutoFill_names!B:B, AutoFill_names!C:C,""))</f>
        <v/>
      </c>
      <c r="C232" s="115" t="str">
        <f>IF(_xlfn.XLOOKUP(A232, AutoFill_names!B:B, AutoFill_names!D:D,"")=0,"",_xlfn.XLOOKUP(A232, AutoFill_names!B:B, AutoFill_names!D:D,""))</f>
        <v/>
      </c>
      <c r="D232" s="115" t="str">
        <f>IF(_xlfn.XLOOKUP(A232, AutoFill_names!B:B, AutoFill_names!E:E,"")=0,"",_xlfn.XLOOKUP(A232, AutoFill_names!B:B, AutoFill_names!E:E,""))</f>
        <v/>
      </c>
      <c r="E232" s="115" t="str">
        <f>IF(_xlfn.XLOOKUP(A232, AutoFill_names!B:B, AutoFill_names!F:F,"")=0,"",_xlfn.XLOOKUP(A232, AutoFill_names!B:B, AutoFill_names!F:F,""))</f>
        <v/>
      </c>
      <c r="F232" s="92"/>
      <c r="J232" s="115" t="str">
        <f>IF(_xlfn.XLOOKUP(A232, AutoFill_names!B:B, AutoFill_names!K:K,"")=0,"",_xlfn.XLOOKUP(A232, AutoFill_names!B:B, AutoFill_names!K:K,""))</f>
        <v/>
      </c>
      <c r="K232" s="115" t="str">
        <f>IF(_xlfn.XLOOKUP(A232, AutoFill_names!B:B, AutoFill_names!L:L,"")=0,"",_xlfn.XLOOKUP(A232, AutoFill_names!B:B, AutoFill_names!L:L,""))</f>
        <v/>
      </c>
      <c r="L232" s="31"/>
      <c r="M232" s="31"/>
      <c r="N232" s="117" t="str">
        <f>IF(_xlfn.XLOOKUP(L232, AutoFill_classes!A:A, AutoFill_classes!B:B,"")=0,"",_xlfn.XLOOKUP(L232, AutoFill_classes!A:A, AutoFill_classes!B:B,""))</f>
        <v/>
      </c>
      <c r="O232" s="108"/>
      <c r="P232" s="6"/>
      <c r="Q232" s="6"/>
      <c r="R232" s="6"/>
      <c r="X232" s="63"/>
      <c r="Y232" s="19"/>
      <c r="Z232" s="121" t="str">
        <f t="shared" si="189"/>
        <v/>
      </c>
      <c r="AA232" s="20"/>
      <c r="AB232" s="20"/>
      <c r="AC232" s="20"/>
      <c r="AD232" s="20"/>
      <c r="AE232" s="125" t="str">
        <f t="shared" si="190"/>
        <v/>
      </c>
      <c r="AF232" s="14"/>
      <c r="AG232" s="125" t="str">
        <f t="shared" si="191"/>
        <v/>
      </c>
      <c r="AH232" s="20"/>
      <c r="AI232" s="20"/>
      <c r="AJ232" s="125" t="str">
        <f t="shared" si="192"/>
        <v/>
      </c>
      <c r="AK232" s="14"/>
      <c r="AL232" s="125" t="str">
        <f t="shared" si="193"/>
        <v/>
      </c>
      <c r="AM232" s="20"/>
      <c r="AN232" s="20"/>
      <c r="AO232" s="125" t="str">
        <f t="shared" si="194"/>
        <v/>
      </c>
      <c r="AP232" s="125" t="str">
        <f t="shared" si="195"/>
        <v/>
      </c>
      <c r="AQ232" s="125" t="str">
        <f t="shared" si="196"/>
        <v/>
      </c>
      <c r="AR232" s="129" t="str">
        <f t="shared" si="197"/>
        <v/>
      </c>
      <c r="AS232" s="14"/>
      <c r="AT232" s="33"/>
      <c r="AU232" s="33"/>
      <c r="AV232" s="117" t="str">
        <f>IF(_xlfn.XLOOKUP(AT232, AutoFill_classes!$A:$A, AutoFill_classes!$B:$B,"")=0,"",_xlfn.XLOOKUP(AT232, AutoFill_classes!$A:$A, AutoFill_classes!$B:$B,""))</f>
        <v/>
      </c>
      <c r="AW232" s="108"/>
      <c r="AX232" s="11"/>
      <c r="AY232" s="12"/>
      <c r="AZ232" s="11"/>
      <c r="BA232" s="13"/>
      <c r="BB232" s="13"/>
      <c r="BC232" s="63"/>
      <c r="BD232" s="19"/>
      <c r="BE232" s="121" t="str">
        <f t="shared" si="198"/>
        <v/>
      </c>
      <c r="BF232" s="20"/>
      <c r="BG232" s="20"/>
      <c r="BH232" s="20"/>
      <c r="BI232" s="20"/>
      <c r="BJ232" s="125" t="str">
        <f t="shared" si="199"/>
        <v/>
      </c>
      <c r="BK232" s="14"/>
      <c r="BL232" s="125" t="str">
        <f t="shared" si="200"/>
        <v/>
      </c>
      <c r="BM232" s="20"/>
      <c r="BN232" s="20"/>
      <c r="BO232" s="125" t="str">
        <f t="shared" si="201"/>
        <v/>
      </c>
      <c r="BP232" s="14"/>
      <c r="BQ232" s="125" t="str">
        <f t="shared" si="202"/>
        <v/>
      </c>
      <c r="BR232" s="20"/>
      <c r="BS232" s="20"/>
      <c r="BT232" s="125" t="str">
        <f t="shared" si="203"/>
        <v/>
      </c>
      <c r="BU232" s="125" t="str">
        <f t="shared" si="204"/>
        <v/>
      </c>
      <c r="BV232" s="125" t="str">
        <f t="shared" si="205"/>
        <v/>
      </c>
      <c r="BW232" s="129" t="str">
        <f t="shared" si="206"/>
        <v/>
      </c>
      <c r="BX232" s="11"/>
      <c r="BY232" s="15"/>
      <c r="BZ232" s="14"/>
      <c r="CA232" s="117" t="str">
        <f>IF(_xlfn.XLOOKUP(BY232, AutoFill_classes!$A:$A, AutoFill_classes!$B:$B,"")=0,"",_xlfn.XLOOKUP(BY232, AutoFill_classes!$A:$A, AutoFill_classes!$B:$B,""))</f>
        <v/>
      </c>
      <c r="CB232" s="108"/>
      <c r="CC232" s="14"/>
      <c r="CD232" s="14"/>
      <c r="CE232" s="14"/>
      <c r="CF232" s="21"/>
      <c r="CG232" s="22"/>
      <c r="CH232" s="63"/>
      <c r="CI232" s="23"/>
      <c r="CJ232" s="121" t="str">
        <f t="shared" si="207"/>
        <v/>
      </c>
      <c r="CK232" s="20"/>
      <c r="CL232" s="20"/>
      <c r="CM232" s="20"/>
      <c r="CN232" s="20"/>
      <c r="CO232" s="125" t="str">
        <f t="shared" si="208"/>
        <v/>
      </c>
      <c r="CP232" s="14"/>
      <c r="CQ232" s="125" t="str">
        <f t="shared" si="209"/>
        <v/>
      </c>
      <c r="CR232" s="20"/>
      <c r="CS232" s="20"/>
      <c r="CT232" s="125" t="str">
        <f t="shared" si="210"/>
        <v/>
      </c>
      <c r="CU232" s="14"/>
      <c r="CV232" s="125" t="str">
        <f t="shared" si="211"/>
        <v/>
      </c>
      <c r="CW232" s="20"/>
      <c r="CX232" s="20"/>
      <c r="CY232" s="125" t="str">
        <f t="shared" si="212"/>
        <v/>
      </c>
      <c r="CZ232" s="125" t="str">
        <f t="shared" si="213"/>
        <v/>
      </c>
      <c r="DA232" s="125" t="str">
        <f t="shared" si="214"/>
        <v/>
      </c>
      <c r="DB232" s="129" t="str">
        <f t="shared" si="215"/>
        <v/>
      </c>
      <c r="DC232" s="14"/>
      <c r="DD232" s="62"/>
      <c r="DE232" s="105">
        <v>230</v>
      </c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</row>
    <row r="233" spans="1:176" s="1" customFormat="1" ht="13" hidden="1" customHeight="1" outlineLevel="1" x14ac:dyDescent="0.2">
      <c r="A233" s="4"/>
      <c r="B233" s="115" t="str">
        <f>IF(_xlfn.XLOOKUP(A233, AutoFill_names!B:B, AutoFill_names!C:C,"")=0,"",_xlfn.XLOOKUP(A233, AutoFill_names!B:B, AutoFill_names!C:C,""))</f>
        <v/>
      </c>
      <c r="C233" s="115" t="str">
        <f>IF(_xlfn.XLOOKUP(A233, AutoFill_names!B:B, AutoFill_names!D:D,"")=0,"",_xlfn.XLOOKUP(A233, AutoFill_names!B:B, AutoFill_names!D:D,""))</f>
        <v/>
      </c>
      <c r="D233" s="115" t="str">
        <f>IF(_xlfn.XLOOKUP(A233, AutoFill_names!B:B, AutoFill_names!E:E,"")=0,"",_xlfn.XLOOKUP(A233, AutoFill_names!B:B, AutoFill_names!E:E,""))</f>
        <v/>
      </c>
      <c r="E233" s="115" t="str">
        <f>IF(_xlfn.XLOOKUP(A233, AutoFill_names!B:B, AutoFill_names!F:F,"")=0,"",_xlfn.XLOOKUP(A233, AutoFill_names!B:B, AutoFill_names!F:F,""))</f>
        <v/>
      </c>
      <c r="F233" s="92"/>
      <c r="J233" s="115" t="str">
        <f>IF(_xlfn.XLOOKUP(A233, AutoFill_names!B:B, AutoFill_names!K:K,"")=0,"",_xlfn.XLOOKUP(A233, AutoFill_names!B:B, AutoFill_names!K:K,""))</f>
        <v/>
      </c>
      <c r="K233" s="115" t="str">
        <f>IF(_xlfn.XLOOKUP(A233, AutoFill_names!B:B, AutoFill_names!L:L,"")=0,"",_xlfn.XLOOKUP(A233, AutoFill_names!B:B, AutoFill_names!L:L,""))</f>
        <v/>
      </c>
      <c r="L233" s="31"/>
      <c r="M233" s="31"/>
      <c r="N233" s="117" t="str">
        <f>IF(_xlfn.XLOOKUP(L233, AutoFill_classes!A:A, AutoFill_classes!B:B,"")=0,"",_xlfn.XLOOKUP(L233, AutoFill_classes!A:A, AutoFill_classes!B:B,""))</f>
        <v/>
      </c>
      <c r="O233" s="108"/>
      <c r="P233" s="6"/>
      <c r="Q233" s="6"/>
      <c r="R233" s="6"/>
      <c r="X233" s="63"/>
      <c r="Y233" s="19"/>
      <c r="Z233" s="121" t="str">
        <f t="shared" si="189"/>
        <v/>
      </c>
      <c r="AA233" s="20"/>
      <c r="AB233" s="20"/>
      <c r="AC233" s="20"/>
      <c r="AD233" s="20"/>
      <c r="AE233" s="125" t="str">
        <f t="shared" si="190"/>
        <v/>
      </c>
      <c r="AF233" s="14"/>
      <c r="AG233" s="125" t="str">
        <f t="shared" si="191"/>
        <v/>
      </c>
      <c r="AH233" s="20"/>
      <c r="AI233" s="20"/>
      <c r="AJ233" s="125" t="str">
        <f t="shared" si="192"/>
        <v/>
      </c>
      <c r="AK233" s="14"/>
      <c r="AL233" s="125" t="str">
        <f t="shared" si="193"/>
        <v/>
      </c>
      <c r="AM233" s="20"/>
      <c r="AN233" s="20"/>
      <c r="AO233" s="125" t="str">
        <f t="shared" si="194"/>
        <v/>
      </c>
      <c r="AP233" s="125" t="str">
        <f t="shared" si="195"/>
        <v/>
      </c>
      <c r="AQ233" s="125" t="str">
        <f t="shared" si="196"/>
        <v/>
      </c>
      <c r="AR233" s="129" t="str">
        <f t="shared" si="197"/>
        <v/>
      </c>
      <c r="AS233" s="14"/>
      <c r="AT233" s="33"/>
      <c r="AU233" s="33"/>
      <c r="AV233" s="117" t="str">
        <f>IF(_xlfn.XLOOKUP(AT233, AutoFill_classes!$A:$A, AutoFill_classes!$B:$B,"")=0,"",_xlfn.XLOOKUP(AT233, AutoFill_classes!$A:$A, AutoFill_classes!$B:$B,""))</f>
        <v/>
      </c>
      <c r="AW233" s="108"/>
      <c r="AX233" s="11"/>
      <c r="AY233" s="12"/>
      <c r="AZ233" s="11"/>
      <c r="BA233" s="13"/>
      <c r="BB233" s="13"/>
      <c r="BC233" s="63"/>
      <c r="BD233" s="19"/>
      <c r="BE233" s="121" t="str">
        <f t="shared" si="198"/>
        <v/>
      </c>
      <c r="BF233" s="20"/>
      <c r="BG233" s="20"/>
      <c r="BH233" s="20"/>
      <c r="BI233" s="20"/>
      <c r="BJ233" s="125" t="str">
        <f t="shared" si="199"/>
        <v/>
      </c>
      <c r="BK233" s="14"/>
      <c r="BL233" s="125" t="str">
        <f t="shared" si="200"/>
        <v/>
      </c>
      <c r="BM233" s="20"/>
      <c r="BN233" s="20"/>
      <c r="BO233" s="125" t="str">
        <f t="shared" si="201"/>
        <v/>
      </c>
      <c r="BP233" s="14"/>
      <c r="BQ233" s="125" t="str">
        <f t="shared" si="202"/>
        <v/>
      </c>
      <c r="BR233" s="20"/>
      <c r="BS233" s="20"/>
      <c r="BT233" s="125" t="str">
        <f t="shared" si="203"/>
        <v/>
      </c>
      <c r="BU233" s="125" t="str">
        <f t="shared" si="204"/>
        <v/>
      </c>
      <c r="BV233" s="125" t="str">
        <f t="shared" si="205"/>
        <v/>
      </c>
      <c r="BW233" s="129" t="str">
        <f t="shared" si="206"/>
        <v/>
      </c>
      <c r="BX233" s="11"/>
      <c r="BY233" s="15"/>
      <c r="BZ233" s="14"/>
      <c r="CA233" s="117" t="str">
        <f>IF(_xlfn.XLOOKUP(BY233, AutoFill_classes!$A:$A, AutoFill_classes!$B:$B,"")=0,"",_xlfn.XLOOKUP(BY233, AutoFill_classes!$A:$A, AutoFill_classes!$B:$B,""))</f>
        <v/>
      </c>
      <c r="CB233" s="108"/>
      <c r="CC233" s="14"/>
      <c r="CD233" s="14"/>
      <c r="CE233" s="14"/>
      <c r="CF233" s="21"/>
      <c r="CG233" s="22"/>
      <c r="CH233" s="63"/>
      <c r="CI233" s="23"/>
      <c r="CJ233" s="121" t="str">
        <f t="shared" si="207"/>
        <v/>
      </c>
      <c r="CK233" s="20"/>
      <c r="CL233" s="20"/>
      <c r="CM233" s="20"/>
      <c r="CN233" s="20"/>
      <c r="CO233" s="125" t="str">
        <f t="shared" si="208"/>
        <v/>
      </c>
      <c r="CP233" s="14"/>
      <c r="CQ233" s="125" t="str">
        <f t="shared" si="209"/>
        <v/>
      </c>
      <c r="CR233" s="20"/>
      <c r="CS233" s="20"/>
      <c r="CT233" s="125" t="str">
        <f t="shared" si="210"/>
        <v/>
      </c>
      <c r="CU233" s="14"/>
      <c r="CV233" s="125" t="str">
        <f t="shared" si="211"/>
        <v/>
      </c>
      <c r="CW233" s="20"/>
      <c r="CX233" s="20"/>
      <c r="CY233" s="125" t="str">
        <f t="shared" si="212"/>
        <v/>
      </c>
      <c r="CZ233" s="125" t="str">
        <f t="shared" si="213"/>
        <v/>
      </c>
      <c r="DA233" s="125" t="str">
        <f t="shared" si="214"/>
        <v/>
      </c>
      <c r="DB233" s="129" t="str">
        <f t="shared" si="215"/>
        <v/>
      </c>
      <c r="DC233" s="14"/>
      <c r="DD233" s="62"/>
      <c r="DE233" s="105">
        <v>231</v>
      </c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</row>
    <row r="234" spans="1:176" s="1" customFormat="1" ht="13" hidden="1" customHeight="1" outlineLevel="1" x14ac:dyDescent="0.2">
      <c r="A234" s="4"/>
      <c r="B234" s="115" t="str">
        <f>IF(_xlfn.XLOOKUP(A234, AutoFill_names!B:B, AutoFill_names!C:C,"")=0,"",_xlfn.XLOOKUP(A234, AutoFill_names!B:B, AutoFill_names!C:C,""))</f>
        <v/>
      </c>
      <c r="C234" s="115" t="str">
        <f>IF(_xlfn.XLOOKUP(A234, AutoFill_names!B:B, AutoFill_names!D:D,"")=0,"",_xlfn.XLOOKUP(A234, AutoFill_names!B:B, AutoFill_names!D:D,""))</f>
        <v/>
      </c>
      <c r="D234" s="115" t="str">
        <f>IF(_xlfn.XLOOKUP(A234, AutoFill_names!B:B, AutoFill_names!E:E,"")=0,"",_xlfn.XLOOKUP(A234, AutoFill_names!B:B, AutoFill_names!E:E,""))</f>
        <v/>
      </c>
      <c r="E234" s="115" t="str">
        <f>IF(_xlfn.XLOOKUP(A234, AutoFill_names!B:B, AutoFill_names!F:F,"")=0,"",_xlfn.XLOOKUP(A234, AutoFill_names!B:B, AutoFill_names!F:F,""))</f>
        <v/>
      </c>
      <c r="F234" s="92"/>
      <c r="J234" s="115" t="str">
        <f>IF(_xlfn.XLOOKUP(A234, AutoFill_names!B:B, AutoFill_names!K:K,"")=0,"",_xlfn.XLOOKUP(A234, AutoFill_names!B:B, AutoFill_names!K:K,""))</f>
        <v/>
      </c>
      <c r="K234" s="115" t="str">
        <f>IF(_xlfn.XLOOKUP(A234, AutoFill_names!B:B, AutoFill_names!L:L,"")=0,"",_xlfn.XLOOKUP(A234, AutoFill_names!B:B, AutoFill_names!L:L,""))</f>
        <v/>
      </c>
      <c r="L234" s="31"/>
      <c r="M234" s="31"/>
      <c r="N234" s="117" t="str">
        <f>IF(_xlfn.XLOOKUP(L234, AutoFill_classes!A:A, AutoFill_classes!B:B,"")=0,"",_xlfn.XLOOKUP(L234, AutoFill_classes!A:A, AutoFill_classes!B:B,""))</f>
        <v/>
      </c>
      <c r="O234" s="108"/>
      <c r="P234" s="6"/>
      <c r="Q234" s="6"/>
      <c r="R234" s="6"/>
      <c r="X234" s="63"/>
      <c r="Y234" s="19"/>
      <c r="Z234" s="121" t="str">
        <f t="shared" si="189"/>
        <v/>
      </c>
      <c r="AA234" s="20"/>
      <c r="AB234" s="20"/>
      <c r="AC234" s="20"/>
      <c r="AD234" s="20"/>
      <c r="AE234" s="125" t="str">
        <f t="shared" si="190"/>
        <v/>
      </c>
      <c r="AF234" s="14"/>
      <c r="AG234" s="125" t="str">
        <f t="shared" si="191"/>
        <v/>
      </c>
      <c r="AH234" s="20"/>
      <c r="AI234" s="20"/>
      <c r="AJ234" s="125" t="str">
        <f t="shared" si="192"/>
        <v/>
      </c>
      <c r="AK234" s="14"/>
      <c r="AL234" s="125" t="str">
        <f t="shared" si="193"/>
        <v/>
      </c>
      <c r="AM234" s="20"/>
      <c r="AN234" s="20"/>
      <c r="AO234" s="125" t="str">
        <f t="shared" si="194"/>
        <v/>
      </c>
      <c r="AP234" s="125" t="str">
        <f t="shared" si="195"/>
        <v/>
      </c>
      <c r="AQ234" s="125" t="str">
        <f t="shared" si="196"/>
        <v/>
      </c>
      <c r="AR234" s="129" t="str">
        <f t="shared" si="197"/>
        <v/>
      </c>
      <c r="AS234" s="14"/>
      <c r="AT234" s="33"/>
      <c r="AU234" s="33"/>
      <c r="AV234" s="117" t="str">
        <f>IF(_xlfn.XLOOKUP(AT234, AutoFill_classes!$A:$A, AutoFill_classes!$B:$B,"")=0,"",_xlfn.XLOOKUP(AT234, AutoFill_classes!$A:$A, AutoFill_classes!$B:$B,""))</f>
        <v/>
      </c>
      <c r="AW234" s="108"/>
      <c r="AX234" s="11"/>
      <c r="AY234" s="12"/>
      <c r="AZ234" s="11"/>
      <c r="BA234" s="13"/>
      <c r="BB234" s="13"/>
      <c r="BC234" s="63"/>
      <c r="BD234" s="19"/>
      <c r="BE234" s="121" t="str">
        <f t="shared" si="198"/>
        <v/>
      </c>
      <c r="BF234" s="20"/>
      <c r="BG234" s="20"/>
      <c r="BH234" s="20"/>
      <c r="BI234" s="20"/>
      <c r="BJ234" s="125" t="str">
        <f t="shared" si="199"/>
        <v/>
      </c>
      <c r="BK234" s="14"/>
      <c r="BL234" s="125" t="str">
        <f t="shared" si="200"/>
        <v/>
      </c>
      <c r="BM234" s="20"/>
      <c r="BN234" s="20"/>
      <c r="BO234" s="125" t="str">
        <f t="shared" si="201"/>
        <v/>
      </c>
      <c r="BP234" s="14"/>
      <c r="BQ234" s="125" t="str">
        <f t="shared" si="202"/>
        <v/>
      </c>
      <c r="BR234" s="20"/>
      <c r="BS234" s="20"/>
      <c r="BT234" s="125" t="str">
        <f t="shared" si="203"/>
        <v/>
      </c>
      <c r="BU234" s="125" t="str">
        <f t="shared" si="204"/>
        <v/>
      </c>
      <c r="BV234" s="125" t="str">
        <f t="shared" si="205"/>
        <v/>
      </c>
      <c r="BW234" s="129" t="str">
        <f t="shared" si="206"/>
        <v/>
      </c>
      <c r="BX234" s="11"/>
      <c r="BY234" s="15"/>
      <c r="BZ234" s="14"/>
      <c r="CA234" s="117" t="str">
        <f>IF(_xlfn.XLOOKUP(BY234, AutoFill_classes!$A:$A, AutoFill_classes!$B:$B,"")=0,"",_xlfn.XLOOKUP(BY234, AutoFill_classes!$A:$A, AutoFill_classes!$B:$B,""))</f>
        <v/>
      </c>
      <c r="CB234" s="108"/>
      <c r="CC234" s="14"/>
      <c r="CD234" s="14"/>
      <c r="CE234" s="14"/>
      <c r="CF234" s="21"/>
      <c r="CG234" s="22"/>
      <c r="CH234" s="63"/>
      <c r="CI234" s="23"/>
      <c r="CJ234" s="121" t="str">
        <f t="shared" si="207"/>
        <v/>
      </c>
      <c r="CK234" s="20"/>
      <c r="CL234" s="20"/>
      <c r="CM234" s="20"/>
      <c r="CN234" s="20"/>
      <c r="CO234" s="125" t="str">
        <f t="shared" si="208"/>
        <v/>
      </c>
      <c r="CP234" s="14"/>
      <c r="CQ234" s="125" t="str">
        <f t="shared" si="209"/>
        <v/>
      </c>
      <c r="CR234" s="20"/>
      <c r="CS234" s="20"/>
      <c r="CT234" s="125" t="str">
        <f t="shared" si="210"/>
        <v/>
      </c>
      <c r="CU234" s="14"/>
      <c r="CV234" s="125" t="str">
        <f t="shared" si="211"/>
        <v/>
      </c>
      <c r="CW234" s="20"/>
      <c r="CX234" s="20"/>
      <c r="CY234" s="125" t="str">
        <f t="shared" si="212"/>
        <v/>
      </c>
      <c r="CZ234" s="125" t="str">
        <f t="shared" si="213"/>
        <v/>
      </c>
      <c r="DA234" s="125" t="str">
        <f t="shared" si="214"/>
        <v/>
      </c>
      <c r="DB234" s="129" t="str">
        <f t="shared" si="215"/>
        <v/>
      </c>
      <c r="DC234" s="14"/>
      <c r="DD234" s="62"/>
      <c r="DE234" s="105">
        <v>232</v>
      </c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</row>
    <row r="235" spans="1:176" s="1" customFormat="1" ht="13" hidden="1" customHeight="1" outlineLevel="1" x14ac:dyDescent="0.2">
      <c r="A235" s="4"/>
      <c r="B235" s="115" t="str">
        <f>IF(_xlfn.XLOOKUP(A235, AutoFill_names!B:B, AutoFill_names!C:C,"")=0,"",_xlfn.XLOOKUP(A235, AutoFill_names!B:B, AutoFill_names!C:C,""))</f>
        <v/>
      </c>
      <c r="C235" s="115" t="str">
        <f>IF(_xlfn.XLOOKUP(A235, AutoFill_names!B:B, AutoFill_names!D:D,"")=0,"",_xlfn.XLOOKUP(A235, AutoFill_names!B:B, AutoFill_names!D:D,""))</f>
        <v/>
      </c>
      <c r="D235" s="115" t="str">
        <f>IF(_xlfn.XLOOKUP(A235, AutoFill_names!B:B, AutoFill_names!E:E,"")=0,"",_xlfn.XLOOKUP(A235, AutoFill_names!B:B, AutoFill_names!E:E,""))</f>
        <v/>
      </c>
      <c r="E235" s="115" t="str">
        <f>IF(_xlfn.XLOOKUP(A235, AutoFill_names!B:B, AutoFill_names!F:F,"")=0,"",_xlfn.XLOOKUP(A235, AutoFill_names!B:B, AutoFill_names!F:F,""))</f>
        <v/>
      </c>
      <c r="F235" s="92"/>
      <c r="J235" s="115" t="str">
        <f>IF(_xlfn.XLOOKUP(A235, AutoFill_names!B:B, AutoFill_names!K:K,"")=0,"",_xlfn.XLOOKUP(A235, AutoFill_names!B:B, AutoFill_names!K:K,""))</f>
        <v/>
      </c>
      <c r="K235" s="115" t="str">
        <f>IF(_xlfn.XLOOKUP(A235, AutoFill_names!B:B, AutoFill_names!L:L,"")=0,"",_xlfn.XLOOKUP(A235, AutoFill_names!B:B, AutoFill_names!L:L,""))</f>
        <v/>
      </c>
      <c r="L235" s="31"/>
      <c r="M235" s="31"/>
      <c r="N235" s="117" t="str">
        <f>IF(_xlfn.XLOOKUP(L235, AutoFill_classes!A:A, AutoFill_classes!B:B,"")=0,"",_xlfn.XLOOKUP(L235, AutoFill_classes!A:A, AutoFill_classes!B:B,""))</f>
        <v/>
      </c>
      <c r="O235" s="108"/>
      <c r="P235" s="6"/>
      <c r="Q235" s="6"/>
      <c r="R235" s="6"/>
      <c r="X235" s="63"/>
      <c r="Y235" s="19"/>
      <c r="Z235" s="121" t="str">
        <f t="shared" si="189"/>
        <v/>
      </c>
      <c r="AA235" s="20"/>
      <c r="AB235" s="20"/>
      <c r="AC235" s="20"/>
      <c r="AD235" s="20"/>
      <c r="AE235" s="125" t="str">
        <f t="shared" si="190"/>
        <v/>
      </c>
      <c r="AF235" s="14"/>
      <c r="AG235" s="125" t="str">
        <f t="shared" si="191"/>
        <v/>
      </c>
      <c r="AH235" s="20"/>
      <c r="AI235" s="20"/>
      <c r="AJ235" s="125" t="str">
        <f t="shared" si="192"/>
        <v/>
      </c>
      <c r="AK235" s="14"/>
      <c r="AL235" s="125" t="str">
        <f t="shared" si="193"/>
        <v/>
      </c>
      <c r="AM235" s="20"/>
      <c r="AN235" s="20"/>
      <c r="AO235" s="125" t="str">
        <f t="shared" si="194"/>
        <v/>
      </c>
      <c r="AP235" s="125" t="str">
        <f t="shared" si="195"/>
        <v/>
      </c>
      <c r="AQ235" s="125" t="str">
        <f t="shared" si="196"/>
        <v/>
      </c>
      <c r="AR235" s="129" t="str">
        <f t="shared" si="197"/>
        <v/>
      </c>
      <c r="AS235" s="14"/>
      <c r="AT235" s="33"/>
      <c r="AU235" s="33"/>
      <c r="AV235" s="117" t="str">
        <f>IF(_xlfn.XLOOKUP(AT235, AutoFill_classes!$A:$A, AutoFill_classes!$B:$B,"")=0,"",_xlfn.XLOOKUP(AT235, AutoFill_classes!$A:$A, AutoFill_classes!$B:$B,""))</f>
        <v/>
      </c>
      <c r="AW235" s="108"/>
      <c r="AX235" s="11"/>
      <c r="AY235" s="12"/>
      <c r="AZ235" s="11"/>
      <c r="BA235" s="13"/>
      <c r="BB235" s="13"/>
      <c r="BC235" s="63"/>
      <c r="BD235" s="19"/>
      <c r="BE235" s="121" t="str">
        <f t="shared" si="198"/>
        <v/>
      </c>
      <c r="BF235" s="20"/>
      <c r="BG235" s="20"/>
      <c r="BH235" s="20"/>
      <c r="BI235" s="20"/>
      <c r="BJ235" s="125" t="str">
        <f t="shared" si="199"/>
        <v/>
      </c>
      <c r="BK235" s="14"/>
      <c r="BL235" s="125" t="str">
        <f t="shared" si="200"/>
        <v/>
      </c>
      <c r="BM235" s="20"/>
      <c r="BN235" s="20"/>
      <c r="BO235" s="125" t="str">
        <f t="shared" si="201"/>
        <v/>
      </c>
      <c r="BP235" s="14"/>
      <c r="BQ235" s="125" t="str">
        <f t="shared" si="202"/>
        <v/>
      </c>
      <c r="BR235" s="20"/>
      <c r="BS235" s="20"/>
      <c r="BT235" s="125" t="str">
        <f t="shared" si="203"/>
        <v/>
      </c>
      <c r="BU235" s="125" t="str">
        <f t="shared" si="204"/>
        <v/>
      </c>
      <c r="BV235" s="125" t="str">
        <f t="shared" si="205"/>
        <v/>
      </c>
      <c r="BW235" s="129" t="str">
        <f t="shared" si="206"/>
        <v/>
      </c>
      <c r="BX235" s="11"/>
      <c r="BY235" s="15"/>
      <c r="BZ235" s="14"/>
      <c r="CA235" s="117" t="str">
        <f>IF(_xlfn.XLOOKUP(BY235, AutoFill_classes!$A:$A, AutoFill_classes!$B:$B,"")=0,"",_xlfn.XLOOKUP(BY235, AutoFill_classes!$A:$A, AutoFill_classes!$B:$B,""))</f>
        <v/>
      </c>
      <c r="CB235" s="108"/>
      <c r="CC235" s="14"/>
      <c r="CD235" s="14"/>
      <c r="CE235" s="14"/>
      <c r="CF235" s="21"/>
      <c r="CG235" s="22"/>
      <c r="CH235" s="63"/>
      <c r="CI235" s="23"/>
      <c r="CJ235" s="121" t="str">
        <f t="shared" si="207"/>
        <v/>
      </c>
      <c r="CK235" s="20"/>
      <c r="CL235" s="20"/>
      <c r="CM235" s="20"/>
      <c r="CN235" s="20"/>
      <c r="CO235" s="125" t="str">
        <f t="shared" si="208"/>
        <v/>
      </c>
      <c r="CP235" s="14"/>
      <c r="CQ235" s="125" t="str">
        <f t="shared" si="209"/>
        <v/>
      </c>
      <c r="CR235" s="20"/>
      <c r="CS235" s="20"/>
      <c r="CT235" s="125" t="str">
        <f t="shared" si="210"/>
        <v/>
      </c>
      <c r="CU235" s="14"/>
      <c r="CV235" s="125" t="str">
        <f t="shared" si="211"/>
        <v/>
      </c>
      <c r="CW235" s="20"/>
      <c r="CX235" s="20"/>
      <c r="CY235" s="125" t="str">
        <f t="shared" si="212"/>
        <v/>
      </c>
      <c r="CZ235" s="125" t="str">
        <f t="shared" si="213"/>
        <v/>
      </c>
      <c r="DA235" s="125" t="str">
        <f t="shared" si="214"/>
        <v/>
      </c>
      <c r="DB235" s="129" t="str">
        <f t="shared" si="215"/>
        <v/>
      </c>
      <c r="DC235" s="14"/>
      <c r="DD235" s="62"/>
      <c r="DE235" s="105">
        <v>233</v>
      </c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</row>
    <row r="236" spans="1:176" s="1" customFormat="1" ht="13" hidden="1" customHeight="1" outlineLevel="1" x14ac:dyDescent="0.2">
      <c r="A236" s="4"/>
      <c r="B236" s="115" t="str">
        <f>IF(_xlfn.XLOOKUP(A236, AutoFill_names!B:B, AutoFill_names!C:C,"")=0,"",_xlfn.XLOOKUP(A236, AutoFill_names!B:B, AutoFill_names!C:C,""))</f>
        <v/>
      </c>
      <c r="C236" s="115" t="str">
        <f>IF(_xlfn.XLOOKUP(A236, AutoFill_names!B:B, AutoFill_names!D:D,"")=0,"",_xlfn.XLOOKUP(A236, AutoFill_names!B:B, AutoFill_names!D:D,""))</f>
        <v/>
      </c>
      <c r="D236" s="115" t="str">
        <f>IF(_xlfn.XLOOKUP(A236, AutoFill_names!B:B, AutoFill_names!E:E,"")=0,"",_xlfn.XLOOKUP(A236, AutoFill_names!B:B, AutoFill_names!E:E,""))</f>
        <v/>
      </c>
      <c r="E236" s="115" t="str">
        <f>IF(_xlfn.XLOOKUP(A236, AutoFill_names!B:B, AutoFill_names!F:F,"")=0,"",_xlfn.XLOOKUP(A236, AutoFill_names!B:B, AutoFill_names!F:F,""))</f>
        <v/>
      </c>
      <c r="F236" s="92"/>
      <c r="J236" s="115" t="str">
        <f>IF(_xlfn.XLOOKUP(A236, AutoFill_names!B:B, AutoFill_names!K:K,"")=0,"",_xlfn.XLOOKUP(A236, AutoFill_names!B:B, AutoFill_names!K:K,""))</f>
        <v/>
      </c>
      <c r="K236" s="115" t="str">
        <f>IF(_xlfn.XLOOKUP(A236, AutoFill_names!B:B, AutoFill_names!L:L,"")=0,"",_xlfn.XLOOKUP(A236, AutoFill_names!B:B, AutoFill_names!L:L,""))</f>
        <v/>
      </c>
      <c r="L236" s="31"/>
      <c r="M236" s="31"/>
      <c r="N236" s="117" t="str">
        <f>IF(_xlfn.XLOOKUP(L236, AutoFill_classes!A:A, AutoFill_classes!B:B,"")=0,"",_xlfn.XLOOKUP(L236, AutoFill_classes!A:A, AutoFill_classes!B:B,""))</f>
        <v/>
      </c>
      <c r="O236" s="108"/>
      <c r="P236" s="6"/>
      <c r="Q236" s="6"/>
      <c r="R236" s="6"/>
      <c r="X236" s="63"/>
      <c r="Y236" s="19"/>
      <c r="Z236" s="121" t="str">
        <f t="shared" si="189"/>
        <v/>
      </c>
      <c r="AA236" s="20"/>
      <c r="AB236" s="20"/>
      <c r="AC236" s="20"/>
      <c r="AD236" s="20"/>
      <c r="AE236" s="125" t="str">
        <f t="shared" si="190"/>
        <v/>
      </c>
      <c r="AF236" s="14"/>
      <c r="AG236" s="125" t="str">
        <f t="shared" si="191"/>
        <v/>
      </c>
      <c r="AH236" s="20"/>
      <c r="AI236" s="20"/>
      <c r="AJ236" s="125" t="str">
        <f t="shared" si="192"/>
        <v/>
      </c>
      <c r="AK236" s="14"/>
      <c r="AL236" s="125" t="str">
        <f t="shared" si="193"/>
        <v/>
      </c>
      <c r="AM236" s="20"/>
      <c r="AN236" s="20"/>
      <c r="AO236" s="125" t="str">
        <f t="shared" si="194"/>
        <v/>
      </c>
      <c r="AP236" s="125" t="str">
        <f t="shared" si="195"/>
        <v/>
      </c>
      <c r="AQ236" s="125" t="str">
        <f t="shared" si="196"/>
        <v/>
      </c>
      <c r="AR236" s="129" t="str">
        <f t="shared" si="197"/>
        <v/>
      </c>
      <c r="AS236" s="14"/>
      <c r="AT236" s="33"/>
      <c r="AU236" s="33"/>
      <c r="AV236" s="117" t="str">
        <f>IF(_xlfn.XLOOKUP(AT236, AutoFill_classes!$A:$A, AutoFill_classes!$B:$B,"")=0,"",_xlfn.XLOOKUP(AT236, AutoFill_classes!$A:$A, AutoFill_classes!$B:$B,""))</f>
        <v/>
      </c>
      <c r="AW236" s="108"/>
      <c r="AX236" s="11"/>
      <c r="AY236" s="12"/>
      <c r="AZ236" s="11"/>
      <c r="BA236" s="13"/>
      <c r="BB236" s="13"/>
      <c r="BC236" s="63"/>
      <c r="BD236" s="19"/>
      <c r="BE236" s="121" t="str">
        <f t="shared" si="198"/>
        <v/>
      </c>
      <c r="BF236" s="20"/>
      <c r="BG236" s="20"/>
      <c r="BH236" s="20"/>
      <c r="BI236" s="20"/>
      <c r="BJ236" s="125" t="str">
        <f t="shared" si="199"/>
        <v/>
      </c>
      <c r="BK236" s="14"/>
      <c r="BL236" s="125" t="str">
        <f t="shared" si="200"/>
        <v/>
      </c>
      <c r="BM236" s="20"/>
      <c r="BN236" s="20"/>
      <c r="BO236" s="125" t="str">
        <f t="shared" si="201"/>
        <v/>
      </c>
      <c r="BP236" s="14"/>
      <c r="BQ236" s="125" t="str">
        <f t="shared" si="202"/>
        <v/>
      </c>
      <c r="BR236" s="20"/>
      <c r="BS236" s="20"/>
      <c r="BT236" s="125" t="str">
        <f t="shared" si="203"/>
        <v/>
      </c>
      <c r="BU236" s="125" t="str">
        <f t="shared" si="204"/>
        <v/>
      </c>
      <c r="BV236" s="125" t="str">
        <f t="shared" si="205"/>
        <v/>
      </c>
      <c r="BW236" s="129" t="str">
        <f t="shared" si="206"/>
        <v/>
      </c>
      <c r="BX236" s="11"/>
      <c r="BY236" s="15"/>
      <c r="BZ236" s="14"/>
      <c r="CA236" s="117" t="str">
        <f>IF(_xlfn.XLOOKUP(BY236, AutoFill_classes!$A:$A, AutoFill_classes!$B:$B,"")=0,"",_xlfn.XLOOKUP(BY236, AutoFill_classes!$A:$A, AutoFill_classes!$B:$B,""))</f>
        <v/>
      </c>
      <c r="CB236" s="108"/>
      <c r="CC236" s="14"/>
      <c r="CD236" s="14"/>
      <c r="CE236" s="14"/>
      <c r="CF236" s="21"/>
      <c r="CG236" s="22"/>
      <c r="CH236" s="63"/>
      <c r="CI236" s="23"/>
      <c r="CJ236" s="121" t="str">
        <f t="shared" si="207"/>
        <v/>
      </c>
      <c r="CK236" s="20"/>
      <c r="CL236" s="20"/>
      <c r="CM236" s="20"/>
      <c r="CN236" s="20"/>
      <c r="CO236" s="125" t="str">
        <f t="shared" si="208"/>
        <v/>
      </c>
      <c r="CP236" s="14"/>
      <c r="CQ236" s="125" t="str">
        <f t="shared" si="209"/>
        <v/>
      </c>
      <c r="CR236" s="20"/>
      <c r="CS236" s="20"/>
      <c r="CT236" s="125" t="str">
        <f t="shared" si="210"/>
        <v/>
      </c>
      <c r="CU236" s="14"/>
      <c r="CV236" s="125" t="str">
        <f t="shared" si="211"/>
        <v/>
      </c>
      <c r="CW236" s="20"/>
      <c r="CX236" s="20"/>
      <c r="CY236" s="125" t="str">
        <f t="shared" si="212"/>
        <v/>
      </c>
      <c r="CZ236" s="125" t="str">
        <f t="shared" si="213"/>
        <v/>
      </c>
      <c r="DA236" s="125" t="str">
        <f t="shared" si="214"/>
        <v/>
      </c>
      <c r="DB236" s="129" t="str">
        <f t="shared" si="215"/>
        <v/>
      </c>
      <c r="DC236" s="14"/>
      <c r="DD236" s="62"/>
      <c r="DE236" s="105">
        <v>234</v>
      </c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</row>
    <row r="237" spans="1:176" s="1" customFormat="1" ht="13" hidden="1" customHeight="1" outlineLevel="1" x14ac:dyDescent="0.2">
      <c r="A237" s="4"/>
      <c r="B237" s="115" t="str">
        <f>IF(_xlfn.XLOOKUP(A237, AutoFill_names!B:B, AutoFill_names!C:C,"")=0,"",_xlfn.XLOOKUP(A237, AutoFill_names!B:B, AutoFill_names!C:C,""))</f>
        <v/>
      </c>
      <c r="C237" s="115" t="str">
        <f>IF(_xlfn.XLOOKUP(A237, AutoFill_names!B:B, AutoFill_names!D:D,"")=0,"",_xlfn.XLOOKUP(A237, AutoFill_names!B:B, AutoFill_names!D:D,""))</f>
        <v/>
      </c>
      <c r="D237" s="115" t="str">
        <f>IF(_xlfn.XLOOKUP(A237, AutoFill_names!B:B, AutoFill_names!E:E,"")=0,"",_xlfn.XLOOKUP(A237, AutoFill_names!B:B, AutoFill_names!E:E,""))</f>
        <v/>
      </c>
      <c r="E237" s="115" t="str">
        <f>IF(_xlfn.XLOOKUP(A237, AutoFill_names!B:B, AutoFill_names!F:F,"")=0,"",_xlfn.XLOOKUP(A237, AutoFill_names!B:B, AutoFill_names!F:F,""))</f>
        <v/>
      </c>
      <c r="F237" s="92"/>
      <c r="J237" s="115" t="str">
        <f>IF(_xlfn.XLOOKUP(A237, AutoFill_names!B:B, AutoFill_names!K:K,"")=0,"",_xlfn.XLOOKUP(A237, AutoFill_names!B:B, AutoFill_names!K:K,""))</f>
        <v/>
      </c>
      <c r="K237" s="115" t="str">
        <f>IF(_xlfn.XLOOKUP(A237, AutoFill_names!B:B, AutoFill_names!L:L,"")=0,"",_xlfn.XLOOKUP(A237, AutoFill_names!B:B, AutoFill_names!L:L,""))</f>
        <v/>
      </c>
      <c r="L237" s="31"/>
      <c r="M237" s="31"/>
      <c r="N237" s="117" t="str">
        <f>IF(_xlfn.XLOOKUP(L237, AutoFill_classes!A:A, AutoFill_classes!B:B,"")=0,"",_xlfn.XLOOKUP(L237, AutoFill_classes!A:A, AutoFill_classes!B:B,""))</f>
        <v/>
      </c>
      <c r="O237" s="108"/>
      <c r="P237" s="6"/>
      <c r="Q237" s="6"/>
      <c r="R237" s="6"/>
      <c r="X237" s="63"/>
      <c r="Y237" s="19"/>
      <c r="Z237" s="121" t="str">
        <f t="shared" si="189"/>
        <v/>
      </c>
      <c r="AA237" s="20"/>
      <c r="AB237" s="20"/>
      <c r="AC237" s="20"/>
      <c r="AD237" s="20"/>
      <c r="AE237" s="125" t="str">
        <f t="shared" si="190"/>
        <v/>
      </c>
      <c r="AF237" s="14"/>
      <c r="AG237" s="125" t="str">
        <f t="shared" si="191"/>
        <v/>
      </c>
      <c r="AH237" s="20"/>
      <c r="AI237" s="20"/>
      <c r="AJ237" s="125" t="str">
        <f t="shared" si="192"/>
        <v/>
      </c>
      <c r="AK237" s="14"/>
      <c r="AL237" s="125" t="str">
        <f t="shared" si="193"/>
        <v/>
      </c>
      <c r="AM237" s="20"/>
      <c r="AN237" s="20"/>
      <c r="AO237" s="125" t="str">
        <f t="shared" si="194"/>
        <v/>
      </c>
      <c r="AP237" s="125" t="str">
        <f t="shared" si="195"/>
        <v/>
      </c>
      <c r="AQ237" s="125" t="str">
        <f t="shared" si="196"/>
        <v/>
      </c>
      <c r="AR237" s="129" t="str">
        <f t="shared" si="197"/>
        <v/>
      </c>
      <c r="AS237" s="14"/>
      <c r="AT237" s="33"/>
      <c r="AU237" s="33"/>
      <c r="AV237" s="117" t="str">
        <f>IF(_xlfn.XLOOKUP(AT237, AutoFill_classes!$A:$A, AutoFill_classes!$B:$B,"")=0,"",_xlfn.XLOOKUP(AT237, AutoFill_classes!$A:$A, AutoFill_classes!$B:$B,""))</f>
        <v/>
      </c>
      <c r="AW237" s="108"/>
      <c r="AX237" s="11"/>
      <c r="AY237" s="12"/>
      <c r="AZ237" s="11"/>
      <c r="BA237" s="13"/>
      <c r="BB237" s="13"/>
      <c r="BC237" s="63"/>
      <c r="BD237" s="19"/>
      <c r="BE237" s="121" t="str">
        <f t="shared" si="198"/>
        <v/>
      </c>
      <c r="BF237" s="20"/>
      <c r="BG237" s="20"/>
      <c r="BH237" s="20"/>
      <c r="BI237" s="20"/>
      <c r="BJ237" s="125" t="str">
        <f t="shared" si="199"/>
        <v/>
      </c>
      <c r="BK237" s="14"/>
      <c r="BL237" s="125" t="str">
        <f t="shared" si="200"/>
        <v/>
      </c>
      <c r="BM237" s="20"/>
      <c r="BN237" s="20"/>
      <c r="BO237" s="125" t="str">
        <f t="shared" si="201"/>
        <v/>
      </c>
      <c r="BP237" s="14"/>
      <c r="BQ237" s="125" t="str">
        <f t="shared" si="202"/>
        <v/>
      </c>
      <c r="BR237" s="20"/>
      <c r="BS237" s="20"/>
      <c r="BT237" s="125" t="str">
        <f t="shared" si="203"/>
        <v/>
      </c>
      <c r="BU237" s="125" t="str">
        <f t="shared" si="204"/>
        <v/>
      </c>
      <c r="BV237" s="125" t="str">
        <f t="shared" si="205"/>
        <v/>
      </c>
      <c r="BW237" s="129" t="str">
        <f t="shared" si="206"/>
        <v/>
      </c>
      <c r="BX237" s="11"/>
      <c r="BY237" s="15"/>
      <c r="BZ237" s="14"/>
      <c r="CA237" s="117" t="str">
        <f>IF(_xlfn.XLOOKUP(BY237, AutoFill_classes!$A:$A, AutoFill_classes!$B:$B,"")=0,"",_xlfn.XLOOKUP(BY237, AutoFill_classes!$A:$A, AutoFill_classes!$B:$B,""))</f>
        <v/>
      </c>
      <c r="CB237" s="108"/>
      <c r="CC237" s="14"/>
      <c r="CD237" s="14"/>
      <c r="CE237" s="14"/>
      <c r="CF237" s="21"/>
      <c r="CG237" s="22"/>
      <c r="CH237" s="63"/>
      <c r="CI237" s="23"/>
      <c r="CJ237" s="121" t="str">
        <f t="shared" si="207"/>
        <v/>
      </c>
      <c r="CK237" s="20"/>
      <c r="CL237" s="20"/>
      <c r="CM237" s="20"/>
      <c r="CN237" s="20"/>
      <c r="CO237" s="125" t="str">
        <f t="shared" si="208"/>
        <v/>
      </c>
      <c r="CP237" s="14"/>
      <c r="CQ237" s="125" t="str">
        <f t="shared" si="209"/>
        <v/>
      </c>
      <c r="CR237" s="20"/>
      <c r="CS237" s="20"/>
      <c r="CT237" s="125" t="str">
        <f t="shared" si="210"/>
        <v/>
      </c>
      <c r="CU237" s="14"/>
      <c r="CV237" s="125" t="str">
        <f t="shared" si="211"/>
        <v/>
      </c>
      <c r="CW237" s="20"/>
      <c r="CX237" s="20"/>
      <c r="CY237" s="125" t="str">
        <f t="shared" si="212"/>
        <v/>
      </c>
      <c r="CZ237" s="125" t="str">
        <f t="shared" si="213"/>
        <v/>
      </c>
      <c r="DA237" s="125" t="str">
        <f t="shared" si="214"/>
        <v/>
      </c>
      <c r="DB237" s="129" t="str">
        <f t="shared" si="215"/>
        <v/>
      </c>
      <c r="DC237" s="14"/>
      <c r="DD237" s="62"/>
      <c r="DE237" s="105">
        <v>235</v>
      </c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</row>
    <row r="238" spans="1:176" s="1" customFormat="1" ht="13" hidden="1" customHeight="1" outlineLevel="1" x14ac:dyDescent="0.2">
      <c r="A238" s="4"/>
      <c r="B238" s="115" t="str">
        <f>IF(_xlfn.XLOOKUP(A238, AutoFill_names!B:B, AutoFill_names!C:C,"")=0,"",_xlfn.XLOOKUP(A238, AutoFill_names!B:B, AutoFill_names!C:C,""))</f>
        <v/>
      </c>
      <c r="C238" s="115" t="str">
        <f>IF(_xlfn.XLOOKUP(A238, AutoFill_names!B:B, AutoFill_names!D:D,"")=0,"",_xlfn.XLOOKUP(A238, AutoFill_names!B:B, AutoFill_names!D:D,""))</f>
        <v/>
      </c>
      <c r="D238" s="115" t="str">
        <f>IF(_xlfn.XLOOKUP(A238, AutoFill_names!B:B, AutoFill_names!E:E,"")=0,"",_xlfn.XLOOKUP(A238, AutoFill_names!B:B, AutoFill_names!E:E,""))</f>
        <v/>
      </c>
      <c r="E238" s="115" t="str">
        <f>IF(_xlfn.XLOOKUP(A238, AutoFill_names!B:B, AutoFill_names!F:F,"")=0,"",_xlfn.XLOOKUP(A238, AutoFill_names!B:B, AutoFill_names!F:F,""))</f>
        <v/>
      </c>
      <c r="F238" s="92"/>
      <c r="J238" s="115" t="str">
        <f>IF(_xlfn.XLOOKUP(A238, AutoFill_names!B:B, AutoFill_names!K:K,"")=0,"",_xlfn.XLOOKUP(A238, AutoFill_names!B:B, AutoFill_names!K:K,""))</f>
        <v/>
      </c>
      <c r="K238" s="115" t="str">
        <f>IF(_xlfn.XLOOKUP(A238, AutoFill_names!B:B, AutoFill_names!L:L,"")=0,"",_xlfn.XLOOKUP(A238, AutoFill_names!B:B, AutoFill_names!L:L,""))</f>
        <v/>
      </c>
      <c r="L238" s="31"/>
      <c r="M238" s="31"/>
      <c r="N238" s="117" t="str">
        <f>IF(_xlfn.XLOOKUP(L238, AutoFill_classes!A:A, AutoFill_classes!B:B,"")=0,"",_xlfn.XLOOKUP(L238, AutoFill_classes!A:A, AutoFill_classes!B:B,""))</f>
        <v/>
      </c>
      <c r="O238" s="108"/>
      <c r="P238" s="6"/>
      <c r="Q238" s="6"/>
      <c r="R238" s="6"/>
      <c r="X238" s="63"/>
      <c r="Y238" s="19"/>
      <c r="Z238" s="121" t="str">
        <f t="shared" si="189"/>
        <v/>
      </c>
      <c r="AA238" s="20"/>
      <c r="AB238" s="20"/>
      <c r="AC238" s="20"/>
      <c r="AD238" s="20"/>
      <c r="AE238" s="125" t="str">
        <f t="shared" si="190"/>
        <v/>
      </c>
      <c r="AF238" s="14"/>
      <c r="AG238" s="125" t="str">
        <f t="shared" si="191"/>
        <v/>
      </c>
      <c r="AH238" s="20"/>
      <c r="AI238" s="20"/>
      <c r="AJ238" s="125" t="str">
        <f t="shared" si="192"/>
        <v/>
      </c>
      <c r="AK238" s="14"/>
      <c r="AL238" s="125" t="str">
        <f t="shared" si="193"/>
        <v/>
      </c>
      <c r="AM238" s="20"/>
      <c r="AN238" s="20"/>
      <c r="AO238" s="125" t="str">
        <f t="shared" si="194"/>
        <v/>
      </c>
      <c r="AP238" s="125" t="str">
        <f t="shared" si="195"/>
        <v/>
      </c>
      <c r="AQ238" s="125" t="str">
        <f t="shared" si="196"/>
        <v/>
      </c>
      <c r="AR238" s="129" t="str">
        <f t="shared" si="197"/>
        <v/>
      </c>
      <c r="AS238" s="14"/>
      <c r="AT238" s="33"/>
      <c r="AU238" s="33"/>
      <c r="AV238" s="117" t="str">
        <f>IF(_xlfn.XLOOKUP(AT238, AutoFill_classes!$A:$A, AutoFill_classes!$B:$B,"")=0,"",_xlfn.XLOOKUP(AT238, AutoFill_classes!$A:$A, AutoFill_classes!$B:$B,""))</f>
        <v/>
      </c>
      <c r="AW238" s="108"/>
      <c r="AX238" s="11"/>
      <c r="AY238" s="12"/>
      <c r="AZ238" s="11"/>
      <c r="BA238" s="13"/>
      <c r="BB238" s="13"/>
      <c r="BC238" s="63"/>
      <c r="BD238" s="19"/>
      <c r="BE238" s="121" t="str">
        <f t="shared" si="198"/>
        <v/>
      </c>
      <c r="BF238" s="20"/>
      <c r="BG238" s="20"/>
      <c r="BH238" s="20"/>
      <c r="BI238" s="20"/>
      <c r="BJ238" s="125" t="str">
        <f t="shared" si="199"/>
        <v/>
      </c>
      <c r="BK238" s="14"/>
      <c r="BL238" s="125" t="str">
        <f t="shared" si="200"/>
        <v/>
      </c>
      <c r="BM238" s="20"/>
      <c r="BN238" s="20"/>
      <c r="BO238" s="125" t="str">
        <f t="shared" si="201"/>
        <v/>
      </c>
      <c r="BP238" s="14"/>
      <c r="BQ238" s="125" t="str">
        <f t="shared" si="202"/>
        <v/>
      </c>
      <c r="BR238" s="20"/>
      <c r="BS238" s="20"/>
      <c r="BT238" s="125" t="str">
        <f t="shared" si="203"/>
        <v/>
      </c>
      <c r="BU238" s="125" t="str">
        <f t="shared" si="204"/>
        <v/>
      </c>
      <c r="BV238" s="125" t="str">
        <f t="shared" si="205"/>
        <v/>
      </c>
      <c r="BW238" s="129" t="str">
        <f t="shared" si="206"/>
        <v/>
      </c>
      <c r="BX238" s="11"/>
      <c r="BY238" s="15"/>
      <c r="BZ238" s="14"/>
      <c r="CA238" s="117" t="str">
        <f>IF(_xlfn.XLOOKUP(BY238, AutoFill_classes!$A:$A, AutoFill_classes!$B:$B,"")=0,"",_xlfn.XLOOKUP(BY238, AutoFill_classes!$A:$A, AutoFill_classes!$B:$B,""))</f>
        <v/>
      </c>
      <c r="CB238" s="108"/>
      <c r="CC238" s="14"/>
      <c r="CD238" s="14"/>
      <c r="CE238" s="14"/>
      <c r="CF238" s="21"/>
      <c r="CG238" s="22"/>
      <c r="CH238" s="63"/>
      <c r="CI238" s="23"/>
      <c r="CJ238" s="121" t="str">
        <f t="shared" si="207"/>
        <v/>
      </c>
      <c r="CK238" s="20"/>
      <c r="CL238" s="20"/>
      <c r="CM238" s="20"/>
      <c r="CN238" s="20"/>
      <c r="CO238" s="125" t="str">
        <f t="shared" si="208"/>
        <v/>
      </c>
      <c r="CP238" s="14"/>
      <c r="CQ238" s="125" t="str">
        <f t="shared" si="209"/>
        <v/>
      </c>
      <c r="CR238" s="20"/>
      <c r="CS238" s="20"/>
      <c r="CT238" s="125" t="str">
        <f t="shared" si="210"/>
        <v/>
      </c>
      <c r="CU238" s="14"/>
      <c r="CV238" s="125" t="str">
        <f t="shared" si="211"/>
        <v/>
      </c>
      <c r="CW238" s="20"/>
      <c r="CX238" s="20"/>
      <c r="CY238" s="125" t="str">
        <f t="shared" si="212"/>
        <v/>
      </c>
      <c r="CZ238" s="125" t="str">
        <f t="shared" si="213"/>
        <v/>
      </c>
      <c r="DA238" s="125" t="str">
        <f t="shared" si="214"/>
        <v/>
      </c>
      <c r="DB238" s="129" t="str">
        <f t="shared" si="215"/>
        <v/>
      </c>
      <c r="DC238" s="14"/>
      <c r="DD238" s="62"/>
      <c r="DE238" s="105">
        <v>236</v>
      </c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</row>
    <row r="239" spans="1:176" s="1" customFormat="1" ht="13" hidden="1" customHeight="1" outlineLevel="1" x14ac:dyDescent="0.2">
      <c r="A239" s="4"/>
      <c r="B239" s="115" t="str">
        <f>IF(_xlfn.XLOOKUP(A239, AutoFill_names!B:B, AutoFill_names!C:C,"")=0,"",_xlfn.XLOOKUP(A239, AutoFill_names!B:B, AutoFill_names!C:C,""))</f>
        <v/>
      </c>
      <c r="C239" s="115" t="str">
        <f>IF(_xlfn.XLOOKUP(A239, AutoFill_names!B:B, AutoFill_names!D:D,"")=0,"",_xlfn.XLOOKUP(A239, AutoFill_names!B:B, AutoFill_names!D:D,""))</f>
        <v/>
      </c>
      <c r="D239" s="115" t="str">
        <f>IF(_xlfn.XLOOKUP(A239, AutoFill_names!B:B, AutoFill_names!E:E,"")=0,"",_xlfn.XLOOKUP(A239, AutoFill_names!B:B, AutoFill_names!E:E,""))</f>
        <v/>
      </c>
      <c r="E239" s="115" t="str">
        <f>IF(_xlfn.XLOOKUP(A239, AutoFill_names!B:B, AutoFill_names!F:F,"")=0,"",_xlfn.XLOOKUP(A239, AutoFill_names!B:B, AutoFill_names!F:F,""))</f>
        <v/>
      </c>
      <c r="F239" s="92"/>
      <c r="J239" s="115" t="str">
        <f>IF(_xlfn.XLOOKUP(A239, AutoFill_names!B:B, AutoFill_names!K:K,"")=0,"",_xlfn.XLOOKUP(A239, AutoFill_names!B:B, AutoFill_names!K:K,""))</f>
        <v/>
      </c>
      <c r="K239" s="115" t="str">
        <f>IF(_xlfn.XLOOKUP(A239, AutoFill_names!B:B, AutoFill_names!L:L,"")=0,"",_xlfn.XLOOKUP(A239, AutoFill_names!B:B, AutoFill_names!L:L,""))</f>
        <v/>
      </c>
      <c r="L239" s="31"/>
      <c r="M239" s="31"/>
      <c r="N239" s="117" t="str">
        <f>IF(_xlfn.XLOOKUP(L239, AutoFill_classes!A:A, AutoFill_classes!B:B,"")=0,"",_xlfn.XLOOKUP(L239, AutoFill_classes!A:A, AutoFill_classes!B:B,""))</f>
        <v/>
      </c>
      <c r="O239" s="108"/>
      <c r="P239" s="6"/>
      <c r="Q239" s="6"/>
      <c r="R239" s="6"/>
      <c r="X239" s="63"/>
      <c r="Y239" s="19"/>
      <c r="Z239" s="121" t="str">
        <f t="shared" si="189"/>
        <v/>
      </c>
      <c r="AA239" s="20"/>
      <c r="AB239" s="20"/>
      <c r="AC239" s="20"/>
      <c r="AD239" s="20"/>
      <c r="AE239" s="125" t="str">
        <f t="shared" si="190"/>
        <v/>
      </c>
      <c r="AF239" s="14"/>
      <c r="AG239" s="125" t="str">
        <f t="shared" si="191"/>
        <v/>
      </c>
      <c r="AH239" s="20"/>
      <c r="AI239" s="20"/>
      <c r="AJ239" s="125" t="str">
        <f t="shared" si="192"/>
        <v/>
      </c>
      <c r="AK239" s="14"/>
      <c r="AL239" s="125" t="str">
        <f t="shared" si="193"/>
        <v/>
      </c>
      <c r="AM239" s="20"/>
      <c r="AN239" s="20"/>
      <c r="AO239" s="125" t="str">
        <f t="shared" si="194"/>
        <v/>
      </c>
      <c r="AP239" s="125" t="str">
        <f t="shared" si="195"/>
        <v/>
      </c>
      <c r="AQ239" s="125" t="str">
        <f t="shared" si="196"/>
        <v/>
      </c>
      <c r="AR239" s="129" t="str">
        <f t="shared" si="197"/>
        <v/>
      </c>
      <c r="AS239" s="14"/>
      <c r="AT239" s="33"/>
      <c r="AU239" s="33"/>
      <c r="AV239" s="117" t="str">
        <f>IF(_xlfn.XLOOKUP(AT239, AutoFill_classes!$A:$A, AutoFill_classes!$B:$B,"")=0,"",_xlfn.XLOOKUP(AT239, AutoFill_classes!$A:$A, AutoFill_classes!$B:$B,""))</f>
        <v/>
      </c>
      <c r="AW239" s="108"/>
      <c r="AX239" s="11"/>
      <c r="AY239" s="12"/>
      <c r="AZ239" s="11"/>
      <c r="BA239" s="13"/>
      <c r="BB239" s="13"/>
      <c r="BC239" s="63"/>
      <c r="BD239" s="19"/>
      <c r="BE239" s="121" t="str">
        <f t="shared" si="198"/>
        <v/>
      </c>
      <c r="BF239" s="20"/>
      <c r="BG239" s="20"/>
      <c r="BH239" s="20"/>
      <c r="BI239" s="20"/>
      <c r="BJ239" s="125" t="str">
        <f t="shared" si="199"/>
        <v/>
      </c>
      <c r="BK239" s="14"/>
      <c r="BL239" s="125" t="str">
        <f t="shared" si="200"/>
        <v/>
      </c>
      <c r="BM239" s="20"/>
      <c r="BN239" s="20"/>
      <c r="BO239" s="125" t="str">
        <f t="shared" si="201"/>
        <v/>
      </c>
      <c r="BP239" s="14"/>
      <c r="BQ239" s="125" t="str">
        <f t="shared" si="202"/>
        <v/>
      </c>
      <c r="BR239" s="20"/>
      <c r="BS239" s="20"/>
      <c r="BT239" s="125" t="str">
        <f t="shared" si="203"/>
        <v/>
      </c>
      <c r="BU239" s="125" t="str">
        <f t="shared" si="204"/>
        <v/>
      </c>
      <c r="BV239" s="125" t="str">
        <f t="shared" si="205"/>
        <v/>
      </c>
      <c r="BW239" s="129" t="str">
        <f t="shared" si="206"/>
        <v/>
      </c>
      <c r="BX239" s="11"/>
      <c r="BY239" s="15"/>
      <c r="BZ239" s="14"/>
      <c r="CA239" s="117" t="str">
        <f>IF(_xlfn.XLOOKUP(BY239, AutoFill_classes!$A:$A, AutoFill_classes!$B:$B,"")=0,"",_xlfn.XLOOKUP(BY239, AutoFill_classes!$A:$A, AutoFill_classes!$B:$B,""))</f>
        <v/>
      </c>
      <c r="CB239" s="108"/>
      <c r="CC239" s="14"/>
      <c r="CD239" s="14"/>
      <c r="CE239" s="14"/>
      <c r="CF239" s="21"/>
      <c r="CG239" s="22"/>
      <c r="CH239" s="63"/>
      <c r="CI239" s="23"/>
      <c r="CJ239" s="121" t="str">
        <f t="shared" si="207"/>
        <v/>
      </c>
      <c r="CK239" s="20"/>
      <c r="CL239" s="20"/>
      <c r="CM239" s="20"/>
      <c r="CN239" s="20"/>
      <c r="CO239" s="125" t="str">
        <f t="shared" si="208"/>
        <v/>
      </c>
      <c r="CP239" s="14"/>
      <c r="CQ239" s="125" t="str">
        <f t="shared" si="209"/>
        <v/>
      </c>
      <c r="CR239" s="20"/>
      <c r="CS239" s="20"/>
      <c r="CT239" s="125" t="str">
        <f t="shared" si="210"/>
        <v/>
      </c>
      <c r="CU239" s="14"/>
      <c r="CV239" s="125" t="str">
        <f t="shared" si="211"/>
        <v/>
      </c>
      <c r="CW239" s="20"/>
      <c r="CX239" s="20"/>
      <c r="CY239" s="125" t="str">
        <f t="shared" si="212"/>
        <v/>
      </c>
      <c r="CZ239" s="125" t="str">
        <f t="shared" si="213"/>
        <v/>
      </c>
      <c r="DA239" s="125" t="str">
        <f t="shared" si="214"/>
        <v/>
      </c>
      <c r="DB239" s="129" t="str">
        <f t="shared" si="215"/>
        <v/>
      </c>
      <c r="DC239" s="14"/>
      <c r="DD239" s="62"/>
      <c r="DE239" s="105">
        <v>237</v>
      </c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</row>
    <row r="240" spans="1:176" s="1" customFormat="1" ht="13" hidden="1" customHeight="1" outlineLevel="1" x14ac:dyDescent="0.2">
      <c r="A240" s="4"/>
      <c r="B240" s="115" t="str">
        <f>IF(_xlfn.XLOOKUP(A240, AutoFill_names!B:B, AutoFill_names!C:C,"")=0,"",_xlfn.XLOOKUP(A240, AutoFill_names!B:B, AutoFill_names!C:C,""))</f>
        <v/>
      </c>
      <c r="C240" s="115" t="str">
        <f>IF(_xlfn.XLOOKUP(A240, AutoFill_names!B:B, AutoFill_names!D:D,"")=0,"",_xlfn.XLOOKUP(A240, AutoFill_names!B:B, AutoFill_names!D:D,""))</f>
        <v/>
      </c>
      <c r="D240" s="115" t="str">
        <f>IF(_xlfn.XLOOKUP(A240, AutoFill_names!B:B, AutoFill_names!E:E,"")=0,"",_xlfn.XLOOKUP(A240, AutoFill_names!B:B, AutoFill_names!E:E,""))</f>
        <v/>
      </c>
      <c r="E240" s="115" t="str">
        <f>IF(_xlfn.XLOOKUP(A240, AutoFill_names!B:B, AutoFill_names!F:F,"")=0,"",_xlfn.XLOOKUP(A240, AutoFill_names!B:B, AutoFill_names!F:F,""))</f>
        <v/>
      </c>
      <c r="F240" s="92"/>
      <c r="J240" s="115" t="str">
        <f>IF(_xlfn.XLOOKUP(A240, AutoFill_names!B:B, AutoFill_names!K:K,"")=0,"",_xlfn.XLOOKUP(A240, AutoFill_names!B:B, AutoFill_names!K:K,""))</f>
        <v/>
      </c>
      <c r="K240" s="115" t="str">
        <f>IF(_xlfn.XLOOKUP(A240, AutoFill_names!B:B, AutoFill_names!L:L,"")=0,"",_xlfn.XLOOKUP(A240, AutoFill_names!B:B, AutoFill_names!L:L,""))</f>
        <v/>
      </c>
      <c r="L240" s="31"/>
      <c r="M240" s="31"/>
      <c r="N240" s="117" t="str">
        <f>IF(_xlfn.XLOOKUP(L240, AutoFill_classes!A:A, AutoFill_classes!B:B,"")=0,"",_xlfn.XLOOKUP(L240, AutoFill_classes!A:A, AutoFill_classes!B:B,""))</f>
        <v/>
      </c>
      <c r="O240" s="108"/>
      <c r="P240" s="6"/>
      <c r="Q240" s="6"/>
      <c r="R240" s="6"/>
      <c r="X240" s="63"/>
      <c r="Y240" s="19"/>
      <c r="Z240" s="121" t="str">
        <f t="shared" si="189"/>
        <v/>
      </c>
      <c r="AA240" s="20"/>
      <c r="AB240" s="20"/>
      <c r="AC240" s="20"/>
      <c r="AD240" s="20"/>
      <c r="AE240" s="125" t="str">
        <f t="shared" si="190"/>
        <v/>
      </c>
      <c r="AF240" s="14"/>
      <c r="AG240" s="125" t="str">
        <f t="shared" si="191"/>
        <v/>
      </c>
      <c r="AH240" s="20"/>
      <c r="AI240" s="20"/>
      <c r="AJ240" s="125" t="str">
        <f t="shared" si="192"/>
        <v/>
      </c>
      <c r="AK240" s="14"/>
      <c r="AL240" s="125" t="str">
        <f t="shared" si="193"/>
        <v/>
      </c>
      <c r="AM240" s="20"/>
      <c r="AN240" s="20"/>
      <c r="AO240" s="125" t="str">
        <f t="shared" si="194"/>
        <v/>
      </c>
      <c r="AP240" s="125" t="str">
        <f t="shared" si="195"/>
        <v/>
      </c>
      <c r="AQ240" s="125" t="str">
        <f t="shared" si="196"/>
        <v/>
      </c>
      <c r="AR240" s="129" t="str">
        <f t="shared" si="197"/>
        <v/>
      </c>
      <c r="AS240" s="14"/>
      <c r="AT240" s="33"/>
      <c r="AU240" s="33"/>
      <c r="AV240" s="117" t="str">
        <f>IF(_xlfn.XLOOKUP(AT240, AutoFill_classes!$A:$A, AutoFill_classes!$B:$B,"")=0,"",_xlfn.XLOOKUP(AT240, AutoFill_classes!$A:$A, AutoFill_classes!$B:$B,""))</f>
        <v/>
      </c>
      <c r="AW240" s="108"/>
      <c r="AX240" s="11"/>
      <c r="AY240" s="12"/>
      <c r="AZ240" s="11"/>
      <c r="BA240" s="13"/>
      <c r="BB240" s="13"/>
      <c r="BC240" s="63"/>
      <c r="BD240" s="19"/>
      <c r="BE240" s="121" t="str">
        <f t="shared" si="198"/>
        <v/>
      </c>
      <c r="BF240" s="20"/>
      <c r="BG240" s="20"/>
      <c r="BH240" s="20"/>
      <c r="BI240" s="20"/>
      <c r="BJ240" s="125" t="str">
        <f t="shared" si="199"/>
        <v/>
      </c>
      <c r="BK240" s="14"/>
      <c r="BL240" s="125" t="str">
        <f t="shared" si="200"/>
        <v/>
      </c>
      <c r="BM240" s="20"/>
      <c r="BN240" s="20"/>
      <c r="BO240" s="125" t="str">
        <f t="shared" si="201"/>
        <v/>
      </c>
      <c r="BP240" s="14"/>
      <c r="BQ240" s="125" t="str">
        <f t="shared" si="202"/>
        <v/>
      </c>
      <c r="BR240" s="20"/>
      <c r="BS240" s="20"/>
      <c r="BT240" s="125" t="str">
        <f t="shared" si="203"/>
        <v/>
      </c>
      <c r="BU240" s="125" t="str">
        <f t="shared" si="204"/>
        <v/>
      </c>
      <c r="BV240" s="125" t="str">
        <f t="shared" si="205"/>
        <v/>
      </c>
      <c r="BW240" s="129" t="str">
        <f t="shared" si="206"/>
        <v/>
      </c>
      <c r="BX240" s="11"/>
      <c r="BY240" s="15"/>
      <c r="BZ240" s="14"/>
      <c r="CA240" s="117" t="str">
        <f>IF(_xlfn.XLOOKUP(BY240, AutoFill_classes!$A:$A, AutoFill_classes!$B:$B,"")=0,"",_xlfn.XLOOKUP(BY240, AutoFill_classes!$A:$A, AutoFill_classes!$B:$B,""))</f>
        <v/>
      </c>
      <c r="CB240" s="108"/>
      <c r="CC240" s="14"/>
      <c r="CD240" s="14"/>
      <c r="CE240" s="14"/>
      <c r="CF240" s="21"/>
      <c r="CG240" s="22"/>
      <c r="CH240" s="63"/>
      <c r="CI240" s="23"/>
      <c r="CJ240" s="121" t="str">
        <f t="shared" si="207"/>
        <v/>
      </c>
      <c r="CK240" s="20"/>
      <c r="CL240" s="20"/>
      <c r="CM240" s="20"/>
      <c r="CN240" s="20"/>
      <c r="CO240" s="125" t="str">
        <f t="shared" si="208"/>
        <v/>
      </c>
      <c r="CP240" s="14"/>
      <c r="CQ240" s="125" t="str">
        <f t="shared" si="209"/>
        <v/>
      </c>
      <c r="CR240" s="20"/>
      <c r="CS240" s="20"/>
      <c r="CT240" s="125" t="str">
        <f t="shared" si="210"/>
        <v/>
      </c>
      <c r="CU240" s="14"/>
      <c r="CV240" s="125" t="str">
        <f t="shared" si="211"/>
        <v/>
      </c>
      <c r="CW240" s="20"/>
      <c r="CX240" s="20"/>
      <c r="CY240" s="125" t="str">
        <f t="shared" si="212"/>
        <v/>
      </c>
      <c r="CZ240" s="125" t="str">
        <f t="shared" si="213"/>
        <v/>
      </c>
      <c r="DA240" s="125" t="str">
        <f t="shared" si="214"/>
        <v/>
      </c>
      <c r="DB240" s="129" t="str">
        <f t="shared" si="215"/>
        <v/>
      </c>
      <c r="DC240" s="14"/>
      <c r="DD240" s="62"/>
      <c r="DE240" s="105">
        <v>238</v>
      </c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</row>
    <row r="241" spans="1:176" s="1" customFormat="1" ht="13" hidden="1" customHeight="1" outlineLevel="1" x14ac:dyDescent="0.2">
      <c r="A241" s="4"/>
      <c r="B241" s="115" t="str">
        <f>IF(_xlfn.XLOOKUP(A241, AutoFill_names!B:B, AutoFill_names!C:C,"")=0,"",_xlfn.XLOOKUP(A241, AutoFill_names!B:B, AutoFill_names!C:C,""))</f>
        <v/>
      </c>
      <c r="C241" s="115" t="str">
        <f>IF(_xlfn.XLOOKUP(A241, AutoFill_names!B:B, AutoFill_names!D:D,"")=0,"",_xlfn.XLOOKUP(A241, AutoFill_names!B:B, AutoFill_names!D:D,""))</f>
        <v/>
      </c>
      <c r="D241" s="115" t="str">
        <f>IF(_xlfn.XLOOKUP(A241, AutoFill_names!B:B, AutoFill_names!E:E,"")=0,"",_xlfn.XLOOKUP(A241, AutoFill_names!B:B, AutoFill_names!E:E,""))</f>
        <v/>
      </c>
      <c r="E241" s="115" t="str">
        <f>IF(_xlfn.XLOOKUP(A241, AutoFill_names!B:B, AutoFill_names!F:F,"")=0,"",_xlfn.XLOOKUP(A241, AutoFill_names!B:B, AutoFill_names!F:F,""))</f>
        <v/>
      </c>
      <c r="F241" s="92"/>
      <c r="J241" s="115" t="str">
        <f>IF(_xlfn.XLOOKUP(A241, AutoFill_names!B:B, AutoFill_names!K:K,"")=0,"",_xlfn.XLOOKUP(A241, AutoFill_names!B:B, AutoFill_names!K:K,""))</f>
        <v/>
      </c>
      <c r="K241" s="115" t="str">
        <f>IF(_xlfn.XLOOKUP(A241, AutoFill_names!B:B, AutoFill_names!L:L,"")=0,"",_xlfn.XLOOKUP(A241, AutoFill_names!B:B, AutoFill_names!L:L,""))</f>
        <v/>
      </c>
      <c r="L241" s="31"/>
      <c r="M241" s="31"/>
      <c r="N241" s="117" t="str">
        <f>IF(_xlfn.XLOOKUP(L241, AutoFill_classes!A:A, AutoFill_classes!B:B,"")=0,"",_xlfn.XLOOKUP(L241, AutoFill_classes!A:A, AutoFill_classes!B:B,""))</f>
        <v/>
      </c>
      <c r="O241" s="108"/>
      <c r="P241" s="6"/>
      <c r="Q241" s="6"/>
      <c r="R241" s="6"/>
      <c r="X241" s="63"/>
      <c r="Y241" s="19"/>
      <c r="Z241" s="121" t="str">
        <f t="shared" si="189"/>
        <v/>
      </c>
      <c r="AA241" s="20"/>
      <c r="AB241" s="20"/>
      <c r="AC241" s="20"/>
      <c r="AD241" s="20"/>
      <c r="AE241" s="125" t="str">
        <f t="shared" si="190"/>
        <v/>
      </c>
      <c r="AF241" s="14"/>
      <c r="AG241" s="125" t="str">
        <f t="shared" si="191"/>
        <v/>
      </c>
      <c r="AH241" s="20"/>
      <c r="AI241" s="20"/>
      <c r="AJ241" s="125" t="str">
        <f t="shared" si="192"/>
        <v/>
      </c>
      <c r="AK241" s="14"/>
      <c r="AL241" s="125" t="str">
        <f t="shared" si="193"/>
        <v/>
      </c>
      <c r="AM241" s="20"/>
      <c r="AN241" s="20"/>
      <c r="AO241" s="125" t="str">
        <f t="shared" si="194"/>
        <v/>
      </c>
      <c r="AP241" s="125" t="str">
        <f t="shared" si="195"/>
        <v/>
      </c>
      <c r="AQ241" s="125" t="str">
        <f t="shared" si="196"/>
        <v/>
      </c>
      <c r="AR241" s="129" t="str">
        <f t="shared" si="197"/>
        <v/>
      </c>
      <c r="AS241" s="14"/>
      <c r="AT241" s="33"/>
      <c r="AU241" s="33"/>
      <c r="AV241" s="117" t="str">
        <f>IF(_xlfn.XLOOKUP(AT241, AutoFill_classes!$A:$A, AutoFill_classes!$B:$B,"")=0,"",_xlfn.XLOOKUP(AT241, AutoFill_classes!$A:$A, AutoFill_classes!$B:$B,""))</f>
        <v/>
      </c>
      <c r="AW241" s="108"/>
      <c r="AX241" s="11"/>
      <c r="AY241" s="12"/>
      <c r="AZ241" s="11"/>
      <c r="BA241" s="13"/>
      <c r="BB241" s="13"/>
      <c r="BC241" s="63"/>
      <c r="BD241" s="19"/>
      <c r="BE241" s="121" t="str">
        <f t="shared" si="198"/>
        <v/>
      </c>
      <c r="BF241" s="20"/>
      <c r="BG241" s="20"/>
      <c r="BH241" s="20"/>
      <c r="BI241" s="20"/>
      <c r="BJ241" s="125" t="str">
        <f t="shared" si="199"/>
        <v/>
      </c>
      <c r="BK241" s="14"/>
      <c r="BL241" s="125" t="str">
        <f t="shared" si="200"/>
        <v/>
      </c>
      <c r="BM241" s="20"/>
      <c r="BN241" s="20"/>
      <c r="BO241" s="125" t="str">
        <f t="shared" si="201"/>
        <v/>
      </c>
      <c r="BP241" s="14"/>
      <c r="BQ241" s="125" t="str">
        <f t="shared" si="202"/>
        <v/>
      </c>
      <c r="BR241" s="20"/>
      <c r="BS241" s="20"/>
      <c r="BT241" s="125" t="str">
        <f t="shared" si="203"/>
        <v/>
      </c>
      <c r="BU241" s="125" t="str">
        <f t="shared" si="204"/>
        <v/>
      </c>
      <c r="BV241" s="125" t="str">
        <f t="shared" si="205"/>
        <v/>
      </c>
      <c r="BW241" s="129" t="str">
        <f t="shared" si="206"/>
        <v/>
      </c>
      <c r="BX241" s="11"/>
      <c r="BY241" s="15"/>
      <c r="BZ241" s="14"/>
      <c r="CA241" s="117" t="str">
        <f>IF(_xlfn.XLOOKUP(BY241, AutoFill_classes!$A:$A, AutoFill_classes!$B:$B,"")=0,"",_xlfn.XLOOKUP(BY241, AutoFill_classes!$A:$A, AutoFill_classes!$B:$B,""))</f>
        <v/>
      </c>
      <c r="CB241" s="108"/>
      <c r="CC241" s="14"/>
      <c r="CD241" s="14"/>
      <c r="CE241" s="14"/>
      <c r="CF241" s="21"/>
      <c r="CG241" s="22"/>
      <c r="CH241" s="63"/>
      <c r="CI241" s="23"/>
      <c r="CJ241" s="121" t="str">
        <f t="shared" si="207"/>
        <v/>
      </c>
      <c r="CK241" s="20"/>
      <c r="CL241" s="20"/>
      <c r="CM241" s="20"/>
      <c r="CN241" s="20"/>
      <c r="CO241" s="125" t="str">
        <f t="shared" si="208"/>
        <v/>
      </c>
      <c r="CP241" s="14"/>
      <c r="CQ241" s="125" t="str">
        <f t="shared" si="209"/>
        <v/>
      </c>
      <c r="CR241" s="20"/>
      <c r="CS241" s="20"/>
      <c r="CT241" s="125" t="str">
        <f t="shared" si="210"/>
        <v/>
      </c>
      <c r="CU241" s="14"/>
      <c r="CV241" s="125" t="str">
        <f t="shared" si="211"/>
        <v/>
      </c>
      <c r="CW241" s="20"/>
      <c r="CX241" s="20"/>
      <c r="CY241" s="125" t="str">
        <f t="shared" si="212"/>
        <v/>
      </c>
      <c r="CZ241" s="125" t="str">
        <f t="shared" si="213"/>
        <v/>
      </c>
      <c r="DA241" s="125" t="str">
        <f t="shared" si="214"/>
        <v/>
      </c>
      <c r="DB241" s="129" t="str">
        <f t="shared" si="215"/>
        <v/>
      </c>
      <c r="DC241" s="14"/>
      <c r="DD241" s="62"/>
      <c r="DE241" s="105">
        <v>239</v>
      </c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</row>
    <row r="242" spans="1:176" s="116" customFormat="1" ht="34" customHeight="1" collapsed="1" x14ac:dyDescent="0.2">
      <c r="A242" s="66" t="s">
        <v>68</v>
      </c>
      <c r="B242" s="112" t="str">
        <f>"Total Credits: " &amp; IFERROR(IF(DD242=0,"",DD242),"")</f>
        <v xml:space="preserve">Total Credits: </v>
      </c>
      <c r="F242" s="138"/>
      <c r="L242" s="118"/>
      <c r="M242" s="118"/>
      <c r="N242" s="118"/>
      <c r="O242" s="118"/>
      <c r="P242" s="139"/>
      <c r="Q242" s="139"/>
      <c r="R242" s="139"/>
      <c r="S242" s="118"/>
      <c r="T242" s="118"/>
      <c r="U242" s="118"/>
      <c r="V242" s="136"/>
      <c r="W242" s="136"/>
      <c r="X242" s="140" t="str">
        <f>IF(SUM(X243:X271)=0, "", SUM(X243:X271))</f>
        <v/>
      </c>
      <c r="Y242" s="122"/>
      <c r="Z242" s="122"/>
      <c r="AA242" s="141"/>
      <c r="AB242" s="141"/>
      <c r="AC242" s="141"/>
      <c r="AD242" s="141"/>
      <c r="AE242" s="124"/>
      <c r="AF242" s="124"/>
      <c r="AG242" s="124"/>
      <c r="AH242" s="141"/>
      <c r="AI242" s="141"/>
      <c r="AJ242" s="124"/>
      <c r="AK242" s="124"/>
      <c r="AL242" s="124"/>
      <c r="AM242" s="141"/>
      <c r="AN242" s="141"/>
      <c r="AO242" s="127"/>
      <c r="AP242" s="127"/>
      <c r="AQ242" s="127"/>
      <c r="AR242" s="127"/>
      <c r="AS242" s="127"/>
      <c r="AT242" s="145"/>
      <c r="AU242" s="145"/>
      <c r="AV242" s="130"/>
      <c r="AW242" s="118"/>
      <c r="AX242" s="145"/>
      <c r="AY242" s="145"/>
      <c r="AZ242" s="145"/>
      <c r="BA242" s="144"/>
      <c r="BB242" s="144"/>
      <c r="BC242" s="140" t="str">
        <f>IF(SUM(BC243:BC271)=0, "", SUM(BC243:BC271))</f>
        <v/>
      </c>
      <c r="BD242" s="123"/>
      <c r="BE242" s="123"/>
      <c r="BF242" s="146"/>
      <c r="BG242" s="146"/>
      <c r="BH242" s="146"/>
      <c r="BI242" s="146"/>
      <c r="BJ242" s="134"/>
      <c r="BK242" s="134"/>
      <c r="BL242" s="134"/>
      <c r="BM242" s="146"/>
      <c r="BN242" s="146"/>
      <c r="BO242" s="134"/>
      <c r="BP242" s="134"/>
      <c r="BQ242" s="134"/>
      <c r="BR242" s="146"/>
      <c r="BS242" s="146"/>
      <c r="BT242" s="134"/>
      <c r="BU242" s="134"/>
      <c r="BV242" s="134"/>
      <c r="BW242" s="127"/>
      <c r="BX242" s="134"/>
      <c r="BY242" s="145"/>
      <c r="BZ242" s="145"/>
      <c r="CA242" s="130"/>
      <c r="CB242" s="118"/>
      <c r="CC242" s="145"/>
      <c r="CD242" s="145"/>
      <c r="CE242" s="145"/>
      <c r="CF242" s="136"/>
      <c r="CG242" s="120"/>
      <c r="CH242" s="140" t="str">
        <f>IF(SUM(CH243:CH271)=0, "", SUM(CH243:CH271))</f>
        <v/>
      </c>
      <c r="CI242" s="123"/>
      <c r="CJ242" s="123"/>
      <c r="CK242" s="146"/>
      <c r="CL242" s="146"/>
      <c r="CM242" s="146"/>
      <c r="CN242" s="146"/>
      <c r="CP242" s="134"/>
      <c r="CR242" s="146"/>
      <c r="CS242" s="146"/>
      <c r="CU242" s="134"/>
      <c r="CW242" s="146"/>
      <c r="CX242" s="146"/>
      <c r="DB242" s="127"/>
      <c r="DC242" s="134"/>
      <c r="DD242" s="140" t="str">
        <f>IF(SUM(L242:DC242)=0, "", SUM(L242:DC242))</f>
        <v/>
      </c>
      <c r="DE242" s="105">
        <v>240</v>
      </c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</row>
    <row r="243" spans="1:176" s="1" customFormat="1" ht="13" hidden="1" customHeight="1" outlineLevel="1" x14ac:dyDescent="0.2">
      <c r="A243" s="4"/>
      <c r="B243" s="115" t="str">
        <f>IF(_xlfn.XLOOKUP(A243, AutoFill_names!B:B, AutoFill_names!C:C,"")=0,"",_xlfn.XLOOKUP(A243, AutoFill_names!B:B, AutoFill_names!C:C,""))</f>
        <v/>
      </c>
      <c r="C243" s="115" t="str">
        <f>IF(_xlfn.XLOOKUP(A243, AutoFill_names!B:B, AutoFill_names!D:D,"")=0,"",_xlfn.XLOOKUP(A243, AutoFill_names!B:B, AutoFill_names!D:D,""))</f>
        <v/>
      </c>
      <c r="D243" s="115" t="str">
        <f>IF(_xlfn.XLOOKUP(A243, AutoFill_names!B:B, AutoFill_names!E:E,"")=0,"",_xlfn.XLOOKUP(A243, AutoFill_names!B:B, AutoFill_names!E:E,""))</f>
        <v/>
      </c>
      <c r="E243" s="115" t="str">
        <f>IF(_xlfn.XLOOKUP(A243, AutoFill_names!B:B, AutoFill_names!F:F,"")=0,"",_xlfn.XLOOKUP(A243, AutoFill_names!B:B, AutoFill_names!F:F,""))</f>
        <v/>
      </c>
      <c r="F243" s="92"/>
      <c r="J243" s="115" t="str">
        <f>IF(_xlfn.XLOOKUP(A243, AutoFill_names!B:B, AutoFill_names!K:K,"")=0,"",_xlfn.XLOOKUP(A243, AutoFill_names!B:B, AutoFill_names!K:K,""))</f>
        <v/>
      </c>
      <c r="K243" s="115" t="str">
        <f>IF(_xlfn.XLOOKUP(A243, AutoFill_names!B:B, AutoFill_names!L:L,"")=0,"",_xlfn.XLOOKUP(A243, AutoFill_names!B:B, AutoFill_names!L:L,""))</f>
        <v/>
      </c>
      <c r="L243" s="31"/>
      <c r="M243" s="31"/>
      <c r="N243" s="117" t="str">
        <f>IF(_xlfn.XLOOKUP(L243, AutoFill_classes!A:A, AutoFill_classes!B:B,"")=0,"",_xlfn.XLOOKUP(L243, AutoFill_classes!A:A, AutoFill_classes!B:B,""))</f>
        <v/>
      </c>
      <c r="O243" s="108"/>
      <c r="P243" s="6"/>
      <c r="Q243" s="6"/>
      <c r="R243" s="6"/>
      <c r="S243" s="2"/>
      <c r="T243" s="2"/>
      <c r="U243" s="2"/>
      <c r="X243" s="62"/>
      <c r="Y243" s="18"/>
      <c r="Z243" s="121" t="str">
        <f t="shared" ref="Z243:Z271" si="216">IF(X243*Y243=0,"",X243*Y243)</f>
        <v/>
      </c>
      <c r="AA243" s="20"/>
      <c r="AB243" s="20"/>
      <c r="AC243" s="20"/>
      <c r="AD243" s="20"/>
      <c r="AE243" s="125" t="str">
        <f t="shared" ref="AE243:AE271" si="217">IF(ROUNDUP((AD243-AC243)/7,0)=0,"",ROUNDUP((AD243-AC243)/7,0))</f>
        <v/>
      </c>
      <c r="AF243" s="14"/>
      <c r="AG243" s="125" t="str">
        <f t="shared" ref="AG243:AG271" si="218">IFERROR(IF(AE243*AF243=0,"",AE243*AF243), "")</f>
        <v/>
      </c>
      <c r="AH243" s="20"/>
      <c r="AI243" s="20"/>
      <c r="AJ243" s="125" t="str">
        <f t="shared" ref="AJ243:AJ271" si="219">IF(ROUNDUP((AI243-AH243)/7,0)=0,"",ROUNDUP((AI243-AH243)/7,0))</f>
        <v/>
      </c>
      <c r="AK243" s="14"/>
      <c r="AL243" s="125" t="str">
        <f t="shared" ref="AL243:AL271" si="220">IFERROR(IF(AJ243*AK243=0,"",AJ243*AK243), "")</f>
        <v/>
      </c>
      <c r="AM243" s="20"/>
      <c r="AN243" s="20"/>
      <c r="AO243" s="125" t="str">
        <f t="shared" ref="AO243:AO271" si="221">IF(ROUNDUP((AN243-AM243)/7,0)=0,"",ROUNDUP((AN243-AM243)/7,0))</f>
        <v/>
      </c>
      <c r="AP243" s="125" t="str">
        <f t="shared" ref="AP243:AP271" si="222">IFERROR(IF((AS243-(AF243+AK243))/AO243=0,"",ROUNDUP((AS243-(AF243+AK243))/AO243,0)), "")</f>
        <v/>
      </c>
      <c r="AQ243" s="125" t="str">
        <f t="shared" ref="AQ243:AQ271" si="223">IFERROR(IF((AS243-(AG243+AL243))=0, "", (AS243-(AG243+AL243))), "")</f>
        <v/>
      </c>
      <c r="AR243" s="129" t="str">
        <f t="shared" ref="AR243:AR271" si="224">IFERROR(IF((AE243+AJ243+AO243)=0, "", (AE243+AJ243+AO243)), "")</f>
        <v/>
      </c>
      <c r="AS243" s="14"/>
      <c r="AT243" s="13"/>
      <c r="AU243" s="13"/>
      <c r="AV243" s="117" t="str">
        <f>IF(_xlfn.XLOOKUP(AT243, AutoFill_classes!$A:$A, AutoFill_classes!$B:$B,"")=0,"",_xlfn.XLOOKUP(AT243, AutoFill_classes!$A:$A, AutoFill_classes!$B:$B,""))</f>
        <v/>
      </c>
      <c r="AW243" s="108"/>
      <c r="AX243" s="13"/>
      <c r="AY243" s="13"/>
      <c r="AZ243" s="13"/>
      <c r="BA243" s="13"/>
      <c r="BB243" s="13"/>
      <c r="BC243" s="62"/>
      <c r="BD243" s="18"/>
      <c r="BE243" s="121" t="str">
        <f t="shared" ref="BE243:BE271" si="225">IF(BC243*BD243=0,"",BC243*BD243)</f>
        <v/>
      </c>
      <c r="BF243" s="20"/>
      <c r="BG243" s="20"/>
      <c r="BH243" s="20"/>
      <c r="BI243" s="20"/>
      <c r="BJ243" s="125" t="str">
        <f t="shared" ref="BJ243:BJ271" si="226">IF(ROUNDUP((BI243-BH243)/7,0)=0,"",ROUNDUP((BI243-BH243)/7,0))</f>
        <v/>
      </c>
      <c r="BK243" s="14"/>
      <c r="BL243" s="125" t="str">
        <f t="shared" ref="BL243:BL271" si="227">IFERROR(IF(BJ243*BK243=0,"",BJ243*BK243), "")</f>
        <v/>
      </c>
      <c r="BM243" s="20"/>
      <c r="BN243" s="20"/>
      <c r="BO243" s="125" t="str">
        <f t="shared" ref="BO243:BO271" si="228">IF(ROUNDUP((BN243-BM243)/7,0)=0,"",ROUNDUP((BN243-BM243)/7,0))</f>
        <v/>
      </c>
      <c r="BP243" s="14"/>
      <c r="BQ243" s="125" t="str">
        <f t="shared" ref="BQ243:BQ271" si="229">IFERROR(IF(BO243*BP243=0,"",BO243*BP243), "")</f>
        <v/>
      </c>
      <c r="BR243" s="20"/>
      <c r="BS243" s="20"/>
      <c r="BT243" s="125" t="str">
        <f t="shared" ref="BT243:BT271" si="230">IF(ROUNDUP((BS243-BR243)/7,0)=0,"",ROUNDUP((BS243-BR243)/7,0))</f>
        <v/>
      </c>
      <c r="BU243" s="125" t="str">
        <f t="shared" ref="BU243:BU271" si="231">IFERROR(IF((BX243-(BK243+BP243))/BT243=0,"",ROUNDUP((BX243-(BK243+BP243))/BT243,0)), "")</f>
        <v/>
      </c>
      <c r="BV243" s="125" t="str">
        <f t="shared" ref="BV243:BV271" si="232">IFERROR(IF((BX243-(BL243+BQ243))=0, "", (BX243-(BL243+BQ243))), "")</f>
        <v/>
      </c>
      <c r="BW243" s="129" t="str">
        <f t="shared" ref="BW243:BW271" si="233">IFERROR(IF((BJ243+BO243+BT243)=0, "", (BJ243+BO243+BT243)), "")</f>
        <v/>
      </c>
      <c r="BX243" s="13"/>
      <c r="BY243" s="15"/>
      <c r="BZ243" s="14"/>
      <c r="CA243" s="117" t="str">
        <f>IF(_xlfn.XLOOKUP(BY243, AutoFill_classes!$A:$A, AutoFill_classes!$B:$B,"")=0,"",_xlfn.XLOOKUP(BY243, AutoFill_classes!$A:$A, AutoFill_classes!$B:$B,""))</f>
        <v/>
      </c>
      <c r="CB243" s="108"/>
      <c r="CC243" s="14"/>
      <c r="CD243" s="14"/>
      <c r="CE243" s="14"/>
      <c r="CF243" s="21"/>
      <c r="CG243" s="22"/>
      <c r="CH243" s="62"/>
      <c r="CI243" s="23"/>
      <c r="CJ243" s="121" t="str">
        <f t="shared" ref="CJ243:CJ271" si="234">IF(CH243*CI243=0,"",CH243*CI243)</f>
        <v/>
      </c>
      <c r="CK243" s="20"/>
      <c r="CL243" s="20"/>
      <c r="CM243" s="20"/>
      <c r="CN243" s="20"/>
      <c r="CO243" s="125" t="str">
        <f t="shared" ref="CO243:CO271" si="235">IF(ROUNDUP((CN243-CM243)/7,0)=0,"",ROUNDUP((CN243-CM243)/7,0))</f>
        <v/>
      </c>
      <c r="CP243" s="14"/>
      <c r="CQ243" s="125" t="str">
        <f t="shared" ref="CQ243:CQ271" si="236">IFERROR(IF(CO243*CP243=0,"",CO243*CP243), "")</f>
        <v/>
      </c>
      <c r="CR243" s="20"/>
      <c r="CS243" s="20"/>
      <c r="CT243" s="125" t="str">
        <f t="shared" ref="CT243:CT271" si="237">IF(ROUNDUP((CS243-CR243)/7,0)=0,"",ROUNDUP((CS243-CR243)/7,0))</f>
        <v/>
      </c>
      <c r="CU243" s="14"/>
      <c r="CV243" s="125" t="str">
        <f t="shared" ref="CV243:CV271" si="238">IFERROR(IF(CT243*CU243=0,"",CT243*CU243), "")</f>
        <v/>
      </c>
      <c r="CW243" s="20"/>
      <c r="CX243" s="20"/>
      <c r="CY243" s="125" t="str">
        <f t="shared" ref="CY243:CY271" si="239">IF(ROUNDUP((CX243-CW243)/7,0)=0,"",ROUNDUP((CX243-CW243)/7,0))</f>
        <v/>
      </c>
      <c r="CZ243" s="125" t="str">
        <f t="shared" ref="CZ243:CZ271" si="240">IFERROR(IF((DC243-(CP243+CU243))/CY243=0,"",ROUNDUP((DC243-(CP243+CU243))/CY243,0)), "")</f>
        <v/>
      </c>
      <c r="DA243" s="125" t="str">
        <f t="shared" ref="DA243:DA271" si="241">IFERROR(IF((DC243-(CQ243+CV243))=0, "", (DC243-(CQ243+CV243))), "")</f>
        <v/>
      </c>
      <c r="DB243" s="129" t="str">
        <f t="shared" ref="DB243:DB271" si="242">IFERROR(IF((CO243+CT243+CY243)=0, "", (CO243+CT243+CY243)), "")</f>
        <v/>
      </c>
      <c r="DC243" s="14"/>
      <c r="DD243" s="63"/>
      <c r="DE243" s="105">
        <v>241</v>
      </c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</row>
    <row r="244" spans="1:176" s="1" customFormat="1" ht="13" hidden="1" customHeight="1" outlineLevel="1" x14ac:dyDescent="0.2">
      <c r="A244" s="4"/>
      <c r="B244" s="115" t="str">
        <f>IF(_xlfn.XLOOKUP(A244, AutoFill_names!B:B, AutoFill_names!C:C,"")=0,"",_xlfn.XLOOKUP(A244, AutoFill_names!B:B, AutoFill_names!C:C,""))</f>
        <v/>
      </c>
      <c r="C244" s="115" t="str">
        <f>IF(_xlfn.XLOOKUP(A244, AutoFill_names!B:B, AutoFill_names!D:D,"")=0,"",_xlfn.XLOOKUP(A244, AutoFill_names!B:B, AutoFill_names!D:D,""))</f>
        <v/>
      </c>
      <c r="D244" s="115" t="str">
        <f>IF(_xlfn.XLOOKUP(A244, AutoFill_names!B:B, AutoFill_names!E:E,"")=0,"",_xlfn.XLOOKUP(A244, AutoFill_names!B:B, AutoFill_names!E:E,""))</f>
        <v/>
      </c>
      <c r="E244" s="115" t="str">
        <f>IF(_xlfn.XLOOKUP(A244, AutoFill_names!B:B, AutoFill_names!F:F,"")=0,"",_xlfn.XLOOKUP(A244, AutoFill_names!B:B, AutoFill_names!F:F,""))</f>
        <v/>
      </c>
      <c r="F244" s="92"/>
      <c r="J244" s="115" t="str">
        <f>IF(_xlfn.XLOOKUP(A244, AutoFill_names!B:B, AutoFill_names!K:K,"")=0,"",_xlfn.XLOOKUP(A244, AutoFill_names!B:B, AutoFill_names!K:K,""))</f>
        <v/>
      </c>
      <c r="K244" s="115" t="str">
        <f>IF(_xlfn.XLOOKUP(A244, AutoFill_names!B:B, AutoFill_names!L:L,"")=0,"",_xlfn.XLOOKUP(A244, AutoFill_names!B:B, AutoFill_names!L:L,""))</f>
        <v/>
      </c>
      <c r="L244" s="31"/>
      <c r="M244" s="31"/>
      <c r="N244" s="117" t="str">
        <f>IF(_xlfn.XLOOKUP(L244, AutoFill_classes!A:A, AutoFill_classes!B:B,"")=0,"",_xlfn.XLOOKUP(L244, AutoFill_classes!A:A, AutoFill_classes!B:B,""))</f>
        <v/>
      </c>
      <c r="O244" s="108"/>
      <c r="P244" s="6"/>
      <c r="Q244" s="6"/>
      <c r="R244" s="6"/>
      <c r="S244" s="2"/>
      <c r="T244" s="2"/>
      <c r="U244" s="2"/>
      <c r="X244" s="62"/>
      <c r="Y244" s="18"/>
      <c r="Z244" s="121" t="str">
        <f t="shared" si="216"/>
        <v/>
      </c>
      <c r="AA244" s="20"/>
      <c r="AB244" s="20"/>
      <c r="AC244" s="20"/>
      <c r="AD244" s="20"/>
      <c r="AE244" s="125" t="str">
        <f t="shared" si="217"/>
        <v/>
      </c>
      <c r="AF244" s="14"/>
      <c r="AG244" s="125" t="str">
        <f t="shared" si="218"/>
        <v/>
      </c>
      <c r="AH244" s="20"/>
      <c r="AI244" s="20"/>
      <c r="AJ244" s="125" t="str">
        <f t="shared" si="219"/>
        <v/>
      </c>
      <c r="AK244" s="14"/>
      <c r="AL244" s="125" t="str">
        <f t="shared" si="220"/>
        <v/>
      </c>
      <c r="AM244" s="20"/>
      <c r="AN244" s="20"/>
      <c r="AO244" s="125" t="str">
        <f t="shared" si="221"/>
        <v/>
      </c>
      <c r="AP244" s="125" t="str">
        <f t="shared" si="222"/>
        <v/>
      </c>
      <c r="AQ244" s="125" t="str">
        <f t="shared" si="223"/>
        <v/>
      </c>
      <c r="AR244" s="129" t="str">
        <f t="shared" si="224"/>
        <v/>
      </c>
      <c r="AS244" s="14"/>
      <c r="AT244" s="13"/>
      <c r="AU244" s="13"/>
      <c r="AV244" s="117" t="str">
        <f>IF(_xlfn.XLOOKUP(AT244, AutoFill_classes!$A:$A, AutoFill_classes!$B:$B,"")=0,"",_xlfn.XLOOKUP(AT244, AutoFill_classes!$A:$A, AutoFill_classes!$B:$B,""))</f>
        <v/>
      </c>
      <c r="AW244" s="108"/>
      <c r="AX244" s="13"/>
      <c r="AY244" s="13"/>
      <c r="AZ244" s="13"/>
      <c r="BA244" s="13"/>
      <c r="BB244" s="13"/>
      <c r="BC244" s="62"/>
      <c r="BD244" s="18"/>
      <c r="BE244" s="121" t="str">
        <f t="shared" si="225"/>
        <v/>
      </c>
      <c r="BF244" s="20"/>
      <c r="BG244" s="20"/>
      <c r="BH244" s="20"/>
      <c r="BI244" s="20"/>
      <c r="BJ244" s="125" t="str">
        <f t="shared" si="226"/>
        <v/>
      </c>
      <c r="BK244" s="14"/>
      <c r="BL244" s="125" t="str">
        <f t="shared" si="227"/>
        <v/>
      </c>
      <c r="BM244" s="20"/>
      <c r="BN244" s="20"/>
      <c r="BO244" s="125" t="str">
        <f t="shared" si="228"/>
        <v/>
      </c>
      <c r="BP244" s="14"/>
      <c r="BQ244" s="125" t="str">
        <f t="shared" si="229"/>
        <v/>
      </c>
      <c r="BR244" s="20"/>
      <c r="BS244" s="20"/>
      <c r="BT244" s="125" t="str">
        <f t="shared" si="230"/>
        <v/>
      </c>
      <c r="BU244" s="125" t="str">
        <f t="shared" si="231"/>
        <v/>
      </c>
      <c r="BV244" s="125" t="str">
        <f t="shared" si="232"/>
        <v/>
      </c>
      <c r="BW244" s="129" t="str">
        <f t="shared" si="233"/>
        <v/>
      </c>
      <c r="BX244" s="13"/>
      <c r="BY244" s="15"/>
      <c r="BZ244" s="14"/>
      <c r="CA244" s="117" t="str">
        <f>IF(_xlfn.XLOOKUP(BY244, AutoFill_classes!$A:$A, AutoFill_classes!$B:$B,"")=0,"",_xlfn.XLOOKUP(BY244, AutoFill_classes!$A:$A, AutoFill_classes!$B:$B,""))</f>
        <v/>
      </c>
      <c r="CB244" s="108"/>
      <c r="CC244" s="14"/>
      <c r="CD244" s="14"/>
      <c r="CE244" s="14"/>
      <c r="CF244" s="21"/>
      <c r="CG244" s="22"/>
      <c r="CH244" s="62"/>
      <c r="CI244" s="23"/>
      <c r="CJ244" s="121" t="str">
        <f t="shared" si="234"/>
        <v/>
      </c>
      <c r="CK244" s="20"/>
      <c r="CL244" s="20"/>
      <c r="CM244" s="20"/>
      <c r="CN244" s="20"/>
      <c r="CO244" s="125" t="str">
        <f t="shared" si="235"/>
        <v/>
      </c>
      <c r="CP244" s="14"/>
      <c r="CQ244" s="125" t="str">
        <f t="shared" si="236"/>
        <v/>
      </c>
      <c r="CR244" s="20"/>
      <c r="CS244" s="20"/>
      <c r="CT244" s="125" t="str">
        <f t="shared" si="237"/>
        <v/>
      </c>
      <c r="CU244" s="14"/>
      <c r="CV244" s="125" t="str">
        <f t="shared" si="238"/>
        <v/>
      </c>
      <c r="CW244" s="20"/>
      <c r="CX244" s="20"/>
      <c r="CY244" s="125" t="str">
        <f t="shared" si="239"/>
        <v/>
      </c>
      <c r="CZ244" s="125" t="str">
        <f t="shared" si="240"/>
        <v/>
      </c>
      <c r="DA244" s="125" t="str">
        <f t="shared" si="241"/>
        <v/>
      </c>
      <c r="DB244" s="129" t="str">
        <f t="shared" si="242"/>
        <v/>
      </c>
      <c r="DC244" s="14"/>
      <c r="DD244" s="63"/>
      <c r="DE244" s="105">
        <v>242</v>
      </c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</row>
    <row r="245" spans="1:176" s="1" customFormat="1" ht="13" hidden="1" customHeight="1" outlineLevel="1" x14ac:dyDescent="0.2">
      <c r="A245" s="4"/>
      <c r="B245" s="115" t="str">
        <f>IF(_xlfn.XLOOKUP(A245, AutoFill_names!B:B, AutoFill_names!C:C,"")=0,"",_xlfn.XLOOKUP(A245, AutoFill_names!B:B, AutoFill_names!C:C,""))</f>
        <v/>
      </c>
      <c r="C245" s="115" t="str">
        <f>IF(_xlfn.XLOOKUP(A245, AutoFill_names!B:B, AutoFill_names!D:D,"")=0,"",_xlfn.XLOOKUP(A245, AutoFill_names!B:B, AutoFill_names!D:D,""))</f>
        <v/>
      </c>
      <c r="D245" s="115" t="str">
        <f>IF(_xlfn.XLOOKUP(A245, AutoFill_names!B:B, AutoFill_names!E:E,"")=0,"",_xlfn.XLOOKUP(A245, AutoFill_names!B:B, AutoFill_names!E:E,""))</f>
        <v/>
      </c>
      <c r="E245" s="115" t="str">
        <f>IF(_xlfn.XLOOKUP(A245, AutoFill_names!B:B, AutoFill_names!F:F,"")=0,"",_xlfn.XLOOKUP(A245, AutoFill_names!B:B, AutoFill_names!F:F,""))</f>
        <v/>
      </c>
      <c r="F245" s="92"/>
      <c r="J245" s="115" t="str">
        <f>IF(_xlfn.XLOOKUP(A245, AutoFill_names!B:B, AutoFill_names!K:K,"")=0,"",_xlfn.XLOOKUP(A245, AutoFill_names!B:B, AutoFill_names!K:K,""))</f>
        <v/>
      </c>
      <c r="K245" s="115" t="str">
        <f>IF(_xlfn.XLOOKUP(A245, AutoFill_names!B:B, AutoFill_names!L:L,"")=0,"",_xlfn.XLOOKUP(A245, AutoFill_names!B:B, AutoFill_names!L:L,""))</f>
        <v/>
      </c>
      <c r="L245" s="31"/>
      <c r="M245" s="31"/>
      <c r="N245" s="117" t="str">
        <f>IF(_xlfn.XLOOKUP(L245, AutoFill_classes!A:A, AutoFill_classes!B:B,"")=0,"",_xlfn.XLOOKUP(L245, AutoFill_classes!A:A, AutoFill_classes!B:B,""))</f>
        <v/>
      </c>
      <c r="O245" s="108"/>
      <c r="P245" s="6"/>
      <c r="Q245" s="6"/>
      <c r="R245" s="6"/>
      <c r="S245" s="2"/>
      <c r="T245" s="2"/>
      <c r="U245" s="2"/>
      <c r="X245" s="62"/>
      <c r="Y245" s="18"/>
      <c r="Z245" s="121" t="str">
        <f t="shared" si="216"/>
        <v/>
      </c>
      <c r="AA245" s="20"/>
      <c r="AB245" s="20"/>
      <c r="AC245" s="20"/>
      <c r="AD245" s="20"/>
      <c r="AE245" s="125" t="str">
        <f t="shared" si="217"/>
        <v/>
      </c>
      <c r="AF245" s="14"/>
      <c r="AG245" s="125" t="str">
        <f t="shared" si="218"/>
        <v/>
      </c>
      <c r="AH245" s="20"/>
      <c r="AI245" s="20"/>
      <c r="AJ245" s="125" t="str">
        <f t="shared" si="219"/>
        <v/>
      </c>
      <c r="AK245" s="14"/>
      <c r="AL245" s="125" t="str">
        <f t="shared" si="220"/>
        <v/>
      </c>
      <c r="AM245" s="20"/>
      <c r="AN245" s="20"/>
      <c r="AO245" s="125" t="str">
        <f t="shared" si="221"/>
        <v/>
      </c>
      <c r="AP245" s="125" t="str">
        <f t="shared" si="222"/>
        <v/>
      </c>
      <c r="AQ245" s="125" t="str">
        <f t="shared" si="223"/>
        <v/>
      </c>
      <c r="AR245" s="129" t="str">
        <f t="shared" si="224"/>
        <v/>
      </c>
      <c r="AS245" s="14"/>
      <c r="AT245" s="13"/>
      <c r="AU245" s="13"/>
      <c r="AV245" s="117" t="str">
        <f>IF(_xlfn.XLOOKUP(AT245, AutoFill_classes!$A:$A, AutoFill_classes!$B:$B,"")=0,"",_xlfn.XLOOKUP(AT245, AutoFill_classes!$A:$A, AutoFill_classes!$B:$B,""))</f>
        <v/>
      </c>
      <c r="AW245" s="108"/>
      <c r="AX245" s="13"/>
      <c r="AY245" s="13"/>
      <c r="AZ245" s="13"/>
      <c r="BA245" s="13"/>
      <c r="BB245" s="13"/>
      <c r="BC245" s="62"/>
      <c r="BD245" s="18"/>
      <c r="BE245" s="121" t="str">
        <f t="shared" si="225"/>
        <v/>
      </c>
      <c r="BF245" s="20"/>
      <c r="BG245" s="20"/>
      <c r="BH245" s="20"/>
      <c r="BI245" s="20"/>
      <c r="BJ245" s="125" t="str">
        <f t="shared" si="226"/>
        <v/>
      </c>
      <c r="BK245" s="14"/>
      <c r="BL245" s="125" t="str">
        <f t="shared" si="227"/>
        <v/>
      </c>
      <c r="BM245" s="20"/>
      <c r="BN245" s="20"/>
      <c r="BO245" s="125" t="str">
        <f t="shared" si="228"/>
        <v/>
      </c>
      <c r="BP245" s="14"/>
      <c r="BQ245" s="125" t="str">
        <f t="shared" si="229"/>
        <v/>
      </c>
      <c r="BR245" s="20"/>
      <c r="BS245" s="20"/>
      <c r="BT245" s="125" t="str">
        <f t="shared" si="230"/>
        <v/>
      </c>
      <c r="BU245" s="125" t="str">
        <f t="shared" si="231"/>
        <v/>
      </c>
      <c r="BV245" s="125" t="str">
        <f t="shared" si="232"/>
        <v/>
      </c>
      <c r="BW245" s="129" t="str">
        <f t="shared" si="233"/>
        <v/>
      </c>
      <c r="BX245" s="13"/>
      <c r="BY245" s="15"/>
      <c r="BZ245" s="14"/>
      <c r="CA245" s="117" t="str">
        <f>IF(_xlfn.XLOOKUP(BY245, AutoFill_classes!$A:$A, AutoFill_classes!$B:$B,"")=0,"",_xlfn.XLOOKUP(BY245, AutoFill_classes!$A:$A, AutoFill_classes!$B:$B,""))</f>
        <v/>
      </c>
      <c r="CB245" s="108"/>
      <c r="CC245" s="14"/>
      <c r="CD245" s="14"/>
      <c r="CE245" s="14"/>
      <c r="CF245" s="21"/>
      <c r="CG245" s="22"/>
      <c r="CH245" s="62"/>
      <c r="CI245" s="23"/>
      <c r="CJ245" s="121" t="str">
        <f t="shared" si="234"/>
        <v/>
      </c>
      <c r="CK245" s="20"/>
      <c r="CL245" s="20"/>
      <c r="CM245" s="20"/>
      <c r="CN245" s="20"/>
      <c r="CO245" s="125" t="str">
        <f t="shared" si="235"/>
        <v/>
      </c>
      <c r="CP245" s="14"/>
      <c r="CQ245" s="125" t="str">
        <f t="shared" si="236"/>
        <v/>
      </c>
      <c r="CR245" s="20"/>
      <c r="CS245" s="20"/>
      <c r="CT245" s="125" t="str">
        <f t="shared" si="237"/>
        <v/>
      </c>
      <c r="CU245" s="14"/>
      <c r="CV245" s="125" t="str">
        <f t="shared" si="238"/>
        <v/>
      </c>
      <c r="CW245" s="20"/>
      <c r="CX245" s="20"/>
      <c r="CY245" s="125" t="str">
        <f t="shared" si="239"/>
        <v/>
      </c>
      <c r="CZ245" s="125" t="str">
        <f t="shared" si="240"/>
        <v/>
      </c>
      <c r="DA245" s="125" t="str">
        <f t="shared" si="241"/>
        <v/>
      </c>
      <c r="DB245" s="129" t="str">
        <f t="shared" si="242"/>
        <v/>
      </c>
      <c r="DC245" s="14"/>
      <c r="DD245" s="63"/>
      <c r="DE245" s="105">
        <v>243</v>
      </c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</row>
    <row r="246" spans="1:176" s="1" customFormat="1" ht="13" hidden="1" customHeight="1" outlineLevel="1" x14ac:dyDescent="0.2">
      <c r="A246" s="4"/>
      <c r="B246" s="115" t="str">
        <f>IF(_xlfn.XLOOKUP(A246, AutoFill_names!B:B, AutoFill_names!C:C,"")=0,"",_xlfn.XLOOKUP(A246, AutoFill_names!B:B, AutoFill_names!C:C,""))</f>
        <v/>
      </c>
      <c r="C246" s="115" t="str">
        <f>IF(_xlfn.XLOOKUP(A246, AutoFill_names!B:B, AutoFill_names!D:D,"")=0,"",_xlfn.XLOOKUP(A246, AutoFill_names!B:B, AutoFill_names!D:D,""))</f>
        <v/>
      </c>
      <c r="D246" s="115" t="str">
        <f>IF(_xlfn.XLOOKUP(A246, AutoFill_names!B:B, AutoFill_names!E:E,"")=0,"",_xlfn.XLOOKUP(A246, AutoFill_names!B:B, AutoFill_names!E:E,""))</f>
        <v/>
      </c>
      <c r="E246" s="115" t="str">
        <f>IF(_xlfn.XLOOKUP(A246, AutoFill_names!B:B, AutoFill_names!F:F,"")=0,"",_xlfn.XLOOKUP(A246, AutoFill_names!B:B, AutoFill_names!F:F,""))</f>
        <v/>
      </c>
      <c r="F246" s="92"/>
      <c r="J246" s="115" t="str">
        <f>IF(_xlfn.XLOOKUP(A246, AutoFill_names!B:B, AutoFill_names!K:K,"")=0,"",_xlfn.XLOOKUP(A246, AutoFill_names!B:B, AutoFill_names!K:K,""))</f>
        <v/>
      </c>
      <c r="K246" s="115" t="str">
        <f>IF(_xlfn.XLOOKUP(A246, AutoFill_names!B:B, AutoFill_names!L:L,"")=0,"",_xlfn.XLOOKUP(A246, AutoFill_names!B:B, AutoFill_names!L:L,""))</f>
        <v/>
      </c>
      <c r="L246" s="31"/>
      <c r="M246" s="31"/>
      <c r="N246" s="117" t="str">
        <f>IF(_xlfn.XLOOKUP(L246, AutoFill_classes!A:A, AutoFill_classes!B:B,"")=0,"",_xlfn.XLOOKUP(L246, AutoFill_classes!A:A, AutoFill_classes!B:B,""))</f>
        <v/>
      </c>
      <c r="O246" s="108"/>
      <c r="P246" s="6"/>
      <c r="Q246" s="6"/>
      <c r="R246" s="6"/>
      <c r="S246" s="2"/>
      <c r="T246" s="2"/>
      <c r="U246" s="2"/>
      <c r="X246" s="62"/>
      <c r="Y246" s="18"/>
      <c r="Z246" s="121" t="str">
        <f t="shared" si="216"/>
        <v/>
      </c>
      <c r="AA246" s="20"/>
      <c r="AB246" s="20"/>
      <c r="AC246" s="20"/>
      <c r="AD246" s="20"/>
      <c r="AE246" s="125" t="str">
        <f t="shared" si="217"/>
        <v/>
      </c>
      <c r="AF246" s="14"/>
      <c r="AG246" s="125" t="str">
        <f t="shared" si="218"/>
        <v/>
      </c>
      <c r="AH246" s="20"/>
      <c r="AI246" s="20"/>
      <c r="AJ246" s="125" t="str">
        <f t="shared" si="219"/>
        <v/>
      </c>
      <c r="AK246" s="14"/>
      <c r="AL246" s="125" t="str">
        <f t="shared" si="220"/>
        <v/>
      </c>
      <c r="AM246" s="20"/>
      <c r="AN246" s="20"/>
      <c r="AO246" s="125" t="str">
        <f t="shared" si="221"/>
        <v/>
      </c>
      <c r="AP246" s="125" t="str">
        <f t="shared" si="222"/>
        <v/>
      </c>
      <c r="AQ246" s="125" t="str">
        <f t="shared" si="223"/>
        <v/>
      </c>
      <c r="AR246" s="129" t="str">
        <f t="shared" si="224"/>
        <v/>
      </c>
      <c r="AS246" s="14"/>
      <c r="AT246" s="13"/>
      <c r="AU246" s="13"/>
      <c r="AV246" s="117" t="str">
        <f>IF(_xlfn.XLOOKUP(AT246, AutoFill_classes!$A:$A, AutoFill_classes!$B:$B,"")=0,"",_xlfn.XLOOKUP(AT246, AutoFill_classes!$A:$A, AutoFill_classes!$B:$B,""))</f>
        <v/>
      </c>
      <c r="AW246" s="108"/>
      <c r="AX246" s="13"/>
      <c r="AY246" s="13"/>
      <c r="AZ246" s="13"/>
      <c r="BA246" s="13"/>
      <c r="BB246" s="13"/>
      <c r="BC246" s="62"/>
      <c r="BD246" s="18"/>
      <c r="BE246" s="121" t="str">
        <f t="shared" si="225"/>
        <v/>
      </c>
      <c r="BF246" s="20"/>
      <c r="BG246" s="20"/>
      <c r="BH246" s="20"/>
      <c r="BI246" s="20"/>
      <c r="BJ246" s="125" t="str">
        <f t="shared" si="226"/>
        <v/>
      </c>
      <c r="BK246" s="14"/>
      <c r="BL246" s="125" t="str">
        <f t="shared" si="227"/>
        <v/>
      </c>
      <c r="BM246" s="20"/>
      <c r="BN246" s="20"/>
      <c r="BO246" s="125" t="str">
        <f t="shared" si="228"/>
        <v/>
      </c>
      <c r="BP246" s="14"/>
      <c r="BQ246" s="125" t="str">
        <f t="shared" si="229"/>
        <v/>
      </c>
      <c r="BR246" s="20"/>
      <c r="BS246" s="20"/>
      <c r="BT246" s="125" t="str">
        <f t="shared" si="230"/>
        <v/>
      </c>
      <c r="BU246" s="125" t="str">
        <f t="shared" si="231"/>
        <v/>
      </c>
      <c r="BV246" s="125" t="str">
        <f t="shared" si="232"/>
        <v/>
      </c>
      <c r="BW246" s="129" t="str">
        <f t="shared" si="233"/>
        <v/>
      </c>
      <c r="BX246" s="13"/>
      <c r="BY246" s="15"/>
      <c r="BZ246" s="14"/>
      <c r="CA246" s="117" t="str">
        <f>IF(_xlfn.XLOOKUP(BY246, AutoFill_classes!$A:$A, AutoFill_classes!$B:$B,"")=0,"",_xlfn.XLOOKUP(BY246, AutoFill_classes!$A:$A, AutoFill_classes!$B:$B,""))</f>
        <v/>
      </c>
      <c r="CB246" s="108"/>
      <c r="CC246" s="14"/>
      <c r="CD246" s="14"/>
      <c r="CE246" s="14"/>
      <c r="CF246" s="21"/>
      <c r="CG246" s="22"/>
      <c r="CH246" s="62"/>
      <c r="CI246" s="23"/>
      <c r="CJ246" s="121" t="str">
        <f t="shared" si="234"/>
        <v/>
      </c>
      <c r="CK246" s="20"/>
      <c r="CL246" s="20"/>
      <c r="CM246" s="20"/>
      <c r="CN246" s="20"/>
      <c r="CO246" s="125" t="str">
        <f t="shared" si="235"/>
        <v/>
      </c>
      <c r="CP246" s="14"/>
      <c r="CQ246" s="125" t="str">
        <f t="shared" si="236"/>
        <v/>
      </c>
      <c r="CR246" s="20"/>
      <c r="CS246" s="20"/>
      <c r="CT246" s="125" t="str">
        <f t="shared" si="237"/>
        <v/>
      </c>
      <c r="CU246" s="14"/>
      <c r="CV246" s="125" t="str">
        <f t="shared" si="238"/>
        <v/>
      </c>
      <c r="CW246" s="20"/>
      <c r="CX246" s="20"/>
      <c r="CY246" s="125" t="str">
        <f t="shared" si="239"/>
        <v/>
      </c>
      <c r="CZ246" s="125" t="str">
        <f t="shared" si="240"/>
        <v/>
      </c>
      <c r="DA246" s="125" t="str">
        <f t="shared" si="241"/>
        <v/>
      </c>
      <c r="DB246" s="129" t="str">
        <f t="shared" si="242"/>
        <v/>
      </c>
      <c r="DC246" s="14"/>
      <c r="DD246" s="63"/>
      <c r="DE246" s="105">
        <v>244</v>
      </c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</row>
    <row r="247" spans="1:176" s="1" customFormat="1" ht="13" hidden="1" customHeight="1" outlineLevel="1" x14ac:dyDescent="0.2">
      <c r="A247" s="4"/>
      <c r="B247" s="115" t="str">
        <f>IF(_xlfn.XLOOKUP(A247, AutoFill_names!B:B, AutoFill_names!C:C,"")=0,"",_xlfn.XLOOKUP(A247, AutoFill_names!B:B, AutoFill_names!C:C,""))</f>
        <v/>
      </c>
      <c r="C247" s="115" t="str">
        <f>IF(_xlfn.XLOOKUP(A247, AutoFill_names!B:B, AutoFill_names!D:D,"")=0,"",_xlfn.XLOOKUP(A247, AutoFill_names!B:B, AutoFill_names!D:D,""))</f>
        <v/>
      </c>
      <c r="D247" s="115" t="str">
        <f>IF(_xlfn.XLOOKUP(A247, AutoFill_names!B:B, AutoFill_names!E:E,"")=0,"",_xlfn.XLOOKUP(A247, AutoFill_names!B:B, AutoFill_names!E:E,""))</f>
        <v/>
      </c>
      <c r="E247" s="115" t="str">
        <f>IF(_xlfn.XLOOKUP(A247, AutoFill_names!B:B, AutoFill_names!F:F,"")=0,"",_xlfn.XLOOKUP(A247, AutoFill_names!B:B, AutoFill_names!F:F,""))</f>
        <v/>
      </c>
      <c r="F247" s="92"/>
      <c r="J247" s="115" t="str">
        <f>IF(_xlfn.XLOOKUP(A247, AutoFill_names!B:B, AutoFill_names!K:K,"")=0,"",_xlfn.XLOOKUP(A247, AutoFill_names!B:B, AutoFill_names!K:K,""))</f>
        <v/>
      </c>
      <c r="K247" s="115" t="str">
        <f>IF(_xlfn.XLOOKUP(A247, AutoFill_names!B:B, AutoFill_names!L:L,"")=0,"",_xlfn.XLOOKUP(A247, AutoFill_names!B:B, AutoFill_names!L:L,""))</f>
        <v/>
      </c>
      <c r="L247" s="31"/>
      <c r="M247" s="31"/>
      <c r="N247" s="117" t="str">
        <f>IF(_xlfn.XLOOKUP(L247, AutoFill_classes!A:A, AutoFill_classes!B:B,"")=0,"",_xlfn.XLOOKUP(L247, AutoFill_classes!A:A, AutoFill_classes!B:B,""))</f>
        <v/>
      </c>
      <c r="O247" s="108"/>
      <c r="P247" s="6"/>
      <c r="Q247" s="6"/>
      <c r="R247" s="6"/>
      <c r="S247" s="2"/>
      <c r="T247" s="2"/>
      <c r="U247" s="2"/>
      <c r="X247" s="62"/>
      <c r="Y247" s="18"/>
      <c r="Z247" s="121" t="str">
        <f t="shared" si="216"/>
        <v/>
      </c>
      <c r="AA247" s="20"/>
      <c r="AB247" s="20"/>
      <c r="AC247" s="20"/>
      <c r="AD247" s="20"/>
      <c r="AE247" s="125" t="str">
        <f t="shared" si="217"/>
        <v/>
      </c>
      <c r="AF247" s="14"/>
      <c r="AG247" s="125" t="str">
        <f t="shared" si="218"/>
        <v/>
      </c>
      <c r="AH247" s="20"/>
      <c r="AI247" s="20"/>
      <c r="AJ247" s="125" t="str">
        <f t="shared" si="219"/>
        <v/>
      </c>
      <c r="AK247" s="14"/>
      <c r="AL247" s="125" t="str">
        <f t="shared" si="220"/>
        <v/>
      </c>
      <c r="AM247" s="20"/>
      <c r="AN247" s="20"/>
      <c r="AO247" s="125" t="str">
        <f t="shared" si="221"/>
        <v/>
      </c>
      <c r="AP247" s="125" t="str">
        <f t="shared" si="222"/>
        <v/>
      </c>
      <c r="AQ247" s="125" t="str">
        <f t="shared" si="223"/>
        <v/>
      </c>
      <c r="AR247" s="129" t="str">
        <f t="shared" si="224"/>
        <v/>
      </c>
      <c r="AS247" s="14"/>
      <c r="AT247" s="13"/>
      <c r="AU247" s="13"/>
      <c r="AV247" s="117" t="str">
        <f>IF(_xlfn.XLOOKUP(AT247, AutoFill_classes!$A:$A, AutoFill_classes!$B:$B,"")=0,"",_xlfn.XLOOKUP(AT247, AutoFill_classes!$A:$A, AutoFill_classes!$B:$B,""))</f>
        <v/>
      </c>
      <c r="AW247" s="108"/>
      <c r="AX247" s="13"/>
      <c r="AY247" s="13"/>
      <c r="AZ247" s="13"/>
      <c r="BA247" s="13"/>
      <c r="BB247" s="13"/>
      <c r="BC247" s="62"/>
      <c r="BD247" s="18"/>
      <c r="BE247" s="121" t="str">
        <f t="shared" si="225"/>
        <v/>
      </c>
      <c r="BF247" s="20"/>
      <c r="BG247" s="20"/>
      <c r="BH247" s="20"/>
      <c r="BI247" s="20"/>
      <c r="BJ247" s="125" t="str">
        <f t="shared" si="226"/>
        <v/>
      </c>
      <c r="BK247" s="14"/>
      <c r="BL247" s="125" t="str">
        <f t="shared" si="227"/>
        <v/>
      </c>
      <c r="BM247" s="20"/>
      <c r="BN247" s="20"/>
      <c r="BO247" s="125" t="str">
        <f t="shared" si="228"/>
        <v/>
      </c>
      <c r="BP247" s="14"/>
      <c r="BQ247" s="125" t="str">
        <f t="shared" si="229"/>
        <v/>
      </c>
      <c r="BR247" s="20"/>
      <c r="BS247" s="20"/>
      <c r="BT247" s="125" t="str">
        <f t="shared" si="230"/>
        <v/>
      </c>
      <c r="BU247" s="125" t="str">
        <f t="shared" si="231"/>
        <v/>
      </c>
      <c r="BV247" s="125" t="str">
        <f t="shared" si="232"/>
        <v/>
      </c>
      <c r="BW247" s="129" t="str">
        <f t="shared" si="233"/>
        <v/>
      </c>
      <c r="BX247" s="13"/>
      <c r="BY247" s="15"/>
      <c r="BZ247" s="14"/>
      <c r="CA247" s="117" t="str">
        <f>IF(_xlfn.XLOOKUP(BY247, AutoFill_classes!$A:$A, AutoFill_classes!$B:$B,"")=0,"",_xlfn.XLOOKUP(BY247, AutoFill_classes!$A:$A, AutoFill_classes!$B:$B,""))</f>
        <v/>
      </c>
      <c r="CB247" s="108"/>
      <c r="CC247" s="14"/>
      <c r="CD247" s="14"/>
      <c r="CE247" s="14"/>
      <c r="CF247" s="21"/>
      <c r="CG247" s="22"/>
      <c r="CH247" s="62"/>
      <c r="CI247" s="23"/>
      <c r="CJ247" s="121" t="str">
        <f t="shared" si="234"/>
        <v/>
      </c>
      <c r="CK247" s="20"/>
      <c r="CL247" s="20"/>
      <c r="CM247" s="20"/>
      <c r="CN247" s="20"/>
      <c r="CO247" s="125" t="str">
        <f t="shared" si="235"/>
        <v/>
      </c>
      <c r="CP247" s="14"/>
      <c r="CQ247" s="125" t="str">
        <f t="shared" si="236"/>
        <v/>
      </c>
      <c r="CR247" s="20"/>
      <c r="CS247" s="20"/>
      <c r="CT247" s="125" t="str">
        <f t="shared" si="237"/>
        <v/>
      </c>
      <c r="CU247" s="14"/>
      <c r="CV247" s="125" t="str">
        <f t="shared" si="238"/>
        <v/>
      </c>
      <c r="CW247" s="20"/>
      <c r="CX247" s="20"/>
      <c r="CY247" s="125" t="str">
        <f t="shared" si="239"/>
        <v/>
      </c>
      <c r="CZ247" s="125" t="str">
        <f t="shared" si="240"/>
        <v/>
      </c>
      <c r="DA247" s="125" t="str">
        <f t="shared" si="241"/>
        <v/>
      </c>
      <c r="DB247" s="129" t="str">
        <f t="shared" si="242"/>
        <v/>
      </c>
      <c r="DC247" s="14"/>
      <c r="DD247" s="63"/>
      <c r="DE247" s="105">
        <v>245</v>
      </c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</row>
    <row r="248" spans="1:176" s="1" customFormat="1" ht="13" hidden="1" customHeight="1" outlineLevel="1" x14ac:dyDescent="0.2">
      <c r="A248" s="4"/>
      <c r="B248" s="115" t="str">
        <f>IF(_xlfn.XLOOKUP(A248, AutoFill_names!B:B, AutoFill_names!C:C,"")=0,"",_xlfn.XLOOKUP(A248, AutoFill_names!B:B, AutoFill_names!C:C,""))</f>
        <v/>
      </c>
      <c r="C248" s="115" t="str">
        <f>IF(_xlfn.XLOOKUP(A248, AutoFill_names!B:B, AutoFill_names!D:D,"")=0,"",_xlfn.XLOOKUP(A248, AutoFill_names!B:B, AutoFill_names!D:D,""))</f>
        <v/>
      </c>
      <c r="D248" s="115" t="str">
        <f>IF(_xlfn.XLOOKUP(A248, AutoFill_names!B:B, AutoFill_names!E:E,"")=0,"",_xlfn.XLOOKUP(A248, AutoFill_names!B:B, AutoFill_names!E:E,""))</f>
        <v/>
      </c>
      <c r="E248" s="115" t="str">
        <f>IF(_xlfn.XLOOKUP(A248, AutoFill_names!B:B, AutoFill_names!F:F,"")=0,"",_xlfn.XLOOKUP(A248, AutoFill_names!B:B, AutoFill_names!F:F,""))</f>
        <v/>
      </c>
      <c r="F248" s="92"/>
      <c r="J248" s="115" t="str">
        <f>IF(_xlfn.XLOOKUP(A248, AutoFill_names!B:B, AutoFill_names!K:K,"")=0,"",_xlfn.XLOOKUP(A248, AutoFill_names!B:B, AutoFill_names!K:K,""))</f>
        <v/>
      </c>
      <c r="K248" s="115" t="str">
        <f>IF(_xlfn.XLOOKUP(A248, AutoFill_names!B:B, AutoFill_names!L:L,"")=0,"",_xlfn.XLOOKUP(A248, AutoFill_names!B:B, AutoFill_names!L:L,""))</f>
        <v/>
      </c>
      <c r="L248" s="31"/>
      <c r="M248" s="31"/>
      <c r="N248" s="117" t="str">
        <f>IF(_xlfn.XLOOKUP(L248, AutoFill_classes!A:A, AutoFill_classes!B:B,"")=0,"",_xlfn.XLOOKUP(L248, AutoFill_classes!A:A, AutoFill_classes!B:B,""))</f>
        <v/>
      </c>
      <c r="O248" s="108"/>
      <c r="P248" s="6"/>
      <c r="Q248" s="6"/>
      <c r="R248" s="6"/>
      <c r="S248" s="2"/>
      <c r="T248" s="2"/>
      <c r="U248" s="2"/>
      <c r="X248" s="62"/>
      <c r="Y248" s="18"/>
      <c r="Z248" s="121" t="str">
        <f t="shared" si="216"/>
        <v/>
      </c>
      <c r="AA248" s="20"/>
      <c r="AB248" s="20"/>
      <c r="AC248" s="20"/>
      <c r="AD248" s="20"/>
      <c r="AE248" s="125" t="str">
        <f t="shared" si="217"/>
        <v/>
      </c>
      <c r="AF248" s="14"/>
      <c r="AG248" s="125" t="str">
        <f t="shared" si="218"/>
        <v/>
      </c>
      <c r="AH248" s="20"/>
      <c r="AI248" s="20"/>
      <c r="AJ248" s="125" t="str">
        <f t="shared" si="219"/>
        <v/>
      </c>
      <c r="AK248" s="14"/>
      <c r="AL248" s="125" t="str">
        <f t="shared" si="220"/>
        <v/>
      </c>
      <c r="AM248" s="20"/>
      <c r="AN248" s="20"/>
      <c r="AO248" s="125" t="str">
        <f t="shared" si="221"/>
        <v/>
      </c>
      <c r="AP248" s="125" t="str">
        <f t="shared" si="222"/>
        <v/>
      </c>
      <c r="AQ248" s="125" t="str">
        <f t="shared" si="223"/>
        <v/>
      </c>
      <c r="AR248" s="129" t="str">
        <f t="shared" si="224"/>
        <v/>
      </c>
      <c r="AS248" s="14"/>
      <c r="AT248" s="13"/>
      <c r="AU248" s="13"/>
      <c r="AV248" s="117" t="str">
        <f>IF(_xlfn.XLOOKUP(AT248, AutoFill_classes!$A:$A, AutoFill_classes!$B:$B,"")=0,"",_xlfn.XLOOKUP(AT248, AutoFill_classes!$A:$A, AutoFill_classes!$B:$B,""))</f>
        <v/>
      </c>
      <c r="AW248" s="108"/>
      <c r="AX248" s="13"/>
      <c r="AY248" s="13"/>
      <c r="AZ248" s="13"/>
      <c r="BA248" s="13"/>
      <c r="BB248" s="13"/>
      <c r="BC248" s="62"/>
      <c r="BD248" s="18"/>
      <c r="BE248" s="121" t="str">
        <f t="shared" si="225"/>
        <v/>
      </c>
      <c r="BF248" s="20"/>
      <c r="BG248" s="20"/>
      <c r="BH248" s="20"/>
      <c r="BI248" s="20"/>
      <c r="BJ248" s="125" t="str">
        <f t="shared" si="226"/>
        <v/>
      </c>
      <c r="BK248" s="14"/>
      <c r="BL248" s="125" t="str">
        <f t="shared" si="227"/>
        <v/>
      </c>
      <c r="BM248" s="20"/>
      <c r="BN248" s="20"/>
      <c r="BO248" s="125" t="str">
        <f t="shared" si="228"/>
        <v/>
      </c>
      <c r="BP248" s="14"/>
      <c r="BQ248" s="125" t="str">
        <f t="shared" si="229"/>
        <v/>
      </c>
      <c r="BR248" s="20"/>
      <c r="BS248" s="20"/>
      <c r="BT248" s="125" t="str">
        <f t="shared" si="230"/>
        <v/>
      </c>
      <c r="BU248" s="125" t="str">
        <f t="shared" si="231"/>
        <v/>
      </c>
      <c r="BV248" s="125" t="str">
        <f t="shared" si="232"/>
        <v/>
      </c>
      <c r="BW248" s="129" t="str">
        <f t="shared" si="233"/>
        <v/>
      </c>
      <c r="BX248" s="13"/>
      <c r="BY248" s="15"/>
      <c r="BZ248" s="14"/>
      <c r="CA248" s="117" t="str">
        <f>IF(_xlfn.XLOOKUP(BY248, AutoFill_classes!$A:$A, AutoFill_classes!$B:$B,"")=0,"",_xlfn.XLOOKUP(BY248, AutoFill_classes!$A:$A, AutoFill_classes!$B:$B,""))</f>
        <v/>
      </c>
      <c r="CB248" s="108"/>
      <c r="CC248" s="14"/>
      <c r="CD248" s="14"/>
      <c r="CE248" s="14"/>
      <c r="CF248" s="21"/>
      <c r="CG248" s="22"/>
      <c r="CH248" s="62"/>
      <c r="CI248" s="23"/>
      <c r="CJ248" s="121" t="str">
        <f t="shared" si="234"/>
        <v/>
      </c>
      <c r="CK248" s="20"/>
      <c r="CL248" s="20"/>
      <c r="CM248" s="20"/>
      <c r="CN248" s="20"/>
      <c r="CO248" s="125" t="str">
        <f t="shared" si="235"/>
        <v/>
      </c>
      <c r="CP248" s="14"/>
      <c r="CQ248" s="125" t="str">
        <f t="shared" si="236"/>
        <v/>
      </c>
      <c r="CR248" s="20"/>
      <c r="CS248" s="20"/>
      <c r="CT248" s="125" t="str">
        <f t="shared" si="237"/>
        <v/>
      </c>
      <c r="CU248" s="14"/>
      <c r="CV248" s="125" t="str">
        <f t="shared" si="238"/>
        <v/>
      </c>
      <c r="CW248" s="20"/>
      <c r="CX248" s="20"/>
      <c r="CY248" s="125" t="str">
        <f t="shared" si="239"/>
        <v/>
      </c>
      <c r="CZ248" s="125" t="str">
        <f t="shared" si="240"/>
        <v/>
      </c>
      <c r="DA248" s="125" t="str">
        <f t="shared" si="241"/>
        <v/>
      </c>
      <c r="DB248" s="129" t="str">
        <f t="shared" si="242"/>
        <v/>
      </c>
      <c r="DC248" s="14"/>
      <c r="DD248" s="63"/>
      <c r="DE248" s="105">
        <v>246</v>
      </c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</row>
    <row r="249" spans="1:176" s="1" customFormat="1" ht="13" hidden="1" customHeight="1" outlineLevel="1" x14ac:dyDescent="0.2">
      <c r="A249" s="4"/>
      <c r="B249" s="115" t="str">
        <f>IF(_xlfn.XLOOKUP(A249, AutoFill_names!B:B, AutoFill_names!C:C,"")=0,"",_xlfn.XLOOKUP(A249, AutoFill_names!B:B, AutoFill_names!C:C,""))</f>
        <v/>
      </c>
      <c r="C249" s="115" t="str">
        <f>IF(_xlfn.XLOOKUP(A249, AutoFill_names!B:B, AutoFill_names!D:D,"")=0,"",_xlfn.XLOOKUP(A249, AutoFill_names!B:B, AutoFill_names!D:D,""))</f>
        <v/>
      </c>
      <c r="D249" s="115" t="str">
        <f>IF(_xlfn.XLOOKUP(A249, AutoFill_names!B:B, AutoFill_names!E:E,"")=0,"",_xlfn.XLOOKUP(A249, AutoFill_names!B:B, AutoFill_names!E:E,""))</f>
        <v/>
      </c>
      <c r="E249" s="115" t="str">
        <f>IF(_xlfn.XLOOKUP(A249, AutoFill_names!B:B, AutoFill_names!F:F,"")=0,"",_xlfn.XLOOKUP(A249, AutoFill_names!B:B, AutoFill_names!F:F,""))</f>
        <v/>
      </c>
      <c r="F249" s="92"/>
      <c r="J249" s="115" t="str">
        <f>IF(_xlfn.XLOOKUP(A249, AutoFill_names!B:B, AutoFill_names!K:K,"")=0,"",_xlfn.XLOOKUP(A249, AutoFill_names!B:B, AutoFill_names!K:K,""))</f>
        <v/>
      </c>
      <c r="K249" s="115" t="str">
        <f>IF(_xlfn.XLOOKUP(A249, AutoFill_names!B:B, AutoFill_names!L:L,"")=0,"",_xlfn.XLOOKUP(A249, AutoFill_names!B:B, AutoFill_names!L:L,""))</f>
        <v/>
      </c>
      <c r="L249" s="31"/>
      <c r="M249" s="31"/>
      <c r="N249" s="117" t="str">
        <f>IF(_xlfn.XLOOKUP(L249, AutoFill_classes!A:A, AutoFill_classes!B:B,"")=0,"",_xlfn.XLOOKUP(L249, AutoFill_classes!A:A, AutoFill_classes!B:B,""))</f>
        <v/>
      </c>
      <c r="O249" s="108"/>
      <c r="P249" s="6"/>
      <c r="Q249" s="6"/>
      <c r="R249" s="6"/>
      <c r="S249" s="2"/>
      <c r="T249" s="2"/>
      <c r="U249" s="2"/>
      <c r="X249" s="62"/>
      <c r="Y249" s="18"/>
      <c r="Z249" s="121" t="str">
        <f t="shared" si="216"/>
        <v/>
      </c>
      <c r="AA249" s="20"/>
      <c r="AB249" s="20"/>
      <c r="AC249" s="20"/>
      <c r="AD249" s="20"/>
      <c r="AE249" s="125" t="str">
        <f t="shared" si="217"/>
        <v/>
      </c>
      <c r="AF249" s="14"/>
      <c r="AG249" s="125" t="str">
        <f t="shared" si="218"/>
        <v/>
      </c>
      <c r="AH249" s="20"/>
      <c r="AI249" s="20"/>
      <c r="AJ249" s="125" t="str">
        <f t="shared" si="219"/>
        <v/>
      </c>
      <c r="AK249" s="14"/>
      <c r="AL249" s="125" t="str">
        <f t="shared" si="220"/>
        <v/>
      </c>
      <c r="AM249" s="20"/>
      <c r="AN249" s="20"/>
      <c r="AO249" s="125" t="str">
        <f t="shared" si="221"/>
        <v/>
      </c>
      <c r="AP249" s="125" t="str">
        <f t="shared" si="222"/>
        <v/>
      </c>
      <c r="AQ249" s="125" t="str">
        <f t="shared" si="223"/>
        <v/>
      </c>
      <c r="AR249" s="129" t="str">
        <f t="shared" si="224"/>
        <v/>
      </c>
      <c r="AS249" s="14"/>
      <c r="AT249" s="13"/>
      <c r="AU249" s="13"/>
      <c r="AV249" s="117" t="str">
        <f>IF(_xlfn.XLOOKUP(AT249, AutoFill_classes!$A:$A, AutoFill_classes!$B:$B,"")=0,"",_xlfn.XLOOKUP(AT249, AutoFill_classes!$A:$A, AutoFill_classes!$B:$B,""))</f>
        <v/>
      </c>
      <c r="AW249" s="108"/>
      <c r="AX249" s="13"/>
      <c r="AY249" s="13"/>
      <c r="AZ249" s="13"/>
      <c r="BA249" s="13"/>
      <c r="BB249" s="13"/>
      <c r="BC249" s="62"/>
      <c r="BD249" s="18"/>
      <c r="BE249" s="121" t="str">
        <f t="shared" si="225"/>
        <v/>
      </c>
      <c r="BF249" s="20"/>
      <c r="BG249" s="20"/>
      <c r="BH249" s="20"/>
      <c r="BI249" s="20"/>
      <c r="BJ249" s="125" t="str">
        <f t="shared" si="226"/>
        <v/>
      </c>
      <c r="BK249" s="14"/>
      <c r="BL249" s="125" t="str">
        <f t="shared" si="227"/>
        <v/>
      </c>
      <c r="BM249" s="20"/>
      <c r="BN249" s="20"/>
      <c r="BO249" s="125" t="str">
        <f t="shared" si="228"/>
        <v/>
      </c>
      <c r="BP249" s="14"/>
      <c r="BQ249" s="125" t="str">
        <f t="shared" si="229"/>
        <v/>
      </c>
      <c r="BR249" s="20"/>
      <c r="BS249" s="20"/>
      <c r="BT249" s="125" t="str">
        <f t="shared" si="230"/>
        <v/>
      </c>
      <c r="BU249" s="125" t="str">
        <f t="shared" si="231"/>
        <v/>
      </c>
      <c r="BV249" s="125" t="str">
        <f t="shared" si="232"/>
        <v/>
      </c>
      <c r="BW249" s="129" t="str">
        <f t="shared" si="233"/>
        <v/>
      </c>
      <c r="BX249" s="13"/>
      <c r="BY249" s="15"/>
      <c r="BZ249" s="14"/>
      <c r="CA249" s="117" t="str">
        <f>IF(_xlfn.XLOOKUP(BY249, AutoFill_classes!$A:$A, AutoFill_classes!$B:$B,"")=0,"",_xlfn.XLOOKUP(BY249, AutoFill_classes!$A:$A, AutoFill_classes!$B:$B,""))</f>
        <v/>
      </c>
      <c r="CB249" s="108"/>
      <c r="CC249" s="14"/>
      <c r="CD249" s="14"/>
      <c r="CE249" s="14"/>
      <c r="CF249" s="21"/>
      <c r="CG249" s="22"/>
      <c r="CH249" s="62"/>
      <c r="CI249" s="23"/>
      <c r="CJ249" s="121" t="str">
        <f t="shared" si="234"/>
        <v/>
      </c>
      <c r="CK249" s="20"/>
      <c r="CL249" s="20"/>
      <c r="CM249" s="20"/>
      <c r="CN249" s="20"/>
      <c r="CO249" s="125" t="str">
        <f t="shared" si="235"/>
        <v/>
      </c>
      <c r="CP249" s="14"/>
      <c r="CQ249" s="125" t="str">
        <f t="shared" si="236"/>
        <v/>
      </c>
      <c r="CR249" s="20"/>
      <c r="CS249" s="20"/>
      <c r="CT249" s="125" t="str">
        <f t="shared" si="237"/>
        <v/>
      </c>
      <c r="CU249" s="14"/>
      <c r="CV249" s="125" t="str">
        <f t="shared" si="238"/>
        <v/>
      </c>
      <c r="CW249" s="20"/>
      <c r="CX249" s="20"/>
      <c r="CY249" s="125" t="str">
        <f t="shared" si="239"/>
        <v/>
      </c>
      <c r="CZ249" s="125" t="str">
        <f t="shared" si="240"/>
        <v/>
      </c>
      <c r="DA249" s="125" t="str">
        <f t="shared" si="241"/>
        <v/>
      </c>
      <c r="DB249" s="129" t="str">
        <f t="shared" si="242"/>
        <v/>
      </c>
      <c r="DC249" s="14"/>
      <c r="DD249" s="63"/>
      <c r="DE249" s="105">
        <v>247</v>
      </c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</row>
    <row r="250" spans="1:176" s="1" customFormat="1" ht="13" hidden="1" customHeight="1" outlineLevel="1" x14ac:dyDescent="0.2">
      <c r="A250" s="4"/>
      <c r="B250" s="115" t="str">
        <f>IF(_xlfn.XLOOKUP(A250, AutoFill_names!B:B, AutoFill_names!C:C,"")=0,"",_xlfn.XLOOKUP(A250, AutoFill_names!B:B, AutoFill_names!C:C,""))</f>
        <v/>
      </c>
      <c r="C250" s="115" t="str">
        <f>IF(_xlfn.XLOOKUP(A250, AutoFill_names!B:B, AutoFill_names!D:D,"")=0,"",_xlfn.XLOOKUP(A250, AutoFill_names!B:B, AutoFill_names!D:D,""))</f>
        <v/>
      </c>
      <c r="D250" s="115" t="str">
        <f>IF(_xlfn.XLOOKUP(A250, AutoFill_names!B:B, AutoFill_names!E:E,"")=0,"",_xlfn.XLOOKUP(A250, AutoFill_names!B:B, AutoFill_names!E:E,""))</f>
        <v/>
      </c>
      <c r="E250" s="115" t="str">
        <f>IF(_xlfn.XLOOKUP(A250, AutoFill_names!B:B, AutoFill_names!F:F,"")=0,"",_xlfn.XLOOKUP(A250, AutoFill_names!B:B, AutoFill_names!F:F,""))</f>
        <v/>
      </c>
      <c r="F250" s="92"/>
      <c r="J250" s="115" t="str">
        <f>IF(_xlfn.XLOOKUP(A250, AutoFill_names!B:B, AutoFill_names!K:K,"")=0,"",_xlfn.XLOOKUP(A250, AutoFill_names!B:B, AutoFill_names!K:K,""))</f>
        <v/>
      </c>
      <c r="K250" s="115" t="str">
        <f>IF(_xlfn.XLOOKUP(A250, AutoFill_names!B:B, AutoFill_names!L:L,"")=0,"",_xlfn.XLOOKUP(A250, AutoFill_names!B:B, AutoFill_names!L:L,""))</f>
        <v/>
      </c>
      <c r="L250" s="31"/>
      <c r="M250" s="31"/>
      <c r="N250" s="117" t="str">
        <f>IF(_xlfn.XLOOKUP(L250, AutoFill_classes!A:A, AutoFill_classes!B:B,"")=0,"",_xlfn.XLOOKUP(L250, AutoFill_classes!A:A, AutoFill_classes!B:B,""))</f>
        <v/>
      </c>
      <c r="O250" s="108"/>
      <c r="P250" s="6"/>
      <c r="Q250" s="6"/>
      <c r="R250" s="6"/>
      <c r="S250" s="2"/>
      <c r="T250" s="2"/>
      <c r="U250" s="2"/>
      <c r="X250" s="62"/>
      <c r="Y250" s="18"/>
      <c r="Z250" s="121" t="str">
        <f t="shared" si="216"/>
        <v/>
      </c>
      <c r="AA250" s="20"/>
      <c r="AB250" s="20"/>
      <c r="AC250" s="20"/>
      <c r="AD250" s="20"/>
      <c r="AE250" s="125" t="str">
        <f t="shared" si="217"/>
        <v/>
      </c>
      <c r="AF250" s="14"/>
      <c r="AG250" s="125" t="str">
        <f t="shared" si="218"/>
        <v/>
      </c>
      <c r="AH250" s="20"/>
      <c r="AI250" s="20"/>
      <c r="AJ250" s="125" t="str">
        <f t="shared" si="219"/>
        <v/>
      </c>
      <c r="AK250" s="14"/>
      <c r="AL250" s="125" t="str">
        <f t="shared" si="220"/>
        <v/>
      </c>
      <c r="AM250" s="20"/>
      <c r="AN250" s="20"/>
      <c r="AO250" s="125" t="str">
        <f t="shared" si="221"/>
        <v/>
      </c>
      <c r="AP250" s="125" t="str">
        <f t="shared" si="222"/>
        <v/>
      </c>
      <c r="AQ250" s="125" t="str">
        <f t="shared" si="223"/>
        <v/>
      </c>
      <c r="AR250" s="129" t="str">
        <f t="shared" si="224"/>
        <v/>
      </c>
      <c r="AS250" s="14"/>
      <c r="AT250" s="13"/>
      <c r="AU250" s="13"/>
      <c r="AV250" s="117" t="str">
        <f>IF(_xlfn.XLOOKUP(AT250, AutoFill_classes!$A:$A, AutoFill_classes!$B:$B,"")=0,"",_xlfn.XLOOKUP(AT250, AutoFill_classes!$A:$A, AutoFill_classes!$B:$B,""))</f>
        <v/>
      </c>
      <c r="AW250" s="108"/>
      <c r="AX250" s="13"/>
      <c r="AY250" s="13"/>
      <c r="AZ250" s="13"/>
      <c r="BA250" s="13"/>
      <c r="BB250" s="13"/>
      <c r="BC250" s="62"/>
      <c r="BD250" s="18"/>
      <c r="BE250" s="121" t="str">
        <f t="shared" si="225"/>
        <v/>
      </c>
      <c r="BF250" s="20"/>
      <c r="BG250" s="20"/>
      <c r="BH250" s="20"/>
      <c r="BI250" s="20"/>
      <c r="BJ250" s="125" t="str">
        <f t="shared" si="226"/>
        <v/>
      </c>
      <c r="BK250" s="14"/>
      <c r="BL250" s="125" t="str">
        <f t="shared" si="227"/>
        <v/>
      </c>
      <c r="BM250" s="20"/>
      <c r="BN250" s="20"/>
      <c r="BO250" s="125" t="str">
        <f t="shared" si="228"/>
        <v/>
      </c>
      <c r="BP250" s="14"/>
      <c r="BQ250" s="125" t="str">
        <f t="shared" si="229"/>
        <v/>
      </c>
      <c r="BR250" s="20"/>
      <c r="BS250" s="20"/>
      <c r="BT250" s="125" t="str">
        <f t="shared" si="230"/>
        <v/>
      </c>
      <c r="BU250" s="125" t="str">
        <f t="shared" si="231"/>
        <v/>
      </c>
      <c r="BV250" s="125" t="str">
        <f t="shared" si="232"/>
        <v/>
      </c>
      <c r="BW250" s="129" t="str">
        <f t="shared" si="233"/>
        <v/>
      </c>
      <c r="BX250" s="13"/>
      <c r="BY250" s="15"/>
      <c r="BZ250" s="14"/>
      <c r="CA250" s="117" t="str">
        <f>IF(_xlfn.XLOOKUP(BY250, AutoFill_classes!$A:$A, AutoFill_classes!$B:$B,"")=0,"",_xlfn.XLOOKUP(BY250, AutoFill_classes!$A:$A, AutoFill_classes!$B:$B,""))</f>
        <v/>
      </c>
      <c r="CB250" s="108"/>
      <c r="CC250" s="14"/>
      <c r="CD250" s="14"/>
      <c r="CE250" s="14"/>
      <c r="CF250" s="21"/>
      <c r="CG250" s="22"/>
      <c r="CH250" s="62"/>
      <c r="CI250" s="23"/>
      <c r="CJ250" s="121" t="str">
        <f t="shared" si="234"/>
        <v/>
      </c>
      <c r="CK250" s="20"/>
      <c r="CL250" s="20"/>
      <c r="CM250" s="20"/>
      <c r="CN250" s="20"/>
      <c r="CO250" s="125" t="str">
        <f t="shared" si="235"/>
        <v/>
      </c>
      <c r="CP250" s="14"/>
      <c r="CQ250" s="125" t="str">
        <f t="shared" si="236"/>
        <v/>
      </c>
      <c r="CR250" s="20"/>
      <c r="CS250" s="20"/>
      <c r="CT250" s="125" t="str">
        <f t="shared" si="237"/>
        <v/>
      </c>
      <c r="CU250" s="14"/>
      <c r="CV250" s="125" t="str">
        <f t="shared" si="238"/>
        <v/>
      </c>
      <c r="CW250" s="20"/>
      <c r="CX250" s="20"/>
      <c r="CY250" s="125" t="str">
        <f t="shared" si="239"/>
        <v/>
      </c>
      <c r="CZ250" s="125" t="str">
        <f t="shared" si="240"/>
        <v/>
      </c>
      <c r="DA250" s="125" t="str">
        <f t="shared" si="241"/>
        <v/>
      </c>
      <c r="DB250" s="129" t="str">
        <f t="shared" si="242"/>
        <v/>
      </c>
      <c r="DC250" s="14"/>
      <c r="DD250" s="63"/>
      <c r="DE250" s="105">
        <v>248</v>
      </c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</row>
    <row r="251" spans="1:176" s="1" customFormat="1" ht="13" hidden="1" customHeight="1" outlineLevel="1" x14ac:dyDescent="0.2">
      <c r="A251" s="4"/>
      <c r="B251" s="115" t="str">
        <f>IF(_xlfn.XLOOKUP(A251, AutoFill_names!B:B, AutoFill_names!C:C,"")=0,"",_xlfn.XLOOKUP(A251, AutoFill_names!B:B, AutoFill_names!C:C,""))</f>
        <v/>
      </c>
      <c r="C251" s="115" t="str">
        <f>IF(_xlfn.XLOOKUP(A251, AutoFill_names!B:B, AutoFill_names!D:D,"")=0,"",_xlfn.XLOOKUP(A251, AutoFill_names!B:B, AutoFill_names!D:D,""))</f>
        <v/>
      </c>
      <c r="D251" s="115" t="str">
        <f>IF(_xlfn.XLOOKUP(A251, AutoFill_names!B:B, AutoFill_names!E:E,"")=0,"",_xlfn.XLOOKUP(A251, AutoFill_names!B:B, AutoFill_names!E:E,""))</f>
        <v/>
      </c>
      <c r="E251" s="115" t="str">
        <f>IF(_xlfn.XLOOKUP(A251, AutoFill_names!B:B, AutoFill_names!F:F,"")=0,"",_xlfn.XLOOKUP(A251, AutoFill_names!B:B, AutoFill_names!F:F,""))</f>
        <v/>
      </c>
      <c r="F251" s="92"/>
      <c r="J251" s="115" t="str">
        <f>IF(_xlfn.XLOOKUP(A251, AutoFill_names!B:B, AutoFill_names!K:K,"")=0,"",_xlfn.XLOOKUP(A251, AutoFill_names!B:B, AutoFill_names!K:K,""))</f>
        <v/>
      </c>
      <c r="K251" s="115" t="str">
        <f>IF(_xlfn.XLOOKUP(A251, AutoFill_names!B:B, AutoFill_names!L:L,"")=0,"",_xlfn.XLOOKUP(A251, AutoFill_names!B:B, AutoFill_names!L:L,""))</f>
        <v/>
      </c>
      <c r="L251" s="31"/>
      <c r="M251" s="31"/>
      <c r="N251" s="117" t="str">
        <f>IF(_xlfn.XLOOKUP(L251, AutoFill_classes!A:A, AutoFill_classes!B:B,"")=0,"",_xlfn.XLOOKUP(L251, AutoFill_classes!A:A, AutoFill_classes!B:B,""))</f>
        <v/>
      </c>
      <c r="O251" s="108"/>
      <c r="P251" s="6"/>
      <c r="Q251" s="6"/>
      <c r="R251" s="6"/>
      <c r="S251" s="2"/>
      <c r="T251" s="2"/>
      <c r="U251" s="2"/>
      <c r="X251" s="62"/>
      <c r="Y251" s="18"/>
      <c r="Z251" s="121" t="str">
        <f t="shared" si="216"/>
        <v/>
      </c>
      <c r="AA251" s="20"/>
      <c r="AB251" s="20"/>
      <c r="AC251" s="20"/>
      <c r="AD251" s="20"/>
      <c r="AE251" s="125" t="str">
        <f t="shared" si="217"/>
        <v/>
      </c>
      <c r="AF251" s="14"/>
      <c r="AG251" s="125" t="str">
        <f t="shared" si="218"/>
        <v/>
      </c>
      <c r="AH251" s="20"/>
      <c r="AI251" s="20"/>
      <c r="AJ251" s="125" t="str">
        <f t="shared" si="219"/>
        <v/>
      </c>
      <c r="AK251" s="14"/>
      <c r="AL251" s="125" t="str">
        <f t="shared" si="220"/>
        <v/>
      </c>
      <c r="AM251" s="20"/>
      <c r="AN251" s="20"/>
      <c r="AO251" s="125" t="str">
        <f t="shared" si="221"/>
        <v/>
      </c>
      <c r="AP251" s="125" t="str">
        <f t="shared" si="222"/>
        <v/>
      </c>
      <c r="AQ251" s="125" t="str">
        <f t="shared" si="223"/>
        <v/>
      </c>
      <c r="AR251" s="129" t="str">
        <f t="shared" si="224"/>
        <v/>
      </c>
      <c r="AS251" s="14"/>
      <c r="AT251" s="13"/>
      <c r="AU251" s="13"/>
      <c r="AV251" s="117" t="str">
        <f>IF(_xlfn.XLOOKUP(AT251, AutoFill_classes!$A:$A, AutoFill_classes!$B:$B,"")=0,"",_xlfn.XLOOKUP(AT251, AutoFill_classes!$A:$A, AutoFill_classes!$B:$B,""))</f>
        <v/>
      </c>
      <c r="AW251" s="108"/>
      <c r="AX251" s="13"/>
      <c r="AY251" s="13"/>
      <c r="AZ251" s="13"/>
      <c r="BA251" s="13"/>
      <c r="BB251" s="13"/>
      <c r="BC251" s="62"/>
      <c r="BD251" s="18"/>
      <c r="BE251" s="121" t="str">
        <f t="shared" si="225"/>
        <v/>
      </c>
      <c r="BF251" s="20"/>
      <c r="BG251" s="20"/>
      <c r="BH251" s="20"/>
      <c r="BI251" s="20"/>
      <c r="BJ251" s="125" t="str">
        <f t="shared" si="226"/>
        <v/>
      </c>
      <c r="BK251" s="14"/>
      <c r="BL251" s="125" t="str">
        <f t="shared" si="227"/>
        <v/>
      </c>
      <c r="BM251" s="20"/>
      <c r="BN251" s="20"/>
      <c r="BO251" s="125" t="str">
        <f t="shared" si="228"/>
        <v/>
      </c>
      <c r="BP251" s="14"/>
      <c r="BQ251" s="125" t="str">
        <f t="shared" si="229"/>
        <v/>
      </c>
      <c r="BR251" s="20"/>
      <c r="BS251" s="20"/>
      <c r="BT251" s="125" t="str">
        <f t="shared" si="230"/>
        <v/>
      </c>
      <c r="BU251" s="125" t="str">
        <f t="shared" si="231"/>
        <v/>
      </c>
      <c r="BV251" s="125" t="str">
        <f t="shared" si="232"/>
        <v/>
      </c>
      <c r="BW251" s="129" t="str">
        <f t="shared" si="233"/>
        <v/>
      </c>
      <c r="BX251" s="13"/>
      <c r="BY251" s="15"/>
      <c r="BZ251" s="14"/>
      <c r="CA251" s="117" t="str">
        <f>IF(_xlfn.XLOOKUP(BY251, AutoFill_classes!$A:$A, AutoFill_classes!$B:$B,"")=0,"",_xlfn.XLOOKUP(BY251, AutoFill_classes!$A:$A, AutoFill_classes!$B:$B,""))</f>
        <v/>
      </c>
      <c r="CB251" s="108"/>
      <c r="CC251" s="14"/>
      <c r="CD251" s="14"/>
      <c r="CE251" s="14"/>
      <c r="CF251" s="21"/>
      <c r="CG251" s="22"/>
      <c r="CH251" s="62"/>
      <c r="CI251" s="23"/>
      <c r="CJ251" s="121" t="str">
        <f t="shared" si="234"/>
        <v/>
      </c>
      <c r="CK251" s="20"/>
      <c r="CL251" s="20"/>
      <c r="CM251" s="20"/>
      <c r="CN251" s="20"/>
      <c r="CO251" s="125" t="str">
        <f t="shared" si="235"/>
        <v/>
      </c>
      <c r="CP251" s="14"/>
      <c r="CQ251" s="125" t="str">
        <f t="shared" si="236"/>
        <v/>
      </c>
      <c r="CR251" s="20"/>
      <c r="CS251" s="20"/>
      <c r="CT251" s="125" t="str">
        <f t="shared" si="237"/>
        <v/>
      </c>
      <c r="CU251" s="14"/>
      <c r="CV251" s="125" t="str">
        <f t="shared" si="238"/>
        <v/>
      </c>
      <c r="CW251" s="20"/>
      <c r="CX251" s="20"/>
      <c r="CY251" s="125" t="str">
        <f t="shared" si="239"/>
        <v/>
      </c>
      <c r="CZ251" s="125" t="str">
        <f t="shared" si="240"/>
        <v/>
      </c>
      <c r="DA251" s="125" t="str">
        <f t="shared" si="241"/>
        <v/>
      </c>
      <c r="DB251" s="129" t="str">
        <f t="shared" si="242"/>
        <v/>
      </c>
      <c r="DC251" s="14"/>
      <c r="DD251" s="63"/>
      <c r="DE251" s="105">
        <v>249</v>
      </c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</row>
    <row r="252" spans="1:176" s="1" customFormat="1" ht="13" hidden="1" customHeight="1" outlineLevel="1" x14ac:dyDescent="0.2">
      <c r="A252" s="4"/>
      <c r="B252" s="115" t="str">
        <f>IF(_xlfn.XLOOKUP(A252, AutoFill_names!B:B, AutoFill_names!C:C,"")=0,"",_xlfn.XLOOKUP(A252, AutoFill_names!B:B, AutoFill_names!C:C,""))</f>
        <v/>
      </c>
      <c r="C252" s="115" t="str">
        <f>IF(_xlfn.XLOOKUP(A252, AutoFill_names!B:B, AutoFill_names!D:D,"")=0,"",_xlfn.XLOOKUP(A252, AutoFill_names!B:B, AutoFill_names!D:D,""))</f>
        <v/>
      </c>
      <c r="D252" s="115" t="str">
        <f>IF(_xlfn.XLOOKUP(A252, AutoFill_names!B:B, AutoFill_names!E:E,"")=0,"",_xlfn.XLOOKUP(A252, AutoFill_names!B:B, AutoFill_names!E:E,""))</f>
        <v/>
      </c>
      <c r="E252" s="115" t="str">
        <f>IF(_xlfn.XLOOKUP(A252, AutoFill_names!B:B, AutoFill_names!F:F,"")=0,"",_xlfn.XLOOKUP(A252, AutoFill_names!B:B, AutoFill_names!F:F,""))</f>
        <v/>
      </c>
      <c r="F252" s="92"/>
      <c r="J252" s="115" t="str">
        <f>IF(_xlfn.XLOOKUP(A252, AutoFill_names!B:B, AutoFill_names!K:K,"")=0,"",_xlfn.XLOOKUP(A252, AutoFill_names!B:B, AutoFill_names!K:K,""))</f>
        <v/>
      </c>
      <c r="K252" s="115" t="str">
        <f>IF(_xlfn.XLOOKUP(A252, AutoFill_names!B:B, AutoFill_names!L:L,"")=0,"",_xlfn.XLOOKUP(A252, AutoFill_names!B:B, AutoFill_names!L:L,""))</f>
        <v/>
      </c>
      <c r="L252" s="31"/>
      <c r="M252" s="31"/>
      <c r="N252" s="117" t="str">
        <f>IF(_xlfn.XLOOKUP(L252, AutoFill_classes!A:A, AutoFill_classes!B:B,"")=0,"",_xlfn.XLOOKUP(L252, AutoFill_classes!A:A, AutoFill_classes!B:B,""))</f>
        <v/>
      </c>
      <c r="O252" s="108"/>
      <c r="P252" s="6"/>
      <c r="Q252" s="6"/>
      <c r="R252" s="6"/>
      <c r="S252" s="2"/>
      <c r="T252" s="2"/>
      <c r="U252" s="2"/>
      <c r="X252" s="62"/>
      <c r="Y252" s="18"/>
      <c r="Z252" s="121" t="str">
        <f t="shared" si="216"/>
        <v/>
      </c>
      <c r="AA252" s="20"/>
      <c r="AB252" s="20"/>
      <c r="AC252" s="20"/>
      <c r="AD252" s="20"/>
      <c r="AE252" s="125" t="str">
        <f t="shared" si="217"/>
        <v/>
      </c>
      <c r="AF252" s="14"/>
      <c r="AG252" s="125" t="str">
        <f t="shared" si="218"/>
        <v/>
      </c>
      <c r="AH252" s="20"/>
      <c r="AI252" s="20"/>
      <c r="AJ252" s="125" t="str">
        <f t="shared" si="219"/>
        <v/>
      </c>
      <c r="AK252" s="14"/>
      <c r="AL252" s="125" t="str">
        <f t="shared" si="220"/>
        <v/>
      </c>
      <c r="AM252" s="20"/>
      <c r="AN252" s="20"/>
      <c r="AO252" s="125" t="str">
        <f t="shared" si="221"/>
        <v/>
      </c>
      <c r="AP252" s="125" t="str">
        <f t="shared" si="222"/>
        <v/>
      </c>
      <c r="AQ252" s="125" t="str">
        <f t="shared" si="223"/>
        <v/>
      </c>
      <c r="AR252" s="129" t="str">
        <f t="shared" si="224"/>
        <v/>
      </c>
      <c r="AS252" s="14"/>
      <c r="AT252" s="13"/>
      <c r="AU252" s="13"/>
      <c r="AV252" s="117" t="str">
        <f>IF(_xlfn.XLOOKUP(AT252, AutoFill_classes!$A:$A, AutoFill_classes!$B:$B,"")=0,"",_xlfn.XLOOKUP(AT252, AutoFill_classes!$A:$A, AutoFill_classes!$B:$B,""))</f>
        <v/>
      </c>
      <c r="AW252" s="108"/>
      <c r="AX252" s="13"/>
      <c r="AY252" s="13"/>
      <c r="AZ252" s="13"/>
      <c r="BA252" s="13"/>
      <c r="BB252" s="13"/>
      <c r="BC252" s="62"/>
      <c r="BD252" s="18"/>
      <c r="BE252" s="121" t="str">
        <f t="shared" si="225"/>
        <v/>
      </c>
      <c r="BF252" s="20"/>
      <c r="BG252" s="20"/>
      <c r="BH252" s="20"/>
      <c r="BI252" s="20"/>
      <c r="BJ252" s="125" t="str">
        <f t="shared" si="226"/>
        <v/>
      </c>
      <c r="BK252" s="14"/>
      <c r="BL252" s="125" t="str">
        <f t="shared" si="227"/>
        <v/>
      </c>
      <c r="BM252" s="20"/>
      <c r="BN252" s="20"/>
      <c r="BO252" s="125" t="str">
        <f t="shared" si="228"/>
        <v/>
      </c>
      <c r="BP252" s="14"/>
      <c r="BQ252" s="125" t="str">
        <f t="shared" si="229"/>
        <v/>
      </c>
      <c r="BR252" s="20"/>
      <c r="BS252" s="20"/>
      <c r="BT252" s="125" t="str">
        <f t="shared" si="230"/>
        <v/>
      </c>
      <c r="BU252" s="125" t="str">
        <f t="shared" si="231"/>
        <v/>
      </c>
      <c r="BV252" s="125" t="str">
        <f t="shared" si="232"/>
        <v/>
      </c>
      <c r="BW252" s="129" t="str">
        <f t="shared" si="233"/>
        <v/>
      </c>
      <c r="BX252" s="13"/>
      <c r="BY252" s="15"/>
      <c r="BZ252" s="14"/>
      <c r="CA252" s="117" t="str">
        <f>IF(_xlfn.XLOOKUP(BY252, AutoFill_classes!$A:$A, AutoFill_classes!$B:$B,"")=0,"",_xlfn.XLOOKUP(BY252, AutoFill_classes!$A:$A, AutoFill_classes!$B:$B,""))</f>
        <v/>
      </c>
      <c r="CB252" s="108"/>
      <c r="CC252" s="14"/>
      <c r="CD252" s="14"/>
      <c r="CE252" s="14"/>
      <c r="CF252" s="21"/>
      <c r="CG252" s="22"/>
      <c r="CH252" s="62"/>
      <c r="CI252" s="23"/>
      <c r="CJ252" s="121" t="str">
        <f t="shared" si="234"/>
        <v/>
      </c>
      <c r="CK252" s="20"/>
      <c r="CL252" s="20"/>
      <c r="CM252" s="20"/>
      <c r="CN252" s="20"/>
      <c r="CO252" s="125" t="str">
        <f t="shared" si="235"/>
        <v/>
      </c>
      <c r="CP252" s="14"/>
      <c r="CQ252" s="125" t="str">
        <f t="shared" si="236"/>
        <v/>
      </c>
      <c r="CR252" s="20"/>
      <c r="CS252" s="20"/>
      <c r="CT252" s="125" t="str">
        <f t="shared" si="237"/>
        <v/>
      </c>
      <c r="CU252" s="14"/>
      <c r="CV252" s="125" t="str">
        <f t="shared" si="238"/>
        <v/>
      </c>
      <c r="CW252" s="20"/>
      <c r="CX252" s="20"/>
      <c r="CY252" s="125" t="str">
        <f t="shared" si="239"/>
        <v/>
      </c>
      <c r="CZ252" s="125" t="str">
        <f t="shared" si="240"/>
        <v/>
      </c>
      <c r="DA252" s="125" t="str">
        <f t="shared" si="241"/>
        <v/>
      </c>
      <c r="DB252" s="129" t="str">
        <f t="shared" si="242"/>
        <v/>
      </c>
      <c r="DC252" s="14"/>
      <c r="DD252" s="63"/>
      <c r="DE252" s="105">
        <v>250</v>
      </c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</row>
    <row r="253" spans="1:176" s="1" customFormat="1" ht="13" hidden="1" customHeight="1" outlineLevel="1" x14ac:dyDescent="0.2">
      <c r="A253" s="4"/>
      <c r="B253" s="115" t="str">
        <f>IF(_xlfn.XLOOKUP(A253, AutoFill_names!B:B, AutoFill_names!C:C,"")=0,"",_xlfn.XLOOKUP(A253, AutoFill_names!B:B, AutoFill_names!C:C,""))</f>
        <v/>
      </c>
      <c r="C253" s="115" t="str">
        <f>IF(_xlfn.XLOOKUP(A253, AutoFill_names!B:B, AutoFill_names!D:D,"")=0,"",_xlfn.XLOOKUP(A253, AutoFill_names!B:B, AutoFill_names!D:D,""))</f>
        <v/>
      </c>
      <c r="D253" s="115" t="str">
        <f>IF(_xlfn.XLOOKUP(A253, AutoFill_names!B:B, AutoFill_names!E:E,"")=0,"",_xlfn.XLOOKUP(A253, AutoFill_names!B:B, AutoFill_names!E:E,""))</f>
        <v/>
      </c>
      <c r="E253" s="115" t="str">
        <f>IF(_xlfn.XLOOKUP(A253, AutoFill_names!B:B, AutoFill_names!F:F,"")=0,"",_xlfn.XLOOKUP(A253, AutoFill_names!B:B, AutoFill_names!F:F,""))</f>
        <v/>
      </c>
      <c r="F253" s="92"/>
      <c r="J253" s="115" t="str">
        <f>IF(_xlfn.XLOOKUP(A253, AutoFill_names!B:B, AutoFill_names!K:K,"")=0,"",_xlfn.XLOOKUP(A253, AutoFill_names!B:B, AutoFill_names!K:K,""))</f>
        <v/>
      </c>
      <c r="K253" s="115" t="str">
        <f>IF(_xlfn.XLOOKUP(A253, AutoFill_names!B:B, AutoFill_names!L:L,"")=0,"",_xlfn.XLOOKUP(A253, AutoFill_names!B:B, AutoFill_names!L:L,""))</f>
        <v/>
      </c>
      <c r="L253" s="31"/>
      <c r="M253" s="31"/>
      <c r="N253" s="117" t="str">
        <f>IF(_xlfn.XLOOKUP(L253, AutoFill_classes!A:A, AutoFill_classes!B:B,"")=0,"",_xlfn.XLOOKUP(L253, AutoFill_classes!A:A, AutoFill_classes!B:B,""))</f>
        <v/>
      </c>
      <c r="O253" s="108"/>
      <c r="P253" s="6"/>
      <c r="Q253" s="6"/>
      <c r="R253" s="6"/>
      <c r="S253" s="2"/>
      <c r="T253" s="2"/>
      <c r="U253" s="2"/>
      <c r="X253" s="62"/>
      <c r="Y253" s="18"/>
      <c r="Z253" s="121" t="str">
        <f t="shared" si="216"/>
        <v/>
      </c>
      <c r="AA253" s="20"/>
      <c r="AB253" s="20"/>
      <c r="AC253" s="20"/>
      <c r="AD253" s="20"/>
      <c r="AE253" s="125" t="str">
        <f t="shared" si="217"/>
        <v/>
      </c>
      <c r="AF253" s="14"/>
      <c r="AG253" s="125" t="str">
        <f t="shared" si="218"/>
        <v/>
      </c>
      <c r="AH253" s="20"/>
      <c r="AI253" s="20"/>
      <c r="AJ253" s="125" t="str">
        <f t="shared" si="219"/>
        <v/>
      </c>
      <c r="AK253" s="14"/>
      <c r="AL253" s="125" t="str">
        <f t="shared" si="220"/>
        <v/>
      </c>
      <c r="AM253" s="20"/>
      <c r="AN253" s="20"/>
      <c r="AO253" s="125" t="str">
        <f t="shared" si="221"/>
        <v/>
      </c>
      <c r="AP253" s="125" t="str">
        <f t="shared" si="222"/>
        <v/>
      </c>
      <c r="AQ253" s="125" t="str">
        <f t="shared" si="223"/>
        <v/>
      </c>
      <c r="AR253" s="129" t="str">
        <f t="shared" si="224"/>
        <v/>
      </c>
      <c r="AS253" s="14"/>
      <c r="AT253" s="13"/>
      <c r="AU253" s="13"/>
      <c r="AV253" s="117" t="str">
        <f>IF(_xlfn.XLOOKUP(AT253, AutoFill_classes!$A:$A, AutoFill_classes!$B:$B,"")=0,"",_xlfn.XLOOKUP(AT253, AutoFill_classes!$A:$A, AutoFill_classes!$B:$B,""))</f>
        <v/>
      </c>
      <c r="AW253" s="108"/>
      <c r="AX253" s="13"/>
      <c r="AY253" s="13"/>
      <c r="AZ253" s="13"/>
      <c r="BA253" s="13"/>
      <c r="BB253" s="13"/>
      <c r="BC253" s="62"/>
      <c r="BD253" s="18"/>
      <c r="BE253" s="121" t="str">
        <f t="shared" si="225"/>
        <v/>
      </c>
      <c r="BF253" s="20"/>
      <c r="BG253" s="20"/>
      <c r="BH253" s="20"/>
      <c r="BI253" s="20"/>
      <c r="BJ253" s="125" t="str">
        <f t="shared" si="226"/>
        <v/>
      </c>
      <c r="BK253" s="14"/>
      <c r="BL253" s="125" t="str">
        <f t="shared" si="227"/>
        <v/>
      </c>
      <c r="BM253" s="20"/>
      <c r="BN253" s="20"/>
      <c r="BO253" s="125" t="str">
        <f t="shared" si="228"/>
        <v/>
      </c>
      <c r="BP253" s="14"/>
      <c r="BQ253" s="125" t="str">
        <f t="shared" si="229"/>
        <v/>
      </c>
      <c r="BR253" s="20"/>
      <c r="BS253" s="20"/>
      <c r="BT253" s="125" t="str">
        <f t="shared" si="230"/>
        <v/>
      </c>
      <c r="BU253" s="125" t="str">
        <f t="shared" si="231"/>
        <v/>
      </c>
      <c r="BV253" s="125" t="str">
        <f t="shared" si="232"/>
        <v/>
      </c>
      <c r="BW253" s="129" t="str">
        <f t="shared" si="233"/>
        <v/>
      </c>
      <c r="BX253" s="13"/>
      <c r="BY253" s="15"/>
      <c r="BZ253" s="14"/>
      <c r="CA253" s="117" t="str">
        <f>IF(_xlfn.XLOOKUP(BY253, AutoFill_classes!$A:$A, AutoFill_classes!$B:$B,"")=0,"",_xlfn.XLOOKUP(BY253, AutoFill_classes!$A:$A, AutoFill_classes!$B:$B,""))</f>
        <v/>
      </c>
      <c r="CB253" s="108"/>
      <c r="CC253" s="14"/>
      <c r="CD253" s="14"/>
      <c r="CE253" s="14"/>
      <c r="CF253" s="21"/>
      <c r="CG253" s="22"/>
      <c r="CH253" s="62"/>
      <c r="CI253" s="23"/>
      <c r="CJ253" s="121" t="str">
        <f t="shared" si="234"/>
        <v/>
      </c>
      <c r="CK253" s="20"/>
      <c r="CL253" s="20"/>
      <c r="CM253" s="20"/>
      <c r="CN253" s="20"/>
      <c r="CO253" s="125" t="str">
        <f t="shared" si="235"/>
        <v/>
      </c>
      <c r="CP253" s="14"/>
      <c r="CQ253" s="125" t="str">
        <f t="shared" si="236"/>
        <v/>
      </c>
      <c r="CR253" s="20"/>
      <c r="CS253" s="20"/>
      <c r="CT253" s="125" t="str">
        <f t="shared" si="237"/>
        <v/>
      </c>
      <c r="CU253" s="14"/>
      <c r="CV253" s="125" t="str">
        <f t="shared" si="238"/>
        <v/>
      </c>
      <c r="CW253" s="20"/>
      <c r="CX253" s="20"/>
      <c r="CY253" s="125" t="str">
        <f t="shared" si="239"/>
        <v/>
      </c>
      <c r="CZ253" s="125" t="str">
        <f t="shared" si="240"/>
        <v/>
      </c>
      <c r="DA253" s="125" t="str">
        <f t="shared" si="241"/>
        <v/>
      </c>
      <c r="DB253" s="129" t="str">
        <f t="shared" si="242"/>
        <v/>
      </c>
      <c r="DC253" s="14"/>
      <c r="DD253" s="63"/>
      <c r="DE253" s="105">
        <v>251</v>
      </c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</row>
    <row r="254" spans="1:176" s="1" customFormat="1" ht="13" hidden="1" customHeight="1" outlineLevel="1" x14ac:dyDescent="0.2">
      <c r="A254" s="4"/>
      <c r="B254" s="115" t="str">
        <f>IF(_xlfn.XLOOKUP(A254, AutoFill_names!B:B, AutoFill_names!C:C,"")=0,"",_xlfn.XLOOKUP(A254, AutoFill_names!B:B, AutoFill_names!C:C,""))</f>
        <v/>
      </c>
      <c r="C254" s="115" t="str">
        <f>IF(_xlfn.XLOOKUP(A254, AutoFill_names!B:B, AutoFill_names!D:D,"")=0,"",_xlfn.XLOOKUP(A254, AutoFill_names!B:B, AutoFill_names!D:D,""))</f>
        <v/>
      </c>
      <c r="D254" s="115" t="str">
        <f>IF(_xlfn.XLOOKUP(A254, AutoFill_names!B:B, AutoFill_names!E:E,"")=0,"",_xlfn.XLOOKUP(A254, AutoFill_names!B:B, AutoFill_names!E:E,""))</f>
        <v/>
      </c>
      <c r="E254" s="115" t="str">
        <f>IF(_xlfn.XLOOKUP(A254, AutoFill_names!B:B, AutoFill_names!F:F,"")=0,"",_xlfn.XLOOKUP(A254, AutoFill_names!B:B, AutoFill_names!F:F,""))</f>
        <v/>
      </c>
      <c r="F254" s="92"/>
      <c r="J254" s="115" t="str">
        <f>IF(_xlfn.XLOOKUP(A254, AutoFill_names!B:B, AutoFill_names!K:K,"")=0,"",_xlfn.XLOOKUP(A254, AutoFill_names!B:B, AutoFill_names!K:K,""))</f>
        <v/>
      </c>
      <c r="K254" s="115" t="str">
        <f>IF(_xlfn.XLOOKUP(A254, AutoFill_names!B:B, AutoFill_names!L:L,"")=0,"",_xlfn.XLOOKUP(A254, AutoFill_names!B:B, AutoFill_names!L:L,""))</f>
        <v/>
      </c>
      <c r="L254" s="31"/>
      <c r="M254" s="31"/>
      <c r="N254" s="117" t="str">
        <f>IF(_xlfn.XLOOKUP(L254, AutoFill_classes!A:A, AutoFill_classes!B:B,"")=0,"",_xlfn.XLOOKUP(L254, AutoFill_classes!A:A, AutoFill_classes!B:B,""))</f>
        <v/>
      </c>
      <c r="O254" s="108"/>
      <c r="P254" s="6"/>
      <c r="Q254" s="6"/>
      <c r="R254" s="6"/>
      <c r="S254" s="2"/>
      <c r="T254" s="2"/>
      <c r="U254" s="2"/>
      <c r="X254" s="62"/>
      <c r="Y254" s="18"/>
      <c r="Z254" s="121" t="str">
        <f t="shared" si="216"/>
        <v/>
      </c>
      <c r="AA254" s="20"/>
      <c r="AB254" s="20"/>
      <c r="AC254" s="20"/>
      <c r="AD254" s="20"/>
      <c r="AE254" s="125" t="str">
        <f t="shared" si="217"/>
        <v/>
      </c>
      <c r="AF254" s="14"/>
      <c r="AG254" s="125" t="str">
        <f t="shared" si="218"/>
        <v/>
      </c>
      <c r="AH254" s="20"/>
      <c r="AI254" s="20"/>
      <c r="AJ254" s="125" t="str">
        <f t="shared" si="219"/>
        <v/>
      </c>
      <c r="AK254" s="14"/>
      <c r="AL254" s="125" t="str">
        <f t="shared" si="220"/>
        <v/>
      </c>
      <c r="AM254" s="20"/>
      <c r="AN254" s="20"/>
      <c r="AO254" s="125" t="str">
        <f t="shared" si="221"/>
        <v/>
      </c>
      <c r="AP254" s="125" t="str">
        <f t="shared" si="222"/>
        <v/>
      </c>
      <c r="AQ254" s="125" t="str">
        <f t="shared" si="223"/>
        <v/>
      </c>
      <c r="AR254" s="129" t="str">
        <f t="shared" si="224"/>
        <v/>
      </c>
      <c r="AS254" s="14"/>
      <c r="AT254" s="13"/>
      <c r="AU254" s="13"/>
      <c r="AV254" s="117" t="str">
        <f>IF(_xlfn.XLOOKUP(AT254, AutoFill_classes!$A:$A, AutoFill_classes!$B:$B,"")=0,"",_xlfn.XLOOKUP(AT254, AutoFill_classes!$A:$A, AutoFill_classes!$B:$B,""))</f>
        <v/>
      </c>
      <c r="AW254" s="108"/>
      <c r="AX254" s="13"/>
      <c r="AY254" s="13"/>
      <c r="AZ254" s="13"/>
      <c r="BA254" s="13"/>
      <c r="BB254" s="13"/>
      <c r="BC254" s="62"/>
      <c r="BD254" s="18"/>
      <c r="BE254" s="121" t="str">
        <f t="shared" si="225"/>
        <v/>
      </c>
      <c r="BF254" s="20"/>
      <c r="BG254" s="20"/>
      <c r="BH254" s="20"/>
      <c r="BI254" s="20"/>
      <c r="BJ254" s="125" t="str">
        <f t="shared" si="226"/>
        <v/>
      </c>
      <c r="BK254" s="14"/>
      <c r="BL254" s="125" t="str">
        <f t="shared" si="227"/>
        <v/>
      </c>
      <c r="BM254" s="20"/>
      <c r="BN254" s="20"/>
      <c r="BO254" s="125" t="str">
        <f t="shared" si="228"/>
        <v/>
      </c>
      <c r="BP254" s="14"/>
      <c r="BQ254" s="125" t="str">
        <f t="shared" si="229"/>
        <v/>
      </c>
      <c r="BR254" s="20"/>
      <c r="BS254" s="20"/>
      <c r="BT254" s="125" t="str">
        <f t="shared" si="230"/>
        <v/>
      </c>
      <c r="BU254" s="125" t="str">
        <f t="shared" si="231"/>
        <v/>
      </c>
      <c r="BV254" s="125" t="str">
        <f t="shared" si="232"/>
        <v/>
      </c>
      <c r="BW254" s="129" t="str">
        <f t="shared" si="233"/>
        <v/>
      </c>
      <c r="BX254" s="13"/>
      <c r="BY254" s="15"/>
      <c r="BZ254" s="14"/>
      <c r="CA254" s="117" t="str">
        <f>IF(_xlfn.XLOOKUP(BY254, AutoFill_classes!$A:$A, AutoFill_classes!$B:$B,"")=0,"",_xlfn.XLOOKUP(BY254, AutoFill_classes!$A:$A, AutoFill_classes!$B:$B,""))</f>
        <v/>
      </c>
      <c r="CB254" s="108"/>
      <c r="CC254" s="14"/>
      <c r="CD254" s="14"/>
      <c r="CE254" s="14"/>
      <c r="CF254" s="21"/>
      <c r="CG254" s="22"/>
      <c r="CH254" s="62"/>
      <c r="CI254" s="23"/>
      <c r="CJ254" s="121" t="str">
        <f t="shared" si="234"/>
        <v/>
      </c>
      <c r="CK254" s="20"/>
      <c r="CL254" s="20"/>
      <c r="CM254" s="20"/>
      <c r="CN254" s="20"/>
      <c r="CO254" s="125" t="str">
        <f t="shared" si="235"/>
        <v/>
      </c>
      <c r="CP254" s="14"/>
      <c r="CQ254" s="125" t="str">
        <f t="shared" si="236"/>
        <v/>
      </c>
      <c r="CR254" s="20"/>
      <c r="CS254" s="20"/>
      <c r="CT254" s="125" t="str">
        <f t="shared" si="237"/>
        <v/>
      </c>
      <c r="CU254" s="14"/>
      <c r="CV254" s="125" t="str">
        <f t="shared" si="238"/>
        <v/>
      </c>
      <c r="CW254" s="20"/>
      <c r="CX254" s="20"/>
      <c r="CY254" s="125" t="str">
        <f t="shared" si="239"/>
        <v/>
      </c>
      <c r="CZ254" s="125" t="str">
        <f t="shared" si="240"/>
        <v/>
      </c>
      <c r="DA254" s="125" t="str">
        <f t="shared" si="241"/>
        <v/>
      </c>
      <c r="DB254" s="129" t="str">
        <f t="shared" si="242"/>
        <v/>
      </c>
      <c r="DC254" s="14"/>
      <c r="DD254" s="63"/>
      <c r="DE254" s="105">
        <v>252</v>
      </c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</row>
    <row r="255" spans="1:176" s="1" customFormat="1" ht="13" hidden="1" customHeight="1" outlineLevel="1" x14ac:dyDescent="0.2">
      <c r="A255" s="4"/>
      <c r="B255" s="115" t="str">
        <f>IF(_xlfn.XLOOKUP(A255, AutoFill_names!B:B, AutoFill_names!C:C,"")=0,"",_xlfn.XLOOKUP(A255, AutoFill_names!B:B, AutoFill_names!C:C,""))</f>
        <v/>
      </c>
      <c r="C255" s="115" t="str">
        <f>IF(_xlfn.XLOOKUP(A255, AutoFill_names!B:B, AutoFill_names!D:D,"")=0,"",_xlfn.XLOOKUP(A255, AutoFill_names!B:B, AutoFill_names!D:D,""))</f>
        <v/>
      </c>
      <c r="D255" s="115" t="str">
        <f>IF(_xlfn.XLOOKUP(A255, AutoFill_names!B:B, AutoFill_names!E:E,"")=0,"",_xlfn.XLOOKUP(A255, AutoFill_names!B:B, AutoFill_names!E:E,""))</f>
        <v/>
      </c>
      <c r="E255" s="115" t="str">
        <f>IF(_xlfn.XLOOKUP(A255, AutoFill_names!B:B, AutoFill_names!F:F,"")=0,"",_xlfn.XLOOKUP(A255, AutoFill_names!B:B, AutoFill_names!F:F,""))</f>
        <v/>
      </c>
      <c r="F255" s="92"/>
      <c r="J255" s="115" t="str">
        <f>IF(_xlfn.XLOOKUP(A255, AutoFill_names!B:B, AutoFill_names!K:K,"")=0,"",_xlfn.XLOOKUP(A255, AutoFill_names!B:B, AutoFill_names!K:K,""))</f>
        <v/>
      </c>
      <c r="K255" s="115" t="str">
        <f>IF(_xlfn.XLOOKUP(A255, AutoFill_names!B:B, AutoFill_names!L:L,"")=0,"",_xlfn.XLOOKUP(A255, AutoFill_names!B:B, AutoFill_names!L:L,""))</f>
        <v/>
      </c>
      <c r="L255" s="31"/>
      <c r="M255" s="31"/>
      <c r="N255" s="117" t="str">
        <f>IF(_xlfn.XLOOKUP(L255, AutoFill_classes!A:A, AutoFill_classes!B:B,"")=0,"",_xlfn.XLOOKUP(L255, AutoFill_classes!A:A, AutoFill_classes!B:B,""))</f>
        <v/>
      </c>
      <c r="O255" s="108"/>
      <c r="P255" s="6"/>
      <c r="Q255" s="6"/>
      <c r="R255" s="6"/>
      <c r="S255" s="2"/>
      <c r="T255" s="2"/>
      <c r="U255" s="2"/>
      <c r="X255" s="62"/>
      <c r="Y255" s="18"/>
      <c r="Z255" s="121" t="str">
        <f t="shared" si="216"/>
        <v/>
      </c>
      <c r="AA255" s="20"/>
      <c r="AB255" s="20"/>
      <c r="AC255" s="20"/>
      <c r="AD255" s="20"/>
      <c r="AE255" s="125" t="str">
        <f t="shared" si="217"/>
        <v/>
      </c>
      <c r="AF255" s="14"/>
      <c r="AG255" s="125" t="str">
        <f t="shared" si="218"/>
        <v/>
      </c>
      <c r="AH255" s="20"/>
      <c r="AI255" s="20"/>
      <c r="AJ255" s="125" t="str">
        <f t="shared" si="219"/>
        <v/>
      </c>
      <c r="AK255" s="14"/>
      <c r="AL255" s="125" t="str">
        <f t="shared" si="220"/>
        <v/>
      </c>
      <c r="AM255" s="20"/>
      <c r="AN255" s="20"/>
      <c r="AO255" s="125" t="str">
        <f t="shared" si="221"/>
        <v/>
      </c>
      <c r="AP255" s="125" t="str">
        <f t="shared" si="222"/>
        <v/>
      </c>
      <c r="AQ255" s="125" t="str">
        <f t="shared" si="223"/>
        <v/>
      </c>
      <c r="AR255" s="129" t="str">
        <f t="shared" si="224"/>
        <v/>
      </c>
      <c r="AS255" s="14"/>
      <c r="AT255" s="13"/>
      <c r="AU255" s="13"/>
      <c r="AV255" s="117" t="str">
        <f>IF(_xlfn.XLOOKUP(AT255, AutoFill_classes!$A:$A, AutoFill_classes!$B:$B,"")=0,"",_xlfn.XLOOKUP(AT255, AutoFill_classes!$A:$A, AutoFill_classes!$B:$B,""))</f>
        <v/>
      </c>
      <c r="AW255" s="108"/>
      <c r="AX255" s="13"/>
      <c r="AY255" s="13"/>
      <c r="AZ255" s="13"/>
      <c r="BA255" s="13"/>
      <c r="BB255" s="13"/>
      <c r="BC255" s="62"/>
      <c r="BD255" s="18"/>
      <c r="BE255" s="121" t="str">
        <f t="shared" si="225"/>
        <v/>
      </c>
      <c r="BF255" s="20"/>
      <c r="BG255" s="20"/>
      <c r="BH255" s="20"/>
      <c r="BI255" s="20"/>
      <c r="BJ255" s="125" t="str">
        <f t="shared" si="226"/>
        <v/>
      </c>
      <c r="BK255" s="14"/>
      <c r="BL255" s="125" t="str">
        <f t="shared" si="227"/>
        <v/>
      </c>
      <c r="BM255" s="20"/>
      <c r="BN255" s="20"/>
      <c r="BO255" s="125" t="str">
        <f t="shared" si="228"/>
        <v/>
      </c>
      <c r="BP255" s="14"/>
      <c r="BQ255" s="125" t="str">
        <f t="shared" si="229"/>
        <v/>
      </c>
      <c r="BR255" s="20"/>
      <c r="BS255" s="20"/>
      <c r="BT255" s="125" t="str">
        <f t="shared" si="230"/>
        <v/>
      </c>
      <c r="BU255" s="125" t="str">
        <f t="shared" si="231"/>
        <v/>
      </c>
      <c r="BV255" s="125" t="str">
        <f t="shared" si="232"/>
        <v/>
      </c>
      <c r="BW255" s="129" t="str">
        <f t="shared" si="233"/>
        <v/>
      </c>
      <c r="BX255" s="13"/>
      <c r="BY255" s="15"/>
      <c r="BZ255" s="14"/>
      <c r="CA255" s="117" t="str">
        <f>IF(_xlfn.XLOOKUP(BY255, AutoFill_classes!$A:$A, AutoFill_classes!$B:$B,"")=0,"",_xlfn.XLOOKUP(BY255, AutoFill_classes!$A:$A, AutoFill_classes!$B:$B,""))</f>
        <v/>
      </c>
      <c r="CB255" s="108"/>
      <c r="CC255" s="14"/>
      <c r="CD255" s="14"/>
      <c r="CE255" s="14"/>
      <c r="CF255" s="21"/>
      <c r="CG255" s="22"/>
      <c r="CH255" s="62"/>
      <c r="CI255" s="23"/>
      <c r="CJ255" s="121" t="str">
        <f t="shared" si="234"/>
        <v/>
      </c>
      <c r="CK255" s="20"/>
      <c r="CL255" s="20"/>
      <c r="CM255" s="20"/>
      <c r="CN255" s="20"/>
      <c r="CO255" s="125" t="str">
        <f t="shared" si="235"/>
        <v/>
      </c>
      <c r="CP255" s="14"/>
      <c r="CQ255" s="125" t="str">
        <f t="shared" si="236"/>
        <v/>
      </c>
      <c r="CR255" s="20"/>
      <c r="CS255" s="20"/>
      <c r="CT255" s="125" t="str">
        <f t="shared" si="237"/>
        <v/>
      </c>
      <c r="CU255" s="14"/>
      <c r="CV255" s="125" t="str">
        <f t="shared" si="238"/>
        <v/>
      </c>
      <c r="CW255" s="20"/>
      <c r="CX255" s="20"/>
      <c r="CY255" s="125" t="str">
        <f t="shared" si="239"/>
        <v/>
      </c>
      <c r="CZ255" s="125" t="str">
        <f t="shared" si="240"/>
        <v/>
      </c>
      <c r="DA255" s="125" t="str">
        <f t="shared" si="241"/>
        <v/>
      </c>
      <c r="DB255" s="129" t="str">
        <f t="shared" si="242"/>
        <v/>
      </c>
      <c r="DC255" s="14"/>
      <c r="DD255" s="63"/>
      <c r="DE255" s="105">
        <v>253</v>
      </c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</row>
    <row r="256" spans="1:176" s="1" customFormat="1" ht="13" hidden="1" customHeight="1" outlineLevel="1" x14ac:dyDescent="0.2">
      <c r="A256" s="4"/>
      <c r="B256" s="115" t="str">
        <f>IF(_xlfn.XLOOKUP(A256, AutoFill_names!B:B, AutoFill_names!C:C,"")=0,"",_xlfn.XLOOKUP(A256, AutoFill_names!B:B, AutoFill_names!C:C,""))</f>
        <v/>
      </c>
      <c r="C256" s="115" t="str">
        <f>IF(_xlfn.XLOOKUP(A256, AutoFill_names!B:B, AutoFill_names!D:D,"")=0,"",_xlfn.XLOOKUP(A256, AutoFill_names!B:B, AutoFill_names!D:D,""))</f>
        <v/>
      </c>
      <c r="D256" s="115" t="str">
        <f>IF(_xlfn.XLOOKUP(A256, AutoFill_names!B:B, AutoFill_names!E:E,"")=0,"",_xlfn.XLOOKUP(A256, AutoFill_names!B:B, AutoFill_names!E:E,""))</f>
        <v/>
      </c>
      <c r="E256" s="115" t="str">
        <f>IF(_xlfn.XLOOKUP(A256, AutoFill_names!B:B, AutoFill_names!F:F,"")=0,"",_xlfn.XLOOKUP(A256, AutoFill_names!B:B, AutoFill_names!F:F,""))</f>
        <v/>
      </c>
      <c r="F256" s="92"/>
      <c r="J256" s="115" t="str">
        <f>IF(_xlfn.XLOOKUP(A256, AutoFill_names!B:B, AutoFill_names!K:K,"")=0,"",_xlfn.XLOOKUP(A256, AutoFill_names!B:B, AutoFill_names!K:K,""))</f>
        <v/>
      </c>
      <c r="K256" s="115" t="str">
        <f>IF(_xlfn.XLOOKUP(A256, AutoFill_names!B:B, AutoFill_names!L:L,"")=0,"",_xlfn.XLOOKUP(A256, AutoFill_names!B:B, AutoFill_names!L:L,""))</f>
        <v/>
      </c>
      <c r="L256" s="31"/>
      <c r="M256" s="31"/>
      <c r="N256" s="117" t="str">
        <f>IF(_xlfn.XLOOKUP(L256, AutoFill_classes!A:A, AutoFill_classes!B:B,"")=0,"",_xlfn.XLOOKUP(L256, AutoFill_classes!A:A, AutoFill_classes!B:B,""))</f>
        <v/>
      </c>
      <c r="O256" s="108"/>
      <c r="P256" s="6"/>
      <c r="Q256" s="6"/>
      <c r="R256" s="6"/>
      <c r="S256" s="2"/>
      <c r="T256" s="2"/>
      <c r="U256" s="2"/>
      <c r="X256" s="62"/>
      <c r="Y256" s="18"/>
      <c r="Z256" s="121" t="str">
        <f t="shared" si="216"/>
        <v/>
      </c>
      <c r="AA256" s="20"/>
      <c r="AB256" s="20"/>
      <c r="AC256" s="20"/>
      <c r="AD256" s="20"/>
      <c r="AE256" s="125" t="str">
        <f t="shared" si="217"/>
        <v/>
      </c>
      <c r="AF256" s="14"/>
      <c r="AG256" s="125" t="str">
        <f t="shared" si="218"/>
        <v/>
      </c>
      <c r="AH256" s="20"/>
      <c r="AI256" s="20"/>
      <c r="AJ256" s="125" t="str">
        <f t="shared" si="219"/>
        <v/>
      </c>
      <c r="AK256" s="14"/>
      <c r="AL256" s="125" t="str">
        <f t="shared" si="220"/>
        <v/>
      </c>
      <c r="AM256" s="20"/>
      <c r="AN256" s="20"/>
      <c r="AO256" s="125" t="str">
        <f t="shared" si="221"/>
        <v/>
      </c>
      <c r="AP256" s="125" t="str">
        <f t="shared" si="222"/>
        <v/>
      </c>
      <c r="AQ256" s="125" t="str">
        <f t="shared" si="223"/>
        <v/>
      </c>
      <c r="AR256" s="129" t="str">
        <f t="shared" si="224"/>
        <v/>
      </c>
      <c r="AS256" s="14"/>
      <c r="AT256" s="13"/>
      <c r="AU256" s="13"/>
      <c r="AV256" s="117" t="str">
        <f>IF(_xlfn.XLOOKUP(AT256, AutoFill_classes!$A:$A, AutoFill_classes!$B:$B,"")=0,"",_xlfn.XLOOKUP(AT256, AutoFill_classes!$A:$A, AutoFill_classes!$B:$B,""))</f>
        <v/>
      </c>
      <c r="AW256" s="108"/>
      <c r="AX256" s="13"/>
      <c r="AY256" s="13"/>
      <c r="AZ256" s="13"/>
      <c r="BA256" s="13"/>
      <c r="BB256" s="13"/>
      <c r="BC256" s="62"/>
      <c r="BD256" s="18"/>
      <c r="BE256" s="121" t="str">
        <f t="shared" si="225"/>
        <v/>
      </c>
      <c r="BF256" s="20"/>
      <c r="BG256" s="20"/>
      <c r="BH256" s="20"/>
      <c r="BI256" s="20"/>
      <c r="BJ256" s="125" t="str">
        <f t="shared" si="226"/>
        <v/>
      </c>
      <c r="BK256" s="14"/>
      <c r="BL256" s="125" t="str">
        <f t="shared" si="227"/>
        <v/>
      </c>
      <c r="BM256" s="20"/>
      <c r="BN256" s="20"/>
      <c r="BO256" s="125" t="str">
        <f t="shared" si="228"/>
        <v/>
      </c>
      <c r="BP256" s="14"/>
      <c r="BQ256" s="125" t="str">
        <f t="shared" si="229"/>
        <v/>
      </c>
      <c r="BR256" s="20"/>
      <c r="BS256" s="20"/>
      <c r="BT256" s="125" t="str">
        <f t="shared" si="230"/>
        <v/>
      </c>
      <c r="BU256" s="125" t="str">
        <f t="shared" si="231"/>
        <v/>
      </c>
      <c r="BV256" s="125" t="str">
        <f t="shared" si="232"/>
        <v/>
      </c>
      <c r="BW256" s="129" t="str">
        <f t="shared" si="233"/>
        <v/>
      </c>
      <c r="BX256" s="13"/>
      <c r="BY256" s="15"/>
      <c r="BZ256" s="14"/>
      <c r="CA256" s="117" t="str">
        <f>IF(_xlfn.XLOOKUP(BY256, AutoFill_classes!$A:$A, AutoFill_classes!$B:$B,"")=0,"",_xlfn.XLOOKUP(BY256, AutoFill_classes!$A:$A, AutoFill_classes!$B:$B,""))</f>
        <v/>
      </c>
      <c r="CB256" s="108"/>
      <c r="CC256" s="14"/>
      <c r="CD256" s="14"/>
      <c r="CE256" s="14"/>
      <c r="CF256" s="21"/>
      <c r="CG256" s="22"/>
      <c r="CH256" s="62"/>
      <c r="CI256" s="23"/>
      <c r="CJ256" s="121" t="str">
        <f t="shared" si="234"/>
        <v/>
      </c>
      <c r="CK256" s="20"/>
      <c r="CL256" s="20"/>
      <c r="CM256" s="20"/>
      <c r="CN256" s="20"/>
      <c r="CO256" s="125" t="str">
        <f t="shared" si="235"/>
        <v/>
      </c>
      <c r="CP256" s="14"/>
      <c r="CQ256" s="125" t="str">
        <f t="shared" si="236"/>
        <v/>
      </c>
      <c r="CR256" s="20"/>
      <c r="CS256" s="20"/>
      <c r="CT256" s="125" t="str">
        <f t="shared" si="237"/>
        <v/>
      </c>
      <c r="CU256" s="14"/>
      <c r="CV256" s="125" t="str">
        <f t="shared" si="238"/>
        <v/>
      </c>
      <c r="CW256" s="20"/>
      <c r="CX256" s="20"/>
      <c r="CY256" s="125" t="str">
        <f t="shared" si="239"/>
        <v/>
      </c>
      <c r="CZ256" s="125" t="str">
        <f t="shared" si="240"/>
        <v/>
      </c>
      <c r="DA256" s="125" t="str">
        <f t="shared" si="241"/>
        <v/>
      </c>
      <c r="DB256" s="129" t="str">
        <f t="shared" si="242"/>
        <v/>
      </c>
      <c r="DC256" s="14"/>
      <c r="DD256" s="63"/>
      <c r="DE256" s="105">
        <v>254</v>
      </c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</row>
    <row r="257" spans="1:176" s="1" customFormat="1" ht="13" hidden="1" customHeight="1" outlineLevel="1" x14ac:dyDescent="0.2">
      <c r="A257" s="4"/>
      <c r="B257" s="115" t="str">
        <f>IF(_xlfn.XLOOKUP(A257, AutoFill_names!B:B, AutoFill_names!C:C,"")=0,"",_xlfn.XLOOKUP(A257, AutoFill_names!B:B, AutoFill_names!C:C,""))</f>
        <v/>
      </c>
      <c r="C257" s="115" t="str">
        <f>IF(_xlfn.XLOOKUP(A257, AutoFill_names!B:B, AutoFill_names!D:D,"")=0,"",_xlfn.XLOOKUP(A257, AutoFill_names!B:B, AutoFill_names!D:D,""))</f>
        <v/>
      </c>
      <c r="D257" s="115" t="str">
        <f>IF(_xlfn.XLOOKUP(A257, AutoFill_names!B:B, AutoFill_names!E:E,"")=0,"",_xlfn.XLOOKUP(A257, AutoFill_names!B:B, AutoFill_names!E:E,""))</f>
        <v/>
      </c>
      <c r="E257" s="115" t="str">
        <f>IF(_xlfn.XLOOKUP(A257, AutoFill_names!B:B, AutoFill_names!F:F,"")=0,"",_xlfn.XLOOKUP(A257, AutoFill_names!B:B, AutoFill_names!F:F,""))</f>
        <v/>
      </c>
      <c r="F257" s="92"/>
      <c r="J257" s="115" t="str">
        <f>IF(_xlfn.XLOOKUP(A257, AutoFill_names!B:B, AutoFill_names!K:K,"")=0,"",_xlfn.XLOOKUP(A257, AutoFill_names!B:B, AutoFill_names!K:K,""))</f>
        <v/>
      </c>
      <c r="K257" s="115" t="str">
        <f>IF(_xlfn.XLOOKUP(A257, AutoFill_names!B:B, AutoFill_names!L:L,"")=0,"",_xlfn.XLOOKUP(A257, AutoFill_names!B:B, AutoFill_names!L:L,""))</f>
        <v/>
      </c>
      <c r="L257" s="31"/>
      <c r="M257" s="31"/>
      <c r="N257" s="117" t="str">
        <f>IF(_xlfn.XLOOKUP(L257, AutoFill_classes!A:A, AutoFill_classes!B:B,"")=0,"",_xlfn.XLOOKUP(L257, AutoFill_classes!A:A, AutoFill_classes!B:B,""))</f>
        <v/>
      </c>
      <c r="O257" s="108"/>
      <c r="P257" s="6"/>
      <c r="Q257" s="6"/>
      <c r="R257" s="6"/>
      <c r="S257" s="2"/>
      <c r="T257" s="2"/>
      <c r="U257" s="2"/>
      <c r="X257" s="62"/>
      <c r="Y257" s="18"/>
      <c r="Z257" s="121" t="str">
        <f t="shared" si="216"/>
        <v/>
      </c>
      <c r="AA257" s="20"/>
      <c r="AB257" s="20"/>
      <c r="AC257" s="20"/>
      <c r="AD257" s="20"/>
      <c r="AE257" s="125" t="str">
        <f t="shared" si="217"/>
        <v/>
      </c>
      <c r="AF257" s="14"/>
      <c r="AG257" s="125" t="str">
        <f t="shared" si="218"/>
        <v/>
      </c>
      <c r="AH257" s="20"/>
      <c r="AI257" s="20"/>
      <c r="AJ257" s="125" t="str">
        <f t="shared" si="219"/>
        <v/>
      </c>
      <c r="AK257" s="14"/>
      <c r="AL257" s="125" t="str">
        <f t="shared" si="220"/>
        <v/>
      </c>
      <c r="AM257" s="20"/>
      <c r="AN257" s="20"/>
      <c r="AO257" s="125" t="str">
        <f t="shared" si="221"/>
        <v/>
      </c>
      <c r="AP257" s="125" t="str">
        <f t="shared" si="222"/>
        <v/>
      </c>
      <c r="AQ257" s="125" t="str">
        <f t="shared" si="223"/>
        <v/>
      </c>
      <c r="AR257" s="129" t="str">
        <f t="shared" si="224"/>
        <v/>
      </c>
      <c r="AS257" s="14"/>
      <c r="AT257" s="13"/>
      <c r="AU257" s="13"/>
      <c r="AV257" s="117" t="str">
        <f>IF(_xlfn.XLOOKUP(AT257, AutoFill_classes!$A:$A, AutoFill_classes!$B:$B,"")=0,"",_xlfn.XLOOKUP(AT257, AutoFill_classes!$A:$A, AutoFill_classes!$B:$B,""))</f>
        <v/>
      </c>
      <c r="AW257" s="108"/>
      <c r="AX257" s="13"/>
      <c r="AY257" s="13"/>
      <c r="AZ257" s="13"/>
      <c r="BA257" s="13"/>
      <c r="BB257" s="13"/>
      <c r="BC257" s="62"/>
      <c r="BD257" s="18"/>
      <c r="BE257" s="121" t="str">
        <f t="shared" si="225"/>
        <v/>
      </c>
      <c r="BF257" s="20"/>
      <c r="BG257" s="20"/>
      <c r="BH257" s="20"/>
      <c r="BI257" s="20"/>
      <c r="BJ257" s="125" t="str">
        <f t="shared" si="226"/>
        <v/>
      </c>
      <c r="BK257" s="14"/>
      <c r="BL257" s="125" t="str">
        <f t="shared" si="227"/>
        <v/>
      </c>
      <c r="BM257" s="20"/>
      <c r="BN257" s="20"/>
      <c r="BO257" s="125" t="str">
        <f t="shared" si="228"/>
        <v/>
      </c>
      <c r="BP257" s="14"/>
      <c r="BQ257" s="125" t="str">
        <f t="shared" si="229"/>
        <v/>
      </c>
      <c r="BR257" s="20"/>
      <c r="BS257" s="20"/>
      <c r="BT257" s="125" t="str">
        <f t="shared" si="230"/>
        <v/>
      </c>
      <c r="BU257" s="125" t="str">
        <f t="shared" si="231"/>
        <v/>
      </c>
      <c r="BV257" s="125" t="str">
        <f t="shared" si="232"/>
        <v/>
      </c>
      <c r="BW257" s="129" t="str">
        <f t="shared" si="233"/>
        <v/>
      </c>
      <c r="BX257" s="13"/>
      <c r="BY257" s="15"/>
      <c r="BZ257" s="14"/>
      <c r="CA257" s="117" t="str">
        <f>IF(_xlfn.XLOOKUP(BY257, AutoFill_classes!$A:$A, AutoFill_classes!$B:$B,"")=0,"",_xlfn.XLOOKUP(BY257, AutoFill_classes!$A:$A, AutoFill_classes!$B:$B,""))</f>
        <v/>
      </c>
      <c r="CB257" s="108"/>
      <c r="CC257" s="14"/>
      <c r="CD257" s="14"/>
      <c r="CE257" s="14"/>
      <c r="CF257" s="21"/>
      <c r="CG257" s="22"/>
      <c r="CH257" s="62"/>
      <c r="CI257" s="23"/>
      <c r="CJ257" s="121" t="str">
        <f t="shared" si="234"/>
        <v/>
      </c>
      <c r="CK257" s="20"/>
      <c r="CL257" s="20"/>
      <c r="CM257" s="20"/>
      <c r="CN257" s="20"/>
      <c r="CO257" s="125" t="str">
        <f t="shared" si="235"/>
        <v/>
      </c>
      <c r="CP257" s="14"/>
      <c r="CQ257" s="125" t="str">
        <f t="shared" si="236"/>
        <v/>
      </c>
      <c r="CR257" s="20"/>
      <c r="CS257" s="20"/>
      <c r="CT257" s="125" t="str">
        <f t="shared" si="237"/>
        <v/>
      </c>
      <c r="CU257" s="14"/>
      <c r="CV257" s="125" t="str">
        <f t="shared" si="238"/>
        <v/>
      </c>
      <c r="CW257" s="20"/>
      <c r="CX257" s="20"/>
      <c r="CY257" s="125" t="str">
        <f t="shared" si="239"/>
        <v/>
      </c>
      <c r="CZ257" s="125" t="str">
        <f t="shared" si="240"/>
        <v/>
      </c>
      <c r="DA257" s="125" t="str">
        <f t="shared" si="241"/>
        <v/>
      </c>
      <c r="DB257" s="129" t="str">
        <f t="shared" si="242"/>
        <v/>
      </c>
      <c r="DC257" s="14"/>
      <c r="DD257" s="63"/>
      <c r="DE257" s="105">
        <v>255</v>
      </c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</row>
    <row r="258" spans="1:176" s="1" customFormat="1" ht="13" hidden="1" customHeight="1" outlineLevel="1" x14ac:dyDescent="0.2">
      <c r="A258" s="4"/>
      <c r="B258" s="115" t="str">
        <f>IF(_xlfn.XLOOKUP(A258, AutoFill_names!B:B, AutoFill_names!C:C,"")=0,"",_xlfn.XLOOKUP(A258, AutoFill_names!B:B, AutoFill_names!C:C,""))</f>
        <v/>
      </c>
      <c r="C258" s="115" t="str">
        <f>IF(_xlfn.XLOOKUP(A258, AutoFill_names!B:B, AutoFill_names!D:D,"")=0,"",_xlfn.XLOOKUP(A258, AutoFill_names!B:B, AutoFill_names!D:D,""))</f>
        <v/>
      </c>
      <c r="D258" s="115" t="str">
        <f>IF(_xlfn.XLOOKUP(A258, AutoFill_names!B:B, AutoFill_names!E:E,"")=0,"",_xlfn.XLOOKUP(A258, AutoFill_names!B:B, AutoFill_names!E:E,""))</f>
        <v/>
      </c>
      <c r="E258" s="115" t="str">
        <f>IF(_xlfn.XLOOKUP(A258, AutoFill_names!B:B, AutoFill_names!F:F,"")=0,"",_xlfn.XLOOKUP(A258, AutoFill_names!B:B, AutoFill_names!F:F,""))</f>
        <v/>
      </c>
      <c r="F258" s="92"/>
      <c r="J258" s="115" t="str">
        <f>IF(_xlfn.XLOOKUP(A258, AutoFill_names!B:B, AutoFill_names!K:K,"")=0,"",_xlfn.XLOOKUP(A258, AutoFill_names!B:B, AutoFill_names!K:K,""))</f>
        <v/>
      </c>
      <c r="K258" s="115" t="str">
        <f>IF(_xlfn.XLOOKUP(A258, AutoFill_names!B:B, AutoFill_names!L:L,"")=0,"",_xlfn.XLOOKUP(A258, AutoFill_names!B:B, AutoFill_names!L:L,""))</f>
        <v/>
      </c>
      <c r="L258" s="31"/>
      <c r="M258" s="31"/>
      <c r="N258" s="117" t="str">
        <f>IF(_xlfn.XLOOKUP(L258, AutoFill_classes!A:A, AutoFill_classes!B:B,"")=0,"",_xlfn.XLOOKUP(L258, AutoFill_classes!A:A, AutoFill_classes!B:B,""))</f>
        <v/>
      </c>
      <c r="O258" s="108"/>
      <c r="P258" s="6"/>
      <c r="Q258" s="6"/>
      <c r="R258" s="6"/>
      <c r="S258" s="2"/>
      <c r="T258" s="2"/>
      <c r="U258" s="2"/>
      <c r="X258" s="62"/>
      <c r="Y258" s="18"/>
      <c r="Z258" s="121" t="str">
        <f t="shared" si="216"/>
        <v/>
      </c>
      <c r="AA258" s="20"/>
      <c r="AB258" s="20"/>
      <c r="AC258" s="20"/>
      <c r="AD258" s="20"/>
      <c r="AE258" s="125" t="str">
        <f t="shared" si="217"/>
        <v/>
      </c>
      <c r="AF258" s="14"/>
      <c r="AG258" s="125" t="str">
        <f t="shared" si="218"/>
        <v/>
      </c>
      <c r="AH258" s="20"/>
      <c r="AI258" s="20"/>
      <c r="AJ258" s="125" t="str">
        <f t="shared" si="219"/>
        <v/>
      </c>
      <c r="AK258" s="14"/>
      <c r="AL258" s="125" t="str">
        <f t="shared" si="220"/>
        <v/>
      </c>
      <c r="AM258" s="20"/>
      <c r="AN258" s="20"/>
      <c r="AO258" s="125" t="str">
        <f t="shared" si="221"/>
        <v/>
      </c>
      <c r="AP258" s="125" t="str">
        <f t="shared" si="222"/>
        <v/>
      </c>
      <c r="AQ258" s="125" t="str">
        <f t="shared" si="223"/>
        <v/>
      </c>
      <c r="AR258" s="129" t="str">
        <f t="shared" si="224"/>
        <v/>
      </c>
      <c r="AS258" s="14"/>
      <c r="AT258" s="13"/>
      <c r="AU258" s="13"/>
      <c r="AV258" s="117" t="str">
        <f>IF(_xlfn.XLOOKUP(AT258, AutoFill_classes!$A:$A, AutoFill_classes!$B:$B,"")=0,"",_xlfn.XLOOKUP(AT258, AutoFill_classes!$A:$A, AutoFill_classes!$B:$B,""))</f>
        <v/>
      </c>
      <c r="AW258" s="108"/>
      <c r="AX258" s="13"/>
      <c r="AY258" s="13"/>
      <c r="AZ258" s="13"/>
      <c r="BA258" s="13"/>
      <c r="BB258" s="13"/>
      <c r="BC258" s="62"/>
      <c r="BD258" s="18"/>
      <c r="BE258" s="121" t="str">
        <f t="shared" si="225"/>
        <v/>
      </c>
      <c r="BF258" s="20"/>
      <c r="BG258" s="20"/>
      <c r="BH258" s="20"/>
      <c r="BI258" s="20"/>
      <c r="BJ258" s="125" t="str">
        <f t="shared" si="226"/>
        <v/>
      </c>
      <c r="BK258" s="14"/>
      <c r="BL258" s="125" t="str">
        <f t="shared" si="227"/>
        <v/>
      </c>
      <c r="BM258" s="20"/>
      <c r="BN258" s="20"/>
      <c r="BO258" s="125" t="str">
        <f t="shared" si="228"/>
        <v/>
      </c>
      <c r="BP258" s="14"/>
      <c r="BQ258" s="125" t="str">
        <f t="shared" si="229"/>
        <v/>
      </c>
      <c r="BR258" s="20"/>
      <c r="BS258" s="20"/>
      <c r="BT258" s="125" t="str">
        <f t="shared" si="230"/>
        <v/>
      </c>
      <c r="BU258" s="125" t="str">
        <f t="shared" si="231"/>
        <v/>
      </c>
      <c r="BV258" s="125" t="str">
        <f t="shared" si="232"/>
        <v/>
      </c>
      <c r="BW258" s="129" t="str">
        <f t="shared" si="233"/>
        <v/>
      </c>
      <c r="BX258" s="13"/>
      <c r="BY258" s="15"/>
      <c r="BZ258" s="14"/>
      <c r="CA258" s="117" t="str">
        <f>IF(_xlfn.XLOOKUP(BY258, AutoFill_classes!$A:$A, AutoFill_classes!$B:$B,"")=0,"",_xlfn.XLOOKUP(BY258, AutoFill_classes!$A:$A, AutoFill_classes!$B:$B,""))</f>
        <v/>
      </c>
      <c r="CB258" s="108"/>
      <c r="CC258" s="14"/>
      <c r="CD258" s="14"/>
      <c r="CE258" s="14"/>
      <c r="CF258" s="21"/>
      <c r="CG258" s="22"/>
      <c r="CH258" s="62"/>
      <c r="CI258" s="23"/>
      <c r="CJ258" s="121" t="str">
        <f t="shared" si="234"/>
        <v/>
      </c>
      <c r="CK258" s="20"/>
      <c r="CL258" s="20"/>
      <c r="CM258" s="20"/>
      <c r="CN258" s="20"/>
      <c r="CO258" s="125" t="str">
        <f t="shared" si="235"/>
        <v/>
      </c>
      <c r="CP258" s="14"/>
      <c r="CQ258" s="125" t="str">
        <f t="shared" si="236"/>
        <v/>
      </c>
      <c r="CR258" s="20"/>
      <c r="CS258" s="20"/>
      <c r="CT258" s="125" t="str">
        <f t="shared" si="237"/>
        <v/>
      </c>
      <c r="CU258" s="14"/>
      <c r="CV258" s="125" t="str">
        <f t="shared" si="238"/>
        <v/>
      </c>
      <c r="CW258" s="20"/>
      <c r="CX258" s="20"/>
      <c r="CY258" s="125" t="str">
        <f t="shared" si="239"/>
        <v/>
      </c>
      <c r="CZ258" s="125" t="str">
        <f t="shared" si="240"/>
        <v/>
      </c>
      <c r="DA258" s="125" t="str">
        <f t="shared" si="241"/>
        <v/>
      </c>
      <c r="DB258" s="129" t="str">
        <f t="shared" si="242"/>
        <v/>
      </c>
      <c r="DC258" s="14"/>
      <c r="DD258" s="63"/>
      <c r="DE258" s="105">
        <v>256</v>
      </c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</row>
    <row r="259" spans="1:176" s="1" customFormat="1" ht="13" hidden="1" customHeight="1" outlineLevel="1" x14ac:dyDescent="0.2">
      <c r="A259" s="4"/>
      <c r="B259" s="115" t="str">
        <f>IF(_xlfn.XLOOKUP(A259, AutoFill_names!B:B, AutoFill_names!C:C,"")=0,"",_xlfn.XLOOKUP(A259, AutoFill_names!B:B, AutoFill_names!C:C,""))</f>
        <v/>
      </c>
      <c r="C259" s="115" t="str">
        <f>IF(_xlfn.XLOOKUP(A259, AutoFill_names!B:B, AutoFill_names!D:D,"")=0,"",_xlfn.XLOOKUP(A259, AutoFill_names!B:B, AutoFill_names!D:D,""))</f>
        <v/>
      </c>
      <c r="D259" s="115" t="str">
        <f>IF(_xlfn.XLOOKUP(A259, AutoFill_names!B:B, AutoFill_names!E:E,"")=0,"",_xlfn.XLOOKUP(A259, AutoFill_names!B:B, AutoFill_names!E:E,""))</f>
        <v/>
      </c>
      <c r="E259" s="115" t="str">
        <f>IF(_xlfn.XLOOKUP(A259, AutoFill_names!B:B, AutoFill_names!F:F,"")=0,"",_xlfn.XLOOKUP(A259, AutoFill_names!B:B, AutoFill_names!F:F,""))</f>
        <v/>
      </c>
      <c r="F259" s="92"/>
      <c r="J259" s="115" t="str">
        <f>IF(_xlfn.XLOOKUP(A259, AutoFill_names!B:B, AutoFill_names!K:K,"")=0,"",_xlfn.XLOOKUP(A259, AutoFill_names!B:B, AutoFill_names!K:K,""))</f>
        <v/>
      </c>
      <c r="K259" s="115" t="str">
        <f>IF(_xlfn.XLOOKUP(A259, AutoFill_names!B:B, AutoFill_names!L:L,"")=0,"",_xlfn.XLOOKUP(A259, AutoFill_names!B:B, AutoFill_names!L:L,""))</f>
        <v/>
      </c>
      <c r="L259" s="31"/>
      <c r="M259" s="31"/>
      <c r="N259" s="117" t="str">
        <f>IF(_xlfn.XLOOKUP(L259, AutoFill_classes!A:A, AutoFill_classes!B:B,"")=0,"",_xlfn.XLOOKUP(L259, AutoFill_classes!A:A, AutoFill_classes!B:B,""))</f>
        <v/>
      </c>
      <c r="O259" s="108"/>
      <c r="P259" s="6"/>
      <c r="Q259" s="6"/>
      <c r="R259" s="6"/>
      <c r="S259" s="2"/>
      <c r="T259" s="2"/>
      <c r="U259" s="2"/>
      <c r="X259" s="62"/>
      <c r="Y259" s="18"/>
      <c r="Z259" s="121" t="str">
        <f t="shared" si="216"/>
        <v/>
      </c>
      <c r="AA259" s="20"/>
      <c r="AB259" s="20"/>
      <c r="AC259" s="20"/>
      <c r="AD259" s="20"/>
      <c r="AE259" s="125" t="str">
        <f t="shared" si="217"/>
        <v/>
      </c>
      <c r="AF259" s="14"/>
      <c r="AG259" s="125" t="str">
        <f t="shared" si="218"/>
        <v/>
      </c>
      <c r="AH259" s="20"/>
      <c r="AI259" s="20"/>
      <c r="AJ259" s="125" t="str">
        <f t="shared" si="219"/>
        <v/>
      </c>
      <c r="AK259" s="14"/>
      <c r="AL259" s="125" t="str">
        <f t="shared" si="220"/>
        <v/>
      </c>
      <c r="AM259" s="20"/>
      <c r="AN259" s="20"/>
      <c r="AO259" s="125" t="str">
        <f t="shared" si="221"/>
        <v/>
      </c>
      <c r="AP259" s="125" t="str">
        <f t="shared" si="222"/>
        <v/>
      </c>
      <c r="AQ259" s="125" t="str">
        <f t="shared" si="223"/>
        <v/>
      </c>
      <c r="AR259" s="129" t="str">
        <f t="shared" si="224"/>
        <v/>
      </c>
      <c r="AS259" s="14"/>
      <c r="AT259" s="13"/>
      <c r="AU259" s="13"/>
      <c r="AV259" s="117" t="str">
        <f>IF(_xlfn.XLOOKUP(AT259, AutoFill_classes!$A:$A, AutoFill_classes!$B:$B,"")=0,"",_xlfn.XLOOKUP(AT259, AutoFill_classes!$A:$A, AutoFill_classes!$B:$B,""))</f>
        <v/>
      </c>
      <c r="AW259" s="108"/>
      <c r="AX259" s="13"/>
      <c r="AY259" s="13"/>
      <c r="AZ259" s="13"/>
      <c r="BA259" s="13"/>
      <c r="BB259" s="13"/>
      <c r="BC259" s="62"/>
      <c r="BD259" s="18"/>
      <c r="BE259" s="121" t="str">
        <f t="shared" si="225"/>
        <v/>
      </c>
      <c r="BF259" s="20"/>
      <c r="BG259" s="20"/>
      <c r="BH259" s="20"/>
      <c r="BI259" s="20"/>
      <c r="BJ259" s="125" t="str">
        <f t="shared" si="226"/>
        <v/>
      </c>
      <c r="BK259" s="14"/>
      <c r="BL259" s="125" t="str">
        <f t="shared" si="227"/>
        <v/>
      </c>
      <c r="BM259" s="20"/>
      <c r="BN259" s="20"/>
      <c r="BO259" s="125" t="str">
        <f t="shared" si="228"/>
        <v/>
      </c>
      <c r="BP259" s="14"/>
      <c r="BQ259" s="125" t="str">
        <f t="shared" si="229"/>
        <v/>
      </c>
      <c r="BR259" s="20"/>
      <c r="BS259" s="20"/>
      <c r="BT259" s="125" t="str">
        <f t="shared" si="230"/>
        <v/>
      </c>
      <c r="BU259" s="125" t="str">
        <f t="shared" si="231"/>
        <v/>
      </c>
      <c r="BV259" s="125" t="str">
        <f t="shared" si="232"/>
        <v/>
      </c>
      <c r="BW259" s="129" t="str">
        <f t="shared" si="233"/>
        <v/>
      </c>
      <c r="BX259" s="13"/>
      <c r="BY259" s="15"/>
      <c r="BZ259" s="14"/>
      <c r="CA259" s="117" t="str">
        <f>IF(_xlfn.XLOOKUP(BY259, AutoFill_classes!$A:$A, AutoFill_classes!$B:$B,"")=0,"",_xlfn.XLOOKUP(BY259, AutoFill_classes!$A:$A, AutoFill_classes!$B:$B,""))</f>
        <v/>
      </c>
      <c r="CB259" s="108"/>
      <c r="CC259" s="14"/>
      <c r="CD259" s="14"/>
      <c r="CE259" s="14"/>
      <c r="CF259" s="21"/>
      <c r="CG259" s="22"/>
      <c r="CH259" s="62"/>
      <c r="CI259" s="23"/>
      <c r="CJ259" s="121" t="str">
        <f t="shared" si="234"/>
        <v/>
      </c>
      <c r="CK259" s="20"/>
      <c r="CL259" s="20"/>
      <c r="CM259" s="20"/>
      <c r="CN259" s="20"/>
      <c r="CO259" s="125" t="str">
        <f t="shared" si="235"/>
        <v/>
      </c>
      <c r="CP259" s="14"/>
      <c r="CQ259" s="125" t="str">
        <f t="shared" si="236"/>
        <v/>
      </c>
      <c r="CR259" s="20"/>
      <c r="CS259" s="20"/>
      <c r="CT259" s="125" t="str">
        <f t="shared" si="237"/>
        <v/>
      </c>
      <c r="CU259" s="14"/>
      <c r="CV259" s="125" t="str">
        <f t="shared" si="238"/>
        <v/>
      </c>
      <c r="CW259" s="20"/>
      <c r="CX259" s="20"/>
      <c r="CY259" s="125" t="str">
        <f t="shared" si="239"/>
        <v/>
      </c>
      <c r="CZ259" s="125" t="str">
        <f t="shared" si="240"/>
        <v/>
      </c>
      <c r="DA259" s="125" t="str">
        <f t="shared" si="241"/>
        <v/>
      </c>
      <c r="DB259" s="129" t="str">
        <f t="shared" si="242"/>
        <v/>
      </c>
      <c r="DC259" s="14"/>
      <c r="DD259" s="63"/>
      <c r="DE259" s="105">
        <v>257</v>
      </c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</row>
    <row r="260" spans="1:176" s="1" customFormat="1" ht="13" hidden="1" customHeight="1" outlineLevel="1" x14ac:dyDescent="0.2">
      <c r="A260" s="4"/>
      <c r="B260" s="115" t="str">
        <f>IF(_xlfn.XLOOKUP(A260, AutoFill_names!B:B, AutoFill_names!C:C,"")=0,"",_xlfn.XLOOKUP(A260, AutoFill_names!B:B, AutoFill_names!C:C,""))</f>
        <v/>
      </c>
      <c r="C260" s="115" t="str">
        <f>IF(_xlfn.XLOOKUP(A260, AutoFill_names!B:B, AutoFill_names!D:D,"")=0,"",_xlfn.XLOOKUP(A260, AutoFill_names!B:B, AutoFill_names!D:D,""))</f>
        <v/>
      </c>
      <c r="D260" s="115" t="str">
        <f>IF(_xlfn.XLOOKUP(A260, AutoFill_names!B:B, AutoFill_names!E:E,"")=0,"",_xlfn.XLOOKUP(A260, AutoFill_names!B:B, AutoFill_names!E:E,""))</f>
        <v/>
      </c>
      <c r="E260" s="115" t="str">
        <f>IF(_xlfn.XLOOKUP(A260, AutoFill_names!B:B, AutoFill_names!F:F,"")=0,"",_xlfn.XLOOKUP(A260, AutoFill_names!B:B, AutoFill_names!F:F,""))</f>
        <v/>
      </c>
      <c r="F260" s="92"/>
      <c r="J260" s="115" t="str">
        <f>IF(_xlfn.XLOOKUP(A260, AutoFill_names!B:B, AutoFill_names!K:K,"")=0,"",_xlfn.XLOOKUP(A260, AutoFill_names!B:B, AutoFill_names!K:K,""))</f>
        <v/>
      </c>
      <c r="K260" s="115" t="str">
        <f>IF(_xlfn.XLOOKUP(A260, AutoFill_names!B:B, AutoFill_names!L:L,"")=0,"",_xlfn.XLOOKUP(A260, AutoFill_names!B:B, AutoFill_names!L:L,""))</f>
        <v/>
      </c>
      <c r="L260" s="31"/>
      <c r="M260" s="31"/>
      <c r="N260" s="117" t="str">
        <f>IF(_xlfn.XLOOKUP(L260, AutoFill_classes!A:A, AutoFill_classes!B:B,"")=0,"",_xlfn.XLOOKUP(L260, AutoFill_classes!A:A, AutoFill_classes!B:B,""))</f>
        <v/>
      </c>
      <c r="O260" s="108"/>
      <c r="P260" s="6"/>
      <c r="Q260" s="6"/>
      <c r="R260" s="6"/>
      <c r="S260" s="2"/>
      <c r="T260" s="2"/>
      <c r="U260" s="2"/>
      <c r="X260" s="62"/>
      <c r="Y260" s="18"/>
      <c r="Z260" s="121" t="str">
        <f t="shared" si="216"/>
        <v/>
      </c>
      <c r="AA260" s="20"/>
      <c r="AB260" s="20"/>
      <c r="AC260" s="20"/>
      <c r="AD260" s="20"/>
      <c r="AE260" s="125" t="str">
        <f t="shared" si="217"/>
        <v/>
      </c>
      <c r="AF260" s="14"/>
      <c r="AG260" s="125" t="str">
        <f t="shared" si="218"/>
        <v/>
      </c>
      <c r="AH260" s="20"/>
      <c r="AI260" s="20"/>
      <c r="AJ260" s="125" t="str">
        <f t="shared" si="219"/>
        <v/>
      </c>
      <c r="AK260" s="14"/>
      <c r="AL260" s="125" t="str">
        <f t="shared" si="220"/>
        <v/>
      </c>
      <c r="AM260" s="20"/>
      <c r="AN260" s="20"/>
      <c r="AO260" s="125" t="str">
        <f t="shared" si="221"/>
        <v/>
      </c>
      <c r="AP260" s="125" t="str">
        <f t="shared" si="222"/>
        <v/>
      </c>
      <c r="AQ260" s="125" t="str">
        <f t="shared" si="223"/>
        <v/>
      </c>
      <c r="AR260" s="129" t="str">
        <f t="shared" si="224"/>
        <v/>
      </c>
      <c r="AS260" s="14"/>
      <c r="AT260" s="13"/>
      <c r="AU260" s="13"/>
      <c r="AV260" s="117" t="str">
        <f>IF(_xlfn.XLOOKUP(AT260, AutoFill_classes!$A:$A, AutoFill_classes!$B:$B,"")=0,"",_xlfn.XLOOKUP(AT260, AutoFill_classes!$A:$A, AutoFill_classes!$B:$B,""))</f>
        <v/>
      </c>
      <c r="AW260" s="108"/>
      <c r="AX260" s="13"/>
      <c r="AY260" s="13"/>
      <c r="AZ260" s="13"/>
      <c r="BA260" s="13"/>
      <c r="BB260" s="13"/>
      <c r="BC260" s="62"/>
      <c r="BD260" s="18"/>
      <c r="BE260" s="121" t="str">
        <f t="shared" si="225"/>
        <v/>
      </c>
      <c r="BF260" s="20"/>
      <c r="BG260" s="20"/>
      <c r="BH260" s="20"/>
      <c r="BI260" s="20"/>
      <c r="BJ260" s="125" t="str">
        <f t="shared" si="226"/>
        <v/>
      </c>
      <c r="BK260" s="14"/>
      <c r="BL260" s="125" t="str">
        <f t="shared" si="227"/>
        <v/>
      </c>
      <c r="BM260" s="20"/>
      <c r="BN260" s="20"/>
      <c r="BO260" s="125" t="str">
        <f t="shared" si="228"/>
        <v/>
      </c>
      <c r="BP260" s="14"/>
      <c r="BQ260" s="125" t="str">
        <f t="shared" si="229"/>
        <v/>
      </c>
      <c r="BR260" s="20"/>
      <c r="BS260" s="20"/>
      <c r="BT260" s="125" t="str">
        <f t="shared" si="230"/>
        <v/>
      </c>
      <c r="BU260" s="125" t="str">
        <f t="shared" si="231"/>
        <v/>
      </c>
      <c r="BV260" s="125" t="str">
        <f t="shared" si="232"/>
        <v/>
      </c>
      <c r="BW260" s="129" t="str">
        <f t="shared" si="233"/>
        <v/>
      </c>
      <c r="BX260" s="13"/>
      <c r="BY260" s="15"/>
      <c r="BZ260" s="14"/>
      <c r="CA260" s="117" t="str">
        <f>IF(_xlfn.XLOOKUP(BY260, AutoFill_classes!$A:$A, AutoFill_classes!$B:$B,"")=0,"",_xlfn.XLOOKUP(BY260, AutoFill_classes!$A:$A, AutoFill_classes!$B:$B,""))</f>
        <v/>
      </c>
      <c r="CB260" s="108"/>
      <c r="CC260" s="14"/>
      <c r="CD260" s="14"/>
      <c r="CE260" s="14"/>
      <c r="CF260" s="21"/>
      <c r="CG260" s="22"/>
      <c r="CH260" s="62"/>
      <c r="CI260" s="23"/>
      <c r="CJ260" s="121" t="str">
        <f t="shared" si="234"/>
        <v/>
      </c>
      <c r="CK260" s="20"/>
      <c r="CL260" s="20"/>
      <c r="CM260" s="20"/>
      <c r="CN260" s="20"/>
      <c r="CO260" s="125" t="str">
        <f t="shared" si="235"/>
        <v/>
      </c>
      <c r="CP260" s="14"/>
      <c r="CQ260" s="125" t="str">
        <f t="shared" si="236"/>
        <v/>
      </c>
      <c r="CR260" s="20"/>
      <c r="CS260" s="20"/>
      <c r="CT260" s="125" t="str">
        <f t="shared" si="237"/>
        <v/>
      </c>
      <c r="CU260" s="14"/>
      <c r="CV260" s="125" t="str">
        <f t="shared" si="238"/>
        <v/>
      </c>
      <c r="CW260" s="20"/>
      <c r="CX260" s="20"/>
      <c r="CY260" s="125" t="str">
        <f t="shared" si="239"/>
        <v/>
      </c>
      <c r="CZ260" s="125" t="str">
        <f t="shared" si="240"/>
        <v/>
      </c>
      <c r="DA260" s="125" t="str">
        <f t="shared" si="241"/>
        <v/>
      </c>
      <c r="DB260" s="129" t="str">
        <f t="shared" si="242"/>
        <v/>
      </c>
      <c r="DC260" s="14"/>
      <c r="DD260" s="63"/>
      <c r="DE260" s="105">
        <v>258</v>
      </c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</row>
    <row r="261" spans="1:176" s="1" customFormat="1" ht="13" hidden="1" customHeight="1" outlineLevel="1" x14ac:dyDescent="0.2">
      <c r="A261" s="4"/>
      <c r="B261" s="115" t="str">
        <f>IF(_xlfn.XLOOKUP(A261, AutoFill_names!B:B, AutoFill_names!C:C,"")=0,"",_xlfn.XLOOKUP(A261, AutoFill_names!B:B, AutoFill_names!C:C,""))</f>
        <v/>
      </c>
      <c r="C261" s="115" t="str">
        <f>IF(_xlfn.XLOOKUP(A261, AutoFill_names!B:B, AutoFill_names!D:D,"")=0,"",_xlfn.XLOOKUP(A261, AutoFill_names!B:B, AutoFill_names!D:D,""))</f>
        <v/>
      </c>
      <c r="D261" s="115" t="str">
        <f>IF(_xlfn.XLOOKUP(A261, AutoFill_names!B:B, AutoFill_names!E:E,"")=0,"",_xlfn.XLOOKUP(A261, AutoFill_names!B:B, AutoFill_names!E:E,""))</f>
        <v/>
      </c>
      <c r="E261" s="115" t="str">
        <f>IF(_xlfn.XLOOKUP(A261, AutoFill_names!B:B, AutoFill_names!F:F,"")=0,"",_xlfn.XLOOKUP(A261, AutoFill_names!B:B, AutoFill_names!F:F,""))</f>
        <v/>
      </c>
      <c r="F261" s="92"/>
      <c r="J261" s="115" t="str">
        <f>IF(_xlfn.XLOOKUP(A261, AutoFill_names!B:B, AutoFill_names!K:K,"")=0,"",_xlfn.XLOOKUP(A261, AutoFill_names!B:B, AutoFill_names!K:K,""))</f>
        <v/>
      </c>
      <c r="K261" s="115" t="str">
        <f>IF(_xlfn.XLOOKUP(A261, AutoFill_names!B:B, AutoFill_names!L:L,"")=0,"",_xlfn.XLOOKUP(A261, AutoFill_names!B:B, AutoFill_names!L:L,""))</f>
        <v/>
      </c>
      <c r="L261" s="31"/>
      <c r="M261" s="31"/>
      <c r="N261" s="117" t="str">
        <f>IF(_xlfn.XLOOKUP(L261, AutoFill_classes!A:A, AutoFill_classes!B:B,"")=0,"",_xlfn.XLOOKUP(L261, AutoFill_classes!A:A, AutoFill_classes!B:B,""))</f>
        <v/>
      </c>
      <c r="O261" s="108"/>
      <c r="P261" s="6"/>
      <c r="Q261" s="6"/>
      <c r="R261" s="6"/>
      <c r="S261" s="2"/>
      <c r="T261" s="2"/>
      <c r="U261" s="2"/>
      <c r="X261" s="62"/>
      <c r="Y261" s="18"/>
      <c r="Z261" s="121" t="str">
        <f t="shared" si="216"/>
        <v/>
      </c>
      <c r="AA261" s="20"/>
      <c r="AB261" s="20"/>
      <c r="AC261" s="20"/>
      <c r="AD261" s="20"/>
      <c r="AE261" s="125" t="str">
        <f t="shared" si="217"/>
        <v/>
      </c>
      <c r="AF261" s="14"/>
      <c r="AG261" s="125" t="str">
        <f t="shared" si="218"/>
        <v/>
      </c>
      <c r="AH261" s="20"/>
      <c r="AI261" s="20"/>
      <c r="AJ261" s="125" t="str">
        <f t="shared" si="219"/>
        <v/>
      </c>
      <c r="AK261" s="14"/>
      <c r="AL261" s="125" t="str">
        <f t="shared" si="220"/>
        <v/>
      </c>
      <c r="AM261" s="20"/>
      <c r="AN261" s="20"/>
      <c r="AO261" s="125" t="str">
        <f t="shared" si="221"/>
        <v/>
      </c>
      <c r="AP261" s="125" t="str">
        <f t="shared" si="222"/>
        <v/>
      </c>
      <c r="AQ261" s="125" t="str">
        <f t="shared" si="223"/>
        <v/>
      </c>
      <c r="AR261" s="129" t="str">
        <f t="shared" si="224"/>
        <v/>
      </c>
      <c r="AS261" s="14"/>
      <c r="AT261" s="13"/>
      <c r="AU261" s="13"/>
      <c r="AV261" s="117" t="str">
        <f>IF(_xlfn.XLOOKUP(AT261, AutoFill_classes!$A:$A, AutoFill_classes!$B:$B,"")=0,"",_xlfn.XLOOKUP(AT261, AutoFill_classes!$A:$A, AutoFill_classes!$B:$B,""))</f>
        <v/>
      </c>
      <c r="AW261" s="108"/>
      <c r="AX261" s="13"/>
      <c r="AY261" s="13"/>
      <c r="AZ261" s="13"/>
      <c r="BA261" s="13"/>
      <c r="BB261" s="13"/>
      <c r="BC261" s="62"/>
      <c r="BD261" s="18"/>
      <c r="BE261" s="121" t="str">
        <f t="shared" si="225"/>
        <v/>
      </c>
      <c r="BF261" s="20"/>
      <c r="BG261" s="20"/>
      <c r="BH261" s="20"/>
      <c r="BI261" s="20"/>
      <c r="BJ261" s="125" t="str">
        <f t="shared" si="226"/>
        <v/>
      </c>
      <c r="BK261" s="14"/>
      <c r="BL261" s="125" t="str">
        <f t="shared" si="227"/>
        <v/>
      </c>
      <c r="BM261" s="20"/>
      <c r="BN261" s="20"/>
      <c r="BO261" s="125" t="str">
        <f t="shared" si="228"/>
        <v/>
      </c>
      <c r="BP261" s="14"/>
      <c r="BQ261" s="125" t="str">
        <f t="shared" si="229"/>
        <v/>
      </c>
      <c r="BR261" s="20"/>
      <c r="BS261" s="20"/>
      <c r="BT261" s="125" t="str">
        <f t="shared" si="230"/>
        <v/>
      </c>
      <c r="BU261" s="125" t="str">
        <f t="shared" si="231"/>
        <v/>
      </c>
      <c r="BV261" s="125" t="str">
        <f t="shared" si="232"/>
        <v/>
      </c>
      <c r="BW261" s="129" t="str">
        <f t="shared" si="233"/>
        <v/>
      </c>
      <c r="BX261" s="13"/>
      <c r="BY261" s="15"/>
      <c r="BZ261" s="14"/>
      <c r="CA261" s="117" t="str">
        <f>IF(_xlfn.XLOOKUP(BY261, AutoFill_classes!$A:$A, AutoFill_classes!$B:$B,"")=0,"",_xlfn.XLOOKUP(BY261, AutoFill_classes!$A:$A, AutoFill_classes!$B:$B,""))</f>
        <v/>
      </c>
      <c r="CB261" s="108"/>
      <c r="CC261" s="14"/>
      <c r="CD261" s="14"/>
      <c r="CE261" s="14"/>
      <c r="CF261" s="21"/>
      <c r="CG261" s="22"/>
      <c r="CH261" s="62"/>
      <c r="CI261" s="23"/>
      <c r="CJ261" s="121" t="str">
        <f t="shared" si="234"/>
        <v/>
      </c>
      <c r="CK261" s="20"/>
      <c r="CL261" s="20"/>
      <c r="CM261" s="20"/>
      <c r="CN261" s="20"/>
      <c r="CO261" s="125" t="str">
        <f t="shared" si="235"/>
        <v/>
      </c>
      <c r="CP261" s="14"/>
      <c r="CQ261" s="125" t="str">
        <f t="shared" si="236"/>
        <v/>
      </c>
      <c r="CR261" s="20"/>
      <c r="CS261" s="20"/>
      <c r="CT261" s="125" t="str">
        <f t="shared" si="237"/>
        <v/>
      </c>
      <c r="CU261" s="14"/>
      <c r="CV261" s="125" t="str">
        <f t="shared" si="238"/>
        <v/>
      </c>
      <c r="CW261" s="20"/>
      <c r="CX261" s="20"/>
      <c r="CY261" s="125" t="str">
        <f t="shared" si="239"/>
        <v/>
      </c>
      <c r="CZ261" s="125" t="str">
        <f t="shared" si="240"/>
        <v/>
      </c>
      <c r="DA261" s="125" t="str">
        <f t="shared" si="241"/>
        <v/>
      </c>
      <c r="DB261" s="129" t="str">
        <f t="shared" si="242"/>
        <v/>
      </c>
      <c r="DC261" s="14"/>
      <c r="DD261" s="63"/>
      <c r="DE261" s="105">
        <v>259</v>
      </c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</row>
    <row r="262" spans="1:176" s="1" customFormat="1" ht="13" hidden="1" customHeight="1" outlineLevel="1" x14ac:dyDescent="0.2">
      <c r="A262" s="4"/>
      <c r="B262" s="115" t="str">
        <f>IF(_xlfn.XLOOKUP(A262, AutoFill_names!B:B, AutoFill_names!C:C,"")=0,"",_xlfn.XLOOKUP(A262, AutoFill_names!B:B, AutoFill_names!C:C,""))</f>
        <v/>
      </c>
      <c r="C262" s="115" t="str">
        <f>IF(_xlfn.XLOOKUP(A262, AutoFill_names!B:B, AutoFill_names!D:D,"")=0,"",_xlfn.XLOOKUP(A262, AutoFill_names!B:B, AutoFill_names!D:D,""))</f>
        <v/>
      </c>
      <c r="D262" s="115" t="str">
        <f>IF(_xlfn.XLOOKUP(A262, AutoFill_names!B:B, AutoFill_names!E:E,"")=0,"",_xlfn.XLOOKUP(A262, AutoFill_names!B:B, AutoFill_names!E:E,""))</f>
        <v/>
      </c>
      <c r="E262" s="115" t="str">
        <f>IF(_xlfn.XLOOKUP(A262, AutoFill_names!B:B, AutoFill_names!F:F,"")=0,"",_xlfn.XLOOKUP(A262, AutoFill_names!B:B, AutoFill_names!F:F,""))</f>
        <v/>
      </c>
      <c r="F262" s="92"/>
      <c r="J262" s="115" t="str">
        <f>IF(_xlfn.XLOOKUP(A262, AutoFill_names!B:B, AutoFill_names!K:K,"")=0,"",_xlfn.XLOOKUP(A262, AutoFill_names!B:B, AutoFill_names!K:K,""))</f>
        <v/>
      </c>
      <c r="K262" s="115" t="str">
        <f>IF(_xlfn.XLOOKUP(A262, AutoFill_names!B:B, AutoFill_names!L:L,"")=0,"",_xlfn.XLOOKUP(A262, AutoFill_names!B:B, AutoFill_names!L:L,""))</f>
        <v/>
      </c>
      <c r="L262" s="31"/>
      <c r="M262" s="31"/>
      <c r="N262" s="117" t="str">
        <f>IF(_xlfn.XLOOKUP(L262, AutoFill_classes!A:A, AutoFill_classes!B:B,"")=0,"",_xlfn.XLOOKUP(L262, AutoFill_classes!A:A, AutoFill_classes!B:B,""))</f>
        <v/>
      </c>
      <c r="O262" s="108"/>
      <c r="P262" s="6"/>
      <c r="Q262" s="6"/>
      <c r="R262" s="6"/>
      <c r="S262" s="2"/>
      <c r="T262" s="2"/>
      <c r="U262" s="2"/>
      <c r="X262" s="62"/>
      <c r="Y262" s="18"/>
      <c r="Z262" s="121" t="str">
        <f t="shared" si="216"/>
        <v/>
      </c>
      <c r="AA262" s="20"/>
      <c r="AB262" s="20"/>
      <c r="AC262" s="20"/>
      <c r="AD262" s="20"/>
      <c r="AE262" s="125" t="str">
        <f t="shared" si="217"/>
        <v/>
      </c>
      <c r="AF262" s="14"/>
      <c r="AG262" s="125" t="str">
        <f t="shared" si="218"/>
        <v/>
      </c>
      <c r="AH262" s="20"/>
      <c r="AI262" s="20"/>
      <c r="AJ262" s="125" t="str">
        <f t="shared" si="219"/>
        <v/>
      </c>
      <c r="AK262" s="14"/>
      <c r="AL262" s="125" t="str">
        <f t="shared" si="220"/>
        <v/>
      </c>
      <c r="AM262" s="20"/>
      <c r="AN262" s="20"/>
      <c r="AO262" s="125" t="str">
        <f t="shared" si="221"/>
        <v/>
      </c>
      <c r="AP262" s="125" t="str">
        <f t="shared" si="222"/>
        <v/>
      </c>
      <c r="AQ262" s="125" t="str">
        <f t="shared" si="223"/>
        <v/>
      </c>
      <c r="AR262" s="129" t="str">
        <f t="shared" si="224"/>
        <v/>
      </c>
      <c r="AS262" s="14"/>
      <c r="AT262" s="13"/>
      <c r="AU262" s="13"/>
      <c r="AV262" s="117" t="str">
        <f>IF(_xlfn.XLOOKUP(AT262, AutoFill_classes!$A:$A, AutoFill_classes!$B:$B,"")=0,"",_xlfn.XLOOKUP(AT262, AutoFill_classes!$A:$A, AutoFill_classes!$B:$B,""))</f>
        <v/>
      </c>
      <c r="AW262" s="108"/>
      <c r="AX262" s="13"/>
      <c r="AY262" s="13"/>
      <c r="AZ262" s="13"/>
      <c r="BA262" s="13"/>
      <c r="BB262" s="13"/>
      <c r="BC262" s="62"/>
      <c r="BD262" s="18"/>
      <c r="BE262" s="121" t="str">
        <f t="shared" si="225"/>
        <v/>
      </c>
      <c r="BF262" s="20"/>
      <c r="BG262" s="20"/>
      <c r="BH262" s="20"/>
      <c r="BI262" s="20"/>
      <c r="BJ262" s="125" t="str">
        <f t="shared" si="226"/>
        <v/>
      </c>
      <c r="BK262" s="14"/>
      <c r="BL262" s="125" t="str">
        <f t="shared" si="227"/>
        <v/>
      </c>
      <c r="BM262" s="20"/>
      <c r="BN262" s="20"/>
      <c r="BO262" s="125" t="str">
        <f t="shared" si="228"/>
        <v/>
      </c>
      <c r="BP262" s="14"/>
      <c r="BQ262" s="125" t="str">
        <f t="shared" si="229"/>
        <v/>
      </c>
      <c r="BR262" s="20"/>
      <c r="BS262" s="20"/>
      <c r="BT262" s="125" t="str">
        <f t="shared" si="230"/>
        <v/>
      </c>
      <c r="BU262" s="125" t="str">
        <f t="shared" si="231"/>
        <v/>
      </c>
      <c r="BV262" s="125" t="str">
        <f t="shared" si="232"/>
        <v/>
      </c>
      <c r="BW262" s="129" t="str">
        <f t="shared" si="233"/>
        <v/>
      </c>
      <c r="BX262" s="13"/>
      <c r="BY262" s="15"/>
      <c r="BZ262" s="14"/>
      <c r="CA262" s="117" t="str">
        <f>IF(_xlfn.XLOOKUP(BY262, AutoFill_classes!$A:$A, AutoFill_classes!$B:$B,"")=0,"",_xlfn.XLOOKUP(BY262, AutoFill_classes!$A:$A, AutoFill_classes!$B:$B,""))</f>
        <v/>
      </c>
      <c r="CB262" s="108"/>
      <c r="CC262" s="14"/>
      <c r="CD262" s="14"/>
      <c r="CE262" s="14"/>
      <c r="CF262" s="21"/>
      <c r="CG262" s="22"/>
      <c r="CH262" s="62"/>
      <c r="CI262" s="23"/>
      <c r="CJ262" s="121" t="str">
        <f t="shared" si="234"/>
        <v/>
      </c>
      <c r="CK262" s="20"/>
      <c r="CL262" s="20"/>
      <c r="CM262" s="20"/>
      <c r="CN262" s="20"/>
      <c r="CO262" s="125" t="str">
        <f t="shared" si="235"/>
        <v/>
      </c>
      <c r="CP262" s="14"/>
      <c r="CQ262" s="125" t="str">
        <f t="shared" si="236"/>
        <v/>
      </c>
      <c r="CR262" s="20"/>
      <c r="CS262" s="20"/>
      <c r="CT262" s="125" t="str">
        <f t="shared" si="237"/>
        <v/>
      </c>
      <c r="CU262" s="14"/>
      <c r="CV262" s="125" t="str">
        <f t="shared" si="238"/>
        <v/>
      </c>
      <c r="CW262" s="20"/>
      <c r="CX262" s="20"/>
      <c r="CY262" s="125" t="str">
        <f t="shared" si="239"/>
        <v/>
      </c>
      <c r="CZ262" s="125" t="str">
        <f t="shared" si="240"/>
        <v/>
      </c>
      <c r="DA262" s="125" t="str">
        <f t="shared" si="241"/>
        <v/>
      </c>
      <c r="DB262" s="129" t="str">
        <f t="shared" si="242"/>
        <v/>
      </c>
      <c r="DC262" s="14"/>
      <c r="DD262" s="63"/>
      <c r="DE262" s="105">
        <v>260</v>
      </c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</row>
    <row r="263" spans="1:176" s="1" customFormat="1" ht="13" hidden="1" customHeight="1" outlineLevel="1" x14ac:dyDescent="0.2">
      <c r="A263" s="4"/>
      <c r="B263" s="115" t="str">
        <f>IF(_xlfn.XLOOKUP(A263, AutoFill_names!B:B, AutoFill_names!C:C,"")=0,"",_xlfn.XLOOKUP(A263, AutoFill_names!B:B, AutoFill_names!C:C,""))</f>
        <v/>
      </c>
      <c r="C263" s="115" t="str">
        <f>IF(_xlfn.XLOOKUP(A263, AutoFill_names!B:B, AutoFill_names!D:D,"")=0,"",_xlfn.XLOOKUP(A263, AutoFill_names!B:B, AutoFill_names!D:D,""))</f>
        <v/>
      </c>
      <c r="D263" s="115" t="str">
        <f>IF(_xlfn.XLOOKUP(A263, AutoFill_names!B:B, AutoFill_names!E:E,"")=0,"",_xlfn.XLOOKUP(A263, AutoFill_names!B:B, AutoFill_names!E:E,""))</f>
        <v/>
      </c>
      <c r="E263" s="115" t="str">
        <f>IF(_xlfn.XLOOKUP(A263, AutoFill_names!B:B, AutoFill_names!F:F,"")=0,"",_xlfn.XLOOKUP(A263, AutoFill_names!B:B, AutoFill_names!F:F,""))</f>
        <v/>
      </c>
      <c r="F263" s="92"/>
      <c r="J263" s="115" t="str">
        <f>IF(_xlfn.XLOOKUP(A263, AutoFill_names!B:B, AutoFill_names!K:K,"")=0,"",_xlfn.XLOOKUP(A263, AutoFill_names!B:B, AutoFill_names!K:K,""))</f>
        <v/>
      </c>
      <c r="K263" s="115" t="str">
        <f>IF(_xlfn.XLOOKUP(A263, AutoFill_names!B:B, AutoFill_names!L:L,"")=0,"",_xlfn.XLOOKUP(A263, AutoFill_names!B:B, AutoFill_names!L:L,""))</f>
        <v/>
      </c>
      <c r="L263" s="31"/>
      <c r="M263" s="31"/>
      <c r="N263" s="117" t="str">
        <f>IF(_xlfn.XLOOKUP(L263, AutoFill_classes!A:A, AutoFill_classes!B:B,"")=0,"",_xlfn.XLOOKUP(L263, AutoFill_classes!A:A, AutoFill_classes!B:B,""))</f>
        <v/>
      </c>
      <c r="O263" s="108"/>
      <c r="P263" s="6"/>
      <c r="Q263" s="6"/>
      <c r="R263" s="6"/>
      <c r="S263" s="2"/>
      <c r="T263" s="2"/>
      <c r="U263" s="2"/>
      <c r="X263" s="62"/>
      <c r="Y263" s="18"/>
      <c r="Z263" s="121" t="str">
        <f t="shared" si="216"/>
        <v/>
      </c>
      <c r="AA263" s="20"/>
      <c r="AB263" s="20"/>
      <c r="AC263" s="20"/>
      <c r="AD263" s="20"/>
      <c r="AE263" s="125" t="str">
        <f t="shared" si="217"/>
        <v/>
      </c>
      <c r="AF263" s="14"/>
      <c r="AG263" s="125" t="str">
        <f t="shared" si="218"/>
        <v/>
      </c>
      <c r="AH263" s="20"/>
      <c r="AI263" s="20"/>
      <c r="AJ263" s="125" t="str">
        <f t="shared" si="219"/>
        <v/>
      </c>
      <c r="AK263" s="14"/>
      <c r="AL263" s="125" t="str">
        <f t="shared" si="220"/>
        <v/>
      </c>
      <c r="AM263" s="20"/>
      <c r="AN263" s="20"/>
      <c r="AO263" s="125" t="str">
        <f t="shared" si="221"/>
        <v/>
      </c>
      <c r="AP263" s="125" t="str">
        <f t="shared" si="222"/>
        <v/>
      </c>
      <c r="AQ263" s="125" t="str">
        <f t="shared" si="223"/>
        <v/>
      </c>
      <c r="AR263" s="129" t="str">
        <f t="shared" si="224"/>
        <v/>
      </c>
      <c r="AS263" s="14"/>
      <c r="AT263" s="13"/>
      <c r="AU263" s="13"/>
      <c r="AV263" s="117" t="str">
        <f>IF(_xlfn.XLOOKUP(AT263, AutoFill_classes!$A:$A, AutoFill_classes!$B:$B,"")=0,"",_xlfn.XLOOKUP(AT263, AutoFill_classes!$A:$A, AutoFill_classes!$B:$B,""))</f>
        <v/>
      </c>
      <c r="AW263" s="108"/>
      <c r="AX263" s="13"/>
      <c r="AY263" s="13"/>
      <c r="AZ263" s="13"/>
      <c r="BA263" s="13"/>
      <c r="BB263" s="13"/>
      <c r="BC263" s="62"/>
      <c r="BD263" s="18"/>
      <c r="BE263" s="121" t="str">
        <f t="shared" si="225"/>
        <v/>
      </c>
      <c r="BF263" s="20"/>
      <c r="BG263" s="20"/>
      <c r="BH263" s="20"/>
      <c r="BI263" s="20"/>
      <c r="BJ263" s="125" t="str">
        <f t="shared" si="226"/>
        <v/>
      </c>
      <c r="BK263" s="14"/>
      <c r="BL263" s="125" t="str">
        <f t="shared" si="227"/>
        <v/>
      </c>
      <c r="BM263" s="20"/>
      <c r="BN263" s="20"/>
      <c r="BO263" s="125" t="str">
        <f t="shared" si="228"/>
        <v/>
      </c>
      <c r="BP263" s="14"/>
      <c r="BQ263" s="125" t="str">
        <f t="shared" si="229"/>
        <v/>
      </c>
      <c r="BR263" s="20"/>
      <c r="BS263" s="20"/>
      <c r="BT263" s="125" t="str">
        <f t="shared" si="230"/>
        <v/>
      </c>
      <c r="BU263" s="125" t="str">
        <f t="shared" si="231"/>
        <v/>
      </c>
      <c r="BV263" s="125" t="str">
        <f t="shared" si="232"/>
        <v/>
      </c>
      <c r="BW263" s="129" t="str">
        <f t="shared" si="233"/>
        <v/>
      </c>
      <c r="BX263" s="13"/>
      <c r="BY263" s="15"/>
      <c r="BZ263" s="14"/>
      <c r="CA263" s="117" t="str">
        <f>IF(_xlfn.XLOOKUP(BY263, AutoFill_classes!$A:$A, AutoFill_classes!$B:$B,"")=0,"",_xlfn.XLOOKUP(BY263, AutoFill_classes!$A:$A, AutoFill_classes!$B:$B,""))</f>
        <v/>
      </c>
      <c r="CB263" s="108"/>
      <c r="CC263" s="14"/>
      <c r="CD263" s="14"/>
      <c r="CE263" s="14"/>
      <c r="CF263" s="21"/>
      <c r="CG263" s="22"/>
      <c r="CH263" s="62"/>
      <c r="CI263" s="23"/>
      <c r="CJ263" s="121" t="str">
        <f t="shared" si="234"/>
        <v/>
      </c>
      <c r="CK263" s="20"/>
      <c r="CL263" s="20"/>
      <c r="CM263" s="20"/>
      <c r="CN263" s="20"/>
      <c r="CO263" s="125" t="str">
        <f t="shared" si="235"/>
        <v/>
      </c>
      <c r="CP263" s="14"/>
      <c r="CQ263" s="125" t="str">
        <f t="shared" si="236"/>
        <v/>
      </c>
      <c r="CR263" s="20"/>
      <c r="CS263" s="20"/>
      <c r="CT263" s="125" t="str">
        <f t="shared" si="237"/>
        <v/>
      </c>
      <c r="CU263" s="14"/>
      <c r="CV263" s="125" t="str">
        <f t="shared" si="238"/>
        <v/>
      </c>
      <c r="CW263" s="20"/>
      <c r="CX263" s="20"/>
      <c r="CY263" s="125" t="str">
        <f t="shared" si="239"/>
        <v/>
      </c>
      <c r="CZ263" s="125" t="str">
        <f t="shared" si="240"/>
        <v/>
      </c>
      <c r="DA263" s="125" t="str">
        <f t="shared" si="241"/>
        <v/>
      </c>
      <c r="DB263" s="129" t="str">
        <f t="shared" si="242"/>
        <v/>
      </c>
      <c r="DC263" s="14"/>
      <c r="DD263" s="63"/>
      <c r="DE263" s="105">
        <v>261</v>
      </c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</row>
    <row r="264" spans="1:176" s="1" customFormat="1" ht="13" hidden="1" customHeight="1" outlineLevel="1" x14ac:dyDescent="0.2">
      <c r="A264" s="4"/>
      <c r="B264" s="115" t="str">
        <f>IF(_xlfn.XLOOKUP(A264, AutoFill_names!B:B, AutoFill_names!C:C,"")=0,"",_xlfn.XLOOKUP(A264, AutoFill_names!B:B, AutoFill_names!C:C,""))</f>
        <v/>
      </c>
      <c r="C264" s="115" t="str">
        <f>IF(_xlfn.XLOOKUP(A264, AutoFill_names!B:B, AutoFill_names!D:D,"")=0,"",_xlfn.XLOOKUP(A264, AutoFill_names!B:B, AutoFill_names!D:D,""))</f>
        <v/>
      </c>
      <c r="D264" s="115" t="str">
        <f>IF(_xlfn.XLOOKUP(A264, AutoFill_names!B:B, AutoFill_names!E:E,"")=0,"",_xlfn.XLOOKUP(A264, AutoFill_names!B:B, AutoFill_names!E:E,""))</f>
        <v/>
      </c>
      <c r="E264" s="115" t="str">
        <f>IF(_xlfn.XLOOKUP(A264, AutoFill_names!B:B, AutoFill_names!F:F,"")=0,"",_xlfn.XLOOKUP(A264, AutoFill_names!B:B, AutoFill_names!F:F,""))</f>
        <v/>
      </c>
      <c r="F264" s="92"/>
      <c r="J264" s="115" t="str">
        <f>IF(_xlfn.XLOOKUP(A264, AutoFill_names!B:B, AutoFill_names!K:K,"")=0,"",_xlfn.XLOOKUP(A264, AutoFill_names!B:B, AutoFill_names!K:K,""))</f>
        <v/>
      </c>
      <c r="K264" s="115" t="str">
        <f>IF(_xlfn.XLOOKUP(A264, AutoFill_names!B:B, AutoFill_names!L:L,"")=0,"",_xlfn.XLOOKUP(A264, AutoFill_names!B:B, AutoFill_names!L:L,""))</f>
        <v/>
      </c>
      <c r="L264" s="31"/>
      <c r="M264" s="31"/>
      <c r="N264" s="117" t="str">
        <f>IF(_xlfn.XLOOKUP(L264, AutoFill_classes!A:A, AutoFill_classes!B:B,"")=0,"",_xlfn.XLOOKUP(L264, AutoFill_classes!A:A, AutoFill_classes!B:B,""))</f>
        <v/>
      </c>
      <c r="O264" s="108"/>
      <c r="P264" s="6"/>
      <c r="Q264" s="6"/>
      <c r="R264" s="6"/>
      <c r="S264" s="2"/>
      <c r="T264" s="2"/>
      <c r="U264" s="2"/>
      <c r="X264" s="62"/>
      <c r="Y264" s="18"/>
      <c r="Z264" s="121" t="str">
        <f t="shared" si="216"/>
        <v/>
      </c>
      <c r="AA264" s="20"/>
      <c r="AB264" s="20"/>
      <c r="AC264" s="20"/>
      <c r="AD264" s="20"/>
      <c r="AE264" s="125" t="str">
        <f t="shared" si="217"/>
        <v/>
      </c>
      <c r="AF264" s="14"/>
      <c r="AG264" s="125" t="str">
        <f t="shared" si="218"/>
        <v/>
      </c>
      <c r="AH264" s="20"/>
      <c r="AI264" s="20"/>
      <c r="AJ264" s="125" t="str">
        <f t="shared" si="219"/>
        <v/>
      </c>
      <c r="AK264" s="14"/>
      <c r="AL264" s="125" t="str">
        <f t="shared" si="220"/>
        <v/>
      </c>
      <c r="AM264" s="20"/>
      <c r="AN264" s="20"/>
      <c r="AO264" s="125" t="str">
        <f t="shared" si="221"/>
        <v/>
      </c>
      <c r="AP264" s="125" t="str">
        <f t="shared" si="222"/>
        <v/>
      </c>
      <c r="AQ264" s="125" t="str">
        <f t="shared" si="223"/>
        <v/>
      </c>
      <c r="AR264" s="129" t="str">
        <f t="shared" si="224"/>
        <v/>
      </c>
      <c r="AS264" s="14"/>
      <c r="AT264" s="13"/>
      <c r="AU264" s="13"/>
      <c r="AV264" s="117" t="str">
        <f>IF(_xlfn.XLOOKUP(AT264, AutoFill_classes!$A:$A, AutoFill_classes!$B:$B,"")=0,"",_xlfn.XLOOKUP(AT264, AutoFill_classes!$A:$A, AutoFill_classes!$B:$B,""))</f>
        <v/>
      </c>
      <c r="AW264" s="108"/>
      <c r="AX264" s="13"/>
      <c r="AY264" s="13"/>
      <c r="AZ264" s="13"/>
      <c r="BA264" s="13"/>
      <c r="BB264" s="13"/>
      <c r="BC264" s="62"/>
      <c r="BD264" s="18"/>
      <c r="BE264" s="121" t="str">
        <f t="shared" si="225"/>
        <v/>
      </c>
      <c r="BF264" s="20"/>
      <c r="BG264" s="20"/>
      <c r="BH264" s="20"/>
      <c r="BI264" s="20"/>
      <c r="BJ264" s="125" t="str">
        <f t="shared" si="226"/>
        <v/>
      </c>
      <c r="BK264" s="14"/>
      <c r="BL264" s="125" t="str">
        <f t="shared" si="227"/>
        <v/>
      </c>
      <c r="BM264" s="20"/>
      <c r="BN264" s="20"/>
      <c r="BO264" s="125" t="str">
        <f t="shared" si="228"/>
        <v/>
      </c>
      <c r="BP264" s="14"/>
      <c r="BQ264" s="125" t="str">
        <f t="shared" si="229"/>
        <v/>
      </c>
      <c r="BR264" s="20"/>
      <c r="BS264" s="20"/>
      <c r="BT264" s="125" t="str">
        <f t="shared" si="230"/>
        <v/>
      </c>
      <c r="BU264" s="125" t="str">
        <f t="shared" si="231"/>
        <v/>
      </c>
      <c r="BV264" s="125" t="str">
        <f t="shared" si="232"/>
        <v/>
      </c>
      <c r="BW264" s="129" t="str">
        <f t="shared" si="233"/>
        <v/>
      </c>
      <c r="BX264" s="13"/>
      <c r="BY264" s="15"/>
      <c r="BZ264" s="14"/>
      <c r="CA264" s="117" t="str">
        <f>IF(_xlfn.XLOOKUP(BY264, AutoFill_classes!$A:$A, AutoFill_classes!$B:$B,"")=0,"",_xlfn.XLOOKUP(BY264, AutoFill_classes!$A:$A, AutoFill_classes!$B:$B,""))</f>
        <v/>
      </c>
      <c r="CB264" s="108"/>
      <c r="CC264" s="14"/>
      <c r="CD264" s="14"/>
      <c r="CE264" s="14"/>
      <c r="CF264" s="21"/>
      <c r="CG264" s="22"/>
      <c r="CH264" s="62"/>
      <c r="CI264" s="23"/>
      <c r="CJ264" s="121" t="str">
        <f t="shared" si="234"/>
        <v/>
      </c>
      <c r="CK264" s="20"/>
      <c r="CL264" s="20"/>
      <c r="CM264" s="20"/>
      <c r="CN264" s="20"/>
      <c r="CO264" s="125" t="str">
        <f t="shared" si="235"/>
        <v/>
      </c>
      <c r="CP264" s="14"/>
      <c r="CQ264" s="125" t="str">
        <f t="shared" si="236"/>
        <v/>
      </c>
      <c r="CR264" s="20"/>
      <c r="CS264" s="20"/>
      <c r="CT264" s="125" t="str">
        <f t="shared" si="237"/>
        <v/>
      </c>
      <c r="CU264" s="14"/>
      <c r="CV264" s="125" t="str">
        <f t="shared" si="238"/>
        <v/>
      </c>
      <c r="CW264" s="20"/>
      <c r="CX264" s="20"/>
      <c r="CY264" s="125" t="str">
        <f t="shared" si="239"/>
        <v/>
      </c>
      <c r="CZ264" s="125" t="str">
        <f t="shared" si="240"/>
        <v/>
      </c>
      <c r="DA264" s="125" t="str">
        <f t="shared" si="241"/>
        <v/>
      </c>
      <c r="DB264" s="129" t="str">
        <f t="shared" si="242"/>
        <v/>
      </c>
      <c r="DC264" s="14"/>
      <c r="DD264" s="63"/>
      <c r="DE264" s="105">
        <v>262</v>
      </c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</row>
    <row r="265" spans="1:176" s="1" customFormat="1" ht="13" hidden="1" customHeight="1" outlineLevel="1" x14ac:dyDescent="0.2">
      <c r="A265" s="4"/>
      <c r="B265" s="115" t="str">
        <f>IF(_xlfn.XLOOKUP(A265, AutoFill_names!B:B, AutoFill_names!C:C,"")=0,"",_xlfn.XLOOKUP(A265, AutoFill_names!B:B, AutoFill_names!C:C,""))</f>
        <v/>
      </c>
      <c r="C265" s="115" t="str">
        <f>IF(_xlfn.XLOOKUP(A265, AutoFill_names!B:B, AutoFill_names!D:D,"")=0,"",_xlfn.XLOOKUP(A265, AutoFill_names!B:B, AutoFill_names!D:D,""))</f>
        <v/>
      </c>
      <c r="D265" s="115" t="str">
        <f>IF(_xlfn.XLOOKUP(A265, AutoFill_names!B:B, AutoFill_names!E:E,"")=0,"",_xlfn.XLOOKUP(A265, AutoFill_names!B:B, AutoFill_names!E:E,""))</f>
        <v/>
      </c>
      <c r="E265" s="115" t="str">
        <f>IF(_xlfn.XLOOKUP(A265, AutoFill_names!B:B, AutoFill_names!F:F,"")=0,"",_xlfn.XLOOKUP(A265, AutoFill_names!B:B, AutoFill_names!F:F,""))</f>
        <v/>
      </c>
      <c r="F265" s="92"/>
      <c r="J265" s="115" t="str">
        <f>IF(_xlfn.XLOOKUP(A265, AutoFill_names!B:B, AutoFill_names!K:K,"")=0,"",_xlfn.XLOOKUP(A265, AutoFill_names!B:B, AutoFill_names!K:K,""))</f>
        <v/>
      </c>
      <c r="K265" s="115" t="str">
        <f>IF(_xlfn.XLOOKUP(A265, AutoFill_names!B:B, AutoFill_names!L:L,"")=0,"",_xlfn.XLOOKUP(A265, AutoFill_names!B:B, AutoFill_names!L:L,""))</f>
        <v/>
      </c>
      <c r="L265" s="31"/>
      <c r="M265" s="31"/>
      <c r="N265" s="117" t="str">
        <f>IF(_xlfn.XLOOKUP(L265, AutoFill_classes!A:A, AutoFill_classes!B:B,"")=0,"",_xlfn.XLOOKUP(L265, AutoFill_classes!A:A, AutoFill_classes!B:B,""))</f>
        <v/>
      </c>
      <c r="O265" s="108"/>
      <c r="P265" s="6"/>
      <c r="Q265" s="6"/>
      <c r="R265" s="6"/>
      <c r="S265" s="2"/>
      <c r="T265" s="2"/>
      <c r="U265" s="2"/>
      <c r="X265" s="62"/>
      <c r="Y265" s="18"/>
      <c r="Z265" s="121" t="str">
        <f t="shared" si="216"/>
        <v/>
      </c>
      <c r="AA265" s="20"/>
      <c r="AB265" s="20"/>
      <c r="AC265" s="20"/>
      <c r="AD265" s="20"/>
      <c r="AE265" s="125" t="str">
        <f t="shared" si="217"/>
        <v/>
      </c>
      <c r="AF265" s="14"/>
      <c r="AG265" s="125" t="str">
        <f t="shared" si="218"/>
        <v/>
      </c>
      <c r="AH265" s="20"/>
      <c r="AI265" s="20"/>
      <c r="AJ265" s="125" t="str">
        <f t="shared" si="219"/>
        <v/>
      </c>
      <c r="AK265" s="14"/>
      <c r="AL265" s="125" t="str">
        <f t="shared" si="220"/>
        <v/>
      </c>
      <c r="AM265" s="20"/>
      <c r="AN265" s="20"/>
      <c r="AO265" s="125" t="str">
        <f t="shared" si="221"/>
        <v/>
      </c>
      <c r="AP265" s="125" t="str">
        <f t="shared" si="222"/>
        <v/>
      </c>
      <c r="AQ265" s="125" t="str">
        <f t="shared" si="223"/>
        <v/>
      </c>
      <c r="AR265" s="129" t="str">
        <f t="shared" si="224"/>
        <v/>
      </c>
      <c r="AS265" s="14"/>
      <c r="AT265" s="13"/>
      <c r="AU265" s="13"/>
      <c r="AV265" s="117" t="str">
        <f>IF(_xlfn.XLOOKUP(AT265, AutoFill_classes!$A:$A, AutoFill_classes!$B:$B,"")=0,"",_xlfn.XLOOKUP(AT265, AutoFill_classes!$A:$A, AutoFill_classes!$B:$B,""))</f>
        <v/>
      </c>
      <c r="AW265" s="108"/>
      <c r="AX265" s="13"/>
      <c r="AY265" s="13"/>
      <c r="AZ265" s="13"/>
      <c r="BA265" s="13"/>
      <c r="BB265" s="13"/>
      <c r="BC265" s="62"/>
      <c r="BD265" s="18"/>
      <c r="BE265" s="121" t="str">
        <f t="shared" si="225"/>
        <v/>
      </c>
      <c r="BF265" s="20"/>
      <c r="BG265" s="20"/>
      <c r="BH265" s="20"/>
      <c r="BI265" s="20"/>
      <c r="BJ265" s="125" t="str">
        <f t="shared" si="226"/>
        <v/>
      </c>
      <c r="BK265" s="14"/>
      <c r="BL265" s="125" t="str">
        <f t="shared" si="227"/>
        <v/>
      </c>
      <c r="BM265" s="20"/>
      <c r="BN265" s="20"/>
      <c r="BO265" s="125" t="str">
        <f t="shared" si="228"/>
        <v/>
      </c>
      <c r="BP265" s="14"/>
      <c r="BQ265" s="125" t="str">
        <f t="shared" si="229"/>
        <v/>
      </c>
      <c r="BR265" s="20"/>
      <c r="BS265" s="20"/>
      <c r="BT265" s="125" t="str">
        <f t="shared" si="230"/>
        <v/>
      </c>
      <c r="BU265" s="125" t="str">
        <f t="shared" si="231"/>
        <v/>
      </c>
      <c r="BV265" s="125" t="str">
        <f t="shared" si="232"/>
        <v/>
      </c>
      <c r="BW265" s="129" t="str">
        <f t="shared" si="233"/>
        <v/>
      </c>
      <c r="BX265" s="13"/>
      <c r="BY265" s="15"/>
      <c r="BZ265" s="14"/>
      <c r="CA265" s="117" t="str">
        <f>IF(_xlfn.XLOOKUP(BY265, AutoFill_classes!$A:$A, AutoFill_classes!$B:$B,"")=0,"",_xlfn.XLOOKUP(BY265, AutoFill_classes!$A:$A, AutoFill_classes!$B:$B,""))</f>
        <v/>
      </c>
      <c r="CB265" s="108"/>
      <c r="CC265" s="14"/>
      <c r="CD265" s="14"/>
      <c r="CE265" s="14"/>
      <c r="CF265" s="21"/>
      <c r="CG265" s="22"/>
      <c r="CH265" s="62"/>
      <c r="CI265" s="23"/>
      <c r="CJ265" s="121" t="str">
        <f t="shared" si="234"/>
        <v/>
      </c>
      <c r="CK265" s="20"/>
      <c r="CL265" s="20"/>
      <c r="CM265" s="20"/>
      <c r="CN265" s="20"/>
      <c r="CO265" s="125" t="str">
        <f t="shared" si="235"/>
        <v/>
      </c>
      <c r="CP265" s="14"/>
      <c r="CQ265" s="125" t="str">
        <f t="shared" si="236"/>
        <v/>
      </c>
      <c r="CR265" s="20"/>
      <c r="CS265" s="20"/>
      <c r="CT265" s="125" t="str">
        <f t="shared" si="237"/>
        <v/>
      </c>
      <c r="CU265" s="14"/>
      <c r="CV265" s="125" t="str">
        <f t="shared" si="238"/>
        <v/>
      </c>
      <c r="CW265" s="20"/>
      <c r="CX265" s="20"/>
      <c r="CY265" s="125" t="str">
        <f t="shared" si="239"/>
        <v/>
      </c>
      <c r="CZ265" s="125" t="str">
        <f t="shared" si="240"/>
        <v/>
      </c>
      <c r="DA265" s="125" t="str">
        <f t="shared" si="241"/>
        <v/>
      </c>
      <c r="DB265" s="129" t="str">
        <f t="shared" si="242"/>
        <v/>
      </c>
      <c r="DC265" s="14"/>
      <c r="DD265" s="63"/>
      <c r="DE265" s="105">
        <v>263</v>
      </c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</row>
    <row r="266" spans="1:176" s="1" customFormat="1" ht="13" hidden="1" customHeight="1" outlineLevel="1" x14ac:dyDescent="0.2">
      <c r="A266" s="4"/>
      <c r="B266" s="115" t="str">
        <f>IF(_xlfn.XLOOKUP(A266, AutoFill_names!B:B, AutoFill_names!C:C,"")=0,"",_xlfn.XLOOKUP(A266, AutoFill_names!B:B, AutoFill_names!C:C,""))</f>
        <v/>
      </c>
      <c r="C266" s="115" t="str">
        <f>IF(_xlfn.XLOOKUP(A266, AutoFill_names!B:B, AutoFill_names!D:D,"")=0,"",_xlfn.XLOOKUP(A266, AutoFill_names!B:B, AutoFill_names!D:D,""))</f>
        <v/>
      </c>
      <c r="D266" s="115" t="str">
        <f>IF(_xlfn.XLOOKUP(A266, AutoFill_names!B:B, AutoFill_names!E:E,"")=0,"",_xlfn.XLOOKUP(A266, AutoFill_names!B:B, AutoFill_names!E:E,""))</f>
        <v/>
      </c>
      <c r="E266" s="115" t="str">
        <f>IF(_xlfn.XLOOKUP(A266, AutoFill_names!B:B, AutoFill_names!F:F,"")=0,"",_xlfn.XLOOKUP(A266, AutoFill_names!B:B, AutoFill_names!F:F,""))</f>
        <v/>
      </c>
      <c r="F266" s="92"/>
      <c r="J266" s="115" t="str">
        <f>IF(_xlfn.XLOOKUP(A266, AutoFill_names!B:B, AutoFill_names!K:K,"")=0,"",_xlfn.XLOOKUP(A266, AutoFill_names!B:B, AutoFill_names!K:K,""))</f>
        <v/>
      </c>
      <c r="K266" s="115" t="str">
        <f>IF(_xlfn.XLOOKUP(A266, AutoFill_names!B:B, AutoFill_names!L:L,"")=0,"",_xlfn.XLOOKUP(A266, AutoFill_names!B:B, AutoFill_names!L:L,""))</f>
        <v/>
      </c>
      <c r="L266" s="31"/>
      <c r="M266" s="31"/>
      <c r="N266" s="117" t="str">
        <f>IF(_xlfn.XLOOKUP(L266, AutoFill_classes!A:A, AutoFill_classes!B:B,"")=0,"",_xlfn.XLOOKUP(L266, AutoFill_classes!A:A, AutoFill_classes!B:B,""))</f>
        <v/>
      </c>
      <c r="O266" s="108"/>
      <c r="P266" s="6"/>
      <c r="Q266" s="6"/>
      <c r="R266" s="6"/>
      <c r="S266" s="2"/>
      <c r="T266" s="2"/>
      <c r="U266" s="2"/>
      <c r="X266" s="62"/>
      <c r="Y266" s="18"/>
      <c r="Z266" s="121" t="str">
        <f t="shared" si="216"/>
        <v/>
      </c>
      <c r="AA266" s="20"/>
      <c r="AB266" s="20"/>
      <c r="AC266" s="20"/>
      <c r="AD266" s="20"/>
      <c r="AE266" s="125" t="str">
        <f t="shared" si="217"/>
        <v/>
      </c>
      <c r="AF266" s="14"/>
      <c r="AG266" s="125" t="str">
        <f t="shared" si="218"/>
        <v/>
      </c>
      <c r="AH266" s="20"/>
      <c r="AI266" s="20"/>
      <c r="AJ266" s="125" t="str">
        <f t="shared" si="219"/>
        <v/>
      </c>
      <c r="AK266" s="14"/>
      <c r="AL266" s="125" t="str">
        <f t="shared" si="220"/>
        <v/>
      </c>
      <c r="AM266" s="20"/>
      <c r="AN266" s="20"/>
      <c r="AO266" s="125" t="str">
        <f t="shared" si="221"/>
        <v/>
      </c>
      <c r="AP266" s="125" t="str">
        <f t="shared" si="222"/>
        <v/>
      </c>
      <c r="AQ266" s="125" t="str">
        <f t="shared" si="223"/>
        <v/>
      </c>
      <c r="AR266" s="129" t="str">
        <f t="shared" si="224"/>
        <v/>
      </c>
      <c r="AS266" s="14"/>
      <c r="AT266" s="13"/>
      <c r="AU266" s="13"/>
      <c r="AV266" s="117" t="str">
        <f>IF(_xlfn.XLOOKUP(AT266, AutoFill_classes!$A:$A, AutoFill_classes!$B:$B,"")=0,"",_xlfn.XLOOKUP(AT266, AutoFill_classes!$A:$A, AutoFill_classes!$B:$B,""))</f>
        <v/>
      </c>
      <c r="AW266" s="108"/>
      <c r="AX266" s="13"/>
      <c r="AY266" s="13"/>
      <c r="AZ266" s="13"/>
      <c r="BA266" s="13"/>
      <c r="BB266" s="13"/>
      <c r="BC266" s="62"/>
      <c r="BD266" s="18"/>
      <c r="BE266" s="121" t="str">
        <f t="shared" si="225"/>
        <v/>
      </c>
      <c r="BF266" s="20"/>
      <c r="BG266" s="20"/>
      <c r="BH266" s="20"/>
      <c r="BI266" s="20"/>
      <c r="BJ266" s="125" t="str">
        <f t="shared" si="226"/>
        <v/>
      </c>
      <c r="BK266" s="14"/>
      <c r="BL266" s="125" t="str">
        <f t="shared" si="227"/>
        <v/>
      </c>
      <c r="BM266" s="20"/>
      <c r="BN266" s="20"/>
      <c r="BO266" s="125" t="str">
        <f t="shared" si="228"/>
        <v/>
      </c>
      <c r="BP266" s="14"/>
      <c r="BQ266" s="125" t="str">
        <f t="shared" si="229"/>
        <v/>
      </c>
      <c r="BR266" s="20"/>
      <c r="BS266" s="20"/>
      <c r="BT266" s="125" t="str">
        <f t="shared" si="230"/>
        <v/>
      </c>
      <c r="BU266" s="125" t="str">
        <f t="shared" si="231"/>
        <v/>
      </c>
      <c r="BV266" s="125" t="str">
        <f t="shared" si="232"/>
        <v/>
      </c>
      <c r="BW266" s="129" t="str">
        <f t="shared" si="233"/>
        <v/>
      </c>
      <c r="BX266" s="13"/>
      <c r="BY266" s="15"/>
      <c r="BZ266" s="14"/>
      <c r="CA266" s="117" t="str">
        <f>IF(_xlfn.XLOOKUP(BY266, AutoFill_classes!$A:$A, AutoFill_classes!$B:$B,"")=0,"",_xlfn.XLOOKUP(BY266, AutoFill_classes!$A:$A, AutoFill_classes!$B:$B,""))</f>
        <v/>
      </c>
      <c r="CB266" s="108"/>
      <c r="CC266" s="14"/>
      <c r="CD266" s="14"/>
      <c r="CE266" s="14"/>
      <c r="CF266" s="21"/>
      <c r="CG266" s="22"/>
      <c r="CH266" s="62"/>
      <c r="CI266" s="23"/>
      <c r="CJ266" s="121" t="str">
        <f t="shared" si="234"/>
        <v/>
      </c>
      <c r="CK266" s="20"/>
      <c r="CL266" s="20"/>
      <c r="CM266" s="20"/>
      <c r="CN266" s="20"/>
      <c r="CO266" s="125" t="str">
        <f t="shared" si="235"/>
        <v/>
      </c>
      <c r="CP266" s="14"/>
      <c r="CQ266" s="125" t="str">
        <f t="shared" si="236"/>
        <v/>
      </c>
      <c r="CR266" s="20"/>
      <c r="CS266" s="20"/>
      <c r="CT266" s="125" t="str">
        <f t="shared" si="237"/>
        <v/>
      </c>
      <c r="CU266" s="14"/>
      <c r="CV266" s="125" t="str">
        <f t="shared" si="238"/>
        <v/>
      </c>
      <c r="CW266" s="20"/>
      <c r="CX266" s="20"/>
      <c r="CY266" s="125" t="str">
        <f t="shared" si="239"/>
        <v/>
      </c>
      <c r="CZ266" s="125" t="str">
        <f t="shared" si="240"/>
        <v/>
      </c>
      <c r="DA266" s="125" t="str">
        <f t="shared" si="241"/>
        <v/>
      </c>
      <c r="DB266" s="129" t="str">
        <f t="shared" si="242"/>
        <v/>
      </c>
      <c r="DC266" s="14"/>
      <c r="DD266" s="63"/>
      <c r="DE266" s="105">
        <v>264</v>
      </c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</row>
    <row r="267" spans="1:176" s="1" customFormat="1" ht="13" hidden="1" customHeight="1" outlineLevel="1" x14ac:dyDescent="0.2">
      <c r="A267" s="4"/>
      <c r="B267" s="115" t="str">
        <f>IF(_xlfn.XLOOKUP(A267, AutoFill_names!B:B, AutoFill_names!C:C,"")=0,"",_xlfn.XLOOKUP(A267, AutoFill_names!B:B, AutoFill_names!C:C,""))</f>
        <v/>
      </c>
      <c r="C267" s="115" t="str">
        <f>IF(_xlfn.XLOOKUP(A267, AutoFill_names!B:B, AutoFill_names!D:D,"")=0,"",_xlfn.XLOOKUP(A267, AutoFill_names!B:B, AutoFill_names!D:D,""))</f>
        <v/>
      </c>
      <c r="D267" s="115" t="str">
        <f>IF(_xlfn.XLOOKUP(A267, AutoFill_names!B:B, AutoFill_names!E:E,"")=0,"",_xlfn.XLOOKUP(A267, AutoFill_names!B:B, AutoFill_names!E:E,""))</f>
        <v/>
      </c>
      <c r="E267" s="115" t="str">
        <f>IF(_xlfn.XLOOKUP(A267, AutoFill_names!B:B, AutoFill_names!F:F,"")=0,"",_xlfn.XLOOKUP(A267, AutoFill_names!B:B, AutoFill_names!F:F,""))</f>
        <v/>
      </c>
      <c r="F267" s="92"/>
      <c r="J267" s="115" t="str">
        <f>IF(_xlfn.XLOOKUP(A267, AutoFill_names!B:B, AutoFill_names!K:K,"")=0,"",_xlfn.XLOOKUP(A267, AutoFill_names!B:B, AutoFill_names!K:K,""))</f>
        <v/>
      </c>
      <c r="K267" s="115" t="str">
        <f>IF(_xlfn.XLOOKUP(A267, AutoFill_names!B:B, AutoFill_names!L:L,"")=0,"",_xlfn.XLOOKUP(A267, AutoFill_names!B:B, AutoFill_names!L:L,""))</f>
        <v/>
      </c>
      <c r="L267" s="31"/>
      <c r="M267" s="31"/>
      <c r="N267" s="117" t="str">
        <f>IF(_xlfn.XLOOKUP(L267, AutoFill_classes!A:A, AutoFill_classes!B:B,"")=0,"",_xlfn.XLOOKUP(L267, AutoFill_classes!A:A, AutoFill_classes!B:B,""))</f>
        <v/>
      </c>
      <c r="O267" s="108"/>
      <c r="P267" s="6"/>
      <c r="Q267" s="6"/>
      <c r="R267" s="6"/>
      <c r="S267" s="2"/>
      <c r="T267" s="2"/>
      <c r="U267" s="2"/>
      <c r="X267" s="62"/>
      <c r="Y267" s="18"/>
      <c r="Z267" s="121" t="str">
        <f t="shared" si="216"/>
        <v/>
      </c>
      <c r="AA267" s="20"/>
      <c r="AB267" s="20"/>
      <c r="AC267" s="20"/>
      <c r="AD267" s="20"/>
      <c r="AE267" s="125" t="str">
        <f t="shared" si="217"/>
        <v/>
      </c>
      <c r="AF267" s="14"/>
      <c r="AG267" s="125" t="str">
        <f t="shared" si="218"/>
        <v/>
      </c>
      <c r="AH267" s="20"/>
      <c r="AI267" s="20"/>
      <c r="AJ267" s="125" t="str">
        <f t="shared" si="219"/>
        <v/>
      </c>
      <c r="AK267" s="14"/>
      <c r="AL267" s="125" t="str">
        <f t="shared" si="220"/>
        <v/>
      </c>
      <c r="AM267" s="20"/>
      <c r="AN267" s="20"/>
      <c r="AO267" s="125" t="str">
        <f t="shared" si="221"/>
        <v/>
      </c>
      <c r="AP267" s="125" t="str">
        <f t="shared" si="222"/>
        <v/>
      </c>
      <c r="AQ267" s="125" t="str">
        <f t="shared" si="223"/>
        <v/>
      </c>
      <c r="AR267" s="129" t="str">
        <f t="shared" si="224"/>
        <v/>
      </c>
      <c r="AS267" s="14"/>
      <c r="AT267" s="13"/>
      <c r="AU267" s="13"/>
      <c r="AV267" s="117" t="str">
        <f>IF(_xlfn.XLOOKUP(AT267, AutoFill_classes!$A:$A, AutoFill_classes!$B:$B,"")=0,"",_xlfn.XLOOKUP(AT267, AutoFill_classes!$A:$A, AutoFill_classes!$B:$B,""))</f>
        <v/>
      </c>
      <c r="AW267" s="108"/>
      <c r="AX267" s="13"/>
      <c r="AY267" s="13"/>
      <c r="AZ267" s="13"/>
      <c r="BA267" s="13"/>
      <c r="BB267" s="13"/>
      <c r="BC267" s="62"/>
      <c r="BD267" s="18"/>
      <c r="BE267" s="121" t="str">
        <f t="shared" si="225"/>
        <v/>
      </c>
      <c r="BF267" s="20"/>
      <c r="BG267" s="20"/>
      <c r="BH267" s="20"/>
      <c r="BI267" s="20"/>
      <c r="BJ267" s="125" t="str">
        <f t="shared" si="226"/>
        <v/>
      </c>
      <c r="BK267" s="14"/>
      <c r="BL267" s="125" t="str">
        <f t="shared" si="227"/>
        <v/>
      </c>
      <c r="BM267" s="20"/>
      <c r="BN267" s="20"/>
      <c r="BO267" s="125" t="str">
        <f t="shared" si="228"/>
        <v/>
      </c>
      <c r="BP267" s="14"/>
      <c r="BQ267" s="125" t="str">
        <f t="shared" si="229"/>
        <v/>
      </c>
      <c r="BR267" s="20"/>
      <c r="BS267" s="20"/>
      <c r="BT267" s="125" t="str">
        <f t="shared" si="230"/>
        <v/>
      </c>
      <c r="BU267" s="125" t="str">
        <f t="shared" si="231"/>
        <v/>
      </c>
      <c r="BV267" s="125" t="str">
        <f t="shared" si="232"/>
        <v/>
      </c>
      <c r="BW267" s="129" t="str">
        <f t="shared" si="233"/>
        <v/>
      </c>
      <c r="BX267" s="13"/>
      <c r="BY267" s="15"/>
      <c r="BZ267" s="14"/>
      <c r="CA267" s="117" t="str">
        <f>IF(_xlfn.XLOOKUP(BY267, AutoFill_classes!$A:$A, AutoFill_classes!$B:$B,"")=0,"",_xlfn.XLOOKUP(BY267, AutoFill_classes!$A:$A, AutoFill_classes!$B:$B,""))</f>
        <v/>
      </c>
      <c r="CB267" s="108"/>
      <c r="CC267" s="14"/>
      <c r="CD267" s="14"/>
      <c r="CE267" s="14"/>
      <c r="CF267" s="21"/>
      <c r="CG267" s="22"/>
      <c r="CH267" s="62"/>
      <c r="CI267" s="23"/>
      <c r="CJ267" s="121" t="str">
        <f t="shared" si="234"/>
        <v/>
      </c>
      <c r="CK267" s="20"/>
      <c r="CL267" s="20"/>
      <c r="CM267" s="20"/>
      <c r="CN267" s="20"/>
      <c r="CO267" s="125" t="str">
        <f t="shared" si="235"/>
        <v/>
      </c>
      <c r="CP267" s="14"/>
      <c r="CQ267" s="125" t="str">
        <f t="shared" si="236"/>
        <v/>
      </c>
      <c r="CR267" s="20"/>
      <c r="CS267" s="20"/>
      <c r="CT267" s="125" t="str">
        <f t="shared" si="237"/>
        <v/>
      </c>
      <c r="CU267" s="14"/>
      <c r="CV267" s="125" t="str">
        <f t="shared" si="238"/>
        <v/>
      </c>
      <c r="CW267" s="20"/>
      <c r="CX267" s="20"/>
      <c r="CY267" s="125" t="str">
        <f t="shared" si="239"/>
        <v/>
      </c>
      <c r="CZ267" s="125" t="str">
        <f t="shared" si="240"/>
        <v/>
      </c>
      <c r="DA267" s="125" t="str">
        <f t="shared" si="241"/>
        <v/>
      </c>
      <c r="DB267" s="129" t="str">
        <f t="shared" si="242"/>
        <v/>
      </c>
      <c r="DC267" s="14"/>
      <c r="DD267" s="63"/>
      <c r="DE267" s="105">
        <v>265</v>
      </c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</row>
    <row r="268" spans="1:176" s="1" customFormat="1" ht="13" hidden="1" customHeight="1" outlineLevel="1" x14ac:dyDescent="0.2">
      <c r="A268" s="4"/>
      <c r="B268" s="115" t="str">
        <f>IF(_xlfn.XLOOKUP(A268, AutoFill_names!B:B, AutoFill_names!C:C,"")=0,"",_xlfn.XLOOKUP(A268, AutoFill_names!B:B, AutoFill_names!C:C,""))</f>
        <v/>
      </c>
      <c r="C268" s="115" t="str">
        <f>IF(_xlfn.XLOOKUP(A268, AutoFill_names!B:B, AutoFill_names!D:D,"")=0,"",_xlfn.XLOOKUP(A268, AutoFill_names!B:B, AutoFill_names!D:D,""))</f>
        <v/>
      </c>
      <c r="D268" s="115" t="str">
        <f>IF(_xlfn.XLOOKUP(A268, AutoFill_names!B:B, AutoFill_names!E:E,"")=0,"",_xlfn.XLOOKUP(A268, AutoFill_names!B:B, AutoFill_names!E:E,""))</f>
        <v/>
      </c>
      <c r="E268" s="115" t="str">
        <f>IF(_xlfn.XLOOKUP(A268, AutoFill_names!B:B, AutoFill_names!F:F,"")=0,"",_xlfn.XLOOKUP(A268, AutoFill_names!B:B, AutoFill_names!F:F,""))</f>
        <v/>
      </c>
      <c r="F268" s="92"/>
      <c r="J268" s="115" t="str">
        <f>IF(_xlfn.XLOOKUP(A268, AutoFill_names!B:B, AutoFill_names!K:K,"")=0,"",_xlfn.XLOOKUP(A268, AutoFill_names!B:B, AutoFill_names!K:K,""))</f>
        <v/>
      </c>
      <c r="K268" s="115" t="str">
        <f>IF(_xlfn.XLOOKUP(A268, AutoFill_names!B:B, AutoFill_names!L:L,"")=0,"",_xlfn.XLOOKUP(A268, AutoFill_names!B:B, AutoFill_names!L:L,""))</f>
        <v/>
      </c>
      <c r="L268" s="31"/>
      <c r="M268" s="31"/>
      <c r="N268" s="117" t="str">
        <f>IF(_xlfn.XLOOKUP(L268, AutoFill_classes!A:A, AutoFill_classes!B:B,"")=0,"",_xlfn.XLOOKUP(L268, AutoFill_classes!A:A, AutoFill_classes!B:B,""))</f>
        <v/>
      </c>
      <c r="O268" s="108"/>
      <c r="P268" s="6"/>
      <c r="Q268" s="6"/>
      <c r="R268" s="6"/>
      <c r="S268" s="2"/>
      <c r="T268" s="2"/>
      <c r="U268" s="2"/>
      <c r="X268" s="62"/>
      <c r="Y268" s="18"/>
      <c r="Z268" s="121" t="str">
        <f t="shared" si="216"/>
        <v/>
      </c>
      <c r="AA268" s="20"/>
      <c r="AB268" s="20"/>
      <c r="AC268" s="20"/>
      <c r="AD268" s="20"/>
      <c r="AE268" s="125" t="str">
        <f t="shared" si="217"/>
        <v/>
      </c>
      <c r="AF268" s="14"/>
      <c r="AG268" s="125" t="str">
        <f t="shared" si="218"/>
        <v/>
      </c>
      <c r="AH268" s="20"/>
      <c r="AI268" s="20"/>
      <c r="AJ268" s="125" t="str">
        <f t="shared" si="219"/>
        <v/>
      </c>
      <c r="AK268" s="14"/>
      <c r="AL268" s="125" t="str">
        <f t="shared" si="220"/>
        <v/>
      </c>
      <c r="AM268" s="20"/>
      <c r="AN268" s="20"/>
      <c r="AO268" s="125" t="str">
        <f t="shared" si="221"/>
        <v/>
      </c>
      <c r="AP268" s="125" t="str">
        <f t="shared" si="222"/>
        <v/>
      </c>
      <c r="AQ268" s="125" t="str">
        <f t="shared" si="223"/>
        <v/>
      </c>
      <c r="AR268" s="129" t="str">
        <f t="shared" si="224"/>
        <v/>
      </c>
      <c r="AS268" s="14"/>
      <c r="AT268" s="13"/>
      <c r="AU268" s="13"/>
      <c r="AV268" s="117" t="str">
        <f>IF(_xlfn.XLOOKUP(AT268, AutoFill_classes!$A:$A, AutoFill_classes!$B:$B,"")=0,"",_xlfn.XLOOKUP(AT268, AutoFill_classes!$A:$A, AutoFill_classes!$B:$B,""))</f>
        <v/>
      </c>
      <c r="AW268" s="108"/>
      <c r="AX268" s="13"/>
      <c r="AY268" s="13"/>
      <c r="AZ268" s="13"/>
      <c r="BA268" s="13"/>
      <c r="BB268" s="13"/>
      <c r="BC268" s="62"/>
      <c r="BD268" s="18"/>
      <c r="BE268" s="121" t="str">
        <f t="shared" si="225"/>
        <v/>
      </c>
      <c r="BF268" s="20"/>
      <c r="BG268" s="20"/>
      <c r="BH268" s="20"/>
      <c r="BI268" s="20"/>
      <c r="BJ268" s="125" t="str">
        <f t="shared" si="226"/>
        <v/>
      </c>
      <c r="BK268" s="14"/>
      <c r="BL268" s="125" t="str">
        <f t="shared" si="227"/>
        <v/>
      </c>
      <c r="BM268" s="20"/>
      <c r="BN268" s="20"/>
      <c r="BO268" s="125" t="str">
        <f t="shared" si="228"/>
        <v/>
      </c>
      <c r="BP268" s="14"/>
      <c r="BQ268" s="125" t="str">
        <f t="shared" si="229"/>
        <v/>
      </c>
      <c r="BR268" s="20"/>
      <c r="BS268" s="20"/>
      <c r="BT268" s="125" t="str">
        <f t="shared" si="230"/>
        <v/>
      </c>
      <c r="BU268" s="125" t="str">
        <f t="shared" si="231"/>
        <v/>
      </c>
      <c r="BV268" s="125" t="str">
        <f t="shared" si="232"/>
        <v/>
      </c>
      <c r="BW268" s="129" t="str">
        <f t="shared" si="233"/>
        <v/>
      </c>
      <c r="BX268" s="13"/>
      <c r="BY268" s="15"/>
      <c r="BZ268" s="14"/>
      <c r="CA268" s="117" t="str">
        <f>IF(_xlfn.XLOOKUP(BY268, AutoFill_classes!$A:$A, AutoFill_classes!$B:$B,"")=0,"",_xlfn.XLOOKUP(BY268, AutoFill_classes!$A:$A, AutoFill_classes!$B:$B,""))</f>
        <v/>
      </c>
      <c r="CB268" s="108"/>
      <c r="CC268" s="14"/>
      <c r="CD268" s="14"/>
      <c r="CE268" s="14"/>
      <c r="CF268" s="21"/>
      <c r="CG268" s="22"/>
      <c r="CH268" s="62"/>
      <c r="CI268" s="23"/>
      <c r="CJ268" s="121" t="str">
        <f t="shared" si="234"/>
        <v/>
      </c>
      <c r="CK268" s="20"/>
      <c r="CL268" s="20"/>
      <c r="CM268" s="20"/>
      <c r="CN268" s="20"/>
      <c r="CO268" s="125" t="str">
        <f t="shared" si="235"/>
        <v/>
      </c>
      <c r="CP268" s="14"/>
      <c r="CQ268" s="125" t="str">
        <f t="shared" si="236"/>
        <v/>
      </c>
      <c r="CR268" s="20"/>
      <c r="CS268" s="20"/>
      <c r="CT268" s="125" t="str">
        <f t="shared" si="237"/>
        <v/>
      </c>
      <c r="CU268" s="14"/>
      <c r="CV268" s="125" t="str">
        <f t="shared" si="238"/>
        <v/>
      </c>
      <c r="CW268" s="20"/>
      <c r="CX268" s="20"/>
      <c r="CY268" s="125" t="str">
        <f t="shared" si="239"/>
        <v/>
      </c>
      <c r="CZ268" s="125" t="str">
        <f t="shared" si="240"/>
        <v/>
      </c>
      <c r="DA268" s="125" t="str">
        <f t="shared" si="241"/>
        <v/>
      </c>
      <c r="DB268" s="129" t="str">
        <f t="shared" si="242"/>
        <v/>
      </c>
      <c r="DC268" s="14"/>
      <c r="DD268" s="63"/>
      <c r="DE268" s="105">
        <v>266</v>
      </c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</row>
    <row r="269" spans="1:176" s="1" customFormat="1" ht="13" hidden="1" customHeight="1" outlineLevel="1" x14ac:dyDescent="0.2">
      <c r="A269" s="4"/>
      <c r="B269" s="115" t="str">
        <f>IF(_xlfn.XLOOKUP(A269, AutoFill_names!B:B, AutoFill_names!C:C,"")=0,"",_xlfn.XLOOKUP(A269, AutoFill_names!B:B, AutoFill_names!C:C,""))</f>
        <v/>
      </c>
      <c r="C269" s="115" t="str">
        <f>IF(_xlfn.XLOOKUP(A269, AutoFill_names!B:B, AutoFill_names!D:D,"")=0,"",_xlfn.XLOOKUP(A269, AutoFill_names!B:B, AutoFill_names!D:D,""))</f>
        <v/>
      </c>
      <c r="D269" s="115" t="str">
        <f>IF(_xlfn.XLOOKUP(A269, AutoFill_names!B:B, AutoFill_names!E:E,"")=0,"",_xlfn.XLOOKUP(A269, AutoFill_names!B:B, AutoFill_names!E:E,""))</f>
        <v/>
      </c>
      <c r="E269" s="115" t="str">
        <f>IF(_xlfn.XLOOKUP(A269, AutoFill_names!B:B, AutoFill_names!F:F,"")=0,"",_xlfn.XLOOKUP(A269, AutoFill_names!B:B, AutoFill_names!F:F,""))</f>
        <v/>
      </c>
      <c r="F269" s="92"/>
      <c r="J269" s="115" t="str">
        <f>IF(_xlfn.XLOOKUP(A269, AutoFill_names!B:B, AutoFill_names!K:K,"")=0,"",_xlfn.XLOOKUP(A269, AutoFill_names!B:B, AutoFill_names!K:K,""))</f>
        <v/>
      </c>
      <c r="K269" s="115" t="str">
        <f>IF(_xlfn.XLOOKUP(A269, AutoFill_names!B:B, AutoFill_names!L:L,"")=0,"",_xlfn.XLOOKUP(A269, AutoFill_names!B:B, AutoFill_names!L:L,""))</f>
        <v/>
      </c>
      <c r="L269" s="31"/>
      <c r="M269" s="31"/>
      <c r="N269" s="117" t="str">
        <f>IF(_xlfn.XLOOKUP(L269, AutoFill_classes!A:A, AutoFill_classes!B:B,"")=0,"",_xlfn.XLOOKUP(L269, AutoFill_classes!A:A, AutoFill_classes!B:B,""))</f>
        <v/>
      </c>
      <c r="O269" s="108"/>
      <c r="P269" s="6"/>
      <c r="Q269" s="6"/>
      <c r="R269" s="6"/>
      <c r="S269" s="2"/>
      <c r="T269" s="2"/>
      <c r="U269" s="2"/>
      <c r="X269" s="62"/>
      <c r="Y269" s="18"/>
      <c r="Z269" s="121" t="str">
        <f t="shared" si="216"/>
        <v/>
      </c>
      <c r="AA269" s="20"/>
      <c r="AB269" s="20"/>
      <c r="AC269" s="20"/>
      <c r="AD269" s="20"/>
      <c r="AE269" s="125" t="str">
        <f t="shared" si="217"/>
        <v/>
      </c>
      <c r="AF269" s="14"/>
      <c r="AG269" s="125" t="str">
        <f t="shared" si="218"/>
        <v/>
      </c>
      <c r="AH269" s="20"/>
      <c r="AI269" s="20"/>
      <c r="AJ269" s="125" t="str">
        <f t="shared" si="219"/>
        <v/>
      </c>
      <c r="AK269" s="14"/>
      <c r="AL269" s="125" t="str">
        <f t="shared" si="220"/>
        <v/>
      </c>
      <c r="AM269" s="20"/>
      <c r="AN269" s="20"/>
      <c r="AO269" s="125" t="str">
        <f t="shared" si="221"/>
        <v/>
      </c>
      <c r="AP269" s="125" t="str">
        <f t="shared" si="222"/>
        <v/>
      </c>
      <c r="AQ269" s="125" t="str">
        <f t="shared" si="223"/>
        <v/>
      </c>
      <c r="AR269" s="129" t="str">
        <f t="shared" si="224"/>
        <v/>
      </c>
      <c r="AS269" s="14"/>
      <c r="AT269" s="13"/>
      <c r="AU269" s="13"/>
      <c r="AV269" s="117" t="str">
        <f>IF(_xlfn.XLOOKUP(AT269, AutoFill_classes!$A:$A, AutoFill_classes!$B:$B,"")=0,"",_xlfn.XLOOKUP(AT269, AutoFill_classes!$A:$A, AutoFill_classes!$B:$B,""))</f>
        <v/>
      </c>
      <c r="AW269" s="108"/>
      <c r="AX269" s="13"/>
      <c r="AY269" s="13"/>
      <c r="AZ269" s="13"/>
      <c r="BA269" s="13"/>
      <c r="BB269" s="13"/>
      <c r="BC269" s="62"/>
      <c r="BD269" s="18"/>
      <c r="BE269" s="121" t="str">
        <f t="shared" si="225"/>
        <v/>
      </c>
      <c r="BF269" s="20"/>
      <c r="BG269" s="20"/>
      <c r="BH269" s="20"/>
      <c r="BI269" s="20"/>
      <c r="BJ269" s="125" t="str">
        <f t="shared" si="226"/>
        <v/>
      </c>
      <c r="BK269" s="14"/>
      <c r="BL269" s="125" t="str">
        <f t="shared" si="227"/>
        <v/>
      </c>
      <c r="BM269" s="20"/>
      <c r="BN269" s="20"/>
      <c r="BO269" s="125" t="str">
        <f t="shared" si="228"/>
        <v/>
      </c>
      <c r="BP269" s="14"/>
      <c r="BQ269" s="125" t="str">
        <f t="shared" si="229"/>
        <v/>
      </c>
      <c r="BR269" s="20"/>
      <c r="BS269" s="20"/>
      <c r="BT269" s="125" t="str">
        <f t="shared" si="230"/>
        <v/>
      </c>
      <c r="BU269" s="125" t="str">
        <f t="shared" si="231"/>
        <v/>
      </c>
      <c r="BV269" s="125" t="str">
        <f t="shared" si="232"/>
        <v/>
      </c>
      <c r="BW269" s="129" t="str">
        <f t="shared" si="233"/>
        <v/>
      </c>
      <c r="BX269" s="13"/>
      <c r="BY269" s="15"/>
      <c r="BZ269" s="14"/>
      <c r="CA269" s="117" t="str">
        <f>IF(_xlfn.XLOOKUP(BY269, AutoFill_classes!$A:$A, AutoFill_classes!$B:$B,"")=0,"",_xlfn.XLOOKUP(BY269, AutoFill_classes!$A:$A, AutoFill_classes!$B:$B,""))</f>
        <v/>
      </c>
      <c r="CB269" s="108"/>
      <c r="CC269" s="14"/>
      <c r="CD269" s="14"/>
      <c r="CE269" s="14"/>
      <c r="CF269" s="21"/>
      <c r="CG269" s="22"/>
      <c r="CH269" s="62"/>
      <c r="CI269" s="23"/>
      <c r="CJ269" s="121" t="str">
        <f t="shared" si="234"/>
        <v/>
      </c>
      <c r="CK269" s="20"/>
      <c r="CL269" s="20"/>
      <c r="CM269" s="20"/>
      <c r="CN269" s="20"/>
      <c r="CO269" s="125" t="str">
        <f t="shared" si="235"/>
        <v/>
      </c>
      <c r="CP269" s="14"/>
      <c r="CQ269" s="125" t="str">
        <f t="shared" si="236"/>
        <v/>
      </c>
      <c r="CR269" s="20"/>
      <c r="CS269" s="20"/>
      <c r="CT269" s="125" t="str">
        <f t="shared" si="237"/>
        <v/>
      </c>
      <c r="CU269" s="14"/>
      <c r="CV269" s="125" t="str">
        <f t="shared" si="238"/>
        <v/>
      </c>
      <c r="CW269" s="20"/>
      <c r="CX269" s="20"/>
      <c r="CY269" s="125" t="str">
        <f t="shared" si="239"/>
        <v/>
      </c>
      <c r="CZ269" s="125" t="str">
        <f t="shared" si="240"/>
        <v/>
      </c>
      <c r="DA269" s="125" t="str">
        <f t="shared" si="241"/>
        <v/>
      </c>
      <c r="DB269" s="129" t="str">
        <f t="shared" si="242"/>
        <v/>
      </c>
      <c r="DC269" s="14"/>
      <c r="DD269" s="63"/>
      <c r="DE269" s="105">
        <v>267</v>
      </c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</row>
    <row r="270" spans="1:176" s="1" customFormat="1" ht="13" hidden="1" customHeight="1" outlineLevel="1" x14ac:dyDescent="0.2">
      <c r="A270" s="4"/>
      <c r="B270" s="115" t="str">
        <f>IF(_xlfn.XLOOKUP(A270, AutoFill_names!B:B, AutoFill_names!C:C,"")=0,"",_xlfn.XLOOKUP(A270, AutoFill_names!B:B, AutoFill_names!C:C,""))</f>
        <v/>
      </c>
      <c r="C270" s="115" t="str">
        <f>IF(_xlfn.XLOOKUP(A270, AutoFill_names!B:B, AutoFill_names!D:D,"")=0,"",_xlfn.XLOOKUP(A270, AutoFill_names!B:B, AutoFill_names!D:D,""))</f>
        <v/>
      </c>
      <c r="D270" s="115" t="str">
        <f>IF(_xlfn.XLOOKUP(A270, AutoFill_names!B:B, AutoFill_names!E:E,"")=0,"",_xlfn.XLOOKUP(A270, AutoFill_names!B:B, AutoFill_names!E:E,""))</f>
        <v/>
      </c>
      <c r="E270" s="115" t="str">
        <f>IF(_xlfn.XLOOKUP(A270, AutoFill_names!B:B, AutoFill_names!F:F,"")=0,"",_xlfn.XLOOKUP(A270, AutoFill_names!B:B, AutoFill_names!F:F,""))</f>
        <v/>
      </c>
      <c r="F270" s="92"/>
      <c r="J270" s="115" t="str">
        <f>IF(_xlfn.XLOOKUP(A270, AutoFill_names!B:B, AutoFill_names!K:K,"")=0,"",_xlfn.XLOOKUP(A270, AutoFill_names!B:B, AutoFill_names!K:K,""))</f>
        <v/>
      </c>
      <c r="K270" s="115" t="str">
        <f>IF(_xlfn.XLOOKUP(A270, AutoFill_names!B:B, AutoFill_names!L:L,"")=0,"",_xlfn.XLOOKUP(A270, AutoFill_names!B:B, AutoFill_names!L:L,""))</f>
        <v/>
      </c>
      <c r="L270" s="31"/>
      <c r="M270" s="31"/>
      <c r="N270" s="117" t="str">
        <f>IF(_xlfn.XLOOKUP(L270, AutoFill_classes!A:A, AutoFill_classes!B:B,"")=0,"",_xlfn.XLOOKUP(L270, AutoFill_classes!A:A, AutoFill_classes!B:B,""))</f>
        <v/>
      </c>
      <c r="O270" s="108"/>
      <c r="P270" s="6"/>
      <c r="Q270" s="6"/>
      <c r="R270" s="6"/>
      <c r="S270" s="2"/>
      <c r="T270" s="2"/>
      <c r="U270" s="2"/>
      <c r="X270" s="62"/>
      <c r="Y270" s="18"/>
      <c r="Z270" s="121" t="str">
        <f t="shared" si="216"/>
        <v/>
      </c>
      <c r="AA270" s="20"/>
      <c r="AB270" s="20"/>
      <c r="AC270" s="20"/>
      <c r="AD270" s="20"/>
      <c r="AE270" s="125" t="str">
        <f t="shared" si="217"/>
        <v/>
      </c>
      <c r="AF270" s="14"/>
      <c r="AG270" s="125" t="str">
        <f t="shared" si="218"/>
        <v/>
      </c>
      <c r="AH270" s="20"/>
      <c r="AI270" s="20"/>
      <c r="AJ270" s="125" t="str">
        <f t="shared" si="219"/>
        <v/>
      </c>
      <c r="AK270" s="14"/>
      <c r="AL270" s="125" t="str">
        <f t="shared" si="220"/>
        <v/>
      </c>
      <c r="AM270" s="20"/>
      <c r="AN270" s="20"/>
      <c r="AO270" s="125" t="str">
        <f t="shared" si="221"/>
        <v/>
      </c>
      <c r="AP270" s="125" t="str">
        <f t="shared" si="222"/>
        <v/>
      </c>
      <c r="AQ270" s="125" t="str">
        <f t="shared" si="223"/>
        <v/>
      </c>
      <c r="AR270" s="129" t="str">
        <f t="shared" si="224"/>
        <v/>
      </c>
      <c r="AS270" s="14"/>
      <c r="AT270" s="13"/>
      <c r="AU270" s="13"/>
      <c r="AV270" s="117" t="str">
        <f>IF(_xlfn.XLOOKUP(AT270, AutoFill_classes!$A:$A, AutoFill_classes!$B:$B,"")=0,"",_xlfn.XLOOKUP(AT270, AutoFill_classes!$A:$A, AutoFill_classes!$B:$B,""))</f>
        <v/>
      </c>
      <c r="AW270" s="108"/>
      <c r="AX270" s="13"/>
      <c r="AY270" s="13"/>
      <c r="AZ270" s="13"/>
      <c r="BA270" s="13"/>
      <c r="BB270" s="13"/>
      <c r="BC270" s="62"/>
      <c r="BD270" s="18"/>
      <c r="BE270" s="121" t="str">
        <f t="shared" si="225"/>
        <v/>
      </c>
      <c r="BF270" s="20"/>
      <c r="BG270" s="20"/>
      <c r="BH270" s="20"/>
      <c r="BI270" s="20"/>
      <c r="BJ270" s="125" t="str">
        <f t="shared" si="226"/>
        <v/>
      </c>
      <c r="BK270" s="14"/>
      <c r="BL270" s="125" t="str">
        <f t="shared" si="227"/>
        <v/>
      </c>
      <c r="BM270" s="20"/>
      <c r="BN270" s="20"/>
      <c r="BO270" s="125" t="str">
        <f t="shared" si="228"/>
        <v/>
      </c>
      <c r="BP270" s="14"/>
      <c r="BQ270" s="125" t="str">
        <f t="shared" si="229"/>
        <v/>
      </c>
      <c r="BR270" s="20"/>
      <c r="BS270" s="20"/>
      <c r="BT270" s="125" t="str">
        <f t="shared" si="230"/>
        <v/>
      </c>
      <c r="BU270" s="125" t="str">
        <f t="shared" si="231"/>
        <v/>
      </c>
      <c r="BV270" s="125" t="str">
        <f t="shared" si="232"/>
        <v/>
      </c>
      <c r="BW270" s="129" t="str">
        <f t="shared" si="233"/>
        <v/>
      </c>
      <c r="BX270" s="13"/>
      <c r="BY270" s="15"/>
      <c r="BZ270" s="14"/>
      <c r="CA270" s="117" t="str">
        <f>IF(_xlfn.XLOOKUP(BY270, AutoFill_classes!$A:$A, AutoFill_classes!$B:$B,"")=0,"",_xlfn.XLOOKUP(BY270, AutoFill_classes!$A:$A, AutoFill_classes!$B:$B,""))</f>
        <v/>
      </c>
      <c r="CB270" s="108"/>
      <c r="CC270" s="14"/>
      <c r="CD270" s="14"/>
      <c r="CE270" s="14"/>
      <c r="CF270" s="21"/>
      <c r="CG270" s="22"/>
      <c r="CH270" s="62"/>
      <c r="CI270" s="23"/>
      <c r="CJ270" s="121" t="str">
        <f t="shared" si="234"/>
        <v/>
      </c>
      <c r="CK270" s="20"/>
      <c r="CL270" s="20"/>
      <c r="CM270" s="20"/>
      <c r="CN270" s="20"/>
      <c r="CO270" s="125" t="str">
        <f t="shared" si="235"/>
        <v/>
      </c>
      <c r="CP270" s="14"/>
      <c r="CQ270" s="125" t="str">
        <f t="shared" si="236"/>
        <v/>
      </c>
      <c r="CR270" s="20"/>
      <c r="CS270" s="20"/>
      <c r="CT270" s="125" t="str">
        <f t="shared" si="237"/>
        <v/>
      </c>
      <c r="CU270" s="14"/>
      <c r="CV270" s="125" t="str">
        <f t="shared" si="238"/>
        <v/>
      </c>
      <c r="CW270" s="20"/>
      <c r="CX270" s="20"/>
      <c r="CY270" s="125" t="str">
        <f t="shared" si="239"/>
        <v/>
      </c>
      <c r="CZ270" s="125" t="str">
        <f t="shared" si="240"/>
        <v/>
      </c>
      <c r="DA270" s="125" t="str">
        <f t="shared" si="241"/>
        <v/>
      </c>
      <c r="DB270" s="129" t="str">
        <f t="shared" si="242"/>
        <v/>
      </c>
      <c r="DC270" s="14"/>
      <c r="DD270" s="63"/>
      <c r="DE270" s="105">
        <v>268</v>
      </c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</row>
    <row r="271" spans="1:176" s="1" customFormat="1" ht="13" hidden="1" customHeight="1" outlineLevel="1" x14ac:dyDescent="0.2">
      <c r="A271" s="4"/>
      <c r="B271" s="115" t="str">
        <f>IF(_xlfn.XLOOKUP(A271, AutoFill_names!B:B, AutoFill_names!C:C,"")=0,"",_xlfn.XLOOKUP(A271, AutoFill_names!B:B, AutoFill_names!C:C,""))</f>
        <v/>
      </c>
      <c r="C271" s="115" t="str">
        <f>IF(_xlfn.XLOOKUP(A271, AutoFill_names!B:B, AutoFill_names!D:D,"")=0,"",_xlfn.XLOOKUP(A271, AutoFill_names!B:B, AutoFill_names!D:D,""))</f>
        <v/>
      </c>
      <c r="D271" s="115" t="str">
        <f>IF(_xlfn.XLOOKUP(A271, AutoFill_names!B:B, AutoFill_names!E:E,"")=0,"",_xlfn.XLOOKUP(A271, AutoFill_names!B:B, AutoFill_names!E:E,""))</f>
        <v/>
      </c>
      <c r="E271" s="115" t="str">
        <f>IF(_xlfn.XLOOKUP(A271, AutoFill_names!B:B, AutoFill_names!F:F,"")=0,"",_xlfn.XLOOKUP(A271, AutoFill_names!B:B, AutoFill_names!F:F,""))</f>
        <v/>
      </c>
      <c r="F271" s="92"/>
      <c r="J271" s="115" t="str">
        <f>IF(_xlfn.XLOOKUP(A271, AutoFill_names!B:B, AutoFill_names!K:K,"")=0,"",_xlfn.XLOOKUP(A271, AutoFill_names!B:B, AutoFill_names!K:K,""))</f>
        <v/>
      </c>
      <c r="K271" s="115" t="str">
        <f>IF(_xlfn.XLOOKUP(A271, AutoFill_names!B:B, AutoFill_names!L:L,"")=0,"",_xlfn.XLOOKUP(A271, AutoFill_names!B:B, AutoFill_names!L:L,""))</f>
        <v/>
      </c>
      <c r="L271" s="31"/>
      <c r="M271" s="31"/>
      <c r="N271" s="117" t="str">
        <f>IF(_xlfn.XLOOKUP(L271, AutoFill_classes!A:A, AutoFill_classes!B:B,"")=0,"",_xlfn.XLOOKUP(L271, AutoFill_classes!A:A, AutoFill_classes!B:B,""))</f>
        <v/>
      </c>
      <c r="O271" s="108"/>
      <c r="P271" s="6"/>
      <c r="Q271" s="6"/>
      <c r="R271" s="6"/>
      <c r="S271" s="2"/>
      <c r="T271" s="2"/>
      <c r="U271" s="2"/>
      <c r="X271" s="62"/>
      <c r="Y271" s="18"/>
      <c r="Z271" s="121" t="str">
        <f t="shared" si="216"/>
        <v/>
      </c>
      <c r="AA271" s="20"/>
      <c r="AB271" s="20"/>
      <c r="AC271" s="20"/>
      <c r="AD271" s="20"/>
      <c r="AE271" s="125" t="str">
        <f t="shared" si="217"/>
        <v/>
      </c>
      <c r="AF271" s="14"/>
      <c r="AG271" s="125" t="str">
        <f t="shared" si="218"/>
        <v/>
      </c>
      <c r="AH271" s="20"/>
      <c r="AI271" s="20"/>
      <c r="AJ271" s="125" t="str">
        <f t="shared" si="219"/>
        <v/>
      </c>
      <c r="AK271" s="14"/>
      <c r="AL271" s="125" t="str">
        <f t="shared" si="220"/>
        <v/>
      </c>
      <c r="AM271" s="20"/>
      <c r="AN271" s="20"/>
      <c r="AO271" s="125" t="str">
        <f t="shared" si="221"/>
        <v/>
      </c>
      <c r="AP271" s="125" t="str">
        <f t="shared" si="222"/>
        <v/>
      </c>
      <c r="AQ271" s="125" t="str">
        <f t="shared" si="223"/>
        <v/>
      </c>
      <c r="AR271" s="129" t="str">
        <f t="shared" si="224"/>
        <v/>
      </c>
      <c r="AS271" s="14"/>
      <c r="AT271" s="13"/>
      <c r="AU271" s="13"/>
      <c r="AV271" s="117" t="str">
        <f>IF(_xlfn.XLOOKUP(AT271, AutoFill_classes!$A:$A, AutoFill_classes!$B:$B,"")=0,"",_xlfn.XLOOKUP(AT271, AutoFill_classes!$A:$A, AutoFill_classes!$B:$B,""))</f>
        <v/>
      </c>
      <c r="AW271" s="108"/>
      <c r="AX271" s="13"/>
      <c r="AY271" s="13"/>
      <c r="AZ271" s="13"/>
      <c r="BA271" s="13"/>
      <c r="BB271" s="13"/>
      <c r="BC271" s="62"/>
      <c r="BD271" s="18"/>
      <c r="BE271" s="121" t="str">
        <f t="shared" si="225"/>
        <v/>
      </c>
      <c r="BF271" s="20"/>
      <c r="BG271" s="20"/>
      <c r="BH271" s="20"/>
      <c r="BI271" s="20"/>
      <c r="BJ271" s="125" t="str">
        <f t="shared" si="226"/>
        <v/>
      </c>
      <c r="BK271" s="14"/>
      <c r="BL271" s="125" t="str">
        <f t="shared" si="227"/>
        <v/>
      </c>
      <c r="BM271" s="20"/>
      <c r="BN271" s="20"/>
      <c r="BO271" s="125" t="str">
        <f t="shared" si="228"/>
        <v/>
      </c>
      <c r="BP271" s="14"/>
      <c r="BQ271" s="125" t="str">
        <f t="shared" si="229"/>
        <v/>
      </c>
      <c r="BR271" s="20"/>
      <c r="BS271" s="20"/>
      <c r="BT271" s="125" t="str">
        <f t="shared" si="230"/>
        <v/>
      </c>
      <c r="BU271" s="125" t="str">
        <f t="shared" si="231"/>
        <v/>
      </c>
      <c r="BV271" s="125" t="str">
        <f t="shared" si="232"/>
        <v/>
      </c>
      <c r="BW271" s="129" t="str">
        <f t="shared" si="233"/>
        <v/>
      </c>
      <c r="BX271" s="13"/>
      <c r="BY271" s="15"/>
      <c r="BZ271" s="14"/>
      <c r="CA271" s="117" t="str">
        <f>IF(_xlfn.XLOOKUP(BY271, AutoFill_classes!$A:$A, AutoFill_classes!$B:$B,"")=0,"",_xlfn.XLOOKUP(BY271, AutoFill_classes!$A:$A, AutoFill_classes!$B:$B,""))</f>
        <v/>
      </c>
      <c r="CB271" s="108"/>
      <c r="CC271" s="14"/>
      <c r="CD271" s="14"/>
      <c r="CE271" s="14"/>
      <c r="CF271" s="21"/>
      <c r="CG271" s="22"/>
      <c r="CH271" s="62"/>
      <c r="CI271" s="23"/>
      <c r="CJ271" s="121" t="str">
        <f t="shared" si="234"/>
        <v/>
      </c>
      <c r="CK271" s="20"/>
      <c r="CL271" s="20"/>
      <c r="CM271" s="20"/>
      <c r="CN271" s="20"/>
      <c r="CO271" s="125" t="str">
        <f t="shared" si="235"/>
        <v/>
      </c>
      <c r="CP271" s="14"/>
      <c r="CQ271" s="125" t="str">
        <f t="shared" si="236"/>
        <v/>
      </c>
      <c r="CR271" s="20"/>
      <c r="CS271" s="20"/>
      <c r="CT271" s="125" t="str">
        <f t="shared" si="237"/>
        <v/>
      </c>
      <c r="CU271" s="14"/>
      <c r="CV271" s="125" t="str">
        <f t="shared" si="238"/>
        <v/>
      </c>
      <c r="CW271" s="20"/>
      <c r="CX271" s="20"/>
      <c r="CY271" s="125" t="str">
        <f t="shared" si="239"/>
        <v/>
      </c>
      <c r="CZ271" s="125" t="str">
        <f t="shared" si="240"/>
        <v/>
      </c>
      <c r="DA271" s="125" t="str">
        <f t="shared" si="241"/>
        <v/>
      </c>
      <c r="DB271" s="129" t="str">
        <f t="shared" si="242"/>
        <v/>
      </c>
      <c r="DC271" s="14"/>
      <c r="DD271" s="63"/>
      <c r="DE271" s="105">
        <v>269</v>
      </c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</row>
    <row r="272" spans="1:176" s="116" customFormat="1" ht="34" customHeight="1" collapsed="1" x14ac:dyDescent="0.2">
      <c r="A272" s="66" t="s">
        <v>68</v>
      </c>
      <c r="B272" s="112" t="str">
        <f>"Total Credits: " &amp; IFERROR(IF(DD272=0,"",DD272),"")</f>
        <v xml:space="preserve">Total Credits: </v>
      </c>
      <c r="F272" s="138"/>
      <c r="P272" s="139"/>
      <c r="Q272" s="139"/>
      <c r="R272" s="139"/>
      <c r="V272" s="136"/>
      <c r="W272" s="136"/>
      <c r="X272" s="140" t="str">
        <f>IF(SUM(X273:X301)=0, "", SUM(X273:X301))</f>
        <v/>
      </c>
      <c r="Y272" s="123"/>
      <c r="Z272" s="123"/>
      <c r="AA272" s="141"/>
      <c r="AB272" s="141"/>
      <c r="AC272" s="141"/>
      <c r="AD272" s="141"/>
      <c r="AE272" s="124"/>
      <c r="AF272" s="124"/>
      <c r="AG272" s="124"/>
      <c r="AH272" s="141"/>
      <c r="AI272" s="141"/>
      <c r="AJ272" s="124"/>
      <c r="AK272" s="124"/>
      <c r="AL272" s="124"/>
      <c r="AM272" s="141"/>
      <c r="AN272" s="141"/>
      <c r="AO272" s="127"/>
      <c r="AP272" s="127"/>
      <c r="AQ272" s="127"/>
      <c r="AR272" s="127"/>
      <c r="AS272" s="127"/>
      <c r="AT272" s="134"/>
      <c r="AU272" s="134"/>
      <c r="AX272" s="134"/>
      <c r="AY272" s="134"/>
      <c r="AZ272" s="134"/>
      <c r="BA272" s="144"/>
      <c r="BB272" s="144"/>
      <c r="BC272" s="140" t="str">
        <f>IF(SUM(BC273:BC301)=0, "", SUM(BC273:BC301))</f>
        <v/>
      </c>
      <c r="BD272" s="123"/>
      <c r="BE272" s="123"/>
      <c r="BF272" s="146"/>
      <c r="BG272" s="146"/>
      <c r="BH272" s="146"/>
      <c r="BI272" s="146"/>
      <c r="BJ272" s="134"/>
      <c r="BK272" s="134"/>
      <c r="BL272" s="134"/>
      <c r="BM272" s="146"/>
      <c r="BN272" s="146"/>
      <c r="BO272" s="134"/>
      <c r="BP272" s="134"/>
      <c r="BQ272" s="134"/>
      <c r="BR272" s="146"/>
      <c r="BS272" s="146"/>
      <c r="BT272" s="134"/>
      <c r="BU272" s="134"/>
      <c r="BV272" s="134"/>
      <c r="BW272" s="127"/>
      <c r="BX272" s="134"/>
      <c r="BY272" s="145"/>
      <c r="BZ272" s="145"/>
      <c r="CC272" s="145"/>
      <c r="CD272" s="145"/>
      <c r="CE272" s="145"/>
      <c r="CF272" s="136"/>
      <c r="CG272" s="120"/>
      <c r="CH272" s="140" t="str">
        <f>IF(SUM(CH273:CH301)=0, "", SUM(CH273:CH301))</f>
        <v/>
      </c>
      <c r="CI272" s="123"/>
      <c r="CJ272" s="123"/>
      <c r="CK272" s="146"/>
      <c r="CL272" s="146"/>
      <c r="CM272" s="146"/>
      <c r="CN272" s="146"/>
      <c r="CP272" s="134"/>
      <c r="CR272" s="146"/>
      <c r="CS272" s="146"/>
      <c r="CU272" s="134"/>
      <c r="CW272" s="146"/>
      <c r="CX272" s="146"/>
      <c r="DB272" s="127"/>
      <c r="DC272" s="134"/>
      <c r="DD272" s="140" t="str">
        <f>IF(SUM(L272:DC272)=0, "", SUM(L272:DC272))</f>
        <v/>
      </c>
      <c r="DE272" s="105">
        <v>270</v>
      </c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</row>
    <row r="273" spans="1:176" s="1" customFormat="1" ht="13" hidden="1" customHeight="1" outlineLevel="1" x14ac:dyDescent="0.2">
      <c r="A273" s="4"/>
      <c r="B273" s="115" t="str">
        <f>IF(_xlfn.XLOOKUP(A273, AutoFill_names!B:B, AutoFill_names!C:C,"")=0,"",_xlfn.XLOOKUP(A273, AutoFill_names!B:B, AutoFill_names!C:C,""))</f>
        <v/>
      </c>
      <c r="C273" s="115" t="str">
        <f>IF(_xlfn.XLOOKUP(A273, AutoFill_names!B:B, AutoFill_names!D:D,"")=0,"",_xlfn.XLOOKUP(A273, AutoFill_names!B:B, AutoFill_names!D:D,""))</f>
        <v/>
      </c>
      <c r="D273" s="115" t="str">
        <f>IF(_xlfn.XLOOKUP(A273, AutoFill_names!B:B, AutoFill_names!E:E,"")=0,"",_xlfn.XLOOKUP(A273, AutoFill_names!B:B, AutoFill_names!E:E,""))</f>
        <v/>
      </c>
      <c r="E273" s="115" t="str">
        <f>IF(_xlfn.XLOOKUP(A273, AutoFill_names!B:B, AutoFill_names!F:F,"")=0,"",_xlfn.XLOOKUP(A273, AutoFill_names!B:B, AutoFill_names!F:F,""))</f>
        <v/>
      </c>
      <c r="F273" s="92"/>
      <c r="J273" s="115" t="str">
        <f>IF(_xlfn.XLOOKUP(A273, AutoFill_names!B:B, AutoFill_names!K:K,"")=0,"",_xlfn.XLOOKUP(A273, AutoFill_names!B:B, AutoFill_names!K:K,""))</f>
        <v/>
      </c>
      <c r="K273" s="115" t="str">
        <f>IF(_xlfn.XLOOKUP(A273, AutoFill_names!B:B, AutoFill_names!L:L,"")=0,"",_xlfn.XLOOKUP(A273, AutoFill_names!B:B, AutoFill_names!L:L,""))</f>
        <v/>
      </c>
      <c r="L273" s="31"/>
      <c r="M273" s="31"/>
      <c r="N273" s="117" t="str">
        <f>IF(_xlfn.XLOOKUP(L273, AutoFill_classes!A:A, AutoFill_classes!B:B,"")=0,"",_xlfn.XLOOKUP(L273, AutoFill_classes!A:A, AutoFill_classes!B:B,""))</f>
        <v/>
      </c>
      <c r="O273" s="108"/>
      <c r="P273" s="6"/>
      <c r="Q273" s="6"/>
      <c r="R273" s="6"/>
      <c r="X273" s="62"/>
      <c r="Y273" s="18"/>
      <c r="Z273" s="121" t="str">
        <f t="shared" ref="Z273:Z301" si="243">IF(X273*Y273=0,"",X273*Y273)</f>
        <v/>
      </c>
      <c r="AA273" s="20"/>
      <c r="AB273" s="20"/>
      <c r="AC273" s="20"/>
      <c r="AD273" s="20"/>
      <c r="AE273" s="125" t="str">
        <f t="shared" ref="AE273:AE301" si="244">IF(ROUNDUP((AD273-AC273)/7,0)=0,"",ROUNDUP((AD273-AC273)/7,0))</f>
        <v/>
      </c>
      <c r="AF273" s="14"/>
      <c r="AG273" s="125" t="str">
        <f t="shared" ref="AG273:AG301" si="245">IFERROR(IF(AE273*AF273=0,"",AE273*AF273), "")</f>
        <v/>
      </c>
      <c r="AH273" s="20"/>
      <c r="AI273" s="20"/>
      <c r="AJ273" s="125" t="str">
        <f t="shared" ref="AJ273:AJ301" si="246">IF(ROUNDUP((AI273-AH273)/7,0)=0,"",ROUNDUP((AI273-AH273)/7,0))</f>
        <v/>
      </c>
      <c r="AK273" s="14"/>
      <c r="AL273" s="125" t="str">
        <f t="shared" ref="AL273:AL301" si="247">IFERROR(IF(AJ273*AK273=0,"",AJ273*AK273), "")</f>
        <v/>
      </c>
      <c r="AM273" s="20"/>
      <c r="AN273" s="20"/>
      <c r="AO273" s="125" t="str">
        <f t="shared" ref="AO273:AO301" si="248">IF(ROUNDUP((AN273-AM273)/7,0)=0,"",ROUNDUP((AN273-AM273)/7,0))</f>
        <v/>
      </c>
      <c r="AP273" s="125" t="str">
        <f t="shared" ref="AP273:AP301" si="249">IFERROR(IF((AS273-(AF273+AK273))/AO273=0,"",ROUNDUP((AS273-(AF273+AK273))/AO273,0)), "")</f>
        <v/>
      </c>
      <c r="AQ273" s="125" t="str">
        <f t="shared" ref="AQ273:AQ301" si="250">IFERROR(IF((AS273-(AG273+AL273))=0, "", (AS273-(AG273+AL273))), "")</f>
        <v/>
      </c>
      <c r="AR273" s="129" t="str">
        <f t="shared" ref="AR273:AR301" si="251">IFERROR(IF((AE273+AJ273+AO273)=0, "", (AE273+AJ273+AO273)), "")</f>
        <v/>
      </c>
      <c r="AS273" s="14"/>
      <c r="AT273" s="13"/>
      <c r="AU273" s="13"/>
      <c r="AV273" s="117" t="str">
        <f>IF(_xlfn.XLOOKUP(AT273, AutoFill_classes!$A:$A, AutoFill_classes!$B:$B,"")=0,"",_xlfn.XLOOKUP(AT273, AutoFill_classes!$A:$A, AutoFill_classes!$B:$B,""))</f>
        <v/>
      </c>
      <c r="AW273" s="108"/>
      <c r="AX273" s="13"/>
      <c r="AY273" s="13"/>
      <c r="AZ273" s="13"/>
      <c r="BA273" s="13"/>
      <c r="BB273" s="13"/>
      <c r="BC273" s="62"/>
      <c r="BD273" s="18"/>
      <c r="BE273" s="121" t="str">
        <f t="shared" ref="BE273:BE301" si="252">IF(BC273*BD273=0,"",BC273*BD273)</f>
        <v/>
      </c>
      <c r="BF273" s="20"/>
      <c r="BG273" s="20"/>
      <c r="BH273" s="20"/>
      <c r="BI273" s="20"/>
      <c r="BJ273" s="125" t="str">
        <f t="shared" ref="BJ273:BJ301" si="253">IF(ROUNDUP((BI273-BH273)/7,0)=0,"",ROUNDUP((BI273-BH273)/7,0))</f>
        <v/>
      </c>
      <c r="BK273" s="14"/>
      <c r="BL273" s="125" t="str">
        <f t="shared" ref="BL273:BL301" si="254">IFERROR(IF(BJ273*BK273=0,"",BJ273*BK273), "")</f>
        <v/>
      </c>
      <c r="BM273" s="20"/>
      <c r="BN273" s="20"/>
      <c r="BO273" s="125" t="str">
        <f t="shared" ref="BO273:BO301" si="255">IF(ROUNDUP((BN273-BM273)/7,0)=0,"",ROUNDUP((BN273-BM273)/7,0))</f>
        <v/>
      </c>
      <c r="BP273" s="14"/>
      <c r="BQ273" s="125" t="str">
        <f t="shared" ref="BQ273:BQ301" si="256">IFERROR(IF(BO273*BP273=0,"",BO273*BP273), "")</f>
        <v/>
      </c>
      <c r="BR273" s="20"/>
      <c r="BS273" s="20"/>
      <c r="BT273" s="125" t="str">
        <f t="shared" ref="BT273:BT301" si="257">IF(ROUNDUP((BS273-BR273)/7,0)=0,"",ROUNDUP((BS273-BR273)/7,0))</f>
        <v/>
      </c>
      <c r="BU273" s="125" t="str">
        <f t="shared" ref="BU273:BU301" si="258">IFERROR(IF((BX273-(BK273+BP273))/BT273=0,"",ROUNDUP((BX273-(BK273+BP273))/BT273,0)), "")</f>
        <v/>
      </c>
      <c r="BV273" s="125" t="str">
        <f t="shared" ref="BV273:BV301" si="259">IFERROR(IF((BX273-(BL273+BQ273))=0, "", (BX273-(BL273+BQ273))), "")</f>
        <v/>
      </c>
      <c r="BW273" s="129" t="str">
        <f t="shared" ref="BW273:BW301" si="260">IFERROR(IF((BJ273+BO273+BT273)=0, "", (BJ273+BO273+BT273)), "")</f>
        <v/>
      </c>
      <c r="BX273" s="13"/>
      <c r="BY273" s="15"/>
      <c r="BZ273" s="14"/>
      <c r="CA273" s="117" t="str">
        <f>IF(_xlfn.XLOOKUP(BY273, AutoFill_classes!$A:$A, AutoFill_classes!$B:$B,"")=0,"",_xlfn.XLOOKUP(BY273, AutoFill_classes!$A:$A, AutoFill_classes!$B:$B,""))</f>
        <v/>
      </c>
      <c r="CB273" s="108"/>
      <c r="CC273" s="14"/>
      <c r="CD273" s="14"/>
      <c r="CE273" s="14"/>
      <c r="CF273" s="21"/>
      <c r="CG273" s="22"/>
      <c r="CH273" s="62"/>
      <c r="CI273" s="23"/>
      <c r="CJ273" s="121" t="str">
        <f t="shared" ref="CJ273:CJ301" si="261">IF(CH273*CI273=0,"",CH273*CI273)</f>
        <v/>
      </c>
      <c r="CK273" s="20"/>
      <c r="CL273" s="20"/>
      <c r="CM273" s="20"/>
      <c r="CN273" s="20"/>
      <c r="CO273" s="125" t="str">
        <f t="shared" ref="CO273:CO301" si="262">IF(ROUNDUP((CN273-CM273)/7,0)=0,"",ROUNDUP((CN273-CM273)/7,0))</f>
        <v/>
      </c>
      <c r="CP273" s="14"/>
      <c r="CQ273" s="125" t="str">
        <f t="shared" ref="CQ273:CQ301" si="263">IFERROR(IF(CO273*CP273=0,"",CO273*CP273), "")</f>
        <v/>
      </c>
      <c r="CR273" s="20"/>
      <c r="CS273" s="20"/>
      <c r="CT273" s="125" t="str">
        <f t="shared" ref="CT273:CT301" si="264">IF(ROUNDUP((CS273-CR273)/7,0)=0,"",ROUNDUP((CS273-CR273)/7,0))</f>
        <v/>
      </c>
      <c r="CU273" s="14"/>
      <c r="CV273" s="125" t="str">
        <f t="shared" ref="CV273:CV301" si="265">IFERROR(IF(CT273*CU273=0,"",CT273*CU273), "")</f>
        <v/>
      </c>
      <c r="CW273" s="20"/>
      <c r="CX273" s="20"/>
      <c r="CY273" s="125" t="str">
        <f t="shared" ref="CY273:CY301" si="266">IF(ROUNDUP((CX273-CW273)/7,0)=0,"",ROUNDUP((CX273-CW273)/7,0))</f>
        <v/>
      </c>
      <c r="CZ273" s="125" t="str">
        <f t="shared" ref="CZ273:CZ301" si="267">IFERROR(IF((DC273-(CP273+CU273))/CY273=0,"",ROUNDUP((DC273-(CP273+CU273))/CY273,0)), "")</f>
        <v/>
      </c>
      <c r="DA273" s="125" t="str">
        <f t="shared" ref="DA273:DA301" si="268">IFERROR(IF((DC273-(CQ273+CV273))=0, "", (DC273-(CQ273+CV273))), "")</f>
        <v/>
      </c>
      <c r="DB273" s="129" t="str">
        <f t="shared" ref="DB273:DB301" si="269">IFERROR(IF((CO273+CT273+CY273)=0, "", (CO273+CT273+CY273)), "")</f>
        <v/>
      </c>
      <c r="DC273" s="14"/>
      <c r="DD273" s="62"/>
      <c r="DE273" s="105">
        <v>271</v>
      </c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</row>
    <row r="274" spans="1:176" s="1" customFormat="1" ht="13" hidden="1" customHeight="1" outlineLevel="1" x14ac:dyDescent="0.2">
      <c r="A274" s="4"/>
      <c r="B274" s="115" t="str">
        <f>IF(_xlfn.XLOOKUP(A274, AutoFill_names!B:B, AutoFill_names!C:C,"")=0,"",_xlfn.XLOOKUP(A274, AutoFill_names!B:B, AutoFill_names!C:C,""))</f>
        <v/>
      </c>
      <c r="C274" s="115" t="str">
        <f>IF(_xlfn.XLOOKUP(A274, AutoFill_names!B:B, AutoFill_names!D:D,"")=0,"",_xlfn.XLOOKUP(A274, AutoFill_names!B:B, AutoFill_names!D:D,""))</f>
        <v/>
      </c>
      <c r="D274" s="115" t="str">
        <f>IF(_xlfn.XLOOKUP(A274, AutoFill_names!B:B, AutoFill_names!E:E,"")=0,"",_xlfn.XLOOKUP(A274, AutoFill_names!B:B, AutoFill_names!E:E,""))</f>
        <v/>
      </c>
      <c r="E274" s="115" t="str">
        <f>IF(_xlfn.XLOOKUP(A274, AutoFill_names!B:B, AutoFill_names!F:F,"")=0,"",_xlfn.XLOOKUP(A274, AutoFill_names!B:B, AutoFill_names!F:F,""))</f>
        <v/>
      </c>
      <c r="F274" s="92"/>
      <c r="J274" s="115" t="str">
        <f>IF(_xlfn.XLOOKUP(A274, AutoFill_names!B:B, AutoFill_names!K:K,"")=0,"",_xlfn.XLOOKUP(A274, AutoFill_names!B:B, AutoFill_names!K:K,""))</f>
        <v/>
      </c>
      <c r="K274" s="115" t="str">
        <f>IF(_xlfn.XLOOKUP(A274, AutoFill_names!B:B, AutoFill_names!L:L,"")=0,"",_xlfn.XLOOKUP(A274, AutoFill_names!B:B, AutoFill_names!L:L,""))</f>
        <v/>
      </c>
      <c r="L274" s="31"/>
      <c r="M274" s="31"/>
      <c r="N274" s="117" t="str">
        <f>IF(_xlfn.XLOOKUP(L274, AutoFill_classes!A:A, AutoFill_classes!B:B,"")=0,"",_xlfn.XLOOKUP(L274, AutoFill_classes!A:A, AutoFill_classes!B:B,""))</f>
        <v/>
      </c>
      <c r="O274" s="108"/>
      <c r="P274" s="6"/>
      <c r="Q274" s="6"/>
      <c r="R274" s="6"/>
      <c r="X274" s="62"/>
      <c r="Y274" s="18"/>
      <c r="Z274" s="121" t="str">
        <f t="shared" si="243"/>
        <v/>
      </c>
      <c r="AA274" s="20"/>
      <c r="AB274" s="20"/>
      <c r="AC274" s="20"/>
      <c r="AD274" s="20"/>
      <c r="AE274" s="125" t="str">
        <f t="shared" si="244"/>
        <v/>
      </c>
      <c r="AF274" s="14"/>
      <c r="AG274" s="125" t="str">
        <f t="shared" si="245"/>
        <v/>
      </c>
      <c r="AH274" s="20"/>
      <c r="AI274" s="20"/>
      <c r="AJ274" s="125" t="str">
        <f t="shared" si="246"/>
        <v/>
      </c>
      <c r="AK274" s="14"/>
      <c r="AL274" s="125" t="str">
        <f t="shared" si="247"/>
        <v/>
      </c>
      <c r="AM274" s="20"/>
      <c r="AN274" s="20"/>
      <c r="AO274" s="125" t="str">
        <f t="shared" si="248"/>
        <v/>
      </c>
      <c r="AP274" s="125" t="str">
        <f t="shared" si="249"/>
        <v/>
      </c>
      <c r="AQ274" s="125" t="str">
        <f t="shared" si="250"/>
        <v/>
      </c>
      <c r="AR274" s="129" t="str">
        <f t="shared" si="251"/>
        <v/>
      </c>
      <c r="AS274" s="14"/>
      <c r="AT274" s="13"/>
      <c r="AU274" s="13"/>
      <c r="AV274" s="117" t="str">
        <f>IF(_xlfn.XLOOKUP(AT274, AutoFill_classes!$A:$A, AutoFill_classes!$B:$B,"")=0,"",_xlfn.XLOOKUP(AT274, AutoFill_classes!$A:$A, AutoFill_classes!$B:$B,""))</f>
        <v/>
      </c>
      <c r="AW274" s="108"/>
      <c r="AX274" s="13"/>
      <c r="AY274" s="13"/>
      <c r="AZ274" s="13"/>
      <c r="BA274" s="13"/>
      <c r="BB274" s="13"/>
      <c r="BC274" s="62"/>
      <c r="BD274" s="18"/>
      <c r="BE274" s="121" t="str">
        <f t="shared" si="252"/>
        <v/>
      </c>
      <c r="BF274" s="20"/>
      <c r="BG274" s="20"/>
      <c r="BH274" s="20"/>
      <c r="BI274" s="20"/>
      <c r="BJ274" s="125" t="str">
        <f t="shared" si="253"/>
        <v/>
      </c>
      <c r="BK274" s="14"/>
      <c r="BL274" s="125" t="str">
        <f t="shared" si="254"/>
        <v/>
      </c>
      <c r="BM274" s="20"/>
      <c r="BN274" s="20"/>
      <c r="BO274" s="125" t="str">
        <f t="shared" si="255"/>
        <v/>
      </c>
      <c r="BP274" s="14"/>
      <c r="BQ274" s="125" t="str">
        <f t="shared" si="256"/>
        <v/>
      </c>
      <c r="BR274" s="20"/>
      <c r="BS274" s="20"/>
      <c r="BT274" s="125" t="str">
        <f t="shared" si="257"/>
        <v/>
      </c>
      <c r="BU274" s="125" t="str">
        <f t="shared" si="258"/>
        <v/>
      </c>
      <c r="BV274" s="125" t="str">
        <f t="shared" si="259"/>
        <v/>
      </c>
      <c r="BW274" s="129" t="str">
        <f t="shared" si="260"/>
        <v/>
      </c>
      <c r="BX274" s="13"/>
      <c r="BY274" s="15"/>
      <c r="BZ274" s="14"/>
      <c r="CA274" s="117" t="str">
        <f>IF(_xlfn.XLOOKUP(BY274, AutoFill_classes!$A:$A, AutoFill_classes!$B:$B,"")=0,"",_xlfn.XLOOKUP(BY274, AutoFill_classes!$A:$A, AutoFill_classes!$B:$B,""))</f>
        <v/>
      </c>
      <c r="CB274" s="108"/>
      <c r="CC274" s="14"/>
      <c r="CD274" s="14"/>
      <c r="CE274" s="14"/>
      <c r="CF274" s="21"/>
      <c r="CG274" s="22"/>
      <c r="CH274" s="62"/>
      <c r="CI274" s="23"/>
      <c r="CJ274" s="121" t="str">
        <f t="shared" si="261"/>
        <v/>
      </c>
      <c r="CK274" s="20"/>
      <c r="CL274" s="20"/>
      <c r="CM274" s="20"/>
      <c r="CN274" s="20"/>
      <c r="CO274" s="125" t="str">
        <f t="shared" si="262"/>
        <v/>
      </c>
      <c r="CP274" s="14"/>
      <c r="CQ274" s="125" t="str">
        <f t="shared" si="263"/>
        <v/>
      </c>
      <c r="CR274" s="20"/>
      <c r="CS274" s="20"/>
      <c r="CT274" s="125" t="str">
        <f t="shared" si="264"/>
        <v/>
      </c>
      <c r="CU274" s="14"/>
      <c r="CV274" s="125" t="str">
        <f t="shared" si="265"/>
        <v/>
      </c>
      <c r="CW274" s="20"/>
      <c r="CX274" s="20"/>
      <c r="CY274" s="125" t="str">
        <f t="shared" si="266"/>
        <v/>
      </c>
      <c r="CZ274" s="125" t="str">
        <f t="shared" si="267"/>
        <v/>
      </c>
      <c r="DA274" s="125" t="str">
        <f t="shared" si="268"/>
        <v/>
      </c>
      <c r="DB274" s="129" t="str">
        <f t="shared" si="269"/>
        <v/>
      </c>
      <c r="DC274" s="14"/>
      <c r="DD274" s="62"/>
      <c r="DE274" s="105">
        <v>272</v>
      </c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</row>
    <row r="275" spans="1:176" s="1" customFormat="1" ht="13" hidden="1" customHeight="1" outlineLevel="1" x14ac:dyDescent="0.2">
      <c r="A275" s="4"/>
      <c r="B275" s="115" t="str">
        <f>IF(_xlfn.XLOOKUP(A275, AutoFill_names!B:B, AutoFill_names!C:C,"")=0,"",_xlfn.XLOOKUP(A275, AutoFill_names!B:B, AutoFill_names!C:C,""))</f>
        <v/>
      </c>
      <c r="C275" s="115" t="str">
        <f>IF(_xlfn.XLOOKUP(A275, AutoFill_names!B:B, AutoFill_names!D:D,"")=0,"",_xlfn.XLOOKUP(A275, AutoFill_names!B:B, AutoFill_names!D:D,""))</f>
        <v/>
      </c>
      <c r="D275" s="115" t="str">
        <f>IF(_xlfn.XLOOKUP(A275, AutoFill_names!B:B, AutoFill_names!E:E,"")=0,"",_xlfn.XLOOKUP(A275, AutoFill_names!B:B, AutoFill_names!E:E,""))</f>
        <v/>
      </c>
      <c r="E275" s="115" t="str">
        <f>IF(_xlfn.XLOOKUP(A275, AutoFill_names!B:B, AutoFill_names!F:F,"")=0,"",_xlfn.XLOOKUP(A275, AutoFill_names!B:B, AutoFill_names!F:F,""))</f>
        <v/>
      </c>
      <c r="F275" s="92"/>
      <c r="J275" s="115" t="str">
        <f>IF(_xlfn.XLOOKUP(A275, AutoFill_names!B:B, AutoFill_names!K:K,"")=0,"",_xlfn.XLOOKUP(A275, AutoFill_names!B:B, AutoFill_names!K:K,""))</f>
        <v/>
      </c>
      <c r="K275" s="115" t="str">
        <f>IF(_xlfn.XLOOKUP(A275, AutoFill_names!B:B, AutoFill_names!L:L,"")=0,"",_xlfn.XLOOKUP(A275, AutoFill_names!B:B, AutoFill_names!L:L,""))</f>
        <v/>
      </c>
      <c r="L275" s="31"/>
      <c r="M275" s="31"/>
      <c r="N275" s="117" t="str">
        <f>IF(_xlfn.XLOOKUP(L275, AutoFill_classes!A:A, AutoFill_classes!B:B,"")=0,"",_xlfn.XLOOKUP(L275, AutoFill_classes!A:A, AutoFill_classes!B:B,""))</f>
        <v/>
      </c>
      <c r="O275" s="108"/>
      <c r="P275" s="6"/>
      <c r="Q275" s="6"/>
      <c r="R275" s="6"/>
      <c r="X275" s="62"/>
      <c r="Y275" s="18"/>
      <c r="Z275" s="121" t="str">
        <f t="shared" si="243"/>
        <v/>
      </c>
      <c r="AA275" s="20"/>
      <c r="AB275" s="20"/>
      <c r="AC275" s="20"/>
      <c r="AD275" s="20"/>
      <c r="AE275" s="125" t="str">
        <f t="shared" si="244"/>
        <v/>
      </c>
      <c r="AF275" s="14"/>
      <c r="AG275" s="125" t="str">
        <f t="shared" si="245"/>
        <v/>
      </c>
      <c r="AH275" s="20"/>
      <c r="AI275" s="20"/>
      <c r="AJ275" s="125" t="str">
        <f t="shared" si="246"/>
        <v/>
      </c>
      <c r="AK275" s="14"/>
      <c r="AL275" s="125" t="str">
        <f t="shared" si="247"/>
        <v/>
      </c>
      <c r="AM275" s="20"/>
      <c r="AN275" s="20"/>
      <c r="AO275" s="125" t="str">
        <f t="shared" si="248"/>
        <v/>
      </c>
      <c r="AP275" s="125" t="str">
        <f t="shared" si="249"/>
        <v/>
      </c>
      <c r="AQ275" s="125" t="str">
        <f t="shared" si="250"/>
        <v/>
      </c>
      <c r="AR275" s="129" t="str">
        <f t="shared" si="251"/>
        <v/>
      </c>
      <c r="AS275" s="14"/>
      <c r="AT275" s="13"/>
      <c r="AU275" s="13"/>
      <c r="AV275" s="117" t="str">
        <f>IF(_xlfn.XLOOKUP(AT275, AutoFill_classes!$A:$A, AutoFill_classes!$B:$B,"")=0,"",_xlfn.XLOOKUP(AT275, AutoFill_classes!$A:$A, AutoFill_classes!$B:$B,""))</f>
        <v/>
      </c>
      <c r="AW275" s="108"/>
      <c r="AX275" s="13"/>
      <c r="AY275" s="13"/>
      <c r="AZ275" s="13"/>
      <c r="BA275" s="13"/>
      <c r="BB275" s="13"/>
      <c r="BC275" s="62"/>
      <c r="BD275" s="18"/>
      <c r="BE275" s="121" t="str">
        <f t="shared" si="252"/>
        <v/>
      </c>
      <c r="BF275" s="20"/>
      <c r="BG275" s="20"/>
      <c r="BH275" s="20"/>
      <c r="BI275" s="20"/>
      <c r="BJ275" s="125" t="str">
        <f t="shared" si="253"/>
        <v/>
      </c>
      <c r="BK275" s="14"/>
      <c r="BL275" s="125" t="str">
        <f t="shared" si="254"/>
        <v/>
      </c>
      <c r="BM275" s="20"/>
      <c r="BN275" s="20"/>
      <c r="BO275" s="125" t="str">
        <f t="shared" si="255"/>
        <v/>
      </c>
      <c r="BP275" s="14"/>
      <c r="BQ275" s="125" t="str">
        <f t="shared" si="256"/>
        <v/>
      </c>
      <c r="BR275" s="20"/>
      <c r="BS275" s="20"/>
      <c r="BT275" s="125" t="str">
        <f t="shared" si="257"/>
        <v/>
      </c>
      <c r="BU275" s="125" t="str">
        <f t="shared" si="258"/>
        <v/>
      </c>
      <c r="BV275" s="125" t="str">
        <f t="shared" si="259"/>
        <v/>
      </c>
      <c r="BW275" s="129" t="str">
        <f t="shared" si="260"/>
        <v/>
      </c>
      <c r="BX275" s="13"/>
      <c r="BY275" s="15"/>
      <c r="BZ275" s="14"/>
      <c r="CA275" s="117" t="str">
        <f>IF(_xlfn.XLOOKUP(BY275, AutoFill_classes!$A:$A, AutoFill_classes!$B:$B,"")=0,"",_xlfn.XLOOKUP(BY275, AutoFill_classes!$A:$A, AutoFill_classes!$B:$B,""))</f>
        <v/>
      </c>
      <c r="CB275" s="108"/>
      <c r="CC275" s="14"/>
      <c r="CD275" s="14"/>
      <c r="CE275" s="14"/>
      <c r="CF275" s="21"/>
      <c r="CG275" s="22"/>
      <c r="CH275" s="62"/>
      <c r="CI275" s="23"/>
      <c r="CJ275" s="121" t="str">
        <f t="shared" si="261"/>
        <v/>
      </c>
      <c r="CK275" s="20"/>
      <c r="CL275" s="20"/>
      <c r="CM275" s="20"/>
      <c r="CN275" s="20"/>
      <c r="CO275" s="125" t="str">
        <f t="shared" si="262"/>
        <v/>
      </c>
      <c r="CP275" s="14"/>
      <c r="CQ275" s="125" t="str">
        <f t="shared" si="263"/>
        <v/>
      </c>
      <c r="CR275" s="20"/>
      <c r="CS275" s="20"/>
      <c r="CT275" s="125" t="str">
        <f t="shared" si="264"/>
        <v/>
      </c>
      <c r="CU275" s="14"/>
      <c r="CV275" s="125" t="str">
        <f t="shared" si="265"/>
        <v/>
      </c>
      <c r="CW275" s="20"/>
      <c r="CX275" s="20"/>
      <c r="CY275" s="125" t="str">
        <f t="shared" si="266"/>
        <v/>
      </c>
      <c r="CZ275" s="125" t="str">
        <f t="shared" si="267"/>
        <v/>
      </c>
      <c r="DA275" s="125" t="str">
        <f t="shared" si="268"/>
        <v/>
      </c>
      <c r="DB275" s="129" t="str">
        <f t="shared" si="269"/>
        <v/>
      </c>
      <c r="DC275" s="14"/>
      <c r="DD275" s="62"/>
      <c r="DE275" s="105">
        <v>273</v>
      </c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</row>
    <row r="276" spans="1:176" s="1" customFormat="1" ht="13" hidden="1" customHeight="1" outlineLevel="1" x14ac:dyDescent="0.2">
      <c r="A276" s="4"/>
      <c r="B276" s="115" t="str">
        <f>IF(_xlfn.XLOOKUP(A276, AutoFill_names!B:B, AutoFill_names!C:C,"")=0,"",_xlfn.XLOOKUP(A276, AutoFill_names!B:B, AutoFill_names!C:C,""))</f>
        <v/>
      </c>
      <c r="C276" s="115" t="str">
        <f>IF(_xlfn.XLOOKUP(A276, AutoFill_names!B:B, AutoFill_names!D:D,"")=0,"",_xlfn.XLOOKUP(A276, AutoFill_names!B:B, AutoFill_names!D:D,""))</f>
        <v/>
      </c>
      <c r="D276" s="115" t="str">
        <f>IF(_xlfn.XLOOKUP(A276, AutoFill_names!B:B, AutoFill_names!E:E,"")=0,"",_xlfn.XLOOKUP(A276, AutoFill_names!B:B, AutoFill_names!E:E,""))</f>
        <v/>
      </c>
      <c r="E276" s="115" t="str">
        <f>IF(_xlfn.XLOOKUP(A276, AutoFill_names!B:B, AutoFill_names!F:F,"")=0,"",_xlfn.XLOOKUP(A276, AutoFill_names!B:B, AutoFill_names!F:F,""))</f>
        <v/>
      </c>
      <c r="F276" s="92"/>
      <c r="J276" s="115" t="str">
        <f>IF(_xlfn.XLOOKUP(A276, AutoFill_names!B:B, AutoFill_names!K:K,"")=0,"",_xlfn.XLOOKUP(A276, AutoFill_names!B:B, AutoFill_names!K:K,""))</f>
        <v/>
      </c>
      <c r="K276" s="115" t="str">
        <f>IF(_xlfn.XLOOKUP(A276, AutoFill_names!B:B, AutoFill_names!L:L,"")=0,"",_xlfn.XLOOKUP(A276, AutoFill_names!B:B, AutoFill_names!L:L,""))</f>
        <v/>
      </c>
      <c r="L276" s="31"/>
      <c r="M276" s="31"/>
      <c r="N276" s="117" t="str">
        <f>IF(_xlfn.XLOOKUP(L276, AutoFill_classes!A:A, AutoFill_classes!B:B,"")=0,"",_xlfn.XLOOKUP(L276, AutoFill_classes!A:A, AutoFill_classes!B:B,""))</f>
        <v/>
      </c>
      <c r="O276" s="108"/>
      <c r="P276" s="6"/>
      <c r="Q276" s="6"/>
      <c r="R276" s="6"/>
      <c r="X276" s="62"/>
      <c r="Y276" s="18"/>
      <c r="Z276" s="121" t="str">
        <f t="shared" si="243"/>
        <v/>
      </c>
      <c r="AA276" s="20"/>
      <c r="AB276" s="20"/>
      <c r="AC276" s="20"/>
      <c r="AD276" s="20"/>
      <c r="AE276" s="125" t="str">
        <f t="shared" si="244"/>
        <v/>
      </c>
      <c r="AF276" s="14"/>
      <c r="AG276" s="125" t="str">
        <f t="shared" si="245"/>
        <v/>
      </c>
      <c r="AH276" s="20"/>
      <c r="AI276" s="20"/>
      <c r="AJ276" s="125" t="str">
        <f t="shared" si="246"/>
        <v/>
      </c>
      <c r="AK276" s="14"/>
      <c r="AL276" s="125" t="str">
        <f t="shared" si="247"/>
        <v/>
      </c>
      <c r="AM276" s="20"/>
      <c r="AN276" s="20"/>
      <c r="AO276" s="125" t="str">
        <f t="shared" si="248"/>
        <v/>
      </c>
      <c r="AP276" s="125" t="str">
        <f t="shared" si="249"/>
        <v/>
      </c>
      <c r="AQ276" s="125" t="str">
        <f t="shared" si="250"/>
        <v/>
      </c>
      <c r="AR276" s="129" t="str">
        <f t="shared" si="251"/>
        <v/>
      </c>
      <c r="AS276" s="14"/>
      <c r="AT276" s="13"/>
      <c r="AU276" s="13"/>
      <c r="AV276" s="117" t="str">
        <f>IF(_xlfn.XLOOKUP(AT276, AutoFill_classes!$A:$A, AutoFill_classes!$B:$B,"")=0,"",_xlfn.XLOOKUP(AT276, AutoFill_classes!$A:$A, AutoFill_classes!$B:$B,""))</f>
        <v/>
      </c>
      <c r="AW276" s="108"/>
      <c r="AX276" s="13"/>
      <c r="AY276" s="13"/>
      <c r="AZ276" s="13"/>
      <c r="BA276" s="13"/>
      <c r="BB276" s="13"/>
      <c r="BC276" s="62"/>
      <c r="BD276" s="18"/>
      <c r="BE276" s="121" t="str">
        <f t="shared" si="252"/>
        <v/>
      </c>
      <c r="BF276" s="20"/>
      <c r="BG276" s="20"/>
      <c r="BH276" s="20"/>
      <c r="BI276" s="20"/>
      <c r="BJ276" s="125" t="str">
        <f t="shared" si="253"/>
        <v/>
      </c>
      <c r="BK276" s="14"/>
      <c r="BL276" s="125" t="str">
        <f t="shared" si="254"/>
        <v/>
      </c>
      <c r="BM276" s="20"/>
      <c r="BN276" s="20"/>
      <c r="BO276" s="125" t="str">
        <f t="shared" si="255"/>
        <v/>
      </c>
      <c r="BP276" s="14"/>
      <c r="BQ276" s="125" t="str">
        <f t="shared" si="256"/>
        <v/>
      </c>
      <c r="BR276" s="20"/>
      <c r="BS276" s="20"/>
      <c r="BT276" s="125" t="str">
        <f t="shared" si="257"/>
        <v/>
      </c>
      <c r="BU276" s="125" t="str">
        <f t="shared" si="258"/>
        <v/>
      </c>
      <c r="BV276" s="125" t="str">
        <f t="shared" si="259"/>
        <v/>
      </c>
      <c r="BW276" s="129" t="str">
        <f t="shared" si="260"/>
        <v/>
      </c>
      <c r="BX276" s="13"/>
      <c r="BY276" s="15"/>
      <c r="BZ276" s="14"/>
      <c r="CA276" s="117" t="str">
        <f>IF(_xlfn.XLOOKUP(BY276, AutoFill_classes!$A:$A, AutoFill_classes!$B:$B,"")=0,"",_xlfn.XLOOKUP(BY276, AutoFill_classes!$A:$A, AutoFill_classes!$B:$B,""))</f>
        <v/>
      </c>
      <c r="CB276" s="108"/>
      <c r="CC276" s="14"/>
      <c r="CD276" s="14"/>
      <c r="CE276" s="14"/>
      <c r="CF276" s="21"/>
      <c r="CG276" s="22"/>
      <c r="CH276" s="62"/>
      <c r="CI276" s="23"/>
      <c r="CJ276" s="121" t="str">
        <f t="shared" si="261"/>
        <v/>
      </c>
      <c r="CK276" s="20"/>
      <c r="CL276" s="20"/>
      <c r="CM276" s="20"/>
      <c r="CN276" s="20"/>
      <c r="CO276" s="125" t="str">
        <f t="shared" si="262"/>
        <v/>
      </c>
      <c r="CP276" s="14"/>
      <c r="CQ276" s="125" t="str">
        <f t="shared" si="263"/>
        <v/>
      </c>
      <c r="CR276" s="20"/>
      <c r="CS276" s="20"/>
      <c r="CT276" s="125" t="str">
        <f t="shared" si="264"/>
        <v/>
      </c>
      <c r="CU276" s="14"/>
      <c r="CV276" s="125" t="str">
        <f t="shared" si="265"/>
        <v/>
      </c>
      <c r="CW276" s="20"/>
      <c r="CX276" s="20"/>
      <c r="CY276" s="125" t="str">
        <f t="shared" si="266"/>
        <v/>
      </c>
      <c r="CZ276" s="125" t="str">
        <f t="shared" si="267"/>
        <v/>
      </c>
      <c r="DA276" s="125" t="str">
        <f t="shared" si="268"/>
        <v/>
      </c>
      <c r="DB276" s="129" t="str">
        <f t="shared" si="269"/>
        <v/>
      </c>
      <c r="DC276" s="14"/>
      <c r="DD276" s="62"/>
      <c r="DE276" s="105">
        <v>274</v>
      </c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</row>
    <row r="277" spans="1:176" s="1" customFormat="1" ht="13" hidden="1" customHeight="1" outlineLevel="1" x14ac:dyDescent="0.2">
      <c r="A277" s="4"/>
      <c r="B277" s="115" t="str">
        <f>IF(_xlfn.XLOOKUP(A277, AutoFill_names!B:B, AutoFill_names!C:C,"")=0,"",_xlfn.XLOOKUP(A277, AutoFill_names!B:B, AutoFill_names!C:C,""))</f>
        <v/>
      </c>
      <c r="C277" s="115" t="str">
        <f>IF(_xlfn.XLOOKUP(A277, AutoFill_names!B:B, AutoFill_names!D:D,"")=0,"",_xlfn.XLOOKUP(A277, AutoFill_names!B:B, AutoFill_names!D:D,""))</f>
        <v/>
      </c>
      <c r="D277" s="115" t="str">
        <f>IF(_xlfn.XLOOKUP(A277, AutoFill_names!B:B, AutoFill_names!E:E,"")=0,"",_xlfn.XLOOKUP(A277, AutoFill_names!B:B, AutoFill_names!E:E,""))</f>
        <v/>
      </c>
      <c r="E277" s="115" t="str">
        <f>IF(_xlfn.XLOOKUP(A277, AutoFill_names!B:B, AutoFill_names!F:F,"")=0,"",_xlfn.XLOOKUP(A277, AutoFill_names!B:B, AutoFill_names!F:F,""))</f>
        <v/>
      </c>
      <c r="F277" s="92"/>
      <c r="J277" s="115" t="str">
        <f>IF(_xlfn.XLOOKUP(A277, AutoFill_names!B:B, AutoFill_names!K:K,"")=0,"",_xlfn.XLOOKUP(A277, AutoFill_names!B:B, AutoFill_names!K:K,""))</f>
        <v/>
      </c>
      <c r="K277" s="115" t="str">
        <f>IF(_xlfn.XLOOKUP(A277, AutoFill_names!B:B, AutoFill_names!L:L,"")=0,"",_xlfn.XLOOKUP(A277, AutoFill_names!B:B, AutoFill_names!L:L,""))</f>
        <v/>
      </c>
      <c r="L277" s="31"/>
      <c r="M277" s="31"/>
      <c r="N277" s="117" t="str">
        <f>IF(_xlfn.XLOOKUP(L277, AutoFill_classes!A:A, AutoFill_classes!B:B,"")=0,"",_xlfn.XLOOKUP(L277, AutoFill_classes!A:A, AutoFill_classes!B:B,""))</f>
        <v/>
      </c>
      <c r="O277" s="108"/>
      <c r="P277" s="6"/>
      <c r="Q277" s="6"/>
      <c r="R277" s="6"/>
      <c r="X277" s="62"/>
      <c r="Y277" s="18"/>
      <c r="Z277" s="121" t="str">
        <f t="shared" si="243"/>
        <v/>
      </c>
      <c r="AA277" s="20"/>
      <c r="AB277" s="20"/>
      <c r="AC277" s="20"/>
      <c r="AD277" s="20"/>
      <c r="AE277" s="125" t="str">
        <f t="shared" si="244"/>
        <v/>
      </c>
      <c r="AF277" s="14"/>
      <c r="AG277" s="125" t="str">
        <f t="shared" si="245"/>
        <v/>
      </c>
      <c r="AH277" s="20"/>
      <c r="AI277" s="20"/>
      <c r="AJ277" s="125" t="str">
        <f t="shared" si="246"/>
        <v/>
      </c>
      <c r="AK277" s="14"/>
      <c r="AL277" s="125" t="str">
        <f t="shared" si="247"/>
        <v/>
      </c>
      <c r="AM277" s="20"/>
      <c r="AN277" s="20"/>
      <c r="AO277" s="125" t="str">
        <f t="shared" si="248"/>
        <v/>
      </c>
      <c r="AP277" s="125" t="str">
        <f t="shared" si="249"/>
        <v/>
      </c>
      <c r="AQ277" s="125" t="str">
        <f t="shared" si="250"/>
        <v/>
      </c>
      <c r="AR277" s="129" t="str">
        <f t="shared" si="251"/>
        <v/>
      </c>
      <c r="AS277" s="14"/>
      <c r="AT277" s="13"/>
      <c r="AU277" s="13"/>
      <c r="AV277" s="117" t="str">
        <f>IF(_xlfn.XLOOKUP(AT277, AutoFill_classes!$A:$A, AutoFill_classes!$B:$B,"")=0,"",_xlfn.XLOOKUP(AT277, AutoFill_classes!$A:$A, AutoFill_classes!$B:$B,""))</f>
        <v/>
      </c>
      <c r="AW277" s="108"/>
      <c r="AX277" s="13"/>
      <c r="AY277" s="13"/>
      <c r="AZ277" s="13"/>
      <c r="BA277" s="13"/>
      <c r="BB277" s="13"/>
      <c r="BC277" s="62"/>
      <c r="BD277" s="18"/>
      <c r="BE277" s="121" t="str">
        <f t="shared" si="252"/>
        <v/>
      </c>
      <c r="BF277" s="20"/>
      <c r="BG277" s="20"/>
      <c r="BH277" s="20"/>
      <c r="BI277" s="20"/>
      <c r="BJ277" s="125" t="str">
        <f t="shared" si="253"/>
        <v/>
      </c>
      <c r="BK277" s="14"/>
      <c r="BL277" s="125" t="str">
        <f t="shared" si="254"/>
        <v/>
      </c>
      <c r="BM277" s="20"/>
      <c r="BN277" s="20"/>
      <c r="BO277" s="125" t="str">
        <f t="shared" si="255"/>
        <v/>
      </c>
      <c r="BP277" s="14"/>
      <c r="BQ277" s="125" t="str">
        <f t="shared" si="256"/>
        <v/>
      </c>
      <c r="BR277" s="20"/>
      <c r="BS277" s="20"/>
      <c r="BT277" s="125" t="str">
        <f t="shared" si="257"/>
        <v/>
      </c>
      <c r="BU277" s="125" t="str">
        <f t="shared" si="258"/>
        <v/>
      </c>
      <c r="BV277" s="125" t="str">
        <f t="shared" si="259"/>
        <v/>
      </c>
      <c r="BW277" s="129" t="str">
        <f t="shared" si="260"/>
        <v/>
      </c>
      <c r="BX277" s="13"/>
      <c r="BY277" s="15"/>
      <c r="BZ277" s="14"/>
      <c r="CA277" s="117" t="str">
        <f>IF(_xlfn.XLOOKUP(BY277, AutoFill_classes!$A:$A, AutoFill_classes!$B:$B,"")=0,"",_xlfn.XLOOKUP(BY277, AutoFill_classes!$A:$A, AutoFill_classes!$B:$B,""))</f>
        <v/>
      </c>
      <c r="CB277" s="108"/>
      <c r="CC277" s="14"/>
      <c r="CD277" s="14"/>
      <c r="CE277" s="14"/>
      <c r="CF277" s="21"/>
      <c r="CG277" s="22"/>
      <c r="CH277" s="62"/>
      <c r="CI277" s="23"/>
      <c r="CJ277" s="121" t="str">
        <f t="shared" si="261"/>
        <v/>
      </c>
      <c r="CK277" s="20"/>
      <c r="CL277" s="20"/>
      <c r="CM277" s="20"/>
      <c r="CN277" s="20"/>
      <c r="CO277" s="125" t="str">
        <f t="shared" si="262"/>
        <v/>
      </c>
      <c r="CP277" s="14"/>
      <c r="CQ277" s="125" t="str">
        <f t="shared" si="263"/>
        <v/>
      </c>
      <c r="CR277" s="20"/>
      <c r="CS277" s="20"/>
      <c r="CT277" s="125" t="str">
        <f t="shared" si="264"/>
        <v/>
      </c>
      <c r="CU277" s="14"/>
      <c r="CV277" s="125" t="str">
        <f t="shared" si="265"/>
        <v/>
      </c>
      <c r="CW277" s="20"/>
      <c r="CX277" s="20"/>
      <c r="CY277" s="125" t="str">
        <f t="shared" si="266"/>
        <v/>
      </c>
      <c r="CZ277" s="125" t="str">
        <f t="shared" si="267"/>
        <v/>
      </c>
      <c r="DA277" s="125" t="str">
        <f t="shared" si="268"/>
        <v/>
      </c>
      <c r="DB277" s="129" t="str">
        <f t="shared" si="269"/>
        <v/>
      </c>
      <c r="DC277" s="14"/>
      <c r="DD277" s="62"/>
      <c r="DE277" s="105">
        <v>275</v>
      </c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</row>
    <row r="278" spans="1:176" s="1" customFormat="1" ht="13" hidden="1" customHeight="1" outlineLevel="1" x14ac:dyDescent="0.2">
      <c r="A278" s="4"/>
      <c r="B278" s="115" t="str">
        <f>IF(_xlfn.XLOOKUP(A278, AutoFill_names!B:B, AutoFill_names!C:C,"")=0,"",_xlfn.XLOOKUP(A278, AutoFill_names!B:B, AutoFill_names!C:C,""))</f>
        <v/>
      </c>
      <c r="C278" s="115" t="str">
        <f>IF(_xlfn.XLOOKUP(A278, AutoFill_names!B:B, AutoFill_names!D:D,"")=0,"",_xlfn.XLOOKUP(A278, AutoFill_names!B:B, AutoFill_names!D:D,""))</f>
        <v/>
      </c>
      <c r="D278" s="115" t="str">
        <f>IF(_xlfn.XLOOKUP(A278, AutoFill_names!B:B, AutoFill_names!E:E,"")=0,"",_xlfn.XLOOKUP(A278, AutoFill_names!B:B, AutoFill_names!E:E,""))</f>
        <v/>
      </c>
      <c r="E278" s="115" t="str">
        <f>IF(_xlfn.XLOOKUP(A278, AutoFill_names!B:B, AutoFill_names!F:F,"")=0,"",_xlfn.XLOOKUP(A278, AutoFill_names!B:B, AutoFill_names!F:F,""))</f>
        <v/>
      </c>
      <c r="F278" s="92"/>
      <c r="J278" s="115" t="str">
        <f>IF(_xlfn.XLOOKUP(A278, AutoFill_names!B:B, AutoFill_names!K:K,"")=0,"",_xlfn.XLOOKUP(A278, AutoFill_names!B:B, AutoFill_names!K:K,""))</f>
        <v/>
      </c>
      <c r="K278" s="115" t="str">
        <f>IF(_xlfn.XLOOKUP(A278, AutoFill_names!B:B, AutoFill_names!L:L,"")=0,"",_xlfn.XLOOKUP(A278, AutoFill_names!B:B, AutoFill_names!L:L,""))</f>
        <v/>
      </c>
      <c r="L278" s="31"/>
      <c r="M278" s="31"/>
      <c r="N278" s="117" t="str">
        <f>IF(_xlfn.XLOOKUP(L278, AutoFill_classes!A:A, AutoFill_classes!B:B,"")=0,"",_xlfn.XLOOKUP(L278, AutoFill_classes!A:A, AutoFill_classes!B:B,""))</f>
        <v/>
      </c>
      <c r="O278" s="108"/>
      <c r="P278" s="6"/>
      <c r="Q278" s="6"/>
      <c r="R278" s="6"/>
      <c r="X278" s="62"/>
      <c r="Y278" s="18"/>
      <c r="Z278" s="121" t="str">
        <f t="shared" si="243"/>
        <v/>
      </c>
      <c r="AA278" s="20"/>
      <c r="AB278" s="20"/>
      <c r="AC278" s="20"/>
      <c r="AD278" s="20"/>
      <c r="AE278" s="125" t="str">
        <f t="shared" si="244"/>
        <v/>
      </c>
      <c r="AF278" s="14"/>
      <c r="AG278" s="125" t="str">
        <f t="shared" si="245"/>
        <v/>
      </c>
      <c r="AH278" s="20"/>
      <c r="AI278" s="20"/>
      <c r="AJ278" s="125" t="str">
        <f t="shared" si="246"/>
        <v/>
      </c>
      <c r="AK278" s="14"/>
      <c r="AL278" s="125" t="str">
        <f t="shared" si="247"/>
        <v/>
      </c>
      <c r="AM278" s="20"/>
      <c r="AN278" s="20"/>
      <c r="AO278" s="125" t="str">
        <f t="shared" si="248"/>
        <v/>
      </c>
      <c r="AP278" s="125" t="str">
        <f t="shared" si="249"/>
        <v/>
      </c>
      <c r="AQ278" s="125" t="str">
        <f t="shared" si="250"/>
        <v/>
      </c>
      <c r="AR278" s="129" t="str">
        <f t="shared" si="251"/>
        <v/>
      </c>
      <c r="AS278" s="14"/>
      <c r="AT278" s="13"/>
      <c r="AU278" s="13"/>
      <c r="AV278" s="117" t="str">
        <f>IF(_xlfn.XLOOKUP(AT278, AutoFill_classes!$A:$A, AutoFill_classes!$B:$B,"")=0,"",_xlfn.XLOOKUP(AT278, AutoFill_classes!$A:$A, AutoFill_classes!$B:$B,""))</f>
        <v/>
      </c>
      <c r="AW278" s="108"/>
      <c r="AX278" s="13"/>
      <c r="AY278" s="13"/>
      <c r="AZ278" s="13"/>
      <c r="BA278" s="13"/>
      <c r="BB278" s="13"/>
      <c r="BC278" s="62"/>
      <c r="BD278" s="18"/>
      <c r="BE278" s="121" t="str">
        <f t="shared" si="252"/>
        <v/>
      </c>
      <c r="BF278" s="20"/>
      <c r="BG278" s="20"/>
      <c r="BH278" s="20"/>
      <c r="BI278" s="20"/>
      <c r="BJ278" s="125" t="str">
        <f t="shared" si="253"/>
        <v/>
      </c>
      <c r="BK278" s="14"/>
      <c r="BL278" s="125" t="str">
        <f t="shared" si="254"/>
        <v/>
      </c>
      <c r="BM278" s="20"/>
      <c r="BN278" s="20"/>
      <c r="BO278" s="125" t="str">
        <f t="shared" si="255"/>
        <v/>
      </c>
      <c r="BP278" s="14"/>
      <c r="BQ278" s="125" t="str">
        <f t="shared" si="256"/>
        <v/>
      </c>
      <c r="BR278" s="20"/>
      <c r="BS278" s="20"/>
      <c r="BT278" s="125" t="str">
        <f t="shared" si="257"/>
        <v/>
      </c>
      <c r="BU278" s="125" t="str">
        <f t="shared" si="258"/>
        <v/>
      </c>
      <c r="BV278" s="125" t="str">
        <f t="shared" si="259"/>
        <v/>
      </c>
      <c r="BW278" s="129" t="str">
        <f t="shared" si="260"/>
        <v/>
      </c>
      <c r="BX278" s="13"/>
      <c r="BY278" s="15"/>
      <c r="BZ278" s="14"/>
      <c r="CA278" s="117" t="str">
        <f>IF(_xlfn.XLOOKUP(BY278, AutoFill_classes!$A:$A, AutoFill_classes!$B:$B,"")=0,"",_xlfn.XLOOKUP(BY278, AutoFill_classes!$A:$A, AutoFill_classes!$B:$B,""))</f>
        <v/>
      </c>
      <c r="CB278" s="108"/>
      <c r="CC278" s="14"/>
      <c r="CD278" s="14"/>
      <c r="CE278" s="14"/>
      <c r="CF278" s="21"/>
      <c r="CG278" s="22"/>
      <c r="CH278" s="62"/>
      <c r="CI278" s="23"/>
      <c r="CJ278" s="121" t="str">
        <f t="shared" si="261"/>
        <v/>
      </c>
      <c r="CK278" s="20"/>
      <c r="CL278" s="20"/>
      <c r="CM278" s="20"/>
      <c r="CN278" s="20"/>
      <c r="CO278" s="125" t="str">
        <f t="shared" si="262"/>
        <v/>
      </c>
      <c r="CP278" s="14"/>
      <c r="CQ278" s="125" t="str">
        <f t="shared" si="263"/>
        <v/>
      </c>
      <c r="CR278" s="20"/>
      <c r="CS278" s="20"/>
      <c r="CT278" s="125" t="str">
        <f t="shared" si="264"/>
        <v/>
      </c>
      <c r="CU278" s="14"/>
      <c r="CV278" s="125" t="str">
        <f t="shared" si="265"/>
        <v/>
      </c>
      <c r="CW278" s="20"/>
      <c r="CX278" s="20"/>
      <c r="CY278" s="125" t="str">
        <f t="shared" si="266"/>
        <v/>
      </c>
      <c r="CZ278" s="125" t="str">
        <f t="shared" si="267"/>
        <v/>
      </c>
      <c r="DA278" s="125" t="str">
        <f t="shared" si="268"/>
        <v/>
      </c>
      <c r="DB278" s="129" t="str">
        <f t="shared" si="269"/>
        <v/>
      </c>
      <c r="DC278" s="14"/>
      <c r="DD278" s="62"/>
      <c r="DE278" s="105">
        <v>276</v>
      </c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</row>
    <row r="279" spans="1:176" s="1" customFormat="1" ht="13" hidden="1" customHeight="1" outlineLevel="1" x14ac:dyDescent="0.2">
      <c r="A279" s="4"/>
      <c r="B279" s="115" t="str">
        <f>IF(_xlfn.XLOOKUP(A279, AutoFill_names!B:B, AutoFill_names!C:C,"")=0,"",_xlfn.XLOOKUP(A279, AutoFill_names!B:B, AutoFill_names!C:C,""))</f>
        <v/>
      </c>
      <c r="C279" s="115" t="str">
        <f>IF(_xlfn.XLOOKUP(A279, AutoFill_names!B:B, AutoFill_names!D:D,"")=0,"",_xlfn.XLOOKUP(A279, AutoFill_names!B:B, AutoFill_names!D:D,""))</f>
        <v/>
      </c>
      <c r="D279" s="115" t="str">
        <f>IF(_xlfn.XLOOKUP(A279, AutoFill_names!B:B, AutoFill_names!E:E,"")=0,"",_xlfn.XLOOKUP(A279, AutoFill_names!B:B, AutoFill_names!E:E,""))</f>
        <v/>
      </c>
      <c r="E279" s="115" t="str">
        <f>IF(_xlfn.XLOOKUP(A279, AutoFill_names!B:B, AutoFill_names!F:F,"")=0,"",_xlfn.XLOOKUP(A279, AutoFill_names!B:B, AutoFill_names!F:F,""))</f>
        <v/>
      </c>
      <c r="F279" s="92"/>
      <c r="J279" s="115" t="str">
        <f>IF(_xlfn.XLOOKUP(A279, AutoFill_names!B:B, AutoFill_names!K:K,"")=0,"",_xlfn.XLOOKUP(A279, AutoFill_names!B:B, AutoFill_names!K:K,""))</f>
        <v/>
      </c>
      <c r="K279" s="115" t="str">
        <f>IF(_xlfn.XLOOKUP(A279, AutoFill_names!B:B, AutoFill_names!L:L,"")=0,"",_xlfn.XLOOKUP(A279, AutoFill_names!B:B, AutoFill_names!L:L,""))</f>
        <v/>
      </c>
      <c r="L279" s="31"/>
      <c r="M279" s="31"/>
      <c r="N279" s="117" t="str">
        <f>IF(_xlfn.XLOOKUP(L279, AutoFill_classes!A:A, AutoFill_classes!B:B,"")=0,"",_xlfn.XLOOKUP(L279, AutoFill_classes!A:A, AutoFill_classes!B:B,""))</f>
        <v/>
      </c>
      <c r="O279" s="108"/>
      <c r="P279" s="6"/>
      <c r="Q279" s="6"/>
      <c r="R279" s="6"/>
      <c r="X279" s="62"/>
      <c r="Y279" s="18"/>
      <c r="Z279" s="121" t="str">
        <f t="shared" si="243"/>
        <v/>
      </c>
      <c r="AA279" s="20"/>
      <c r="AB279" s="20"/>
      <c r="AC279" s="20"/>
      <c r="AD279" s="20"/>
      <c r="AE279" s="125" t="str">
        <f t="shared" si="244"/>
        <v/>
      </c>
      <c r="AF279" s="14"/>
      <c r="AG279" s="125" t="str">
        <f t="shared" si="245"/>
        <v/>
      </c>
      <c r="AH279" s="20"/>
      <c r="AI279" s="20"/>
      <c r="AJ279" s="125" t="str">
        <f t="shared" si="246"/>
        <v/>
      </c>
      <c r="AK279" s="14"/>
      <c r="AL279" s="125" t="str">
        <f t="shared" si="247"/>
        <v/>
      </c>
      <c r="AM279" s="20"/>
      <c r="AN279" s="20"/>
      <c r="AO279" s="125" t="str">
        <f t="shared" si="248"/>
        <v/>
      </c>
      <c r="AP279" s="125" t="str">
        <f t="shared" si="249"/>
        <v/>
      </c>
      <c r="AQ279" s="125" t="str">
        <f t="shared" si="250"/>
        <v/>
      </c>
      <c r="AR279" s="129" t="str">
        <f t="shared" si="251"/>
        <v/>
      </c>
      <c r="AS279" s="14"/>
      <c r="AT279" s="13"/>
      <c r="AU279" s="13"/>
      <c r="AV279" s="117" t="str">
        <f>IF(_xlfn.XLOOKUP(AT279, AutoFill_classes!$A:$A, AutoFill_classes!$B:$B,"")=0,"",_xlfn.XLOOKUP(AT279, AutoFill_classes!$A:$A, AutoFill_classes!$B:$B,""))</f>
        <v/>
      </c>
      <c r="AW279" s="108"/>
      <c r="AX279" s="13"/>
      <c r="AY279" s="13"/>
      <c r="AZ279" s="13"/>
      <c r="BA279" s="13"/>
      <c r="BB279" s="13"/>
      <c r="BC279" s="62"/>
      <c r="BD279" s="18"/>
      <c r="BE279" s="121" t="str">
        <f t="shared" si="252"/>
        <v/>
      </c>
      <c r="BF279" s="20"/>
      <c r="BG279" s="20"/>
      <c r="BH279" s="20"/>
      <c r="BI279" s="20"/>
      <c r="BJ279" s="125" t="str">
        <f t="shared" si="253"/>
        <v/>
      </c>
      <c r="BK279" s="14"/>
      <c r="BL279" s="125" t="str">
        <f t="shared" si="254"/>
        <v/>
      </c>
      <c r="BM279" s="20"/>
      <c r="BN279" s="20"/>
      <c r="BO279" s="125" t="str">
        <f t="shared" si="255"/>
        <v/>
      </c>
      <c r="BP279" s="14"/>
      <c r="BQ279" s="125" t="str">
        <f t="shared" si="256"/>
        <v/>
      </c>
      <c r="BR279" s="20"/>
      <c r="BS279" s="20"/>
      <c r="BT279" s="125" t="str">
        <f t="shared" si="257"/>
        <v/>
      </c>
      <c r="BU279" s="125" t="str">
        <f t="shared" si="258"/>
        <v/>
      </c>
      <c r="BV279" s="125" t="str">
        <f t="shared" si="259"/>
        <v/>
      </c>
      <c r="BW279" s="129" t="str">
        <f t="shared" si="260"/>
        <v/>
      </c>
      <c r="BX279" s="13"/>
      <c r="BY279" s="15"/>
      <c r="BZ279" s="14"/>
      <c r="CA279" s="117" t="str">
        <f>IF(_xlfn.XLOOKUP(BY279, AutoFill_classes!$A:$A, AutoFill_classes!$B:$B,"")=0,"",_xlfn.XLOOKUP(BY279, AutoFill_classes!$A:$A, AutoFill_classes!$B:$B,""))</f>
        <v/>
      </c>
      <c r="CB279" s="108"/>
      <c r="CC279" s="14"/>
      <c r="CD279" s="14"/>
      <c r="CE279" s="14"/>
      <c r="CF279" s="21"/>
      <c r="CG279" s="22"/>
      <c r="CH279" s="62"/>
      <c r="CI279" s="23"/>
      <c r="CJ279" s="121" t="str">
        <f t="shared" si="261"/>
        <v/>
      </c>
      <c r="CK279" s="20"/>
      <c r="CL279" s="20"/>
      <c r="CM279" s="20"/>
      <c r="CN279" s="20"/>
      <c r="CO279" s="125" t="str">
        <f t="shared" si="262"/>
        <v/>
      </c>
      <c r="CP279" s="14"/>
      <c r="CQ279" s="125" t="str">
        <f t="shared" si="263"/>
        <v/>
      </c>
      <c r="CR279" s="20"/>
      <c r="CS279" s="20"/>
      <c r="CT279" s="125" t="str">
        <f t="shared" si="264"/>
        <v/>
      </c>
      <c r="CU279" s="14"/>
      <c r="CV279" s="125" t="str">
        <f t="shared" si="265"/>
        <v/>
      </c>
      <c r="CW279" s="20"/>
      <c r="CX279" s="20"/>
      <c r="CY279" s="125" t="str">
        <f t="shared" si="266"/>
        <v/>
      </c>
      <c r="CZ279" s="125" t="str">
        <f t="shared" si="267"/>
        <v/>
      </c>
      <c r="DA279" s="125" t="str">
        <f t="shared" si="268"/>
        <v/>
      </c>
      <c r="DB279" s="129" t="str">
        <f t="shared" si="269"/>
        <v/>
      </c>
      <c r="DC279" s="14"/>
      <c r="DD279" s="62"/>
      <c r="DE279" s="105">
        <v>277</v>
      </c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</row>
    <row r="280" spans="1:176" s="1" customFormat="1" ht="13" hidden="1" customHeight="1" outlineLevel="1" x14ac:dyDescent="0.2">
      <c r="A280" s="4"/>
      <c r="B280" s="115" t="str">
        <f>IF(_xlfn.XLOOKUP(A280, AutoFill_names!B:B, AutoFill_names!C:C,"")=0,"",_xlfn.XLOOKUP(A280, AutoFill_names!B:B, AutoFill_names!C:C,""))</f>
        <v/>
      </c>
      <c r="C280" s="115" t="str">
        <f>IF(_xlfn.XLOOKUP(A280, AutoFill_names!B:B, AutoFill_names!D:D,"")=0,"",_xlfn.XLOOKUP(A280, AutoFill_names!B:B, AutoFill_names!D:D,""))</f>
        <v/>
      </c>
      <c r="D280" s="115" t="str">
        <f>IF(_xlfn.XLOOKUP(A280, AutoFill_names!B:B, AutoFill_names!E:E,"")=0,"",_xlfn.XLOOKUP(A280, AutoFill_names!B:B, AutoFill_names!E:E,""))</f>
        <v/>
      </c>
      <c r="E280" s="115" t="str">
        <f>IF(_xlfn.XLOOKUP(A280, AutoFill_names!B:B, AutoFill_names!F:F,"")=0,"",_xlfn.XLOOKUP(A280, AutoFill_names!B:B, AutoFill_names!F:F,""))</f>
        <v/>
      </c>
      <c r="F280" s="92"/>
      <c r="J280" s="115" t="str">
        <f>IF(_xlfn.XLOOKUP(A280, AutoFill_names!B:B, AutoFill_names!K:K,"")=0,"",_xlfn.XLOOKUP(A280, AutoFill_names!B:B, AutoFill_names!K:K,""))</f>
        <v/>
      </c>
      <c r="K280" s="115" t="str">
        <f>IF(_xlfn.XLOOKUP(A280, AutoFill_names!B:B, AutoFill_names!L:L,"")=0,"",_xlfn.XLOOKUP(A280, AutoFill_names!B:B, AutoFill_names!L:L,""))</f>
        <v/>
      </c>
      <c r="L280" s="31"/>
      <c r="M280" s="31"/>
      <c r="N280" s="117" t="str">
        <f>IF(_xlfn.XLOOKUP(L280, AutoFill_classes!A:A, AutoFill_classes!B:B,"")=0,"",_xlfn.XLOOKUP(L280, AutoFill_classes!A:A, AutoFill_classes!B:B,""))</f>
        <v/>
      </c>
      <c r="O280" s="108"/>
      <c r="P280" s="6"/>
      <c r="Q280" s="6"/>
      <c r="R280" s="6"/>
      <c r="X280" s="62"/>
      <c r="Y280" s="18"/>
      <c r="Z280" s="121" t="str">
        <f t="shared" si="243"/>
        <v/>
      </c>
      <c r="AA280" s="20"/>
      <c r="AB280" s="20"/>
      <c r="AC280" s="20"/>
      <c r="AD280" s="20"/>
      <c r="AE280" s="125" t="str">
        <f t="shared" si="244"/>
        <v/>
      </c>
      <c r="AF280" s="14"/>
      <c r="AG280" s="125" t="str">
        <f t="shared" si="245"/>
        <v/>
      </c>
      <c r="AH280" s="20"/>
      <c r="AI280" s="20"/>
      <c r="AJ280" s="125" t="str">
        <f t="shared" si="246"/>
        <v/>
      </c>
      <c r="AK280" s="14"/>
      <c r="AL280" s="125" t="str">
        <f t="shared" si="247"/>
        <v/>
      </c>
      <c r="AM280" s="20"/>
      <c r="AN280" s="20"/>
      <c r="AO280" s="125" t="str">
        <f t="shared" si="248"/>
        <v/>
      </c>
      <c r="AP280" s="125" t="str">
        <f t="shared" si="249"/>
        <v/>
      </c>
      <c r="AQ280" s="125" t="str">
        <f t="shared" si="250"/>
        <v/>
      </c>
      <c r="AR280" s="129" t="str">
        <f t="shared" si="251"/>
        <v/>
      </c>
      <c r="AS280" s="14"/>
      <c r="AT280" s="13"/>
      <c r="AU280" s="13"/>
      <c r="AV280" s="117" t="str">
        <f>IF(_xlfn.XLOOKUP(AT280, AutoFill_classes!$A:$A, AutoFill_classes!$B:$B,"")=0,"",_xlfn.XLOOKUP(AT280, AutoFill_classes!$A:$A, AutoFill_classes!$B:$B,""))</f>
        <v/>
      </c>
      <c r="AW280" s="108"/>
      <c r="AX280" s="13"/>
      <c r="AY280" s="13"/>
      <c r="AZ280" s="13"/>
      <c r="BA280" s="13"/>
      <c r="BB280" s="13"/>
      <c r="BC280" s="62"/>
      <c r="BD280" s="18"/>
      <c r="BE280" s="121" t="str">
        <f t="shared" si="252"/>
        <v/>
      </c>
      <c r="BF280" s="20"/>
      <c r="BG280" s="20"/>
      <c r="BH280" s="20"/>
      <c r="BI280" s="20"/>
      <c r="BJ280" s="125" t="str">
        <f t="shared" si="253"/>
        <v/>
      </c>
      <c r="BK280" s="14"/>
      <c r="BL280" s="125" t="str">
        <f t="shared" si="254"/>
        <v/>
      </c>
      <c r="BM280" s="20"/>
      <c r="BN280" s="20"/>
      <c r="BO280" s="125" t="str">
        <f t="shared" si="255"/>
        <v/>
      </c>
      <c r="BP280" s="14"/>
      <c r="BQ280" s="125" t="str">
        <f t="shared" si="256"/>
        <v/>
      </c>
      <c r="BR280" s="20"/>
      <c r="BS280" s="20"/>
      <c r="BT280" s="125" t="str">
        <f t="shared" si="257"/>
        <v/>
      </c>
      <c r="BU280" s="125" t="str">
        <f t="shared" si="258"/>
        <v/>
      </c>
      <c r="BV280" s="125" t="str">
        <f t="shared" si="259"/>
        <v/>
      </c>
      <c r="BW280" s="129" t="str">
        <f t="shared" si="260"/>
        <v/>
      </c>
      <c r="BX280" s="13"/>
      <c r="BY280" s="15"/>
      <c r="BZ280" s="14"/>
      <c r="CA280" s="117" t="str">
        <f>IF(_xlfn.XLOOKUP(BY280, AutoFill_classes!$A:$A, AutoFill_classes!$B:$B,"")=0,"",_xlfn.XLOOKUP(BY280, AutoFill_classes!$A:$A, AutoFill_classes!$B:$B,""))</f>
        <v/>
      </c>
      <c r="CB280" s="108"/>
      <c r="CC280" s="14"/>
      <c r="CD280" s="14"/>
      <c r="CE280" s="14"/>
      <c r="CF280" s="21"/>
      <c r="CG280" s="22"/>
      <c r="CH280" s="62"/>
      <c r="CI280" s="23"/>
      <c r="CJ280" s="121" t="str">
        <f t="shared" si="261"/>
        <v/>
      </c>
      <c r="CK280" s="20"/>
      <c r="CL280" s="20"/>
      <c r="CM280" s="20"/>
      <c r="CN280" s="20"/>
      <c r="CO280" s="125" t="str">
        <f t="shared" si="262"/>
        <v/>
      </c>
      <c r="CP280" s="14"/>
      <c r="CQ280" s="125" t="str">
        <f t="shared" si="263"/>
        <v/>
      </c>
      <c r="CR280" s="20"/>
      <c r="CS280" s="20"/>
      <c r="CT280" s="125" t="str">
        <f t="shared" si="264"/>
        <v/>
      </c>
      <c r="CU280" s="14"/>
      <c r="CV280" s="125" t="str">
        <f t="shared" si="265"/>
        <v/>
      </c>
      <c r="CW280" s="20"/>
      <c r="CX280" s="20"/>
      <c r="CY280" s="125" t="str">
        <f t="shared" si="266"/>
        <v/>
      </c>
      <c r="CZ280" s="125" t="str">
        <f t="shared" si="267"/>
        <v/>
      </c>
      <c r="DA280" s="125" t="str">
        <f t="shared" si="268"/>
        <v/>
      </c>
      <c r="DB280" s="129" t="str">
        <f t="shared" si="269"/>
        <v/>
      </c>
      <c r="DC280" s="14"/>
      <c r="DD280" s="62"/>
      <c r="DE280" s="105">
        <v>278</v>
      </c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</row>
    <row r="281" spans="1:176" s="1" customFormat="1" ht="13" hidden="1" customHeight="1" outlineLevel="1" x14ac:dyDescent="0.2">
      <c r="A281" s="4"/>
      <c r="B281" s="115" t="str">
        <f>IF(_xlfn.XLOOKUP(A281, AutoFill_names!B:B, AutoFill_names!C:C,"")=0,"",_xlfn.XLOOKUP(A281, AutoFill_names!B:B, AutoFill_names!C:C,""))</f>
        <v/>
      </c>
      <c r="C281" s="115" t="str">
        <f>IF(_xlfn.XLOOKUP(A281, AutoFill_names!B:B, AutoFill_names!D:D,"")=0,"",_xlfn.XLOOKUP(A281, AutoFill_names!B:B, AutoFill_names!D:D,""))</f>
        <v/>
      </c>
      <c r="D281" s="115" t="str">
        <f>IF(_xlfn.XLOOKUP(A281, AutoFill_names!B:B, AutoFill_names!E:E,"")=0,"",_xlfn.XLOOKUP(A281, AutoFill_names!B:B, AutoFill_names!E:E,""))</f>
        <v/>
      </c>
      <c r="E281" s="115" t="str">
        <f>IF(_xlfn.XLOOKUP(A281, AutoFill_names!B:B, AutoFill_names!F:F,"")=0,"",_xlfn.XLOOKUP(A281, AutoFill_names!B:B, AutoFill_names!F:F,""))</f>
        <v/>
      </c>
      <c r="F281" s="92"/>
      <c r="J281" s="115" t="str">
        <f>IF(_xlfn.XLOOKUP(A281, AutoFill_names!B:B, AutoFill_names!K:K,"")=0,"",_xlfn.XLOOKUP(A281, AutoFill_names!B:B, AutoFill_names!K:K,""))</f>
        <v/>
      </c>
      <c r="K281" s="115" t="str">
        <f>IF(_xlfn.XLOOKUP(A281, AutoFill_names!B:B, AutoFill_names!L:L,"")=0,"",_xlfn.XLOOKUP(A281, AutoFill_names!B:B, AutoFill_names!L:L,""))</f>
        <v/>
      </c>
      <c r="L281" s="31"/>
      <c r="M281" s="31"/>
      <c r="N281" s="117" t="str">
        <f>IF(_xlfn.XLOOKUP(L281, AutoFill_classes!A:A, AutoFill_classes!B:B,"")=0,"",_xlfn.XLOOKUP(L281, AutoFill_classes!A:A, AutoFill_classes!B:B,""))</f>
        <v/>
      </c>
      <c r="O281" s="108"/>
      <c r="P281" s="6"/>
      <c r="Q281" s="6"/>
      <c r="R281" s="6"/>
      <c r="X281" s="62"/>
      <c r="Y281" s="18"/>
      <c r="Z281" s="121" t="str">
        <f t="shared" si="243"/>
        <v/>
      </c>
      <c r="AA281" s="20"/>
      <c r="AB281" s="20"/>
      <c r="AC281" s="20"/>
      <c r="AD281" s="20"/>
      <c r="AE281" s="125" t="str">
        <f t="shared" si="244"/>
        <v/>
      </c>
      <c r="AF281" s="14"/>
      <c r="AG281" s="125" t="str">
        <f t="shared" si="245"/>
        <v/>
      </c>
      <c r="AH281" s="20"/>
      <c r="AI281" s="20"/>
      <c r="AJ281" s="125" t="str">
        <f t="shared" si="246"/>
        <v/>
      </c>
      <c r="AK281" s="14"/>
      <c r="AL281" s="125" t="str">
        <f t="shared" si="247"/>
        <v/>
      </c>
      <c r="AM281" s="20"/>
      <c r="AN281" s="20"/>
      <c r="AO281" s="125" t="str">
        <f t="shared" si="248"/>
        <v/>
      </c>
      <c r="AP281" s="125" t="str">
        <f t="shared" si="249"/>
        <v/>
      </c>
      <c r="AQ281" s="125" t="str">
        <f t="shared" si="250"/>
        <v/>
      </c>
      <c r="AR281" s="129" t="str">
        <f t="shared" si="251"/>
        <v/>
      </c>
      <c r="AS281" s="14"/>
      <c r="AT281" s="13"/>
      <c r="AU281" s="13"/>
      <c r="AV281" s="117" t="str">
        <f>IF(_xlfn.XLOOKUP(AT281, AutoFill_classes!$A:$A, AutoFill_classes!$B:$B,"")=0,"",_xlfn.XLOOKUP(AT281, AutoFill_classes!$A:$A, AutoFill_classes!$B:$B,""))</f>
        <v/>
      </c>
      <c r="AW281" s="108"/>
      <c r="AX281" s="13"/>
      <c r="AY281" s="13"/>
      <c r="AZ281" s="13"/>
      <c r="BA281" s="13"/>
      <c r="BB281" s="13"/>
      <c r="BC281" s="62"/>
      <c r="BD281" s="18"/>
      <c r="BE281" s="121" t="str">
        <f t="shared" si="252"/>
        <v/>
      </c>
      <c r="BF281" s="20"/>
      <c r="BG281" s="20"/>
      <c r="BH281" s="20"/>
      <c r="BI281" s="20"/>
      <c r="BJ281" s="125" t="str">
        <f t="shared" si="253"/>
        <v/>
      </c>
      <c r="BK281" s="14"/>
      <c r="BL281" s="125" t="str">
        <f t="shared" si="254"/>
        <v/>
      </c>
      <c r="BM281" s="20"/>
      <c r="BN281" s="20"/>
      <c r="BO281" s="125" t="str">
        <f t="shared" si="255"/>
        <v/>
      </c>
      <c r="BP281" s="14"/>
      <c r="BQ281" s="125" t="str">
        <f t="shared" si="256"/>
        <v/>
      </c>
      <c r="BR281" s="20"/>
      <c r="BS281" s="20"/>
      <c r="BT281" s="125" t="str">
        <f t="shared" si="257"/>
        <v/>
      </c>
      <c r="BU281" s="125" t="str">
        <f t="shared" si="258"/>
        <v/>
      </c>
      <c r="BV281" s="125" t="str">
        <f t="shared" si="259"/>
        <v/>
      </c>
      <c r="BW281" s="129" t="str">
        <f t="shared" si="260"/>
        <v/>
      </c>
      <c r="BX281" s="13"/>
      <c r="BY281" s="15"/>
      <c r="BZ281" s="14"/>
      <c r="CA281" s="117" t="str">
        <f>IF(_xlfn.XLOOKUP(BY281, AutoFill_classes!$A:$A, AutoFill_classes!$B:$B,"")=0,"",_xlfn.XLOOKUP(BY281, AutoFill_classes!$A:$A, AutoFill_classes!$B:$B,""))</f>
        <v/>
      </c>
      <c r="CB281" s="108"/>
      <c r="CC281" s="14"/>
      <c r="CD281" s="14"/>
      <c r="CE281" s="14"/>
      <c r="CF281" s="21"/>
      <c r="CG281" s="22"/>
      <c r="CH281" s="62"/>
      <c r="CI281" s="23"/>
      <c r="CJ281" s="121" t="str">
        <f t="shared" si="261"/>
        <v/>
      </c>
      <c r="CK281" s="20"/>
      <c r="CL281" s="20"/>
      <c r="CM281" s="20"/>
      <c r="CN281" s="20"/>
      <c r="CO281" s="125" t="str">
        <f t="shared" si="262"/>
        <v/>
      </c>
      <c r="CP281" s="14"/>
      <c r="CQ281" s="125" t="str">
        <f t="shared" si="263"/>
        <v/>
      </c>
      <c r="CR281" s="20"/>
      <c r="CS281" s="20"/>
      <c r="CT281" s="125" t="str">
        <f t="shared" si="264"/>
        <v/>
      </c>
      <c r="CU281" s="14"/>
      <c r="CV281" s="125" t="str">
        <f t="shared" si="265"/>
        <v/>
      </c>
      <c r="CW281" s="20"/>
      <c r="CX281" s="20"/>
      <c r="CY281" s="125" t="str">
        <f t="shared" si="266"/>
        <v/>
      </c>
      <c r="CZ281" s="125" t="str">
        <f t="shared" si="267"/>
        <v/>
      </c>
      <c r="DA281" s="125" t="str">
        <f t="shared" si="268"/>
        <v/>
      </c>
      <c r="DB281" s="129" t="str">
        <f t="shared" si="269"/>
        <v/>
      </c>
      <c r="DC281" s="14"/>
      <c r="DD281" s="62"/>
      <c r="DE281" s="105">
        <v>279</v>
      </c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</row>
    <row r="282" spans="1:176" s="1" customFormat="1" ht="13" hidden="1" customHeight="1" outlineLevel="1" x14ac:dyDescent="0.2">
      <c r="A282" s="4"/>
      <c r="B282" s="115" t="str">
        <f>IF(_xlfn.XLOOKUP(A282, AutoFill_names!B:B, AutoFill_names!C:C,"")=0,"",_xlfn.XLOOKUP(A282, AutoFill_names!B:B, AutoFill_names!C:C,""))</f>
        <v/>
      </c>
      <c r="C282" s="115" t="str">
        <f>IF(_xlfn.XLOOKUP(A282, AutoFill_names!B:B, AutoFill_names!D:D,"")=0,"",_xlfn.XLOOKUP(A282, AutoFill_names!B:B, AutoFill_names!D:D,""))</f>
        <v/>
      </c>
      <c r="D282" s="115" t="str">
        <f>IF(_xlfn.XLOOKUP(A282, AutoFill_names!B:B, AutoFill_names!E:E,"")=0,"",_xlfn.XLOOKUP(A282, AutoFill_names!B:B, AutoFill_names!E:E,""))</f>
        <v/>
      </c>
      <c r="E282" s="115" t="str">
        <f>IF(_xlfn.XLOOKUP(A282, AutoFill_names!B:B, AutoFill_names!F:F,"")=0,"",_xlfn.XLOOKUP(A282, AutoFill_names!B:B, AutoFill_names!F:F,""))</f>
        <v/>
      </c>
      <c r="F282" s="92"/>
      <c r="J282" s="115" t="str">
        <f>IF(_xlfn.XLOOKUP(A282, AutoFill_names!B:B, AutoFill_names!K:K,"")=0,"",_xlfn.XLOOKUP(A282, AutoFill_names!B:B, AutoFill_names!K:K,""))</f>
        <v/>
      </c>
      <c r="K282" s="115" t="str">
        <f>IF(_xlfn.XLOOKUP(A282, AutoFill_names!B:B, AutoFill_names!L:L,"")=0,"",_xlfn.XLOOKUP(A282, AutoFill_names!B:B, AutoFill_names!L:L,""))</f>
        <v/>
      </c>
      <c r="L282" s="31"/>
      <c r="M282" s="31"/>
      <c r="N282" s="117" t="str">
        <f>IF(_xlfn.XLOOKUP(L282, AutoFill_classes!A:A, AutoFill_classes!B:B,"")=0,"",_xlfn.XLOOKUP(L282, AutoFill_classes!A:A, AutoFill_classes!B:B,""))</f>
        <v/>
      </c>
      <c r="O282" s="108"/>
      <c r="P282" s="6"/>
      <c r="Q282" s="6"/>
      <c r="R282" s="6"/>
      <c r="X282" s="62"/>
      <c r="Y282" s="18"/>
      <c r="Z282" s="121" t="str">
        <f t="shared" si="243"/>
        <v/>
      </c>
      <c r="AA282" s="20"/>
      <c r="AB282" s="20"/>
      <c r="AC282" s="20"/>
      <c r="AD282" s="20"/>
      <c r="AE282" s="125" t="str">
        <f t="shared" si="244"/>
        <v/>
      </c>
      <c r="AF282" s="14"/>
      <c r="AG282" s="125" t="str">
        <f t="shared" si="245"/>
        <v/>
      </c>
      <c r="AH282" s="20"/>
      <c r="AI282" s="20"/>
      <c r="AJ282" s="125" t="str">
        <f t="shared" si="246"/>
        <v/>
      </c>
      <c r="AK282" s="14"/>
      <c r="AL282" s="125" t="str">
        <f t="shared" si="247"/>
        <v/>
      </c>
      <c r="AM282" s="20"/>
      <c r="AN282" s="20"/>
      <c r="AO282" s="125" t="str">
        <f t="shared" si="248"/>
        <v/>
      </c>
      <c r="AP282" s="125" t="str">
        <f t="shared" si="249"/>
        <v/>
      </c>
      <c r="AQ282" s="125" t="str">
        <f t="shared" si="250"/>
        <v/>
      </c>
      <c r="AR282" s="129" t="str">
        <f t="shared" si="251"/>
        <v/>
      </c>
      <c r="AS282" s="14"/>
      <c r="AT282" s="13"/>
      <c r="AU282" s="13"/>
      <c r="AV282" s="117" t="str">
        <f>IF(_xlfn.XLOOKUP(AT282, AutoFill_classes!$A:$A, AutoFill_classes!$B:$B,"")=0,"",_xlfn.XLOOKUP(AT282, AutoFill_classes!$A:$A, AutoFill_classes!$B:$B,""))</f>
        <v/>
      </c>
      <c r="AW282" s="108"/>
      <c r="AX282" s="13"/>
      <c r="AY282" s="13"/>
      <c r="AZ282" s="13"/>
      <c r="BA282" s="13"/>
      <c r="BB282" s="13"/>
      <c r="BC282" s="62"/>
      <c r="BD282" s="18"/>
      <c r="BE282" s="121" t="str">
        <f t="shared" si="252"/>
        <v/>
      </c>
      <c r="BF282" s="20"/>
      <c r="BG282" s="20"/>
      <c r="BH282" s="20"/>
      <c r="BI282" s="20"/>
      <c r="BJ282" s="125" t="str">
        <f t="shared" si="253"/>
        <v/>
      </c>
      <c r="BK282" s="14"/>
      <c r="BL282" s="125" t="str">
        <f t="shared" si="254"/>
        <v/>
      </c>
      <c r="BM282" s="20"/>
      <c r="BN282" s="20"/>
      <c r="BO282" s="125" t="str">
        <f t="shared" si="255"/>
        <v/>
      </c>
      <c r="BP282" s="14"/>
      <c r="BQ282" s="125" t="str">
        <f t="shared" si="256"/>
        <v/>
      </c>
      <c r="BR282" s="20"/>
      <c r="BS282" s="20"/>
      <c r="BT282" s="125" t="str">
        <f t="shared" si="257"/>
        <v/>
      </c>
      <c r="BU282" s="125" t="str">
        <f t="shared" si="258"/>
        <v/>
      </c>
      <c r="BV282" s="125" t="str">
        <f t="shared" si="259"/>
        <v/>
      </c>
      <c r="BW282" s="129" t="str">
        <f t="shared" si="260"/>
        <v/>
      </c>
      <c r="BX282" s="13"/>
      <c r="BY282" s="15"/>
      <c r="BZ282" s="14"/>
      <c r="CA282" s="117" t="str">
        <f>IF(_xlfn.XLOOKUP(BY282, AutoFill_classes!$A:$A, AutoFill_classes!$B:$B,"")=0,"",_xlfn.XLOOKUP(BY282, AutoFill_classes!$A:$A, AutoFill_classes!$B:$B,""))</f>
        <v/>
      </c>
      <c r="CB282" s="108"/>
      <c r="CC282" s="14"/>
      <c r="CD282" s="14"/>
      <c r="CE282" s="14"/>
      <c r="CF282" s="21"/>
      <c r="CG282" s="22"/>
      <c r="CH282" s="62"/>
      <c r="CI282" s="23"/>
      <c r="CJ282" s="121" t="str">
        <f t="shared" si="261"/>
        <v/>
      </c>
      <c r="CK282" s="20"/>
      <c r="CL282" s="20"/>
      <c r="CM282" s="20"/>
      <c r="CN282" s="20"/>
      <c r="CO282" s="125" t="str">
        <f t="shared" si="262"/>
        <v/>
      </c>
      <c r="CP282" s="14"/>
      <c r="CQ282" s="125" t="str">
        <f t="shared" si="263"/>
        <v/>
      </c>
      <c r="CR282" s="20"/>
      <c r="CS282" s="20"/>
      <c r="CT282" s="125" t="str">
        <f t="shared" si="264"/>
        <v/>
      </c>
      <c r="CU282" s="14"/>
      <c r="CV282" s="125" t="str">
        <f t="shared" si="265"/>
        <v/>
      </c>
      <c r="CW282" s="20"/>
      <c r="CX282" s="20"/>
      <c r="CY282" s="125" t="str">
        <f t="shared" si="266"/>
        <v/>
      </c>
      <c r="CZ282" s="125" t="str">
        <f t="shared" si="267"/>
        <v/>
      </c>
      <c r="DA282" s="125" t="str">
        <f t="shared" si="268"/>
        <v/>
      </c>
      <c r="DB282" s="129" t="str">
        <f t="shared" si="269"/>
        <v/>
      </c>
      <c r="DC282" s="14"/>
      <c r="DD282" s="62"/>
      <c r="DE282" s="105">
        <v>280</v>
      </c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</row>
    <row r="283" spans="1:176" s="1" customFormat="1" ht="13" hidden="1" customHeight="1" outlineLevel="1" x14ac:dyDescent="0.2">
      <c r="A283" s="4"/>
      <c r="B283" s="115" t="str">
        <f>IF(_xlfn.XLOOKUP(A283, AutoFill_names!B:B, AutoFill_names!C:C,"")=0,"",_xlfn.XLOOKUP(A283, AutoFill_names!B:B, AutoFill_names!C:C,""))</f>
        <v/>
      </c>
      <c r="C283" s="115" t="str">
        <f>IF(_xlfn.XLOOKUP(A283, AutoFill_names!B:B, AutoFill_names!D:D,"")=0,"",_xlfn.XLOOKUP(A283, AutoFill_names!B:B, AutoFill_names!D:D,""))</f>
        <v/>
      </c>
      <c r="D283" s="115" t="str">
        <f>IF(_xlfn.XLOOKUP(A283, AutoFill_names!B:B, AutoFill_names!E:E,"")=0,"",_xlfn.XLOOKUP(A283, AutoFill_names!B:B, AutoFill_names!E:E,""))</f>
        <v/>
      </c>
      <c r="E283" s="115" t="str">
        <f>IF(_xlfn.XLOOKUP(A283, AutoFill_names!B:B, AutoFill_names!F:F,"")=0,"",_xlfn.XLOOKUP(A283, AutoFill_names!B:B, AutoFill_names!F:F,""))</f>
        <v/>
      </c>
      <c r="F283" s="92"/>
      <c r="J283" s="115" t="str">
        <f>IF(_xlfn.XLOOKUP(A283, AutoFill_names!B:B, AutoFill_names!K:K,"")=0,"",_xlfn.XLOOKUP(A283, AutoFill_names!B:B, AutoFill_names!K:K,""))</f>
        <v/>
      </c>
      <c r="K283" s="115" t="str">
        <f>IF(_xlfn.XLOOKUP(A283, AutoFill_names!B:B, AutoFill_names!L:L,"")=0,"",_xlfn.XLOOKUP(A283, AutoFill_names!B:B, AutoFill_names!L:L,""))</f>
        <v/>
      </c>
      <c r="L283" s="31"/>
      <c r="M283" s="31"/>
      <c r="N283" s="117" t="str">
        <f>IF(_xlfn.XLOOKUP(L283, AutoFill_classes!A:A, AutoFill_classes!B:B,"")=0,"",_xlfn.XLOOKUP(L283, AutoFill_classes!A:A, AutoFill_classes!B:B,""))</f>
        <v/>
      </c>
      <c r="O283" s="108"/>
      <c r="P283" s="6"/>
      <c r="Q283" s="6"/>
      <c r="R283" s="6"/>
      <c r="X283" s="62"/>
      <c r="Y283" s="18"/>
      <c r="Z283" s="121" t="str">
        <f t="shared" si="243"/>
        <v/>
      </c>
      <c r="AA283" s="20"/>
      <c r="AB283" s="20"/>
      <c r="AC283" s="20"/>
      <c r="AD283" s="20"/>
      <c r="AE283" s="125" t="str">
        <f t="shared" si="244"/>
        <v/>
      </c>
      <c r="AF283" s="14"/>
      <c r="AG283" s="125" t="str">
        <f t="shared" si="245"/>
        <v/>
      </c>
      <c r="AH283" s="20"/>
      <c r="AI283" s="20"/>
      <c r="AJ283" s="125" t="str">
        <f t="shared" si="246"/>
        <v/>
      </c>
      <c r="AK283" s="14"/>
      <c r="AL283" s="125" t="str">
        <f t="shared" si="247"/>
        <v/>
      </c>
      <c r="AM283" s="20"/>
      <c r="AN283" s="20"/>
      <c r="AO283" s="125" t="str">
        <f t="shared" si="248"/>
        <v/>
      </c>
      <c r="AP283" s="125" t="str">
        <f t="shared" si="249"/>
        <v/>
      </c>
      <c r="AQ283" s="125" t="str">
        <f t="shared" si="250"/>
        <v/>
      </c>
      <c r="AR283" s="129" t="str">
        <f t="shared" si="251"/>
        <v/>
      </c>
      <c r="AS283" s="14"/>
      <c r="AT283" s="13"/>
      <c r="AU283" s="13"/>
      <c r="AV283" s="117" t="str">
        <f>IF(_xlfn.XLOOKUP(AT283, AutoFill_classes!$A:$A, AutoFill_classes!$B:$B,"")=0,"",_xlfn.XLOOKUP(AT283, AutoFill_classes!$A:$A, AutoFill_classes!$B:$B,""))</f>
        <v/>
      </c>
      <c r="AW283" s="108"/>
      <c r="AX283" s="13"/>
      <c r="AY283" s="13"/>
      <c r="AZ283" s="13"/>
      <c r="BA283" s="13"/>
      <c r="BB283" s="13"/>
      <c r="BC283" s="62"/>
      <c r="BD283" s="18"/>
      <c r="BE283" s="121" t="str">
        <f t="shared" si="252"/>
        <v/>
      </c>
      <c r="BF283" s="20"/>
      <c r="BG283" s="20"/>
      <c r="BH283" s="20"/>
      <c r="BI283" s="20"/>
      <c r="BJ283" s="125" t="str">
        <f t="shared" si="253"/>
        <v/>
      </c>
      <c r="BK283" s="14"/>
      <c r="BL283" s="125" t="str">
        <f t="shared" si="254"/>
        <v/>
      </c>
      <c r="BM283" s="20"/>
      <c r="BN283" s="20"/>
      <c r="BO283" s="125" t="str">
        <f t="shared" si="255"/>
        <v/>
      </c>
      <c r="BP283" s="14"/>
      <c r="BQ283" s="125" t="str">
        <f t="shared" si="256"/>
        <v/>
      </c>
      <c r="BR283" s="20"/>
      <c r="BS283" s="20"/>
      <c r="BT283" s="125" t="str">
        <f t="shared" si="257"/>
        <v/>
      </c>
      <c r="BU283" s="125" t="str">
        <f t="shared" si="258"/>
        <v/>
      </c>
      <c r="BV283" s="125" t="str">
        <f t="shared" si="259"/>
        <v/>
      </c>
      <c r="BW283" s="129" t="str">
        <f t="shared" si="260"/>
        <v/>
      </c>
      <c r="BX283" s="13"/>
      <c r="BY283" s="15"/>
      <c r="BZ283" s="14"/>
      <c r="CA283" s="117" t="str">
        <f>IF(_xlfn.XLOOKUP(BY283, AutoFill_classes!$A:$A, AutoFill_classes!$B:$B,"")=0,"",_xlfn.XLOOKUP(BY283, AutoFill_classes!$A:$A, AutoFill_classes!$B:$B,""))</f>
        <v/>
      </c>
      <c r="CB283" s="108"/>
      <c r="CC283" s="14"/>
      <c r="CD283" s="14"/>
      <c r="CE283" s="14"/>
      <c r="CF283" s="21"/>
      <c r="CG283" s="22"/>
      <c r="CH283" s="62"/>
      <c r="CI283" s="23"/>
      <c r="CJ283" s="121" t="str">
        <f t="shared" si="261"/>
        <v/>
      </c>
      <c r="CK283" s="20"/>
      <c r="CL283" s="20"/>
      <c r="CM283" s="20"/>
      <c r="CN283" s="20"/>
      <c r="CO283" s="125" t="str">
        <f t="shared" si="262"/>
        <v/>
      </c>
      <c r="CP283" s="14"/>
      <c r="CQ283" s="125" t="str">
        <f t="shared" si="263"/>
        <v/>
      </c>
      <c r="CR283" s="20"/>
      <c r="CS283" s="20"/>
      <c r="CT283" s="125" t="str">
        <f t="shared" si="264"/>
        <v/>
      </c>
      <c r="CU283" s="14"/>
      <c r="CV283" s="125" t="str">
        <f t="shared" si="265"/>
        <v/>
      </c>
      <c r="CW283" s="20"/>
      <c r="CX283" s="20"/>
      <c r="CY283" s="125" t="str">
        <f t="shared" si="266"/>
        <v/>
      </c>
      <c r="CZ283" s="125" t="str">
        <f t="shared" si="267"/>
        <v/>
      </c>
      <c r="DA283" s="125" t="str">
        <f t="shared" si="268"/>
        <v/>
      </c>
      <c r="DB283" s="129" t="str">
        <f t="shared" si="269"/>
        <v/>
      </c>
      <c r="DC283" s="14"/>
      <c r="DD283" s="62"/>
      <c r="DE283" s="105">
        <v>281</v>
      </c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</row>
    <row r="284" spans="1:176" s="1" customFormat="1" ht="13" hidden="1" customHeight="1" outlineLevel="1" x14ac:dyDescent="0.2">
      <c r="A284" s="4"/>
      <c r="B284" s="115" t="str">
        <f>IF(_xlfn.XLOOKUP(A284, AutoFill_names!B:B, AutoFill_names!C:C,"")=0,"",_xlfn.XLOOKUP(A284, AutoFill_names!B:B, AutoFill_names!C:C,""))</f>
        <v/>
      </c>
      <c r="C284" s="115" t="str">
        <f>IF(_xlfn.XLOOKUP(A284, AutoFill_names!B:B, AutoFill_names!D:D,"")=0,"",_xlfn.XLOOKUP(A284, AutoFill_names!B:B, AutoFill_names!D:D,""))</f>
        <v/>
      </c>
      <c r="D284" s="115" t="str">
        <f>IF(_xlfn.XLOOKUP(A284, AutoFill_names!B:B, AutoFill_names!E:E,"")=0,"",_xlfn.XLOOKUP(A284, AutoFill_names!B:B, AutoFill_names!E:E,""))</f>
        <v/>
      </c>
      <c r="E284" s="115" t="str">
        <f>IF(_xlfn.XLOOKUP(A284, AutoFill_names!B:B, AutoFill_names!F:F,"")=0,"",_xlfn.XLOOKUP(A284, AutoFill_names!B:B, AutoFill_names!F:F,""))</f>
        <v/>
      </c>
      <c r="F284" s="92"/>
      <c r="J284" s="115" t="str">
        <f>IF(_xlfn.XLOOKUP(A284, AutoFill_names!B:B, AutoFill_names!K:K,"")=0,"",_xlfn.XLOOKUP(A284, AutoFill_names!B:B, AutoFill_names!K:K,""))</f>
        <v/>
      </c>
      <c r="K284" s="115" t="str">
        <f>IF(_xlfn.XLOOKUP(A284, AutoFill_names!B:B, AutoFill_names!L:L,"")=0,"",_xlfn.XLOOKUP(A284, AutoFill_names!B:B, AutoFill_names!L:L,""))</f>
        <v/>
      </c>
      <c r="L284" s="31"/>
      <c r="M284" s="31"/>
      <c r="N284" s="117" t="str">
        <f>IF(_xlfn.XLOOKUP(L284, AutoFill_classes!A:A, AutoFill_classes!B:B,"")=0,"",_xlfn.XLOOKUP(L284, AutoFill_classes!A:A, AutoFill_classes!B:B,""))</f>
        <v/>
      </c>
      <c r="O284" s="108"/>
      <c r="P284" s="6"/>
      <c r="Q284" s="6"/>
      <c r="R284" s="6"/>
      <c r="X284" s="62"/>
      <c r="Y284" s="18"/>
      <c r="Z284" s="121" t="str">
        <f t="shared" si="243"/>
        <v/>
      </c>
      <c r="AA284" s="20"/>
      <c r="AB284" s="20"/>
      <c r="AC284" s="20"/>
      <c r="AD284" s="20"/>
      <c r="AE284" s="125" t="str">
        <f t="shared" si="244"/>
        <v/>
      </c>
      <c r="AF284" s="14"/>
      <c r="AG284" s="125" t="str">
        <f t="shared" si="245"/>
        <v/>
      </c>
      <c r="AH284" s="20"/>
      <c r="AI284" s="20"/>
      <c r="AJ284" s="125" t="str">
        <f t="shared" si="246"/>
        <v/>
      </c>
      <c r="AK284" s="14"/>
      <c r="AL284" s="125" t="str">
        <f t="shared" si="247"/>
        <v/>
      </c>
      <c r="AM284" s="20"/>
      <c r="AN284" s="20"/>
      <c r="AO284" s="125" t="str">
        <f t="shared" si="248"/>
        <v/>
      </c>
      <c r="AP284" s="125" t="str">
        <f t="shared" si="249"/>
        <v/>
      </c>
      <c r="AQ284" s="125" t="str">
        <f t="shared" si="250"/>
        <v/>
      </c>
      <c r="AR284" s="129" t="str">
        <f t="shared" si="251"/>
        <v/>
      </c>
      <c r="AS284" s="14"/>
      <c r="AT284" s="13"/>
      <c r="AU284" s="13"/>
      <c r="AV284" s="117" t="str">
        <f>IF(_xlfn.XLOOKUP(AT284, AutoFill_classes!$A:$A, AutoFill_classes!$B:$B,"")=0,"",_xlfn.XLOOKUP(AT284, AutoFill_classes!$A:$A, AutoFill_classes!$B:$B,""))</f>
        <v/>
      </c>
      <c r="AW284" s="108"/>
      <c r="AX284" s="13"/>
      <c r="AY284" s="13"/>
      <c r="AZ284" s="13"/>
      <c r="BA284" s="13"/>
      <c r="BB284" s="13"/>
      <c r="BC284" s="62"/>
      <c r="BD284" s="18"/>
      <c r="BE284" s="121" t="str">
        <f t="shared" si="252"/>
        <v/>
      </c>
      <c r="BF284" s="20"/>
      <c r="BG284" s="20"/>
      <c r="BH284" s="20"/>
      <c r="BI284" s="20"/>
      <c r="BJ284" s="125" t="str">
        <f t="shared" si="253"/>
        <v/>
      </c>
      <c r="BK284" s="14"/>
      <c r="BL284" s="125" t="str">
        <f t="shared" si="254"/>
        <v/>
      </c>
      <c r="BM284" s="20"/>
      <c r="BN284" s="20"/>
      <c r="BO284" s="125" t="str">
        <f t="shared" si="255"/>
        <v/>
      </c>
      <c r="BP284" s="14"/>
      <c r="BQ284" s="125" t="str">
        <f t="shared" si="256"/>
        <v/>
      </c>
      <c r="BR284" s="20"/>
      <c r="BS284" s="20"/>
      <c r="BT284" s="125" t="str">
        <f t="shared" si="257"/>
        <v/>
      </c>
      <c r="BU284" s="125" t="str">
        <f t="shared" si="258"/>
        <v/>
      </c>
      <c r="BV284" s="125" t="str">
        <f t="shared" si="259"/>
        <v/>
      </c>
      <c r="BW284" s="129" t="str">
        <f t="shared" si="260"/>
        <v/>
      </c>
      <c r="BX284" s="13"/>
      <c r="BY284" s="15"/>
      <c r="BZ284" s="14"/>
      <c r="CA284" s="117" t="str">
        <f>IF(_xlfn.XLOOKUP(BY284, AutoFill_classes!$A:$A, AutoFill_classes!$B:$B,"")=0,"",_xlfn.XLOOKUP(BY284, AutoFill_classes!$A:$A, AutoFill_classes!$B:$B,""))</f>
        <v/>
      </c>
      <c r="CB284" s="108"/>
      <c r="CC284" s="14"/>
      <c r="CD284" s="14"/>
      <c r="CE284" s="14"/>
      <c r="CF284" s="21"/>
      <c r="CG284" s="22"/>
      <c r="CH284" s="62"/>
      <c r="CI284" s="23"/>
      <c r="CJ284" s="121" t="str">
        <f t="shared" si="261"/>
        <v/>
      </c>
      <c r="CK284" s="20"/>
      <c r="CL284" s="20"/>
      <c r="CM284" s="20"/>
      <c r="CN284" s="20"/>
      <c r="CO284" s="125" t="str">
        <f t="shared" si="262"/>
        <v/>
      </c>
      <c r="CP284" s="14"/>
      <c r="CQ284" s="125" t="str">
        <f t="shared" si="263"/>
        <v/>
      </c>
      <c r="CR284" s="20"/>
      <c r="CS284" s="20"/>
      <c r="CT284" s="125" t="str">
        <f t="shared" si="264"/>
        <v/>
      </c>
      <c r="CU284" s="14"/>
      <c r="CV284" s="125" t="str">
        <f t="shared" si="265"/>
        <v/>
      </c>
      <c r="CW284" s="20"/>
      <c r="CX284" s="20"/>
      <c r="CY284" s="125" t="str">
        <f t="shared" si="266"/>
        <v/>
      </c>
      <c r="CZ284" s="125" t="str">
        <f t="shared" si="267"/>
        <v/>
      </c>
      <c r="DA284" s="125" t="str">
        <f t="shared" si="268"/>
        <v/>
      </c>
      <c r="DB284" s="129" t="str">
        <f t="shared" si="269"/>
        <v/>
      </c>
      <c r="DC284" s="14"/>
      <c r="DD284" s="62"/>
      <c r="DE284" s="105">
        <v>282</v>
      </c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</row>
    <row r="285" spans="1:176" s="1" customFormat="1" ht="13" hidden="1" customHeight="1" outlineLevel="1" x14ac:dyDescent="0.2">
      <c r="A285" s="4"/>
      <c r="B285" s="115" t="str">
        <f>IF(_xlfn.XLOOKUP(A285, AutoFill_names!B:B, AutoFill_names!C:C,"")=0,"",_xlfn.XLOOKUP(A285, AutoFill_names!B:B, AutoFill_names!C:C,""))</f>
        <v/>
      </c>
      <c r="C285" s="115" t="str">
        <f>IF(_xlfn.XLOOKUP(A285, AutoFill_names!B:B, AutoFill_names!D:D,"")=0,"",_xlfn.XLOOKUP(A285, AutoFill_names!B:B, AutoFill_names!D:D,""))</f>
        <v/>
      </c>
      <c r="D285" s="115" t="str">
        <f>IF(_xlfn.XLOOKUP(A285, AutoFill_names!B:B, AutoFill_names!E:E,"")=0,"",_xlfn.XLOOKUP(A285, AutoFill_names!B:B, AutoFill_names!E:E,""))</f>
        <v/>
      </c>
      <c r="E285" s="115" t="str">
        <f>IF(_xlfn.XLOOKUP(A285, AutoFill_names!B:B, AutoFill_names!F:F,"")=0,"",_xlfn.XLOOKUP(A285, AutoFill_names!B:B, AutoFill_names!F:F,""))</f>
        <v/>
      </c>
      <c r="F285" s="92"/>
      <c r="J285" s="115" t="str">
        <f>IF(_xlfn.XLOOKUP(A285, AutoFill_names!B:B, AutoFill_names!K:K,"")=0,"",_xlfn.XLOOKUP(A285, AutoFill_names!B:B, AutoFill_names!K:K,""))</f>
        <v/>
      </c>
      <c r="K285" s="115" t="str">
        <f>IF(_xlfn.XLOOKUP(A285, AutoFill_names!B:B, AutoFill_names!L:L,"")=0,"",_xlfn.XLOOKUP(A285, AutoFill_names!B:B, AutoFill_names!L:L,""))</f>
        <v/>
      </c>
      <c r="L285" s="31"/>
      <c r="M285" s="31"/>
      <c r="N285" s="117" t="str">
        <f>IF(_xlfn.XLOOKUP(L285, AutoFill_classes!A:A, AutoFill_classes!B:B,"")=0,"",_xlfn.XLOOKUP(L285, AutoFill_classes!A:A, AutoFill_classes!B:B,""))</f>
        <v/>
      </c>
      <c r="O285" s="108"/>
      <c r="P285" s="6"/>
      <c r="Q285" s="6"/>
      <c r="R285" s="6"/>
      <c r="X285" s="62"/>
      <c r="Y285" s="18"/>
      <c r="Z285" s="121" t="str">
        <f t="shared" si="243"/>
        <v/>
      </c>
      <c r="AA285" s="20"/>
      <c r="AB285" s="20"/>
      <c r="AC285" s="20"/>
      <c r="AD285" s="20"/>
      <c r="AE285" s="125" t="str">
        <f t="shared" si="244"/>
        <v/>
      </c>
      <c r="AF285" s="14"/>
      <c r="AG285" s="125" t="str">
        <f t="shared" si="245"/>
        <v/>
      </c>
      <c r="AH285" s="20"/>
      <c r="AI285" s="20"/>
      <c r="AJ285" s="125" t="str">
        <f t="shared" si="246"/>
        <v/>
      </c>
      <c r="AK285" s="14"/>
      <c r="AL285" s="125" t="str">
        <f t="shared" si="247"/>
        <v/>
      </c>
      <c r="AM285" s="20"/>
      <c r="AN285" s="20"/>
      <c r="AO285" s="125" t="str">
        <f t="shared" si="248"/>
        <v/>
      </c>
      <c r="AP285" s="125" t="str">
        <f t="shared" si="249"/>
        <v/>
      </c>
      <c r="AQ285" s="125" t="str">
        <f t="shared" si="250"/>
        <v/>
      </c>
      <c r="AR285" s="129" t="str">
        <f t="shared" si="251"/>
        <v/>
      </c>
      <c r="AS285" s="14"/>
      <c r="AT285" s="13"/>
      <c r="AU285" s="13"/>
      <c r="AV285" s="117" t="str">
        <f>IF(_xlfn.XLOOKUP(AT285, AutoFill_classes!$A:$A, AutoFill_classes!$B:$B,"")=0,"",_xlfn.XLOOKUP(AT285, AutoFill_classes!$A:$A, AutoFill_classes!$B:$B,""))</f>
        <v/>
      </c>
      <c r="AW285" s="108"/>
      <c r="AX285" s="13"/>
      <c r="AY285" s="13"/>
      <c r="AZ285" s="13"/>
      <c r="BA285" s="13"/>
      <c r="BB285" s="13"/>
      <c r="BC285" s="62"/>
      <c r="BD285" s="18"/>
      <c r="BE285" s="121" t="str">
        <f t="shared" si="252"/>
        <v/>
      </c>
      <c r="BF285" s="20"/>
      <c r="BG285" s="20"/>
      <c r="BH285" s="20"/>
      <c r="BI285" s="20"/>
      <c r="BJ285" s="125" t="str">
        <f t="shared" si="253"/>
        <v/>
      </c>
      <c r="BK285" s="14"/>
      <c r="BL285" s="125" t="str">
        <f t="shared" si="254"/>
        <v/>
      </c>
      <c r="BM285" s="20"/>
      <c r="BN285" s="20"/>
      <c r="BO285" s="125" t="str">
        <f t="shared" si="255"/>
        <v/>
      </c>
      <c r="BP285" s="14"/>
      <c r="BQ285" s="125" t="str">
        <f t="shared" si="256"/>
        <v/>
      </c>
      <c r="BR285" s="20"/>
      <c r="BS285" s="20"/>
      <c r="BT285" s="125" t="str">
        <f t="shared" si="257"/>
        <v/>
      </c>
      <c r="BU285" s="125" t="str">
        <f t="shared" si="258"/>
        <v/>
      </c>
      <c r="BV285" s="125" t="str">
        <f t="shared" si="259"/>
        <v/>
      </c>
      <c r="BW285" s="129" t="str">
        <f t="shared" si="260"/>
        <v/>
      </c>
      <c r="BX285" s="13"/>
      <c r="BY285" s="15"/>
      <c r="BZ285" s="14"/>
      <c r="CA285" s="117" t="str">
        <f>IF(_xlfn.XLOOKUP(BY285, AutoFill_classes!$A:$A, AutoFill_classes!$B:$B,"")=0,"",_xlfn.XLOOKUP(BY285, AutoFill_classes!$A:$A, AutoFill_classes!$B:$B,""))</f>
        <v/>
      </c>
      <c r="CB285" s="108"/>
      <c r="CC285" s="14"/>
      <c r="CD285" s="14"/>
      <c r="CE285" s="14"/>
      <c r="CF285" s="21"/>
      <c r="CG285" s="22"/>
      <c r="CH285" s="62"/>
      <c r="CI285" s="23"/>
      <c r="CJ285" s="121" t="str">
        <f t="shared" si="261"/>
        <v/>
      </c>
      <c r="CK285" s="20"/>
      <c r="CL285" s="20"/>
      <c r="CM285" s="20"/>
      <c r="CN285" s="20"/>
      <c r="CO285" s="125" t="str">
        <f t="shared" si="262"/>
        <v/>
      </c>
      <c r="CP285" s="14"/>
      <c r="CQ285" s="125" t="str">
        <f t="shared" si="263"/>
        <v/>
      </c>
      <c r="CR285" s="20"/>
      <c r="CS285" s="20"/>
      <c r="CT285" s="125" t="str">
        <f t="shared" si="264"/>
        <v/>
      </c>
      <c r="CU285" s="14"/>
      <c r="CV285" s="125" t="str">
        <f t="shared" si="265"/>
        <v/>
      </c>
      <c r="CW285" s="20"/>
      <c r="CX285" s="20"/>
      <c r="CY285" s="125" t="str">
        <f t="shared" si="266"/>
        <v/>
      </c>
      <c r="CZ285" s="125" t="str">
        <f t="shared" si="267"/>
        <v/>
      </c>
      <c r="DA285" s="125" t="str">
        <f t="shared" si="268"/>
        <v/>
      </c>
      <c r="DB285" s="129" t="str">
        <f t="shared" si="269"/>
        <v/>
      </c>
      <c r="DC285" s="14"/>
      <c r="DD285" s="62"/>
      <c r="DE285" s="105">
        <v>283</v>
      </c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</row>
    <row r="286" spans="1:176" s="1" customFormat="1" ht="13" hidden="1" customHeight="1" outlineLevel="1" x14ac:dyDescent="0.2">
      <c r="A286" s="4"/>
      <c r="B286" s="115" t="str">
        <f>IF(_xlfn.XLOOKUP(A286, AutoFill_names!B:B, AutoFill_names!C:C,"")=0,"",_xlfn.XLOOKUP(A286, AutoFill_names!B:B, AutoFill_names!C:C,""))</f>
        <v/>
      </c>
      <c r="C286" s="115" t="str">
        <f>IF(_xlfn.XLOOKUP(A286, AutoFill_names!B:B, AutoFill_names!D:D,"")=0,"",_xlfn.XLOOKUP(A286, AutoFill_names!B:B, AutoFill_names!D:D,""))</f>
        <v/>
      </c>
      <c r="D286" s="115" t="str">
        <f>IF(_xlfn.XLOOKUP(A286, AutoFill_names!B:B, AutoFill_names!E:E,"")=0,"",_xlfn.XLOOKUP(A286, AutoFill_names!B:B, AutoFill_names!E:E,""))</f>
        <v/>
      </c>
      <c r="E286" s="115" t="str">
        <f>IF(_xlfn.XLOOKUP(A286, AutoFill_names!B:B, AutoFill_names!F:F,"")=0,"",_xlfn.XLOOKUP(A286, AutoFill_names!B:B, AutoFill_names!F:F,""))</f>
        <v/>
      </c>
      <c r="F286" s="92"/>
      <c r="J286" s="115" t="str">
        <f>IF(_xlfn.XLOOKUP(A286, AutoFill_names!B:B, AutoFill_names!K:K,"")=0,"",_xlfn.XLOOKUP(A286, AutoFill_names!B:B, AutoFill_names!K:K,""))</f>
        <v/>
      </c>
      <c r="K286" s="115" t="str">
        <f>IF(_xlfn.XLOOKUP(A286, AutoFill_names!B:B, AutoFill_names!L:L,"")=0,"",_xlfn.XLOOKUP(A286, AutoFill_names!B:B, AutoFill_names!L:L,""))</f>
        <v/>
      </c>
      <c r="L286" s="31"/>
      <c r="M286" s="31"/>
      <c r="N286" s="117" t="str">
        <f>IF(_xlfn.XLOOKUP(L286, AutoFill_classes!A:A, AutoFill_classes!B:B,"")=0,"",_xlfn.XLOOKUP(L286, AutoFill_classes!A:A, AutoFill_classes!B:B,""))</f>
        <v/>
      </c>
      <c r="O286" s="108"/>
      <c r="P286" s="6"/>
      <c r="Q286" s="6"/>
      <c r="R286" s="6"/>
      <c r="X286" s="62"/>
      <c r="Y286" s="18"/>
      <c r="Z286" s="121" t="str">
        <f t="shared" si="243"/>
        <v/>
      </c>
      <c r="AA286" s="20"/>
      <c r="AB286" s="20"/>
      <c r="AC286" s="20"/>
      <c r="AD286" s="20"/>
      <c r="AE286" s="125" t="str">
        <f t="shared" si="244"/>
        <v/>
      </c>
      <c r="AF286" s="14"/>
      <c r="AG286" s="125" t="str">
        <f t="shared" si="245"/>
        <v/>
      </c>
      <c r="AH286" s="20"/>
      <c r="AI286" s="20"/>
      <c r="AJ286" s="125" t="str">
        <f t="shared" si="246"/>
        <v/>
      </c>
      <c r="AK286" s="14"/>
      <c r="AL286" s="125" t="str">
        <f t="shared" si="247"/>
        <v/>
      </c>
      <c r="AM286" s="20"/>
      <c r="AN286" s="20"/>
      <c r="AO286" s="125" t="str">
        <f t="shared" si="248"/>
        <v/>
      </c>
      <c r="AP286" s="125" t="str">
        <f t="shared" si="249"/>
        <v/>
      </c>
      <c r="AQ286" s="125" t="str">
        <f t="shared" si="250"/>
        <v/>
      </c>
      <c r="AR286" s="129" t="str">
        <f t="shared" si="251"/>
        <v/>
      </c>
      <c r="AS286" s="14"/>
      <c r="AT286" s="13"/>
      <c r="AU286" s="13"/>
      <c r="AV286" s="117" t="str">
        <f>IF(_xlfn.XLOOKUP(AT286, AutoFill_classes!$A:$A, AutoFill_classes!$B:$B,"")=0,"",_xlfn.XLOOKUP(AT286, AutoFill_classes!$A:$A, AutoFill_classes!$B:$B,""))</f>
        <v/>
      </c>
      <c r="AW286" s="108"/>
      <c r="AX286" s="13"/>
      <c r="AY286" s="13"/>
      <c r="AZ286" s="13"/>
      <c r="BA286" s="13"/>
      <c r="BB286" s="13"/>
      <c r="BC286" s="62"/>
      <c r="BD286" s="18"/>
      <c r="BE286" s="121" t="str">
        <f t="shared" si="252"/>
        <v/>
      </c>
      <c r="BF286" s="20"/>
      <c r="BG286" s="20"/>
      <c r="BH286" s="20"/>
      <c r="BI286" s="20"/>
      <c r="BJ286" s="125" t="str">
        <f t="shared" si="253"/>
        <v/>
      </c>
      <c r="BK286" s="14"/>
      <c r="BL286" s="125" t="str">
        <f t="shared" si="254"/>
        <v/>
      </c>
      <c r="BM286" s="20"/>
      <c r="BN286" s="20"/>
      <c r="BO286" s="125" t="str">
        <f t="shared" si="255"/>
        <v/>
      </c>
      <c r="BP286" s="14"/>
      <c r="BQ286" s="125" t="str">
        <f t="shared" si="256"/>
        <v/>
      </c>
      <c r="BR286" s="20"/>
      <c r="BS286" s="20"/>
      <c r="BT286" s="125" t="str">
        <f t="shared" si="257"/>
        <v/>
      </c>
      <c r="BU286" s="125" t="str">
        <f t="shared" si="258"/>
        <v/>
      </c>
      <c r="BV286" s="125" t="str">
        <f t="shared" si="259"/>
        <v/>
      </c>
      <c r="BW286" s="129" t="str">
        <f t="shared" si="260"/>
        <v/>
      </c>
      <c r="BX286" s="13"/>
      <c r="BY286" s="15"/>
      <c r="BZ286" s="14"/>
      <c r="CA286" s="117" t="str">
        <f>IF(_xlfn.XLOOKUP(BY286, AutoFill_classes!$A:$A, AutoFill_classes!$B:$B,"")=0,"",_xlfn.XLOOKUP(BY286, AutoFill_classes!$A:$A, AutoFill_classes!$B:$B,""))</f>
        <v/>
      </c>
      <c r="CB286" s="108"/>
      <c r="CC286" s="14"/>
      <c r="CD286" s="14"/>
      <c r="CE286" s="14"/>
      <c r="CF286" s="21"/>
      <c r="CG286" s="22"/>
      <c r="CH286" s="62"/>
      <c r="CI286" s="23"/>
      <c r="CJ286" s="121" t="str">
        <f t="shared" si="261"/>
        <v/>
      </c>
      <c r="CK286" s="20"/>
      <c r="CL286" s="20"/>
      <c r="CM286" s="20"/>
      <c r="CN286" s="20"/>
      <c r="CO286" s="125" t="str">
        <f t="shared" si="262"/>
        <v/>
      </c>
      <c r="CP286" s="14"/>
      <c r="CQ286" s="125" t="str">
        <f t="shared" si="263"/>
        <v/>
      </c>
      <c r="CR286" s="20"/>
      <c r="CS286" s="20"/>
      <c r="CT286" s="125" t="str">
        <f t="shared" si="264"/>
        <v/>
      </c>
      <c r="CU286" s="14"/>
      <c r="CV286" s="125" t="str">
        <f t="shared" si="265"/>
        <v/>
      </c>
      <c r="CW286" s="20"/>
      <c r="CX286" s="20"/>
      <c r="CY286" s="125" t="str">
        <f t="shared" si="266"/>
        <v/>
      </c>
      <c r="CZ286" s="125" t="str">
        <f t="shared" si="267"/>
        <v/>
      </c>
      <c r="DA286" s="125" t="str">
        <f t="shared" si="268"/>
        <v/>
      </c>
      <c r="DB286" s="129" t="str">
        <f t="shared" si="269"/>
        <v/>
      </c>
      <c r="DC286" s="14"/>
      <c r="DD286" s="62"/>
      <c r="DE286" s="105">
        <v>284</v>
      </c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</row>
    <row r="287" spans="1:176" s="1" customFormat="1" ht="13" hidden="1" customHeight="1" outlineLevel="1" x14ac:dyDescent="0.2">
      <c r="A287" s="4"/>
      <c r="B287" s="115" t="str">
        <f>IF(_xlfn.XLOOKUP(A287, AutoFill_names!B:B, AutoFill_names!C:C,"")=0,"",_xlfn.XLOOKUP(A287, AutoFill_names!B:B, AutoFill_names!C:C,""))</f>
        <v/>
      </c>
      <c r="C287" s="115" t="str">
        <f>IF(_xlfn.XLOOKUP(A287, AutoFill_names!B:B, AutoFill_names!D:D,"")=0,"",_xlfn.XLOOKUP(A287, AutoFill_names!B:B, AutoFill_names!D:D,""))</f>
        <v/>
      </c>
      <c r="D287" s="115" t="str">
        <f>IF(_xlfn.XLOOKUP(A287, AutoFill_names!B:B, AutoFill_names!E:E,"")=0,"",_xlfn.XLOOKUP(A287, AutoFill_names!B:B, AutoFill_names!E:E,""))</f>
        <v/>
      </c>
      <c r="E287" s="115" t="str">
        <f>IF(_xlfn.XLOOKUP(A287, AutoFill_names!B:B, AutoFill_names!F:F,"")=0,"",_xlfn.XLOOKUP(A287, AutoFill_names!B:B, AutoFill_names!F:F,""))</f>
        <v/>
      </c>
      <c r="F287" s="92"/>
      <c r="J287" s="115" t="str">
        <f>IF(_xlfn.XLOOKUP(A287, AutoFill_names!B:B, AutoFill_names!K:K,"")=0,"",_xlfn.XLOOKUP(A287, AutoFill_names!B:B, AutoFill_names!K:K,""))</f>
        <v/>
      </c>
      <c r="K287" s="115" t="str">
        <f>IF(_xlfn.XLOOKUP(A287, AutoFill_names!B:B, AutoFill_names!L:L,"")=0,"",_xlfn.XLOOKUP(A287, AutoFill_names!B:B, AutoFill_names!L:L,""))</f>
        <v/>
      </c>
      <c r="L287" s="31"/>
      <c r="M287" s="31"/>
      <c r="N287" s="117" t="str">
        <f>IF(_xlfn.XLOOKUP(L287, AutoFill_classes!A:A, AutoFill_classes!B:B,"")=0,"",_xlfn.XLOOKUP(L287, AutoFill_classes!A:A, AutoFill_classes!B:B,""))</f>
        <v/>
      </c>
      <c r="O287" s="108"/>
      <c r="P287" s="6"/>
      <c r="Q287" s="6"/>
      <c r="R287" s="6"/>
      <c r="X287" s="62"/>
      <c r="Y287" s="18"/>
      <c r="Z287" s="121" t="str">
        <f t="shared" si="243"/>
        <v/>
      </c>
      <c r="AA287" s="20"/>
      <c r="AB287" s="20"/>
      <c r="AC287" s="20"/>
      <c r="AD287" s="20"/>
      <c r="AE287" s="125" t="str">
        <f t="shared" si="244"/>
        <v/>
      </c>
      <c r="AF287" s="14"/>
      <c r="AG287" s="125" t="str">
        <f t="shared" si="245"/>
        <v/>
      </c>
      <c r="AH287" s="20"/>
      <c r="AI287" s="20"/>
      <c r="AJ287" s="125" t="str">
        <f t="shared" si="246"/>
        <v/>
      </c>
      <c r="AK287" s="14"/>
      <c r="AL287" s="125" t="str">
        <f t="shared" si="247"/>
        <v/>
      </c>
      <c r="AM287" s="20"/>
      <c r="AN287" s="20"/>
      <c r="AO287" s="125" t="str">
        <f t="shared" si="248"/>
        <v/>
      </c>
      <c r="AP287" s="125" t="str">
        <f t="shared" si="249"/>
        <v/>
      </c>
      <c r="AQ287" s="125" t="str">
        <f t="shared" si="250"/>
        <v/>
      </c>
      <c r="AR287" s="129" t="str">
        <f t="shared" si="251"/>
        <v/>
      </c>
      <c r="AS287" s="14"/>
      <c r="AT287" s="13"/>
      <c r="AU287" s="13"/>
      <c r="AV287" s="117" t="str">
        <f>IF(_xlfn.XLOOKUP(AT287, AutoFill_classes!$A:$A, AutoFill_classes!$B:$B,"")=0,"",_xlfn.XLOOKUP(AT287, AutoFill_classes!$A:$A, AutoFill_classes!$B:$B,""))</f>
        <v/>
      </c>
      <c r="AW287" s="108"/>
      <c r="AX287" s="13"/>
      <c r="AY287" s="13"/>
      <c r="AZ287" s="13"/>
      <c r="BA287" s="13"/>
      <c r="BB287" s="13"/>
      <c r="BC287" s="62"/>
      <c r="BD287" s="18"/>
      <c r="BE287" s="121" t="str">
        <f t="shared" si="252"/>
        <v/>
      </c>
      <c r="BF287" s="20"/>
      <c r="BG287" s="20"/>
      <c r="BH287" s="20"/>
      <c r="BI287" s="20"/>
      <c r="BJ287" s="125" t="str">
        <f t="shared" si="253"/>
        <v/>
      </c>
      <c r="BK287" s="14"/>
      <c r="BL287" s="125" t="str">
        <f t="shared" si="254"/>
        <v/>
      </c>
      <c r="BM287" s="20"/>
      <c r="BN287" s="20"/>
      <c r="BO287" s="125" t="str">
        <f t="shared" si="255"/>
        <v/>
      </c>
      <c r="BP287" s="14"/>
      <c r="BQ287" s="125" t="str">
        <f t="shared" si="256"/>
        <v/>
      </c>
      <c r="BR287" s="20"/>
      <c r="BS287" s="20"/>
      <c r="BT287" s="125" t="str">
        <f t="shared" si="257"/>
        <v/>
      </c>
      <c r="BU287" s="125" t="str">
        <f t="shared" si="258"/>
        <v/>
      </c>
      <c r="BV287" s="125" t="str">
        <f t="shared" si="259"/>
        <v/>
      </c>
      <c r="BW287" s="129" t="str">
        <f t="shared" si="260"/>
        <v/>
      </c>
      <c r="BX287" s="13"/>
      <c r="BY287" s="15"/>
      <c r="BZ287" s="14"/>
      <c r="CA287" s="117" t="str">
        <f>IF(_xlfn.XLOOKUP(BY287, AutoFill_classes!$A:$A, AutoFill_classes!$B:$B,"")=0,"",_xlfn.XLOOKUP(BY287, AutoFill_classes!$A:$A, AutoFill_classes!$B:$B,""))</f>
        <v/>
      </c>
      <c r="CB287" s="108"/>
      <c r="CC287" s="14"/>
      <c r="CD287" s="14"/>
      <c r="CE287" s="14"/>
      <c r="CF287" s="21"/>
      <c r="CG287" s="22"/>
      <c r="CH287" s="62"/>
      <c r="CI287" s="23"/>
      <c r="CJ287" s="121" t="str">
        <f t="shared" si="261"/>
        <v/>
      </c>
      <c r="CK287" s="20"/>
      <c r="CL287" s="20"/>
      <c r="CM287" s="20"/>
      <c r="CN287" s="20"/>
      <c r="CO287" s="125" t="str">
        <f t="shared" si="262"/>
        <v/>
      </c>
      <c r="CP287" s="14"/>
      <c r="CQ287" s="125" t="str">
        <f t="shared" si="263"/>
        <v/>
      </c>
      <c r="CR287" s="20"/>
      <c r="CS287" s="20"/>
      <c r="CT287" s="125" t="str">
        <f t="shared" si="264"/>
        <v/>
      </c>
      <c r="CU287" s="14"/>
      <c r="CV287" s="125" t="str">
        <f t="shared" si="265"/>
        <v/>
      </c>
      <c r="CW287" s="20"/>
      <c r="CX287" s="20"/>
      <c r="CY287" s="125" t="str">
        <f t="shared" si="266"/>
        <v/>
      </c>
      <c r="CZ287" s="125" t="str">
        <f t="shared" si="267"/>
        <v/>
      </c>
      <c r="DA287" s="125" t="str">
        <f t="shared" si="268"/>
        <v/>
      </c>
      <c r="DB287" s="129" t="str">
        <f t="shared" si="269"/>
        <v/>
      </c>
      <c r="DC287" s="14"/>
      <c r="DD287" s="62"/>
      <c r="DE287" s="105">
        <v>285</v>
      </c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</row>
    <row r="288" spans="1:176" s="1" customFormat="1" ht="13" hidden="1" customHeight="1" outlineLevel="1" x14ac:dyDescent="0.2">
      <c r="A288" s="4"/>
      <c r="B288" s="115" t="str">
        <f>IF(_xlfn.XLOOKUP(A288, AutoFill_names!B:B, AutoFill_names!C:C,"")=0,"",_xlfn.XLOOKUP(A288, AutoFill_names!B:B, AutoFill_names!C:C,""))</f>
        <v/>
      </c>
      <c r="C288" s="115" t="str">
        <f>IF(_xlfn.XLOOKUP(A288, AutoFill_names!B:B, AutoFill_names!D:D,"")=0,"",_xlfn.XLOOKUP(A288, AutoFill_names!B:B, AutoFill_names!D:D,""))</f>
        <v/>
      </c>
      <c r="D288" s="115" t="str">
        <f>IF(_xlfn.XLOOKUP(A288, AutoFill_names!B:B, AutoFill_names!E:E,"")=0,"",_xlfn.XLOOKUP(A288, AutoFill_names!B:B, AutoFill_names!E:E,""))</f>
        <v/>
      </c>
      <c r="E288" s="115" t="str">
        <f>IF(_xlfn.XLOOKUP(A288, AutoFill_names!B:B, AutoFill_names!F:F,"")=0,"",_xlfn.XLOOKUP(A288, AutoFill_names!B:B, AutoFill_names!F:F,""))</f>
        <v/>
      </c>
      <c r="F288" s="92"/>
      <c r="J288" s="115" t="str">
        <f>IF(_xlfn.XLOOKUP(A288, AutoFill_names!B:B, AutoFill_names!K:K,"")=0,"",_xlfn.XLOOKUP(A288, AutoFill_names!B:B, AutoFill_names!K:K,""))</f>
        <v/>
      </c>
      <c r="K288" s="115" t="str">
        <f>IF(_xlfn.XLOOKUP(A288, AutoFill_names!B:B, AutoFill_names!L:L,"")=0,"",_xlfn.XLOOKUP(A288, AutoFill_names!B:B, AutoFill_names!L:L,""))</f>
        <v/>
      </c>
      <c r="L288" s="31"/>
      <c r="M288" s="31"/>
      <c r="N288" s="117" t="str">
        <f>IF(_xlfn.XLOOKUP(L288, AutoFill_classes!A:A, AutoFill_classes!B:B,"")=0,"",_xlfn.XLOOKUP(L288, AutoFill_classes!A:A, AutoFill_classes!B:B,""))</f>
        <v/>
      </c>
      <c r="O288" s="108"/>
      <c r="P288" s="6"/>
      <c r="Q288" s="6"/>
      <c r="R288" s="6"/>
      <c r="X288" s="62"/>
      <c r="Y288" s="18"/>
      <c r="Z288" s="121" t="str">
        <f t="shared" si="243"/>
        <v/>
      </c>
      <c r="AA288" s="20"/>
      <c r="AB288" s="20"/>
      <c r="AC288" s="20"/>
      <c r="AD288" s="20"/>
      <c r="AE288" s="125" t="str">
        <f t="shared" si="244"/>
        <v/>
      </c>
      <c r="AF288" s="14"/>
      <c r="AG288" s="125" t="str">
        <f t="shared" si="245"/>
        <v/>
      </c>
      <c r="AH288" s="20"/>
      <c r="AI288" s="20"/>
      <c r="AJ288" s="125" t="str">
        <f t="shared" si="246"/>
        <v/>
      </c>
      <c r="AK288" s="14"/>
      <c r="AL288" s="125" t="str">
        <f t="shared" si="247"/>
        <v/>
      </c>
      <c r="AM288" s="20"/>
      <c r="AN288" s="20"/>
      <c r="AO288" s="125" t="str">
        <f t="shared" si="248"/>
        <v/>
      </c>
      <c r="AP288" s="125" t="str">
        <f t="shared" si="249"/>
        <v/>
      </c>
      <c r="AQ288" s="125" t="str">
        <f t="shared" si="250"/>
        <v/>
      </c>
      <c r="AR288" s="129" t="str">
        <f t="shared" si="251"/>
        <v/>
      </c>
      <c r="AS288" s="14"/>
      <c r="AT288" s="13"/>
      <c r="AU288" s="13"/>
      <c r="AV288" s="117" t="str">
        <f>IF(_xlfn.XLOOKUP(AT288, AutoFill_classes!$A:$A, AutoFill_classes!$B:$B,"")=0,"",_xlfn.XLOOKUP(AT288, AutoFill_classes!$A:$A, AutoFill_classes!$B:$B,""))</f>
        <v/>
      </c>
      <c r="AW288" s="108"/>
      <c r="AX288" s="13"/>
      <c r="AY288" s="13"/>
      <c r="AZ288" s="13"/>
      <c r="BA288" s="13"/>
      <c r="BB288" s="13"/>
      <c r="BC288" s="62"/>
      <c r="BD288" s="18"/>
      <c r="BE288" s="121" t="str">
        <f t="shared" si="252"/>
        <v/>
      </c>
      <c r="BF288" s="20"/>
      <c r="BG288" s="20"/>
      <c r="BH288" s="20"/>
      <c r="BI288" s="20"/>
      <c r="BJ288" s="125" t="str">
        <f t="shared" si="253"/>
        <v/>
      </c>
      <c r="BK288" s="14"/>
      <c r="BL288" s="125" t="str">
        <f t="shared" si="254"/>
        <v/>
      </c>
      <c r="BM288" s="20"/>
      <c r="BN288" s="20"/>
      <c r="BO288" s="125" t="str">
        <f t="shared" si="255"/>
        <v/>
      </c>
      <c r="BP288" s="14"/>
      <c r="BQ288" s="125" t="str">
        <f t="shared" si="256"/>
        <v/>
      </c>
      <c r="BR288" s="20"/>
      <c r="BS288" s="20"/>
      <c r="BT288" s="125" t="str">
        <f t="shared" si="257"/>
        <v/>
      </c>
      <c r="BU288" s="125" t="str">
        <f t="shared" si="258"/>
        <v/>
      </c>
      <c r="BV288" s="125" t="str">
        <f t="shared" si="259"/>
        <v/>
      </c>
      <c r="BW288" s="129" t="str">
        <f t="shared" si="260"/>
        <v/>
      </c>
      <c r="BX288" s="13"/>
      <c r="BY288" s="15"/>
      <c r="BZ288" s="14"/>
      <c r="CA288" s="117" t="str">
        <f>IF(_xlfn.XLOOKUP(BY288, AutoFill_classes!$A:$A, AutoFill_classes!$B:$B,"")=0,"",_xlfn.XLOOKUP(BY288, AutoFill_classes!$A:$A, AutoFill_classes!$B:$B,""))</f>
        <v/>
      </c>
      <c r="CB288" s="108"/>
      <c r="CC288" s="14"/>
      <c r="CD288" s="14"/>
      <c r="CE288" s="14"/>
      <c r="CF288" s="21"/>
      <c r="CG288" s="22"/>
      <c r="CH288" s="62"/>
      <c r="CI288" s="23"/>
      <c r="CJ288" s="121" t="str">
        <f t="shared" si="261"/>
        <v/>
      </c>
      <c r="CK288" s="20"/>
      <c r="CL288" s="20"/>
      <c r="CM288" s="20"/>
      <c r="CN288" s="20"/>
      <c r="CO288" s="125" t="str">
        <f t="shared" si="262"/>
        <v/>
      </c>
      <c r="CP288" s="14"/>
      <c r="CQ288" s="125" t="str">
        <f t="shared" si="263"/>
        <v/>
      </c>
      <c r="CR288" s="20"/>
      <c r="CS288" s="20"/>
      <c r="CT288" s="125" t="str">
        <f t="shared" si="264"/>
        <v/>
      </c>
      <c r="CU288" s="14"/>
      <c r="CV288" s="125" t="str">
        <f t="shared" si="265"/>
        <v/>
      </c>
      <c r="CW288" s="20"/>
      <c r="CX288" s="20"/>
      <c r="CY288" s="125" t="str">
        <f t="shared" si="266"/>
        <v/>
      </c>
      <c r="CZ288" s="125" t="str">
        <f t="shared" si="267"/>
        <v/>
      </c>
      <c r="DA288" s="125" t="str">
        <f t="shared" si="268"/>
        <v/>
      </c>
      <c r="DB288" s="129" t="str">
        <f t="shared" si="269"/>
        <v/>
      </c>
      <c r="DC288" s="14"/>
      <c r="DD288" s="62"/>
      <c r="DE288" s="105">
        <v>286</v>
      </c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</row>
    <row r="289" spans="1:176" s="1" customFormat="1" ht="13" hidden="1" customHeight="1" outlineLevel="1" x14ac:dyDescent="0.2">
      <c r="A289" s="4"/>
      <c r="B289" s="115" t="str">
        <f>IF(_xlfn.XLOOKUP(A289, AutoFill_names!B:B, AutoFill_names!C:C,"")=0,"",_xlfn.XLOOKUP(A289, AutoFill_names!B:B, AutoFill_names!C:C,""))</f>
        <v/>
      </c>
      <c r="C289" s="115" t="str">
        <f>IF(_xlfn.XLOOKUP(A289, AutoFill_names!B:B, AutoFill_names!D:D,"")=0,"",_xlfn.XLOOKUP(A289, AutoFill_names!B:B, AutoFill_names!D:D,""))</f>
        <v/>
      </c>
      <c r="D289" s="115" t="str">
        <f>IF(_xlfn.XLOOKUP(A289, AutoFill_names!B:B, AutoFill_names!E:E,"")=0,"",_xlfn.XLOOKUP(A289, AutoFill_names!B:B, AutoFill_names!E:E,""))</f>
        <v/>
      </c>
      <c r="E289" s="115" t="str">
        <f>IF(_xlfn.XLOOKUP(A289, AutoFill_names!B:B, AutoFill_names!F:F,"")=0,"",_xlfn.XLOOKUP(A289, AutoFill_names!B:B, AutoFill_names!F:F,""))</f>
        <v/>
      </c>
      <c r="F289" s="92"/>
      <c r="J289" s="115" t="str">
        <f>IF(_xlfn.XLOOKUP(A289, AutoFill_names!B:B, AutoFill_names!K:K,"")=0,"",_xlfn.XLOOKUP(A289, AutoFill_names!B:B, AutoFill_names!K:K,""))</f>
        <v/>
      </c>
      <c r="K289" s="115" t="str">
        <f>IF(_xlfn.XLOOKUP(A289, AutoFill_names!B:B, AutoFill_names!L:L,"")=0,"",_xlfn.XLOOKUP(A289, AutoFill_names!B:B, AutoFill_names!L:L,""))</f>
        <v/>
      </c>
      <c r="L289" s="31"/>
      <c r="M289" s="31"/>
      <c r="N289" s="117" t="str">
        <f>IF(_xlfn.XLOOKUP(L289, AutoFill_classes!A:A, AutoFill_classes!B:B,"")=0,"",_xlfn.XLOOKUP(L289, AutoFill_classes!A:A, AutoFill_classes!B:B,""))</f>
        <v/>
      </c>
      <c r="O289" s="108"/>
      <c r="P289" s="6"/>
      <c r="Q289" s="6"/>
      <c r="R289" s="6"/>
      <c r="X289" s="62"/>
      <c r="Y289" s="18"/>
      <c r="Z289" s="121" t="str">
        <f t="shared" si="243"/>
        <v/>
      </c>
      <c r="AA289" s="20"/>
      <c r="AB289" s="20"/>
      <c r="AC289" s="20"/>
      <c r="AD289" s="20"/>
      <c r="AE289" s="125" t="str">
        <f t="shared" si="244"/>
        <v/>
      </c>
      <c r="AF289" s="14"/>
      <c r="AG289" s="125" t="str">
        <f t="shared" si="245"/>
        <v/>
      </c>
      <c r="AH289" s="20"/>
      <c r="AI289" s="20"/>
      <c r="AJ289" s="125" t="str">
        <f t="shared" si="246"/>
        <v/>
      </c>
      <c r="AK289" s="14"/>
      <c r="AL289" s="125" t="str">
        <f t="shared" si="247"/>
        <v/>
      </c>
      <c r="AM289" s="20"/>
      <c r="AN289" s="20"/>
      <c r="AO289" s="125" t="str">
        <f t="shared" si="248"/>
        <v/>
      </c>
      <c r="AP289" s="125" t="str">
        <f t="shared" si="249"/>
        <v/>
      </c>
      <c r="AQ289" s="125" t="str">
        <f t="shared" si="250"/>
        <v/>
      </c>
      <c r="AR289" s="129" t="str">
        <f t="shared" si="251"/>
        <v/>
      </c>
      <c r="AS289" s="14"/>
      <c r="AT289" s="13"/>
      <c r="AU289" s="13"/>
      <c r="AV289" s="117" t="str">
        <f>IF(_xlfn.XLOOKUP(AT289, AutoFill_classes!$A:$A, AutoFill_classes!$B:$B,"")=0,"",_xlfn.XLOOKUP(AT289, AutoFill_classes!$A:$A, AutoFill_classes!$B:$B,""))</f>
        <v/>
      </c>
      <c r="AW289" s="108"/>
      <c r="AX289" s="13"/>
      <c r="AY289" s="13"/>
      <c r="AZ289" s="13"/>
      <c r="BA289" s="13"/>
      <c r="BB289" s="13"/>
      <c r="BC289" s="62"/>
      <c r="BD289" s="18"/>
      <c r="BE289" s="121" t="str">
        <f t="shared" si="252"/>
        <v/>
      </c>
      <c r="BF289" s="20"/>
      <c r="BG289" s="20"/>
      <c r="BH289" s="20"/>
      <c r="BI289" s="20"/>
      <c r="BJ289" s="125" t="str">
        <f t="shared" si="253"/>
        <v/>
      </c>
      <c r="BK289" s="14"/>
      <c r="BL289" s="125" t="str">
        <f t="shared" si="254"/>
        <v/>
      </c>
      <c r="BM289" s="20"/>
      <c r="BN289" s="20"/>
      <c r="BO289" s="125" t="str">
        <f t="shared" si="255"/>
        <v/>
      </c>
      <c r="BP289" s="14"/>
      <c r="BQ289" s="125" t="str">
        <f t="shared" si="256"/>
        <v/>
      </c>
      <c r="BR289" s="20"/>
      <c r="BS289" s="20"/>
      <c r="BT289" s="125" t="str">
        <f t="shared" si="257"/>
        <v/>
      </c>
      <c r="BU289" s="125" t="str">
        <f t="shared" si="258"/>
        <v/>
      </c>
      <c r="BV289" s="125" t="str">
        <f t="shared" si="259"/>
        <v/>
      </c>
      <c r="BW289" s="129" t="str">
        <f t="shared" si="260"/>
        <v/>
      </c>
      <c r="BX289" s="13"/>
      <c r="BY289" s="15"/>
      <c r="BZ289" s="14"/>
      <c r="CA289" s="117" t="str">
        <f>IF(_xlfn.XLOOKUP(BY289, AutoFill_classes!$A:$A, AutoFill_classes!$B:$B,"")=0,"",_xlfn.XLOOKUP(BY289, AutoFill_classes!$A:$A, AutoFill_classes!$B:$B,""))</f>
        <v/>
      </c>
      <c r="CB289" s="108"/>
      <c r="CC289" s="14"/>
      <c r="CD289" s="14"/>
      <c r="CE289" s="14"/>
      <c r="CF289" s="21"/>
      <c r="CG289" s="22"/>
      <c r="CH289" s="62"/>
      <c r="CI289" s="23"/>
      <c r="CJ289" s="121" t="str">
        <f t="shared" si="261"/>
        <v/>
      </c>
      <c r="CK289" s="20"/>
      <c r="CL289" s="20"/>
      <c r="CM289" s="20"/>
      <c r="CN289" s="20"/>
      <c r="CO289" s="125" t="str">
        <f t="shared" si="262"/>
        <v/>
      </c>
      <c r="CP289" s="14"/>
      <c r="CQ289" s="125" t="str">
        <f t="shared" si="263"/>
        <v/>
      </c>
      <c r="CR289" s="20"/>
      <c r="CS289" s="20"/>
      <c r="CT289" s="125" t="str">
        <f t="shared" si="264"/>
        <v/>
      </c>
      <c r="CU289" s="14"/>
      <c r="CV289" s="125" t="str">
        <f t="shared" si="265"/>
        <v/>
      </c>
      <c r="CW289" s="20"/>
      <c r="CX289" s="20"/>
      <c r="CY289" s="125" t="str">
        <f t="shared" si="266"/>
        <v/>
      </c>
      <c r="CZ289" s="125" t="str">
        <f t="shared" si="267"/>
        <v/>
      </c>
      <c r="DA289" s="125" t="str">
        <f t="shared" si="268"/>
        <v/>
      </c>
      <c r="DB289" s="129" t="str">
        <f t="shared" si="269"/>
        <v/>
      </c>
      <c r="DC289" s="14"/>
      <c r="DD289" s="62"/>
      <c r="DE289" s="105">
        <v>287</v>
      </c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</row>
    <row r="290" spans="1:176" s="1" customFormat="1" ht="13" hidden="1" customHeight="1" outlineLevel="1" x14ac:dyDescent="0.2">
      <c r="A290" s="4"/>
      <c r="B290" s="115" t="str">
        <f>IF(_xlfn.XLOOKUP(A290, AutoFill_names!B:B, AutoFill_names!C:C,"")=0,"",_xlfn.XLOOKUP(A290, AutoFill_names!B:B, AutoFill_names!C:C,""))</f>
        <v/>
      </c>
      <c r="C290" s="115" t="str">
        <f>IF(_xlfn.XLOOKUP(A290, AutoFill_names!B:B, AutoFill_names!D:D,"")=0,"",_xlfn.XLOOKUP(A290, AutoFill_names!B:B, AutoFill_names!D:D,""))</f>
        <v/>
      </c>
      <c r="D290" s="115" t="str">
        <f>IF(_xlfn.XLOOKUP(A290, AutoFill_names!B:B, AutoFill_names!E:E,"")=0,"",_xlfn.XLOOKUP(A290, AutoFill_names!B:B, AutoFill_names!E:E,""))</f>
        <v/>
      </c>
      <c r="E290" s="115" t="str">
        <f>IF(_xlfn.XLOOKUP(A290, AutoFill_names!B:B, AutoFill_names!F:F,"")=0,"",_xlfn.XLOOKUP(A290, AutoFill_names!B:B, AutoFill_names!F:F,""))</f>
        <v/>
      </c>
      <c r="F290" s="92"/>
      <c r="J290" s="115" t="str">
        <f>IF(_xlfn.XLOOKUP(A290, AutoFill_names!B:B, AutoFill_names!K:K,"")=0,"",_xlfn.XLOOKUP(A290, AutoFill_names!B:B, AutoFill_names!K:K,""))</f>
        <v/>
      </c>
      <c r="K290" s="115" t="str">
        <f>IF(_xlfn.XLOOKUP(A290, AutoFill_names!B:B, AutoFill_names!L:L,"")=0,"",_xlfn.XLOOKUP(A290, AutoFill_names!B:B, AutoFill_names!L:L,""))</f>
        <v/>
      </c>
      <c r="L290" s="31"/>
      <c r="M290" s="31"/>
      <c r="N290" s="117" t="str">
        <f>IF(_xlfn.XLOOKUP(L290, AutoFill_classes!A:A, AutoFill_classes!B:B,"")=0,"",_xlfn.XLOOKUP(L290, AutoFill_classes!A:A, AutoFill_classes!B:B,""))</f>
        <v/>
      </c>
      <c r="O290" s="108"/>
      <c r="P290" s="6"/>
      <c r="Q290" s="6"/>
      <c r="R290" s="6"/>
      <c r="X290" s="62"/>
      <c r="Y290" s="18"/>
      <c r="Z290" s="121" t="str">
        <f t="shared" si="243"/>
        <v/>
      </c>
      <c r="AA290" s="20"/>
      <c r="AB290" s="20"/>
      <c r="AC290" s="20"/>
      <c r="AD290" s="20"/>
      <c r="AE290" s="125" t="str">
        <f t="shared" si="244"/>
        <v/>
      </c>
      <c r="AF290" s="14"/>
      <c r="AG290" s="125" t="str">
        <f t="shared" si="245"/>
        <v/>
      </c>
      <c r="AH290" s="20"/>
      <c r="AI290" s="20"/>
      <c r="AJ290" s="125" t="str">
        <f t="shared" si="246"/>
        <v/>
      </c>
      <c r="AK290" s="14"/>
      <c r="AL290" s="125" t="str">
        <f t="shared" si="247"/>
        <v/>
      </c>
      <c r="AM290" s="20"/>
      <c r="AN290" s="20"/>
      <c r="AO290" s="125" t="str">
        <f t="shared" si="248"/>
        <v/>
      </c>
      <c r="AP290" s="125" t="str">
        <f t="shared" si="249"/>
        <v/>
      </c>
      <c r="AQ290" s="125" t="str">
        <f t="shared" si="250"/>
        <v/>
      </c>
      <c r="AR290" s="129" t="str">
        <f t="shared" si="251"/>
        <v/>
      </c>
      <c r="AS290" s="14"/>
      <c r="AT290" s="13"/>
      <c r="AU290" s="13"/>
      <c r="AV290" s="117" t="str">
        <f>IF(_xlfn.XLOOKUP(AT290, AutoFill_classes!$A:$A, AutoFill_classes!$B:$B,"")=0,"",_xlfn.XLOOKUP(AT290, AutoFill_classes!$A:$A, AutoFill_classes!$B:$B,""))</f>
        <v/>
      </c>
      <c r="AW290" s="108"/>
      <c r="AX290" s="13"/>
      <c r="AY290" s="13"/>
      <c r="AZ290" s="13"/>
      <c r="BA290" s="13"/>
      <c r="BB290" s="13"/>
      <c r="BC290" s="62"/>
      <c r="BD290" s="18"/>
      <c r="BE290" s="121" t="str">
        <f t="shared" si="252"/>
        <v/>
      </c>
      <c r="BF290" s="20"/>
      <c r="BG290" s="20"/>
      <c r="BH290" s="20"/>
      <c r="BI290" s="20"/>
      <c r="BJ290" s="125" t="str">
        <f t="shared" si="253"/>
        <v/>
      </c>
      <c r="BK290" s="14"/>
      <c r="BL290" s="125" t="str">
        <f t="shared" si="254"/>
        <v/>
      </c>
      <c r="BM290" s="20"/>
      <c r="BN290" s="20"/>
      <c r="BO290" s="125" t="str">
        <f t="shared" si="255"/>
        <v/>
      </c>
      <c r="BP290" s="14"/>
      <c r="BQ290" s="125" t="str">
        <f t="shared" si="256"/>
        <v/>
      </c>
      <c r="BR290" s="20"/>
      <c r="BS290" s="20"/>
      <c r="BT290" s="125" t="str">
        <f t="shared" si="257"/>
        <v/>
      </c>
      <c r="BU290" s="125" t="str">
        <f t="shared" si="258"/>
        <v/>
      </c>
      <c r="BV290" s="125" t="str">
        <f t="shared" si="259"/>
        <v/>
      </c>
      <c r="BW290" s="129" t="str">
        <f t="shared" si="260"/>
        <v/>
      </c>
      <c r="BX290" s="13"/>
      <c r="BY290" s="15"/>
      <c r="BZ290" s="14"/>
      <c r="CA290" s="117" t="str">
        <f>IF(_xlfn.XLOOKUP(BY290, AutoFill_classes!$A:$A, AutoFill_classes!$B:$B,"")=0,"",_xlfn.XLOOKUP(BY290, AutoFill_classes!$A:$A, AutoFill_classes!$B:$B,""))</f>
        <v/>
      </c>
      <c r="CB290" s="108"/>
      <c r="CC290" s="14"/>
      <c r="CD290" s="14"/>
      <c r="CE290" s="14"/>
      <c r="CF290" s="21"/>
      <c r="CG290" s="22"/>
      <c r="CH290" s="62"/>
      <c r="CI290" s="23"/>
      <c r="CJ290" s="121" t="str">
        <f t="shared" si="261"/>
        <v/>
      </c>
      <c r="CK290" s="20"/>
      <c r="CL290" s="20"/>
      <c r="CM290" s="20"/>
      <c r="CN290" s="20"/>
      <c r="CO290" s="125" t="str">
        <f t="shared" si="262"/>
        <v/>
      </c>
      <c r="CP290" s="14"/>
      <c r="CQ290" s="125" t="str">
        <f t="shared" si="263"/>
        <v/>
      </c>
      <c r="CR290" s="20"/>
      <c r="CS290" s="20"/>
      <c r="CT290" s="125" t="str">
        <f t="shared" si="264"/>
        <v/>
      </c>
      <c r="CU290" s="14"/>
      <c r="CV290" s="125" t="str">
        <f t="shared" si="265"/>
        <v/>
      </c>
      <c r="CW290" s="20"/>
      <c r="CX290" s="20"/>
      <c r="CY290" s="125" t="str">
        <f t="shared" si="266"/>
        <v/>
      </c>
      <c r="CZ290" s="125" t="str">
        <f t="shared" si="267"/>
        <v/>
      </c>
      <c r="DA290" s="125" t="str">
        <f t="shared" si="268"/>
        <v/>
      </c>
      <c r="DB290" s="129" t="str">
        <f t="shared" si="269"/>
        <v/>
      </c>
      <c r="DC290" s="14"/>
      <c r="DD290" s="62"/>
      <c r="DE290" s="105">
        <v>288</v>
      </c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</row>
    <row r="291" spans="1:176" s="1" customFormat="1" ht="13" hidden="1" customHeight="1" outlineLevel="1" x14ac:dyDescent="0.2">
      <c r="A291" s="4"/>
      <c r="B291" s="115" t="str">
        <f>IF(_xlfn.XLOOKUP(A291, AutoFill_names!B:B, AutoFill_names!C:C,"")=0,"",_xlfn.XLOOKUP(A291, AutoFill_names!B:B, AutoFill_names!C:C,""))</f>
        <v/>
      </c>
      <c r="C291" s="115" t="str">
        <f>IF(_xlfn.XLOOKUP(A291, AutoFill_names!B:B, AutoFill_names!D:D,"")=0,"",_xlfn.XLOOKUP(A291, AutoFill_names!B:B, AutoFill_names!D:D,""))</f>
        <v/>
      </c>
      <c r="D291" s="115" t="str">
        <f>IF(_xlfn.XLOOKUP(A291, AutoFill_names!B:B, AutoFill_names!E:E,"")=0,"",_xlfn.XLOOKUP(A291, AutoFill_names!B:B, AutoFill_names!E:E,""))</f>
        <v/>
      </c>
      <c r="E291" s="115" t="str">
        <f>IF(_xlfn.XLOOKUP(A291, AutoFill_names!B:B, AutoFill_names!F:F,"")=0,"",_xlfn.XLOOKUP(A291, AutoFill_names!B:B, AutoFill_names!F:F,""))</f>
        <v/>
      </c>
      <c r="F291" s="92"/>
      <c r="J291" s="115" t="str">
        <f>IF(_xlfn.XLOOKUP(A291, AutoFill_names!B:B, AutoFill_names!K:K,"")=0,"",_xlfn.XLOOKUP(A291, AutoFill_names!B:B, AutoFill_names!K:K,""))</f>
        <v/>
      </c>
      <c r="K291" s="115" t="str">
        <f>IF(_xlfn.XLOOKUP(A291, AutoFill_names!B:B, AutoFill_names!L:L,"")=0,"",_xlfn.XLOOKUP(A291, AutoFill_names!B:B, AutoFill_names!L:L,""))</f>
        <v/>
      </c>
      <c r="L291" s="31"/>
      <c r="M291" s="31"/>
      <c r="N291" s="117" t="str">
        <f>IF(_xlfn.XLOOKUP(L291, AutoFill_classes!A:A, AutoFill_classes!B:B,"")=0,"",_xlfn.XLOOKUP(L291, AutoFill_classes!A:A, AutoFill_classes!B:B,""))</f>
        <v/>
      </c>
      <c r="O291" s="108"/>
      <c r="P291" s="6"/>
      <c r="Q291" s="6"/>
      <c r="R291" s="6"/>
      <c r="X291" s="62"/>
      <c r="Y291" s="18"/>
      <c r="Z291" s="121" t="str">
        <f t="shared" si="243"/>
        <v/>
      </c>
      <c r="AA291" s="20"/>
      <c r="AB291" s="20"/>
      <c r="AC291" s="20"/>
      <c r="AD291" s="20"/>
      <c r="AE291" s="125" t="str">
        <f t="shared" si="244"/>
        <v/>
      </c>
      <c r="AF291" s="14"/>
      <c r="AG291" s="125" t="str">
        <f t="shared" si="245"/>
        <v/>
      </c>
      <c r="AH291" s="20"/>
      <c r="AI291" s="20"/>
      <c r="AJ291" s="125" t="str">
        <f t="shared" si="246"/>
        <v/>
      </c>
      <c r="AK291" s="14"/>
      <c r="AL291" s="125" t="str">
        <f t="shared" si="247"/>
        <v/>
      </c>
      <c r="AM291" s="20"/>
      <c r="AN291" s="20"/>
      <c r="AO291" s="125" t="str">
        <f t="shared" si="248"/>
        <v/>
      </c>
      <c r="AP291" s="125" t="str">
        <f t="shared" si="249"/>
        <v/>
      </c>
      <c r="AQ291" s="125" t="str">
        <f t="shared" si="250"/>
        <v/>
      </c>
      <c r="AR291" s="129" t="str">
        <f t="shared" si="251"/>
        <v/>
      </c>
      <c r="AS291" s="14"/>
      <c r="AT291" s="13"/>
      <c r="AU291" s="13"/>
      <c r="AV291" s="117" t="str">
        <f>IF(_xlfn.XLOOKUP(AT291, AutoFill_classes!$A:$A, AutoFill_classes!$B:$B,"")=0,"",_xlfn.XLOOKUP(AT291, AutoFill_classes!$A:$A, AutoFill_classes!$B:$B,""))</f>
        <v/>
      </c>
      <c r="AW291" s="108"/>
      <c r="AX291" s="13"/>
      <c r="AY291" s="13"/>
      <c r="AZ291" s="13"/>
      <c r="BA291" s="13"/>
      <c r="BB291" s="13"/>
      <c r="BC291" s="62"/>
      <c r="BD291" s="18"/>
      <c r="BE291" s="121" t="str">
        <f t="shared" si="252"/>
        <v/>
      </c>
      <c r="BF291" s="20"/>
      <c r="BG291" s="20"/>
      <c r="BH291" s="20"/>
      <c r="BI291" s="20"/>
      <c r="BJ291" s="125" t="str">
        <f t="shared" si="253"/>
        <v/>
      </c>
      <c r="BK291" s="14"/>
      <c r="BL291" s="125" t="str">
        <f t="shared" si="254"/>
        <v/>
      </c>
      <c r="BM291" s="20"/>
      <c r="BN291" s="20"/>
      <c r="BO291" s="125" t="str">
        <f t="shared" si="255"/>
        <v/>
      </c>
      <c r="BP291" s="14"/>
      <c r="BQ291" s="125" t="str">
        <f t="shared" si="256"/>
        <v/>
      </c>
      <c r="BR291" s="20"/>
      <c r="BS291" s="20"/>
      <c r="BT291" s="125" t="str">
        <f t="shared" si="257"/>
        <v/>
      </c>
      <c r="BU291" s="125" t="str">
        <f t="shared" si="258"/>
        <v/>
      </c>
      <c r="BV291" s="125" t="str">
        <f t="shared" si="259"/>
        <v/>
      </c>
      <c r="BW291" s="129" t="str">
        <f t="shared" si="260"/>
        <v/>
      </c>
      <c r="BX291" s="13"/>
      <c r="BY291" s="15"/>
      <c r="BZ291" s="14"/>
      <c r="CA291" s="117" t="str">
        <f>IF(_xlfn.XLOOKUP(BY291, AutoFill_classes!$A:$A, AutoFill_classes!$B:$B,"")=0,"",_xlfn.XLOOKUP(BY291, AutoFill_classes!$A:$A, AutoFill_classes!$B:$B,""))</f>
        <v/>
      </c>
      <c r="CB291" s="108"/>
      <c r="CC291" s="14"/>
      <c r="CD291" s="14"/>
      <c r="CE291" s="14"/>
      <c r="CF291" s="21"/>
      <c r="CG291" s="22"/>
      <c r="CH291" s="62"/>
      <c r="CI291" s="23"/>
      <c r="CJ291" s="121" t="str">
        <f t="shared" si="261"/>
        <v/>
      </c>
      <c r="CK291" s="20"/>
      <c r="CL291" s="20"/>
      <c r="CM291" s="20"/>
      <c r="CN291" s="20"/>
      <c r="CO291" s="125" t="str">
        <f t="shared" si="262"/>
        <v/>
      </c>
      <c r="CP291" s="14"/>
      <c r="CQ291" s="125" t="str">
        <f t="shared" si="263"/>
        <v/>
      </c>
      <c r="CR291" s="20"/>
      <c r="CS291" s="20"/>
      <c r="CT291" s="125" t="str">
        <f t="shared" si="264"/>
        <v/>
      </c>
      <c r="CU291" s="14"/>
      <c r="CV291" s="125" t="str">
        <f t="shared" si="265"/>
        <v/>
      </c>
      <c r="CW291" s="20"/>
      <c r="CX291" s="20"/>
      <c r="CY291" s="125" t="str">
        <f t="shared" si="266"/>
        <v/>
      </c>
      <c r="CZ291" s="125" t="str">
        <f t="shared" si="267"/>
        <v/>
      </c>
      <c r="DA291" s="125" t="str">
        <f t="shared" si="268"/>
        <v/>
      </c>
      <c r="DB291" s="129" t="str">
        <f t="shared" si="269"/>
        <v/>
      </c>
      <c r="DC291" s="14"/>
      <c r="DD291" s="62"/>
      <c r="DE291" s="105">
        <v>289</v>
      </c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</row>
    <row r="292" spans="1:176" s="1" customFormat="1" ht="13" hidden="1" customHeight="1" outlineLevel="1" x14ac:dyDescent="0.2">
      <c r="A292" s="4"/>
      <c r="B292" s="115" t="str">
        <f>IF(_xlfn.XLOOKUP(A292, AutoFill_names!B:B, AutoFill_names!C:C,"")=0,"",_xlfn.XLOOKUP(A292, AutoFill_names!B:B, AutoFill_names!C:C,""))</f>
        <v/>
      </c>
      <c r="C292" s="115" t="str">
        <f>IF(_xlfn.XLOOKUP(A292, AutoFill_names!B:B, AutoFill_names!D:D,"")=0,"",_xlfn.XLOOKUP(A292, AutoFill_names!B:B, AutoFill_names!D:D,""))</f>
        <v/>
      </c>
      <c r="D292" s="115" t="str">
        <f>IF(_xlfn.XLOOKUP(A292, AutoFill_names!B:B, AutoFill_names!E:E,"")=0,"",_xlfn.XLOOKUP(A292, AutoFill_names!B:B, AutoFill_names!E:E,""))</f>
        <v/>
      </c>
      <c r="E292" s="115" t="str">
        <f>IF(_xlfn.XLOOKUP(A292, AutoFill_names!B:B, AutoFill_names!F:F,"")=0,"",_xlfn.XLOOKUP(A292, AutoFill_names!B:B, AutoFill_names!F:F,""))</f>
        <v/>
      </c>
      <c r="F292" s="92"/>
      <c r="J292" s="115" t="str">
        <f>IF(_xlfn.XLOOKUP(A292, AutoFill_names!B:B, AutoFill_names!K:K,"")=0,"",_xlfn.XLOOKUP(A292, AutoFill_names!B:B, AutoFill_names!K:K,""))</f>
        <v/>
      </c>
      <c r="K292" s="115" t="str">
        <f>IF(_xlfn.XLOOKUP(A292, AutoFill_names!B:B, AutoFill_names!L:L,"")=0,"",_xlfn.XLOOKUP(A292, AutoFill_names!B:B, AutoFill_names!L:L,""))</f>
        <v/>
      </c>
      <c r="L292" s="31"/>
      <c r="M292" s="31"/>
      <c r="N292" s="117" t="str">
        <f>IF(_xlfn.XLOOKUP(L292, AutoFill_classes!A:A, AutoFill_classes!B:B,"")=0,"",_xlfn.XLOOKUP(L292, AutoFill_classes!A:A, AutoFill_classes!B:B,""))</f>
        <v/>
      </c>
      <c r="O292" s="108"/>
      <c r="P292" s="6"/>
      <c r="Q292" s="6"/>
      <c r="R292" s="6"/>
      <c r="X292" s="62"/>
      <c r="Y292" s="18"/>
      <c r="Z292" s="121" t="str">
        <f t="shared" si="243"/>
        <v/>
      </c>
      <c r="AA292" s="20"/>
      <c r="AB292" s="20"/>
      <c r="AC292" s="20"/>
      <c r="AD292" s="20"/>
      <c r="AE292" s="125" t="str">
        <f t="shared" si="244"/>
        <v/>
      </c>
      <c r="AF292" s="14"/>
      <c r="AG292" s="125" t="str">
        <f t="shared" si="245"/>
        <v/>
      </c>
      <c r="AH292" s="20"/>
      <c r="AI292" s="20"/>
      <c r="AJ292" s="125" t="str">
        <f t="shared" si="246"/>
        <v/>
      </c>
      <c r="AK292" s="14"/>
      <c r="AL292" s="125" t="str">
        <f t="shared" si="247"/>
        <v/>
      </c>
      <c r="AM292" s="20"/>
      <c r="AN292" s="20"/>
      <c r="AO292" s="125" t="str">
        <f t="shared" si="248"/>
        <v/>
      </c>
      <c r="AP292" s="125" t="str">
        <f t="shared" si="249"/>
        <v/>
      </c>
      <c r="AQ292" s="125" t="str">
        <f t="shared" si="250"/>
        <v/>
      </c>
      <c r="AR292" s="129" t="str">
        <f t="shared" si="251"/>
        <v/>
      </c>
      <c r="AS292" s="14"/>
      <c r="AT292" s="13"/>
      <c r="AU292" s="13"/>
      <c r="AV292" s="117" t="str">
        <f>IF(_xlfn.XLOOKUP(AT292, AutoFill_classes!$A:$A, AutoFill_classes!$B:$B,"")=0,"",_xlfn.XLOOKUP(AT292, AutoFill_classes!$A:$A, AutoFill_classes!$B:$B,""))</f>
        <v/>
      </c>
      <c r="AW292" s="108"/>
      <c r="AX292" s="13"/>
      <c r="AY292" s="13"/>
      <c r="AZ292" s="13"/>
      <c r="BA292" s="13"/>
      <c r="BB292" s="13"/>
      <c r="BC292" s="62"/>
      <c r="BD292" s="18"/>
      <c r="BE292" s="121" t="str">
        <f t="shared" si="252"/>
        <v/>
      </c>
      <c r="BF292" s="20"/>
      <c r="BG292" s="20"/>
      <c r="BH292" s="20"/>
      <c r="BI292" s="20"/>
      <c r="BJ292" s="125" t="str">
        <f t="shared" si="253"/>
        <v/>
      </c>
      <c r="BK292" s="14"/>
      <c r="BL292" s="125" t="str">
        <f t="shared" si="254"/>
        <v/>
      </c>
      <c r="BM292" s="20"/>
      <c r="BN292" s="20"/>
      <c r="BO292" s="125" t="str">
        <f t="shared" si="255"/>
        <v/>
      </c>
      <c r="BP292" s="14"/>
      <c r="BQ292" s="125" t="str">
        <f t="shared" si="256"/>
        <v/>
      </c>
      <c r="BR292" s="20"/>
      <c r="BS292" s="20"/>
      <c r="BT292" s="125" t="str">
        <f t="shared" si="257"/>
        <v/>
      </c>
      <c r="BU292" s="125" t="str">
        <f t="shared" si="258"/>
        <v/>
      </c>
      <c r="BV292" s="125" t="str">
        <f t="shared" si="259"/>
        <v/>
      </c>
      <c r="BW292" s="129" t="str">
        <f t="shared" si="260"/>
        <v/>
      </c>
      <c r="BX292" s="13"/>
      <c r="BY292" s="15"/>
      <c r="BZ292" s="14"/>
      <c r="CA292" s="117" t="str">
        <f>IF(_xlfn.XLOOKUP(BY292, AutoFill_classes!$A:$A, AutoFill_classes!$B:$B,"")=0,"",_xlfn.XLOOKUP(BY292, AutoFill_classes!$A:$A, AutoFill_classes!$B:$B,""))</f>
        <v/>
      </c>
      <c r="CB292" s="108"/>
      <c r="CC292" s="14"/>
      <c r="CD292" s="14"/>
      <c r="CE292" s="14"/>
      <c r="CF292" s="21"/>
      <c r="CG292" s="22"/>
      <c r="CH292" s="62"/>
      <c r="CI292" s="23"/>
      <c r="CJ292" s="121" t="str">
        <f t="shared" si="261"/>
        <v/>
      </c>
      <c r="CK292" s="20"/>
      <c r="CL292" s="20"/>
      <c r="CM292" s="20"/>
      <c r="CN292" s="20"/>
      <c r="CO292" s="125" t="str">
        <f t="shared" si="262"/>
        <v/>
      </c>
      <c r="CP292" s="14"/>
      <c r="CQ292" s="125" t="str">
        <f t="shared" si="263"/>
        <v/>
      </c>
      <c r="CR292" s="20"/>
      <c r="CS292" s="20"/>
      <c r="CT292" s="125" t="str">
        <f t="shared" si="264"/>
        <v/>
      </c>
      <c r="CU292" s="14"/>
      <c r="CV292" s="125" t="str">
        <f t="shared" si="265"/>
        <v/>
      </c>
      <c r="CW292" s="20"/>
      <c r="CX292" s="20"/>
      <c r="CY292" s="125" t="str">
        <f t="shared" si="266"/>
        <v/>
      </c>
      <c r="CZ292" s="125" t="str">
        <f t="shared" si="267"/>
        <v/>
      </c>
      <c r="DA292" s="125" t="str">
        <f t="shared" si="268"/>
        <v/>
      </c>
      <c r="DB292" s="129" t="str">
        <f t="shared" si="269"/>
        <v/>
      </c>
      <c r="DC292" s="14"/>
      <c r="DD292" s="62"/>
      <c r="DE292" s="105">
        <v>290</v>
      </c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</row>
    <row r="293" spans="1:176" s="1" customFormat="1" ht="13" hidden="1" customHeight="1" outlineLevel="1" x14ac:dyDescent="0.2">
      <c r="A293" s="4"/>
      <c r="B293" s="115" t="str">
        <f>IF(_xlfn.XLOOKUP(A293, AutoFill_names!B:B, AutoFill_names!C:C,"")=0,"",_xlfn.XLOOKUP(A293, AutoFill_names!B:B, AutoFill_names!C:C,""))</f>
        <v/>
      </c>
      <c r="C293" s="115" t="str">
        <f>IF(_xlfn.XLOOKUP(A293, AutoFill_names!B:B, AutoFill_names!D:D,"")=0,"",_xlfn.XLOOKUP(A293, AutoFill_names!B:B, AutoFill_names!D:D,""))</f>
        <v/>
      </c>
      <c r="D293" s="115" t="str">
        <f>IF(_xlfn.XLOOKUP(A293, AutoFill_names!B:B, AutoFill_names!E:E,"")=0,"",_xlfn.XLOOKUP(A293, AutoFill_names!B:B, AutoFill_names!E:E,""))</f>
        <v/>
      </c>
      <c r="E293" s="115" t="str">
        <f>IF(_xlfn.XLOOKUP(A293, AutoFill_names!B:B, AutoFill_names!F:F,"")=0,"",_xlfn.XLOOKUP(A293, AutoFill_names!B:B, AutoFill_names!F:F,""))</f>
        <v/>
      </c>
      <c r="F293" s="92"/>
      <c r="J293" s="115" t="str">
        <f>IF(_xlfn.XLOOKUP(A293, AutoFill_names!B:B, AutoFill_names!K:K,"")=0,"",_xlfn.XLOOKUP(A293, AutoFill_names!B:B, AutoFill_names!K:K,""))</f>
        <v/>
      </c>
      <c r="K293" s="115" t="str">
        <f>IF(_xlfn.XLOOKUP(A293, AutoFill_names!B:B, AutoFill_names!L:L,"")=0,"",_xlfn.XLOOKUP(A293, AutoFill_names!B:B, AutoFill_names!L:L,""))</f>
        <v/>
      </c>
      <c r="L293" s="31"/>
      <c r="M293" s="31"/>
      <c r="N293" s="117" t="str">
        <f>IF(_xlfn.XLOOKUP(L293, AutoFill_classes!A:A, AutoFill_classes!B:B,"")=0,"",_xlfn.XLOOKUP(L293, AutoFill_classes!A:A, AutoFill_classes!B:B,""))</f>
        <v/>
      </c>
      <c r="O293" s="108"/>
      <c r="P293" s="6"/>
      <c r="Q293" s="6"/>
      <c r="R293" s="6"/>
      <c r="X293" s="62"/>
      <c r="Y293" s="18"/>
      <c r="Z293" s="121" t="str">
        <f t="shared" si="243"/>
        <v/>
      </c>
      <c r="AA293" s="20"/>
      <c r="AB293" s="20"/>
      <c r="AC293" s="20"/>
      <c r="AD293" s="20"/>
      <c r="AE293" s="125" t="str">
        <f t="shared" si="244"/>
        <v/>
      </c>
      <c r="AF293" s="14"/>
      <c r="AG293" s="125" t="str">
        <f t="shared" si="245"/>
        <v/>
      </c>
      <c r="AH293" s="20"/>
      <c r="AI293" s="20"/>
      <c r="AJ293" s="125" t="str">
        <f t="shared" si="246"/>
        <v/>
      </c>
      <c r="AK293" s="14"/>
      <c r="AL293" s="125" t="str">
        <f t="shared" si="247"/>
        <v/>
      </c>
      <c r="AM293" s="20"/>
      <c r="AN293" s="20"/>
      <c r="AO293" s="125" t="str">
        <f t="shared" si="248"/>
        <v/>
      </c>
      <c r="AP293" s="125" t="str">
        <f t="shared" si="249"/>
        <v/>
      </c>
      <c r="AQ293" s="125" t="str">
        <f t="shared" si="250"/>
        <v/>
      </c>
      <c r="AR293" s="129" t="str">
        <f t="shared" si="251"/>
        <v/>
      </c>
      <c r="AS293" s="14"/>
      <c r="AT293" s="13"/>
      <c r="AU293" s="13"/>
      <c r="AV293" s="117" t="str">
        <f>IF(_xlfn.XLOOKUP(AT293, AutoFill_classes!$A:$A, AutoFill_classes!$B:$B,"")=0,"",_xlfn.XLOOKUP(AT293, AutoFill_classes!$A:$A, AutoFill_classes!$B:$B,""))</f>
        <v/>
      </c>
      <c r="AW293" s="108"/>
      <c r="AX293" s="13"/>
      <c r="AY293" s="13"/>
      <c r="AZ293" s="13"/>
      <c r="BA293" s="13"/>
      <c r="BB293" s="13"/>
      <c r="BC293" s="62"/>
      <c r="BD293" s="18"/>
      <c r="BE293" s="121" t="str">
        <f t="shared" si="252"/>
        <v/>
      </c>
      <c r="BF293" s="20"/>
      <c r="BG293" s="20"/>
      <c r="BH293" s="20"/>
      <c r="BI293" s="20"/>
      <c r="BJ293" s="125" t="str">
        <f t="shared" si="253"/>
        <v/>
      </c>
      <c r="BK293" s="14"/>
      <c r="BL293" s="125" t="str">
        <f t="shared" si="254"/>
        <v/>
      </c>
      <c r="BM293" s="20"/>
      <c r="BN293" s="20"/>
      <c r="BO293" s="125" t="str">
        <f t="shared" si="255"/>
        <v/>
      </c>
      <c r="BP293" s="14"/>
      <c r="BQ293" s="125" t="str">
        <f t="shared" si="256"/>
        <v/>
      </c>
      <c r="BR293" s="20"/>
      <c r="BS293" s="20"/>
      <c r="BT293" s="125" t="str">
        <f t="shared" si="257"/>
        <v/>
      </c>
      <c r="BU293" s="125" t="str">
        <f t="shared" si="258"/>
        <v/>
      </c>
      <c r="BV293" s="125" t="str">
        <f t="shared" si="259"/>
        <v/>
      </c>
      <c r="BW293" s="129" t="str">
        <f t="shared" si="260"/>
        <v/>
      </c>
      <c r="BX293" s="13"/>
      <c r="BY293" s="15"/>
      <c r="BZ293" s="14"/>
      <c r="CA293" s="117" t="str">
        <f>IF(_xlfn.XLOOKUP(BY293, AutoFill_classes!$A:$A, AutoFill_classes!$B:$B,"")=0,"",_xlfn.XLOOKUP(BY293, AutoFill_classes!$A:$A, AutoFill_classes!$B:$B,""))</f>
        <v/>
      </c>
      <c r="CB293" s="108"/>
      <c r="CC293" s="14"/>
      <c r="CD293" s="14"/>
      <c r="CE293" s="14"/>
      <c r="CF293" s="21"/>
      <c r="CG293" s="22"/>
      <c r="CH293" s="62"/>
      <c r="CI293" s="23"/>
      <c r="CJ293" s="121" t="str">
        <f t="shared" si="261"/>
        <v/>
      </c>
      <c r="CK293" s="20"/>
      <c r="CL293" s="20"/>
      <c r="CM293" s="20"/>
      <c r="CN293" s="20"/>
      <c r="CO293" s="125" t="str">
        <f t="shared" si="262"/>
        <v/>
      </c>
      <c r="CP293" s="14"/>
      <c r="CQ293" s="125" t="str">
        <f t="shared" si="263"/>
        <v/>
      </c>
      <c r="CR293" s="20"/>
      <c r="CS293" s="20"/>
      <c r="CT293" s="125" t="str">
        <f t="shared" si="264"/>
        <v/>
      </c>
      <c r="CU293" s="14"/>
      <c r="CV293" s="125" t="str">
        <f t="shared" si="265"/>
        <v/>
      </c>
      <c r="CW293" s="20"/>
      <c r="CX293" s="20"/>
      <c r="CY293" s="125" t="str">
        <f t="shared" si="266"/>
        <v/>
      </c>
      <c r="CZ293" s="125" t="str">
        <f t="shared" si="267"/>
        <v/>
      </c>
      <c r="DA293" s="125" t="str">
        <f t="shared" si="268"/>
        <v/>
      </c>
      <c r="DB293" s="129" t="str">
        <f t="shared" si="269"/>
        <v/>
      </c>
      <c r="DC293" s="14"/>
      <c r="DD293" s="62"/>
      <c r="DE293" s="105">
        <v>291</v>
      </c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</row>
    <row r="294" spans="1:176" s="1" customFormat="1" ht="13" hidden="1" customHeight="1" outlineLevel="1" x14ac:dyDescent="0.2">
      <c r="A294" s="4"/>
      <c r="B294" s="115" t="str">
        <f>IF(_xlfn.XLOOKUP(A294, AutoFill_names!B:B, AutoFill_names!C:C,"")=0,"",_xlfn.XLOOKUP(A294, AutoFill_names!B:B, AutoFill_names!C:C,""))</f>
        <v/>
      </c>
      <c r="C294" s="115" t="str">
        <f>IF(_xlfn.XLOOKUP(A294, AutoFill_names!B:B, AutoFill_names!D:D,"")=0,"",_xlfn.XLOOKUP(A294, AutoFill_names!B:B, AutoFill_names!D:D,""))</f>
        <v/>
      </c>
      <c r="D294" s="115" t="str">
        <f>IF(_xlfn.XLOOKUP(A294, AutoFill_names!B:B, AutoFill_names!E:E,"")=0,"",_xlfn.XLOOKUP(A294, AutoFill_names!B:B, AutoFill_names!E:E,""))</f>
        <v/>
      </c>
      <c r="E294" s="115" t="str">
        <f>IF(_xlfn.XLOOKUP(A294, AutoFill_names!B:B, AutoFill_names!F:F,"")=0,"",_xlfn.XLOOKUP(A294, AutoFill_names!B:B, AutoFill_names!F:F,""))</f>
        <v/>
      </c>
      <c r="F294" s="92"/>
      <c r="J294" s="115" t="str">
        <f>IF(_xlfn.XLOOKUP(A294, AutoFill_names!B:B, AutoFill_names!K:K,"")=0,"",_xlfn.XLOOKUP(A294, AutoFill_names!B:B, AutoFill_names!K:K,""))</f>
        <v/>
      </c>
      <c r="K294" s="115" t="str">
        <f>IF(_xlfn.XLOOKUP(A294, AutoFill_names!B:B, AutoFill_names!L:L,"")=0,"",_xlfn.XLOOKUP(A294, AutoFill_names!B:B, AutoFill_names!L:L,""))</f>
        <v/>
      </c>
      <c r="L294" s="31"/>
      <c r="M294" s="31"/>
      <c r="N294" s="117" t="str">
        <f>IF(_xlfn.XLOOKUP(L294, AutoFill_classes!A:A, AutoFill_classes!B:B,"")=0,"",_xlfn.XLOOKUP(L294, AutoFill_classes!A:A, AutoFill_classes!B:B,""))</f>
        <v/>
      </c>
      <c r="O294" s="108"/>
      <c r="P294" s="6"/>
      <c r="Q294" s="6"/>
      <c r="R294" s="6"/>
      <c r="X294" s="62"/>
      <c r="Y294" s="18"/>
      <c r="Z294" s="121" t="str">
        <f t="shared" si="243"/>
        <v/>
      </c>
      <c r="AA294" s="20"/>
      <c r="AB294" s="20"/>
      <c r="AC294" s="20"/>
      <c r="AD294" s="20"/>
      <c r="AE294" s="125" t="str">
        <f t="shared" si="244"/>
        <v/>
      </c>
      <c r="AF294" s="14"/>
      <c r="AG294" s="125" t="str">
        <f t="shared" si="245"/>
        <v/>
      </c>
      <c r="AH294" s="20"/>
      <c r="AI294" s="20"/>
      <c r="AJ294" s="125" t="str">
        <f t="shared" si="246"/>
        <v/>
      </c>
      <c r="AK294" s="14"/>
      <c r="AL294" s="125" t="str">
        <f t="shared" si="247"/>
        <v/>
      </c>
      <c r="AM294" s="20"/>
      <c r="AN294" s="20"/>
      <c r="AO294" s="125" t="str">
        <f t="shared" si="248"/>
        <v/>
      </c>
      <c r="AP294" s="125" t="str">
        <f t="shared" si="249"/>
        <v/>
      </c>
      <c r="AQ294" s="125" t="str">
        <f t="shared" si="250"/>
        <v/>
      </c>
      <c r="AR294" s="129" t="str">
        <f t="shared" si="251"/>
        <v/>
      </c>
      <c r="AS294" s="14"/>
      <c r="AT294" s="13"/>
      <c r="AU294" s="13"/>
      <c r="AV294" s="117" t="str">
        <f>IF(_xlfn.XLOOKUP(AT294, AutoFill_classes!$A:$A, AutoFill_classes!$B:$B,"")=0,"",_xlfn.XLOOKUP(AT294, AutoFill_classes!$A:$A, AutoFill_classes!$B:$B,""))</f>
        <v/>
      </c>
      <c r="AW294" s="108"/>
      <c r="AX294" s="13"/>
      <c r="AY294" s="13"/>
      <c r="AZ294" s="13"/>
      <c r="BA294" s="13"/>
      <c r="BB294" s="13"/>
      <c r="BC294" s="62"/>
      <c r="BD294" s="18"/>
      <c r="BE294" s="121" t="str">
        <f t="shared" si="252"/>
        <v/>
      </c>
      <c r="BF294" s="20"/>
      <c r="BG294" s="20"/>
      <c r="BH294" s="20"/>
      <c r="BI294" s="20"/>
      <c r="BJ294" s="125" t="str">
        <f t="shared" si="253"/>
        <v/>
      </c>
      <c r="BK294" s="14"/>
      <c r="BL294" s="125" t="str">
        <f t="shared" si="254"/>
        <v/>
      </c>
      <c r="BM294" s="20"/>
      <c r="BN294" s="20"/>
      <c r="BO294" s="125" t="str">
        <f t="shared" si="255"/>
        <v/>
      </c>
      <c r="BP294" s="14"/>
      <c r="BQ294" s="125" t="str">
        <f t="shared" si="256"/>
        <v/>
      </c>
      <c r="BR294" s="20"/>
      <c r="BS294" s="20"/>
      <c r="BT294" s="125" t="str">
        <f t="shared" si="257"/>
        <v/>
      </c>
      <c r="BU294" s="125" t="str">
        <f t="shared" si="258"/>
        <v/>
      </c>
      <c r="BV294" s="125" t="str">
        <f t="shared" si="259"/>
        <v/>
      </c>
      <c r="BW294" s="129" t="str">
        <f t="shared" si="260"/>
        <v/>
      </c>
      <c r="BX294" s="13"/>
      <c r="BY294" s="15"/>
      <c r="BZ294" s="14"/>
      <c r="CA294" s="117" t="str">
        <f>IF(_xlfn.XLOOKUP(BY294, AutoFill_classes!$A:$A, AutoFill_classes!$B:$B,"")=0,"",_xlfn.XLOOKUP(BY294, AutoFill_classes!$A:$A, AutoFill_classes!$B:$B,""))</f>
        <v/>
      </c>
      <c r="CB294" s="108"/>
      <c r="CC294" s="14"/>
      <c r="CD294" s="14"/>
      <c r="CE294" s="14"/>
      <c r="CF294" s="21"/>
      <c r="CG294" s="22"/>
      <c r="CH294" s="62"/>
      <c r="CI294" s="23"/>
      <c r="CJ294" s="121" t="str">
        <f t="shared" si="261"/>
        <v/>
      </c>
      <c r="CK294" s="20"/>
      <c r="CL294" s="20"/>
      <c r="CM294" s="20"/>
      <c r="CN294" s="20"/>
      <c r="CO294" s="125" t="str">
        <f t="shared" si="262"/>
        <v/>
      </c>
      <c r="CP294" s="14"/>
      <c r="CQ294" s="125" t="str">
        <f t="shared" si="263"/>
        <v/>
      </c>
      <c r="CR294" s="20"/>
      <c r="CS294" s="20"/>
      <c r="CT294" s="125" t="str">
        <f t="shared" si="264"/>
        <v/>
      </c>
      <c r="CU294" s="14"/>
      <c r="CV294" s="125" t="str">
        <f t="shared" si="265"/>
        <v/>
      </c>
      <c r="CW294" s="20"/>
      <c r="CX294" s="20"/>
      <c r="CY294" s="125" t="str">
        <f t="shared" si="266"/>
        <v/>
      </c>
      <c r="CZ294" s="125" t="str">
        <f t="shared" si="267"/>
        <v/>
      </c>
      <c r="DA294" s="125" t="str">
        <f t="shared" si="268"/>
        <v/>
      </c>
      <c r="DB294" s="129" t="str">
        <f t="shared" si="269"/>
        <v/>
      </c>
      <c r="DC294" s="14"/>
      <c r="DD294" s="62"/>
      <c r="DE294" s="105">
        <v>292</v>
      </c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</row>
    <row r="295" spans="1:176" s="1" customFormat="1" ht="13" hidden="1" customHeight="1" outlineLevel="1" x14ac:dyDescent="0.2">
      <c r="A295" s="4"/>
      <c r="B295" s="115" t="str">
        <f>IF(_xlfn.XLOOKUP(A295, AutoFill_names!B:B, AutoFill_names!C:C,"")=0,"",_xlfn.XLOOKUP(A295, AutoFill_names!B:B, AutoFill_names!C:C,""))</f>
        <v/>
      </c>
      <c r="C295" s="115" t="str">
        <f>IF(_xlfn.XLOOKUP(A295, AutoFill_names!B:B, AutoFill_names!D:D,"")=0,"",_xlfn.XLOOKUP(A295, AutoFill_names!B:B, AutoFill_names!D:D,""))</f>
        <v/>
      </c>
      <c r="D295" s="115" t="str">
        <f>IF(_xlfn.XLOOKUP(A295, AutoFill_names!B:B, AutoFill_names!E:E,"")=0,"",_xlfn.XLOOKUP(A295, AutoFill_names!B:B, AutoFill_names!E:E,""))</f>
        <v/>
      </c>
      <c r="E295" s="115" t="str">
        <f>IF(_xlfn.XLOOKUP(A295, AutoFill_names!B:B, AutoFill_names!F:F,"")=0,"",_xlfn.XLOOKUP(A295, AutoFill_names!B:B, AutoFill_names!F:F,""))</f>
        <v/>
      </c>
      <c r="F295" s="92"/>
      <c r="J295" s="115" t="str">
        <f>IF(_xlfn.XLOOKUP(A295, AutoFill_names!B:B, AutoFill_names!K:K,"")=0,"",_xlfn.XLOOKUP(A295, AutoFill_names!B:B, AutoFill_names!K:K,""))</f>
        <v/>
      </c>
      <c r="K295" s="115" t="str">
        <f>IF(_xlfn.XLOOKUP(A295, AutoFill_names!B:B, AutoFill_names!L:L,"")=0,"",_xlfn.XLOOKUP(A295, AutoFill_names!B:B, AutoFill_names!L:L,""))</f>
        <v/>
      </c>
      <c r="L295" s="31"/>
      <c r="M295" s="31"/>
      <c r="N295" s="117" t="str">
        <f>IF(_xlfn.XLOOKUP(L295, AutoFill_classes!A:A, AutoFill_classes!B:B,"")=0,"",_xlfn.XLOOKUP(L295, AutoFill_classes!A:A, AutoFill_classes!B:B,""))</f>
        <v/>
      </c>
      <c r="O295" s="108"/>
      <c r="P295" s="6"/>
      <c r="Q295" s="6"/>
      <c r="R295" s="6"/>
      <c r="X295" s="62"/>
      <c r="Y295" s="18"/>
      <c r="Z295" s="121" t="str">
        <f t="shared" si="243"/>
        <v/>
      </c>
      <c r="AA295" s="20"/>
      <c r="AB295" s="20"/>
      <c r="AC295" s="20"/>
      <c r="AD295" s="20"/>
      <c r="AE295" s="125" t="str">
        <f t="shared" si="244"/>
        <v/>
      </c>
      <c r="AF295" s="14"/>
      <c r="AG295" s="125" t="str">
        <f t="shared" si="245"/>
        <v/>
      </c>
      <c r="AH295" s="20"/>
      <c r="AI295" s="20"/>
      <c r="AJ295" s="125" t="str">
        <f t="shared" si="246"/>
        <v/>
      </c>
      <c r="AK295" s="14"/>
      <c r="AL295" s="125" t="str">
        <f t="shared" si="247"/>
        <v/>
      </c>
      <c r="AM295" s="20"/>
      <c r="AN295" s="20"/>
      <c r="AO295" s="125" t="str">
        <f t="shared" si="248"/>
        <v/>
      </c>
      <c r="AP295" s="125" t="str">
        <f t="shared" si="249"/>
        <v/>
      </c>
      <c r="AQ295" s="125" t="str">
        <f t="shared" si="250"/>
        <v/>
      </c>
      <c r="AR295" s="129" t="str">
        <f t="shared" si="251"/>
        <v/>
      </c>
      <c r="AS295" s="14"/>
      <c r="AT295" s="13"/>
      <c r="AU295" s="13"/>
      <c r="AV295" s="117" t="str">
        <f>IF(_xlfn.XLOOKUP(AT295, AutoFill_classes!$A:$A, AutoFill_classes!$B:$B,"")=0,"",_xlfn.XLOOKUP(AT295, AutoFill_classes!$A:$A, AutoFill_classes!$B:$B,""))</f>
        <v/>
      </c>
      <c r="AW295" s="108"/>
      <c r="AX295" s="13"/>
      <c r="AY295" s="13"/>
      <c r="AZ295" s="13"/>
      <c r="BA295" s="13"/>
      <c r="BB295" s="13"/>
      <c r="BC295" s="62"/>
      <c r="BD295" s="18"/>
      <c r="BE295" s="121" t="str">
        <f t="shared" si="252"/>
        <v/>
      </c>
      <c r="BF295" s="20"/>
      <c r="BG295" s="20"/>
      <c r="BH295" s="20"/>
      <c r="BI295" s="20"/>
      <c r="BJ295" s="125" t="str">
        <f t="shared" si="253"/>
        <v/>
      </c>
      <c r="BK295" s="14"/>
      <c r="BL295" s="125" t="str">
        <f t="shared" si="254"/>
        <v/>
      </c>
      <c r="BM295" s="20"/>
      <c r="BN295" s="20"/>
      <c r="BO295" s="125" t="str">
        <f t="shared" si="255"/>
        <v/>
      </c>
      <c r="BP295" s="14"/>
      <c r="BQ295" s="125" t="str">
        <f t="shared" si="256"/>
        <v/>
      </c>
      <c r="BR295" s="20"/>
      <c r="BS295" s="20"/>
      <c r="BT295" s="125" t="str">
        <f t="shared" si="257"/>
        <v/>
      </c>
      <c r="BU295" s="125" t="str">
        <f t="shared" si="258"/>
        <v/>
      </c>
      <c r="BV295" s="125" t="str">
        <f t="shared" si="259"/>
        <v/>
      </c>
      <c r="BW295" s="129" t="str">
        <f t="shared" si="260"/>
        <v/>
      </c>
      <c r="BX295" s="13"/>
      <c r="BY295" s="15"/>
      <c r="BZ295" s="14"/>
      <c r="CA295" s="117" t="str">
        <f>IF(_xlfn.XLOOKUP(BY295, AutoFill_classes!$A:$A, AutoFill_classes!$B:$B,"")=0,"",_xlfn.XLOOKUP(BY295, AutoFill_classes!$A:$A, AutoFill_classes!$B:$B,""))</f>
        <v/>
      </c>
      <c r="CB295" s="108"/>
      <c r="CC295" s="14"/>
      <c r="CD295" s="14"/>
      <c r="CE295" s="14"/>
      <c r="CF295" s="21"/>
      <c r="CG295" s="22"/>
      <c r="CH295" s="62"/>
      <c r="CI295" s="23"/>
      <c r="CJ295" s="121" t="str">
        <f t="shared" si="261"/>
        <v/>
      </c>
      <c r="CK295" s="20"/>
      <c r="CL295" s="20"/>
      <c r="CM295" s="20"/>
      <c r="CN295" s="20"/>
      <c r="CO295" s="125" t="str">
        <f t="shared" si="262"/>
        <v/>
      </c>
      <c r="CP295" s="14"/>
      <c r="CQ295" s="125" t="str">
        <f t="shared" si="263"/>
        <v/>
      </c>
      <c r="CR295" s="20"/>
      <c r="CS295" s="20"/>
      <c r="CT295" s="125" t="str">
        <f t="shared" si="264"/>
        <v/>
      </c>
      <c r="CU295" s="14"/>
      <c r="CV295" s="125" t="str">
        <f t="shared" si="265"/>
        <v/>
      </c>
      <c r="CW295" s="20"/>
      <c r="CX295" s="20"/>
      <c r="CY295" s="125" t="str">
        <f t="shared" si="266"/>
        <v/>
      </c>
      <c r="CZ295" s="125" t="str">
        <f t="shared" si="267"/>
        <v/>
      </c>
      <c r="DA295" s="125" t="str">
        <f t="shared" si="268"/>
        <v/>
      </c>
      <c r="DB295" s="129" t="str">
        <f t="shared" si="269"/>
        <v/>
      </c>
      <c r="DC295" s="14"/>
      <c r="DD295" s="62"/>
      <c r="DE295" s="105">
        <v>293</v>
      </c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</row>
    <row r="296" spans="1:176" s="1" customFormat="1" ht="13" hidden="1" customHeight="1" outlineLevel="1" x14ac:dyDescent="0.2">
      <c r="A296" s="4"/>
      <c r="B296" s="115" t="str">
        <f>IF(_xlfn.XLOOKUP(A296, AutoFill_names!B:B, AutoFill_names!C:C,"")=0,"",_xlfn.XLOOKUP(A296, AutoFill_names!B:B, AutoFill_names!C:C,""))</f>
        <v/>
      </c>
      <c r="C296" s="115" t="str">
        <f>IF(_xlfn.XLOOKUP(A296, AutoFill_names!B:B, AutoFill_names!D:D,"")=0,"",_xlfn.XLOOKUP(A296, AutoFill_names!B:B, AutoFill_names!D:D,""))</f>
        <v/>
      </c>
      <c r="D296" s="115" t="str">
        <f>IF(_xlfn.XLOOKUP(A296, AutoFill_names!B:B, AutoFill_names!E:E,"")=0,"",_xlfn.XLOOKUP(A296, AutoFill_names!B:B, AutoFill_names!E:E,""))</f>
        <v/>
      </c>
      <c r="E296" s="115" t="str">
        <f>IF(_xlfn.XLOOKUP(A296, AutoFill_names!B:B, AutoFill_names!F:F,"")=0,"",_xlfn.XLOOKUP(A296, AutoFill_names!B:B, AutoFill_names!F:F,""))</f>
        <v/>
      </c>
      <c r="F296" s="92"/>
      <c r="J296" s="115" t="str">
        <f>IF(_xlfn.XLOOKUP(A296, AutoFill_names!B:B, AutoFill_names!K:K,"")=0,"",_xlfn.XLOOKUP(A296, AutoFill_names!B:B, AutoFill_names!K:K,""))</f>
        <v/>
      </c>
      <c r="K296" s="115" t="str">
        <f>IF(_xlfn.XLOOKUP(A296, AutoFill_names!B:B, AutoFill_names!L:L,"")=0,"",_xlfn.XLOOKUP(A296, AutoFill_names!B:B, AutoFill_names!L:L,""))</f>
        <v/>
      </c>
      <c r="L296" s="31"/>
      <c r="M296" s="31"/>
      <c r="N296" s="117" t="str">
        <f>IF(_xlfn.XLOOKUP(L296, AutoFill_classes!A:A, AutoFill_classes!B:B,"")=0,"",_xlfn.XLOOKUP(L296, AutoFill_classes!A:A, AutoFill_classes!B:B,""))</f>
        <v/>
      </c>
      <c r="O296" s="108"/>
      <c r="P296" s="6"/>
      <c r="Q296" s="6"/>
      <c r="R296" s="6"/>
      <c r="X296" s="62"/>
      <c r="Y296" s="18"/>
      <c r="Z296" s="121" t="str">
        <f t="shared" si="243"/>
        <v/>
      </c>
      <c r="AA296" s="20"/>
      <c r="AB296" s="20"/>
      <c r="AC296" s="20"/>
      <c r="AD296" s="20"/>
      <c r="AE296" s="125" t="str">
        <f t="shared" si="244"/>
        <v/>
      </c>
      <c r="AF296" s="14"/>
      <c r="AG296" s="125" t="str">
        <f t="shared" si="245"/>
        <v/>
      </c>
      <c r="AH296" s="20"/>
      <c r="AI296" s="20"/>
      <c r="AJ296" s="125" t="str">
        <f t="shared" si="246"/>
        <v/>
      </c>
      <c r="AK296" s="14"/>
      <c r="AL296" s="125" t="str">
        <f t="shared" si="247"/>
        <v/>
      </c>
      <c r="AM296" s="20"/>
      <c r="AN296" s="20"/>
      <c r="AO296" s="125" t="str">
        <f t="shared" si="248"/>
        <v/>
      </c>
      <c r="AP296" s="125" t="str">
        <f t="shared" si="249"/>
        <v/>
      </c>
      <c r="AQ296" s="125" t="str">
        <f t="shared" si="250"/>
        <v/>
      </c>
      <c r="AR296" s="129" t="str">
        <f t="shared" si="251"/>
        <v/>
      </c>
      <c r="AS296" s="14"/>
      <c r="AT296" s="13"/>
      <c r="AU296" s="13"/>
      <c r="AV296" s="117" t="str">
        <f>IF(_xlfn.XLOOKUP(AT296, AutoFill_classes!$A:$A, AutoFill_classes!$B:$B,"")=0,"",_xlfn.XLOOKUP(AT296, AutoFill_classes!$A:$A, AutoFill_classes!$B:$B,""))</f>
        <v/>
      </c>
      <c r="AW296" s="108"/>
      <c r="AX296" s="13"/>
      <c r="AY296" s="13"/>
      <c r="AZ296" s="13"/>
      <c r="BA296" s="13"/>
      <c r="BB296" s="13"/>
      <c r="BC296" s="62"/>
      <c r="BD296" s="18"/>
      <c r="BE296" s="121" t="str">
        <f t="shared" si="252"/>
        <v/>
      </c>
      <c r="BF296" s="20"/>
      <c r="BG296" s="20"/>
      <c r="BH296" s="20"/>
      <c r="BI296" s="20"/>
      <c r="BJ296" s="125" t="str">
        <f t="shared" si="253"/>
        <v/>
      </c>
      <c r="BK296" s="14"/>
      <c r="BL296" s="125" t="str">
        <f t="shared" si="254"/>
        <v/>
      </c>
      <c r="BM296" s="20"/>
      <c r="BN296" s="20"/>
      <c r="BO296" s="125" t="str">
        <f t="shared" si="255"/>
        <v/>
      </c>
      <c r="BP296" s="14"/>
      <c r="BQ296" s="125" t="str">
        <f t="shared" si="256"/>
        <v/>
      </c>
      <c r="BR296" s="20"/>
      <c r="BS296" s="20"/>
      <c r="BT296" s="125" t="str">
        <f t="shared" si="257"/>
        <v/>
      </c>
      <c r="BU296" s="125" t="str">
        <f t="shared" si="258"/>
        <v/>
      </c>
      <c r="BV296" s="125" t="str">
        <f t="shared" si="259"/>
        <v/>
      </c>
      <c r="BW296" s="129" t="str">
        <f t="shared" si="260"/>
        <v/>
      </c>
      <c r="BX296" s="13"/>
      <c r="BY296" s="15"/>
      <c r="BZ296" s="14"/>
      <c r="CA296" s="117" t="str">
        <f>IF(_xlfn.XLOOKUP(BY296, AutoFill_classes!$A:$A, AutoFill_classes!$B:$B,"")=0,"",_xlfn.XLOOKUP(BY296, AutoFill_classes!$A:$A, AutoFill_classes!$B:$B,""))</f>
        <v/>
      </c>
      <c r="CB296" s="108"/>
      <c r="CC296" s="14"/>
      <c r="CD296" s="14"/>
      <c r="CE296" s="14"/>
      <c r="CF296" s="21"/>
      <c r="CG296" s="22"/>
      <c r="CH296" s="62"/>
      <c r="CI296" s="23"/>
      <c r="CJ296" s="121" t="str">
        <f t="shared" si="261"/>
        <v/>
      </c>
      <c r="CK296" s="20"/>
      <c r="CL296" s="20"/>
      <c r="CM296" s="20"/>
      <c r="CN296" s="20"/>
      <c r="CO296" s="125" t="str">
        <f t="shared" si="262"/>
        <v/>
      </c>
      <c r="CP296" s="14"/>
      <c r="CQ296" s="125" t="str">
        <f t="shared" si="263"/>
        <v/>
      </c>
      <c r="CR296" s="20"/>
      <c r="CS296" s="20"/>
      <c r="CT296" s="125" t="str">
        <f t="shared" si="264"/>
        <v/>
      </c>
      <c r="CU296" s="14"/>
      <c r="CV296" s="125" t="str">
        <f t="shared" si="265"/>
        <v/>
      </c>
      <c r="CW296" s="20"/>
      <c r="CX296" s="20"/>
      <c r="CY296" s="125" t="str">
        <f t="shared" si="266"/>
        <v/>
      </c>
      <c r="CZ296" s="125" t="str">
        <f t="shared" si="267"/>
        <v/>
      </c>
      <c r="DA296" s="125" t="str">
        <f t="shared" si="268"/>
        <v/>
      </c>
      <c r="DB296" s="129" t="str">
        <f t="shared" si="269"/>
        <v/>
      </c>
      <c r="DC296" s="14"/>
      <c r="DD296" s="62"/>
      <c r="DE296" s="105">
        <v>294</v>
      </c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</row>
    <row r="297" spans="1:176" s="1" customFormat="1" ht="13" hidden="1" customHeight="1" outlineLevel="1" x14ac:dyDescent="0.2">
      <c r="A297" s="4"/>
      <c r="B297" s="115" t="str">
        <f>IF(_xlfn.XLOOKUP(A297, AutoFill_names!B:B, AutoFill_names!C:C,"")=0,"",_xlfn.XLOOKUP(A297, AutoFill_names!B:B, AutoFill_names!C:C,""))</f>
        <v/>
      </c>
      <c r="C297" s="115" t="str">
        <f>IF(_xlfn.XLOOKUP(A297, AutoFill_names!B:B, AutoFill_names!D:D,"")=0,"",_xlfn.XLOOKUP(A297, AutoFill_names!B:B, AutoFill_names!D:D,""))</f>
        <v/>
      </c>
      <c r="D297" s="115" t="str">
        <f>IF(_xlfn.XLOOKUP(A297, AutoFill_names!B:B, AutoFill_names!E:E,"")=0,"",_xlfn.XLOOKUP(A297, AutoFill_names!B:B, AutoFill_names!E:E,""))</f>
        <v/>
      </c>
      <c r="E297" s="115" t="str">
        <f>IF(_xlfn.XLOOKUP(A297, AutoFill_names!B:B, AutoFill_names!F:F,"")=0,"",_xlfn.XLOOKUP(A297, AutoFill_names!B:B, AutoFill_names!F:F,""))</f>
        <v/>
      </c>
      <c r="F297" s="92"/>
      <c r="J297" s="115" t="str">
        <f>IF(_xlfn.XLOOKUP(A297, AutoFill_names!B:B, AutoFill_names!K:K,"")=0,"",_xlfn.XLOOKUP(A297, AutoFill_names!B:B, AutoFill_names!K:K,""))</f>
        <v/>
      </c>
      <c r="K297" s="115" t="str">
        <f>IF(_xlfn.XLOOKUP(A297, AutoFill_names!B:B, AutoFill_names!L:L,"")=0,"",_xlfn.XLOOKUP(A297, AutoFill_names!B:B, AutoFill_names!L:L,""))</f>
        <v/>
      </c>
      <c r="L297" s="31"/>
      <c r="M297" s="31"/>
      <c r="N297" s="117" t="str">
        <f>IF(_xlfn.XLOOKUP(L297, AutoFill_classes!A:A, AutoFill_classes!B:B,"")=0,"",_xlfn.XLOOKUP(L297, AutoFill_classes!A:A, AutoFill_classes!B:B,""))</f>
        <v/>
      </c>
      <c r="O297" s="108"/>
      <c r="P297" s="6"/>
      <c r="Q297" s="6"/>
      <c r="R297" s="6"/>
      <c r="X297" s="62"/>
      <c r="Y297" s="18"/>
      <c r="Z297" s="121" t="str">
        <f t="shared" si="243"/>
        <v/>
      </c>
      <c r="AA297" s="20"/>
      <c r="AB297" s="20"/>
      <c r="AC297" s="20"/>
      <c r="AD297" s="20"/>
      <c r="AE297" s="125" t="str">
        <f t="shared" si="244"/>
        <v/>
      </c>
      <c r="AF297" s="14"/>
      <c r="AG297" s="125" t="str">
        <f t="shared" si="245"/>
        <v/>
      </c>
      <c r="AH297" s="20"/>
      <c r="AI297" s="20"/>
      <c r="AJ297" s="125" t="str">
        <f t="shared" si="246"/>
        <v/>
      </c>
      <c r="AK297" s="14"/>
      <c r="AL297" s="125" t="str">
        <f t="shared" si="247"/>
        <v/>
      </c>
      <c r="AM297" s="20"/>
      <c r="AN297" s="20"/>
      <c r="AO297" s="125" t="str">
        <f t="shared" si="248"/>
        <v/>
      </c>
      <c r="AP297" s="125" t="str">
        <f t="shared" si="249"/>
        <v/>
      </c>
      <c r="AQ297" s="125" t="str">
        <f t="shared" si="250"/>
        <v/>
      </c>
      <c r="AR297" s="129" t="str">
        <f t="shared" si="251"/>
        <v/>
      </c>
      <c r="AS297" s="14"/>
      <c r="AT297" s="13"/>
      <c r="AU297" s="13"/>
      <c r="AV297" s="117" t="str">
        <f>IF(_xlfn.XLOOKUP(AT297, AutoFill_classes!$A:$A, AutoFill_classes!$B:$B,"")=0,"",_xlfn.XLOOKUP(AT297, AutoFill_classes!$A:$A, AutoFill_classes!$B:$B,""))</f>
        <v/>
      </c>
      <c r="AW297" s="108"/>
      <c r="AX297" s="13"/>
      <c r="AY297" s="13"/>
      <c r="AZ297" s="13"/>
      <c r="BA297" s="13"/>
      <c r="BB297" s="13"/>
      <c r="BC297" s="62"/>
      <c r="BD297" s="18"/>
      <c r="BE297" s="121" t="str">
        <f t="shared" si="252"/>
        <v/>
      </c>
      <c r="BF297" s="20"/>
      <c r="BG297" s="20"/>
      <c r="BH297" s="20"/>
      <c r="BI297" s="20"/>
      <c r="BJ297" s="125" t="str">
        <f t="shared" si="253"/>
        <v/>
      </c>
      <c r="BK297" s="14"/>
      <c r="BL297" s="125" t="str">
        <f t="shared" si="254"/>
        <v/>
      </c>
      <c r="BM297" s="20"/>
      <c r="BN297" s="20"/>
      <c r="BO297" s="125" t="str">
        <f t="shared" si="255"/>
        <v/>
      </c>
      <c r="BP297" s="14"/>
      <c r="BQ297" s="125" t="str">
        <f t="shared" si="256"/>
        <v/>
      </c>
      <c r="BR297" s="20"/>
      <c r="BS297" s="20"/>
      <c r="BT297" s="125" t="str">
        <f t="shared" si="257"/>
        <v/>
      </c>
      <c r="BU297" s="125" t="str">
        <f t="shared" si="258"/>
        <v/>
      </c>
      <c r="BV297" s="125" t="str">
        <f t="shared" si="259"/>
        <v/>
      </c>
      <c r="BW297" s="129" t="str">
        <f t="shared" si="260"/>
        <v/>
      </c>
      <c r="BX297" s="13"/>
      <c r="BY297" s="15"/>
      <c r="BZ297" s="14"/>
      <c r="CA297" s="117" t="str">
        <f>IF(_xlfn.XLOOKUP(BY297, AutoFill_classes!$A:$A, AutoFill_classes!$B:$B,"")=0,"",_xlfn.XLOOKUP(BY297, AutoFill_classes!$A:$A, AutoFill_classes!$B:$B,""))</f>
        <v/>
      </c>
      <c r="CB297" s="108"/>
      <c r="CC297" s="14"/>
      <c r="CD297" s="14"/>
      <c r="CE297" s="14"/>
      <c r="CF297" s="21"/>
      <c r="CG297" s="22"/>
      <c r="CH297" s="62"/>
      <c r="CI297" s="23"/>
      <c r="CJ297" s="121" t="str">
        <f t="shared" si="261"/>
        <v/>
      </c>
      <c r="CK297" s="20"/>
      <c r="CL297" s="20"/>
      <c r="CM297" s="20"/>
      <c r="CN297" s="20"/>
      <c r="CO297" s="125" t="str">
        <f t="shared" si="262"/>
        <v/>
      </c>
      <c r="CP297" s="14"/>
      <c r="CQ297" s="125" t="str">
        <f t="shared" si="263"/>
        <v/>
      </c>
      <c r="CR297" s="20"/>
      <c r="CS297" s="20"/>
      <c r="CT297" s="125" t="str">
        <f t="shared" si="264"/>
        <v/>
      </c>
      <c r="CU297" s="14"/>
      <c r="CV297" s="125" t="str">
        <f t="shared" si="265"/>
        <v/>
      </c>
      <c r="CW297" s="20"/>
      <c r="CX297" s="20"/>
      <c r="CY297" s="125" t="str">
        <f t="shared" si="266"/>
        <v/>
      </c>
      <c r="CZ297" s="125" t="str">
        <f t="shared" si="267"/>
        <v/>
      </c>
      <c r="DA297" s="125" t="str">
        <f t="shared" si="268"/>
        <v/>
      </c>
      <c r="DB297" s="129" t="str">
        <f t="shared" si="269"/>
        <v/>
      </c>
      <c r="DC297" s="14"/>
      <c r="DD297" s="62"/>
      <c r="DE297" s="105">
        <v>295</v>
      </c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</row>
    <row r="298" spans="1:176" s="1" customFormat="1" ht="13" hidden="1" customHeight="1" outlineLevel="1" x14ac:dyDescent="0.2">
      <c r="A298" s="4"/>
      <c r="B298" s="115" t="str">
        <f>IF(_xlfn.XLOOKUP(A298, AutoFill_names!B:B, AutoFill_names!C:C,"")=0,"",_xlfn.XLOOKUP(A298, AutoFill_names!B:B, AutoFill_names!C:C,""))</f>
        <v/>
      </c>
      <c r="C298" s="115" t="str">
        <f>IF(_xlfn.XLOOKUP(A298, AutoFill_names!B:B, AutoFill_names!D:D,"")=0,"",_xlfn.XLOOKUP(A298, AutoFill_names!B:B, AutoFill_names!D:D,""))</f>
        <v/>
      </c>
      <c r="D298" s="115" t="str">
        <f>IF(_xlfn.XLOOKUP(A298, AutoFill_names!B:B, AutoFill_names!E:E,"")=0,"",_xlfn.XLOOKUP(A298, AutoFill_names!B:B, AutoFill_names!E:E,""))</f>
        <v/>
      </c>
      <c r="E298" s="115" t="str">
        <f>IF(_xlfn.XLOOKUP(A298, AutoFill_names!B:B, AutoFill_names!F:F,"")=0,"",_xlfn.XLOOKUP(A298, AutoFill_names!B:B, AutoFill_names!F:F,""))</f>
        <v/>
      </c>
      <c r="F298" s="92"/>
      <c r="J298" s="115" t="str">
        <f>IF(_xlfn.XLOOKUP(A298, AutoFill_names!B:B, AutoFill_names!K:K,"")=0,"",_xlfn.XLOOKUP(A298, AutoFill_names!B:B, AutoFill_names!K:K,""))</f>
        <v/>
      </c>
      <c r="K298" s="115" t="str">
        <f>IF(_xlfn.XLOOKUP(A298, AutoFill_names!B:B, AutoFill_names!L:L,"")=0,"",_xlfn.XLOOKUP(A298, AutoFill_names!B:B, AutoFill_names!L:L,""))</f>
        <v/>
      </c>
      <c r="L298" s="31"/>
      <c r="M298" s="31"/>
      <c r="N298" s="117" t="str">
        <f>IF(_xlfn.XLOOKUP(L298, AutoFill_classes!A:A, AutoFill_classes!B:B,"")=0,"",_xlfn.XLOOKUP(L298, AutoFill_classes!A:A, AutoFill_classes!B:B,""))</f>
        <v/>
      </c>
      <c r="O298" s="108"/>
      <c r="P298" s="6"/>
      <c r="Q298" s="6"/>
      <c r="R298" s="6"/>
      <c r="X298" s="62"/>
      <c r="Y298" s="18"/>
      <c r="Z298" s="121" t="str">
        <f t="shared" si="243"/>
        <v/>
      </c>
      <c r="AA298" s="20"/>
      <c r="AB298" s="20"/>
      <c r="AC298" s="20"/>
      <c r="AD298" s="20"/>
      <c r="AE298" s="125" t="str">
        <f t="shared" si="244"/>
        <v/>
      </c>
      <c r="AF298" s="14"/>
      <c r="AG298" s="125" t="str">
        <f t="shared" si="245"/>
        <v/>
      </c>
      <c r="AH298" s="20"/>
      <c r="AI298" s="20"/>
      <c r="AJ298" s="125" t="str">
        <f t="shared" si="246"/>
        <v/>
      </c>
      <c r="AK298" s="14"/>
      <c r="AL298" s="125" t="str">
        <f t="shared" si="247"/>
        <v/>
      </c>
      <c r="AM298" s="20"/>
      <c r="AN298" s="20"/>
      <c r="AO298" s="125" t="str">
        <f t="shared" si="248"/>
        <v/>
      </c>
      <c r="AP298" s="125" t="str">
        <f t="shared" si="249"/>
        <v/>
      </c>
      <c r="AQ298" s="125" t="str">
        <f t="shared" si="250"/>
        <v/>
      </c>
      <c r="AR298" s="129" t="str">
        <f t="shared" si="251"/>
        <v/>
      </c>
      <c r="AS298" s="14"/>
      <c r="AT298" s="13"/>
      <c r="AU298" s="13"/>
      <c r="AV298" s="117" t="str">
        <f>IF(_xlfn.XLOOKUP(AT298, AutoFill_classes!$A:$A, AutoFill_classes!$B:$B,"")=0,"",_xlfn.XLOOKUP(AT298, AutoFill_classes!$A:$A, AutoFill_classes!$B:$B,""))</f>
        <v/>
      </c>
      <c r="AW298" s="108"/>
      <c r="AX298" s="13"/>
      <c r="AY298" s="13"/>
      <c r="AZ298" s="13"/>
      <c r="BA298" s="13"/>
      <c r="BB298" s="13"/>
      <c r="BC298" s="62"/>
      <c r="BD298" s="18"/>
      <c r="BE298" s="121" t="str">
        <f t="shared" si="252"/>
        <v/>
      </c>
      <c r="BF298" s="20"/>
      <c r="BG298" s="20"/>
      <c r="BH298" s="20"/>
      <c r="BI298" s="20"/>
      <c r="BJ298" s="125" t="str">
        <f t="shared" si="253"/>
        <v/>
      </c>
      <c r="BK298" s="14"/>
      <c r="BL298" s="125" t="str">
        <f t="shared" si="254"/>
        <v/>
      </c>
      <c r="BM298" s="20"/>
      <c r="BN298" s="20"/>
      <c r="BO298" s="125" t="str">
        <f t="shared" si="255"/>
        <v/>
      </c>
      <c r="BP298" s="14"/>
      <c r="BQ298" s="125" t="str">
        <f t="shared" si="256"/>
        <v/>
      </c>
      <c r="BR298" s="20"/>
      <c r="BS298" s="20"/>
      <c r="BT298" s="125" t="str">
        <f t="shared" si="257"/>
        <v/>
      </c>
      <c r="BU298" s="125" t="str">
        <f t="shared" si="258"/>
        <v/>
      </c>
      <c r="BV298" s="125" t="str">
        <f t="shared" si="259"/>
        <v/>
      </c>
      <c r="BW298" s="129" t="str">
        <f t="shared" si="260"/>
        <v/>
      </c>
      <c r="BX298" s="13"/>
      <c r="BY298" s="15"/>
      <c r="BZ298" s="14"/>
      <c r="CA298" s="117" t="str">
        <f>IF(_xlfn.XLOOKUP(BY298, AutoFill_classes!$A:$A, AutoFill_classes!$B:$B,"")=0,"",_xlfn.XLOOKUP(BY298, AutoFill_classes!$A:$A, AutoFill_classes!$B:$B,""))</f>
        <v/>
      </c>
      <c r="CB298" s="108"/>
      <c r="CC298" s="14"/>
      <c r="CD298" s="14"/>
      <c r="CE298" s="14"/>
      <c r="CF298" s="21"/>
      <c r="CG298" s="22"/>
      <c r="CH298" s="62"/>
      <c r="CI298" s="23"/>
      <c r="CJ298" s="121" t="str">
        <f t="shared" si="261"/>
        <v/>
      </c>
      <c r="CK298" s="20"/>
      <c r="CL298" s="20"/>
      <c r="CM298" s="20"/>
      <c r="CN298" s="20"/>
      <c r="CO298" s="125" t="str">
        <f t="shared" si="262"/>
        <v/>
      </c>
      <c r="CP298" s="14"/>
      <c r="CQ298" s="125" t="str">
        <f t="shared" si="263"/>
        <v/>
      </c>
      <c r="CR298" s="20"/>
      <c r="CS298" s="20"/>
      <c r="CT298" s="125" t="str">
        <f t="shared" si="264"/>
        <v/>
      </c>
      <c r="CU298" s="14"/>
      <c r="CV298" s="125" t="str">
        <f t="shared" si="265"/>
        <v/>
      </c>
      <c r="CW298" s="20"/>
      <c r="CX298" s="20"/>
      <c r="CY298" s="125" t="str">
        <f t="shared" si="266"/>
        <v/>
      </c>
      <c r="CZ298" s="125" t="str">
        <f t="shared" si="267"/>
        <v/>
      </c>
      <c r="DA298" s="125" t="str">
        <f t="shared" si="268"/>
        <v/>
      </c>
      <c r="DB298" s="129" t="str">
        <f t="shared" si="269"/>
        <v/>
      </c>
      <c r="DC298" s="14"/>
      <c r="DD298" s="62"/>
      <c r="DE298" s="105">
        <v>296</v>
      </c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</row>
    <row r="299" spans="1:176" s="1" customFormat="1" ht="13" hidden="1" customHeight="1" outlineLevel="1" x14ac:dyDescent="0.2">
      <c r="A299" s="4"/>
      <c r="B299" s="115" t="str">
        <f>IF(_xlfn.XLOOKUP(A299, AutoFill_names!B:B, AutoFill_names!C:C,"")=0,"",_xlfn.XLOOKUP(A299, AutoFill_names!B:B, AutoFill_names!C:C,""))</f>
        <v/>
      </c>
      <c r="C299" s="115" t="str">
        <f>IF(_xlfn.XLOOKUP(A299, AutoFill_names!B:B, AutoFill_names!D:D,"")=0,"",_xlfn.XLOOKUP(A299, AutoFill_names!B:B, AutoFill_names!D:D,""))</f>
        <v/>
      </c>
      <c r="D299" s="115" t="str">
        <f>IF(_xlfn.XLOOKUP(A299, AutoFill_names!B:B, AutoFill_names!E:E,"")=0,"",_xlfn.XLOOKUP(A299, AutoFill_names!B:B, AutoFill_names!E:E,""))</f>
        <v/>
      </c>
      <c r="E299" s="115" t="str">
        <f>IF(_xlfn.XLOOKUP(A299, AutoFill_names!B:B, AutoFill_names!F:F,"")=0,"",_xlfn.XLOOKUP(A299, AutoFill_names!B:B, AutoFill_names!F:F,""))</f>
        <v/>
      </c>
      <c r="F299" s="92"/>
      <c r="J299" s="115" t="str">
        <f>IF(_xlfn.XLOOKUP(A299, AutoFill_names!B:B, AutoFill_names!K:K,"")=0,"",_xlfn.XLOOKUP(A299, AutoFill_names!B:B, AutoFill_names!K:K,""))</f>
        <v/>
      </c>
      <c r="K299" s="115" t="str">
        <f>IF(_xlfn.XLOOKUP(A299, AutoFill_names!B:B, AutoFill_names!L:L,"")=0,"",_xlfn.XLOOKUP(A299, AutoFill_names!B:B, AutoFill_names!L:L,""))</f>
        <v/>
      </c>
      <c r="L299" s="31"/>
      <c r="M299" s="31"/>
      <c r="N299" s="117" t="str">
        <f>IF(_xlfn.XLOOKUP(L299, AutoFill_classes!A:A, AutoFill_classes!B:B,"")=0,"",_xlfn.XLOOKUP(L299, AutoFill_classes!A:A, AutoFill_classes!B:B,""))</f>
        <v/>
      </c>
      <c r="O299" s="108"/>
      <c r="P299" s="6"/>
      <c r="Q299" s="6"/>
      <c r="R299" s="6"/>
      <c r="X299" s="62"/>
      <c r="Y299" s="18"/>
      <c r="Z299" s="121" t="str">
        <f t="shared" si="243"/>
        <v/>
      </c>
      <c r="AA299" s="20"/>
      <c r="AB299" s="20"/>
      <c r="AC299" s="20"/>
      <c r="AD299" s="20"/>
      <c r="AE299" s="125" t="str">
        <f t="shared" si="244"/>
        <v/>
      </c>
      <c r="AF299" s="14"/>
      <c r="AG299" s="125" t="str">
        <f t="shared" si="245"/>
        <v/>
      </c>
      <c r="AH299" s="20"/>
      <c r="AI299" s="20"/>
      <c r="AJ299" s="125" t="str">
        <f t="shared" si="246"/>
        <v/>
      </c>
      <c r="AK299" s="14"/>
      <c r="AL299" s="125" t="str">
        <f t="shared" si="247"/>
        <v/>
      </c>
      <c r="AM299" s="20"/>
      <c r="AN299" s="20"/>
      <c r="AO299" s="125" t="str">
        <f t="shared" si="248"/>
        <v/>
      </c>
      <c r="AP299" s="125" t="str">
        <f t="shared" si="249"/>
        <v/>
      </c>
      <c r="AQ299" s="125" t="str">
        <f t="shared" si="250"/>
        <v/>
      </c>
      <c r="AR299" s="129" t="str">
        <f t="shared" si="251"/>
        <v/>
      </c>
      <c r="AS299" s="14"/>
      <c r="AT299" s="13"/>
      <c r="AU299" s="13"/>
      <c r="AV299" s="117" t="str">
        <f>IF(_xlfn.XLOOKUP(AT299, AutoFill_classes!$A:$A, AutoFill_classes!$B:$B,"")=0,"",_xlfn.XLOOKUP(AT299, AutoFill_classes!$A:$A, AutoFill_classes!$B:$B,""))</f>
        <v/>
      </c>
      <c r="AW299" s="108"/>
      <c r="AX299" s="13"/>
      <c r="AY299" s="13"/>
      <c r="AZ299" s="13"/>
      <c r="BA299" s="13"/>
      <c r="BB299" s="13"/>
      <c r="BC299" s="62"/>
      <c r="BD299" s="18"/>
      <c r="BE299" s="121" t="str">
        <f t="shared" si="252"/>
        <v/>
      </c>
      <c r="BF299" s="20"/>
      <c r="BG299" s="20"/>
      <c r="BH299" s="20"/>
      <c r="BI299" s="20"/>
      <c r="BJ299" s="125" t="str">
        <f t="shared" si="253"/>
        <v/>
      </c>
      <c r="BK299" s="14"/>
      <c r="BL299" s="125" t="str">
        <f t="shared" si="254"/>
        <v/>
      </c>
      <c r="BM299" s="20"/>
      <c r="BN299" s="20"/>
      <c r="BO299" s="125" t="str">
        <f t="shared" si="255"/>
        <v/>
      </c>
      <c r="BP299" s="14"/>
      <c r="BQ299" s="125" t="str">
        <f t="shared" si="256"/>
        <v/>
      </c>
      <c r="BR299" s="20"/>
      <c r="BS299" s="20"/>
      <c r="BT299" s="125" t="str">
        <f t="shared" si="257"/>
        <v/>
      </c>
      <c r="BU299" s="125" t="str">
        <f t="shared" si="258"/>
        <v/>
      </c>
      <c r="BV299" s="125" t="str">
        <f t="shared" si="259"/>
        <v/>
      </c>
      <c r="BW299" s="129" t="str">
        <f t="shared" si="260"/>
        <v/>
      </c>
      <c r="BX299" s="13"/>
      <c r="BY299" s="15"/>
      <c r="BZ299" s="14"/>
      <c r="CA299" s="117" t="str">
        <f>IF(_xlfn.XLOOKUP(BY299, AutoFill_classes!$A:$A, AutoFill_classes!$B:$B,"")=0,"",_xlfn.XLOOKUP(BY299, AutoFill_classes!$A:$A, AutoFill_classes!$B:$B,""))</f>
        <v/>
      </c>
      <c r="CB299" s="108"/>
      <c r="CC299" s="14"/>
      <c r="CD299" s="14"/>
      <c r="CE299" s="14"/>
      <c r="CF299" s="21"/>
      <c r="CG299" s="22"/>
      <c r="CH299" s="62"/>
      <c r="CI299" s="23"/>
      <c r="CJ299" s="121" t="str">
        <f t="shared" si="261"/>
        <v/>
      </c>
      <c r="CK299" s="20"/>
      <c r="CL299" s="20"/>
      <c r="CM299" s="20"/>
      <c r="CN299" s="20"/>
      <c r="CO299" s="125" t="str">
        <f t="shared" si="262"/>
        <v/>
      </c>
      <c r="CP299" s="14"/>
      <c r="CQ299" s="125" t="str">
        <f t="shared" si="263"/>
        <v/>
      </c>
      <c r="CR299" s="20"/>
      <c r="CS299" s="20"/>
      <c r="CT299" s="125" t="str">
        <f t="shared" si="264"/>
        <v/>
      </c>
      <c r="CU299" s="14"/>
      <c r="CV299" s="125" t="str">
        <f t="shared" si="265"/>
        <v/>
      </c>
      <c r="CW299" s="20"/>
      <c r="CX299" s="20"/>
      <c r="CY299" s="125" t="str">
        <f t="shared" si="266"/>
        <v/>
      </c>
      <c r="CZ299" s="125" t="str">
        <f t="shared" si="267"/>
        <v/>
      </c>
      <c r="DA299" s="125" t="str">
        <f t="shared" si="268"/>
        <v/>
      </c>
      <c r="DB299" s="129" t="str">
        <f t="shared" si="269"/>
        <v/>
      </c>
      <c r="DC299" s="14"/>
      <c r="DD299" s="62"/>
      <c r="DE299" s="105">
        <v>297</v>
      </c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</row>
    <row r="300" spans="1:176" s="1" customFormat="1" ht="13" hidden="1" customHeight="1" outlineLevel="1" x14ac:dyDescent="0.2">
      <c r="A300" s="4"/>
      <c r="B300" s="115" t="str">
        <f>IF(_xlfn.XLOOKUP(A300, AutoFill_names!B:B, AutoFill_names!C:C,"")=0,"",_xlfn.XLOOKUP(A300, AutoFill_names!B:B, AutoFill_names!C:C,""))</f>
        <v/>
      </c>
      <c r="C300" s="115" t="str">
        <f>IF(_xlfn.XLOOKUP(A300, AutoFill_names!B:B, AutoFill_names!D:D,"")=0,"",_xlfn.XLOOKUP(A300, AutoFill_names!B:B, AutoFill_names!D:D,""))</f>
        <v/>
      </c>
      <c r="D300" s="115" t="str">
        <f>IF(_xlfn.XLOOKUP(A300, AutoFill_names!B:B, AutoFill_names!E:E,"")=0,"",_xlfn.XLOOKUP(A300, AutoFill_names!B:B, AutoFill_names!E:E,""))</f>
        <v/>
      </c>
      <c r="E300" s="115" t="str">
        <f>IF(_xlfn.XLOOKUP(A300, AutoFill_names!B:B, AutoFill_names!F:F,"")=0,"",_xlfn.XLOOKUP(A300, AutoFill_names!B:B, AutoFill_names!F:F,""))</f>
        <v/>
      </c>
      <c r="F300" s="92"/>
      <c r="J300" s="115" t="str">
        <f>IF(_xlfn.XLOOKUP(A300, AutoFill_names!B:B, AutoFill_names!K:K,"")=0,"",_xlfn.XLOOKUP(A300, AutoFill_names!B:B, AutoFill_names!K:K,""))</f>
        <v/>
      </c>
      <c r="K300" s="115" t="str">
        <f>IF(_xlfn.XLOOKUP(A300, AutoFill_names!B:B, AutoFill_names!L:L,"")=0,"",_xlfn.XLOOKUP(A300, AutoFill_names!B:B, AutoFill_names!L:L,""))</f>
        <v/>
      </c>
      <c r="L300" s="31"/>
      <c r="M300" s="31"/>
      <c r="N300" s="117" t="str">
        <f>IF(_xlfn.XLOOKUP(L300, AutoFill_classes!A:A, AutoFill_classes!B:B,"")=0,"",_xlfn.XLOOKUP(L300, AutoFill_classes!A:A, AutoFill_classes!B:B,""))</f>
        <v/>
      </c>
      <c r="O300" s="108"/>
      <c r="P300" s="6"/>
      <c r="Q300" s="6"/>
      <c r="R300" s="6"/>
      <c r="X300" s="62"/>
      <c r="Y300" s="18"/>
      <c r="Z300" s="121" t="str">
        <f t="shared" si="243"/>
        <v/>
      </c>
      <c r="AA300" s="20"/>
      <c r="AB300" s="20"/>
      <c r="AC300" s="20"/>
      <c r="AD300" s="20"/>
      <c r="AE300" s="125" t="str">
        <f t="shared" si="244"/>
        <v/>
      </c>
      <c r="AF300" s="14"/>
      <c r="AG300" s="125" t="str">
        <f t="shared" si="245"/>
        <v/>
      </c>
      <c r="AH300" s="20"/>
      <c r="AI300" s="20"/>
      <c r="AJ300" s="125" t="str">
        <f t="shared" si="246"/>
        <v/>
      </c>
      <c r="AK300" s="14"/>
      <c r="AL300" s="125" t="str">
        <f t="shared" si="247"/>
        <v/>
      </c>
      <c r="AM300" s="20"/>
      <c r="AN300" s="20"/>
      <c r="AO300" s="125" t="str">
        <f t="shared" si="248"/>
        <v/>
      </c>
      <c r="AP300" s="125" t="str">
        <f t="shared" si="249"/>
        <v/>
      </c>
      <c r="AQ300" s="125" t="str">
        <f t="shared" si="250"/>
        <v/>
      </c>
      <c r="AR300" s="129" t="str">
        <f t="shared" si="251"/>
        <v/>
      </c>
      <c r="AS300" s="14"/>
      <c r="AT300" s="13"/>
      <c r="AU300" s="13"/>
      <c r="AV300" s="117" t="str">
        <f>IF(_xlfn.XLOOKUP(AT300, AutoFill_classes!$A:$A, AutoFill_classes!$B:$B,"")=0,"",_xlfn.XLOOKUP(AT300, AutoFill_classes!$A:$A, AutoFill_classes!$B:$B,""))</f>
        <v/>
      </c>
      <c r="AW300" s="108"/>
      <c r="AX300" s="13"/>
      <c r="AY300" s="13"/>
      <c r="AZ300" s="13"/>
      <c r="BA300" s="13"/>
      <c r="BB300" s="13"/>
      <c r="BC300" s="62"/>
      <c r="BD300" s="18"/>
      <c r="BE300" s="121" t="str">
        <f t="shared" si="252"/>
        <v/>
      </c>
      <c r="BF300" s="20"/>
      <c r="BG300" s="20"/>
      <c r="BH300" s="20"/>
      <c r="BI300" s="20"/>
      <c r="BJ300" s="125" t="str">
        <f t="shared" si="253"/>
        <v/>
      </c>
      <c r="BK300" s="14"/>
      <c r="BL300" s="125" t="str">
        <f t="shared" si="254"/>
        <v/>
      </c>
      <c r="BM300" s="20"/>
      <c r="BN300" s="20"/>
      <c r="BO300" s="125" t="str">
        <f t="shared" si="255"/>
        <v/>
      </c>
      <c r="BP300" s="14"/>
      <c r="BQ300" s="125" t="str">
        <f t="shared" si="256"/>
        <v/>
      </c>
      <c r="BR300" s="20"/>
      <c r="BS300" s="20"/>
      <c r="BT300" s="125" t="str">
        <f t="shared" si="257"/>
        <v/>
      </c>
      <c r="BU300" s="125" t="str">
        <f t="shared" si="258"/>
        <v/>
      </c>
      <c r="BV300" s="125" t="str">
        <f t="shared" si="259"/>
        <v/>
      </c>
      <c r="BW300" s="129" t="str">
        <f t="shared" si="260"/>
        <v/>
      </c>
      <c r="BX300" s="13"/>
      <c r="BY300" s="15"/>
      <c r="BZ300" s="14"/>
      <c r="CA300" s="117" t="str">
        <f>IF(_xlfn.XLOOKUP(BY300, AutoFill_classes!$A:$A, AutoFill_classes!$B:$B,"")=0,"",_xlfn.XLOOKUP(BY300, AutoFill_classes!$A:$A, AutoFill_classes!$B:$B,""))</f>
        <v/>
      </c>
      <c r="CB300" s="108"/>
      <c r="CC300" s="14"/>
      <c r="CD300" s="14"/>
      <c r="CE300" s="14"/>
      <c r="CF300" s="21"/>
      <c r="CG300" s="22"/>
      <c r="CH300" s="62"/>
      <c r="CI300" s="23"/>
      <c r="CJ300" s="121" t="str">
        <f t="shared" si="261"/>
        <v/>
      </c>
      <c r="CK300" s="20"/>
      <c r="CL300" s="20"/>
      <c r="CM300" s="20"/>
      <c r="CN300" s="20"/>
      <c r="CO300" s="125" t="str">
        <f t="shared" si="262"/>
        <v/>
      </c>
      <c r="CP300" s="14"/>
      <c r="CQ300" s="125" t="str">
        <f t="shared" si="263"/>
        <v/>
      </c>
      <c r="CR300" s="20"/>
      <c r="CS300" s="20"/>
      <c r="CT300" s="125" t="str">
        <f t="shared" si="264"/>
        <v/>
      </c>
      <c r="CU300" s="14"/>
      <c r="CV300" s="125" t="str">
        <f t="shared" si="265"/>
        <v/>
      </c>
      <c r="CW300" s="20"/>
      <c r="CX300" s="20"/>
      <c r="CY300" s="125" t="str">
        <f t="shared" si="266"/>
        <v/>
      </c>
      <c r="CZ300" s="125" t="str">
        <f t="shared" si="267"/>
        <v/>
      </c>
      <c r="DA300" s="125" t="str">
        <f t="shared" si="268"/>
        <v/>
      </c>
      <c r="DB300" s="129" t="str">
        <f t="shared" si="269"/>
        <v/>
      </c>
      <c r="DC300" s="14"/>
      <c r="DD300" s="62"/>
      <c r="DE300" s="105">
        <v>298</v>
      </c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</row>
    <row r="301" spans="1:176" s="1" customFormat="1" ht="13" hidden="1" customHeight="1" outlineLevel="1" x14ac:dyDescent="0.2">
      <c r="A301" s="4"/>
      <c r="B301" s="115" t="str">
        <f>IF(_xlfn.XLOOKUP(A301, AutoFill_names!B:B, AutoFill_names!C:C,"")=0,"",_xlfn.XLOOKUP(A301, AutoFill_names!B:B, AutoFill_names!C:C,""))</f>
        <v/>
      </c>
      <c r="C301" s="115" t="str">
        <f>IF(_xlfn.XLOOKUP(A301, AutoFill_names!B:B, AutoFill_names!D:D,"")=0,"",_xlfn.XLOOKUP(A301, AutoFill_names!B:B, AutoFill_names!D:D,""))</f>
        <v/>
      </c>
      <c r="D301" s="115" t="str">
        <f>IF(_xlfn.XLOOKUP(A301, AutoFill_names!B:B, AutoFill_names!E:E,"")=0,"",_xlfn.XLOOKUP(A301, AutoFill_names!B:B, AutoFill_names!E:E,""))</f>
        <v/>
      </c>
      <c r="E301" s="115" t="str">
        <f>IF(_xlfn.XLOOKUP(A301, AutoFill_names!B:B, AutoFill_names!F:F,"")=0,"",_xlfn.XLOOKUP(A301, AutoFill_names!B:B, AutoFill_names!F:F,""))</f>
        <v/>
      </c>
      <c r="F301" s="92"/>
      <c r="J301" s="115" t="str">
        <f>IF(_xlfn.XLOOKUP(A301, AutoFill_names!B:B, AutoFill_names!K:K,"")=0,"",_xlfn.XLOOKUP(A301, AutoFill_names!B:B, AutoFill_names!K:K,""))</f>
        <v/>
      </c>
      <c r="K301" s="115" t="str">
        <f>IF(_xlfn.XLOOKUP(A301, AutoFill_names!B:B, AutoFill_names!L:L,"")=0,"",_xlfn.XLOOKUP(A301, AutoFill_names!B:B, AutoFill_names!L:L,""))</f>
        <v/>
      </c>
      <c r="L301" s="31"/>
      <c r="M301" s="31"/>
      <c r="N301" s="117" t="str">
        <f>IF(_xlfn.XLOOKUP(L301, AutoFill_classes!A:A, AutoFill_classes!B:B,"")=0,"",_xlfn.XLOOKUP(L301, AutoFill_classes!A:A, AutoFill_classes!B:B,""))</f>
        <v/>
      </c>
      <c r="O301" s="108"/>
      <c r="P301" s="6"/>
      <c r="Q301" s="6"/>
      <c r="R301" s="6"/>
      <c r="X301" s="62"/>
      <c r="Y301" s="18"/>
      <c r="Z301" s="121" t="str">
        <f t="shared" si="243"/>
        <v/>
      </c>
      <c r="AA301" s="20"/>
      <c r="AB301" s="20"/>
      <c r="AC301" s="20"/>
      <c r="AD301" s="20"/>
      <c r="AE301" s="125" t="str">
        <f t="shared" si="244"/>
        <v/>
      </c>
      <c r="AF301" s="14"/>
      <c r="AG301" s="125" t="str">
        <f t="shared" si="245"/>
        <v/>
      </c>
      <c r="AH301" s="20"/>
      <c r="AI301" s="20"/>
      <c r="AJ301" s="125" t="str">
        <f t="shared" si="246"/>
        <v/>
      </c>
      <c r="AK301" s="14"/>
      <c r="AL301" s="125" t="str">
        <f t="shared" si="247"/>
        <v/>
      </c>
      <c r="AM301" s="20"/>
      <c r="AN301" s="20"/>
      <c r="AO301" s="125" t="str">
        <f t="shared" si="248"/>
        <v/>
      </c>
      <c r="AP301" s="125" t="str">
        <f t="shared" si="249"/>
        <v/>
      </c>
      <c r="AQ301" s="125" t="str">
        <f t="shared" si="250"/>
        <v/>
      </c>
      <c r="AR301" s="129" t="str">
        <f t="shared" si="251"/>
        <v/>
      </c>
      <c r="AS301" s="14"/>
      <c r="AT301" s="13"/>
      <c r="AU301" s="13"/>
      <c r="AV301" s="117" t="str">
        <f>IF(_xlfn.XLOOKUP(AT301, AutoFill_classes!$A:$A, AutoFill_classes!$B:$B,"")=0,"",_xlfn.XLOOKUP(AT301, AutoFill_classes!$A:$A, AutoFill_classes!$B:$B,""))</f>
        <v/>
      </c>
      <c r="AW301" s="108"/>
      <c r="AX301" s="13"/>
      <c r="AY301" s="13"/>
      <c r="AZ301" s="13"/>
      <c r="BA301" s="13"/>
      <c r="BB301" s="13"/>
      <c r="BC301" s="62"/>
      <c r="BD301" s="18"/>
      <c r="BE301" s="121" t="str">
        <f t="shared" si="252"/>
        <v/>
      </c>
      <c r="BF301" s="20"/>
      <c r="BG301" s="20"/>
      <c r="BH301" s="20"/>
      <c r="BI301" s="20"/>
      <c r="BJ301" s="125" t="str">
        <f t="shared" si="253"/>
        <v/>
      </c>
      <c r="BK301" s="14"/>
      <c r="BL301" s="125" t="str">
        <f t="shared" si="254"/>
        <v/>
      </c>
      <c r="BM301" s="20"/>
      <c r="BN301" s="20"/>
      <c r="BO301" s="125" t="str">
        <f t="shared" si="255"/>
        <v/>
      </c>
      <c r="BP301" s="14"/>
      <c r="BQ301" s="125" t="str">
        <f t="shared" si="256"/>
        <v/>
      </c>
      <c r="BR301" s="20"/>
      <c r="BS301" s="20"/>
      <c r="BT301" s="125" t="str">
        <f t="shared" si="257"/>
        <v/>
      </c>
      <c r="BU301" s="125" t="str">
        <f t="shared" si="258"/>
        <v/>
      </c>
      <c r="BV301" s="125" t="str">
        <f t="shared" si="259"/>
        <v/>
      </c>
      <c r="BW301" s="129" t="str">
        <f t="shared" si="260"/>
        <v/>
      </c>
      <c r="BX301" s="13"/>
      <c r="BY301" s="15"/>
      <c r="BZ301" s="14"/>
      <c r="CA301" s="117" t="str">
        <f>IF(_xlfn.XLOOKUP(BY301, AutoFill_classes!$A:$A, AutoFill_classes!$B:$B,"")=0,"",_xlfn.XLOOKUP(BY301, AutoFill_classes!$A:$A, AutoFill_classes!$B:$B,""))</f>
        <v/>
      </c>
      <c r="CB301" s="108"/>
      <c r="CC301" s="14"/>
      <c r="CD301" s="14"/>
      <c r="CE301" s="14"/>
      <c r="CF301" s="21"/>
      <c r="CG301" s="22"/>
      <c r="CH301" s="62"/>
      <c r="CI301" s="23"/>
      <c r="CJ301" s="121" t="str">
        <f t="shared" si="261"/>
        <v/>
      </c>
      <c r="CK301" s="20"/>
      <c r="CL301" s="20"/>
      <c r="CM301" s="20"/>
      <c r="CN301" s="20"/>
      <c r="CO301" s="125" t="str">
        <f t="shared" si="262"/>
        <v/>
      </c>
      <c r="CP301" s="14"/>
      <c r="CQ301" s="125" t="str">
        <f t="shared" si="263"/>
        <v/>
      </c>
      <c r="CR301" s="20"/>
      <c r="CS301" s="20"/>
      <c r="CT301" s="125" t="str">
        <f t="shared" si="264"/>
        <v/>
      </c>
      <c r="CU301" s="14"/>
      <c r="CV301" s="125" t="str">
        <f t="shared" si="265"/>
        <v/>
      </c>
      <c r="CW301" s="20"/>
      <c r="CX301" s="20"/>
      <c r="CY301" s="125" t="str">
        <f t="shared" si="266"/>
        <v/>
      </c>
      <c r="CZ301" s="125" t="str">
        <f t="shared" si="267"/>
        <v/>
      </c>
      <c r="DA301" s="125" t="str">
        <f t="shared" si="268"/>
        <v/>
      </c>
      <c r="DB301" s="129" t="str">
        <f t="shared" si="269"/>
        <v/>
      </c>
      <c r="DC301" s="14"/>
      <c r="DD301" s="62"/>
      <c r="DE301" s="105">
        <v>299</v>
      </c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</row>
    <row r="302" spans="1:176" s="116" customFormat="1" ht="34" customHeight="1" collapsed="1" x14ac:dyDescent="0.2">
      <c r="A302" s="66" t="s">
        <v>68</v>
      </c>
      <c r="B302" s="112" t="str">
        <f>"Total Credits: " &amp; IFERROR(IF(DD302=0,"",DD302),"")</f>
        <v xml:space="preserve">Total Credits: </v>
      </c>
      <c r="F302" s="138"/>
      <c r="P302" s="139"/>
      <c r="Q302" s="139"/>
      <c r="R302" s="139"/>
      <c r="V302" s="136"/>
      <c r="W302" s="136"/>
      <c r="X302" s="140" t="str">
        <f>IF(SUM(X303:X331)=0, "", SUM(X303:X331))</f>
        <v/>
      </c>
      <c r="Y302" s="123"/>
      <c r="Z302" s="123"/>
      <c r="AA302" s="141"/>
      <c r="AB302" s="141"/>
      <c r="AC302" s="141"/>
      <c r="AD302" s="141"/>
      <c r="AE302" s="124"/>
      <c r="AF302" s="124"/>
      <c r="AG302" s="124"/>
      <c r="AH302" s="141"/>
      <c r="AI302" s="141"/>
      <c r="AJ302" s="124"/>
      <c r="AK302" s="124"/>
      <c r="AL302" s="124"/>
      <c r="AM302" s="141"/>
      <c r="AN302" s="141"/>
      <c r="AO302" s="127"/>
      <c r="AP302" s="127"/>
      <c r="AQ302" s="127"/>
      <c r="AR302" s="127"/>
      <c r="AS302" s="127"/>
      <c r="AT302" s="134"/>
      <c r="AU302" s="134"/>
      <c r="AX302" s="134"/>
      <c r="AY302" s="134"/>
      <c r="AZ302" s="134"/>
      <c r="BA302" s="144"/>
      <c r="BB302" s="144"/>
      <c r="BC302" s="140" t="str">
        <f>IF(SUM(BC303:BC331)=0, "", SUM(BC303:BC331))</f>
        <v/>
      </c>
      <c r="BD302" s="123"/>
      <c r="BE302" s="123"/>
      <c r="BF302" s="146"/>
      <c r="BG302" s="146"/>
      <c r="BH302" s="146"/>
      <c r="BI302" s="146"/>
      <c r="BJ302" s="134"/>
      <c r="BK302" s="134"/>
      <c r="BL302" s="134"/>
      <c r="BM302" s="146"/>
      <c r="BN302" s="146"/>
      <c r="BO302" s="134"/>
      <c r="BP302" s="134"/>
      <c r="BQ302" s="134"/>
      <c r="BR302" s="146"/>
      <c r="BS302" s="146"/>
      <c r="BT302" s="134"/>
      <c r="BU302" s="134"/>
      <c r="BV302" s="134"/>
      <c r="BW302" s="127"/>
      <c r="BX302" s="134"/>
      <c r="BY302" s="134"/>
      <c r="BZ302" s="134"/>
      <c r="CC302" s="134"/>
      <c r="CD302" s="134"/>
      <c r="CE302" s="134"/>
      <c r="CF302" s="136"/>
      <c r="CG302" s="120"/>
      <c r="CH302" s="140" t="str">
        <f>IF(SUM(CH303:CH331)=0, "", SUM(CH303:CH331))</f>
        <v/>
      </c>
      <c r="CI302" s="123"/>
      <c r="CJ302" s="123"/>
      <c r="CK302" s="146"/>
      <c r="CL302" s="146"/>
      <c r="CM302" s="146"/>
      <c r="CN302" s="146"/>
      <c r="CP302" s="134"/>
      <c r="CR302" s="146"/>
      <c r="CS302" s="146"/>
      <c r="CU302" s="134"/>
      <c r="CW302" s="146"/>
      <c r="CX302" s="146"/>
      <c r="DB302" s="127"/>
      <c r="DC302" s="134"/>
      <c r="DD302" s="140" t="str">
        <f>IF(SUM(L302:DC302)=0, "", SUM(L302:DC302))</f>
        <v/>
      </c>
      <c r="DE302" s="105">
        <v>300</v>
      </c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</row>
    <row r="303" spans="1:176" s="1" customFormat="1" ht="13" hidden="1" customHeight="1" outlineLevel="1" x14ac:dyDescent="0.2">
      <c r="A303" s="4"/>
      <c r="B303" s="115" t="str">
        <f>IF(_xlfn.XLOOKUP(A303, AutoFill_names!B:B, AutoFill_names!C:C,"")=0,"",_xlfn.XLOOKUP(A303, AutoFill_names!B:B, AutoFill_names!C:C,""))</f>
        <v/>
      </c>
      <c r="C303" s="115" t="str">
        <f>IF(_xlfn.XLOOKUP(A303, AutoFill_names!B:B, AutoFill_names!D:D,"")=0,"",_xlfn.XLOOKUP(A303, AutoFill_names!B:B, AutoFill_names!D:D,""))</f>
        <v/>
      </c>
      <c r="D303" s="115" t="str">
        <f>IF(_xlfn.XLOOKUP(A303, AutoFill_names!B:B, AutoFill_names!E:E,"")=0,"",_xlfn.XLOOKUP(A303, AutoFill_names!B:B, AutoFill_names!E:E,""))</f>
        <v/>
      </c>
      <c r="E303" s="115" t="str">
        <f>IF(_xlfn.XLOOKUP(A303, AutoFill_names!B:B, AutoFill_names!F:F,"")=0,"",_xlfn.XLOOKUP(A303, AutoFill_names!B:B, AutoFill_names!F:F,""))</f>
        <v/>
      </c>
      <c r="F303" s="92"/>
      <c r="J303" s="115" t="str">
        <f>IF(_xlfn.XLOOKUP(A303, AutoFill_names!B:B, AutoFill_names!K:K,"")=0,"",_xlfn.XLOOKUP(A303, AutoFill_names!B:B, AutoFill_names!K:K,""))</f>
        <v/>
      </c>
      <c r="K303" s="115" t="str">
        <f>IF(_xlfn.XLOOKUP(A303, AutoFill_names!B:B, AutoFill_names!L:L,"")=0,"",_xlfn.XLOOKUP(A303, AutoFill_names!B:B, AutoFill_names!L:L,""))</f>
        <v/>
      </c>
      <c r="L303" s="2"/>
      <c r="M303" s="2"/>
      <c r="N303" s="117" t="str">
        <f>IF(_xlfn.XLOOKUP(L303, AutoFill_classes!A:A, AutoFill_classes!B:B,"")=0,"",_xlfn.XLOOKUP(L303, AutoFill_classes!A:A, AutoFill_classes!B:B,""))</f>
        <v/>
      </c>
      <c r="O303" s="108"/>
      <c r="P303" s="6"/>
      <c r="Q303" s="6"/>
      <c r="R303" s="6"/>
      <c r="S303" s="2"/>
      <c r="T303" s="2"/>
      <c r="U303" s="2"/>
      <c r="X303" s="63"/>
      <c r="Y303" s="19"/>
      <c r="Z303" s="121" t="str">
        <f t="shared" ref="Z303:Z331" si="270">IF(X303*Y303=0,"",X303*Y303)</f>
        <v/>
      </c>
      <c r="AA303" s="20"/>
      <c r="AB303" s="20"/>
      <c r="AC303" s="20"/>
      <c r="AD303" s="20"/>
      <c r="AE303" s="125" t="str">
        <f t="shared" ref="AE303:AE331" si="271">IF(ROUNDUP((AD303-AC303)/7,0)=0,"",ROUNDUP((AD303-AC303)/7,0))</f>
        <v/>
      </c>
      <c r="AF303" s="14"/>
      <c r="AG303" s="125" t="str">
        <f t="shared" ref="AG303:AG331" si="272">IFERROR(IF(AE303*AF303=0,"",AE303*AF303), "")</f>
        <v/>
      </c>
      <c r="AH303" s="20"/>
      <c r="AI303" s="20"/>
      <c r="AJ303" s="125" t="str">
        <f t="shared" ref="AJ303:AJ331" si="273">IF(ROUNDUP((AI303-AH303)/7,0)=0,"",ROUNDUP((AI303-AH303)/7,0))</f>
        <v/>
      </c>
      <c r="AK303" s="14"/>
      <c r="AL303" s="125" t="str">
        <f t="shared" ref="AL303:AL331" si="274">IFERROR(IF(AJ303*AK303=0,"",AJ303*AK303), "")</f>
        <v/>
      </c>
      <c r="AM303" s="20"/>
      <c r="AN303" s="20"/>
      <c r="AO303" s="125" t="str">
        <f t="shared" ref="AO303:AO331" si="275">IF(ROUNDUP((AN303-AM303)/7,0)=0,"",ROUNDUP((AN303-AM303)/7,0))</f>
        <v/>
      </c>
      <c r="AP303" s="125" t="str">
        <f t="shared" ref="AP303:AP331" si="276">IFERROR(IF((AS303-(AF303+AK303))/AO303=0,"",ROUNDUP((AS303-(AF303+AK303))/AO303,0)), "")</f>
        <v/>
      </c>
      <c r="AQ303" s="125" t="str">
        <f t="shared" ref="AQ303:AQ331" si="277">IFERROR(IF((AS303-(AG303+AL303))=0, "", (AS303-(AG303+AL303))), "")</f>
        <v/>
      </c>
      <c r="AR303" s="129" t="str">
        <f t="shared" ref="AR303:AR331" si="278">IFERROR(IF((AE303+AJ303+AO303)=0, "", (AE303+AJ303+AO303)), "")</f>
        <v/>
      </c>
      <c r="AS303" s="14"/>
      <c r="AT303" s="33"/>
      <c r="AU303" s="33"/>
      <c r="AV303" s="117" t="str">
        <f>IF(_xlfn.XLOOKUP(AT303, AutoFill_classes!$A:$A, AutoFill_classes!$B:$B,"")=0,"",_xlfn.XLOOKUP(AT303, AutoFill_classes!$A:$A, AutoFill_classes!$B:$B,""))</f>
        <v/>
      </c>
      <c r="AW303" s="108"/>
      <c r="AX303" s="11"/>
      <c r="AY303" s="11"/>
      <c r="AZ303" s="11"/>
      <c r="BA303" s="13"/>
      <c r="BB303" s="13"/>
      <c r="BC303" s="63"/>
      <c r="BD303" s="19"/>
      <c r="BE303" s="121" t="str">
        <f t="shared" ref="BE303:BE331" si="279">IF(BC303*BD303=0,"",BC303*BD303)</f>
        <v/>
      </c>
      <c r="BF303" s="20"/>
      <c r="BG303" s="20"/>
      <c r="BH303" s="20"/>
      <c r="BI303" s="20"/>
      <c r="BJ303" s="125" t="str">
        <f t="shared" ref="BJ303:BJ331" si="280">IF(ROUNDUP((BI303-BH303)/7,0)=0,"",ROUNDUP((BI303-BH303)/7,0))</f>
        <v/>
      </c>
      <c r="BK303" s="14"/>
      <c r="BL303" s="125" t="str">
        <f t="shared" ref="BL303:BL331" si="281">IFERROR(IF(BJ303*BK303=0,"",BJ303*BK303), "")</f>
        <v/>
      </c>
      <c r="BM303" s="20"/>
      <c r="BN303" s="20"/>
      <c r="BO303" s="125" t="str">
        <f t="shared" ref="BO303:BO331" si="282">IF(ROUNDUP((BN303-BM303)/7,0)=0,"",ROUNDUP((BN303-BM303)/7,0))</f>
        <v/>
      </c>
      <c r="BP303" s="14"/>
      <c r="BQ303" s="125" t="str">
        <f t="shared" ref="BQ303:BQ331" si="283">IFERROR(IF(BO303*BP303=0,"",BO303*BP303), "")</f>
        <v/>
      </c>
      <c r="BR303" s="20"/>
      <c r="BS303" s="20"/>
      <c r="BT303" s="125" t="str">
        <f t="shared" ref="BT303:BT331" si="284">IF(ROUNDUP((BS303-BR303)/7,0)=0,"",ROUNDUP((BS303-BR303)/7,0))</f>
        <v/>
      </c>
      <c r="BU303" s="125" t="str">
        <f t="shared" ref="BU303:BU331" si="285">IFERROR(IF((BX303-(BK303+BP303))/BT303=0,"",ROUNDUP((BX303-(BK303+BP303))/BT303,0)), "")</f>
        <v/>
      </c>
      <c r="BV303" s="125" t="str">
        <f t="shared" ref="BV303:BV331" si="286">IFERROR(IF((BX303-(BL303+BQ303))=0, "", (BX303-(BL303+BQ303))), "")</f>
        <v/>
      </c>
      <c r="BW303" s="129" t="str">
        <f t="shared" ref="BW303:BW331" si="287">IFERROR(IF((BJ303+BO303+BT303)=0, "", (BJ303+BO303+BT303)), "")</f>
        <v/>
      </c>
      <c r="BX303" s="11"/>
      <c r="BY303" s="15"/>
      <c r="BZ303" s="14"/>
      <c r="CA303" s="117" t="str">
        <f>IF(_xlfn.XLOOKUP(BY303, AutoFill_classes!$A:$A, AutoFill_classes!$B:$B,"")=0,"",_xlfn.XLOOKUP(BY303, AutoFill_classes!$A:$A, AutoFill_classes!$B:$B,""))</f>
        <v/>
      </c>
      <c r="CB303" s="108"/>
      <c r="CC303" s="14"/>
      <c r="CD303" s="14"/>
      <c r="CE303" s="14"/>
      <c r="CF303" s="21"/>
      <c r="CG303" s="22"/>
      <c r="CH303" s="63"/>
      <c r="CI303" s="23"/>
      <c r="CJ303" s="121" t="str">
        <f t="shared" ref="CJ303:CJ331" si="288">IF(CH303*CI303=0,"",CH303*CI303)</f>
        <v/>
      </c>
      <c r="CK303" s="20"/>
      <c r="CL303" s="20"/>
      <c r="CM303" s="20"/>
      <c r="CN303" s="20"/>
      <c r="CO303" s="125" t="str">
        <f t="shared" ref="CO303:CO331" si="289">IF(ROUNDUP((CN303-CM303)/7,0)=0,"",ROUNDUP((CN303-CM303)/7,0))</f>
        <v/>
      </c>
      <c r="CP303" s="14"/>
      <c r="CQ303" s="125" t="str">
        <f t="shared" ref="CQ303:CQ331" si="290">IFERROR(IF(CO303*CP303=0,"",CO303*CP303), "")</f>
        <v/>
      </c>
      <c r="CR303" s="20"/>
      <c r="CS303" s="20"/>
      <c r="CT303" s="125" t="str">
        <f t="shared" ref="CT303:CT331" si="291">IF(ROUNDUP((CS303-CR303)/7,0)=0,"",ROUNDUP((CS303-CR303)/7,0))</f>
        <v/>
      </c>
      <c r="CU303" s="14"/>
      <c r="CV303" s="125" t="str">
        <f t="shared" ref="CV303:CV331" si="292">IFERROR(IF(CT303*CU303=0,"",CT303*CU303), "")</f>
        <v/>
      </c>
      <c r="CW303" s="20"/>
      <c r="CX303" s="20"/>
      <c r="CY303" s="125" t="str">
        <f t="shared" ref="CY303:CY331" si="293">IF(ROUNDUP((CX303-CW303)/7,0)=0,"",ROUNDUP((CX303-CW303)/7,0))</f>
        <v/>
      </c>
      <c r="CZ303" s="125" t="str">
        <f t="shared" ref="CZ303:CZ331" si="294">IFERROR(IF((DC303-(CP303+CU303))/CY303=0,"",ROUNDUP((DC303-(CP303+CU303))/CY303,0)), "")</f>
        <v/>
      </c>
      <c r="DA303" s="125" t="str">
        <f t="shared" ref="DA303:DA331" si="295">IFERROR(IF((DC303-(CQ303+CV303))=0, "", (DC303-(CQ303+CV303))), "")</f>
        <v/>
      </c>
      <c r="DB303" s="129" t="str">
        <f t="shared" ref="DB303:DB331" si="296">IFERROR(IF((CO303+CT303+CY303)=0, "", (CO303+CT303+CY303)), "")</f>
        <v/>
      </c>
      <c r="DC303" s="14"/>
      <c r="DD303" s="62"/>
      <c r="DE303" s="105">
        <v>301</v>
      </c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</row>
    <row r="304" spans="1:176" s="1" customFormat="1" ht="13" hidden="1" customHeight="1" outlineLevel="1" x14ac:dyDescent="0.2">
      <c r="A304" s="4"/>
      <c r="B304" s="115" t="str">
        <f>IF(_xlfn.XLOOKUP(A304, AutoFill_names!B:B, AutoFill_names!C:C,"")=0,"",_xlfn.XLOOKUP(A304, AutoFill_names!B:B, AutoFill_names!C:C,""))</f>
        <v/>
      </c>
      <c r="C304" s="115" t="str">
        <f>IF(_xlfn.XLOOKUP(A304, AutoFill_names!B:B, AutoFill_names!D:D,"")=0,"",_xlfn.XLOOKUP(A304, AutoFill_names!B:B, AutoFill_names!D:D,""))</f>
        <v/>
      </c>
      <c r="D304" s="115" t="str">
        <f>IF(_xlfn.XLOOKUP(A304, AutoFill_names!B:B, AutoFill_names!E:E,"")=0,"",_xlfn.XLOOKUP(A304, AutoFill_names!B:B, AutoFill_names!E:E,""))</f>
        <v/>
      </c>
      <c r="E304" s="115" t="str">
        <f>IF(_xlfn.XLOOKUP(A304, AutoFill_names!B:B, AutoFill_names!F:F,"")=0,"",_xlfn.XLOOKUP(A304, AutoFill_names!B:B, AutoFill_names!F:F,""))</f>
        <v/>
      </c>
      <c r="F304" s="92"/>
      <c r="J304" s="115" t="str">
        <f>IF(_xlfn.XLOOKUP(A304, AutoFill_names!B:B, AutoFill_names!K:K,"")=0,"",_xlfn.XLOOKUP(A304, AutoFill_names!B:B, AutoFill_names!K:K,""))</f>
        <v/>
      </c>
      <c r="K304" s="115" t="str">
        <f>IF(_xlfn.XLOOKUP(A304, AutoFill_names!B:B, AutoFill_names!L:L,"")=0,"",_xlfn.XLOOKUP(A304, AutoFill_names!B:B, AutoFill_names!L:L,""))</f>
        <v/>
      </c>
      <c r="L304" s="2"/>
      <c r="M304" s="2"/>
      <c r="N304" s="117" t="str">
        <f>IF(_xlfn.XLOOKUP(L304, AutoFill_classes!A:A, AutoFill_classes!B:B,"")=0,"",_xlfn.XLOOKUP(L304, AutoFill_classes!A:A, AutoFill_classes!B:B,""))</f>
        <v/>
      </c>
      <c r="O304" s="108"/>
      <c r="P304" s="6"/>
      <c r="Q304" s="6"/>
      <c r="R304" s="6"/>
      <c r="S304" s="2"/>
      <c r="T304" s="2"/>
      <c r="U304" s="2"/>
      <c r="X304" s="63"/>
      <c r="Y304" s="19"/>
      <c r="Z304" s="121" t="str">
        <f t="shared" si="270"/>
        <v/>
      </c>
      <c r="AA304" s="20"/>
      <c r="AB304" s="20"/>
      <c r="AC304" s="20"/>
      <c r="AD304" s="20"/>
      <c r="AE304" s="125" t="str">
        <f t="shared" si="271"/>
        <v/>
      </c>
      <c r="AF304" s="14"/>
      <c r="AG304" s="125" t="str">
        <f t="shared" si="272"/>
        <v/>
      </c>
      <c r="AH304" s="20"/>
      <c r="AI304" s="20"/>
      <c r="AJ304" s="125" t="str">
        <f t="shared" si="273"/>
        <v/>
      </c>
      <c r="AK304" s="14"/>
      <c r="AL304" s="125" t="str">
        <f t="shared" si="274"/>
        <v/>
      </c>
      <c r="AM304" s="20"/>
      <c r="AN304" s="20"/>
      <c r="AO304" s="125" t="str">
        <f t="shared" si="275"/>
        <v/>
      </c>
      <c r="AP304" s="125" t="str">
        <f t="shared" si="276"/>
        <v/>
      </c>
      <c r="AQ304" s="125" t="str">
        <f t="shared" si="277"/>
        <v/>
      </c>
      <c r="AR304" s="129" t="str">
        <f t="shared" si="278"/>
        <v/>
      </c>
      <c r="AS304" s="14"/>
      <c r="AT304" s="33"/>
      <c r="AU304" s="33"/>
      <c r="AV304" s="117" t="str">
        <f>IF(_xlfn.XLOOKUP(AT304, AutoFill_classes!$A:$A, AutoFill_classes!$B:$B,"")=0,"",_xlfn.XLOOKUP(AT304, AutoFill_classes!$A:$A, AutoFill_classes!$B:$B,""))</f>
        <v/>
      </c>
      <c r="AW304" s="108"/>
      <c r="AX304" s="11"/>
      <c r="AY304" s="11"/>
      <c r="AZ304" s="11"/>
      <c r="BA304" s="13"/>
      <c r="BB304" s="13"/>
      <c r="BC304" s="63"/>
      <c r="BD304" s="19"/>
      <c r="BE304" s="121" t="str">
        <f t="shared" si="279"/>
        <v/>
      </c>
      <c r="BF304" s="20"/>
      <c r="BG304" s="20"/>
      <c r="BH304" s="20"/>
      <c r="BI304" s="20"/>
      <c r="BJ304" s="125" t="str">
        <f t="shared" si="280"/>
        <v/>
      </c>
      <c r="BK304" s="14"/>
      <c r="BL304" s="125" t="str">
        <f t="shared" si="281"/>
        <v/>
      </c>
      <c r="BM304" s="20"/>
      <c r="BN304" s="20"/>
      <c r="BO304" s="125" t="str">
        <f t="shared" si="282"/>
        <v/>
      </c>
      <c r="BP304" s="14"/>
      <c r="BQ304" s="125" t="str">
        <f t="shared" si="283"/>
        <v/>
      </c>
      <c r="BR304" s="20"/>
      <c r="BS304" s="20"/>
      <c r="BT304" s="125" t="str">
        <f t="shared" si="284"/>
        <v/>
      </c>
      <c r="BU304" s="125" t="str">
        <f t="shared" si="285"/>
        <v/>
      </c>
      <c r="BV304" s="125" t="str">
        <f t="shared" si="286"/>
        <v/>
      </c>
      <c r="BW304" s="129" t="str">
        <f t="shared" si="287"/>
        <v/>
      </c>
      <c r="BX304" s="11"/>
      <c r="BY304" s="15"/>
      <c r="BZ304" s="14"/>
      <c r="CA304" s="117" t="str">
        <f>IF(_xlfn.XLOOKUP(BY304, AutoFill_classes!$A:$A, AutoFill_classes!$B:$B,"")=0,"",_xlfn.XLOOKUP(BY304, AutoFill_classes!$A:$A, AutoFill_classes!$B:$B,""))</f>
        <v/>
      </c>
      <c r="CB304" s="108"/>
      <c r="CC304" s="14"/>
      <c r="CD304" s="14"/>
      <c r="CE304" s="14"/>
      <c r="CF304" s="21"/>
      <c r="CG304" s="22"/>
      <c r="CH304" s="63"/>
      <c r="CI304" s="23"/>
      <c r="CJ304" s="121" t="str">
        <f t="shared" si="288"/>
        <v/>
      </c>
      <c r="CK304" s="20"/>
      <c r="CL304" s="20"/>
      <c r="CM304" s="20"/>
      <c r="CN304" s="20"/>
      <c r="CO304" s="125" t="str">
        <f t="shared" si="289"/>
        <v/>
      </c>
      <c r="CP304" s="14"/>
      <c r="CQ304" s="125" t="str">
        <f t="shared" si="290"/>
        <v/>
      </c>
      <c r="CR304" s="20"/>
      <c r="CS304" s="20"/>
      <c r="CT304" s="125" t="str">
        <f t="shared" si="291"/>
        <v/>
      </c>
      <c r="CU304" s="14"/>
      <c r="CV304" s="125" t="str">
        <f t="shared" si="292"/>
        <v/>
      </c>
      <c r="CW304" s="20"/>
      <c r="CX304" s="20"/>
      <c r="CY304" s="125" t="str">
        <f t="shared" si="293"/>
        <v/>
      </c>
      <c r="CZ304" s="125" t="str">
        <f t="shared" si="294"/>
        <v/>
      </c>
      <c r="DA304" s="125" t="str">
        <f t="shared" si="295"/>
        <v/>
      </c>
      <c r="DB304" s="129" t="str">
        <f t="shared" si="296"/>
        <v/>
      </c>
      <c r="DC304" s="14"/>
      <c r="DD304" s="62"/>
      <c r="DE304" s="105">
        <v>302</v>
      </c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</row>
    <row r="305" spans="1:176" s="1" customFormat="1" ht="13" hidden="1" customHeight="1" outlineLevel="1" x14ac:dyDescent="0.2">
      <c r="A305" s="4"/>
      <c r="B305" s="115" t="str">
        <f>IF(_xlfn.XLOOKUP(A305, AutoFill_names!B:B, AutoFill_names!C:C,"")=0,"",_xlfn.XLOOKUP(A305, AutoFill_names!B:B, AutoFill_names!C:C,""))</f>
        <v/>
      </c>
      <c r="C305" s="115" t="str">
        <f>IF(_xlfn.XLOOKUP(A305, AutoFill_names!B:B, AutoFill_names!D:D,"")=0,"",_xlfn.XLOOKUP(A305, AutoFill_names!B:B, AutoFill_names!D:D,""))</f>
        <v/>
      </c>
      <c r="D305" s="115" t="str">
        <f>IF(_xlfn.XLOOKUP(A305, AutoFill_names!B:B, AutoFill_names!E:E,"")=0,"",_xlfn.XLOOKUP(A305, AutoFill_names!B:B, AutoFill_names!E:E,""))</f>
        <v/>
      </c>
      <c r="E305" s="115" t="str">
        <f>IF(_xlfn.XLOOKUP(A305, AutoFill_names!B:B, AutoFill_names!F:F,"")=0,"",_xlfn.XLOOKUP(A305, AutoFill_names!B:B, AutoFill_names!F:F,""))</f>
        <v/>
      </c>
      <c r="F305" s="92"/>
      <c r="J305" s="115" t="str">
        <f>IF(_xlfn.XLOOKUP(A305, AutoFill_names!B:B, AutoFill_names!K:K,"")=0,"",_xlfn.XLOOKUP(A305, AutoFill_names!B:B, AutoFill_names!K:K,""))</f>
        <v/>
      </c>
      <c r="K305" s="115" t="str">
        <f>IF(_xlfn.XLOOKUP(A305, AutoFill_names!B:B, AutoFill_names!L:L,"")=0,"",_xlfn.XLOOKUP(A305, AutoFill_names!B:B, AutoFill_names!L:L,""))</f>
        <v/>
      </c>
      <c r="L305" s="2"/>
      <c r="M305" s="2"/>
      <c r="N305" s="117" t="str">
        <f>IF(_xlfn.XLOOKUP(L305, AutoFill_classes!A:A, AutoFill_classes!B:B,"")=0,"",_xlfn.XLOOKUP(L305, AutoFill_classes!A:A, AutoFill_classes!B:B,""))</f>
        <v/>
      </c>
      <c r="O305" s="108"/>
      <c r="P305" s="6"/>
      <c r="Q305" s="6"/>
      <c r="R305" s="6"/>
      <c r="S305" s="2"/>
      <c r="T305" s="2"/>
      <c r="U305" s="2"/>
      <c r="X305" s="63"/>
      <c r="Y305" s="19"/>
      <c r="Z305" s="121" t="str">
        <f t="shared" si="270"/>
        <v/>
      </c>
      <c r="AA305" s="20"/>
      <c r="AB305" s="20"/>
      <c r="AC305" s="20"/>
      <c r="AD305" s="20"/>
      <c r="AE305" s="125" t="str">
        <f t="shared" si="271"/>
        <v/>
      </c>
      <c r="AF305" s="14"/>
      <c r="AG305" s="125" t="str">
        <f t="shared" si="272"/>
        <v/>
      </c>
      <c r="AH305" s="20"/>
      <c r="AI305" s="20"/>
      <c r="AJ305" s="125" t="str">
        <f t="shared" si="273"/>
        <v/>
      </c>
      <c r="AK305" s="14"/>
      <c r="AL305" s="125" t="str">
        <f t="shared" si="274"/>
        <v/>
      </c>
      <c r="AM305" s="20"/>
      <c r="AN305" s="20"/>
      <c r="AO305" s="125" t="str">
        <f t="shared" si="275"/>
        <v/>
      </c>
      <c r="AP305" s="125" t="str">
        <f t="shared" si="276"/>
        <v/>
      </c>
      <c r="AQ305" s="125" t="str">
        <f t="shared" si="277"/>
        <v/>
      </c>
      <c r="AR305" s="129" t="str">
        <f t="shared" si="278"/>
        <v/>
      </c>
      <c r="AS305" s="14"/>
      <c r="AT305" s="33"/>
      <c r="AU305" s="33"/>
      <c r="AV305" s="117" t="str">
        <f>IF(_xlfn.XLOOKUP(AT305, AutoFill_classes!$A:$A, AutoFill_classes!$B:$B,"")=0,"",_xlfn.XLOOKUP(AT305, AutoFill_classes!$A:$A, AutoFill_classes!$B:$B,""))</f>
        <v/>
      </c>
      <c r="AW305" s="108"/>
      <c r="AX305" s="11"/>
      <c r="AY305" s="11"/>
      <c r="AZ305" s="11"/>
      <c r="BA305" s="13"/>
      <c r="BB305" s="13"/>
      <c r="BC305" s="63"/>
      <c r="BD305" s="19"/>
      <c r="BE305" s="121" t="str">
        <f t="shared" si="279"/>
        <v/>
      </c>
      <c r="BF305" s="20"/>
      <c r="BG305" s="20"/>
      <c r="BH305" s="20"/>
      <c r="BI305" s="20"/>
      <c r="BJ305" s="125" t="str">
        <f t="shared" si="280"/>
        <v/>
      </c>
      <c r="BK305" s="14"/>
      <c r="BL305" s="125" t="str">
        <f t="shared" si="281"/>
        <v/>
      </c>
      <c r="BM305" s="20"/>
      <c r="BN305" s="20"/>
      <c r="BO305" s="125" t="str">
        <f t="shared" si="282"/>
        <v/>
      </c>
      <c r="BP305" s="14"/>
      <c r="BQ305" s="125" t="str">
        <f t="shared" si="283"/>
        <v/>
      </c>
      <c r="BR305" s="20"/>
      <c r="BS305" s="20"/>
      <c r="BT305" s="125" t="str">
        <f t="shared" si="284"/>
        <v/>
      </c>
      <c r="BU305" s="125" t="str">
        <f t="shared" si="285"/>
        <v/>
      </c>
      <c r="BV305" s="125" t="str">
        <f t="shared" si="286"/>
        <v/>
      </c>
      <c r="BW305" s="129" t="str">
        <f t="shared" si="287"/>
        <v/>
      </c>
      <c r="BX305" s="11"/>
      <c r="BY305" s="15"/>
      <c r="BZ305" s="14"/>
      <c r="CA305" s="117" t="str">
        <f>IF(_xlfn.XLOOKUP(BY305, AutoFill_classes!$A:$A, AutoFill_classes!$B:$B,"")=0,"",_xlfn.XLOOKUP(BY305, AutoFill_classes!$A:$A, AutoFill_classes!$B:$B,""))</f>
        <v/>
      </c>
      <c r="CB305" s="108"/>
      <c r="CC305" s="14"/>
      <c r="CD305" s="14"/>
      <c r="CE305" s="14"/>
      <c r="CF305" s="21"/>
      <c r="CG305" s="22"/>
      <c r="CH305" s="63"/>
      <c r="CI305" s="23"/>
      <c r="CJ305" s="121" t="str">
        <f t="shared" si="288"/>
        <v/>
      </c>
      <c r="CK305" s="20"/>
      <c r="CL305" s="20"/>
      <c r="CM305" s="20"/>
      <c r="CN305" s="20"/>
      <c r="CO305" s="125" t="str">
        <f t="shared" si="289"/>
        <v/>
      </c>
      <c r="CP305" s="14"/>
      <c r="CQ305" s="125" t="str">
        <f t="shared" si="290"/>
        <v/>
      </c>
      <c r="CR305" s="20"/>
      <c r="CS305" s="20"/>
      <c r="CT305" s="125" t="str">
        <f t="shared" si="291"/>
        <v/>
      </c>
      <c r="CU305" s="14"/>
      <c r="CV305" s="125" t="str">
        <f t="shared" si="292"/>
        <v/>
      </c>
      <c r="CW305" s="20"/>
      <c r="CX305" s="20"/>
      <c r="CY305" s="125" t="str">
        <f t="shared" si="293"/>
        <v/>
      </c>
      <c r="CZ305" s="125" t="str">
        <f t="shared" si="294"/>
        <v/>
      </c>
      <c r="DA305" s="125" t="str">
        <f t="shared" si="295"/>
        <v/>
      </c>
      <c r="DB305" s="129" t="str">
        <f t="shared" si="296"/>
        <v/>
      </c>
      <c r="DC305" s="14"/>
      <c r="DD305" s="62"/>
      <c r="DE305" s="105">
        <v>303</v>
      </c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</row>
    <row r="306" spans="1:176" s="1" customFormat="1" ht="13" hidden="1" customHeight="1" outlineLevel="1" x14ac:dyDescent="0.2">
      <c r="A306" s="4"/>
      <c r="B306" s="115" t="str">
        <f>IF(_xlfn.XLOOKUP(A306, AutoFill_names!B:B, AutoFill_names!C:C,"")=0,"",_xlfn.XLOOKUP(A306, AutoFill_names!B:B, AutoFill_names!C:C,""))</f>
        <v/>
      </c>
      <c r="C306" s="115" t="str">
        <f>IF(_xlfn.XLOOKUP(A306, AutoFill_names!B:B, AutoFill_names!D:D,"")=0,"",_xlfn.XLOOKUP(A306, AutoFill_names!B:B, AutoFill_names!D:D,""))</f>
        <v/>
      </c>
      <c r="D306" s="115" t="str">
        <f>IF(_xlfn.XLOOKUP(A306, AutoFill_names!B:B, AutoFill_names!E:E,"")=0,"",_xlfn.XLOOKUP(A306, AutoFill_names!B:B, AutoFill_names!E:E,""))</f>
        <v/>
      </c>
      <c r="E306" s="115" t="str">
        <f>IF(_xlfn.XLOOKUP(A306, AutoFill_names!B:B, AutoFill_names!F:F,"")=0,"",_xlfn.XLOOKUP(A306, AutoFill_names!B:B, AutoFill_names!F:F,""))</f>
        <v/>
      </c>
      <c r="F306" s="92"/>
      <c r="J306" s="115" t="str">
        <f>IF(_xlfn.XLOOKUP(A306, AutoFill_names!B:B, AutoFill_names!K:K,"")=0,"",_xlfn.XLOOKUP(A306, AutoFill_names!B:B, AutoFill_names!K:K,""))</f>
        <v/>
      </c>
      <c r="K306" s="115" t="str">
        <f>IF(_xlfn.XLOOKUP(A306, AutoFill_names!B:B, AutoFill_names!L:L,"")=0,"",_xlfn.XLOOKUP(A306, AutoFill_names!B:B, AutoFill_names!L:L,""))</f>
        <v/>
      </c>
      <c r="L306" s="2"/>
      <c r="M306" s="2"/>
      <c r="N306" s="117" t="str">
        <f>IF(_xlfn.XLOOKUP(L306, AutoFill_classes!A:A, AutoFill_classes!B:B,"")=0,"",_xlfn.XLOOKUP(L306, AutoFill_classes!A:A, AutoFill_classes!B:B,""))</f>
        <v/>
      </c>
      <c r="O306" s="108"/>
      <c r="P306" s="6"/>
      <c r="Q306" s="6"/>
      <c r="R306" s="6"/>
      <c r="S306" s="2"/>
      <c r="T306" s="2"/>
      <c r="U306" s="2"/>
      <c r="X306" s="63"/>
      <c r="Y306" s="19"/>
      <c r="Z306" s="121" t="str">
        <f t="shared" si="270"/>
        <v/>
      </c>
      <c r="AA306" s="20"/>
      <c r="AB306" s="20"/>
      <c r="AC306" s="20"/>
      <c r="AD306" s="20"/>
      <c r="AE306" s="125" t="str">
        <f t="shared" si="271"/>
        <v/>
      </c>
      <c r="AF306" s="14"/>
      <c r="AG306" s="125" t="str">
        <f t="shared" si="272"/>
        <v/>
      </c>
      <c r="AH306" s="20"/>
      <c r="AI306" s="20"/>
      <c r="AJ306" s="125" t="str">
        <f t="shared" si="273"/>
        <v/>
      </c>
      <c r="AK306" s="14"/>
      <c r="AL306" s="125" t="str">
        <f t="shared" si="274"/>
        <v/>
      </c>
      <c r="AM306" s="20"/>
      <c r="AN306" s="20"/>
      <c r="AO306" s="125" t="str">
        <f t="shared" si="275"/>
        <v/>
      </c>
      <c r="AP306" s="125" t="str">
        <f t="shared" si="276"/>
        <v/>
      </c>
      <c r="AQ306" s="125" t="str">
        <f t="shared" si="277"/>
        <v/>
      </c>
      <c r="AR306" s="129" t="str">
        <f t="shared" si="278"/>
        <v/>
      </c>
      <c r="AS306" s="14"/>
      <c r="AT306" s="33"/>
      <c r="AU306" s="33"/>
      <c r="AV306" s="117" t="str">
        <f>IF(_xlfn.XLOOKUP(AT306, AutoFill_classes!$A:$A, AutoFill_classes!$B:$B,"")=0,"",_xlfn.XLOOKUP(AT306, AutoFill_classes!$A:$A, AutoFill_classes!$B:$B,""))</f>
        <v/>
      </c>
      <c r="AW306" s="108"/>
      <c r="AX306" s="11"/>
      <c r="AY306" s="11"/>
      <c r="AZ306" s="11"/>
      <c r="BA306" s="13"/>
      <c r="BB306" s="13"/>
      <c r="BC306" s="63"/>
      <c r="BD306" s="19"/>
      <c r="BE306" s="121" t="str">
        <f t="shared" si="279"/>
        <v/>
      </c>
      <c r="BF306" s="20"/>
      <c r="BG306" s="20"/>
      <c r="BH306" s="20"/>
      <c r="BI306" s="20"/>
      <c r="BJ306" s="125" t="str">
        <f t="shared" si="280"/>
        <v/>
      </c>
      <c r="BK306" s="14"/>
      <c r="BL306" s="125" t="str">
        <f t="shared" si="281"/>
        <v/>
      </c>
      <c r="BM306" s="20"/>
      <c r="BN306" s="20"/>
      <c r="BO306" s="125" t="str">
        <f t="shared" si="282"/>
        <v/>
      </c>
      <c r="BP306" s="14"/>
      <c r="BQ306" s="125" t="str">
        <f t="shared" si="283"/>
        <v/>
      </c>
      <c r="BR306" s="20"/>
      <c r="BS306" s="20"/>
      <c r="BT306" s="125" t="str">
        <f t="shared" si="284"/>
        <v/>
      </c>
      <c r="BU306" s="125" t="str">
        <f t="shared" si="285"/>
        <v/>
      </c>
      <c r="BV306" s="125" t="str">
        <f t="shared" si="286"/>
        <v/>
      </c>
      <c r="BW306" s="129" t="str">
        <f t="shared" si="287"/>
        <v/>
      </c>
      <c r="BX306" s="11"/>
      <c r="BY306" s="15"/>
      <c r="BZ306" s="14"/>
      <c r="CA306" s="117" t="str">
        <f>IF(_xlfn.XLOOKUP(BY306, AutoFill_classes!$A:$A, AutoFill_classes!$B:$B,"")=0,"",_xlfn.XLOOKUP(BY306, AutoFill_classes!$A:$A, AutoFill_classes!$B:$B,""))</f>
        <v/>
      </c>
      <c r="CB306" s="108"/>
      <c r="CC306" s="14"/>
      <c r="CD306" s="14"/>
      <c r="CE306" s="14"/>
      <c r="CF306" s="21"/>
      <c r="CG306" s="22"/>
      <c r="CH306" s="63"/>
      <c r="CI306" s="23"/>
      <c r="CJ306" s="121" t="str">
        <f t="shared" si="288"/>
        <v/>
      </c>
      <c r="CK306" s="20"/>
      <c r="CL306" s="20"/>
      <c r="CM306" s="20"/>
      <c r="CN306" s="20"/>
      <c r="CO306" s="125" t="str">
        <f t="shared" si="289"/>
        <v/>
      </c>
      <c r="CP306" s="14"/>
      <c r="CQ306" s="125" t="str">
        <f t="shared" si="290"/>
        <v/>
      </c>
      <c r="CR306" s="20"/>
      <c r="CS306" s="20"/>
      <c r="CT306" s="125" t="str">
        <f t="shared" si="291"/>
        <v/>
      </c>
      <c r="CU306" s="14"/>
      <c r="CV306" s="125" t="str">
        <f t="shared" si="292"/>
        <v/>
      </c>
      <c r="CW306" s="20"/>
      <c r="CX306" s="20"/>
      <c r="CY306" s="125" t="str">
        <f t="shared" si="293"/>
        <v/>
      </c>
      <c r="CZ306" s="125" t="str">
        <f t="shared" si="294"/>
        <v/>
      </c>
      <c r="DA306" s="125" t="str">
        <f t="shared" si="295"/>
        <v/>
      </c>
      <c r="DB306" s="129" t="str">
        <f t="shared" si="296"/>
        <v/>
      </c>
      <c r="DC306" s="14"/>
      <c r="DD306" s="62"/>
      <c r="DE306" s="105">
        <v>304</v>
      </c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</row>
    <row r="307" spans="1:176" s="1" customFormat="1" ht="13" hidden="1" customHeight="1" outlineLevel="1" x14ac:dyDescent="0.2">
      <c r="A307" s="4"/>
      <c r="B307" s="115" t="str">
        <f>IF(_xlfn.XLOOKUP(A307, AutoFill_names!B:B, AutoFill_names!C:C,"")=0,"",_xlfn.XLOOKUP(A307, AutoFill_names!B:B, AutoFill_names!C:C,""))</f>
        <v/>
      </c>
      <c r="C307" s="115" t="str">
        <f>IF(_xlfn.XLOOKUP(A307, AutoFill_names!B:B, AutoFill_names!D:D,"")=0,"",_xlfn.XLOOKUP(A307, AutoFill_names!B:B, AutoFill_names!D:D,""))</f>
        <v/>
      </c>
      <c r="D307" s="115" t="str">
        <f>IF(_xlfn.XLOOKUP(A307, AutoFill_names!B:B, AutoFill_names!E:E,"")=0,"",_xlfn.XLOOKUP(A307, AutoFill_names!B:B, AutoFill_names!E:E,""))</f>
        <v/>
      </c>
      <c r="E307" s="115" t="str">
        <f>IF(_xlfn.XLOOKUP(A307, AutoFill_names!B:B, AutoFill_names!F:F,"")=0,"",_xlfn.XLOOKUP(A307, AutoFill_names!B:B, AutoFill_names!F:F,""))</f>
        <v/>
      </c>
      <c r="F307" s="92"/>
      <c r="J307" s="115" t="str">
        <f>IF(_xlfn.XLOOKUP(A307, AutoFill_names!B:B, AutoFill_names!K:K,"")=0,"",_xlfn.XLOOKUP(A307, AutoFill_names!B:B, AutoFill_names!K:K,""))</f>
        <v/>
      </c>
      <c r="K307" s="115" t="str">
        <f>IF(_xlfn.XLOOKUP(A307, AutoFill_names!B:B, AutoFill_names!L:L,"")=0,"",_xlfn.XLOOKUP(A307, AutoFill_names!B:B, AutoFill_names!L:L,""))</f>
        <v/>
      </c>
      <c r="L307" s="2"/>
      <c r="M307" s="2"/>
      <c r="N307" s="117" t="str">
        <f>IF(_xlfn.XLOOKUP(L307, AutoFill_classes!A:A, AutoFill_classes!B:B,"")=0,"",_xlfn.XLOOKUP(L307, AutoFill_classes!A:A, AutoFill_classes!B:B,""))</f>
        <v/>
      </c>
      <c r="O307" s="108"/>
      <c r="P307" s="6"/>
      <c r="Q307" s="6"/>
      <c r="R307" s="6"/>
      <c r="S307" s="2"/>
      <c r="T307" s="2"/>
      <c r="U307" s="2"/>
      <c r="X307" s="63"/>
      <c r="Y307" s="19"/>
      <c r="Z307" s="121" t="str">
        <f t="shared" si="270"/>
        <v/>
      </c>
      <c r="AA307" s="20"/>
      <c r="AB307" s="20"/>
      <c r="AC307" s="20"/>
      <c r="AD307" s="20"/>
      <c r="AE307" s="125" t="str">
        <f t="shared" si="271"/>
        <v/>
      </c>
      <c r="AF307" s="14"/>
      <c r="AG307" s="125" t="str">
        <f t="shared" si="272"/>
        <v/>
      </c>
      <c r="AH307" s="20"/>
      <c r="AI307" s="20"/>
      <c r="AJ307" s="125" t="str">
        <f t="shared" si="273"/>
        <v/>
      </c>
      <c r="AK307" s="14"/>
      <c r="AL307" s="125" t="str">
        <f t="shared" si="274"/>
        <v/>
      </c>
      <c r="AM307" s="20"/>
      <c r="AN307" s="20"/>
      <c r="AO307" s="125" t="str">
        <f t="shared" si="275"/>
        <v/>
      </c>
      <c r="AP307" s="125" t="str">
        <f t="shared" si="276"/>
        <v/>
      </c>
      <c r="AQ307" s="125" t="str">
        <f t="shared" si="277"/>
        <v/>
      </c>
      <c r="AR307" s="129" t="str">
        <f t="shared" si="278"/>
        <v/>
      </c>
      <c r="AS307" s="14"/>
      <c r="AT307" s="33"/>
      <c r="AU307" s="33"/>
      <c r="AV307" s="117" t="str">
        <f>IF(_xlfn.XLOOKUP(AT307, AutoFill_classes!$A:$A, AutoFill_classes!$B:$B,"")=0,"",_xlfn.XLOOKUP(AT307, AutoFill_classes!$A:$A, AutoFill_classes!$B:$B,""))</f>
        <v/>
      </c>
      <c r="AW307" s="108"/>
      <c r="AX307" s="11"/>
      <c r="AY307" s="11"/>
      <c r="AZ307" s="11"/>
      <c r="BA307" s="13"/>
      <c r="BB307" s="13"/>
      <c r="BC307" s="63"/>
      <c r="BD307" s="19"/>
      <c r="BE307" s="121" t="str">
        <f t="shared" si="279"/>
        <v/>
      </c>
      <c r="BF307" s="20"/>
      <c r="BG307" s="20"/>
      <c r="BH307" s="20"/>
      <c r="BI307" s="20"/>
      <c r="BJ307" s="125" t="str">
        <f t="shared" si="280"/>
        <v/>
      </c>
      <c r="BK307" s="14"/>
      <c r="BL307" s="125" t="str">
        <f t="shared" si="281"/>
        <v/>
      </c>
      <c r="BM307" s="20"/>
      <c r="BN307" s="20"/>
      <c r="BO307" s="125" t="str">
        <f t="shared" si="282"/>
        <v/>
      </c>
      <c r="BP307" s="14"/>
      <c r="BQ307" s="125" t="str">
        <f t="shared" si="283"/>
        <v/>
      </c>
      <c r="BR307" s="20"/>
      <c r="BS307" s="20"/>
      <c r="BT307" s="125" t="str">
        <f t="shared" si="284"/>
        <v/>
      </c>
      <c r="BU307" s="125" t="str">
        <f t="shared" si="285"/>
        <v/>
      </c>
      <c r="BV307" s="125" t="str">
        <f t="shared" si="286"/>
        <v/>
      </c>
      <c r="BW307" s="129" t="str">
        <f t="shared" si="287"/>
        <v/>
      </c>
      <c r="BX307" s="11"/>
      <c r="BY307" s="15"/>
      <c r="BZ307" s="14"/>
      <c r="CA307" s="117" t="str">
        <f>IF(_xlfn.XLOOKUP(BY307, AutoFill_classes!$A:$A, AutoFill_classes!$B:$B,"")=0,"",_xlfn.XLOOKUP(BY307, AutoFill_classes!$A:$A, AutoFill_classes!$B:$B,""))</f>
        <v/>
      </c>
      <c r="CB307" s="108"/>
      <c r="CC307" s="14"/>
      <c r="CD307" s="14"/>
      <c r="CE307" s="14"/>
      <c r="CF307" s="21"/>
      <c r="CG307" s="22"/>
      <c r="CH307" s="63"/>
      <c r="CI307" s="23"/>
      <c r="CJ307" s="121" t="str">
        <f t="shared" si="288"/>
        <v/>
      </c>
      <c r="CK307" s="20"/>
      <c r="CL307" s="20"/>
      <c r="CM307" s="20"/>
      <c r="CN307" s="20"/>
      <c r="CO307" s="125" t="str">
        <f t="shared" si="289"/>
        <v/>
      </c>
      <c r="CP307" s="14"/>
      <c r="CQ307" s="125" t="str">
        <f t="shared" si="290"/>
        <v/>
      </c>
      <c r="CR307" s="20"/>
      <c r="CS307" s="20"/>
      <c r="CT307" s="125" t="str">
        <f t="shared" si="291"/>
        <v/>
      </c>
      <c r="CU307" s="14"/>
      <c r="CV307" s="125" t="str">
        <f t="shared" si="292"/>
        <v/>
      </c>
      <c r="CW307" s="20"/>
      <c r="CX307" s="20"/>
      <c r="CY307" s="125" t="str">
        <f t="shared" si="293"/>
        <v/>
      </c>
      <c r="CZ307" s="125" t="str">
        <f t="shared" si="294"/>
        <v/>
      </c>
      <c r="DA307" s="125" t="str">
        <f t="shared" si="295"/>
        <v/>
      </c>
      <c r="DB307" s="129" t="str">
        <f t="shared" si="296"/>
        <v/>
      </c>
      <c r="DC307" s="14"/>
      <c r="DD307" s="62"/>
      <c r="DE307" s="105">
        <v>305</v>
      </c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</row>
    <row r="308" spans="1:176" s="1" customFormat="1" ht="13" hidden="1" customHeight="1" outlineLevel="1" x14ac:dyDescent="0.2">
      <c r="A308" s="4"/>
      <c r="B308" s="115" t="str">
        <f>IF(_xlfn.XLOOKUP(A308, AutoFill_names!B:B, AutoFill_names!C:C,"")=0,"",_xlfn.XLOOKUP(A308, AutoFill_names!B:B, AutoFill_names!C:C,""))</f>
        <v/>
      </c>
      <c r="C308" s="115" t="str">
        <f>IF(_xlfn.XLOOKUP(A308, AutoFill_names!B:B, AutoFill_names!D:D,"")=0,"",_xlfn.XLOOKUP(A308, AutoFill_names!B:B, AutoFill_names!D:D,""))</f>
        <v/>
      </c>
      <c r="D308" s="115" t="str">
        <f>IF(_xlfn.XLOOKUP(A308, AutoFill_names!B:B, AutoFill_names!E:E,"")=0,"",_xlfn.XLOOKUP(A308, AutoFill_names!B:B, AutoFill_names!E:E,""))</f>
        <v/>
      </c>
      <c r="E308" s="115" t="str">
        <f>IF(_xlfn.XLOOKUP(A308, AutoFill_names!B:B, AutoFill_names!F:F,"")=0,"",_xlfn.XLOOKUP(A308, AutoFill_names!B:B, AutoFill_names!F:F,""))</f>
        <v/>
      </c>
      <c r="F308" s="92"/>
      <c r="J308" s="115" t="str">
        <f>IF(_xlfn.XLOOKUP(A308, AutoFill_names!B:B, AutoFill_names!K:K,"")=0,"",_xlfn.XLOOKUP(A308, AutoFill_names!B:B, AutoFill_names!K:K,""))</f>
        <v/>
      </c>
      <c r="K308" s="115" t="str">
        <f>IF(_xlfn.XLOOKUP(A308, AutoFill_names!B:B, AutoFill_names!L:L,"")=0,"",_xlfn.XLOOKUP(A308, AutoFill_names!B:B, AutoFill_names!L:L,""))</f>
        <v/>
      </c>
      <c r="L308" s="2"/>
      <c r="M308" s="2"/>
      <c r="N308" s="117" t="str">
        <f>IF(_xlfn.XLOOKUP(L308, AutoFill_classes!A:A, AutoFill_classes!B:B,"")=0,"",_xlfn.XLOOKUP(L308, AutoFill_classes!A:A, AutoFill_classes!B:B,""))</f>
        <v/>
      </c>
      <c r="O308" s="108"/>
      <c r="P308" s="6"/>
      <c r="Q308" s="6"/>
      <c r="R308" s="6"/>
      <c r="S308" s="2"/>
      <c r="T308" s="2"/>
      <c r="U308" s="2"/>
      <c r="X308" s="63"/>
      <c r="Y308" s="19"/>
      <c r="Z308" s="121" t="str">
        <f t="shared" si="270"/>
        <v/>
      </c>
      <c r="AA308" s="20"/>
      <c r="AB308" s="20"/>
      <c r="AC308" s="20"/>
      <c r="AD308" s="20"/>
      <c r="AE308" s="125" t="str">
        <f t="shared" si="271"/>
        <v/>
      </c>
      <c r="AF308" s="14"/>
      <c r="AG308" s="125" t="str">
        <f t="shared" si="272"/>
        <v/>
      </c>
      <c r="AH308" s="20"/>
      <c r="AI308" s="20"/>
      <c r="AJ308" s="125" t="str">
        <f t="shared" si="273"/>
        <v/>
      </c>
      <c r="AK308" s="14"/>
      <c r="AL308" s="125" t="str">
        <f t="shared" si="274"/>
        <v/>
      </c>
      <c r="AM308" s="20"/>
      <c r="AN308" s="20"/>
      <c r="AO308" s="125" t="str">
        <f t="shared" si="275"/>
        <v/>
      </c>
      <c r="AP308" s="125" t="str">
        <f t="shared" si="276"/>
        <v/>
      </c>
      <c r="AQ308" s="125" t="str">
        <f t="shared" si="277"/>
        <v/>
      </c>
      <c r="AR308" s="129" t="str">
        <f t="shared" si="278"/>
        <v/>
      </c>
      <c r="AS308" s="14"/>
      <c r="AT308" s="33"/>
      <c r="AU308" s="33"/>
      <c r="AV308" s="117" t="str">
        <f>IF(_xlfn.XLOOKUP(AT308, AutoFill_classes!$A:$A, AutoFill_classes!$B:$B,"")=0,"",_xlfn.XLOOKUP(AT308, AutoFill_classes!$A:$A, AutoFill_classes!$B:$B,""))</f>
        <v/>
      </c>
      <c r="AW308" s="108"/>
      <c r="AX308" s="11"/>
      <c r="AY308" s="11"/>
      <c r="AZ308" s="11"/>
      <c r="BA308" s="13"/>
      <c r="BB308" s="13"/>
      <c r="BC308" s="63"/>
      <c r="BD308" s="19"/>
      <c r="BE308" s="121" t="str">
        <f t="shared" si="279"/>
        <v/>
      </c>
      <c r="BF308" s="20"/>
      <c r="BG308" s="20"/>
      <c r="BH308" s="20"/>
      <c r="BI308" s="20"/>
      <c r="BJ308" s="125" t="str">
        <f t="shared" si="280"/>
        <v/>
      </c>
      <c r="BK308" s="14"/>
      <c r="BL308" s="125" t="str">
        <f t="shared" si="281"/>
        <v/>
      </c>
      <c r="BM308" s="20"/>
      <c r="BN308" s="20"/>
      <c r="BO308" s="125" t="str">
        <f t="shared" si="282"/>
        <v/>
      </c>
      <c r="BP308" s="14"/>
      <c r="BQ308" s="125" t="str">
        <f t="shared" si="283"/>
        <v/>
      </c>
      <c r="BR308" s="20"/>
      <c r="BS308" s="20"/>
      <c r="BT308" s="125" t="str">
        <f t="shared" si="284"/>
        <v/>
      </c>
      <c r="BU308" s="125" t="str">
        <f t="shared" si="285"/>
        <v/>
      </c>
      <c r="BV308" s="125" t="str">
        <f t="shared" si="286"/>
        <v/>
      </c>
      <c r="BW308" s="129" t="str">
        <f t="shared" si="287"/>
        <v/>
      </c>
      <c r="BX308" s="11"/>
      <c r="BY308" s="15"/>
      <c r="BZ308" s="14"/>
      <c r="CA308" s="117" t="str">
        <f>IF(_xlfn.XLOOKUP(BY308, AutoFill_classes!$A:$A, AutoFill_classes!$B:$B,"")=0,"",_xlfn.XLOOKUP(BY308, AutoFill_classes!$A:$A, AutoFill_classes!$B:$B,""))</f>
        <v/>
      </c>
      <c r="CB308" s="108"/>
      <c r="CC308" s="14"/>
      <c r="CD308" s="14"/>
      <c r="CE308" s="14"/>
      <c r="CF308" s="21"/>
      <c r="CG308" s="22"/>
      <c r="CH308" s="63"/>
      <c r="CI308" s="23"/>
      <c r="CJ308" s="121" t="str">
        <f t="shared" si="288"/>
        <v/>
      </c>
      <c r="CK308" s="20"/>
      <c r="CL308" s="20"/>
      <c r="CM308" s="20"/>
      <c r="CN308" s="20"/>
      <c r="CO308" s="125" t="str">
        <f t="shared" si="289"/>
        <v/>
      </c>
      <c r="CP308" s="14"/>
      <c r="CQ308" s="125" t="str">
        <f t="shared" si="290"/>
        <v/>
      </c>
      <c r="CR308" s="20"/>
      <c r="CS308" s="20"/>
      <c r="CT308" s="125" t="str">
        <f t="shared" si="291"/>
        <v/>
      </c>
      <c r="CU308" s="14"/>
      <c r="CV308" s="125" t="str">
        <f t="shared" si="292"/>
        <v/>
      </c>
      <c r="CW308" s="20"/>
      <c r="CX308" s="20"/>
      <c r="CY308" s="125" t="str">
        <f t="shared" si="293"/>
        <v/>
      </c>
      <c r="CZ308" s="125" t="str">
        <f t="shared" si="294"/>
        <v/>
      </c>
      <c r="DA308" s="125" t="str">
        <f t="shared" si="295"/>
        <v/>
      </c>
      <c r="DB308" s="129" t="str">
        <f t="shared" si="296"/>
        <v/>
      </c>
      <c r="DC308" s="14"/>
      <c r="DD308" s="62"/>
      <c r="DE308" s="105">
        <v>306</v>
      </c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</row>
    <row r="309" spans="1:176" s="1" customFormat="1" ht="13" hidden="1" customHeight="1" outlineLevel="1" x14ac:dyDescent="0.2">
      <c r="A309" s="4"/>
      <c r="B309" s="115" t="str">
        <f>IF(_xlfn.XLOOKUP(A309, AutoFill_names!B:B, AutoFill_names!C:C,"")=0,"",_xlfn.XLOOKUP(A309, AutoFill_names!B:B, AutoFill_names!C:C,""))</f>
        <v/>
      </c>
      <c r="C309" s="115" t="str">
        <f>IF(_xlfn.XLOOKUP(A309, AutoFill_names!B:B, AutoFill_names!D:D,"")=0,"",_xlfn.XLOOKUP(A309, AutoFill_names!B:B, AutoFill_names!D:D,""))</f>
        <v/>
      </c>
      <c r="D309" s="115" t="str">
        <f>IF(_xlfn.XLOOKUP(A309, AutoFill_names!B:B, AutoFill_names!E:E,"")=0,"",_xlfn.XLOOKUP(A309, AutoFill_names!B:B, AutoFill_names!E:E,""))</f>
        <v/>
      </c>
      <c r="E309" s="115" t="str">
        <f>IF(_xlfn.XLOOKUP(A309, AutoFill_names!B:B, AutoFill_names!F:F,"")=0,"",_xlfn.XLOOKUP(A309, AutoFill_names!B:B, AutoFill_names!F:F,""))</f>
        <v/>
      </c>
      <c r="F309" s="92"/>
      <c r="J309" s="115" t="str">
        <f>IF(_xlfn.XLOOKUP(A309, AutoFill_names!B:B, AutoFill_names!K:K,"")=0,"",_xlfn.XLOOKUP(A309, AutoFill_names!B:B, AutoFill_names!K:K,""))</f>
        <v/>
      </c>
      <c r="K309" s="115" t="str">
        <f>IF(_xlfn.XLOOKUP(A309, AutoFill_names!B:B, AutoFill_names!L:L,"")=0,"",_xlfn.XLOOKUP(A309, AutoFill_names!B:B, AutoFill_names!L:L,""))</f>
        <v/>
      </c>
      <c r="L309" s="2"/>
      <c r="M309" s="2"/>
      <c r="N309" s="117" t="str">
        <f>IF(_xlfn.XLOOKUP(L309, AutoFill_classes!A:A, AutoFill_classes!B:B,"")=0,"",_xlfn.XLOOKUP(L309, AutoFill_classes!A:A, AutoFill_classes!B:B,""))</f>
        <v/>
      </c>
      <c r="O309" s="108"/>
      <c r="P309" s="6"/>
      <c r="Q309" s="6"/>
      <c r="R309" s="6"/>
      <c r="S309" s="2"/>
      <c r="T309" s="2"/>
      <c r="U309" s="2"/>
      <c r="X309" s="63"/>
      <c r="Y309" s="19"/>
      <c r="Z309" s="121" t="str">
        <f t="shared" si="270"/>
        <v/>
      </c>
      <c r="AA309" s="20"/>
      <c r="AB309" s="20"/>
      <c r="AC309" s="20"/>
      <c r="AD309" s="20"/>
      <c r="AE309" s="125" t="str">
        <f t="shared" si="271"/>
        <v/>
      </c>
      <c r="AF309" s="14"/>
      <c r="AG309" s="125" t="str">
        <f t="shared" si="272"/>
        <v/>
      </c>
      <c r="AH309" s="20"/>
      <c r="AI309" s="20"/>
      <c r="AJ309" s="125" t="str">
        <f t="shared" si="273"/>
        <v/>
      </c>
      <c r="AK309" s="14"/>
      <c r="AL309" s="125" t="str">
        <f t="shared" si="274"/>
        <v/>
      </c>
      <c r="AM309" s="20"/>
      <c r="AN309" s="20"/>
      <c r="AO309" s="125" t="str">
        <f t="shared" si="275"/>
        <v/>
      </c>
      <c r="AP309" s="125" t="str">
        <f t="shared" si="276"/>
        <v/>
      </c>
      <c r="AQ309" s="125" t="str">
        <f t="shared" si="277"/>
        <v/>
      </c>
      <c r="AR309" s="129" t="str">
        <f t="shared" si="278"/>
        <v/>
      </c>
      <c r="AS309" s="14"/>
      <c r="AT309" s="33"/>
      <c r="AU309" s="33"/>
      <c r="AV309" s="117" t="str">
        <f>IF(_xlfn.XLOOKUP(AT309, AutoFill_classes!$A:$A, AutoFill_classes!$B:$B,"")=0,"",_xlfn.XLOOKUP(AT309, AutoFill_classes!$A:$A, AutoFill_classes!$B:$B,""))</f>
        <v/>
      </c>
      <c r="AW309" s="108"/>
      <c r="AX309" s="11"/>
      <c r="AY309" s="11"/>
      <c r="AZ309" s="11"/>
      <c r="BA309" s="13"/>
      <c r="BB309" s="13"/>
      <c r="BC309" s="63"/>
      <c r="BD309" s="19"/>
      <c r="BE309" s="121" t="str">
        <f t="shared" si="279"/>
        <v/>
      </c>
      <c r="BF309" s="20"/>
      <c r="BG309" s="20"/>
      <c r="BH309" s="20"/>
      <c r="BI309" s="20"/>
      <c r="BJ309" s="125" t="str">
        <f t="shared" si="280"/>
        <v/>
      </c>
      <c r="BK309" s="14"/>
      <c r="BL309" s="125" t="str">
        <f t="shared" si="281"/>
        <v/>
      </c>
      <c r="BM309" s="20"/>
      <c r="BN309" s="20"/>
      <c r="BO309" s="125" t="str">
        <f t="shared" si="282"/>
        <v/>
      </c>
      <c r="BP309" s="14"/>
      <c r="BQ309" s="125" t="str">
        <f t="shared" si="283"/>
        <v/>
      </c>
      <c r="BR309" s="20"/>
      <c r="BS309" s="20"/>
      <c r="BT309" s="125" t="str">
        <f t="shared" si="284"/>
        <v/>
      </c>
      <c r="BU309" s="125" t="str">
        <f t="shared" si="285"/>
        <v/>
      </c>
      <c r="BV309" s="125" t="str">
        <f t="shared" si="286"/>
        <v/>
      </c>
      <c r="BW309" s="129" t="str">
        <f t="shared" si="287"/>
        <v/>
      </c>
      <c r="BX309" s="11"/>
      <c r="BY309" s="15"/>
      <c r="BZ309" s="14"/>
      <c r="CA309" s="117" t="str">
        <f>IF(_xlfn.XLOOKUP(BY309, AutoFill_classes!$A:$A, AutoFill_classes!$B:$B,"")=0,"",_xlfn.XLOOKUP(BY309, AutoFill_classes!$A:$A, AutoFill_classes!$B:$B,""))</f>
        <v/>
      </c>
      <c r="CB309" s="108"/>
      <c r="CC309" s="14"/>
      <c r="CD309" s="14"/>
      <c r="CE309" s="14"/>
      <c r="CF309" s="21"/>
      <c r="CG309" s="22"/>
      <c r="CH309" s="63"/>
      <c r="CI309" s="23"/>
      <c r="CJ309" s="121" t="str">
        <f t="shared" si="288"/>
        <v/>
      </c>
      <c r="CK309" s="20"/>
      <c r="CL309" s="20"/>
      <c r="CM309" s="20"/>
      <c r="CN309" s="20"/>
      <c r="CO309" s="125" t="str">
        <f t="shared" si="289"/>
        <v/>
      </c>
      <c r="CP309" s="14"/>
      <c r="CQ309" s="125" t="str">
        <f t="shared" si="290"/>
        <v/>
      </c>
      <c r="CR309" s="20"/>
      <c r="CS309" s="20"/>
      <c r="CT309" s="125" t="str">
        <f t="shared" si="291"/>
        <v/>
      </c>
      <c r="CU309" s="14"/>
      <c r="CV309" s="125" t="str">
        <f t="shared" si="292"/>
        <v/>
      </c>
      <c r="CW309" s="20"/>
      <c r="CX309" s="20"/>
      <c r="CY309" s="125" t="str">
        <f t="shared" si="293"/>
        <v/>
      </c>
      <c r="CZ309" s="125" t="str">
        <f t="shared" si="294"/>
        <v/>
      </c>
      <c r="DA309" s="125" t="str">
        <f t="shared" si="295"/>
        <v/>
      </c>
      <c r="DB309" s="129" t="str">
        <f t="shared" si="296"/>
        <v/>
      </c>
      <c r="DC309" s="14"/>
      <c r="DD309" s="62"/>
      <c r="DE309" s="105">
        <v>307</v>
      </c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</row>
    <row r="310" spans="1:176" s="1" customFormat="1" ht="13" hidden="1" customHeight="1" outlineLevel="1" x14ac:dyDescent="0.2">
      <c r="A310" s="4"/>
      <c r="B310" s="115" t="str">
        <f>IF(_xlfn.XLOOKUP(A310, AutoFill_names!B:B, AutoFill_names!C:C,"")=0,"",_xlfn.XLOOKUP(A310, AutoFill_names!B:B, AutoFill_names!C:C,""))</f>
        <v/>
      </c>
      <c r="C310" s="115" t="str">
        <f>IF(_xlfn.XLOOKUP(A310, AutoFill_names!B:B, AutoFill_names!D:D,"")=0,"",_xlfn.XLOOKUP(A310, AutoFill_names!B:B, AutoFill_names!D:D,""))</f>
        <v/>
      </c>
      <c r="D310" s="115" t="str">
        <f>IF(_xlfn.XLOOKUP(A310, AutoFill_names!B:B, AutoFill_names!E:E,"")=0,"",_xlfn.XLOOKUP(A310, AutoFill_names!B:B, AutoFill_names!E:E,""))</f>
        <v/>
      </c>
      <c r="E310" s="115" t="str">
        <f>IF(_xlfn.XLOOKUP(A310, AutoFill_names!B:B, AutoFill_names!F:F,"")=0,"",_xlfn.XLOOKUP(A310, AutoFill_names!B:B, AutoFill_names!F:F,""))</f>
        <v/>
      </c>
      <c r="F310" s="92"/>
      <c r="J310" s="115" t="str">
        <f>IF(_xlfn.XLOOKUP(A310, AutoFill_names!B:B, AutoFill_names!K:K,"")=0,"",_xlfn.XLOOKUP(A310, AutoFill_names!B:B, AutoFill_names!K:K,""))</f>
        <v/>
      </c>
      <c r="K310" s="115" t="str">
        <f>IF(_xlfn.XLOOKUP(A310, AutoFill_names!B:B, AutoFill_names!L:L,"")=0,"",_xlfn.XLOOKUP(A310, AutoFill_names!B:B, AutoFill_names!L:L,""))</f>
        <v/>
      </c>
      <c r="L310" s="2"/>
      <c r="M310" s="2"/>
      <c r="N310" s="117" t="str">
        <f>IF(_xlfn.XLOOKUP(L310, AutoFill_classes!A:A, AutoFill_classes!B:B,"")=0,"",_xlfn.XLOOKUP(L310, AutoFill_classes!A:A, AutoFill_classes!B:B,""))</f>
        <v/>
      </c>
      <c r="O310" s="108"/>
      <c r="P310" s="6"/>
      <c r="Q310" s="6"/>
      <c r="R310" s="6"/>
      <c r="S310" s="2"/>
      <c r="T310" s="2"/>
      <c r="U310" s="2"/>
      <c r="X310" s="63"/>
      <c r="Y310" s="19"/>
      <c r="Z310" s="121" t="str">
        <f t="shared" si="270"/>
        <v/>
      </c>
      <c r="AA310" s="20"/>
      <c r="AB310" s="20"/>
      <c r="AC310" s="20"/>
      <c r="AD310" s="20"/>
      <c r="AE310" s="125" t="str">
        <f t="shared" si="271"/>
        <v/>
      </c>
      <c r="AF310" s="14"/>
      <c r="AG310" s="125" t="str">
        <f t="shared" si="272"/>
        <v/>
      </c>
      <c r="AH310" s="20"/>
      <c r="AI310" s="20"/>
      <c r="AJ310" s="125" t="str">
        <f t="shared" si="273"/>
        <v/>
      </c>
      <c r="AK310" s="14"/>
      <c r="AL310" s="125" t="str">
        <f t="shared" si="274"/>
        <v/>
      </c>
      <c r="AM310" s="20"/>
      <c r="AN310" s="20"/>
      <c r="AO310" s="125" t="str">
        <f t="shared" si="275"/>
        <v/>
      </c>
      <c r="AP310" s="125" t="str">
        <f t="shared" si="276"/>
        <v/>
      </c>
      <c r="AQ310" s="125" t="str">
        <f t="shared" si="277"/>
        <v/>
      </c>
      <c r="AR310" s="129" t="str">
        <f t="shared" si="278"/>
        <v/>
      </c>
      <c r="AS310" s="14"/>
      <c r="AT310" s="33"/>
      <c r="AU310" s="33"/>
      <c r="AV310" s="117" t="str">
        <f>IF(_xlfn.XLOOKUP(AT310, AutoFill_classes!$A:$A, AutoFill_classes!$B:$B,"")=0,"",_xlfn.XLOOKUP(AT310, AutoFill_classes!$A:$A, AutoFill_classes!$B:$B,""))</f>
        <v/>
      </c>
      <c r="AW310" s="108"/>
      <c r="AX310" s="11"/>
      <c r="AY310" s="11"/>
      <c r="AZ310" s="11"/>
      <c r="BA310" s="13"/>
      <c r="BB310" s="13"/>
      <c r="BC310" s="63"/>
      <c r="BD310" s="19"/>
      <c r="BE310" s="121" t="str">
        <f t="shared" si="279"/>
        <v/>
      </c>
      <c r="BF310" s="20"/>
      <c r="BG310" s="20"/>
      <c r="BH310" s="20"/>
      <c r="BI310" s="20"/>
      <c r="BJ310" s="125" t="str">
        <f t="shared" si="280"/>
        <v/>
      </c>
      <c r="BK310" s="14"/>
      <c r="BL310" s="125" t="str">
        <f t="shared" si="281"/>
        <v/>
      </c>
      <c r="BM310" s="20"/>
      <c r="BN310" s="20"/>
      <c r="BO310" s="125" t="str">
        <f t="shared" si="282"/>
        <v/>
      </c>
      <c r="BP310" s="14"/>
      <c r="BQ310" s="125" t="str">
        <f t="shared" si="283"/>
        <v/>
      </c>
      <c r="BR310" s="20"/>
      <c r="BS310" s="20"/>
      <c r="BT310" s="125" t="str">
        <f t="shared" si="284"/>
        <v/>
      </c>
      <c r="BU310" s="125" t="str">
        <f t="shared" si="285"/>
        <v/>
      </c>
      <c r="BV310" s="125" t="str">
        <f t="shared" si="286"/>
        <v/>
      </c>
      <c r="BW310" s="129" t="str">
        <f t="shared" si="287"/>
        <v/>
      </c>
      <c r="BX310" s="11"/>
      <c r="BY310" s="15"/>
      <c r="BZ310" s="14"/>
      <c r="CA310" s="117" t="str">
        <f>IF(_xlfn.XLOOKUP(BY310, AutoFill_classes!$A:$A, AutoFill_classes!$B:$B,"")=0,"",_xlfn.XLOOKUP(BY310, AutoFill_classes!$A:$A, AutoFill_classes!$B:$B,""))</f>
        <v/>
      </c>
      <c r="CB310" s="108"/>
      <c r="CC310" s="14"/>
      <c r="CD310" s="14"/>
      <c r="CE310" s="14"/>
      <c r="CF310" s="21"/>
      <c r="CG310" s="22"/>
      <c r="CH310" s="63"/>
      <c r="CI310" s="23"/>
      <c r="CJ310" s="121" t="str">
        <f t="shared" si="288"/>
        <v/>
      </c>
      <c r="CK310" s="20"/>
      <c r="CL310" s="20"/>
      <c r="CM310" s="20"/>
      <c r="CN310" s="20"/>
      <c r="CO310" s="125" t="str">
        <f t="shared" si="289"/>
        <v/>
      </c>
      <c r="CP310" s="14"/>
      <c r="CQ310" s="125" t="str">
        <f t="shared" si="290"/>
        <v/>
      </c>
      <c r="CR310" s="20"/>
      <c r="CS310" s="20"/>
      <c r="CT310" s="125" t="str">
        <f t="shared" si="291"/>
        <v/>
      </c>
      <c r="CU310" s="14"/>
      <c r="CV310" s="125" t="str">
        <f t="shared" si="292"/>
        <v/>
      </c>
      <c r="CW310" s="20"/>
      <c r="CX310" s="20"/>
      <c r="CY310" s="125" t="str">
        <f t="shared" si="293"/>
        <v/>
      </c>
      <c r="CZ310" s="125" t="str">
        <f t="shared" si="294"/>
        <v/>
      </c>
      <c r="DA310" s="125" t="str">
        <f t="shared" si="295"/>
        <v/>
      </c>
      <c r="DB310" s="129" t="str">
        <f t="shared" si="296"/>
        <v/>
      </c>
      <c r="DC310" s="14"/>
      <c r="DD310" s="62"/>
      <c r="DE310" s="105">
        <v>308</v>
      </c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</row>
    <row r="311" spans="1:176" s="1" customFormat="1" ht="13" hidden="1" customHeight="1" outlineLevel="1" x14ac:dyDescent="0.2">
      <c r="A311" s="4"/>
      <c r="B311" s="115" t="str">
        <f>IF(_xlfn.XLOOKUP(A311, AutoFill_names!B:B, AutoFill_names!C:C,"")=0,"",_xlfn.XLOOKUP(A311, AutoFill_names!B:B, AutoFill_names!C:C,""))</f>
        <v/>
      </c>
      <c r="C311" s="115" t="str">
        <f>IF(_xlfn.XLOOKUP(A311, AutoFill_names!B:B, AutoFill_names!D:D,"")=0,"",_xlfn.XLOOKUP(A311, AutoFill_names!B:B, AutoFill_names!D:D,""))</f>
        <v/>
      </c>
      <c r="D311" s="115" t="str">
        <f>IF(_xlfn.XLOOKUP(A311, AutoFill_names!B:B, AutoFill_names!E:E,"")=0,"",_xlfn.XLOOKUP(A311, AutoFill_names!B:B, AutoFill_names!E:E,""))</f>
        <v/>
      </c>
      <c r="E311" s="115" t="str">
        <f>IF(_xlfn.XLOOKUP(A311, AutoFill_names!B:B, AutoFill_names!F:F,"")=0,"",_xlfn.XLOOKUP(A311, AutoFill_names!B:B, AutoFill_names!F:F,""))</f>
        <v/>
      </c>
      <c r="F311" s="92"/>
      <c r="J311" s="115" t="str">
        <f>IF(_xlfn.XLOOKUP(A311, AutoFill_names!B:B, AutoFill_names!K:K,"")=0,"",_xlfn.XLOOKUP(A311, AutoFill_names!B:B, AutoFill_names!K:K,""))</f>
        <v/>
      </c>
      <c r="K311" s="115" t="str">
        <f>IF(_xlfn.XLOOKUP(A311, AutoFill_names!B:B, AutoFill_names!L:L,"")=0,"",_xlfn.XLOOKUP(A311, AutoFill_names!B:B, AutoFill_names!L:L,""))</f>
        <v/>
      </c>
      <c r="L311" s="2"/>
      <c r="M311" s="2"/>
      <c r="N311" s="117" t="str">
        <f>IF(_xlfn.XLOOKUP(L311, AutoFill_classes!A:A, AutoFill_classes!B:B,"")=0,"",_xlfn.XLOOKUP(L311, AutoFill_classes!A:A, AutoFill_classes!B:B,""))</f>
        <v/>
      </c>
      <c r="O311" s="108"/>
      <c r="P311" s="6"/>
      <c r="Q311" s="6"/>
      <c r="R311" s="6"/>
      <c r="S311" s="2"/>
      <c r="T311" s="2"/>
      <c r="U311" s="2"/>
      <c r="X311" s="63"/>
      <c r="Y311" s="19"/>
      <c r="Z311" s="121" t="str">
        <f t="shared" si="270"/>
        <v/>
      </c>
      <c r="AA311" s="20"/>
      <c r="AB311" s="20"/>
      <c r="AC311" s="20"/>
      <c r="AD311" s="20"/>
      <c r="AE311" s="125" t="str">
        <f t="shared" si="271"/>
        <v/>
      </c>
      <c r="AF311" s="14"/>
      <c r="AG311" s="125" t="str">
        <f t="shared" si="272"/>
        <v/>
      </c>
      <c r="AH311" s="20"/>
      <c r="AI311" s="20"/>
      <c r="AJ311" s="125" t="str">
        <f t="shared" si="273"/>
        <v/>
      </c>
      <c r="AK311" s="14"/>
      <c r="AL311" s="125" t="str">
        <f t="shared" si="274"/>
        <v/>
      </c>
      <c r="AM311" s="20"/>
      <c r="AN311" s="20"/>
      <c r="AO311" s="125" t="str">
        <f t="shared" si="275"/>
        <v/>
      </c>
      <c r="AP311" s="125" t="str">
        <f t="shared" si="276"/>
        <v/>
      </c>
      <c r="AQ311" s="125" t="str">
        <f t="shared" si="277"/>
        <v/>
      </c>
      <c r="AR311" s="129" t="str">
        <f t="shared" si="278"/>
        <v/>
      </c>
      <c r="AS311" s="14"/>
      <c r="AT311" s="33"/>
      <c r="AU311" s="33"/>
      <c r="AV311" s="117" t="str">
        <f>IF(_xlfn.XLOOKUP(AT311, AutoFill_classes!$A:$A, AutoFill_classes!$B:$B,"")=0,"",_xlfn.XLOOKUP(AT311, AutoFill_classes!$A:$A, AutoFill_classes!$B:$B,""))</f>
        <v/>
      </c>
      <c r="AW311" s="108"/>
      <c r="AX311" s="11"/>
      <c r="AY311" s="11"/>
      <c r="AZ311" s="11"/>
      <c r="BA311" s="13"/>
      <c r="BB311" s="13"/>
      <c r="BC311" s="63"/>
      <c r="BD311" s="19"/>
      <c r="BE311" s="121" t="str">
        <f t="shared" si="279"/>
        <v/>
      </c>
      <c r="BF311" s="20"/>
      <c r="BG311" s="20"/>
      <c r="BH311" s="20"/>
      <c r="BI311" s="20"/>
      <c r="BJ311" s="125" t="str">
        <f t="shared" si="280"/>
        <v/>
      </c>
      <c r="BK311" s="14"/>
      <c r="BL311" s="125" t="str">
        <f t="shared" si="281"/>
        <v/>
      </c>
      <c r="BM311" s="20"/>
      <c r="BN311" s="20"/>
      <c r="BO311" s="125" t="str">
        <f t="shared" si="282"/>
        <v/>
      </c>
      <c r="BP311" s="14"/>
      <c r="BQ311" s="125" t="str">
        <f t="shared" si="283"/>
        <v/>
      </c>
      <c r="BR311" s="20"/>
      <c r="BS311" s="20"/>
      <c r="BT311" s="125" t="str">
        <f t="shared" si="284"/>
        <v/>
      </c>
      <c r="BU311" s="125" t="str">
        <f t="shared" si="285"/>
        <v/>
      </c>
      <c r="BV311" s="125" t="str">
        <f t="shared" si="286"/>
        <v/>
      </c>
      <c r="BW311" s="129" t="str">
        <f t="shared" si="287"/>
        <v/>
      </c>
      <c r="BX311" s="11"/>
      <c r="BY311" s="15"/>
      <c r="BZ311" s="14"/>
      <c r="CA311" s="117" t="str">
        <f>IF(_xlfn.XLOOKUP(BY311, AutoFill_classes!$A:$A, AutoFill_classes!$B:$B,"")=0,"",_xlfn.XLOOKUP(BY311, AutoFill_classes!$A:$A, AutoFill_classes!$B:$B,""))</f>
        <v/>
      </c>
      <c r="CB311" s="108"/>
      <c r="CC311" s="14"/>
      <c r="CD311" s="14"/>
      <c r="CE311" s="14"/>
      <c r="CF311" s="21"/>
      <c r="CG311" s="22"/>
      <c r="CH311" s="63"/>
      <c r="CI311" s="23"/>
      <c r="CJ311" s="121" t="str">
        <f t="shared" si="288"/>
        <v/>
      </c>
      <c r="CK311" s="20"/>
      <c r="CL311" s="20"/>
      <c r="CM311" s="20"/>
      <c r="CN311" s="20"/>
      <c r="CO311" s="125" t="str">
        <f t="shared" si="289"/>
        <v/>
      </c>
      <c r="CP311" s="14"/>
      <c r="CQ311" s="125" t="str">
        <f t="shared" si="290"/>
        <v/>
      </c>
      <c r="CR311" s="20"/>
      <c r="CS311" s="20"/>
      <c r="CT311" s="125" t="str">
        <f t="shared" si="291"/>
        <v/>
      </c>
      <c r="CU311" s="14"/>
      <c r="CV311" s="125" t="str">
        <f t="shared" si="292"/>
        <v/>
      </c>
      <c r="CW311" s="20"/>
      <c r="CX311" s="20"/>
      <c r="CY311" s="125" t="str">
        <f t="shared" si="293"/>
        <v/>
      </c>
      <c r="CZ311" s="125" t="str">
        <f t="shared" si="294"/>
        <v/>
      </c>
      <c r="DA311" s="125" t="str">
        <f t="shared" si="295"/>
        <v/>
      </c>
      <c r="DB311" s="129" t="str">
        <f t="shared" si="296"/>
        <v/>
      </c>
      <c r="DC311" s="14"/>
      <c r="DD311" s="62"/>
      <c r="DE311" s="105">
        <v>309</v>
      </c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</row>
    <row r="312" spans="1:176" s="1" customFormat="1" ht="13" hidden="1" customHeight="1" outlineLevel="1" x14ac:dyDescent="0.2">
      <c r="A312" s="4"/>
      <c r="B312" s="115" t="str">
        <f>IF(_xlfn.XLOOKUP(A312, AutoFill_names!B:B, AutoFill_names!C:C,"")=0,"",_xlfn.XLOOKUP(A312, AutoFill_names!B:B, AutoFill_names!C:C,""))</f>
        <v/>
      </c>
      <c r="C312" s="115" t="str">
        <f>IF(_xlfn.XLOOKUP(A312, AutoFill_names!B:B, AutoFill_names!D:D,"")=0,"",_xlfn.XLOOKUP(A312, AutoFill_names!B:B, AutoFill_names!D:D,""))</f>
        <v/>
      </c>
      <c r="D312" s="115" t="str">
        <f>IF(_xlfn.XLOOKUP(A312, AutoFill_names!B:B, AutoFill_names!E:E,"")=0,"",_xlfn.XLOOKUP(A312, AutoFill_names!B:B, AutoFill_names!E:E,""))</f>
        <v/>
      </c>
      <c r="E312" s="115" t="str">
        <f>IF(_xlfn.XLOOKUP(A312, AutoFill_names!B:B, AutoFill_names!F:F,"")=0,"",_xlfn.XLOOKUP(A312, AutoFill_names!B:B, AutoFill_names!F:F,""))</f>
        <v/>
      </c>
      <c r="F312" s="92"/>
      <c r="J312" s="115" t="str">
        <f>IF(_xlfn.XLOOKUP(A312, AutoFill_names!B:B, AutoFill_names!K:K,"")=0,"",_xlfn.XLOOKUP(A312, AutoFill_names!B:B, AutoFill_names!K:K,""))</f>
        <v/>
      </c>
      <c r="K312" s="115" t="str">
        <f>IF(_xlfn.XLOOKUP(A312, AutoFill_names!B:B, AutoFill_names!L:L,"")=0,"",_xlfn.XLOOKUP(A312, AutoFill_names!B:B, AutoFill_names!L:L,""))</f>
        <v/>
      </c>
      <c r="L312" s="2"/>
      <c r="M312" s="2"/>
      <c r="N312" s="117" t="str">
        <f>IF(_xlfn.XLOOKUP(L312, AutoFill_classes!A:A, AutoFill_classes!B:B,"")=0,"",_xlfn.XLOOKUP(L312, AutoFill_classes!A:A, AutoFill_classes!B:B,""))</f>
        <v/>
      </c>
      <c r="O312" s="108"/>
      <c r="P312" s="6"/>
      <c r="Q312" s="6"/>
      <c r="R312" s="6"/>
      <c r="S312" s="2"/>
      <c r="T312" s="2"/>
      <c r="U312" s="2"/>
      <c r="X312" s="63"/>
      <c r="Y312" s="19"/>
      <c r="Z312" s="121" t="str">
        <f t="shared" si="270"/>
        <v/>
      </c>
      <c r="AA312" s="20"/>
      <c r="AB312" s="20"/>
      <c r="AC312" s="20"/>
      <c r="AD312" s="20"/>
      <c r="AE312" s="125" t="str">
        <f t="shared" si="271"/>
        <v/>
      </c>
      <c r="AF312" s="14"/>
      <c r="AG312" s="125" t="str">
        <f t="shared" si="272"/>
        <v/>
      </c>
      <c r="AH312" s="20"/>
      <c r="AI312" s="20"/>
      <c r="AJ312" s="125" t="str">
        <f t="shared" si="273"/>
        <v/>
      </c>
      <c r="AK312" s="14"/>
      <c r="AL312" s="125" t="str">
        <f t="shared" si="274"/>
        <v/>
      </c>
      <c r="AM312" s="20"/>
      <c r="AN312" s="20"/>
      <c r="AO312" s="125" t="str">
        <f t="shared" si="275"/>
        <v/>
      </c>
      <c r="AP312" s="125" t="str">
        <f t="shared" si="276"/>
        <v/>
      </c>
      <c r="AQ312" s="125" t="str">
        <f t="shared" si="277"/>
        <v/>
      </c>
      <c r="AR312" s="129" t="str">
        <f t="shared" si="278"/>
        <v/>
      </c>
      <c r="AS312" s="14"/>
      <c r="AT312" s="33"/>
      <c r="AU312" s="33"/>
      <c r="AV312" s="117" t="str">
        <f>IF(_xlfn.XLOOKUP(AT312, AutoFill_classes!$A:$A, AutoFill_classes!$B:$B,"")=0,"",_xlfn.XLOOKUP(AT312, AutoFill_classes!$A:$A, AutoFill_classes!$B:$B,""))</f>
        <v/>
      </c>
      <c r="AW312" s="108"/>
      <c r="AX312" s="11"/>
      <c r="AY312" s="11"/>
      <c r="AZ312" s="11"/>
      <c r="BA312" s="13"/>
      <c r="BB312" s="13"/>
      <c r="BC312" s="63"/>
      <c r="BD312" s="19"/>
      <c r="BE312" s="121" t="str">
        <f t="shared" si="279"/>
        <v/>
      </c>
      <c r="BF312" s="20"/>
      <c r="BG312" s="20"/>
      <c r="BH312" s="20"/>
      <c r="BI312" s="20"/>
      <c r="BJ312" s="125" t="str">
        <f t="shared" si="280"/>
        <v/>
      </c>
      <c r="BK312" s="14"/>
      <c r="BL312" s="125" t="str">
        <f t="shared" si="281"/>
        <v/>
      </c>
      <c r="BM312" s="20"/>
      <c r="BN312" s="20"/>
      <c r="BO312" s="125" t="str">
        <f t="shared" si="282"/>
        <v/>
      </c>
      <c r="BP312" s="14"/>
      <c r="BQ312" s="125" t="str">
        <f t="shared" si="283"/>
        <v/>
      </c>
      <c r="BR312" s="20"/>
      <c r="BS312" s="20"/>
      <c r="BT312" s="125" t="str">
        <f t="shared" si="284"/>
        <v/>
      </c>
      <c r="BU312" s="125" t="str">
        <f t="shared" si="285"/>
        <v/>
      </c>
      <c r="BV312" s="125" t="str">
        <f t="shared" si="286"/>
        <v/>
      </c>
      <c r="BW312" s="129" t="str">
        <f t="shared" si="287"/>
        <v/>
      </c>
      <c r="BX312" s="11"/>
      <c r="BY312" s="15"/>
      <c r="BZ312" s="14"/>
      <c r="CA312" s="117" t="str">
        <f>IF(_xlfn.XLOOKUP(BY312, AutoFill_classes!$A:$A, AutoFill_classes!$B:$B,"")=0,"",_xlfn.XLOOKUP(BY312, AutoFill_classes!$A:$A, AutoFill_classes!$B:$B,""))</f>
        <v/>
      </c>
      <c r="CB312" s="108"/>
      <c r="CC312" s="14"/>
      <c r="CD312" s="14"/>
      <c r="CE312" s="14"/>
      <c r="CF312" s="21"/>
      <c r="CG312" s="22"/>
      <c r="CH312" s="63"/>
      <c r="CI312" s="23"/>
      <c r="CJ312" s="121" t="str">
        <f t="shared" si="288"/>
        <v/>
      </c>
      <c r="CK312" s="20"/>
      <c r="CL312" s="20"/>
      <c r="CM312" s="20"/>
      <c r="CN312" s="20"/>
      <c r="CO312" s="125" t="str">
        <f t="shared" si="289"/>
        <v/>
      </c>
      <c r="CP312" s="14"/>
      <c r="CQ312" s="125" t="str">
        <f t="shared" si="290"/>
        <v/>
      </c>
      <c r="CR312" s="20"/>
      <c r="CS312" s="20"/>
      <c r="CT312" s="125" t="str">
        <f t="shared" si="291"/>
        <v/>
      </c>
      <c r="CU312" s="14"/>
      <c r="CV312" s="125" t="str">
        <f t="shared" si="292"/>
        <v/>
      </c>
      <c r="CW312" s="20"/>
      <c r="CX312" s="20"/>
      <c r="CY312" s="125" t="str">
        <f t="shared" si="293"/>
        <v/>
      </c>
      <c r="CZ312" s="125" t="str">
        <f t="shared" si="294"/>
        <v/>
      </c>
      <c r="DA312" s="125" t="str">
        <f t="shared" si="295"/>
        <v/>
      </c>
      <c r="DB312" s="129" t="str">
        <f t="shared" si="296"/>
        <v/>
      </c>
      <c r="DC312" s="14"/>
      <c r="DD312" s="62"/>
      <c r="DE312" s="105">
        <v>310</v>
      </c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</row>
    <row r="313" spans="1:176" s="1" customFormat="1" ht="13" hidden="1" customHeight="1" outlineLevel="1" x14ac:dyDescent="0.2">
      <c r="A313" s="4"/>
      <c r="B313" s="115" t="str">
        <f>IF(_xlfn.XLOOKUP(A313, AutoFill_names!B:B, AutoFill_names!C:C,"")=0,"",_xlfn.XLOOKUP(A313, AutoFill_names!B:B, AutoFill_names!C:C,""))</f>
        <v/>
      </c>
      <c r="C313" s="115" t="str">
        <f>IF(_xlfn.XLOOKUP(A313, AutoFill_names!B:B, AutoFill_names!D:D,"")=0,"",_xlfn.XLOOKUP(A313, AutoFill_names!B:B, AutoFill_names!D:D,""))</f>
        <v/>
      </c>
      <c r="D313" s="115" t="str">
        <f>IF(_xlfn.XLOOKUP(A313, AutoFill_names!B:B, AutoFill_names!E:E,"")=0,"",_xlfn.XLOOKUP(A313, AutoFill_names!B:B, AutoFill_names!E:E,""))</f>
        <v/>
      </c>
      <c r="E313" s="115" t="str">
        <f>IF(_xlfn.XLOOKUP(A313, AutoFill_names!B:B, AutoFill_names!F:F,"")=0,"",_xlfn.XLOOKUP(A313, AutoFill_names!B:B, AutoFill_names!F:F,""))</f>
        <v/>
      </c>
      <c r="F313" s="92"/>
      <c r="J313" s="115" t="str">
        <f>IF(_xlfn.XLOOKUP(A313, AutoFill_names!B:B, AutoFill_names!K:K,"")=0,"",_xlfn.XLOOKUP(A313, AutoFill_names!B:B, AutoFill_names!K:K,""))</f>
        <v/>
      </c>
      <c r="K313" s="115" t="str">
        <f>IF(_xlfn.XLOOKUP(A313, AutoFill_names!B:B, AutoFill_names!L:L,"")=0,"",_xlfn.XLOOKUP(A313, AutoFill_names!B:B, AutoFill_names!L:L,""))</f>
        <v/>
      </c>
      <c r="L313" s="2"/>
      <c r="M313" s="2"/>
      <c r="N313" s="117" t="str">
        <f>IF(_xlfn.XLOOKUP(L313, AutoFill_classes!A:A, AutoFill_classes!B:B,"")=0,"",_xlfn.XLOOKUP(L313, AutoFill_classes!A:A, AutoFill_classes!B:B,""))</f>
        <v/>
      </c>
      <c r="O313" s="108"/>
      <c r="P313" s="6"/>
      <c r="Q313" s="6"/>
      <c r="R313" s="6"/>
      <c r="S313" s="2"/>
      <c r="T313" s="2"/>
      <c r="U313" s="2"/>
      <c r="X313" s="63"/>
      <c r="Y313" s="19"/>
      <c r="Z313" s="121" t="str">
        <f t="shared" si="270"/>
        <v/>
      </c>
      <c r="AA313" s="20"/>
      <c r="AB313" s="20"/>
      <c r="AC313" s="20"/>
      <c r="AD313" s="20"/>
      <c r="AE313" s="125" t="str">
        <f t="shared" si="271"/>
        <v/>
      </c>
      <c r="AF313" s="14"/>
      <c r="AG313" s="125" t="str">
        <f t="shared" si="272"/>
        <v/>
      </c>
      <c r="AH313" s="20"/>
      <c r="AI313" s="20"/>
      <c r="AJ313" s="125" t="str">
        <f t="shared" si="273"/>
        <v/>
      </c>
      <c r="AK313" s="14"/>
      <c r="AL313" s="125" t="str">
        <f t="shared" si="274"/>
        <v/>
      </c>
      <c r="AM313" s="20"/>
      <c r="AN313" s="20"/>
      <c r="AO313" s="125" t="str">
        <f t="shared" si="275"/>
        <v/>
      </c>
      <c r="AP313" s="125" t="str">
        <f t="shared" si="276"/>
        <v/>
      </c>
      <c r="AQ313" s="125" t="str">
        <f t="shared" si="277"/>
        <v/>
      </c>
      <c r="AR313" s="129" t="str">
        <f t="shared" si="278"/>
        <v/>
      </c>
      <c r="AS313" s="14"/>
      <c r="AT313" s="33"/>
      <c r="AU313" s="33"/>
      <c r="AV313" s="117" t="str">
        <f>IF(_xlfn.XLOOKUP(AT313, AutoFill_classes!$A:$A, AutoFill_classes!$B:$B,"")=0,"",_xlfn.XLOOKUP(AT313, AutoFill_classes!$A:$A, AutoFill_classes!$B:$B,""))</f>
        <v/>
      </c>
      <c r="AW313" s="108"/>
      <c r="AX313" s="11"/>
      <c r="AY313" s="11"/>
      <c r="AZ313" s="11"/>
      <c r="BA313" s="13"/>
      <c r="BB313" s="13"/>
      <c r="BC313" s="63"/>
      <c r="BD313" s="19"/>
      <c r="BE313" s="121" t="str">
        <f t="shared" si="279"/>
        <v/>
      </c>
      <c r="BF313" s="20"/>
      <c r="BG313" s="20"/>
      <c r="BH313" s="20"/>
      <c r="BI313" s="20"/>
      <c r="BJ313" s="125" t="str">
        <f t="shared" si="280"/>
        <v/>
      </c>
      <c r="BK313" s="14"/>
      <c r="BL313" s="125" t="str">
        <f t="shared" si="281"/>
        <v/>
      </c>
      <c r="BM313" s="20"/>
      <c r="BN313" s="20"/>
      <c r="BO313" s="125" t="str">
        <f t="shared" si="282"/>
        <v/>
      </c>
      <c r="BP313" s="14"/>
      <c r="BQ313" s="125" t="str">
        <f t="shared" si="283"/>
        <v/>
      </c>
      <c r="BR313" s="20"/>
      <c r="BS313" s="20"/>
      <c r="BT313" s="125" t="str">
        <f t="shared" si="284"/>
        <v/>
      </c>
      <c r="BU313" s="125" t="str">
        <f t="shared" si="285"/>
        <v/>
      </c>
      <c r="BV313" s="125" t="str">
        <f t="shared" si="286"/>
        <v/>
      </c>
      <c r="BW313" s="129" t="str">
        <f t="shared" si="287"/>
        <v/>
      </c>
      <c r="BX313" s="11"/>
      <c r="BY313" s="15"/>
      <c r="BZ313" s="14"/>
      <c r="CA313" s="117" t="str">
        <f>IF(_xlfn.XLOOKUP(BY313, AutoFill_classes!$A:$A, AutoFill_classes!$B:$B,"")=0,"",_xlfn.XLOOKUP(BY313, AutoFill_classes!$A:$A, AutoFill_classes!$B:$B,""))</f>
        <v/>
      </c>
      <c r="CB313" s="108"/>
      <c r="CC313" s="14"/>
      <c r="CD313" s="14"/>
      <c r="CE313" s="14"/>
      <c r="CF313" s="21"/>
      <c r="CG313" s="22"/>
      <c r="CH313" s="63"/>
      <c r="CI313" s="23"/>
      <c r="CJ313" s="121" t="str">
        <f t="shared" si="288"/>
        <v/>
      </c>
      <c r="CK313" s="20"/>
      <c r="CL313" s="20"/>
      <c r="CM313" s="20"/>
      <c r="CN313" s="20"/>
      <c r="CO313" s="125" t="str">
        <f t="shared" si="289"/>
        <v/>
      </c>
      <c r="CP313" s="14"/>
      <c r="CQ313" s="125" t="str">
        <f t="shared" si="290"/>
        <v/>
      </c>
      <c r="CR313" s="20"/>
      <c r="CS313" s="20"/>
      <c r="CT313" s="125" t="str">
        <f t="shared" si="291"/>
        <v/>
      </c>
      <c r="CU313" s="14"/>
      <c r="CV313" s="125" t="str">
        <f t="shared" si="292"/>
        <v/>
      </c>
      <c r="CW313" s="20"/>
      <c r="CX313" s="20"/>
      <c r="CY313" s="125" t="str">
        <f t="shared" si="293"/>
        <v/>
      </c>
      <c r="CZ313" s="125" t="str">
        <f t="shared" si="294"/>
        <v/>
      </c>
      <c r="DA313" s="125" t="str">
        <f t="shared" si="295"/>
        <v/>
      </c>
      <c r="DB313" s="129" t="str">
        <f t="shared" si="296"/>
        <v/>
      </c>
      <c r="DC313" s="14"/>
      <c r="DD313" s="62"/>
      <c r="DE313" s="105">
        <v>311</v>
      </c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</row>
    <row r="314" spans="1:176" s="1" customFormat="1" ht="13" hidden="1" customHeight="1" outlineLevel="1" x14ac:dyDescent="0.2">
      <c r="A314" s="4"/>
      <c r="B314" s="115" t="str">
        <f>IF(_xlfn.XLOOKUP(A314, AutoFill_names!B:B, AutoFill_names!C:C,"")=0,"",_xlfn.XLOOKUP(A314, AutoFill_names!B:B, AutoFill_names!C:C,""))</f>
        <v/>
      </c>
      <c r="C314" s="115" t="str">
        <f>IF(_xlfn.XLOOKUP(A314, AutoFill_names!B:B, AutoFill_names!D:D,"")=0,"",_xlfn.XLOOKUP(A314, AutoFill_names!B:B, AutoFill_names!D:D,""))</f>
        <v/>
      </c>
      <c r="D314" s="115" t="str">
        <f>IF(_xlfn.XLOOKUP(A314, AutoFill_names!B:B, AutoFill_names!E:E,"")=0,"",_xlfn.XLOOKUP(A314, AutoFill_names!B:B, AutoFill_names!E:E,""))</f>
        <v/>
      </c>
      <c r="E314" s="115" t="str">
        <f>IF(_xlfn.XLOOKUP(A314, AutoFill_names!B:B, AutoFill_names!F:F,"")=0,"",_xlfn.XLOOKUP(A314, AutoFill_names!B:B, AutoFill_names!F:F,""))</f>
        <v/>
      </c>
      <c r="F314" s="92"/>
      <c r="J314" s="115" t="str">
        <f>IF(_xlfn.XLOOKUP(A314, AutoFill_names!B:B, AutoFill_names!K:K,"")=0,"",_xlfn.XLOOKUP(A314, AutoFill_names!B:B, AutoFill_names!K:K,""))</f>
        <v/>
      </c>
      <c r="K314" s="115" t="str">
        <f>IF(_xlfn.XLOOKUP(A314, AutoFill_names!B:B, AutoFill_names!L:L,"")=0,"",_xlfn.XLOOKUP(A314, AutoFill_names!B:B, AutoFill_names!L:L,""))</f>
        <v/>
      </c>
      <c r="L314" s="2"/>
      <c r="M314" s="2"/>
      <c r="N314" s="117" t="str">
        <f>IF(_xlfn.XLOOKUP(L314, AutoFill_classes!A:A, AutoFill_classes!B:B,"")=0,"",_xlfn.XLOOKUP(L314, AutoFill_classes!A:A, AutoFill_classes!B:B,""))</f>
        <v/>
      </c>
      <c r="O314" s="108"/>
      <c r="P314" s="6"/>
      <c r="Q314" s="6"/>
      <c r="R314" s="6"/>
      <c r="S314" s="2"/>
      <c r="T314" s="2"/>
      <c r="U314" s="2"/>
      <c r="X314" s="63"/>
      <c r="Y314" s="19"/>
      <c r="Z314" s="121" t="str">
        <f t="shared" si="270"/>
        <v/>
      </c>
      <c r="AA314" s="20"/>
      <c r="AB314" s="20"/>
      <c r="AC314" s="20"/>
      <c r="AD314" s="20"/>
      <c r="AE314" s="125" t="str">
        <f t="shared" si="271"/>
        <v/>
      </c>
      <c r="AF314" s="14"/>
      <c r="AG314" s="125" t="str">
        <f t="shared" si="272"/>
        <v/>
      </c>
      <c r="AH314" s="20"/>
      <c r="AI314" s="20"/>
      <c r="AJ314" s="125" t="str">
        <f t="shared" si="273"/>
        <v/>
      </c>
      <c r="AK314" s="14"/>
      <c r="AL314" s="125" t="str">
        <f t="shared" si="274"/>
        <v/>
      </c>
      <c r="AM314" s="20"/>
      <c r="AN314" s="20"/>
      <c r="AO314" s="125" t="str">
        <f t="shared" si="275"/>
        <v/>
      </c>
      <c r="AP314" s="125" t="str">
        <f t="shared" si="276"/>
        <v/>
      </c>
      <c r="AQ314" s="125" t="str">
        <f t="shared" si="277"/>
        <v/>
      </c>
      <c r="AR314" s="129" t="str">
        <f t="shared" si="278"/>
        <v/>
      </c>
      <c r="AS314" s="14"/>
      <c r="AT314" s="33"/>
      <c r="AU314" s="33"/>
      <c r="AV314" s="117" t="str">
        <f>IF(_xlfn.XLOOKUP(AT314, AutoFill_classes!$A:$A, AutoFill_classes!$B:$B,"")=0,"",_xlfn.XLOOKUP(AT314, AutoFill_classes!$A:$A, AutoFill_classes!$B:$B,""))</f>
        <v/>
      </c>
      <c r="AW314" s="108"/>
      <c r="AX314" s="11"/>
      <c r="AY314" s="11"/>
      <c r="AZ314" s="11"/>
      <c r="BA314" s="13"/>
      <c r="BB314" s="13"/>
      <c r="BC314" s="63"/>
      <c r="BD314" s="19"/>
      <c r="BE314" s="121" t="str">
        <f t="shared" si="279"/>
        <v/>
      </c>
      <c r="BF314" s="20"/>
      <c r="BG314" s="20"/>
      <c r="BH314" s="20"/>
      <c r="BI314" s="20"/>
      <c r="BJ314" s="125" t="str">
        <f t="shared" si="280"/>
        <v/>
      </c>
      <c r="BK314" s="14"/>
      <c r="BL314" s="125" t="str">
        <f t="shared" si="281"/>
        <v/>
      </c>
      <c r="BM314" s="20"/>
      <c r="BN314" s="20"/>
      <c r="BO314" s="125" t="str">
        <f t="shared" si="282"/>
        <v/>
      </c>
      <c r="BP314" s="14"/>
      <c r="BQ314" s="125" t="str">
        <f t="shared" si="283"/>
        <v/>
      </c>
      <c r="BR314" s="20"/>
      <c r="BS314" s="20"/>
      <c r="BT314" s="125" t="str">
        <f t="shared" si="284"/>
        <v/>
      </c>
      <c r="BU314" s="125" t="str">
        <f t="shared" si="285"/>
        <v/>
      </c>
      <c r="BV314" s="125" t="str">
        <f t="shared" si="286"/>
        <v/>
      </c>
      <c r="BW314" s="129" t="str">
        <f t="shared" si="287"/>
        <v/>
      </c>
      <c r="BX314" s="11"/>
      <c r="BY314" s="15"/>
      <c r="BZ314" s="14"/>
      <c r="CA314" s="117" t="str">
        <f>IF(_xlfn.XLOOKUP(BY314, AutoFill_classes!$A:$A, AutoFill_classes!$B:$B,"")=0,"",_xlfn.XLOOKUP(BY314, AutoFill_classes!$A:$A, AutoFill_classes!$B:$B,""))</f>
        <v/>
      </c>
      <c r="CB314" s="108"/>
      <c r="CC314" s="14"/>
      <c r="CD314" s="14"/>
      <c r="CE314" s="14"/>
      <c r="CF314" s="21"/>
      <c r="CG314" s="22"/>
      <c r="CH314" s="63"/>
      <c r="CI314" s="23"/>
      <c r="CJ314" s="121" t="str">
        <f t="shared" si="288"/>
        <v/>
      </c>
      <c r="CK314" s="20"/>
      <c r="CL314" s="20"/>
      <c r="CM314" s="20"/>
      <c r="CN314" s="20"/>
      <c r="CO314" s="125" t="str">
        <f t="shared" si="289"/>
        <v/>
      </c>
      <c r="CP314" s="14"/>
      <c r="CQ314" s="125" t="str">
        <f t="shared" si="290"/>
        <v/>
      </c>
      <c r="CR314" s="20"/>
      <c r="CS314" s="20"/>
      <c r="CT314" s="125" t="str">
        <f t="shared" si="291"/>
        <v/>
      </c>
      <c r="CU314" s="14"/>
      <c r="CV314" s="125" t="str">
        <f t="shared" si="292"/>
        <v/>
      </c>
      <c r="CW314" s="20"/>
      <c r="CX314" s="20"/>
      <c r="CY314" s="125" t="str">
        <f t="shared" si="293"/>
        <v/>
      </c>
      <c r="CZ314" s="125" t="str">
        <f t="shared" si="294"/>
        <v/>
      </c>
      <c r="DA314" s="125" t="str">
        <f t="shared" si="295"/>
        <v/>
      </c>
      <c r="DB314" s="129" t="str">
        <f t="shared" si="296"/>
        <v/>
      </c>
      <c r="DC314" s="14"/>
      <c r="DD314" s="62"/>
      <c r="DE314" s="105">
        <v>312</v>
      </c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</row>
    <row r="315" spans="1:176" s="1" customFormat="1" ht="13" hidden="1" customHeight="1" outlineLevel="1" x14ac:dyDescent="0.2">
      <c r="A315" s="4"/>
      <c r="B315" s="115" t="str">
        <f>IF(_xlfn.XLOOKUP(A315, AutoFill_names!B:B, AutoFill_names!C:C,"")=0,"",_xlfn.XLOOKUP(A315, AutoFill_names!B:B, AutoFill_names!C:C,""))</f>
        <v/>
      </c>
      <c r="C315" s="115" t="str">
        <f>IF(_xlfn.XLOOKUP(A315, AutoFill_names!B:B, AutoFill_names!D:D,"")=0,"",_xlfn.XLOOKUP(A315, AutoFill_names!B:B, AutoFill_names!D:D,""))</f>
        <v/>
      </c>
      <c r="D315" s="115" t="str">
        <f>IF(_xlfn.XLOOKUP(A315, AutoFill_names!B:B, AutoFill_names!E:E,"")=0,"",_xlfn.XLOOKUP(A315, AutoFill_names!B:B, AutoFill_names!E:E,""))</f>
        <v/>
      </c>
      <c r="E315" s="115" t="str">
        <f>IF(_xlfn.XLOOKUP(A315, AutoFill_names!B:B, AutoFill_names!F:F,"")=0,"",_xlfn.XLOOKUP(A315, AutoFill_names!B:B, AutoFill_names!F:F,""))</f>
        <v/>
      </c>
      <c r="F315" s="92"/>
      <c r="J315" s="115" t="str">
        <f>IF(_xlfn.XLOOKUP(A315, AutoFill_names!B:B, AutoFill_names!K:K,"")=0,"",_xlfn.XLOOKUP(A315, AutoFill_names!B:B, AutoFill_names!K:K,""))</f>
        <v/>
      </c>
      <c r="K315" s="115" t="str">
        <f>IF(_xlfn.XLOOKUP(A315, AutoFill_names!B:B, AutoFill_names!L:L,"")=0,"",_xlfn.XLOOKUP(A315, AutoFill_names!B:B, AutoFill_names!L:L,""))</f>
        <v/>
      </c>
      <c r="L315" s="2"/>
      <c r="M315" s="2"/>
      <c r="N315" s="117" t="str">
        <f>IF(_xlfn.XLOOKUP(L315, AutoFill_classes!A:A, AutoFill_classes!B:B,"")=0,"",_xlfn.XLOOKUP(L315, AutoFill_classes!A:A, AutoFill_classes!B:B,""))</f>
        <v/>
      </c>
      <c r="O315" s="108"/>
      <c r="P315" s="6"/>
      <c r="Q315" s="6"/>
      <c r="R315" s="6"/>
      <c r="S315" s="2"/>
      <c r="T315" s="2"/>
      <c r="U315" s="2"/>
      <c r="X315" s="63"/>
      <c r="Y315" s="19"/>
      <c r="Z315" s="121" t="str">
        <f t="shared" si="270"/>
        <v/>
      </c>
      <c r="AA315" s="20"/>
      <c r="AB315" s="20"/>
      <c r="AC315" s="20"/>
      <c r="AD315" s="20"/>
      <c r="AE315" s="125" t="str">
        <f t="shared" si="271"/>
        <v/>
      </c>
      <c r="AF315" s="14"/>
      <c r="AG315" s="125" t="str">
        <f t="shared" si="272"/>
        <v/>
      </c>
      <c r="AH315" s="20"/>
      <c r="AI315" s="20"/>
      <c r="AJ315" s="125" t="str">
        <f t="shared" si="273"/>
        <v/>
      </c>
      <c r="AK315" s="14"/>
      <c r="AL315" s="125" t="str">
        <f t="shared" si="274"/>
        <v/>
      </c>
      <c r="AM315" s="20"/>
      <c r="AN315" s="20"/>
      <c r="AO315" s="125" t="str">
        <f t="shared" si="275"/>
        <v/>
      </c>
      <c r="AP315" s="125" t="str">
        <f t="shared" si="276"/>
        <v/>
      </c>
      <c r="AQ315" s="125" t="str">
        <f t="shared" si="277"/>
        <v/>
      </c>
      <c r="AR315" s="129" t="str">
        <f t="shared" si="278"/>
        <v/>
      </c>
      <c r="AS315" s="14"/>
      <c r="AT315" s="33"/>
      <c r="AU315" s="33"/>
      <c r="AV315" s="117" t="str">
        <f>IF(_xlfn.XLOOKUP(AT315, AutoFill_classes!$A:$A, AutoFill_classes!$B:$B,"")=0,"",_xlfn.XLOOKUP(AT315, AutoFill_classes!$A:$A, AutoFill_classes!$B:$B,""))</f>
        <v/>
      </c>
      <c r="AW315" s="108"/>
      <c r="AX315" s="11"/>
      <c r="AY315" s="11"/>
      <c r="AZ315" s="11"/>
      <c r="BA315" s="13"/>
      <c r="BB315" s="13"/>
      <c r="BC315" s="63"/>
      <c r="BD315" s="19"/>
      <c r="BE315" s="121" t="str">
        <f t="shared" si="279"/>
        <v/>
      </c>
      <c r="BF315" s="20"/>
      <c r="BG315" s="20"/>
      <c r="BH315" s="20"/>
      <c r="BI315" s="20"/>
      <c r="BJ315" s="125" t="str">
        <f t="shared" si="280"/>
        <v/>
      </c>
      <c r="BK315" s="14"/>
      <c r="BL315" s="125" t="str">
        <f t="shared" si="281"/>
        <v/>
      </c>
      <c r="BM315" s="20"/>
      <c r="BN315" s="20"/>
      <c r="BO315" s="125" t="str">
        <f t="shared" si="282"/>
        <v/>
      </c>
      <c r="BP315" s="14"/>
      <c r="BQ315" s="125" t="str">
        <f t="shared" si="283"/>
        <v/>
      </c>
      <c r="BR315" s="20"/>
      <c r="BS315" s="20"/>
      <c r="BT315" s="125" t="str">
        <f t="shared" si="284"/>
        <v/>
      </c>
      <c r="BU315" s="125" t="str">
        <f t="shared" si="285"/>
        <v/>
      </c>
      <c r="BV315" s="125" t="str">
        <f t="shared" si="286"/>
        <v/>
      </c>
      <c r="BW315" s="129" t="str">
        <f t="shared" si="287"/>
        <v/>
      </c>
      <c r="BX315" s="11"/>
      <c r="BY315" s="15"/>
      <c r="BZ315" s="14"/>
      <c r="CA315" s="117" t="str">
        <f>IF(_xlfn.XLOOKUP(BY315, AutoFill_classes!$A:$A, AutoFill_classes!$B:$B,"")=0,"",_xlfn.XLOOKUP(BY315, AutoFill_classes!$A:$A, AutoFill_classes!$B:$B,""))</f>
        <v/>
      </c>
      <c r="CB315" s="108"/>
      <c r="CC315" s="14"/>
      <c r="CD315" s="14"/>
      <c r="CE315" s="14"/>
      <c r="CF315" s="21"/>
      <c r="CG315" s="22"/>
      <c r="CH315" s="63"/>
      <c r="CI315" s="23"/>
      <c r="CJ315" s="121" t="str">
        <f t="shared" si="288"/>
        <v/>
      </c>
      <c r="CK315" s="20"/>
      <c r="CL315" s="20"/>
      <c r="CM315" s="20"/>
      <c r="CN315" s="20"/>
      <c r="CO315" s="125" t="str">
        <f t="shared" si="289"/>
        <v/>
      </c>
      <c r="CP315" s="14"/>
      <c r="CQ315" s="125" t="str">
        <f t="shared" si="290"/>
        <v/>
      </c>
      <c r="CR315" s="20"/>
      <c r="CS315" s="20"/>
      <c r="CT315" s="125" t="str">
        <f t="shared" si="291"/>
        <v/>
      </c>
      <c r="CU315" s="14"/>
      <c r="CV315" s="125" t="str">
        <f t="shared" si="292"/>
        <v/>
      </c>
      <c r="CW315" s="20"/>
      <c r="CX315" s="20"/>
      <c r="CY315" s="125" t="str">
        <f t="shared" si="293"/>
        <v/>
      </c>
      <c r="CZ315" s="125" t="str">
        <f t="shared" si="294"/>
        <v/>
      </c>
      <c r="DA315" s="125" t="str">
        <f t="shared" si="295"/>
        <v/>
      </c>
      <c r="DB315" s="129" t="str">
        <f t="shared" si="296"/>
        <v/>
      </c>
      <c r="DC315" s="14"/>
      <c r="DD315" s="62"/>
      <c r="DE315" s="105">
        <v>313</v>
      </c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</row>
    <row r="316" spans="1:176" s="1" customFormat="1" ht="13" hidden="1" customHeight="1" outlineLevel="1" x14ac:dyDescent="0.2">
      <c r="A316" s="4"/>
      <c r="B316" s="115" t="str">
        <f>IF(_xlfn.XLOOKUP(A316, AutoFill_names!B:B, AutoFill_names!C:C,"")=0,"",_xlfn.XLOOKUP(A316, AutoFill_names!B:B, AutoFill_names!C:C,""))</f>
        <v/>
      </c>
      <c r="C316" s="115" t="str">
        <f>IF(_xlfn.XLOOKUP(A316, AutoFill_names!B:B, AutoFill_names!D:D,"")=0,"",_xlfn.XLOOKUP(A316, AutoFill_names!B:B, AutoFill_names!D:D,""))</f>
        <v/>
      </c>
      <c r="D316" s="115" t="str">
        <f>IF(_xlfn.XLOOKUP(A316, AutoFill_names!B:B, AutoFill_names!E:E,"")=0,"",_xlfn.XLOOKUP(A316, AutoFill_names!B:B, AutoFill_names!E:E,""))</f>
        <v/>
      </c>
      <c r="E316" s="115" t="str">
        <f>IF(_xlfn.XLOOKUP(A316, AutoFill_names!B:B, AutoFill_names!F:F,"")=0,"",_xlfn.XLOOKUP(A316, AutoFill_names!B:B, AutoFill_names!F:F,""))</f>
        <v/>
      </c>
      <c r="F316" s="92"/>
      <c r="J316" s="115" t="str">
        <f>IF(_xlfn.XLOOKUP(A316, AutoFill_names!B:B, AutoFill_names!K:K,"")=0,"",_xlfn.XLOOKUP(A316, AutoFill_names!B:B, AutoFill_names!K:K,""))</f>
        <v/>
      </c>
      <c r="K316" s="115" t="str">
        <f>IF(_xlfn.XLOOKUP(A316, AutoFill_names!B:B, AutoFill_names!L:L,"")=0,"",_xlfn.XLOOKUP(A316, AutoFill_names!B:B, AutoFill_names!L:L,""))</f>
        <v/>
      </c>
      <c r="L316" s="2"/>
      <c r="M316" s="2"/>
      <c r="N316" s="117" t="str">
        <f>IF(_xlfn.XLOOKUP(L316, AutoFill_classes!A:A, AutoFill_classes!B:B,"")=0,"",_xlfn.XLOOKUP(L316, AutoFill_classes!A:A, AutoFill_classes!B:B,""))</f>
        <v/>
      </c>
      <c r="O316" s="108"/>
      <c r="P316" s="6"/>
      <c r="Q316" s="6"/>
      <c r="R316" s="6"/>
      <c r="S316" s="2"/>
      <c r="T316" s="2"/>
      <c r="U316" s="2"/>
      <c r="X316" s="63"/>
      <c r="Y316" s="19"/>
      <c r="Z316" s="121" t="str">
        <f t="shared" si="270"/>
        <v/>
      </c>
      <c r="AA316" s="20"/>
      <c r="AB316" s="20"/>
      <c r="AC316" s="20"/>
      <c r="AD316" s="20"/>
      <c r="AE316" s="125" t="str">
        <f t="shared" si="271"/>
        <v/>
      </c>
      <c r="AF316" s="14"/>
      <c r="AG316" s="125" t="str">
        <f t="shared" si="272"/>
        <v/>
      </c>
      <c r="AH316" s="20"/>
      <c r="AI316" s="20"/>
      <c r="AJ316" s="125" t="str">
        <f t="shared" si="273"/>
        <v/>
      </c>
      <c r="AK316" s="14"/>
      <c r="AL316" s="125" t="str">
        <f t="shared" si="274"/>
        <v/>
      </c>
      <c r="AM316" s="20"/>
      <c r="AN316" s="20"/>
      <c r="AO316" s="125" t="str">
        <f t="shared" si="275"/>
        <v/>
      </c>
      <c r="AP316" s="125" t="str">
        <f t="shared" si="276"/>
        <v/>
      </c>
      <c r="AQ316" s="125" t="str">
        <f t="shared" si="277"/>
        <v/>
      </c>
      <c r="AR316" s="129" t="str">
        <f t="shared" si="278"/>
        <v/>
      </c>
      <c r="AS316" s="14"/>
      <c r="AT316" s="33"/>
      <c r="AU316" s="33"/>
      <c r="AV316" s="117" t="str">
        <f>IF(_xlfn.XLOOKUP(AT316, AutoFill_classes!$A:$A, AutoFill_classes!$B:$B,"")=0,"",_xlfn.XLOOKUP(AT316, AutoFill_classes!$A:$A, AutoFill_classes!$B:$B,""))</f>
        <v/>
      </c>
      <c r="AW316" s="108"/>
      <c r="AX316" s="11"/>
      <c r="AY316" s="11"/>
      <c r="AZ316" s="11"/>
      <c r="BA316" s="13"/>
      <c r="BB316" s="13"/>
      <c r="BC316" s="63"/>
      <c r="BD316" s="19"/>
      <c r="BE316" s="121" t="str">
        <f t="shared" si="279"/>
        <v/>
      </c>
      <c r="BF316" s="20"/>
      <c r="BG316" s="20"/>
      <c r="BH316" s="20"/>
      <c r="BI316" s="20"/>
      <c r="BJ316" s="125" t="str">
        <f t="shared" si="280"/>
        <v/>
      </c>
      <c r="BK316" s="14"/>
      <c r="BL316" s="125" t="str">
        <f t="shared" si="281"/>
        <v/>
      </c>
      <c r="BM316" s="20"/>
      <c r="BN316" s="20"/>
      <c r="BO316" s="125" t="str">
        <f t="shared" si="282"/>
        <v/>
      </c>
      <c r="BP316" s="14"/>
      <c r="BQ316" s="125" t="str">
        <f t="shared" si="283"/>
        <v/>
      </c>
      <c r="BR316" s="20"/>
      <c r="BS316" s="20"/>
      <c r="BT316" s="125" t="str">
        <f t="shared" si="284"/>
        <v/>
      </c>
      <c r="BU316" s="125" t="str">
        <f t="shared" si="285"/>
        <v/>
      </c>
      <c r="BV316" s="125" t="str">
        <f t="shared" si="286"/>
        <v/>
      </c>
      <c r="BW316" s="129" t="str">
        <f t="shared" si="287"/>
        <v/>
      </c>
      <c r="BX316" s="11"/>
      <c r="BY316" s="15"/>
      <c r="BZ316" s="14"/>
      <c r="CA316" s="117" t="str">
        <f>IF(_xlfn.XLOOKUP(BY316, AutoFill_classes!$A:$A, AutoFill_classes!$B:$B,"")=0,"",_xlfn.XLOOKUP(BY316, AutoFill_classes!$A:$A, AutoFill_classes!$B:$B,""))</f>
        <v/>
      </c>
      <c r="CB316" s="108"/>
      <c r="CC316" s="14"/>
      <c r="CD316" s="14"/>
      <c r="CE316" s="14"/>
      <c r="CF316" s="21"/>
      <c r="CG316" s="22"/>
      <c r="CH316" s="63"/>
      <c r="CI316" s="23"/>
      <c r="CJ316" s="121" t="str">
        <f t="shared" si="288"/>
        <v/>
      </c>
      <c r="CK316" s="20"/>
      <c r="CL316" s="20"/>
      <c r="CM316" s="20"/>
      <c r="CN316" s="20"/>
      <c r="CO316" s="125" t="str">
        <f t="shared" si="289"/>
        <v/>
      </c>
      <c r="CP316" s="14"/>
      <c r="CQ316" s="125" t="str">
        <f t="shared" si="290"/>
        <v/>
      </c>
      <c r="CR316" s="20"/>
      <c r="CS316" s="20"/>
      <c r="CT316" s="125" t="str">
        <f t="shared" si="291"/>
        <v/>
      </c>
      <c r="CU316" s="14"/>
      <c r="CV316" s="125" t="str">
        <f t="shared" si="292"/>
        <v/>
      </c>
      <c r="CW316" s="20"/>
      <c r="CX316" s="20"/>
      <c r="CY316" s="125" t="str">
        <f t="shared" si="293"/>
        <v/>
      </c>
      <c r="CZ316" s="125" t="str">
        <f t="shared" si="294"/>
        <v/>
      </c>
      <c r="DA316" s="125" t="str">
        <f t="shared" si="295"/>
        <v/>
      </c>
      <c r="DB316" s="129" t="str">
        <f t="shared" si="296"/>
        <v/>
      </c>
      <c r="DC316" s="14"/>
      <c r="DD316" s="62"/>
      <c r="DE316" s="105">
        <v>314</v>
      </c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</row>
    <row r="317" spans="1:176" s="1" customFormat="1" ht="13" hidden="1" customHeight="1" outlineLevel="1" x14ac:dyDescent="0.2">
      <c r="A317" s="4"/>
      <c r="B317" s="115" t="str">
        <f>IF(_xlfn.XLOOKUP(A317, AutoFill_names!B:B, AutoFill_names!C:C,"")=0,"",_xlfn.XLOOKUP(A317, AutoFill_names!B:B, AutoFill_names!C:C,""))</f>
        <v/>
      </c>
      <c r="C317" s="115" t="str">
        <f>IF(_xlfn.XLOOKUP(A317, AutoFill_names!B:B, AutoFill_names!D:D,"")=0,"",_xlfn.XLOOKUP(A317, AutoFill_names!B:B, AutoFill_names!D:D,""))</f>
        <v/>
      </c>
      <c r="D317" s="115" t="str">
        <f>IF(_xlfn.XLOOKUP(A317, AutoFill_names!B:B, AutoFill_names!E:E,"")=0,"",_xlfn.XLOOKUP(A317, AutoFill_names!B:B, AutoFill_names!E:E,""))</f>
        <v/>
      </c>
      <c r="E317" s="115" t="str">
        <f>IF(_xlfn.XLOOKUP(A317, AutoFill_names!B:B, AutoFill_names!F:F,"")=0,"",_xlfn.XLOOKUP(A317, AutoFill_names!B:B, AutoFill_names!F:F,""))</f>
        <v/>
      </c>
      <c r="F317" s="92"/>
      <c r="J317" s="115" t="str">
        <f>IF(_xlfn.XLOOKUP(A317, AutoFill_names!B:B, AutoFill_names!K:K,"")=0,"",_xlfn.XLOOKUP(A317, AutoFill_names!B:B, AutoFill_names!K:K,""))</f>
        <v/>
      </c>
      <c r="K317" s="115" t="str">
        <f>IF(_xlfn.XLOOKUP(A317, AutoFill_names!B:B, AutoFill_names!L:L,"")=0,"",_xlfn.XLOOKUP(A317, AutoFill_names!B:B, AutoFill_names!L:L,""))</f>
        <v/>
      </c>
      <c r="L317" s="2"/>
      <c r="M317" s="2"/>
      <c r="N317" s="117" t="str">
        <f>IF(_xlfn.XLOOKUP(L317, AutoFill_classes!A:A, AutoFill_classes!B:B,"")=0,"",_xlfn.XLOOKUP(L317, AutoFill_classes!A:A, AutoFill_classes!B:B,""))</f>
        <v/>
      </c>
      <c r="O317" s="108"/>
      <c r="P317" s="6"/>
      <c r="Q317" s="6"/>
      <c r="R317" s="6"/>
      <c r="S317" s="2"/>
      <c r="T317" s="2"/>
      <c r="U317" s="2"/>
      <c r="X317" s="63"/>
      <c r="Y317" s="19"/>
      <c r="Z317" s="121" t="str">
        <f t="shared" si="270"/>
        <v/>
      </c>
      <c r="AA317" s="20"/>
      <c r="AB317" s="20"/>
      <c r="AC317" s="20"/>
      <c r="AD317" s="20"/>
      <c r="AE317" s="125" t="str">
        <f t="shared" si="271"/>
        <v/>
      </c>
      <c r="AF317" s="14"/>
      <c r="AG317" s="125" t="str">
        <f t="shared" si="272"/>
        <v/>
      </c>
      <c r="AH317" s="20"/>
      <c r="AI317" s="20"/>
      <c r="AJ317" s="125" t="str">
        <f t="shared" si="273"/>
        <v/>
      </c>
      <c r="AK317" s="14"/>
      <c r="AL317" s="125" t="str">
        <f t="shared" si="274"/>
        <v/>
      </c>
      <c r="AM317" s="20"/>
      <c r="AN317" s="20"/>
      <c r="AO317" s="125" t="str">
        <f t="shared" si="275"/>
        <v/>
      </c>
      <c r="AP317" s="125" t="str">
        <f t="shared" si="276"/>
        <v/>
      </c>
      <c r="AQ317" s="125" t="str">
        <f t="shared" si="277"/>
        <v/>
      </c>
      <c r="AR317" s="129" t="str">
        <f t="shared" si="278"/>
        <v/>
      </c>
      <c r="AS317" s="14"/>
      <c r="AT317" s="33"/>
      <c r="AU317" s="33"/>
      <c r="AV317" s="117" t="str">
        <f>IF(_xlfn.XLOOKUP(AT317, AutoFill_classes!$A:$A, AutoFill_classes!$B:$B,"")=0,"",_xlfn.XLOOKUP(AT317, AutoFill_classes!$A:$A, AutoFill_classes!$B:$B,""))</f>
        <v/>
      </c>
      <c r="AW317" s="108"/>
      <c r="AX317" s="11"/>
      <c r="AY317" s="11"/>
      <c r="AZ317" s="11"/>
      <c r="BA317" s="13"/>
      <c r="BB317" s="13"/>
      <c r="BC317" s="63"/>
      <c r="BD317" s="19"/>
      <c r="BE317" s="121" t="str">
        <f t="shared" si="279"/>
        <v/>
      </c>
      <c r="BF317" s="20"/>
      <c r="BG317" s="20"/>
      <c r="BH317" s="20"/>
      <c r="BI317" s="20"/>
      <c r="BJ317" s="125" t="str">
        <f t="shared" si="280"/>
        <v/>
      </c>
      <c r="BK317" s="14"/>
      <c r="BL317" s="125" t="str">
        <f t="shared" si="281"/>
        <v/>
      </c>
      <c r="BM317" s="20"/>
      <c r="BN317" s="20"/>
      <c r="BO317" s="125" t="str">
        <f t="shared" si="282"/>
        <v/>
      </c>
      <c r="BP317" s="14"/>
      <c r="BQ317" s="125" t="str">
        <f t="shared" si="283"/>
        <v/>
      </c>
      <c r="BR317" s="20"/>
      <c r="BS317" s="20"/>
      <c r="BT317" s="125" t="str">
        <f t="shared" si="284"/>
        <v/>
      </c>
      <c r="BU317" s="125" t="str">
        <f t="shared" si="285"/>
        <v/>
      </c>
      <c r="BV317" s="125" t="str">
        <f t="shared" si="286"/>
        <v/>
      </c>
      <c r="BW317" s="129" t="str">
        <f t="shared" si="287"/>
        <v/>
      </c>
      <c r="BX317" s="11"/>
      <c r="BY317" s="15"/>
      <c r="BZ317" s="14"/>
      <c r="CA317" s="117" t="str">
        <f>IF(_xlfn.XLOOKUP(BY317, AutoFill_classes!$A:$A, AutoFill_classes!$B:$B,"")=0,"",_xlfn.XLOOKUP(BY317, AutoFill_classes!$A:$A, AutoFill_classes!$B:$B,""))</f>
        <v/>
      </c>
      <c r="CB317" s="108"/>
      <c r="CC317" s="14"/>
      <c r="CD317" s="14"/>
      <c r="CE317" s="14"/>
      <c r="CF317" s="21"/>
      <c r="CG317" s="22"/>
      <c r="CH317" s="63"/>
      <c r="CI317" s="23"/>
      <c r="CJ317" s="121" t="str">
        <f t="shared" si="288"/>
        <v/>
      </c>
      <c r="CK317" s="20"/>
      <c r="CL317" s="20"/>
      <c r="CM317" s="20"/>
      <c r="CN317" s="20"/>
      <c r="CO317" s="125" t="str">
        <f t="shared" si="289"/>
        <v/>
      </c>
      <c r="CP317" s="14"/>
      <c r="CQ317" s="125" t="str">
        <f t="shared" si="290"/>
        <v/>
      </c>
      <c r="CR317" s="20"/>
      <c r="CS317" s="20"/>
      <c r="CT317" s="125" t="str">
        <f t="shared" si="291"/>
        <v/>
      </c>
      <c r="CU317" s="14"/>
      <c r="CV317" s="125" t="str">
        <f t="shared" si="292"/>
        <v/>
      </c>
      <c r="CW317" s="20"/>
      <c r="CX317" s="20"/>
      <c r="CY317" s="125" t="str">
        <f t="shared" si="293"/>
        <v/>
      </c>
      <c r="CZ317" s="125" t="str">
        <f t="shared" si="294"/>
        <v/>
      </c>
      <c r="DA317" s="125" t="str">
        <f t="shared" si="295"/>
        <v/>
      </c>
      <c r="DB317" s="129" t="str">
        <f t="shared" si="296"/>
        <v/>
      </c>
      <c r="DC317" s="14"/>
      <c r="DD317" s="62"/>
      <c r="DE317" s="105">
        <v>315</v>
      </c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</row>
    <row r="318" spans="1:176" s="1" customFormat="1" ht="13" hidden="1" customHeight="1" outlineLevel="1" x14ac:dyDescent="0.2">
      <c r="A318" s="4"/>
      <c r="B318" s="115" t="str">
        <f>IF(_xlfn.XLOOKUP(A318, AutoFill_names!B:B, AutoFill_names!C:C,"")=0,"",_xlfn.XLOOKUP(A318, AutoFill_names!B:B, AutoFill_names!C:C,""))</f>
        <v/>
      </c>
      <c r="C318" s="115" t="str">
        <f>IF(_xlfn.XLOOKUP(A318, AutoFill_names!B:B, AutoFill_names!D:D,"")=0,"",_xlfn.XLOOKUP(A318, AutoFill_names!B:B, AutoFill_names!D:D,""))</f>
        <v/>
      </c>
      <c r="D318" s="115" t="str">
        <f>IF(_xlfn.XLOOKUP(A318, AutoFill_names!B:B, AutoFill_names!E:E,"")=0,"",_xlfn.XLOOKUP(A318, AutoFill_names!B:B, AutoFill_names!E:E,""))</f>
        <v/>
      </c>
      <c r="E318" s="115" t="str">
        <f>IF(_xlfn.XLOOKUP(A318, AutoFill_names!B:B, AutoFill_names!F:F,"")=0,"",_xlfn.XLOOKUP(A318, AutoFill_names!B:B, AutoFill_names!F:F,""))</f>
        <v/>
      </c>
      <c r="F318" s="92"/>
      <c r="J318" s="115" t="str">
        <f>IF(_xlfn.XLOOKUP(A318, AutoFill_names!B:B, AutoFill_names!K:K,"")=0,"",_xlfn.XLOOKUP(A318, AutoFill_names!B:B, AutoFill_names!K:K,""))</f>
        <v/>
      </c>
      <c r="K318" s="115" t="str">
        <f>IF(_xlfn.XLOOKUP(A318, AutoFill_names!B:B, AutoFill_names!L:L,"")=0,"",_xlfn.XLOOKUP(A318, AutoFill_names!B:B, AutoFill_names!L:L,""))</f>
        <v/>
      </c>
      <c r="L318" s="2"/>
      <c r="M318" s="2"/>
      <c r="N318" s="117" t="str">
        <f>IF(_xlfn.XLOOKUP(L318, AutoFill_classes!A:A, AutoFill_classes!B:B,"")=0,"",_xlfn.XLOOKUP(L318, AutoFill_classes!A:A, AutoFill_classes!B:B,""))</f>
        <v/>
      </c>
      <c r="O318" s="108"/>
      <c r="P318" s="6"/>
      <c r="Q318" s="6"/>
      <c r="R318" s="6"/>
      <c r="S318" s="2"/>
      <c r="T318" s="2"/>
      <c r="U318" s="2"/>
      <c r="X318" s="63"/>
      <c r="Y318" s="19"/>
      <c r="Z318" s="121" t="str">
        <f t="shared" si="270"/>
        <v/>
      </c>
      <c r="AA318" s="20"/>
      <c r="AB318" s="20"/>
      <c r="AC318" s="20"/>
      <c r="AD318" s="20"/>
      <c r="AE318" s="125" t="str">
        <f t="shared" si="271"/>
        <v/>
      </c>
      <c r="AF318" s="14"/>
      <c r="AG318" s="125" t="str">
        <f t="shared" si="272"/>
        <v/>
      </c>
      <c r="AH318" s="20"/>
      <c r="AI318" s="20"/>
      <c r="AJ318" s="125" t="str">
        <f t="shared" si="273"/>
        <v/>
      </c>
      <c r="AK318" s="14"/>
      <c r="AL318" s="125" t="str">
        <f t="shared" si="274"/>
        <v/>
      </c>
      <c r="AM318" s="20"/>
      <c r="AN318" s="20"/>
      <c r="AO318" s="125" t="str">
        <f t="shared" si="275"/>
        <v/>
      </c>
      <c r="AP318" s="125" t="str">
        <f t="shared" si="276"/>
        <v/>
      </c>
      <c r="AQ318" s="125" t="str">
        <f t="shared" si="277"/>
        <v/>
      </c>
      <c r="AR318" s="129" t="str">
        <f t="shared" si="278"/>
        <v/>
      </c>
      <c r="AS318" s="14"/>
      <c r="AT318" s="33"/>
      <c r="AU318" s="33"/>
      <c r="AV318" s="117" t="str">
        <f>IF(_xlfn.XLOOKUP(AT318, AutoFill_classes!$A:$A, AutoFill_classes!$B:$B,"")=0,"",_xlfn.XLOOKUP(AT318, AutoFill_classes!$A:$A, AutoFill_classes!$B:$B,""))</f>
        <v/>
      </c>
      <c r="AW318" s="108"/>
      <c r="AX318" s="11"/>
      <c r="AY318" s="11"/>
      <c r="AZ318" s="11"/>
      <c r="BA318" s="13"/>
      <c r="BB318" s="13"/>
      <c r="BC318" s="63"/>
      <c r="BD318" s="19"/>
      <c r="BE318" s="121" t="str">
        <f t="shared" si="279"/>
        <v/>
      </c>
      <c r="BF318" s="20"/>
      <c r="BG318" s="20"/>
      <c r="BH318" s="20"/>
      <c r="BI318" s="20"/>
      <c r="BJ318" s="125" t="str">
        <f t="shared" si="280"/>
        <v/>
      </c>
      <c r="BK318" s="14"/>
      <c r="BL318" s="125" t="str">
        <f t="shared" si="281"/>
        <v/>
      </c>
      <c r="BM318" s="20"/>
      <c r="BN318" s="20"/>
      <c r="BO318" s="125" t="str">
        <f t="shared" si="282"/>
        <v/>
      </c>
      <c r="BP318" s="14"/>
      <c r="BQ318" s="125" t="str">
        <f t="shared" si="283"/>
        <v/>
      </c>
      <c r="BR318" s="20"/>
      <c r="BS318" s="20"/>
      <c r="BT318" s="125" t="str">
        <f t="shared" si="284"/>
        <v/>
      </c>
      <c r="BU318" s="125" t="str">
        <f t="shared" si="285"/>
        <v/>
      </c>
      <c r="BV318" s="125" t="str">
        <f t="shared" si="286"/>
        <v/>
      </c>
      <c r="BW318" s="129" t="str">
        <f t="shared" si="287"/>
        <v/>
      </c>
      <c r="BX318" s="11"/>
      <c r="BY318" s="15"/>
      <c r="BZ318" s="14"/>
      <c r="CA318" s="117" t="str">
        <f>IF(_xlfn.XLOOKUP(BY318, AutoFill_classes!$A:$A, AutoFill_classes!$B:$B,"")=0,"",_xlfn.XLOOKUP(BY318, AutoFill_classes!$A:$A, AutoFill_classes!$B:$B,""))</f>
        <v/>
      </c>
      <c r="CB318" s="108"/>
      <c r="CC318" s="14"/>
      <c r="CD318" s="14"/>
      <c r="CE318" s="14"/>
      <c r="CF318" s="21"/>
      <c r="CG318" s="22"/>
      <c r="CH318" s="63"/>
      <c r="CI318" s="23"/>
      <c r="CJ318" s="121" t="str">
        <f t="shared" si="288"/>
        <v/>
      </c>
      <c r="CK318" s="20"/>
      <c r="CL318" s="20"/>
      <c r="CM318" s="20"/>
      <c r="CN318" s="20"/>
      <c r="CO318" s="125" t="str">
        <f t="shared" si="289"/>
        <v/>
      </c>
      <c r="CP318" s="14"/>
      <c r="CQ318" s="125" t="str">
        <f t="shared" si="290"/>
        <v/>
      </c>
      <c r="CR318" s="20"/>
      <c r="CS318" s="20"/>
      <c r="CT318" s="125" t="str">
        <f t="shared" si="291"/>
        <v/>
      </c>
      <c r="CU318" s="14"/>
      <c r="CV318" s="125" t="str">
        <f t="shared" si="292"/>
        <v/>
      </c>
      <c r="CW318" s="20"/>
      <c r="CX318" s="20"/>
      <c r="CY318" s="125" t="str">
        <f t="shared" si="293"/>
        <v/>
      </c>
      <c r="CZ318" s="125" t="str">
        <f t="shared" si="294"/>
        <v/>
      </c>
      <c r="DA318" s="125" t="str">
        <f t="shared" si="295"/>
        <v/>
      </c>
      <c r="DB318" s="129" t="str">
        <f t="shared" si="296"/>
        <v/>
      </c>
      <c r="DC318" s="14"/>
      <c r="DD318" s="62"/>
      <c r="DE318" s="105">
        <v>316</v>
      </c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</row>
    <row r="319" spans="1:176" s="1" customFormat="1" ht="13" hidden="1" customHeight="1" outlineLevel="1" x14ac:dyDescent="0.2">
      <c r="A319" s="4"/>
      <c r="B319" s="115" t="str">
        <f>IF(_xlfn.XLOOKUP(A319, AutoFill_names!B:B, AutoFill_names!C:C,"")=0,"",_xlfn.XLOOKUP(A319, AutoFill_names!B:B, AutoFill_names!C:C,""))</f>
        <v/>
      </c>
      <c r="C319" s="115" t="str">
        <f>IF(_xlfn.XLOOKUP(A319, AutoFill_names!B:B, AutoFill_names!D:D,"")=0,"",_xlfn.XLOOKUP(A319, AutoFill_names!B:B, AutoFill_names!D:D,""))</f>
        <v/>
      </c>
      <c r="D319" s="115" t="str">
        <f>IF(_xlfn.XLOOKUP(A319, AutoFill_names!B:B, AutoFill_names!E:E,"")=0,"",_xlfn.XLOOKUP(A319, AutoFill_names!B:B, AutoFill_names!E:E,""))</f>
        <v/>
      </c>
      <c r="E319" s="115" t="str">
        <f>IF(_xlfn.XLOOKUP(A319, AutoFill_names!B:B, AutoFill_names!F:F,"")=0,"",_xlfn.XLOOKUP(A319, AutoFill_names!B:B, AutoFill_names!F:F,""))</f>
        <v/>
      </c>
      <c r="F319" s="92"/>
      <c r="J319" s="115" t="str">
        <f>IF(_xlfn.XLOOKUP(A319, AutoFill_names!B:B, AutoFill_names!K:K,"")=0,"",_xlfn.XLOOKUP(A319, AutoFill_names!B:B, AutoFill_names!K:K,""))</f>
        <v/>
      </c>
      <c r="K319" s="115" t="str">
        <f>IF(_xlfn.XLOOKUP(A319, AutoFill_names!B:B, AutoFill_names!L:L,"")=0,"",_xlfn.XLOOKUP(A319, AutoFill_names!B:B, AutoFill_names!L:L,""))</f>
        <v/>
      </c>
      <c r="L319" s="2"/>
      <c r="M319" s="2"/>
      <c r="N319" s="117" t="str">
        <f>IF(_xlfn.XLOOKUP(L319, AutoFill_classes!A:A, AutoFill_classes!B:B,"")=0,"",_xlfn.XLOOKUP(L319, AutoFill_classes!A:A, AutoFill_classes!B:B,""))</f>
        <v/>
      </c>
      <c r="O319" s="108"/>
      <c r="P319" s="6"/>
      <c r="Q319" s="6"/>
      <c r="R319" s="6"/>
      <c r="S319" s="2"/>
      <c r="T319" s="2"/>
      <c r="U319" s="2"/>
      <c r="X319" s="63"/>
      <c r="Y319" s="19"/>
      <c r="Z319" s="121" t="str">
        <f t="shared" si="270"/>
        <v/>
      </c>
      <c r="AA319" s="20"/>
      <c r="AB319" s="20"/>
      <c r="AC319" s="20"/>
      <c r="AD319" s="20"/>
      <c r="AE319" s="125" t="str">
        <f t="shared" si="271"/>
        <v/>
      </c>
      <c r="AF319" s="14"/>
      <c r="AG319" s="125" t="str">
        <f t="shared" si="272"/>
        <v/>
      </c>
      <c r="AH319" s="20"/>
      <c r="AI319" s="20"/>
      <c r="AJ319" s="125" t="str">
        <f t="shared" si="273"/>
        <v/>
      </c>
      <c r="AK319" s="14"/>
      <c r="AL319" s="125" t="str">
        <f t="shared" si="274"/>
        <v/>
      </c>
      <c r="AM319" s="20"/>
      <c r="AN319" s="20"/>
      <c r="AO319" s="125" t="str">
        <f t="shared" si="275"/>
        <v/>
      </c>
      <c r="AP319" s="125" t="str">
        <f t="shared" si="276"/>
        <v/>
      </c>
      <c r="AQ319" s="125" t="str">
        <f t="shared" si="277"/>
        <v/>
      </c>
      <c r="AR319" s="129" t="str">
        <f t="shared" si="278"/>
        <v/>
      </c>
      <c r="AS319" s="14"/>
      <c r="AT319" s="33"/>
      <c r="AU319" s="33"/>
      <c r="AV319" s="117" t="str">
        <f>IF(_xlfn.XLOOKUP(AT319, AutoFill_classes!$A:$A, AutoFill_classes!$B:$B,"")=0,"",_xlfn.XLOOKUP(AT319, AutoFill_classes!$A:$A, AutoFill_classes!$B:$B,""))</f>
        <v/>
      </c>
      <c r="AW319" s="108"/>
      <c r="AX319" s="11"/>
      <c r="AY319" s="11"/>
      <c r="AZ319" s="11"/>
      <c r="BA319" s="13"/>
      <c r="BB319" s="13"/>
      <c r="BC319" s="63"/>
      <c r="BD319" s="19"/>
      <c r="BE319" s="121" t="str">
        <f t="shared" si="279"/>
        <v/>
      </c>
      <c r="BF319" s="20"/>
      <c r="BG319" s="20"/>
      <c r="BH319" s="20"/>
      <c r="BI319" s="20"/>
      <c r="BJ319" s="125" t="str">
        <f t="shared" si="280"/>
        <v/>
      </c>
      <c r="BK319" s="14"/>
      <c r="BL319" s="125" t="str">
        <f t="shared" si="281"/>
        <v/>
      </c>
      <c r="BM319" s="20"/>
      <c r="BN319" s="20"/>
      <c r="BO319" s="125" t="str">
        <f t="shared" si="282"/>
        <v/>
      </c>
      <c r="BP319" s="14"/>
      <c r="BQ319" s="125" t="str">
        <f t="shared" si="283"/>
        <v/>
      </c>
      <c r="BR319" s="20"/>
      <c r="BS319" s="20"/>
      <c r="BT319" s="125" t="str">
        <f t="shared" si="284"/>
        <v/>
      </c>
      <c r="BU319" s="125" t="str">
        <f t="shared" si="285"/>
        <v/>
      </c>
      <c r="BV319" s="125" t="str">
        <f t="shared" si="286"/>
        <v/>
      </c>
      <c r="BW319" s="129" t="str">
        <f t="shared" si="287"/>
        <v/>
      </c>
      <c r="BX319" s="11"/>
      <c r="BY319" s="15"/>
      <c r="BZ319" s="14"/>
      <c r="CA319" s="117" t="str">
        <f>IF(_xlfn.XLOOKUP(BY319, AutoFill_classes!$A:$A, AutoFill_classes!$B:$B,"")=0,"",_xlfn.XLOOKUP(BY319, AutoFill_classes!$A:$A, AutoFill_classes!$B:$B,""))</f>
        <v/>
      </c>
      <c r="CB319" s="108"/>
      <c r="CC319" s="14"/>
      <c r="CD319" s="14"/>
      <c r="CE319" s="14"/>
      <c r="CF319" s="21"/>
      <c r="CG319" s="22"/>
      <c r="CH319" s="63"/>
      <c r="CI319" s="23"/>
      <c r="CJ319" s="121" t="str">
        <f t="shared" si="288"/>
        <v/>
      </c>
      <c r="CK319" s="20"/>
      <c r="CL319" s="20"/>
      <c r="CM319" s="20"/>
      <c r="CN319" s="20"/>
      <c r="CO319" s="125" t="str">
        <f t="shared" si="289"/>
        <v/>
      </c>
      <c r="CP319" s="14"/>
      <c r="CQ319" s="125" t="str">
        <f t="shared" si="290"/>
        <v/>
      </c>
      <c r="CR319" s="20"/>
      <c r="CS319" s="20"/>
      <c r="CT319" s="125" t="str">
        <f t="shared" si="291"/>
        <v/>
      </c>
      <c r="CU319" s="14"/>
      <c r="CV319" s="125" t="str">
        <f t="shared" si="292"/>
        <v/>
      </c>
      <c r="CW319" s="20"/>
      <c r="CX319" s="20"/>
      <c r="CY319" s="125" t="str">
        <f t="shared" si="293"/>
        <v/>
      </c>
      <c r="CZ319" s="125" t="str">
        <f t="shared" si="294"/>
        <v/>
      </c>
      <c r="DA319" s="125" t="str">
        <f t="shared" si="295"/>
        <v/>
      </c>
      <c r="DB319" s="129" t="str">
        <f t="shared" si="296"/>
        <v/>
      </c>
      <c r="DC319" s="14"/>
      <c r="DD319" s="62"/>
      <c r="DE319" s="105">
        <v>317</v>
      </c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</row>
    <row r="320" spans="1:176" s="1" customFormat="1" ht="13" hidden="1" customHeight="1" outlineLevel="1" x14ac:dyDescent="0.2">
      <c r="A320" s="4"/>
      <c r="B320" s="115" t="str">
        <f>IF(_xlfn.XLOOKUP(A320, AutoFill_names!B:B, AutoFill_names!C:C,"")=0,"",_xlfn.XLOOKUP(A320, AutoFill_names!B:B, AutoFill_names!C:C,""))</f>
        <v/>
      </c>
      <c r="C320" s="115" t="str">
        <f>IF(_xlfn.XLOOKUP(A320, AutoFill_names!B:B, AutoFill_names!D:D,"")=0,"",_xlfn.XLOOKUP(A320, AutoFill_names!B:B, AutoFill_names!D:D,""))</f>
        <v/>
      </c>
      <c r="D320" s="115" t="str">
        <f>IF(_xlfn.XLOOKUP(A320, AutoFill_names!B:B, AutoFill_names!E:E,"")=0,"",_xlfn.XLOOKUP(A320, AutoFill_names!B:B, AutoFill_names!E:E,""))</f>
        <v/>
      </c>
      <c r="E320" s="115" t="str">
        <f>IF(_xlfn.XLOOKUP(A320, AutoFill_names!B:B, AutoFill_names!F:F,"")=0,"",_xlfn.XLOOKUP(A320, AutoFill_names!B:B, AutoFill_names!F:F,""))</f>
        <v/>
      </c>
      <c r="F320" s="92"/>
      <c r="J320" s="115" t="str">
        <f>IF(_xlfn.XLOOKUP(A320, AutoFill_names!B:B, AutoFill_names!K:K,"")=0,"",_xlfn.XLOOKUP(A320, AutoFill_names!B:B, AutoFill_names!K:K,""))</f>
        <v/>
      </c>
      <c r="K320" s="115" t="str">
        <f>IF(_xlfn.XLOOKUP(A320, AutoFill_names!B:B, AutoFill_names!L:L,"")=0,"",_xlfn.XLOOKUP(A320, AutoFill_names!B:B, AutoFill_names!L:L,""))</f>
        <v/>
      </c>
      <c r="L320" s="2"/>
      <c r="M320" s="2"/>
      <c r="N320" s="117" t="str">
        <f>IF(_xlfn.XLOOKUP(L320, AutoFill_classes!A:A, AutoFill_classes!B:B,"")=0,"",_xlfn.XLOOKUP(L320, AutoFill_classes!A:A, AutoFill_classes!B:B,""))</f>
        <v/>
      </c>
      <c r="O320" s="108"/>
      <c r="P320" s="6"/>
      <c r="Q320" s="6"/>
      <c r="R320" s="6"/>
      <c r="S320" s="2"/>
      <c r="T320" s="2"/>
      <c r="U320" s="2"/>
      <c r="X320" s="63"/>
      <c r="Y320" s="19"/>
      <c r="Z320" s="121" t="str">
        <f t="shared" si="270"/>
        <v/>
      </c>
      <c r="AA320" s="20"/>
      <c r="AB320" s="20"/>
      <c r="AC320" s="20"/>
      <c r="AD320" s="20"/>
      <c r="AE320" s="125" t="str">
        <f t="shared" si="271"/>
        <v/>
      </c>
      <c r="AF320" s="14"/>
      <c r="AG320" s="125" t="str">
        <f t="shared" si="272"/>
        <v/>
      </c>
      <c r="AH320" s="20"/>
      <c r="AI320" s="20"/>
      <c r="AJ320" s="125" t="str">
        <f t="shared" si="273"/>
        <v/>
      </c>
      <c r="AK320" s="14"/>
      <c r="AL320" s="125" t="str">
        <f t="shared" si="274"/>
        <v/>
      </c>
      <c r="AM320" s="20"/>
      <c r="AN320" s="20"/>
      <c r="AO320" s="125" t="str">
        <f t="shared" si="275"/>
        <v/>
      </c>
      <c r="AP320" s="125" t="str">
        <f t="shared" si="276"/>
        <v/>
      </c>
      <c r="AQ320" s="125" t="str">
        <f t="shared" si="277"/>
        <v/>
      </c>
      <c r="AR320" s="129" t="str">
        <f t="shared" si="278"/>
        <v/>
      </c>
      <c r="AS320" s="14"/>
      <c r="AT320" s="33"/>
      <c r="AU320" s="33"/>
      <c r="AV320" s="117" t="str">
        <f>IF(_xlfn.XLOOKUP(AT320, AutoFill_classes!$A:$A, AutoFill_classes!$B:$B,"")=0,"",_xlfn.XLOOKUP(AT320, AutoFill_classes!$A:$A, AutoFill_classes!$B:$B,""))</f>
        <v/>
      </c>
      <c r="AW320" s="108"/>
      <c r="AX320" s="11"/>
      <c r="AY320" s="11"/>
      <c r="AZ320" s="11"/>
      <c r="BA320" s="13"/>
      <c r="BB320" s="13"/>
      <c r="BC320" s="63"/>
      <c r="BD320" s="19"/>
      <c r="BE320" s="121" t="str">
        <f t="shared" si="279"/>
        <v/>
      </c>
      <c r="BF320" s="20"/>
      <c r="BG320" s="20"/>
      <c r="BH320" s="20"/>
      <c r="BI320" s="20"/>
      <c r="BJ320" s="125" t="str">
        <f t="shared" si="280"/>
        <v/>
      </c>
      <c r="BK320" s="14"/>
      <c r="BL320" s="125" t="str">
        <f t="shared" si="281"/>
        <v/>
      </c>
      <c r="BM320" s="20"/>
      <c r="BN320" s="20"/>
      <c r="BO320" s="125" t="str">
        <f t="shared" si="282"/>
        <v/>
      </c>
      <c r="BP320" s="14"/>
      <c r="BQ320" s="125" t="str">
        <f t="shared" si="283"/>
        <v/>
      </c>
      <c r="BR320" s="20"/>
      <c r="BS320" s="20"/>
      <c r="BT320" s="125" t="str">
        <f t="shared" si="284"/>
        <v/>
      </c>
      <c r="BU320" s="125" t="str">
        <f t="shared" si="285"/>
        <v/>
      </c>
      <c r="BV320" s="125" t="str">
        <f t="shared" si="286"/>
        <v/>
      </c>
      <c r="BW320" s="129" t="str">
        <f t="shared" si="287"/>
        <v/>
      </c>
      <c r="BX320" s="11"/>
      <c r="BY320" s="15"/>
      <c r="BZ320" s="14"/>
      <c r="CA320" s="117" t="str">
        <f>IF(_xlfn.XLOOKUP(BY320, AutoFill_classes!$A:$A, AutoFill_classes!$B:$B,"")=0,"",_xlfn.XLOOKUP(BY320, AutoFill_classes!$A:$A, AutoFill_classes!$B:$B,""))</f>
        <v/>
      </c>
      <c r="CB320" s="108"/>
      <c r="CC320" s="14"/>
      <c r="CD320" s="14"/>
      <c r="CE320" s="14"/>
      <c r="CF320" s="21"/>
      <c r="CG320" s="22"/>
      <c r="CH320" s="63"/>
      <c r="CI320" s="23"/>
      <c r="CJ320" s="121" t="str">
        <f t="shared" si="288"/>
        <v/>
      </c>
      <c r="CK320" s="20"/>
      <c r="CL320" s="20"/>
      <c r="CM320" s="20"/>
      <c r="CN320" s="20"/>
      <c r="CO320" s="125" t="str">
        <f t="shared" si="289"/>
        <v/>
      </c>
      <c r="CP320" s="14"/>
      <c r="CQ320" s="125" t="str">
        <f t="shared" si="290"/>
        <v/>
      </c>
      <c r="CR320" s="20"/>
      <c r="CS320" s="20"/>
      <c r="CT320" s="125" t="str">
        <f t="shared" si="291"/>
        <v/>
      </c>
      <c r="CU320" s="14"/>
      <c r="CV320" s="125" t="str">
        <f t="shared" si="292"/>
        <v/>
      </c>
      <c r="CW320" s="20"/>
      <c r="CX320" s="20"/>
      <c r="CY320" s="125" t="str">
        <f t="shared" si="293"/>
        <v/>
      </c>
      <c r="CZ320" s="125" t="str">
        <f t="shared" si="294"/>
        <v/>
      </c>
      <c r="DA320" s="125" t="str">
        <f t="shared" si="295"/>
        <v/>
      </c>
      <c r="DB320" s="129" t="str">
        <f t="shared" si="296"/>
        <v/>
      </c>
      <c r="DC320" s="14"/>
      <c r="DD320" s="62"/>
      <c r="DE320" s="105">
        <v>318</v>
      </c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</row>
    <row r="321" spans="1:176" s="1" customFormat="1" ht="13" hidden="1" customHeight="1" outlineLevel="1" x14ac:dyDescent="0.2">
      <c r="A321" s="4"/>
      <c r="B321" s="115" t="str">
        <f>IF(_xlfn.XLOOKUP(A321, AutoFill_names!B:B, AutoFill_names!C:C,"")=0,"",_xlfn.XLOOKUP(A321, AutoFill_names!B:B, AutoFill_names!C:C,""))</f>
        <v/>
      </c>
      <c r="C321" s="115" t="str">
        <f>IF(_xlfn.XLOOKUP(A321, AutoFill_names!B:B, AutoFill_names!D:D,"")=0,"",_xlfn.XLOOKUP(A321, AutoFill_names!B:B, AutoFill_names!D:D,""))</f>
        <v/>
      </c>
      <c r="D321" s="115" t="str">
        <f>IF(_xlfn.XLOOKUP(A321, AutoFill_names!B:B, AutoFill_names!E:E,"")=0,"",_xlfn.XLOOKUP(A321, AutoFill_names!B:B, AutoFill_names!E:E,""))</f>
        <v/>
      </c>
      <c r="E321" s="115" t="str">
        <f>IF(_xlfn.XLOOKUP(A321, AutoFill_names!B:B, AutoFill_names!F:F,"")=0,"",_xlfn.XLOOKUP(A321, AutoFill_names!B:B, AutoFill_names!F:F,""))</f>
        <v/>
      </c>
      <c r="F321" s="92"/>
      <c r="J321" s="115" t="str">
        <f>IF(_xlfn.XLOOKUP(A321, AutoFill_names!B:B, AutoFill_names!K:K,"")=0,"",_xlfn.XLOOKUP(A321, AutoFill_names!B:B, AutoFill_names!K:K,""))</f>
        <v/>
      </c>
      <c r="K321" s="115" t="str">
        <f>IF(_xlfn.XLOOKUP(A321, AutoFill_names!B:B, AutoFill_names!L:L,"")=0,"",_xlfn.XLOOKUP(A321, AutoFill_names!B:B, AutoFill_names!L:L,""))</f>
        <v/>
      </c>
      <c r="L321" s="2"/>
      <c r="M321" s="2"/>
      <c r="N321" s="117" t="str">
        <f>IF(_xlfn.XLOOKUP(L321, AutoFill_classes!A:A, AutoFill_classes!B:B,"")=0,"",_xlfn.XLOOKUP(L321, AutoFill_classes!A:A, AutoFill_classes!B:B,""))</f>
        <v/>
      </c>
      <c r="O321" s="108"/>
      <c r="P321" s="6"/>
      <c r="Q321" s="6"/>
      <c r="R321" s="6"/>
      <c r="S321" s="2"/>
      <c r="T321" s="2"/>
      <c r="U321" s="2"/>
      <c r="X321" s="63"/>
      <c r="Y321" s="19"/>
      <c r="Z321" s="121" t="str">
        <f t="shared" si="270"/>
        <v/>
      </c>
      <c r="AA321" s="20"/>
      <c r="AB321" s="20"/>
      <c r="AC321" s="20"/>
      <c r="AD321" s="20"/>
      <c r="AE321" s="125" t="str">
        <f t="shared" si="271"/>
        <v/>
      </c>
      <c r="AF321" s="14"/>
      <c r="AG321" s="125" t="str">
        <f t="shared" si="272"/>
        <v/>
      </c>
      <c r="AH321" s="20"/>
      <c r="AI321" s="20"/>
      <c r="AJ321" s="125" t="str">
        <f t="shared" si="273"/>
        <v/>
      </c>
      <c r="AK321" s="14"/>
      <c r="AL321" s="125" t="str">
        <f t="shared" si="274"/>
        <v/>
      </c>
      <c r="AM321" s="20"/>
      <c r="AN321" s="20"/>
      <c r="AO321" s="125" t="str">
        <f t="shared" si="275"/>
        <v/>
      </c>
      <c r="AP321" s="125" t="str">
        <f t="shared" si="276"/>
        <v/>
      </c>
      <c r="AQ321" s="125" t="str">
        <f t="shared" si="277"/>
        <v/>
      </c>
      <c r="AR321" s="129" t="str">
        <f t="shared" si="278"/>
        <v/>
      </c>
      <c r="AS321" s="14"/>
      <c r="AT321" s="33"/>
      <c r="AU321" s="33"/>
      <c r="AV321" s="117" t="str">
        <f>IF(_xlfn.XLOOKUP(AT321, AutoFill_classes!$A:$A, AutoFill_classes!$B:$B,"")=0,"",_xlfn.XLOOKUP(AT321, AutoFill_classes!$A:$A, AutoFill_classes!$B:$B,""))</f>
        <v/>
      </c>
      <c r="AW321" s="108"/>
      <c r="AX321" s="11"/>
      <c r="AY321" s="11"/>
      <c r="AZ321" s="11"/>
      <c r="BA321" s="13"/>
      <c r="BB321" s="13"/>
      <c r="BC321" s="63"/>
      <c r="BD321" s="19"/>
      <c r="BE321" s="121" t="str">
        <f t="shared" si="279"/>
        <v/>
      </c>
      <c r="BF321" s="20"/>
      <c r="BG321" s="20"/>
      <c r="BH321" s="20"/>
      <c r="BI321" s="20"/>
      <c r="BJ321" s="125" t="str">
        <f t="shared" si="280"/>
        <v/>
      </c>
      <c r="BK321" s="14"/>
      <c r="BL321" s="125" t="str">
        <f t="shared" si="281"/>
        <v/>
      </c>
      <c r="BM321" s="20"/>
      <c r="BN321" s="20"/>
      <c r="BO321" s="125" t="str">
        <f t="shared" si="282"/>
        <v/>
      </c>
      <c r="BP321" s="14"/>
      <c r="BQ321" s="125" t="str">
        <f t="shared" si="283"/>
        <v/>
      </c>
      <c r="BR321" s="20"/>
      <c r="BS321" s="20"/>
      <c r="BT321" s="125" t="str">
        <f t="shared" si="284"/>
        <v/>
      </c>
      <c r="BU321" s="125" t="str">
        <f t="shared" si="285"/>
        <v/>
      </c>
      <c r="BV321" s="125" t="str">
        <f t="shared" si="286"/>
        <v/>
      </c>
      <c r="BW321" s="129" t="str">
        <f t="shared" si="287"/>
        <v/>
      </c>
      <c r="BX321" s="11"/>
      <c r="BY321" s="15"/>
      <c r="BZ321" s="14"/>
      <c r="CA321" s="117" t="str">
        <f>IF(_xlfn.XLOOKUP(BY321, AutoFill_classes!$A:$A, AutoFill_classes!$B:$B,"")=0,"",_xlfn.XLOOKUP(BY321, AutoFill_classes!$A:$A, AutoFill_classes!$B:$B,""))</f>
        <v/>
      </c>
      <c r="CB321" s="108"/>
      <c r="CC321" s="14"/>
      <c r="CD321" s="14"/>
      <c r="CE321" s="14"/>
      <c r="CF321" s="21"/>
      <c r="CG321" s="22"/>
      <c r="CH321" s="63"/>
      <c r="CI321" s="23"/>
      <c r="CJ321" s="121" t="str">
        <f t="shared" si="288"/>
        <v/>
      </c>
      <c r="CK321" s="20"/>
      <c r="CL321" s="20"/>
      <c r="CM321" s="20"/>
      <c r="CN321" s="20"/>
      <c r="CO321" s="125" t="str">
        <f t="shared" si="289"/>
        <v/>
      </c>
      <c r="CP321" s="14"/>
      <c r="CQ321" s="125" t="str">
        <f t="shared" si="290"/>
        <v/>
      </c>
      <c r="CR321" s="20"/>
      <c r="CS321" s="20"/>
      <c r="CT321" s="125" t="str">
        <f t="shared" si="291"/>
        <v/>
      </c>
      <c r="CU321" s="14"/>
      <c r="CV321" s="125" t="str">
        <f t="shared" si="292"/>
        <v/>
      </c>
      <c r="CW321" s="20"/>
      <c r="CX321" s="20"/>
      <c r="CY321" s="125" t="str">
        <f t="shared" si="293"/>
        <v/>
      </c>
      <c r="CZ321" s="125" t="str">
        <f t="shared" si="294"/>
        <v/>
      </c>
      <c r="DA321" s="125" t="str">
        <f t="shared" si="295"/>
        <v/>
      </c>
      <c r="DB321" s="129" t="str">
        <f t="shared" si="296"/>
        <v/>
      </c>
      <c r="DC321" s="14"/>
      <c r="DD321" s="62"/>
      <c r="DE321" s="105">
        <v>319</v>
      </c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</row>
    <row r="322" spans="1:176" s="1" customFormat="1" ht="13" hidden="1" customHeight="1" outlineLevel="1" x14ac:dyDescent="0.2">
      <c r="A322" s="4"/>
      <c r="B322" s="115" t="str">
        <f>IF(_xlfn.XLOOKUP(A322, AutoFill_names!B:B, AutoFill_names!C:C,"")=0,"",_xlfn.XLOOKUP(A322, AutoFill_names!B:B, AutoFill_names!C:C,""))</f>
        <v/>
      </c>
      <c r="C322" s="115" t="str">
        <f>IF(_xlfn.XLOOKUP(A322, AutoFill_names!B:B, AutoFill_names!D:D,"")=0,"",_xlfn.XLOOKUP(A322, AutoFill_names!B:B, AutoFill_names!D:D,""))</f>
        <v/>
      </c>
      <c r="D322" s="115" t="str">
        <f>IF(_xlfn.XLOOKUP(A322, AutoFill_names!B:B, AutoFill_names!E:E,"")=0,"",_xlfn.XLOOKUP(A322, AutoFill_names!B:B, AutoFill_names!E:E,""))</f>
        <v/>
      </c>
      <c r="E322" s="115" t="str">
        <f>IF(_xlfn.XLOOKUP(A322, AutoFill_names!B:B, AutoFill_names!F:F,"")=0,"",_xlfn.XLOOKUP(A322, AutoFill_names!B:B, AutoFill_names!F:F,""))</f>
        <v/>
      </c>
      <c r="F322" s="92"/>
      <c r="J322" s="115" t="str">
        <f>IF(_xlfn.XLOOKUP(A322, AutoFill_names!B:B, AutoFill_names!K:K,"")=0,"",_xlfn.XLOOKUP(A322, AutoFill_names!B:B, AutoFill_names!K:K,""))</f>
        <v/>
      </c>
      <c r="K322" s="115" t="str">
        <f>IF(_xlfn.XLOOKUP(A322, AutoFill_names!B:B, AutoFill_names!L:L,"")=0,"",_xlfn.XLOOKUP(A322, AutoFill_names!B:B, AutoFill_names!L:L,""))</f>
        <v/>
      </c>
      <c r="L322" s="2"/>
      <c r="M322" s="2"/>
      <c r="N322" s="117" t="str">
        <f>IF(_xlfn.XLOOKUP(L322, AutoFill_classes!A:A, AutoFill_classes!B:B,"")=0,"",_xlfn.XLOOKUP(L322, AutoFill_classes!A:A, AutoFill_classes!B:B,""))</f>
        <v/>
      </c>
      <c r="O322" s="108"/>
      <c r="P322" s="6"/>
      <c r="Q322" s="6"/>
      <c r="R322" s="6"/>
      <c r="S322" s="2"/>
      <c r="T322" s="2"/>
      <c r="U322" s="2"/>
      <c r="X322" s="63"/>
      <c r="Y322" s="19"/>
      <c r="Z322" s="121" t="str">
        <f t="shared" si="270"/>
        <v/>
      </c>
      <c r="AA322" s="20"/>
      <c r="AB322" s="20"/>
      <c r="AC322" s="20"/>
      <c r="AD322" s="20"/>
      <c r="AE322" s="125" t="str">
        <f t="shared" si="271"/>
        <v/>
      </c>
      <c r="AF322" s="14"/>
      <c r="AG322" s="125" t="str">
        <f t="shared" si="272"/>
        <v/>
      </c>
      <c r="AH322" s="20"/>
      <c r="AI322" s="20"/>
      <c r="AJ322" s="125" t="str">
        <f t="shared" si="273"/>
        <v/>
      </c>
      <c r="AK322" s="14"/>
      <c r="AL322" s="125" t="str">
        <f t="shared" si="274"/>
        <v/>
      </c>
      <c r="AM322" s="20"/>
      <c r="AN322" s="20"/>
      <c r="AO322" s="125" t="str">
        <f t="shared" si="275"/>
        <v/>
      </c>
      <c r="AP322" s="125" t="str">
        <f t="shared" si="276"/>
        <v/>
      </c>
      <c r="AQ322" s="125" t="str">
        <f t="shared" si="277"/>
        <v/>
      </c>
      <c r="AR322" s="129" t="str">
        <f t="shared" si="278"/>
        <v/>
      </c>
      <c r="AS322" s="14"/>
      <c r="AT322" s="33"/>
      <c r="AU322" s="33"/>
      <c r="AV322" s="117" t="str">
        <f>IF(_xlfn.XLOOKUP(AT322, AutoFill_classes!$A:$A, AutoFill_classes!$B:$B,"")=0,"",_xlfn.XLOOKUP(AT322, AutoFill_classes!$A:$A, AutoFill_classes!$B:$B,""))</f>
        <v/>
      </c>
      <c r="AW322" s="108"/>
      <c r="AX322" s="11"/>
      <c r="AY322" s="11"/>
      <c r="AZ322" s="11"/>
      <c r="BA322" s="13"/>
      <c r="BB322" s="13"/>
      <c r="BC322" s="63"/>
      <c r="BD322" s="19"/>
      <c r="BE322" s="121" t="str">
        <f t="shared" si="279"/>
        <v/>
      </c>
      <c r="BF322" s="20"/>
      <c r="BG322" s="20"/>
      <c r="BH322" s="20"/>
      <c r="BI322" s="20"/>
      <c r="BJ322" s="125" t="str">
        <f t="shared" si="280"/>
        <v/>
      </c>
      <c r="BK322" s="14"/>
      <c r="BL322" s="125" t="str">
        <f t="shared" si="281"/>
        <v/>
      </c>
      <c r="BM322" s="20"/>
      <c r="BN322" s="20"/>
      <c r="BO322" s="125" t="str">
        <f t="shared" si="282"/>
        <v/>
      </c>
      <c r="BP322" s="14"/>
      <c r="BQ322" s="125" t="str">
        <f t="shared" si="283"/>
        <v/>
      </c>
      <c r="BR322" s="20"/>
      <c r="BS322" s="20"/>
      <c r="BT322" s="125" t="str">
        <f t="shared" si="284"/>
        <v/>
      </c>
      <c r="BU322" s="125" t="str">
        <f t="shared" si="285"/>
        <v/>
      </c>
      <c r="BV322" s="125" t="str">
        <f t="shared" si="286"/>
        <v/>
      </c>
      <c r="BW322" s="129" t="str">
        <f t="shared" si="287"/>
        <v/>
      </c>
      <c r="BX322" s="11"/>
      <c r="BY322" s="15"/>
      <c r="BZ322" s="14"/>
      <c r="CA322" s="117" t="str">
        <f>IF(_xlfn.XLOOKUP(BY322, AutoFill_classes!$A:$A, AutoFill_classes!$B:$B,"")=0,"",_xlfn.XLOOKUP(BY322, AutoFill_classes!$A:$A, AutoFill_classes!$B:$B,""))</f>
        <v/>
      </c>
      <c r="CB322" s="108"/>
      <c r="CC322" s="14"/>
      <c r="CD322" s="14"/>
      <c r="CE322" s="14"/>
      <c r="CF322" s="21"/>
      <c r="CG322" s="22"/>
      <c r="CH322" s="63"/>
      <c r="CI322" s="23"/>
      <c r="CJ322" s="121" t="str">
        <f t="shared" si="288"/>
        <v/>
      </c>
      <c r="CK322" s="20"/>
      <c r="CL322" s="20"/>
      <c r="CM322" s="20"/>
      <c r="CN322" s="20"/>
      <c r="CO322" s="125" t="str">
        <f t="shared" si="289"/>
        <v/>
      </c>
      <c r="CP322" s="14"/>
      <c r="CQ322" s="125" t="str">
        <f t="shared" si="290"/>
        <v/>
      </c>
      <c r="CR322" s="20"/>
      <c r="CS322" s="20"/>
      <c r="CT322" s="125" t="str">
        <f t="shared" si="291"/>
        <v/>
      </c>
      <c r="CU322" s="14"/>
      <c r="CV322" s="125" t="str">
        <f t="shared" si="292"/>
        <v/>
      </c>
      <c r="CW322" s="20"/>
      <c r="CX322" s="20"/>
      <c r="CY322" s="125" t="str">
        <f t="shared" si="293"/>
        <v/>
      </c>
      <c r="CZ322" s="125" t="str">
        <f t="shared" si="294"/>
        <v/>
      </c>
      <c r="DA322" s="125" t="str">
        <f t="shared" si="295"/>
        <v/>
      </c>
      <c r="DB322" s="129" t="str">
        <f t="shared" si="296"/>
        <v/>
      </c>
      <c r="DC322" s="14"/>
      <c r="DD322" s="62"/>
      <c r="DE322" s="105">
        <v>320</v>
      </c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</row>
    <row r="323" spans="1:176" s="1" customFormat="1" ht="13" hidden="1" customHeight="1" outlineLevel="1" x14ac:dyDescent="0.2">
      <c r="A323" s="4"/>
      <c r="B323" s="115" t="str">
        <f>IF(_xlfn.XLOOKUP(A323, AutoFill_names!B:B, AutoFill_names!C:C,"")=0,"",_xlfn.XLOOKUP(A323, AutoFill_names!B:B, AutoFill_names!C:C,""))</f>
        <v/>
      </c>
      <c r="C323" s="115" t="str">
        <f>IF(_xlfn.XLOOKUP(A323, AutoFill_names!B:B, AutoFill_names!D:D,"")=0,"",_xlfn.XLOOKUP(A323, AutoFill_names!B:B, AutoFill_names!D:D,""))</f>
        <v/>
      </c>
      <c r="D323" s="115" t="str">
        <f>IF(_xlfn.XLOOKUP(A323, AutoFill_names!B:B, AutoFill_names!E:E,"")=0,"",_xlfn.XLOOKUP(A323, AutoFill_names!B:B, AutoFill_names!E:E,""))</f>
        <v/>
      </c>
      <c r="E323" s="115" t="str">
        <f>IF(_xlfn.XLOOKUP(A323, AutoFill_names!B:B, AutoFill_names!F:F,"")=0,"",_xlfn.XLOOKUP(A323, AutoFill_names!B:B, AutoFill_names!F:F,""))</f>
        <v/>
      </c>
      <c r="F323" s="92"/>
      <c r="J323" s="115" t="str">
        <f>IF(_xlfn.XLOOKUP(A323, AutoFill_names!B:B, AutoFill_names!K:K,"")=0,"",_xlfn.XLOOKUP(A323, AutoFill_names!B:B, AutoFill_names!K:K,""))</f>
        <v/>
      </c>
      <c r="K323" s="115" t="str">
        <f>IF(_xlfn.XLOOKUP(A323, AutoFill_names!B:B, AutoFill_names!L:L,"")=0,"",_xlfn.XLOOKUP(A323, AutoFill_names!B:B, AutoFill_names!L:L,""))</f>
        <v/>
      </c>
      <c r="L323" s="2"/>
      <c r="M323" s="2"/>
      <c r="N323" s="117" t="str">
        <f>IF(_xlfn.XLOOKUP(L323, AutoFill_classes!A:A, AutoFill_classes!B:B,"")=0,"",_xlfn.XLOOKUP(L323, AutoFill_classes!A:A, AutoFill_classes!B:B,""))</f>
        <v/>
      </c>
      <c r="O323" s="108"/>
      <c r="P323" s="6"/>
      <c r="Q323" s="6"/>
      <c r="R323" s="6"/>
      <c r="S323" s="2"/>
      <c r="T323" s="2"/>
      <c r="U323" s="2"/>
      <c r="X323" s="63"/>
      <c r="Y323" s="19"/>
      <c r="Z323" s="121" t="str">
        <f t="shared" si="270"/>
        <v/>
      </c>
      <c r="AA323" s="20"/>
      <c r="AB323" s="20"/>
      <c r="AC323" s="20"/>
      <c r="AD323" s="20"/>
      <c r="AE323" s="125" t="str">
        <f t="shared" si="271"/>
        <v/>
      </c>
      <c r="AF323" s="14"/>
      <c r="AG323" s="125" t="str">
        <f t="shared" si="272"/>
        <v/>
      </c>
      <c r="AH323" s="20"/>
      <c r="AI323" s="20"/>
      <c r="AJ323" s="125" t="str">
        <f t="shared" si="273"/>
        <v/>
      </c>
      <c r="AK323" s="14"/>
      <c r="AL323" s="125" t="str">
        <f t="shared" si="274"/>
        <v/>
      </c>
      <c r="AM323" s="20"/>
      <c r="AN323" s="20"/>
      <c r="AO323" s="125" t="str">
        <f t="shared" si="275"/>
        <v/>
      </c>
      <c r="AP323" s="125" t="str">
        <f t="shared" si="276"/>
        <v/>
      </c>
      <c r="AQ323" s="125" t="str">
        <f t="shared" si="277"/>
        <v/>
      </c>
      <c r="AR323" s="129" t="str">
        <f t="shared" si="278"/>
        <v/>
      </c>
      <c r="AS323" s="14"/>
      <c r="AT323" s="33"/>
      <c r="AU323" s="33"/>
      <c r="AV323" s="117" t="str">
        <f>IF(_xlfn.XLOOKUP(AT323, AutoFill_classes!$A:$A, AutoFill_classes!$B:$B,"")=0,"",_xlfn.XLOOKUP(AT323, AutoFill_classes!$A:$A, AutoFill_classes!$B:$B,""))</f>
        <v/>
      </c>
      <c r="AW323" s="108"/>
      <c r="AX323" s="11"/>
      <c r="AY323" s="11"/>
      <c r="AZ323" s="11"/>
      <c r="BA323" s="13"/>
      <c r="BB323" s="13"/>
      <c r="BC323" s="63"/>
      <c r="BD323" s="19"/>
      <c r="BE323" s="121" t="str">
        <f t="shared" si="279"/>
        <v/>
      </c>
      <c r="BF323" s="20"/>
      <c r="BG323" s="20"/>
      <c r="BH323" s="20"/>
      <c r="BI323" s="20"/>
      <c r="BJ323" s="125" t="str">
        <f t="shared" si="280"/>
        <v/>
      </c>
      <c r="BK323" s="14"/>
      <c r="BL323" s="125" t="str">
        <f t="shared" si="281"/>
        <v/>
      </c>
      <c r="BM323" s="20"/>
      <c r="BN323" s="20"/>
      <c r="BO323" s="125" t="str">
        <f t="shared" si="282"/>
        <v/>
      </c>
      <c r="BP323" s="14"/>
      <c r="BQ323" s="125" t="str">
        <f t="shared" si="283"/>
        <v/>
      </c>
      <c r="BR323" s="20"/>
      <c r="BS323" s="20"/>
      <c r="BT323" s="125" t="str">
        <f t="shared" si="284"/>
        <v/>
      </c>
      <c r="BU323" s="125" t="str">
        <f t="shared" si="285"/>
        <v/>
      </c>
      <c r="BV323" s="125" t="str">
        <f t="shared" si="286"/>
        <v/>
      </c>
      <c r="BW323" s="129" t="str">
        <f t="shared" si="287"/>
        <v/>
      </c>
      <c r="BX323" s="11"/>
      <c r="BY323" s="15"/>
      <c r="BZ323" s="14"/>
      <c r="CA323" s="117" t="str">
        <f>IF(_xlfn.XLOOKUP(BY323, AutoFill_classes!$A:$A, AutoFill_classes!$B:$B,"")=0,"",_xlfn.XLOOKUP(BY323, AutoFill_classes!$A:$A, AutoFill_classes!$B:$B,""))</f>
        <v/>
      </c>
      <c r="CB323" s="108"/>
      <c r="CC323" s="14"/>
      <c r="CD323" s="14"/>
      <c r="CE323" s="14"/>
      <c r="CF323" s="21"/>
      <c r="CG323" s="22"/>
      <c r="CH323" s="63"/>
      <c r="CI323" s="23"/>
      <c r="CJ323" s="121" t="str">
        <f t="shared" si="288"/>
        <v/>
      </c>
      <c r="CK323" s="20"/>
      <c r="CL323" s="20"/>
      <c r="CM323" s="20"/>
      <c r="CN323" s="20"/>
      <c r="CO323" s="125" t="str">
        <f t="shared" si="289"/>
        <v/>
      </c>
      <c r="CP323" s="14"/>
      <c r="CQ323" s="125" t="str">
        <f t="shared" si="290"/>
        <v/>
      </c>
      <c r="CR323" s="20"/>
      <c r="CS323" s="20"/>
      <c r="CT323" s="125" t="str">
        <f t="shared" si="291"/>
        <v/>
      </c>
      <c r="CU323" s="14"/>
      <c r="CV323" s="125" t="str">
        <f t="shared" si="292"/>
        <v/>
      </c>
      <c r="CW323" s="20"/>
      <c r="CX323" s="20"/>
      <c r="CY323" s="125" t="str">
        <f t="shared" si="293"/>
        <v/>
      </c>
      <c r="CZ323" s="125" t="str">
        <f t="shared" si="294"/>
        <v/>
      </c>
      <c r="DA323" s="125" t="str">
        <f t="shared" si="295"/>
        <v/>
      </c>
      <c r="DB323" s="129" t="str">
        <f t="shared" si="296"/>
        <v/>
      </c>
      <c r="DC323" s="14"/>
      <c r="DD323" s="62"/>
      <c r="DE323" s="105">
        <v>321</v>
      </c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</row>
    <row r="324" spans="1:176" s="1" customFormat="1" ht="13" hidden="1" customHeight="1" outlineLevel="1" x14ac:dyDescent="0.2">
      <c r="A324" s="4"/>
      <c r="B324" s="115" t="str">
        <f>IF(_xlfn.XLOOKUP(A324, AutoFill_names!B:B, AutoFill_names!C:C,"")=0,"",_xlfn.XLOOKUP(A324, AutoFill_names!B:B, AutoFill_names!C:C,""))</f>
        <v/>
      </c>
      <c r="C324" s="115" t="str">
        <f>IF(_xlfn.XLOOKUP(A324, AutoFill_names!B:B, AutoFill_names!D:D,"")=0,"",_xlfn.XLOOKUP(A324, AutoFill_names!B:B, AutoFill_names!D:D,""))</f>
        <v/>
      </c>
      <c r="D324" s="115" t="str">
        <f>IF(_xlfn.XLOOKUP(A324, AutoFill_names!B:B, AutoFill_names!E:E,"")=0,"",_xlfn.XLOOKUP(A324, AutoFill_names!B:B, AutoFill_names!E:E,""))</f>
        <v/>
      </c>
      <c r="E324" s="115" t="str">
        <f>IF(_xlfn.XLOOKUP(A324, AutoFill_names!B:B, AutoFill_names!F:F,"")=0,"",_xlfn.XLOOKUP(A324, AutoFill_names!B:B, AutoFill_names!F:F,""))</f>
        <v/>
      </c>
      <c r="F324" s="92"/>
      <c r="J324" s="115" t="str">
        <f>IF(_xlfn.XLOOKUP(A324, AutoFill_names!B:B, AutoFill_names!K:K,"")=0,"",_xlfn.XLOOKUP(A324, AutoFill_names!B:B, AutoFill_names!K:K,""))</f>
        <v/>
      </c>
      <c r="K324" s="115" t="str">
        <f>IF(_xlfn.XLOOKUP(A324, AutoFill_names!B:B, AutoFill_names!L:L,"")=0,"",_xlfn.XLOOKUP(A324, AutoFill_names!B:B, AutoFill_names!L:L,""))</f>
        <v/>
      </c>
      <c r="L324" s="2"/>
      <c r="M324" s="2"/>
      <c r="N324" s="117" t="str">
        <f>IF(_xlfn.XLOOKUP(L324, AutoFill_classes!A:A, AutoFill_classes!B:B,"")=0,"",_xlfn.XLOOKUP(L324, AutoFill_classes!A:A, AutoFill_classes!B:B,""))</f>
        <v/>
      </c>
      <c r="O324" s="108"/>
      <c r="P324" s="6"/>
      <c r="Q324" s="6"/>
      <c r="R324" s="6"/>
      <c r="S324" s="2"/>
      <c r="T324" s="2"/>
      <c r="U324" s="2"/>
      <c r="X324" s="63"/>
      <c r="Y324" s="19"/>
      <c r="Z324" s="121" t="str">
        <f t="shared" si="270"/>
        <v/>
      </c>
      <c r="AA324" s="20"/>
      <c r="AB324" s="20"/>
      <c r="AC324" s="20"/>
      <c r="AD324" s="20"/>
      <c r="AE324" s="125" t="str">
        <f t="shared" si="271"/>
        <v/>
      </c>
      <c r="AF324" s="14"/>
      <c r="AG324" s="125" t="str">
        <f t="shared" si="272"/>
        <v/>
      </c>
      <c r="AH324" s="20"/>
      <c r="AI324" s="20"/>
      <c r="AJ324" s="125" t="str">
        <f t="shared" si="273"/>
        <v/>
      </c>
      <c r="AK324" s="14"/>
      <c r="AL324" s="125" t="str">
        <f t="shared" si="274"/>
        <v/>
      </c>
      <c r="AM324" s="20"/>
      <c r="AN324" s="20"/>
      <c r="AO324" s="125" t="str">
        <f t="shared" si="275"/>
        <v/>
      </c>
      <c r="AP324" s="125" t="str">
        <f t="shared" si="276"/>
        <v/>
      </c>
      <c r="AQ324" s="125" t="str">
        <f t="shared" si="277"/>
        <v/>
      </c>
      <c r="AR324" s="129" t="str">
        <f t="shared" si="278"/>
        <v/>
      </c>
      <c r="AS324" s="14"/>
      <c r="AT324" s="33"/>
      <c r="AU324" s="33"/>
      <c r="AV324" s="117" t="str">
        <f>IF(_xlfn.XLOOKUP(AT324, AutoFill_classes!$A:$A, AutoFill_classes!$B:$B,"")=0,"",_xlfn.XLOOKUP(AT324, AutoFill_classes!$A:$A, AutoFill_classes!$B:$B,""))</f>
        <v/>
      </c>
      <c r="AW324" s="108"/>
      <c r="AX324" s="11"/>
      <c r="AY324" s="11"/>
      <c r="AZ324" s="11"/>
      <c r="BA324" s="13"/>
      <c r="BB324" s="13"/>
      <c r="BC324" s="63"/>
      <c r="BD324" s="19"/>
      <c r="BE324" s="121" t="str">
        <f t="shared" si="279"/>
        <v/>
      </c>
      <c r="BF324" s="20"/>
      <c r="BG324" s="20"/>
      <c r="BH324" s="20"/>
      <c r="BI324" s="20"/>
      <c r="BJ324" s="125" t="str">
        <f t="shared" si="280"/>
        <v/>
      </c>
      <c r="BK324" s="14"/>
      <c r="BL324" s="125" t="str">
        <f t="shared" si="281"/>
        <v/>
      </c>
      <c r="BM324" s="20"/>
      <c r="BN324" s="20"/>
      <c r="BO324" s="125" t="str">
        <f t="shared" si="282"/>
        <v/>
      </c>
      <c r="BP324" s="14"/>
      <c r="BQ324" s="125" t="str">
        <f t="shared" si="283"/>
        <v/>
      </c>
      <c r="BR324" s="20"/>
      <c r="BS324" s="20"/>
      <c r="BT324" s="125" t="str">
        <f t="shared" si="284"/>
        <v/>
      </c>
      <c r="BU324" s="125" t="str">
        <f t="shared" si="285"/>
        <v/>
      </c>
      <c r="BV324" s="125" t="str">
        <f t="shared" si="286"/>
        <v/>
      </c>
      <c r="BW324" s="129" t="str">
        <f t="shared" si="287"/>
        <v/>
      </c>
      <c r="BX324" s="11"/>
      <c r="BY324" s="15"/>
      <c r="BZ324" s="14"/>
      <c r="CA324" s="117" t="str">
        <f>IF(_xlfn.XLOOKUP(BY324, AutoFill_classes!$A:$A, AutoFill_classes!$B:$B,"")=0,"",_xlfn.XLOOKUP(BY324, AutoFill_classes!$A:$A, AutoFill_classes!$B:$B,""))</f>
        <v/>
      </c>
      <c r="CB324" s="108"/>
      <c r="CC324" s="14"/>
      <c r="CD324" s="14"/>
      <c r="CE324" s="14"/>
      <c r="CF324" s="21"/>
      <c r="CG324" s="22"/>
      <c r="CH324" s="63"/>
      <c r="CI324" s="23"/>
      <c r="CJ324" s="121" t="str">
        <f t="shared" si="288"/>
        <v/>
      </c>
      <c r="CK324" s="20"/>
      <c r="CL324" s="20"/>
      <c r="CM324" s="20"/>
      <c r="CN324" s="20"/>
      <c r="CO324" s="125" t="str">
        <f t="shared" si="289"/>
        <v/>
      </c>
      <c r="CP324" s="14"/>
      <c r="CQ324" s="125" t="str">
        <f t="shared" si="290"/>
        <v/>
      </c>
      <c r="CR324" s="20"/>
      <c r="CS324" s="20"/>
      <c r="CT324" s="125" t="str">
        <f t="shared" si="291"/>
        <v/>
      </c>
      <c r="CU324" s="14"/>
      <c r="CV324" s="125" t="str">
        <f t="shared" si="292"/>
        <v/>
      </c>
      <c r="CW324" s="20"/>
      <c r="CX324" s="20"/>
      <c r="CY324" s="125" t="str">
        <f t="shared" si="293"/>
        <v/>
      </c>
      <c r="CZ324" s="125" t="str">
        <f t="shared" si="294"/>
        <v/>
      </c>
      <c r="DA324" s="125" t="str">
        <f t="shared" si="295"/>
        <v/>
      </c>
      <c r="DB324" s="129" t="str">
        <f t="shared" si="296"/>
        <v/>
      </c>
      <c r="DC324" s="14"/>
      <c r="DD324" s="62"/>
      <c r="DE324" s="105">
        <v>322</v>
      </c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</row>
    <row r="325" spans="1:176" s="1" customFormat="1" ht="13" hidden="1" customHeight="1" outlineLevel="1" x14ac:dyDescent="0.2">
      <c r="A325" s="4"/>
      <c r="B325" s="115" t="str">
        <f>IF(_xlfn.XLOOKUP(A325, AutoFill_names!B:B, AutoFill_names!C:C,"")=0,"",_xlfn.XLOOKUP(A325, AutoFill_names!B:B, AutoFill_names!C:C,""))</f>
        <v/>
      </c>
      <c r="C325" s="115" t="str">
        <f>IF(_xlfn.XLOOKUP(A325, AutoFill_names!B:B, AutoFill_names!D:D,"")=0,"",_xlfn.XLOOKUP(A325, AutoFill_names!B:B, AutoFill_names!D:D,""))</f>
        <v/>
      </c>
      <c r="D325" s="115" t="str">
        <f>IF(_xlfn.XLOOKUP(A325, AutoFill_names!B:B, AutoFill_names!E:E,"")=0,"",_xlfn.XLOOKUP(A325, AutoFill_names!B:B, AutoFill_names!E:E,""))</f>
        <v/>
      </c>
      <c r="E325" s="115" t="str">
        <f>IF(_xlfn.XLOOKUP(A325, AutoFill_names!B:B, AutoFill_names!F:F,"")=0,"",_xlfn.XLOOKUP(A325, AutoFill_names!B:B, AutoFill_names!F:F,""))</f>
        <v/>
      </c>
      <c r="F325" s="92"/>
      <c r="J325" s="115" t="str">
        <f>IF(_xlfn.XLOOKUP(A325, AutoFill_names!B:B, AutoFill_names!K:K,"")=0,"",_xlfn.XLOOKUP(A325, AutoFill_names!B:B, AutoFill_names!K:K,""))</f>
        <v/>
      </c>
      <c r="K325" s="115" t="str">
        <f>IF(_xlfn.XLOOKUP(A325, AutoFill_names!B:B, AutoFill_names!L:L,"")=0,"",_xlfn.XLOOKUP(A325, AutoFill_names!B:B, AutoFill_names!L:L,""))</f>
        <v/>
      </c>
      <c r="L325" s="2"/>
      <c r="M325" s="2"/>
      <c r="N325" s="117" t="str">
        <f>IF(_xlfn.XLOOKUP(L325, AutoFill_classes!A:A, AutoFill_classes!B:B,"")=0,"",_xlfn.XLOOKUP(L325, AutoFill_classes!A:A, AutoFill_classes!B:B,""))</f>
        <v/>
      </c>
      <c r="O325" s="108"/>
      <c r="P325" s="6"/>
      <c r="Q325" s="6"/>
      <c r="R325" s="6"/>
      <c r="S325" s="2"/>
      <c r="T325" s="2"/>
      <c r="U325" s="2"/>
      <c r="X325" s="63"/>
      <c r="Y325" s="19"/>
      <c r="Z325" s="121" t="str">
        <f t="shared" si="270"/>
        <v/>
      </c>
      <c r="AA325" s="20"/>
      <c r="AB325" s="20"/>
      <c r="AC325" s="20"/>
      <c r="AD325" s="20"/>
      <c r="AE325" s="125" t="str">
        <f t="shared" si="271"/>
        <v/>
      </c>
      <c r="AF325" s="14"/>
      <c r="AG325" s="125" t="str">
        <f t="shared" si="272"/>
        <v/>
      </c>
      <c r="AH325" s="20"/>
      <c r="AI325" s="20"/>
      <c r="AJ325" s="125" t="str">
        <f t="shared" si="273"/>
        <v/>
      </c>
      <c r="AK325" s="14"/>
      <c r="AL325" s="125" t="str">
        <f t="shared" si="274"/>
        <v/>
      </c>
      <c r="AM325" s="20"/>
      <c r="AN325" s="20"/>
      <c r="AO325" s="125" t="str">
        <f t="shared" si="275"/>
        <v/>
      </c>
      <c r="AP325" s="125" t="str">
        <f t="shared" si="276"/>
        <v/>
      </c>
      <c r="AQ325" s="125" t="str">
        <f t="shared" si="277"/>
        <v/>
      </c>
      <c r="AR325" s="129" t="str">
        <f t="shared" si="278"/>
        <v/>
      </c>
      <c r="AS325" s="14"/>
      <c r="AT325" s="33"/>
      <c r="AU325" s="33"/>
      <c r="AV325" s="117" t="str">
        <f>IF(_xlfn.XLOOKUP(AT325, AutoFill_classes!$A:$A, AutoFill_classes!$B:$B,"")=0,"",_xlfn.XLOOKUP(AT325, AutoFill_classes!$A:$A, AutoFill_classes!$B:$B,""))</f>
        <v/>
      </c>
      <c r="AW325" s="108"/>
      <c r="AX325" s="11"/>
      <c r="AY325" s="11"/>
      <c r="AZ325" s="11"/>
      <c r="BA325" s="13"/>
      <c r="BB325" s="13"/>
      <c r="BC325" s="63"/>
      <c r="BD325" s="19"/>
      <c r="BE325" s="121" t="str">
        <f t="shared" si="279"/>
        <v/>
      </c>
      <c r="BF325" s="20"/>
      <c r="BG325" s="20"/>
      <c r="BH325" s="20"/>
      <c r="BI325" s="20"/>
      <c r="BJ325" s="125" t="str">
        <f t="shared" si="280"/>
        <v/>
      </c>
      <c r="BK325" s="14"/>
      <c r="BL325" s="125" t="str">
        <f t="shared" si="281"/>
        <v/>
      </c>
      <c r="BM325" s="20"/>
      <c r="BN325" s="20"/>
      <c r="BO325" s="125" t="str">
        <f t="shared" si="282"/>
        <v/>
      </c>
      <c r="BP325" s="14"/>
      <c r="BQ325" s="125" t="str">
        <f t="shared" si="283"/>
        <v/>
      </c>
      <c r="BR325" s="20"/>
      <c r="BS325" s="20"/>
      <c r="BT325" s="125" t="str">
        <f t="shared" si="284"/>
        <v/>
      </c>
      <c r="BU325" s="125" t="str">
        <f t="shared" si="285"/>
        <v/>
      </c>
      <c r="BV325" s="125" t="str">
        <f t="shared" si="286"/>
        <v/>
      </c>
      <c r="BW325" s="129" t="str">
        <f t="shared" si="287"/>
        <v/>
      </c>
      <c r="BX325" s="11"/>
      <c r="BY325" s="15"/>
      <c r="BZ325" s="14"/>
      <c r="CA325" s="117" t="str">
        <f>IF(_xlfn.XLOOKUP(BY325, AutoFill_classes!$A:$A, AutoFill_classes!$B:$B,"")=0,"",_xlfn.XLOOKUP(BY325, AutoFill_classes!$A:$A, AutoFill_classes!$B:$B,""))</f>
        <v/>
      </c>
      <c r="CB325" s="108"/>
      <c r="CC325" s="14"/>
      <c r="CD325" s="14"/>
      <c r="CE325" s="14"/>
      <c r="CF325" s="21"/>
      <c r="CG325" s="22"/>
      <c r="CH325" s="63"/>
      <c r="CI325" s="23"/>
      <c r="CJ325" s="121" t="str">
        <f t="shared" si="288"/>
        <v/>
      </c>
      <c r="CK325" s="20"/>
      <c r="CL325" s="20"/>
      <c r="CM325" s="20"/>
      <c r="CN325" s="20"/>
      <c r="CO325" s="125" t="str">
        <f t="shared" si="289"/>
        <v/>
      </c>
      <c r="CP325" s="14"/>
      <c r="CQ325" s="125" t="str">
        <f t="shared" si="290"/>
        <v/>
      </c>
      <c r="CR325" s="20"/>
      <c r="CS325" s="20"/>
      <c r="CT325" s="125" t="str">
        <f t="shared" si="291"/>
        <v/>
      </c>
      <c r="CU325" s="14"/>
      <c r="CV325" s="125" t="str">
        <f t="shared" si="292"/>
        <v/>
      </c>
      <c r="CW325" s="20"/>
      <c r="CX325" s="20"/>
      <c r="CY325" s="125" t="str">
        <f t="shared" si="293"/>
        <v/>
      </c>
      <c r="CZ325" s="125" t="str">
        <f t="shared" si="294"/>
        <v/>
      </c>
      <c r="DA325" s="125" t="str">
        <f t="shared" si="295"/>
        <v/>
      </c>
      <c r="DB325" s="129" t="str">
        <f t="shared" si="296"/>
        <v/>
      </c>
      <c r="DC325" s="14"/>
      <c r="DD325" s="62"/>
      <c r="DE325" s="105">
        <v>323</v>
      </c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</row>
    <row r="326" spans="1:176" s="1" customFormat="1" ht="13" hidden="1" customHeight="1" outlineLevel="1" x14ac:dyDescent="0.2">
      <c r="A326" s="4"/>
      <c r="B326" s="115" t="str">
        <f>IF(_xlfn.XLOOKUP(A326, AutoFill_names!B:B, AutoFill_names!C:C,"")=0,"",_xlfn.XLOOKUP(A326, AutoFill_names!B:B, AutoFill_names!C:C,""))</f>
        <v/>
      </c>
      <c r="C326" s="115" t="str">
        <f>IF(_xlfn.XLOOKUP(A326, AutoFill_names!B:B, AutoFill_names!D:D,"")=0,"",_xlfn.XLOOKUP(A326, AutoFill_names!B:B, AutoFill_names!D:D,""))</f>
        <v/>
      </c>
      <c r="D326" s="115" t="str">
        <f>IF(_xlfn.XLOOKUP(A326, AutoFill_names!B:B, AutoFill_names!E:E,"")=0,"",_xlfn.XLOOKUP(A326, AutoFill_names!B:B, AutoFill_names!E:E,""))</f>
        <v/>
      </c>
      <c r="E326" s="115" t="str">
        <f>IF(_xlfn.XLOOKUP(A326, AutoFill_names!B:B, AutoFill_names!F:F,"")=0,"",_xlfn.XLOOKUP(A326, AutoFill_names!B:B, AutoFill_names!F:F,""))</f>
        <v/>
      </c>
      <c r="F326" s="92"/>
      <c r="J326" s="115" t="str">
        <f>IF(_xlfn.XLOOKUP(A326, AutoFill_names!B:B, AutoFill_names!K:K,"")=0,"",_xlfn.XLOOKUP(A326, AutoFill_names!B:B, AutoFill_names!K:K,""))</f>
        <v/>
      </c>
      <c r="K326" s="115" t="str">
        <f>IF(_xlfn.XLOOKUP(A326, AutoFill_names!B:B, AutoFill_names!L:L,"")=0,"",_xlfn.XLOOKUP(A326, AutoFill_names!B:B, AutoFill_names!L:L,""))</f>
        <v/>
      </c>
      <c r="L326" s="2"/>
      <c r="M326" s="2"/>
      <c r="N326" s="117" t="str">
        <f>IF(_xlfn.XLOOKUP(L326, AutoFill_classes!A:A, AutoFill_classes!B:B,"")=0,"",_xlfn.XLOOKUP(L326, AutoFill_classes!A:A, AutoFill_classes!B:B,""))</f>
        <v/>
      </c>
      <c r="O326" s="108"/>
      <c r="P326" s="6"/>
      <c r="Q326" s="6"/>
      <c r="R326" s="6"/>
      <c r="S326" s="2"/>
      <c r="T326" s="2"/>
      <c r="U326" s="2"/>
      <c r="X326" s="63"/>
      <c r="Y326" s="19"/>
      <c r="Z326" s="121" t="str">
        <f t="shared" si="270"/>
        <v/>
      </c>
      <c r="AA326" s="20"/>
      <c r="AB326" s="20"/>
      <c r="AC326" s="20"/>
      <c r="AD326" s="20"/>
      <c r="AE326" s="125" t="str">
        <f t="shared" si="271"/>
        <v/>
      </c>
      <c r="AF326" s="14"/>
      <c r="AG326" s="125" t="str">
        <f t="shared" si="272"/>
        <v/>
      </c>
      <c r="AH326" s="20"/>
      <c r="AI326" s="20"/>
      <c r="AJ326" s="125" t="str">
        <f t="shared" si="273"/>
        <v/>
      </c>
      <c r="AK326" s="14"/>
      <c r="AL326" s="125" t="str">
        <f t="shared" si="274"/>
        <v/>
      </c>
      <c r="AM326" s="20"/>
      <c r="AN326" s="20"/>
      <c r="AO326" s="125" t="str">
        <f t="shared" si="275"/>
        <v/>
      </c>
      <c r="AP326" s="125" t="str">
        <f t="shared" si="276"/>
        <v/>
      </c>
      <c r="AQ326" s="125" t="str">
        <f t="shared" si="277"/>
        <v/>
      </c>
      <c r="AR326" s="129" t="str">
        <f t="shared" si="278"/>
        <v/>
      </c>
      <c r="AS326" s="14"/>
      <c r="AT326" s="33"/>
      <c r="AU326" s="33"/>
      <c r="AV326" s="117" t="str">
        <f>IF(_xlfn.XLOOKUP(AT326, AutoFill_classes!$A:$A, AutoFill_classes!$B:$B,"")=0,"",_xlfn.XLOOKUP(AT326, AutoFill_classes!$A:$A, AutoFill_classes!$B:$B,""))</f>
        <v/>
      </c>
      <c r="AW326" s="108"/>
      <c r="AX326" s="11"/>
      <c r="AY326" s="11"/>
      <c r="AZ326" s="11"/>
      <c r="BA326" s="13"/>
      <c r="BB326" s="13"/>
      <c r="BC326" s="63"/>
      <c r="BD326" s="19"/>
      <c r="BE326" s="121" t="str">
        <f t="shared" si="279"/>
        <v/>
      </c>
      <c r="BF326" s="20"/>
      <c r="BG326" s="20"/>
      <c r="BH326" s="20"/>
      <c r="BI326" s="20"/>
      <c r="BJ326" s="125" t="str">
        <f t="shared" si="280"/>
        <v/>
      </c>
      <c r="BK326" s="14"/>
      <c r="BL326" s="125" t="str">
        <f t="shared" si="281"/>
        <v/>
      </c>
      <c r="BM326" s="20"/>
      <c r="BN326" s="20"/>
      <c r="BO326" s="125" t="str">
        <f t="shared" si="282"/>
        <v/>
      </c>
      <c r="BP326" s="14"/>
      <c r="BQ326" s="125" t="str">
        <f t="shared" si="283"/>
        <v/>
      </c>
      <c r="BR326" s="20"/>
      <c r="BS326" s="20"/>
      <c r="BT326" s="125" t="str">
        <f t="shared" si="284"/>
        <v/>
      </c>
      <c r="BU326" s="125" t="str">
        <f t="shared" si="285"/>
        <v/>
      </c>
      <c r="BV326" s="125" t="str">
        <f t="shared" si="286"/>
        <v/>
      </c>
      <c r="BW326" s="129" t="str">
        <f t="shared" si="287"/>
        <v/>
      </c>
      <c r="BX326" s="11"/>
      <c r="BY326" s="15"/>
      <c r="BZ326" s="14"/>
      <c r="CA326" s="117" t="str">
        <f>IF(_xlfn.XLOOKUP(BY326, AutoFill_classes!$A:$A, AutoFill_classes!$B:$B,"")=0,"",_xlfn.XLOOKUP(BY326, AutoFill_classes!$A:$A, AutoFill_classes!$B:$B,""))</f>
        <v/>
      </c>
      <c r="CB326" s="108"/>
      <c r="CC326" s="14"/>
      <c r="CD326" s="14"/>
      <c r="CE326" s="14"/>
      <c r="CF326" s="21"/>
      <c r="CG326" s="22"/>
      <c r="CH326" s="63"/>
      <c r="CI326" s="23"/>
      <c r="CJ326" s="121" t="str">
        <f t="shared" si="288"/>
        <v/>
      </c>
      <c r="CK326" s="20"/>
      <c r="CL326" s="20"/>
      <c r="CM326" s="20"/>
      <c r="CN326" s="20"/>
      <c r="CO326" s="125" t="str">
        <f t="shared" si="289"/>
        <v/>
      </c>
      <c r="CP326" s="14"/>
      <c r="CQ326" s="125" t="str">
        <f t="shared" si="290"/>
        <v/>
      </c>
      <c r="CR326" s="20"/>
      <c r="CS326" s="20"/>
      <c r="CT326" s="125" t="str">
        <f t="shared" si="291"/>
        <v/>
      </c>
      <c r="CU326" s="14"/>
      <c r="CV326" s="125" t="str">
        <f t="shared" si="292"/>
        <v/>
      </c>
      <c r="CW326" s="20"/>
      <c r="CX326" s="20"/>
      <c r="CY326" s="125" t="str">
        <f t="shared" si="293"/>
        <v/>
      </c>
      <c r="CZ326" s="125" t="str">
        <f t="shared" si="294"/>
        <v/>
      </c>
      <c r="DA326" s="125" t="str">
        <f t="shared" si="295"/>
        <v/>
      </c>
      <c r="DB326" s="129" t="str">
        <f t="shared" si="296"/>
        <v/>
      </c>
      <c r="DC326" s="14"/>
      <c r="DD326" s="62"/>
      <c r="DE326" s="105">
        <v>324</v>
      </c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</row>
    <row r="327" spans="1:176" s="1" customFormat="1" ht="13" hidden="1" customHeight="1" outlineLevel="1" x14ac:dyDescent="0.2">
      <c r="A327" s="4"/>
      <c r="B327" s="115" t="str">
        <f>IF(_xlfn.XLOOKUP(A327, AutoFill_names!B:B, AutoFill_names!C:C,"")=0,"",_xlfn.XLOOKUP(A327, AutoFill_names!B:B, AutoFill_names!C:C,""))</f>
        <v/>
      </c>
      <c r="C327" s="115" t="str">
        <f>IF(_xlfn.XLOOKUP(A327, AutoFill_names!B:B, AutoFill_names!D:D,"")=0,"",_xlfn.XLOOKUP(A327, AutoFill_names!B:B, AutoFill_names!D:D,""))</f>
        <v/>
      </c>
      <c r="D327" s="115" t="str">
        <f>IF(_xlfn.XLOOKUP(A327, AutoFill_names!B:B, AutoFill_names!E:E,"")=0,"",_xlfn.XLOOKUP(A327, AutoFill_names!B:B, AutoFill_names!E:E,""))</f>
        <v/>
      </c>
      <c r="E327" s="115" t="str">
        <f>IF(_xlfn.XLOOKUP(A327, AutoFill_names!B:B, AutoFill_names!F:F,"")=0,"",_xlfn.XLOOKUP(A327, AutoFill_names!B:B, AutoFill_names!F:F,""))</f>
        <v/>
      </c>
      <c r="F327" s="92"/>
      <c r="J327" s="115" t="str">
        <f>IF(_xlfn.XLOOKUP(A327, AutoFill_names!B:B, AutoFill_names!K:K,"")=0,"",_xlfn.XLOOKUP(A327, AutoFill_names!B:B, AutoFill_names!K:K,""))</f>
        <v/>
      </c>
      <c r="K327" s="115" t="str">
        <f>IF(_xlfn.XLOOKUP(A327, AutoFill_names!B:B, AutoFill_names!L:L,"")=0,"",_xlfn.XLOOKUP(A327, AutoFill_names!B:B, AutoFill_names!L:L,""))</f>
        <v/>
      </c>
      <c r="L327" s="2"/>
      <c r="M327" s="2"/>
      <c r="N327" s="117" t="str">
        <f>IF(_xlfn.XLOOKUP(L327, AutoFill_classes!A:A, AutoFill_classes!B:B,"")=0,"",_xlfn.XLOOKUP(L327, AutoFill_classes!A:A, AutoFill_classes!B:B,""))</f>
        <v/>
      </c>
      <c r="O327" s="108"/>
      <c r="P327" s="6"/>
      <c r="Q327" s="6"/>
      <c r="R327" s="6"/>
      <c r="S327" s="2"/>
      <c r="T327" s="2"/>
      <c r="U327" s="2"/>
      <c r="X327" s="63"/>
      <c r="Y327" s="19"/>
      <c r="Z327" s="121" t="str">
        <f t="shared" si="270"/>
        <v/>
      </c>
      <c r="AA327" s="20"/>
      <c r="AB327" s="20"/>
      <c r="AC327" s="20"/>
      <c r="AD327" s="20"/>
      <c r="AE327" s="125" t="str">
        <f t="shared" si="271"/>
        <v/>
      </c>
      <c r="AF327" s="14"/>
      <c r="AG327" s="125" t="str">
        <f t="shared" si="272"/>
        <v/>
      </c>
      <c r="AH327" s="20"/>
      <c r="AI327" s="20"/>
      <c r="AJ327" s="125" t="str">
        <f t="shared" si="273"/>
        <v/>
      </c>
      <c r="AK327" s="14"/>
      <c r="AL327" s="125" t="str">
        <f t="shared" si="274"/>
        <v/>
      </c>
      <c r="AM327" s="20"/>
      <c r="AN327" s="20"/>
      <c r="AO327" s="125" t="str">
        <f t="shared" si="275"/>
        <v/>
      </c>
      <c r="AP327" s="125" t="str">
        <f t="shared" si="276"/>
        <v/>
      </c>
      <c r="AQ327" s="125" t="str">
        <f t="shared" si="277"/>
        <v/>
      </c>
      <c r="AR327" s="129" t="str">
        <f t="shared" si="278"/>
        <v/>
      </c>
      <c r="AS327" s="14"/>
      <c r="AT327" s="33"/>
      <c r="AU327" s="33"/>
      <c r="AV327" s="117" t="str">
        <f>IF(_xlfn.XLOOKUP(AT327, AutoFill_classes!$A:$A, AutoFill_classes!$B:$B,"")=0,"",_xlfn.XLOOKUP(AT327, AutoFill_classes!$A:$A, AutoFill_classes!$B:$B,""))</f>
        <v/>
      </c>
      <c r="AW327" s="108"/>
      <c r="AX327" s="11"/>
      <c r="AY327" s="11"/>
      <c r="AZ327" s="11"/>
      <c r="BA327" s="13"/>
      <c r="BB327" s="13"/>
      <c r="BC327" s="63"/>
      <c r="BD327" s="19"/>
      <c r="BE327" s="121" t="str">
        <f t="shared" si="279"/>
        <v/>
      </c>
      <c r="BF327" s="20"/>
      <c r="BG327" s="20"/>
      <c r="BH327" s="20"/>
      <c r="BI327" s="20"/>
      <c r="BJ327" s="125" t="str">
        <f t="shared" si="280"/>
        <v/>
      </c>
      <c r="BK327" s="14"/>
      <c r="BL327" s="125" t="str">
        <f t="shared" si="281"/>
        <v/>
      </c>
      <c r="BM327" s="20"/>
      <c r="BN327" s="20"/>
      <c r="BO327" s="125" t="str">
        <f t="shared" si="282"/>
        <v/>
      </c>
      <c r="BP327" s="14"/>
      <c r="BQ327" s="125" t="str">
        <f t="shared" si="283"/>
        <v/>
      </c>
      <c r="BR327" s="20"/>
      <c r="BS327" s="20"/>
      <c r="BT327" s="125" t="str">
        <f t="shared" si="284"/>
        <v/>
      </c>
      <c r="BU327" s="125" t="str">
        <f t="shared" si="285"/>
        <v/>
      </c>
      <c r="BV327" s="125" t="str">
        <f t="shared" si="286"/>
        <v/>
      </c>
      <c r="BW327" s="129" t="str">
        <f t="shared" si="287"/>
        <v/>
      </c>
      <c r="BX327" s="11"/>
      <c r="BY327" s="15"/>
      <c r="BZ327" s="14"/>
      <c r="CA327" s="117" t="str">
        <f>IF(_xlfn.XLOOKUP(BY327, AutoFill_classes!$A:$A, AutoFill_classes!$B:$B,"")=0,"",_xlfn.XLOOKUP(BY327, AutoFill_classes!$A:$A, AutoFill_classes!$B:$B,""))</f>
        <v/>
      </c>
      <c r="CB327" s="108"/>
      <c r="CC327" s="14"/>
      <c r="CD327" s="14"/>
      <c r="CE327" s="14"/>
      <c r="CF327" s="21"/>
      <c r="CG327" s="22"/>
      <c r="CH327" s="63"/>
      <c r="CI327" s="23"/>
      <c r="CJ327" s="121" t="str">
        <f t="shared" si="288"/>
        <v/>
      </c>
      <c r="CK327" s="20"/>
      <c r="CL327" s="20"/>
      <c r="CM327" s="20"/>
      <c r="CN327" s="20"/>
      <c r="CO327" s="125" t="str">
        <f t="shared" si="289"/>
        <v/>
      </c>
      <c r="CP327" s="14"/>
      <c r="CQ327" s="125" t="str">
        <f t="shared" si="290"/>
        <v/>
      </c>
      <c r="CR327" s="20"/>
      <c r="CS327" s="20"/>
      <c r="CT327" s="125" t="str">
        <f t="shared" si="291"/>
        <v/>
      </c>
      <c r="CU327" s="14"/>
      <c r="CV327" s="125" t="str">
        <f t="shared" si="292"/>
        <v/>
      </c>
      <c r="CW327" s="20"/>
      <c r="CX327" s="20"/>
      <c r="CY327" s="125" t="str">
        <f t="shared" si="293"/>
        <v/>
      </c>
      <c r="CZ327" s="125" t="str">
        <f t="shared" si="294"/>
        <v/>
      </c>
      <c r="DA327" s="125" t="str">
        <f t="shared" si="295"/>
        <v/>
      </c>
      <c r="DB327" s="129" t="str">
        <f t="shared" si="296"/>
        <v/>
      </c>
      <c r="DC327" s="14"/>
      <c r="DD327" s="62"/>
      <c r="DE327" s="105">
        <v>325</v>
      </c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</row>
    <row r="328" spans="1:176" s="1" customFormat="1" ht="13" hidden="1" customHeight="1" outlineLevel="1" x14ac:dyDescent="0.2">
      <c r="A328" s="4"/>
      <c r="B328" s="115" t="str">
        <f>IF(_xlfn.XLOOKUP(A328, AutoFill_names!B:B, AutoFill_names!C:C,"")=0,"",_xlfn.XLOOKUP(A328, AutoFill_names!B:B, AutoFill_names!C:C,""))</f>
        <v/>
      </c>
      <c r="C328" s="115" t="str">
        <f>IF(_xlfn.XLOOKUP(A328, AutoFill_names!B:B, AutoFill_names!D:D,"")=0,"",_xlfn.XLOOKUP(A328, AutoFill_names!B:B, AutoFill_names!D:D,""))</f>
        <v/>
      </c>
      <c r="D328" s="115" t="str">
        <f>IF(_xlfn.XLOOKUP(A328, AutoFill_names!B:B, AutoFill_names!E:E,"")=0,"",_xlfn.XLOOKUP(A328, AutoFill_names!B:B, AutoFill_names!E:E,""))</f>
        <v/>
      </c>
      <c r="E328" s="115" t="str">
        <f>IF(_xlfn.XLOOKUP(A328, AutoFill_names!B:B, AutoFill_names!F:F,"")=0,"",_xlfn.XLOOKUP(A328, AutoFill_names!B:B, AutoFill_names!F:F,""))</f>
        <v/>
      </c>
      <c r="F328" s="92"/>
      <c r="J328" s="115" t="str">
        <f>IF(_xlfn.XLOOKUP(A328, AutoFill_names!B:B, AutoFill_names!K:K,"")=0,"",_xlfn.XLOOKUP(A328, AutoFill_names!B:B, AutoFill_names!K:K,""))</f>
        <v/>
      </c>
      <c r="K328" s="115" t="str">
        <f>IF(_xlfn.XLOOKUP(A328, AutoFill_names!B:B, AutoFill_names!L:L,"")=0,"",_xlfn.XLOOKUP(A328, AutoFill_names!B:B, AutoFill_names!L:L,""))</f>
        <v/>
      </c>
      <c r="L328" s="2"/>
      <c r="M328" s="2"/>
      <c r="N328" s="117" t="str">
        <f>IF(_xlfn.XLOOKUP(L328, AutoFill_classes!A:A, AutoFill_classes!B:B,"")=0,"",_xlfn.XLOOKUP(L328, AutoFill_classes!A:A, AutoFill_classes!B:B,""))</f>
        <v/>
      </c>
      <c r="O328" s="108"/>
      <c r="P328" s="6"/>
      <c r="Q328" s="6"/>
      <c r="R328" s="6"/>
      <c r="S328" s="2"/>
      <c r="T328" s="2"/>
      <c r="U328" s="2"/>
      <c r="X328" s="63"/>
      <c r="Y328" s="19"/>
      <c r="Z328" s="121" t="str">
        <f t="shared" si="270"/>
        <v/>
      </c>
      <c r="AA328" s="20"/>
      <c r="AB328" s="20"/>
      <c r="AC328" s="20"/>
      <c r="AD328" s="20"/>
      <c r="AE328" s="125" t="str">
        <f t="shared" si="271"/>
        <v/>
      </c>
      <c r="AF328" s="14"/>
      <c r="AG328" s="125" t="str">
        <f t="shared" si="272"/>
        <v/>
      </c>
      <c r="AH328" s="20"/>
      <c r="AI328" s="20"/>
      <c r="AJ328" s="125" t="str">
        <f t="shared" si="273"/>
        <v/>
      </c>
      <c r="AK328" s="14"/>
      <c r="AL328" s="125" t="str">
        <f t="shared" si="274"/>
        <v/>
      </c>
      <c r="AM328" s="20"/>
      <c r="AN328" s="20"/>
      <c r="AO328" s="125" t="str">
        <f t="shared" si="275"/>
        <v/>
      </c>
      <c r="AP328" s="125" t="str">
        <f t="shared" si="276"/>
        <v/>
      </c>
      <c r="AQ328" s="125" t="str">
        <f t="shared" si="277"/>
        <v/>
      </c>
      <c r="AR328" s="129" t="str">
        <f t="shared" si="278"/>
        <v/>
      </c>
      <c r="AS328" s="14"/>
      <c r="AT328" s="33"/>
      <c r="AU328" s="33"/>
      <c r="AV328" s="117" t="str">
        <f>IF(_xlfn.XLOOKUP(AT328, AutoFill_classes!$A:$A, AutoFill_classes!$B:$B,"")=0,"",_xlfn.XLOOKUP(AT328, AutoFill_classes!$A:$A, AutoFill_classes!$B:$B,""))</f>
        <v/>
      </c>
      <c r="AW328" s="108"/>
      <c r="AX328" s="11"/>
      <c r="AY328" s="11"/>
      <c r="AZ328" s="11"/>
      <c r="BA328" s="13"/>
      <c r="BB328" s="13"/>
      <c r="BC328" s="63"/>
      <c r="BD328" s="19"/>
      <c r="BE328" s="121" t="str">
        <f t="shared" si="279"/>
        <v/>
      </c>
      <c r="BF328" s="20"/>
      <c r="BG328" s="20"/>
      <c r="BH328" s="20"/>
      <c r="BI328" s="20"/>
      <c r="BJ328" s="125" t="str">
        <f t="shared" si="280"/>
        <v/>
      </c>
      <c r="BK328" s="14"/>
      <c r="BL328" s="125" t="str">
        <f t="shared" si="281"/>
        <v/>
      </c>
      <c r="BM328" s="20"/>
      <c r="BN328" s="20"/>
      <c r="BO328" s="125" t="str">
        <f t="shared" si="282"/>
        <v/>
      </c>
      <c r="BP328" s="14"/>
      <c r="BQ328" s="125" t="str">
        <f t="shared" si="283"/>
        <v/>
      </c>
      <c r="BR328" s="20"/>
      <c r="BS328" s="20"/>
      <c r="BT328" s="125" t="str">
        <f t="shared" si="284"/>
        <v/>
      </c>
      <c r="BU328" s="125" t="str">
        <f t="shared" si="285"/>
        <v/>
      </c>
      <c r="BV328" s="125" t="str">
        <f t="shared" si="286"/>
        <v/>
      </c>
      <c r="BW328" s="129" t="str">
        <f t="shared" si="287"/>
        <v/>
      </c>
      <c r="BX328" s="11"/>
      <c r="BY328" s="15"/>
      <c r="BZ328" s="14"/>
      <c r="CA328" s="117" t="str">
        <f>IF(_xlfn.XLOOKUP(BY328, AutoFill_classes!$A:$A, AutoFill_classes!$B:$B,"")=0,"",_xlfn.XLOOKUP(BY328, AutoFill_classes!$A:$A, AutoFill_classes!$B:$B,""))</f>
        <v/>
      </c>
      <c r="CB328" s="108"/>
      <c r="CC328" s="14"/>
      <c r="CD328" s="14"/>
      <c r="CE328" s="14"/>
      <c r="CF328" s="21"/>
      <c r="CG328" s="22"/>
      <c r="CH328" s="63"/>
      <c r="CI328" s="23"/>
      <c r="CJ328" s="121" t="str">
        <f t="shared" si="288"/>
        <v/>
      </c>
      <c r="CK328" s="20"/>
      <c r="CL328" s="20"/>
      <c r="CM328" s="20"/>
      <c r="CN328" s="20"/>
      <c r="CO328" s="125" t="str">
        <f t="shared" si="289"/>
        <v/>
      </c>
      <c r="CP328" s="14"/>
      <c r="CQ328" s="125" t="str">
        <f t="shared" si="290"/>
        <v/>
      </c>
      <c r="CR328" s="20"/>
      <c r="CS328" s="20"/>
      <c r="CT328" s="125" t="str">
        <f t="shared" si="291"/>
        <v/>
      </c>
      <c r="CU328" s="14"/>
      <c r="CV328" s="125" t="str">
        <f t="shared" si="292"/>
        <v/>
      </c>
      <c r="CW328" s="20"/>
      <c r="CX328" s="20"/>
      <c r="CY328" s="125" t="str">
        <f t="shared" si="293"/>
        <v/>
      </c>
      <c r="CZ328" s="125" t="str">
        <f t="shared" si="294"/>
        <v/>
      </c>
      <c r="DA328" s="125" t="str">
        <f t="shared" si="295"/>
        <v/>
      </c>
      <c r="DB328" s="129" t="str">
        <f t="shared" si="296"/>
        <v/>
      </c>
      <c r="DC328" s="14"/>
      <c r="DD328" s="62"/>
      <c r="DE328" s="105">
        <v>326</v>
      </c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</row>
    <row r="329" spans="1:176" s="1" customFormat="1" ht="13" hidden="1" customHeight="1" outlineLevel="1" x14ac:dyDescent="0.2">
      <c r="A329" s="4"/>
      <c r="B329" s="115" t="str">
        <f>IF(_xlfn.XLOOKUP(A329, AutoFill_names!B:B, AutoFill_names!C:C,"")=0,"",_xlfn.XLOOKUP(A329, AutoFill_names!B:B, AutoFill_names!C:C,""))</f>
        <v/>
      </c>
      <c r="C329" s="115" t="str">
        <f>IF(_xlfn.XLOOKUP(A329, AutoFill_names!B:B, AutoFill_names!D:D,"")=0,"",_xlfn.XLOOKUP(A329, AutoFill_names!B:B, AutoFill_names!D:D,""))</f>
        <v/>
      </c>
      <c r="D329" s="115" t="str">
        <f>IF(_xlfn.XLOOKUP(A329, AutoFill_names!B:B, AutoFill_names!E:E,"")=0,"",_xlfn.XLOOKUP(A329, AutoFill_names!B:B, AutoFill_names!E:E,""))</f>
        <v/>
      </c>
      <c r="E329" s="115" t="str">
        <f>IF(_xlfn.XLOOKUP(A329, AutoFill_names!B:B, AutoFill_names!F:F,"")=0,"",_xlfn.XLOOKUP(A329, AutoFill_names!B:B, AutoFill_names!F:F,""))</f>
        <v/>
      </c>
      <c r="F329" s="92"/>
      <c r="J329" s="115" t="str">
        <f>IF(_xlfn.XLOOKUP(A329, AutoFill_names!B:B, AutoFill_names!K:K,"")=0,"",_xlfn.XLOOKUP(A329, AutoFill_names!B:B, AutoFill_names!K:K,""))</f>
        <v/>
      </c>
      <c r="K329" s="115" t="str">
        <f>IF(_xlfn.XLOOKUP(A329, AutoFill_names!B:B, AutoFill_names!L:L,"")=0,"",_xlfn.XLOOKUP(A329, AutoFill_names!B:B, AutoFill_names!L:L,""))</f>
        <v/>
      </c>
      <c r="L329" s="2"/>
      <c r="M329" s="2"/>
      <c r="N329" s="117" t="str">
        <f>IF(_xlfn.XLOOKUP(L329, AutoFill_classes!A:A, AutoFill_classes!B:B,"")=0,"",_xlfn.XLOOKUP(L329, AutoFill_classes!A:A, AutoFill_classes!B:B,""))</f>
        <v/>
      </c>
      <c r="O329" s="108"/>
      <c r="P329" s="6"/>
      <c r="Q329" s="6"/>
      <c r="R329" s="6"/>
      <c r="S329" s="2"/>
      <c r="T329" s="2"/>
      <c r="U329" s="2"/>
      <c r="X329" s="63"/>
      <c r="Y329" s="19"/>
      <c r="Z329" s="121" t="str">
        <f t="shared" si="270"/>
        <v/>
      </c>
      <c r="AA329" s="20"/>
      <c r="AB329" s="20"/>
      <c r="AC329" s="20"/>
      <c r="AD329" s="20"/>
      <c r="AE329" s="125" t="str">
        <f t="shared" si="271"/>
        <v/>
      </c>
      <c r="AF329" s="14"/>
      <c r="AG329" s="125" t="str">
        <f t="shared" si="272"/>
        <v/>
      </c>
      <c r="AH329" s="20"/>
      <c r="AI329" s="20"/>
      <c r="AJ329" s="125" t="str">
        <f t="shared" si="273"/>
        <v/>
      </c>
      <c r="AK329" s="14"/>
      <c r="AL329" s="125" t="str">
        <f t="shared" si="274"/>
        <v/>
      </c>
      <c r="AM329" s="20"/>
      <c r="AN329" s="20"/>
      <c r="AO329" s="125" t="str">
        <f t="shared" si="275"/>
        <v/>
      </c>
      <c r="AP329" s="125" t="str">
        <f t="shared" si="276"/>
        <v/>
      </c>
      <c r="AQ329" s="125" t="str">
        <f t="shared" si="277"/>
        <v/>
      </c>
      <c r="AR329" s="129" t="str">
        <f t="shared" si="278"/>
        <v/>
      </c>
      <c r="AS329" s="14"/>
      <c r="AT329" s="33"/>
      <c r="AU329" s="33"/>
      <c r="AV329" s="117" t="str">
        <f>IF(_xlfn.XLOOKUP(AT329, AutoFill_classes!$A:$A, AutoFill_classes!$B:$B,"")=0,"",_xlfn.XLOOKUP(AT329, AutoFill_classes!$A:$A, AutoFill_classes!$B:$B,""))</f>
        <v/>
      </c>
      <c r="AW329" s="108"/>
      <c r="AX329" s="11"/>
      <c r="AY329" s="11"/>
      <c r="AZ329" s="11"/>
      <c r="BA329" s="13"/>
      <c r="BB329" s="13"/>
      <c r="BC329" s="63"/>
      <c r="BD329" s="19"/>
      <c r="BE329" s="121" t="str">
        <f t="shared" si="279"/>
        <v/>
      </c>
      <c r="BF329" s="20"/>
      <c r="BG329" s="20"/>
      <c r="BH329" s="20"/>
      <c r="BI329" s="20"/>
      <c r="BJ329" s="125" t="str">
        <f t="shared" si="280"/>
        <v/>
      </c>
      <c r="BK329" s="14"/>
      <c r="BL329" s="125" t="str">
        <f t="shared" si="281"/>
        <v/>
      </c>
      <c r="BM329" s="20"/>
      <c r="BN329" s="20"/>
      <c r="BO329" s="125" t="str">
        <f t="shared" si="282"/>
        <v/>
      </c>
      <c r="BP329" s="14"/>
      <c r="BQ329" s="125" t="str">
        <f t="shared" si="283"/>
        <v/>
      </c>
      <c r="BR329" s="20"/>
      <c r="BS329" s="20"/>
      <c r="BT329" s="125" t="str">
        <f t="shared" si="284"/>
        <v/>
      </c>
      <c r="BU329" s="125" t="str">
        <f t="shared" si="285"/>
        <v/>
      </c>
      <c r="BV329" s="125" t="str">
        <f t="shared" si="286"/>
        <v/>
      </c>
      <c r="BW329" s="129" t="str">
        <f t="shared" si="287"/>
        <v/>
      </c>
      <c r="BX329" s="11"/>
      <c r="BY329" s="15"/>
      <c r="BZ329" s="14"/>
      <c r="CA329" s="117" t="str">
        <f>IF(_xlfn.XLOOKUP(BY329, AutoFill_classes!$A:$A, AutoFill_classes!$B:$B,"")=0,"",_xlfn.XLOOKUP(BY329, AutoFill_classes!$A:$A, AutoFill_classes!$B:$B,""))</f>
        <v/>
      </c>
      <c r="CB329" s="108"/>
      <c r="CC329" s="14"/>
      <c r="CD329" s="14"/>
      <c r="CE329" s="14"/>
      <c r="CF329" s="21"/>
      <c r="CG329" s="22"/>
      <c r="CH329" s="63"/>
      <c r="CI329" s="23"/>
      <c r="CJ329" s="121" t="str">
        <f t="shared" si="288"/>
        <v/>
      </c>
      <c r="CK329" s="20"/>
      <c r="CL329" s="20"/>
      <c r="CM329" s="20"/>
      <c r="CN329" s="20"/>
      <c r="CO329" s="125" t="str">
        <f t="shared" si="289"/>
        <v/>
      </c>
      <c r="CP329" s="14"/>
      <c r="CQ329" s="125" t="str">
        <f t="shared" si="290"/>
        <v/>
      </c>
      <c r="CR329" s="20"/>
      <c r="CS329" s="20"/>
      <c r="CT329" s="125" t="str">
        <f t="shared" si="291"/>
        <v/>
      </c>
      <c r="CU329" s="14"/>
      <c r="CV329" s="125" t="str">
        <f t="shared" si="292"/>
        <v/>
      </c>
      <c r="CW329" s="20"/>
      <c r="CX329" s="20"/>
      <c r="CY329" s="125" t="str">
        <f t="shared" si="293"/>
        <v/>
      </c>
      <c r="CZ329" s="125" t="str">
        <f t="shared" si="294"/>
        <v/>
      </c>
      <c r="DA329" s="125" t="str">
        <f t="shared" si="295"/>
        <v/>
      </c>
      <c r="DB329" s="129" t="str">
        <f t="shared" si="296"/>
        <v/>
      </c>
      <c r="DC329" s="14"/>
      <c r="DD329" s="62"/>
      <c r="DE329" s="105">
        <v>327</v>
      </c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</row>
    <row r="330" spans="1:176" s="1" customFormat="1" ht="13" hidden="1" customHeight="1" outlineLevel="1" x14ac:dyDescent="0.2">
      <c r="A330" s="4"/>
      <c r="B330" s="115" t="str">
        <f>IF(_xlfn.XLOOKUP(A330, AutoFill_names!B:B, AutoFill_names!C:C,"")=0,"",_xlfn.XLOOKUP(A330, AutoFill_names!B:B, AutoFill_names!C:C,""))</f>
        <v/>
      </c>
      <c r="C330" s="115" t="str">
        <f>IF(_xlfn.XLOOKUP(A330, AutoFill_names!B:B, AutoFill_names!D:D,"")=0,"",_xlfn.XLOOKUP(A330, AutoFill_names!B:B, AutoFill_names!D:D,""))</f>
        <v/>
      </c>
      <c r="D330" s="115" t="str">
        <f>IF(_xlfn.XLOOKUP(A330, AutoFill_names!B:B, AutoFill_names!E:E,"")=0,"",_xlfn.XLOOKUP(A330, AutoFill_names!B:B, AutoFill_names!E:E,""))</f>
        <v/>
      </c>
      <c r="E330" s="115" t="str">
        <f>IF(_xlfn.XLOOKUP(A330, AutoFill_names!B:B, AutoFill_names!F:F,"")=0,"",_xlfn.XLOOKUP(A330, AutoFill_names!B:B, AutoFill_names!F:F,""))</f>
        <v/>
      </c>
      <c r="F330" s="92"/>
      <c r="J330" s="115" t="str">
        <f>IF(_xlfn.XLOOKUP(A330, AutoFill_names!B:B, AutoFill_names!K:K,"")=0,"",_xlfn.XLOOKUP(A330, AutoFill_names!B:B, AutoFill_names!K:K,""))</f>
        <v/>
      </c>
      <c r="K330" s="115" t="str">
        <f>IF(_xlfn.XLOOKUP(A330, AutoFill_names!B:B, AutoFill_names!L:L,"")=0,"",_xlfn.XLOOKUP(A330, AutoFill_names!B:B, AutoFill_names!L:L,""))</f>
        <v/>
      </c>
      <c r="L330" s="2"/>
      <c r="M330" s="2"/>
      <c r="N330" s="117" t="str">
        <f>IF(_xlfn.XLOOKUP(L330, AutoFill_classes!A:A, AutoFill_classes!B:B,"")=0,"",_xlfn.XLOOKUP(L330, AutoFill_classes!A:A, AutoFill_classes!B:B,""))</f>
        <v/>
      </c>
      <c r="O330" s="108"/>
      <c r="P330" s="6"/>
      <c r="Q330" s="6"/>
      <c r="R330" s="6"/>
      <c r="S330" s="2"/>
      <c r="T330" s="2"/>
      <c r="U330" s="2"/>
      <c r="X330" s="63"/>
      <c r="Y330" s="19"/>
      <c r="Z330" s="121" t="str">
        <f t="shared" si="270"/>
        <v/>
      </c>
      <c r="AA330" s="20"/>
      <c r="AB330" s="20"/>
      <c r="AC330" s="20"/>
      <c r="AD330" s="20"/>
      <c r="AE330" s="125" t="str">
        <f t="shared" si="271"/>
        <v/>
      </c>
      <c r="AF330" s="14"/>
      <c r="AG330" s="125" t="str">
        <f t="shared" si="272"/>
        <v/>
      </c>
      <c r="AH330" s="20"/>
      <c r="AI330" s="20"/>
      <c r="AJ330" s="125" t="str">
        <f t="shared" si="273"/>
        <v/>
      </c>
      <c r="AK330" s="14"/>
      <c r="AL330" s="125" t="str">
        <f t="shared" si="274"/>
        <v/>
      </c>
      <c r="AM330" s="20"/>
      <c r="AN330" s="20"/>
      <c r="AO330" s="125" t="str">
        <f t="shared" si="275"/>
        <v/>
      </c>
      <c r="AP330" s="125" t="str">
        <f t="shared" si="276"/>
        <v/>
      </c>
      <c r="AQ330" s="125" t="str">
        <f t="shared" si="277"/>
        <v/>
      </c>
      <c r="AR330" s="129" t="str">
        <f t="shared" si="278"/>
        <v/>
      </c>
      <c r="AS330" s="14"/>
      <c r="AT330" s="33"/>
      <c r="AU330" s="33"/>
      <c r="AV330" s="117" t="str">
        <f>IF(_xlfn.XLOOKUP(AT330, AutoFill_classes!$A:$A, AutoFill_classes!$B:$B,"")=0,"",_xlfn.XLOOKUP(AT330, AutoFill_classes!$A:$A, AutoFill_classes!$B:$B,""))</f>
        <v/>
      </c>
      <c r="AW330" s="108"/>
      <c r="AX330" s="11"/>
      <c r="AY330" s="11"/>
      <c r="AZ330" s="11"/>
      <c r="BA330" s="13"/>
      <c r="BB330" s="13"/>
      <c r="BC330" s="63"/>
      <c r="BD330" s="19"/>
      <c r="BE330" s="121" t="str">
        <f t="shared" si="279"/>
        <v/>
      </c>
      <c r="BF330" s="20"/>
      <c r="BG330" s="20"/>
      <c r="BH330" s="20"/>
      <c r="BI330" s="20"/>
      <c r="BJ330" s="125" t="str">
        <f t="shared" si="280"/>
        <v/>
      </c>
      <c r="BK330" s="14"/>
      <c r="BL330" s="125" t="str">
        <f t="shared" si="281"/>
        <v/>
      </c>
      <c r="BM330" s="20"/>
      <c r="BN330" s="20"/>
      <c r="BO330" s="125" t="str">
        <f t="shared" si="282"/>
        <v/>
      </c>
      <c r="BP330" s="14"/>
      <c r="BQ330" s="125" t="str">
        <f t="shared" si="283"/>
        <v/>
      </c>
      <c r="BR330" s="20"/>
      <c r="BS330" s="20"/>
      <c r="BT330" s="125" t="str">
        <f t="shared" si="284"/>
        <v/>
      </c>
      <c r="BU330" s="125" t="str">
        <f t="shared" si="285"/>
        <v/>
      </c>
      <c r="BV330" s="125" t="str">
        <f t="shared" si="286"/>
        <v/>
      </c>
      <c r="BW330" s="129" t="str">
        <f t="shared" si="287"/>
        <v/>
      </c>
      <c r="BX330" s="11"/>
      <c r="BY330" s="15"/>
      <c r="BZ330" s="14"/>
      <c r="CA330" s="117" t="str">
        <f>IF(_xlfn.XLOOKUP(BY330, AutoFill_classes!$A:$A, AutoFill_classes!$B:$B,"")=0,"",_xlfn.XLOOKUP(BY330, AutoFill_classes!$A:$A, AutoFill_classes!$B:$B,""))</f>
        <v/>
      </c>
      <c r="CB330" s="108"/>
      <c r="CC330" s="14"/>
      <c r="CD330" s="14"/>
      <c r="CE330" s="14"/>
      <c r="CF330" s="21"/>
      <c r="CG330" s="22"/>
      <c r="CH330" s="63"/>
      <c r="CI330" s="23"/>
      <c r="CJ330" s="121" t="str">
        <f t="shared" si="288"/>
        <v/>
      </c>
      <c r="CK330" s="20"/>
      <c r="CL330" s="20"/>
      <c r="CM330" s="20"/>
      <c r="CN330" s="20"/>
      <c r="CO330" s="125" t="str">
        <f t="shared" si="289"/>
        <v/>
      </c>
      <c r="CP330" s="14"/>
      <c r="CQ330" s="125" t="str">
        <f t="shared" si="290"/>
        <v/>
      </c>
      <c r="CR330" s="20"/>
      <c r="CS330" s="20"/>
      <c r="CT330" s="125" t="str">
        <f t="shared" si="291"/>
        <v/>
      </c>
      <c r="CU330" s="14"/>
      <c r="CV330" s="125" t="str">
        <f t="shared" si="292"/>
        <v/>
      </c>
      <c r="CW330" s="20"/>
      <c r="CX330" s="20"/>
      <c r="CY330" s="125" t="str">
        <f t="shared" si="293"/>
        <v/>
      </c>
      <c r="CZ330" s="125" t="str">
        <f t="shared" si="294"/>
        <v/>
      </c>
      <c r="DA330" s="125" t="str">
        <f t="shared" si="295"/>
        <v/>
      </c>
      <c r="DB330" s="129" t="str">
        <f t="shared" si="296"/>
        <v/>
      </c>
      <c r="DC330" s="14"/>
      <c r="DD330" s="62"/>
      <c r="DE330" s="105">
        <v>328</v>
      </c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</row>
    <row r="331" spans="1:176" s="1" customFormat="1" ht="13" hidden="1" customHeight="1" outlineLevel="1" x14ac:dyDescent="0.2">
      <c r="A331" s="4"/>
      <c r="B331" s="115" t="str">
        <f>IF(_xlfn.XLOOKUP(A331, AutoFill_names!B:B, AutoFill_names!C:C,"")=0,"",_xlfn.XLOOKUP(A331, AutoFill_names!B:B, AutoFill_names!C:C,""))</f>
        <v/>
      </c>
      <c r="C331" s="115" t="str">
        <f>IF(_xlfn.XLOOKUP(A331, AutoFill_names!B:B, AutoFill_names!D:D,"")=0,"",_xlfn.XLOOKUP(A331, AutoFill_names!B:B, AutoFill_names!D:D,""))</f>
        <v/>
      </c>
      <c r="D331" s="115" t="str">
        <f>IF(_xlfn.XLOOKUP(A331, AutoFill_names!B:B, AutoFill_names!E:E,"")=0,"",_xlfn.XLOOKUP(A331, AutoFill_names!B:B, AutoFill_names!E:E,""))</f>
        <v/>
      </c>
      <c r="E331" s="115" t="str">
        <f>IF(_xlfn.XLOOKUP(A331, AutoFill_names!B:B, AutoFill_names!F:F,"")=0,"",_xlfn.XLOOKUP(A331, AutoFill_names!B:B, AutoFill_names!F:F,""))</f>
        <v/>
      </c>
      <c r="F331" s="92"/>
      <c r="J331" s="115" t="str">
        <f>IF(_xlfn.XLOOKUP(A331, AutoFill_names!B:B, AutoFill_names!K:K,"")=0,"",_xlfn.XLOOKUP(A331, AutoFill_names!B:B, AutoFill_names!K:K,""))</f>
        <v/>
      </c>
      <c r="K331" s="115" t="str">
        <f>IF(_xlfn.XLOOKUP(A331, AutoFill_names!B:B, AutoFill_names!L:L,"")=0,"",_xlfn.XLOOKUP(A331, AutoFill_names!B:B, AutoFill_names!L:L,""))</f>
        <v/>
      </c>
      <c r="L331" s="2"/>
      <c r="M331" s="2"/>
      <c r="N331" s="117" t="str">
        <f>IF(_xlfn.XLOOKUP(L331, AutoFill_classes!A:A, AutoFill_classes!B:B,"")=0,"",_xlfn.XLOOKUP(L331, AutoFill_classes!A:A, AutoFill_classes!B:B,""))</f>
        <v/>
      </c>
      <c r="O331" s="108"/>
      <c r="P331" s="6"/>
      <c r="Q331" s="6"/>
      <c r="R331" s="6"/>
      <c r="S331" s="2"/>
      <c r="T331" s="2"/>
      <c r="U331" s="2"/>
      <c r="X331" s="63"/>
      <c r="Y331" s="19"/>
      <c r="Z331" s="121" t="str">
        <f t="shared" si="270"/>
        <v/>
      </c>
      <c r="AA331" s="20"/>
      <c r="AB331" s="20"/>
      <c r="AC331" s="20"/>
      <c r="AD331" s="20"/>
      <c r="AE331" s="125" t="str">
        <f t="shared" si="271"/>
        <v/>
      </c>
      <c r="AF331" s="14"/>
      <c r="AG331" s="125" t="str">
        <f t="shared" si="272"/>
        <v/>
      </c>
      <c r="AH331" s="20"/>
      <c r="AI331" s="20"/>
      <c r="AJ331" s="125" t="str">
        <f t="shared" si="273"/>
        <v/>
      </c>
      <c r="AK331" s="14"/>
      <c r="AL331" s="125" t="str">
        <f t="shared" si="274"/>
        <v/>
      </c>
      <c r="AM331" s="20"/>
      <c r="AN331" s="20"/>
      <c r="AO331" s="125" t="str">
        <f t="shared" si="275"/>
        <v/>
      </c>
      <c r="AP331" s="125" t="str">
        <f t="shared" si="276"/>
        <v/>
      </c>
      <c r="AQ331" s="125" t="str">
        <f t="shared" si="277"/>
        <v/>
      </c>
      <c r="AR331" s="129" t="str">
        <f t="shared" si="278"/>
        <v/>
      </c>
      <c r="AS331" s="14"/>
      <c r="AT331" s="33"/>
      <c r="AU331" s="33"/>
      <c r="AV331" s="117" t="str">
        <f>IF(_xlfn.XLOOKUP(AT331, AutoFill_classes!$A:$A, AutoFill_classes!$B:$B,"")=0,"",_xlfn.XLOOKUP(AT331, AutoFill_classes!$A:$A, AutoFill_classes!$B:$B,""))</f>
        <v/>
      </c>
      <c r="AW331" s="108"/>
      <c r="AX331" s="11"/>
      <c r="AY331" s="11"/>
      <c r="AZ331" s="11"/>
      <c r="BA331" s="13"/>
      <c r="BB331" s="13"/>
      <c r="BC331" s="63"/>
      <c r="BD331" s="19"/>
      <c r="BE331" s="121" t="str">
        <f t="shared" si="279"/>
        <v/>
      </c>
      <c r="BF331" s="20"/>
      <c r="BG331" s="20"/>
      <c r="BH331" s="20"/>
      <c r="BI331" s="20"/>
      <c r="BJ331" s="125" t="str">
        <f t="shared" si="280"/>
        <v/>
      </c>
      <c r="BK331" s="14"/>
      <c r="BL331" s="125" t="str">
        <f t="shared" si="281"/>
        <v/>
      </c>
      <c r="BM331" s="20"/>
      <c r="BN331" s="20"/>
      <c r="BO331" s="125" t="str">
        <f t="shared" si="282"/>
        <v/>
      </c>
      <c r="BP331" s="14"/>
      <c r="BQ331" s="125" t="str">
        <f t="shared" si="283"/>
        <v/>
      </c>
      <c r="BR331" s="20"/>
      <c r="BS331" s="20"/>
      <c r="BT331" s="125" t="str">
        <f t="shared" si="284"/>
        <v/>
      </c>
      <c r="BU331" s="125" t="str">
        <f t="shared" si="285"/>
        <v/>
      </c>
      <c r="BV331" s="125" t="str">
        <f t="shared" si="286"/>
        <v/>
      </c>
      <c r="BW331" s="129" t="str">
        <f t="shared" si="287"/>
        <v/>
      </c>
      <c r="BX331" s="11"/>
      <c r="BY331" s="15"/>
      <c r="BZ331" s="14"/>
      <c r="CA331" s="117" t="str">
        <f>IF(_xlfn.XLOOKUP(BY331, AutoFill_classes!$A:$A, AutoFill_classes!$B:$B,"")=0,"",_xlfn.XLOOKUP(BY331, AutoFill_classes!$A:$A, AutoFill_classes!$B:$B,""))</f>
        <v/>
      </c>
      <c r="CB331" s="108"/>
      <c r="CC331" s="14"/>
      <c r="CD331" s="14"/>
      <c r="CE331" s="14"/>
      <c r="CF331" s="21"/>
      <c r="CG331" s="22"/>
      <c r="CH331" s="63"/>
      <c r="CI331" s="23"/>
      <c r="CJ331" s="121" t="str">
        <f t="shared" si="288"/>
        <v/>
      </c>
      <c r="CK331" s="20"/>
      <c r="CL331" s="20"/>
      <c r="CM331" s="20"/>
      <c r="CN331" s="20"/>
      <c r="CO331" s="125" t="str">
        <f t="shared" si="289"/>
        <v/>
      </c>
      <c r="CP331" s="14"/>
      <c r="CQ331" s="125" t="str">
        <f t="shared" si="290"/>
        <v/>
      </c>
      <c r="CR331" s="20"/>
      <c r="CS331" s="20"/>
      <c r="CT331" s="125" t="str">
        <f t="shared" si="291"/>
        <v/>
      </c>
      <c r="CU331" s="14"/>
      <c r="CV331" s="125" t="str">
        <f t="shared" si="292"/>
        <v/>
      </c>
      <c r="CW331" s="20"/>
      <c r="CX331" s="20"/>
      <c r="CY331" s="125" t="str">
        <f t="shared" si="293"/>
        <v/>
      </c>
      <c r="CZ331" s="125" t="str">
        <f t="shared" si="294"/>
        <v/>
      </c>
      <c r="DA331" s="125" t="str">
        <f t="shared" si="295"/>
        <v/>
      </c>
      <c r="DB331" s="129" t="str">
        <f t="shared" si="296"/>
        <v/>
      </c>
      <c r="DC331" s="14"/>
      <c r="DD331" s="62"/>
      <c r="DE331" s="105">
        <v>329</v>
      </c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</row>
    <row r="332" spans="1:176" s="116" customFormat="1" ht="34" customHeight="1" collapsed="1" x14ac:dyDescent="0.2">
      <c r="A332" s="66" t="s">
        <v>68</v>
      </c>
      <c r="B332" s="112" t="str">
        <f>"Total Credits: " &amp; IFERROR(IF(DD332=0,"",DD332),"")</f>
        <v xml:space="preserve">Total Credits: </v>
      </c>
      <c r="F332" s="138"/>
      <c r="P332" s="139"/>
      <c r="Q332" s="139"/>
      <c r="R332" s="139"/>
      <c r="V332" s="136"/>
      <c r="W332" s="136"/>
      <c r="X332" s="140" t="str">
        <f>IF(SUM(X333:X361)=0, "", SUM(X333:X361))</f>
        <v/>
      </c>
      <c r="Y332" s="123"/>
      <c r="Z332" s="123"/>
      <c r="AA332" s="141"/>
      <c r="AB332" s="141"/>
      <c r="AC332" s="141"/>
      <c r="AD332" s="141"/>
      <c r="AE332" s="124"/>
      <c r="AF332" s="124"/>
      <c r="AG332" s="124"/>
      <c r="AH332" s="141"/>
      <c r="AI332" s="141"/>
      <c r="AJ332" s="124"/>
      <c r="AK332" s="124"/>
      <c r="AL332" s="124"/>
      <c r="AM332" s="141"/>
      <c r="AN332" s="141"/>
      <c r="AO332" s="127"/>
      <c r="AP332" s="127"/>
      <c r="AQ332" s="127"/>
      <c r="AR332" s="127"/>
      <c r="AS332" s="127"/>
      <c r="AT332" s="134"/>
      <c r="AU332" s="134"/>
      <c r="AX332" s="134"/>
      <c r="AY332" s="134"/>
      <c r="AZ332" s="134"/>
      <c r="BA332" s="144"/>
      <c r="BB332" s="144"/>
      <c r="BC332" s="140" t="str">
        <f>IF(SUM(BC333:BC361)=0, "", SUM(BC333:BC361))</f>
        <v/>
      </c>
      <c r="BD332" s="123"/>
      <c r="BE332" s="123"/>
      <c r="BF332" s="146"/>
      <c r="BG332" s="146"/>
      <c r="BH332" s="146"/>
      <c r="BI332" s="146"/>
      <c r="BJ332" s="134"/>
      <c r="BK332" s="134"/>
      <c r="BL332" s="134"/>
      <c r="BM332" s="146"/>
      <c r="BN332" s="146"/>
      <c r="BO332" s="134"/>
      <c r="BP332" s="134"/>
      <c r="BQ332" s="134"/>
      <c r="BR332" s="146"/>
      <c r="BS332" s="146"/>
      <c r="BT332" s="134"/>
      <c r="BU332" s="134"/>
      <c r="BV332" s="134"/>
      <c r="BW332" s="127"/>
      <c r="BX332" s="134"/>
      <c r="BY332" s="145"/>
      <c r="BZ332" s="145"/>
      <c r="CC332" s="145"/>
      <c r="CD332" s="145"/>
      <c r="CE332" s="145"/>
      <c r="CF332" s="136"/>
      <c r="CG332" s="120"/>
      <c r="CH332" s="140" t="str">
        <f>IF(SUM(CH333:CH361)=0, "", SUM(CH333:CH361))</f>
        <v/>
      </c>
      <c r="CI332" s="123"/>
      <c r="CJ332" s="123"/>
      <c r="CK332" s="146"/>
      <c r="CL332" s="146"/>
      <c r="CM332" s="146"/>
      <c r="CN332" s="146"/>
      <c r="CP332" s="134"/>
      <c r="CR332" s="146"/>
      <c r="CS332" s="146"/>
      <c r="CU332" s="134"/>
      <c r="CW332" s="146"/>
      <c r="CX332" s="146"/>
      <c r="DB332" s="127"/>
      <c r="DC332" s="134"/>
      <c r="DD332" s="140" t="str">
        <f>IF(SUM(L332:DC332)=0, "", SUM(L332:DC332))</f>
        <v/>
      </c>
      <c r="DE332" s="105">
        <v>330</v>
      </c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</row>
    <row r="333" spans="1:176" s="1" customFormat="1" ht="13" hidden="1" customHeight="1" outlineLevel="1" x14ac:dyDescent="0.2">
      <c r="A333" s="4"/>
      <c r="B333" s="115" t="str">
        <f>IF(_xlfn.XLOOKUP(A333, AutoFill_names!B:B, AutoFill_names!C:C,"")=0,"",_xlfn.XLOOKUP(A333, AutoFill_names!B:B, AutoFill_names!C:C,""))</f>
        <v/>
      </c>
      <c r="C333" s="115" t="str">
        <f>IF(_xlfn.XLOOKUP(A333, AutoFill_names!B:B, AutoFill_names!D:D,"")=0,"",_xlfn.XLOOKUP(A333, AutoFill_names!B:B, AutoFill_names!D:D,""))</f>
        <v/>
      </c>
      <c r="D333" s="115" t="str">
        <f>IF(_xlfn.XLOOKUP(A333, AutoFill_names!B:B, AutoFill_names!E:E,"")=0,"",_xlfn.XLOOKUP(A333, AutoFill_names!B:B, AutoFill_names!E:E,""))</f>
        <v/>
      </c>
      <c r="E333" s="115" t="str">
        <f>IF(_xlfn.XLOOKUP(A333, AutoFill_names!B:B, AutoFill_names!F:F,"")=0,"",_xlfn.XLOOKUP(A333, AutoFill_names!B:B, AutoFill_names!F:F,""))</f>
        <v/>
      </c>
      <c r="F333" s="92"/>
      <c r="J333" s="115" t="str">
        <f>IF(_xlfn.XLOOKUP(A333, AutoFill_names!B:B, AutoFill_names!K:K,"")=0,"",_xlfn.XLOOKUP(A333, AutoFill_names!B:B, AutoFill_names!K:K,""))</f>
        <v/>
      </c>
      <c r="K333" s="115" t="str">
        <f>IF(_xlfn.XLOOKUP(A333, AutoFill_names!B:B, AutoFill_names!L:L,"")=0,"",_xlfn.XLOOKUP(A333, AutoFill_names!B:B, AutoFill_names!L:L,""))</f>
        <v/>
      </c>
      <c r="L333" s="2"/>
      <c r="M333" s="2"/>
      <c r="N333" s="117" t="str">
        <f>IF(_xlfn.XLOOKUP(L333, AutoFill_classes!A:A, AutoFill_classes!B:B,"")=0,"",_xlfn.XLOOKUP(L333, AutoFill_classes!A:A, AutoFill_classes!B:B,""))</f>
        <v/>
      </c>
      <c r="O333" s="108"/>
      <c r="P333" s="7"/>
      <c r="Q333" s="7"/>
      <c r="R333" s="7"/>
      <c r="S333" s="2"/>
      <c r="T333" s="2"/>
      <c r="U333" s="2"/>
      <c r="X333" s="63"/>
      <c r="Y333" s="19"/>
      <c r="Z333" s="121" t="str">
        <f t="shared" ref="Z333:Z361" si="297">IF(X333*Y333=0,"",X333*Y333)</f>
        <v/>
      </c>
      <c r="AA333" s="20"/>
      <c r="AB333" s="20"/>
      <c r="AC333" s="20"/>
      <c r="AD333" s="20"/>
      <c r="AE333" s="125" t="str">
        <f t="shared" ref="AE333:AE361" si="298">IF(ROUNDUP((AD333-AC333)/7,0)=0,"",ROUNDUP((AD333-AC333)/7,0))</f>
        <v/>
      </c>
      <c r="AF333" s="14"/>
      <c r="AG333" s="125" t="str">
        <f t="shared" ref="AG333:AG361" si="299">IFERROR(IF(AE333*AF333=0,"",AE333*AF333), "")</f>
        <v/>
      </c>
      <c r="AH333" s="20"/>
      <c r="AI333" s="20"/>
      <c r="AJ333" s="125" t="str">
        <f t="shared" ref="AJ333:AJ361" si="300">IF(ROUNDUP((AI333-AH333)/7,0)=0,"",ROUNDUP((AI333-AH333)/7,0))</f>
        <v/>
      </c>
      <c r="AK333" s="14"/>
      <c r="AL333" s="125" t="str">
        <f t="shared" ref="AL333:AL361" si="301">IFERROR(IF(AJ333*AK333=0,"",AJ333*AK333), "")</f>
        <v/>
      </c>
      <c r="AM333" s="20"/>
      <c r="AN333" s="20"/>
      <c r="AO333" s="125" t="str">
        <f t="shared" ref="AO333:AO361" si="302">IF(ROUNDUP((AN333-AM333)/7,0)=0,"",ROUNDUP((AN333-AM333)/7,0))</f>
        <v/>
      </c>
      <c r="AP333" s="125" t="str">
        <f t="shared" ref="AP333:AP361" si="303">IFERROR(IF((AS333-(AF333+AK333))/AO333=0,"",ROUNDUP((AS333-(AF333+AK333))/AO333,0)), "")</f>
        <v/>
      </c>
      <c r="AQ333" s="125" t="str">
        <f t="shared" ref="AQ333:AQ361" si="304">IFERROR(IF((AS333-(AG333+AL333))=0, "", (AS333-(AG333+AL333))), "")</f>
        <v/>
      </c>
      <c r="AR333" s="129" t="str">
        <f t="shared" ref="AR333:AR361" si="305">IFERROR(IF((AE333+AJ333+AO333)=0, "", (AE333+AJ333+AO333)), "")</f>
        <v/>
      </c>
      <c r="AS333" s="14"/>
      <c r="AT333" s="32"/>
      <c r="AU333" s="32"/>
      <c r="AV333" s="117" t="str">
        <f>IF(_xlfn.XLOOKUP(AT333, AutoFill_classes!$A:$A, AutoFill_classes!$B:$B,"")=0,"",_xlfn.XLOOKUP(AT333, AutoFill_classes!$A:$A, AutoFill_classes!$B:$B,""))</f>
        <v/>
      </c>
      <c r="AW333" s="108"/>
      <c r="AX333" s="13"/>
      <c r="AY333" s="13"/>
      <c r="AZ333" s="13"/>
      <c r="BA333" s="13"/>
      <c r="BB333" s="13"/>
      <c r="BC333" s="63"/>
      <c r="BD333" s="18"/>
      <c r="BE333" s="121" t="str">
        <f t="shared" ref="BE333:BE361" si="306">IF(BC333*BD333=0,"",BC333*BD333)</f>
        <v/>
      </c>
      <c r="BF333" s="20"/>
      <c r="BG333" s="20"/>
      <c r="BH333" s="20"/>
      <c r="BI333" s="20"/>
      <c r="BJ333" s="125" t="str">
        <f t="shared" ref="BJ333:BJ361" si="307">IF(ROUNDUP((BI333-BH333)/7,0)=0,"",ROUNDUP((BI333-BH333)/7,0))</f>
        <v/>
      </c>
      <c r="BK333" s="14"/>
      <c r="BL333" s="125" t="str">
        <f t="shared" ref="BL333:BL361" si="308">IFERROR(IF(BJ333*BK333=0,"",BJ333*BK333), "")</f>
        <v/>
      </c>
      <c r="BM333" s="20"/>
      <c r="BN333" s="20"/>
      <c r="BO333" s="125" t="str">
        <f t="shared" ref="BO333:BO361" si="309">IF(ROUNDUP((BN333-BM333)/7,0)=0,"",ROUNDUP((BN333-BM333)/7,0))</f>
        <v/>
      </c>
      <c r="BP333" s="14"/>
      <c r="BQ333" s="125" t="str">
        <f t="shared" ref="BQ333:BQ361" si="310">IFERROR(IF(BO333*BP333=0,"",BO333*BP333), "")</f>
        <v/>
      </c>
      <c r="BR333" s="20"/>
      <c r="BS333" s="20"/>
      <c r="BT333" s="125" t="str">
        <f t="shared" ref="BT333:BT361" si="311">IF(ROUNDUP((BS333-BR333)/7,0)=0,"",ROUNDUP((BS333-BR333)/7,0))</f>
        <v/>
      </c>
      <c r="BU333" s="125" t="str">
        <f t="shared" ref="BU333:BU361" si="312">IFERROR(IF((BX333-(BK333+BP333))/BT333=0,"",ROUNDUP((BX333-(BK333+BP333))/BT333,0)), "")</f>
        <v/>
      </c>
      <c r="BV333" s="125" t="str">
        <f t="shared" ref="BV333:BV361" si="313">IFERROR(IF((BX333-(BL333+BQ333))=0, "", (BX333-(BL333+BQ333))), "")</f>
        <v/>
      </c>
      <c r="BW333" s="129" t="str">
        <f t="shared" ref="BW333:BW361" si="314">IFERROR(IF((BJ333+BO333+BT333)=0, "", (BJ333+BO333+BT333)), "")</f>
        <v/>
      </c>
      <c r="BX333" s="13"/>
      <c r="BY333" s="15"/>
      <c r="BZ333" s="14"/>
      <c r="CA333" s="117" t="str">
        <f>IF(_xlfn.XLOOKUP(BY333, AutoFill_classes!$A:$A, AutoFill_classes!$B:$B,"")=0,"",_xlfn.XLOOKUP(BY333, AutoFill_classes!$A:$A, AutoFill_classes!$B:$B,""))</f>
        <v/>
      </c>
      <c r="CB333" s="108"/>
      <c r="CC333" s="14"/>
      <c r="CD333" s="14"/>
      <c r="CE333" s="14"/>
      <c r="CF333" s="21"/>
      <c r="CG333" s="22"/>
      <c r="CH333" s="63"/>
      <c r="CI333" s="23"/>
      <c r="CJ333" s="121" t="str">
        <f t="shared" ref="CJ333:CJ361" si="315">IF(CH333*CI333=0,"",CH333*CI333)</f>
        <v/>
      </c>
      <c r="CK333" s="20"/>
      <c r="CL333" s="20"/>
      <c r="CM333" s="20"/>
      <c r="CN333" s="20"/>
      <c r="CO333" s="125" t="str">
        <f t="shared" ref="CO333:CO361" si="316">IF(ROUNDUP((CN333-CM333)/7,0)=0,"",ROUNDUP((CN333-CM333)/7,0))</f>
        <v/>
      </c>
      <c r="CP333" s="14"/>
      <c r="CQ333" s="125" t="str">
        <f t="shared" ref="CQ333:CQ361" si="317">IFERROR(IF(CO333*CP333=0,"",CO333*CP333), "")</f>
        <v/>
      </c>
      <c r="CR333" s="20"/>
      <c r="CS333" s="20"/>
      <c r="CT333" s="125" t="str">
        <f t="shared" ref="CT333:CT361" si="318">IF(ROUNDUP((CS333-CR333)/7,0)=0,"",ROUNDUP((CS333-CR333)/7,0))</f>
        <v/>
      </c>
      <c r="CU333" s="14"/>
      <c r="CV333" s="125" t="str">
        <f t="shared" ref="CV333:CV361" si="319">IFERROR(IF(CT333*CU333=0,"",CT333*CU333), "")</f>
        <v/>
      </c>
      <c r="CW333" s="20"/>
      <c r="CX333" s="20"/>
      <c r="CY333" s="125" t="str">
        <f t="shared" ref="CY333:CY361" si="320">IF(ROUNDUP((CX333-CW333)/7,0)=0,"",ROUNDUP((CX333-CW333)/7,0))</f>
        <v/>
      </c>
      <c r="CZ333" s="125" t="str">
        <f t="shared" ref="CZ333:CZ361" si="321">IFERROR(IF((DC333-(CP333+CU333))/CY333=0,"",ROUNDUP((DC333-(CP333+CU333))/CY333,0)), "")</f>
        <v/>
      </c>
      <c r="DA333" s="125" t="str">
        <f t="shared" ref="DA333:DA361" si="322">IFERROR(IF((DC333-(CQ333+CV333))=0, "", (DC333-(CQ333+CV333))), "")</f>
        <v/>
      </c>
      <c r="DB333" s="129" t="str">
        <f t="shared" ref="DB333:DB361" si="323">IFERROR(IF((CO333+CT333+CY333)=0, "", (CO333+CT333+CY333)), "")</f>
        <v/>
      </c>
      <c r="DC333" s="14"/>
      <c r="DD333" s="62"/>
      <c r="DE333" s="105">
        <v>331</v>
      </c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</row>
    <row r="334" spans="1:176" s="1" customFormat="1" ht="13" hidden="1" customHeight="1" outlineLevel="1" x14ac:dyDescent="0.2">
      <c r="A334" s="4"/>
      <c r="B334" s="115" t="str">
        <f>IF(_xlfn.XLOOKUP(A334, AutoFill_names!B:B, AutoFill_names!C:C,"")=0,"",_xlfn.XLOOKUP(A334, AutoFill_names!B:B, AutoFill_names!C:C,""))</f>
        <v/>
      </c>
      <c r="C334" s="115" t="str">
        <f>IF(_xlfn.XLOOKUP(A334, AutoFill_names!B:B, AutoFill_names!D:D,"")=0,"",_xlfn.XLOOKUP(A334, AutoFill_names!B:B, AutoFill_names!D:D,""))</f>
        <v/>
      </c>
      <c r="D334" s="115" t="str">
        <f>IF(_xlfn.XLOOKUP(A334, AutoFill_names!B:B, AutoFill_names!E:E,"")=0,"",_xlfn.XLOOKUP(A334, AutoFill_names!B:B, AutoFill_names!E:E,""))</f>
        <v/>
      </c>
      <c r="E334" s="115" t="str">
        <f>IF(_xlfn.XLOOKUP(A334, AutoFill_names!B:B, AutoFill_names!F:F,"")=0,"",_xlfn.XLOOKUP(A334, AutoFill_names!B:B, AutoFill_names!F:F,""))</f>
        <v/>
      </c>
      <c r="F334" s="92"/>
      <c r="J334" s="115" t="str">
        <f>IF(_xlfn.XLOOKUP(A334, AutoFill_names!B:B, AutoFill_names!K:K,"")=0,"",_xlfn.XLOOKUP(A334, AutoFill_names!B:B, AutoFill_names!K:K,""))</f>
        <v/>
      </c>
      <c r="K334" s="115" t="str">
        <f>IF(_xlfn.XLOOKUP(A334, AutoFill_names!B:B, AutoFill_names!L:L,"")=0,"",_xlfn.XLOOKUP(A334, AutoFill_names!B:B, AutoFill_names!L:L,""))</f>
        <v/>
      </c>
      <c r="L334" s="2"/>
      <c r="M334" s="2"/>
      <c r="N334" s="117" t="str">
        <f>IF(_xlfn.XLOOKUP(L334, AutoFill_classes!A:A, AutoFill_classes!B:B,"")=0,"",_xlfn.XLOOKUP(L334, AutoFill_classes!A:A, AutoFill_classes!B:B,""))</f>
        <v/>
      </c>
      <c r="O334" s="108"/>
      <c r="P334" s="7"/>
      <c r="Q334" s="7"/>
      <c r="R334" s="7"/>
      <c r="S334" s="2"/>
      <c r="T334" s="2"/>
      <c r="U334" s="2"/>
      <c r="X334" s="63"/>
      <c r="Y334" s="19"/>
      <c r="Z334" s="121" t="str">
        <f t="shared" si="297"/>
        <v/>
      </c>
      <c r="AA334" s="20"/>
      <c r="AB334" s="20"/>
      <c r="AC334" s="20"/>
      <c r="AD334" s="20"/>
      <c r="AE334" s="125" t="str">
        <f t="shared" si="298"/>
        <v/>
      </c>
      <c r="AF334" s="14"/>
      <c r="AG334" s="125" t="str">
        <f t="shared" si="299"/>
        <v/>
      </c>
      <c r="AH334" s="20"/>
      <c r="AI334" s="20"/>
      <c r="AJ334" s="125" t="str">
        <f t="shared" si="300"/>
        <v/>
      </c>
      <c r="AK334" s="14"/>
      <c r="AL334" s="125" t="str">
        <f t="shared" si="301"/>
        <v/>
      </c>
      <c r="AM334" s="20"/>
      <c r="AN334" s="20"/>
      <c r="AO334" s="125" t="str">
        <f t="shared" si="302"/>
        <v/>
      </c>
      <c r="AP334" s="125" t="str">
        <f t="shared" si="303"/>
        <v/>
      </c>
      <c r="AQ334" s="125" t="str">
        <f t="shared" si="304"/>
        <v/>
      </c>
      <c r="AR334" s="129" t="str">
        <f t="shared" si="305"/>
        <v/>
      </c>
      <c r="AS334" s="14"/>
      <c r="AT334" s="32"/>
      <c r="AU334" s="32"/>
      <c r="AV334" s="117" t="str">
        <f>IF(_xlfn.XLOOKUP(AT334, AutoFill_classes!$A:$A, AutoFill_classes!$B:$B,"")=0,"",_xlfn.XLOOKUP(AT334, AutoFill_classes!$A:$A, AutoFill_classes!$B:$B,""))</f>
        <v/>
      </c>
      <c r="AW334" s="108"/>
      <c r="AX334" s="13"/>
      <c r="AY334" s="13"/>
      <c r="AZ334" s="13"/>
      <c r="BA334" s="13"/>
      <c r="BB334" s="13"/>
      <c r="BC334" s="63"/>
      <c r="BD334" s="18"/>
      <c r="BE334" s="121" t="str">
        <f t="shared" si="306"/>
        <v/>
      </c>
      <c r="BF334" s="20"/>
      <c r="BG334" s="20"/>
      <c r="BH334" s="20"/>
      <c r="BI334" s="20"/>
      <c r="BJ334" s="125" t="str">
        <f t="shared" si="307"/>
        <v/>
      </c>
      <c r="BK334" s="14"/>
      <c r="BL334" s="125" t="str">
        <f t="shared" si="308"/>
        <v/>
      </c>
      <c r="BM334" s="20"/>
      <c r="BN334" s="20"/>
      <c r="BO334" s="125" t="str">
        <f t="shared" si="309"/>
        <v/>
      </c>
      <c r="BP334" s="14"/>
      <c r="BQ334" s="125" t="str">
        <f t="shared" si="310"/>
        <v/>
      </c>
      <c r="BR334" s="20"/>
      <c r="BS334" s="20"/>
      <c r="BT334" s="125" t="str">
        <f t="shared" si="311"/>
        <v/>
      </c>
      <c r="BU334" s="125" t="str">
        <f t="shared" si="312"/>
        <v/>
      </c>
      <c r="BV334" s="125" t="str">
        <f t="shared" si="313"/>
        <v/>
      </c>
      <c r="BW334" s="129" t="str">
        <f t="shared" si="314"/>
        <v/>
      </c>
      <c r="BX334" s="13"/>
      <c r="BY334" s="15"/>
      <c r="BZ334" s="14"/>
      <c r="CA334" s="117" t="str">
        <f>IF(_xlfn.XLOOKUP(BY334, AutoFill_classes!$A:$A, AutoFill_classes!$B:$B,"")=0,"",_xlfn.XLOOKUP(BY334, AutoFill_classes!$A:$A, AutoFill_classes!$B:$B,""))</f>
        <v/>
      </c>
      <c r="CB334" s="108"/>
      <c r="CC334" s="14"/>
      <c r="CD334" s="14"/>
      <c r="CE334" s="14"/>
      <c r="CF334" s="21"/>
      <c r="CG334" s="22"/>
      <c r="CH334" s="63"/>
      <c r="CI334" s="23"/>
      <c r="CJ334" s="121" t="str">
        <f t="shared" si="315"/>
        <v/>
      </c>
      <c r="CK334" s="20"/>
      <c r="CL334" s="20"/>
      <c r="CM334" s="20"/>
      <c r="CN334" s="20"/>
      <c r="CO334" s="125" t="str">
        <f t="shared" si="316"/>
        <v/>
      </c>
      <c r="CP334" s="14"/>
      <c r="CQ334" s="125" t="str">
        <f t="shared" si="317"/>
        <v/>
      </c>
      <c r="CR334" s="20"/>
      <c r="CS334" s="20"/>
      <c r="CT334" s="125" t="str">
        <f t="shared" si="318"/>
        <v/>
      </c>
      <c r="CU334" s="14"/>
      <c r="CV334" s="125" t="str">
        <f t="shared" si="319"/>
        <v/>
      </c>
      <c r="CW334" s="20"/>
      <c r="CX334" s="20"/>
      <c r="CY334" s="125" t="str">
        <f t="shared" si="320"/>
        <v/>
      </c>
      <c r="CZ334" s="125" t="str">
        <f t="shared" si="321"/>
        <v/>
      </c>
      <c r="DA334" s="125" t="str">
        <f t="shared" si="322"/>
        <v/>
      </c>
      <c r="DB334" s="129" t="str">
        <f t="shared" si="323"/>
        <v/>
      </c>
      <c r="DC334" s="14"/>
      <c r="DD334" s="62"/>
      <c r="DE334" s="105">
        <v>332</v>
      </c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</row>
    <row r="335" spans="1:176" s="1" customFormat="1" ht="13" hidden="1" customHeight="1" outlineLevel="1" x14ac:dyDescent="0.2">
      <c r="A335" s="4"/>
      <c r="B335" s="115" t="str">
        <f>IF(_xlfn.XLOOKUP(A335, AutoFill_names!B:B, AutoFill_names!C:C,"")=0,"",_xlfn.XLOOKUP(A335, AutoFill_names!B:B, AutoFill_names!C:C,""))</f>
        <v/>
      </c>
      <c r="C335" s="115" t="str">
        <f>IF(_xlfn.XLOOKUP(A335, AutoFill_names!B:B, AutoFill_names!D:D,"")=0,"",_xlfn.XLOOKUP(A335, AutoFill_names!B:B, AutoFill_names!D:D,""))</f>
        <v/>
      </c>
      <c r="D335" s="115" t="str">
        <f>IF(_xlfn.XLOOKUP(A335, AutoFill_names!B:B, AutoFill_names!E:E,"")=0,"",_xlfn.XLOOKUP(A335, AutoFill_names!B:B, AutoFill_names!E:E,""))</f>
        <v/>
      </c>
      <c r="E335" s="115" t="str">
        <f>IF(_xlfn.XLOOKUP(A335, AutoFill_names!B:B, AutoFill_names!F:F,"")=0,"",_xlfn.XLOOKUP(A335, AutoFill_names!B:B, AutoFill_names!F:F,""))</f>
        <v/>
      </c>
      <c r="F335" s="92"/>
      <c r="J335" s="115" t="str">
        <f>IF(_xlfn.XLOOKUP(A335, AutoFill_names!B:B, AutoFill_names!K:K,"")=0,"",_xlfn.XLOOKUP(A335, AutoFill_names!B:B, AutoFill_names!K:K,""))</f>
        <v/>
      </c>
      <c r="K335" s="115" t="str">
        <f>IF(_xlfn.XLOOKUP(A335, AutoFill_names!B:B, AutoFill_names!L:L,"")=0,"",_xlfn.XLOOKUP(A335, AutoFill_names!B:B, AutoFill_names!L:L,""))</f>
        <v/>
      </c>
      <c r="L335" s="2"/>
      <c r="M335" s="2"/>
      <c r="N335" s="117" t="str">
        <f>IF(_xlfn.XLOOKUP(L335, AutoFill_classes!A:A, AutoFill_classes!B:B,"")=0,"",_xlfn.XLOOKUP(L335, AutoFill_classes!A:A, AutoFill_classes!B:B,""))</f>
        <v/>
      </c>
      <c r="O335" s="108"/>
      <c r="P335" s="7"/>
      <c r="Q335" s="7"/>
      <c r="R335" s="7"/>
      <c r="S335" s="2"/>
      <c r="T335" s="2"/>
      <c r="U335" s="2"/>
      <c r="X335" s="63"/>
      <c r="Y335" s="19"/>
      <c r="Z335" s="121" t="str">
        <f t="shared" si="297"/>
        <v/>
      </c>
      <c r="AA335" s="20"/>
      <c r="AB335" s="20"/>
      <c r="AC335" s="20"/>
      <c r="AD335" s="20"/>
      <c r="AE335" s="125" t="str">
        <f t="shared" si="298"/>
        <v/>
      </c>
      <c r="AF335" s="14"/>
      <c r="AG335" s="125" t="str">
        <f t="shared" si="299"/>
        <v/>
      </c>
      <c r="AH335" s="20"/>
      <c r="AI335" s="20"/>
      <c r="AJ335" s="125" t="str">
        <f t="shared" si="300"/>
        <v/>
      </c>
      <c r="AK335" s="14"/>
      <c r="AL335" s="125" t="str">
        <f t="shared" si="301"/>
        <v/>
      </c>
      <c r="AM335" s="20"/>
      <c r="AN335" s="20"/>
      <c r="AO335" s="125" t="str">
        <f t="shared" si="302"/>
        <v/>
      </c>
      <c r="AP335" s="125" t="str">
        <f t="shared" si="303"/>
        <v/>
      </c>
      <c r="AQ335" s="125" t="str">
        <f t="shared" si="304"/>
        <v/>
      </c>
      <c r="AR335" s="129" t="str">
        <f t="shared" si="305"/>
        <v/>
      </c>
      <c r="AS335" s="14"/>
      <c r="AT335" s="32"/>
      <c r="AU335" s="32"/>
      <c r="AV335" s="117" t="str">
        <f>IF(_xlfn.XLOOKUP(AT335, AutoFill_classes!$A:$A, AutoFill_classes!$B:$B,"")=0,"",_xlfn.XLOOKUP(AT335, AutoFill_classes!$A:$A, AutoFill_classes!$B:$B,""))</f>
        <v/>
      </c>
      <c r="AW335" s="108"/>
      <c r="AX335" s="13"/>
      <c r="AY335" s="13"/>
      <c r="AZ335" s="13"/>
      <c r="BA335" s="13"/>
      <c r="BB335" s="13"/>
      <c r="BC335" s="63"/>
      <c r="BD335" s="18"/>
      <c r="BE335" s="121" t="str">
        <f t="shared" si="306"/>
        <v/>
      </c>
      <c r="BF335" s="20"/>
      <c r="BG335" s="20"/>
      <c r="BH335" s="20"/>
      <c r="BI335" s="20"/>
      <c r="BJ335" s="125" t="str">
        <f t="shared" si="307"/>
        <v/>
      </c>
      <c r="BK335" s="14"/>
      <c r="BL335" s="125" t="str">
        <f t="shared" si="308"/>
        <v/>
      </c>
      <c r="BM335" s="20"/>
      <c r="BN335" s="20"/>
      <c r="BO335" s="125" t="str">
        <f t="shared" si="309"/>
        <v/>
      </c>
      <c r="BP335" s="14"/>
      <c r="BQ335" s="125" t="str">
        <f t="shared" si="310"/>
        <v/>
      </c>
      <c r="BR335" s="20"/>
      <c r="BS335" s="20"/>
      <c r="BT335" s="125" t="str">
        <f t="shared" si="311"/>
        <v/>
      </c>
      <c r="BU335" s="125" t="str">
        <f t="shared" si="312"/>
        <v/>
      </c>
      <c r="BV335" s="125" t="str">
        <f t="shared" si="313"/>
        <v/>
      </c>
      <c r="BW335" s="129" t="str">
        <f t="shared" si="314"/>
        <v/>
      </c>
      <c r="BX335" s="13"/>
      <c r="BY335" s="15"/>
      <c r="BZ335" s="14"/>
      <c r="CA335" s="117" t="str">
        <f>IF(_xlfn.XLOOKUP(BY335, AutoFill_classes!$A:$A, AutoFill_classes!$B:$B,"")=0,"",_xlfn.XLOOKUP(BY335, AutoFill_classes!$A:$A, AutoFill_classes!$B:$B,""))</f>
        <v/>
      </c>
      <c r="CB335" s="108"/>
      <c r="CC335" s="14"/>
      <c r="CD335" s="14"/>
      <c r="CE335" s="14"/>
      <c r="CF335" s="21"/>
      <c r="CG335" s="22"/>
      <c r="CH335" s="63"/>
      <c r="CI335" s="23"/>
      <c r="CJ335" s="121" t="str">
        <f t="shared" si="315"/>
        <v/>
      </c>
      <c r="CK335" s="20"/>
      <c r="CL335" s="20"/>
      <c r="CM335" s="20"/>
      <c r="CN335" s="20"/>
      <c r="CO335" s="125" t="str">
        <f t="shared" si="316"/>
        <v/>
      </c>
      <c r="CP335" s="14"/>
      <c r="CQ335" s="125" t="str">
        <f t="shared" si="317"/>
        <v/>
      </c>
      <c r="CR335" s="20"/>
      <c r="CS335" s="20"/>
      <c r="CT335" s="125" t="str">
        <f t="shared" si="318"/>
        <v/>
      </c>
      <c r="CU335" s="14"/>
      <c r="CV335" s="125" t="str">
        <f t="shared" si="319"/>
        <v/>
      </c>
      <c r="CW335" s="20"/>
      <c r="CX335" s="20"/>
      <c r="CY335" s="125" t="str">
        <f t="shared" si="320"/>
        <v/>
      </c>
      <c r="CZ335" s="125" t="str">
        <f t="shared" si="321"/>
        <v/>
      </c>
      <c r="DA335" s="125" t="str">
        <f t="shared" si="322"/>
        <v/>
      </c>
      <c r="DB335" s="129" t="str">
        <f t="shared" si="323"/>
        <v/>
      </c>
      <c r="DC335" s="14"/>
      <c r="DD335" s="62"/>
      <c r="DE335" s="105">
        <v>333</v>
      </c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</row>
    <row r="336" spans="1:176" s="1" customFormat="1" ht="13" hidden="1" customHeight="1" outlineLevel="1" x14ac:dyDescent="0.2">
      <c r="A336" s="4"/>
      <c r="B336" s="115" t="str">
        <f>IF(_xlfn.XLOOKUP(A336, AutoFill_names!B:B, AutoFill_names!C:C,"")=0,"",_xlfn.XLOOKUP(A336, AutoFill_names!B:B, AutoFill_names!C:C,""))</f>
        <v/>
      </c>
      <c r="C336" s="115" t="str">
        <f>IF(_xlfn.XLOOKUP(A336, AutoFill_names!B:B, AutoFill_names!D:D,"")=0,"",_xlfn.XLOOKUP(A336, AutoFill_names!B:B, AutoFill_names!D:D,""))</f>
        <v/>
      </c>
      <c r="D336" s="115" t="str">
        <f>IF(_xlfn.XLOOKUP(A336, AutoFill_names!B:B, AutoFill_names!E:E,"")=0,"",_xlfn.XLOOKUP(A336, AutoFill_names!B:B, AutoFill_names!E:E,""))</f>
        <v/>
      </c>
      <c r="E336" s="115" t="str">
        <f>IF(_xlfn.XLOOKUP(A336, AutoFill_names!B:B, AutoFill_names!F:F,"")=0,"",_xlfn.XLOOKUP(A336, AutoFill_names!B:B, AutoFill_names!F:F,""))</f>
        <v/>
      </c>
      <c r="F336" s="92"/>
      <c r="J336" s="115" t="str">
        <f>IF(_xlfn.XLOOKUP(A336, AutoFill_names!B:B, AutoFill_names!K:K,"")=0,"",_xlfn.XLOOKUP(A336, AutoFill_names!B:B, AutoFill_names!K:K,""))</f>
        <v/>
      </c>
      <c r="K336" s="115" t="str">
        <f>IF(_xlfn.XLOOKUP(A336, AutoFill_names!B:B, AutoFill_names!L:L,"")=0,"",_xlfn.XLOOKUP(A336, AutoFill_names!B:B, AutoFill_names!L:L,""))</f>
        <v/>
      </c>
      <c r="L336" s="2"/>
      <c r="M336" s="2"/>
      <c r="N336" s="117" t="str">
        <f>IF(_xlfn.XLOOKUP(L336, AutoFill_classes!A:A, AutoFill_classes!B:B,"")=0,"",_xlfn.XLOOKUP(L336, AutoFill_classes!A:A, AutoFill_classes!B:B,""))</f>
        <v/>
      </c>
      <c r="O336" s="108"/>
      <c r="P336" s="7"/>
      <c r="Q336" s="7"/>
      <c r="R336" s="7"/>
      <c r="S336" s="2"/>
      <c r="T336" s="2"/>
      <c r="U336" s="2"/>
      <c r="X336" s="63"/>
      <c r="Y336" s="19"/>
      <c r="Z336" s="121" t="str">
        <f t="shared" si="297"/>
        <v/>
      </c>
      <c r="AA336" s="20"/>
      <c r="AB336" s="20"/>
      <c r="AC336" s="20"/>
      <c r="AD336" s="20"/>
      <c r="AE336" s="125" t="str">
        <f t="shared" si="298"/>
        <v/>
      </c>
      <c r="AF336" s="14"/>
      <c r="AG336" s="125" t="str">
        <f t="shared" si="299"/>
        <v/>
      </c>
      <c r="AH336" s="20"/>
      <c r="AI336" s="20"/>
      <c r="AJ336" s="125" t="str">
        <f t="shared" si="300"/>
        <v/>
      </c>
      <c r="AK336" s="14"/>
      <c r="AL336" s="125" t="str">
        <f t="shared" si="301"/>
        <v/>
      </c>
      <c r="AM336" s="20"/>
      <c r="AN336" s="20"/>
      <c r="AO336" s="125" t="str">
        <f t="shared" si="302"/>
        <v/>
      </c>
      <c r="AP336" s="125" t="str">
        <f t="shared" si="303"/>
        <v/>
      </c>
      <c r="AQ336" s="125" t="str">
        <f t="shared" si="304"/>
        <v/>
      </c>
      <c r="AR336" s="129" t="str">
        <f t="shared" si="305"/>
        <v/>
      </c>
      <c r="AS336" s="14"/>
      <c r="AT336" s="32"/>
      <c r="AU336" s="32"/>
      <c r="AV336" s="117" t="str">
        <f>IF(_xlfn.XLOOKUP(AT336, AutoFill_classes!$A:$A, AutoFill_classes!$B:$B,"")=0,"",_xlfn.XLOOKUP(AT336, AutoFill_classes!$A:$A, AutoFill_classes!$B:$B,""))</f>
        <v/>
      </c>
      <c r="AW336" s="108"/>
      <c r="AX336" s="13"/>
      <c r="AY336" s="13"/>
      <c r="AZ336" s="13"/>
      <c r="BA336" s="13"/>
      <c r="BB336" s="13"/>
      <c r="BC336" s="63"/>
      <c r="BD336" s="18"/>
      <c r="BE336" s="121" t="str">
        <f t="shared" si="306"/>
        <v/>
      </c>
      <c r="BF336" s="20"/>
      <c r="BG336" s="20"/>
      <c r="BH336" s="20"/>
      <c r="BI336" s="20"/>
      <c r="BJ336" s="125" t="str">
        <f t="shared" si="307"/>
        <v/>
      </c>
      <c r="BK336" s="14"/>
      <c r="BL336" s="125" t="str">
        <f t="shared" si="308"/>
        <v/>
      </c>
      <c r="BM336" s="20"/>
      <c r="BN336" s="20"/>
      <c r="BO336" s="125" t="str">
        <f t="shared" si="309"/>
        <v/>
      </c>
      <c r="BP336" s="14"/>
      <c r="BQ336" s="125" t="str">
        <f t="shared" si="310"/>
        <v/>
      </c>
      <c r="BR336" s="20"/>
      <c r="BS336" s="20"/>
      <c r="BT336" s="125" t="str">
        <f t="shared" si="311"/>
        <v/>
      </c>
      <c r="BU336" s="125" t="str">
        <f t="shared" si="312"/>
        <v/>
      </c>
      <c r="BV336" s="125" t="str">
        <f t="shared" si="313"/>
        <v/>
      </c>
      <c r="BW336" s="129" t="str">
        <f t="shared" si="314"/>
        <v/>
      </c>
      <c r="BX336" s="13"/>
      <c r="BY336" s="15"/>
      <c r="BZ336" s="14"/>
      <c r="CA336" s="117" t="str">
        <f>IF(_xlfn.XLOOKUP(BY336, AutoFill_classes!$A:$A, AutoFill_classes!$B:$B,"")=0,"",_xlfn.XLOOKUP(BY336, AutoFill_classes!$A:$A, AutoFill_classes!$B:$B,""))</f>
        <v/>
      </c>
      <c r="CB336" s="108"/>
      <c r="CC336" s="14"/>
      <c r="CD336" s="14"/>
      <c r="CE336" s="14"/>
      <c r="CF336" s="21"/>
      <c r="CG336" s="22"/>
      <c r="CH336" s="63"/>
      <c r="CI336" s="23"/>
      <c r="CJ336" s="121" t="str">
        <f t="shared" si="315"/>
        <v/>
      </c>
      <c r="CK336" s="20"/>
      <c r="CL336" s="20"/>
      <c r="CM336" s="20"/>
      <c r="CN336" s="20"/>
      <c r="CO336" s="125" t="str">
        <f t="shared" si="316"/>
        <v/>
      </c>
      <c r="CP336" s="14"/>
      <c r="CQ336" s="125" t="str">
        <f t="shared" si="317"/>
        <v/>
      </c>
      <c r="CR336" s="20"/>
      <c r="CS336" s="20"/>
      <c r="CT336" s="125" t="str">
        <f t="shared" si="318"/>
        <v/>
      </c>
      <c r="CU336" s="14"/>
      <c r="CV336" s="125" t="str">
        <f t="shared" si="319"/>
        <v/>
      </c>
      <c r="CW336" s="20"/>
      <c r="CX336" s="20"/>
      <c r="CY336" s="125" t="str">
        <f t="shared" si="320"/>
        <v/>
      </c>
      <c r="CZ336" s="125" t="str">
        <f t="shared" si="321"/>
        <v/>
      </c>
      <c r="DA336" s="125" t="str">
        <f t="shared" si="322"/>
        <v/>
      </c>
      <c r="DB336" s="129" t="str">
        <f t="shared" si="323"/>
        <v/>
      </c>
      <c r="DC336" s="14"/>
      <c r="DD336" s="62"/>
      <c r="DE336" s="105">
        <v>334</v>
      </c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</row>
    <row r="337" spans="1:176" s="1" customFormat="1" ht="13" hidden="1" customHeight="1" outlineLevel="1" x14ac:dyDescent="0.2">
      <c r="A337" s="4"/>
      <c r="B337" s="115" t="str">
        <f>IF(_xlfn.XLOOKUP(A337, AutoFill_names!B:B, AutoFill_names!C:C,"")=0,"",_xlfn.XLOOKUP(A337, AutoFill_names!B:B, AutoFill_names!C:C,""))</f>
        <v/>
      </c>
      <c r="C337" s="115" t="str">
        <f>IF(_xlfn.XLOOKUP(A337, AutoFill_names!B:B, AutoFill_names!D:D,"")=0,"",_xlfn.XLOOKUP(A337, AutoFill_names!B:B, AutoFill_names!D:D,""))</f>
        <v/>
      </c>
      <c r="D337" s="115" t="str">
        <f>IF(_xlfn.XLOOKUP(A337, AutoFill_names!B:B, AutoFill_names!E:E,"")=0,"",_xlfn.XLOOKUP(A337, AutoFill_names!B:B, AutoFill_names!E:E,""))</f>
        <v/>
      </c>
      <c r="E337" s="115" t="str">
        <f>IF(_xlfn.XLOOKUP(A337, AutoFill_names!B:B, AutoFill_names!F:F,"")=0,"",_xlfn.XLOOKUP(A337, AutoFill_names!B:B, AutoFill_names!F:F,""))</f>
        <v/>
      </c>
      <c r="F337" s="92"/>
      <c r="J337" s="115" t="str">
        <f>IF(_xlfn.XLOOKUP(A337, AutoFill_names!B:B, AutoFill_names!K:K,"")=0,"",_xlfn.XLOOKUP(A337, AutoFill_names!B:B, AutoFill_names!K:K,""))</f>
        <v/>
      </c>
      <c r="K337" s="115" t="str">
        <f>IF(_xlfn.XLOOKUP(A337, AutoFill_names!B:B, AutoFill_names!L:L,"")=0,"",_xlfn.XLOOKUP(A337, AutoFill_names!B:B, AutoFill_names!L:L,""))</f>
        <v/>
      </c>
      <c r="L337" s="2"/>
      <c r="M337" s="2"/>
      <c r="N337" s="117" t="str">
        <f>IF(_xlfn.XLOOKUP(L337, AutoFill_classes!A:A, AutoFill_classes!B:B,"")=0,"",_xlfn.XLOOKUP(L337, AutoFill_classes!A:A, AutoFill_classes!B:B,""))</f>
        <v/>
      </c>
      <c r="O337" s="108"/>
      <c r="P337" s="7"/>
      <c r="Q337" s="7"/>
      <c r="R337" s="7"/>
      <c r="S337" s="2"/>
      <c r="T337" s="2"/>
      <c r="U337" s="2"/>
      <c r="X337" s="63"/>
      <c r="Y337" s="19"/>
      <c r="Z337" s="121" t="str">
        <f t="shared" si="297"/>
        <v/>
      </c>
      <c r="AA337" s="20"/>
      <c r="AB337" s="20"/>
      <c r="AC337" s="20"/>
      <c r="AD337" s="20"/>
      <c r="AE337" s="125" t="str">
        <f t="shared" si="298"/>
        <v/>
      </c>
      <c r="AF337" s="14"/>
      <c r="AG337" s="125" t="str">
        <f t="shared" si="299"/>
        <v/>
      </c>
      <c r="AH337" s="20"/>
      <c r="AI337" s="20"/>
      <c r="AJ337" s="125" t="str">
        <f t="shared" si="300"/>
        <v/>
      </c>
      <c r="AK337" s="14"/>
      <c r="AL337" s="125" t="str">
        <f t="shared" si="301"/>
        <v/>
      </c>
      <c r="AM337" s="20"/>
      <c r="AN337" s="20"/>
      <c r="AO337" s="125" t="str">
        <f t="shared" si="302"/>
        <v/>
      </c>
      <c r="AP337" s="125" t="str">
        <f t="shared" si="303"/>
        <v/>
      </c>
      <c r="AQ337" s="125" t="str">
        <f t="shared" si="304"/>
        <v/>
      </c>
      <c r="AR337" s="129" t="str">
        <f t="shared" si="305"/>
        <v/>
      </c>
      <c r="AS337" s="14"/>
      <c r="AT337" s="32"/>
      <c r="AU337" s="32"/>
      <c r="AV337" s="117" t="str">
        <f>IF(_xlfn.XLOOKUP(AT337, AutoFill_classes!$A:$A, AutoFill_classes!$B:$B,"")=0,"",_xlfn.XLOOKUP(AT337, AutoFill_classes!$A:$A, AutoFill_classes!$B:$B,""))</f>
        <v/>
      </c>
      <c r="AW337" s="108"/>
      <c r="AX337" s="13"/>
      <c r="AY337" s="13"/>
      <c r="AZ337" s="13"/>
      <c r="BA337" s="13"/>
      <c r="BB337" s="13"/>
      <c r="BC337" s="63"/>
      <c r="BD337" s="18"/>
      <c r="BE337" s="121" t="str">
        <f t="shared" si="306"/>
        <v/>
      </c>
      <c r="BF337" s="20"/>
      <c r="BG337" s="20"/>
      <c r="BH337" s="20"/>
      <c r="BI337" s="20"/>
      <c r="BJ337" s="125" t="str">
        <f t="shared" si="307"/>
        <v/>
      </c>
      <c r="BK337" s="14"/>
      <c r="BL337" s="125" t="str">
        <f t="shared" si="308"/>
        <v/>
      </c>
      <c r="BM337" s="20"/>
      <c r="BN337" s="20"/>
      <c r="BO337" s="125" t="str">
        <f t="shared" si="309"/>
        <v/>
      </c>
      <c r="BP337" s="14"/>
      <c r="BQ337" s="125" t="str">
        <f t="shared" si="310"/>
        <v/>
      </c>
      <c r="BR337" s="20"/>
      <c r="BS337" s="20"/>
      <c r="BT337" s="125" t="str">
        <f t="shared" si="311"/>
        <v/>
      </c>
      <c r="BU337" s="125" t="str">
        <f t="shared" si="312"/>
        <v/>
      </c>
      <c r="BV337" s="125" t="str">
        <f t="shared" si="313"/>
        <v/>
      </c>
      <c r="BW337" s="129" t="str">
        <f t="shared" si="314"/>
        <v/>
      </c>
      <c r="BX337" s="13"/>
      <c r="BY337" s="15"/>
      <c r="BZ337" s="14"/>
      <c r="CA337" s="117" t="str">
        <f>IF(_xlfn.XLOOKUP(BY337, AutoFill_classes!$A:$A, AutoFill_classes!$B:$B,"")=0,"",_xlfn.XLOOKUP(BY337, AutoFill_classes!$A:$A, AutoFill_classes!$B:$B,""))</f>
        <v/>
      </c>
      <c r="CB337" s="108"/>
      <c r="CC337" s="14"/>
      <c r="CD337" s="14"/>
      <c r="CE337" s="14"/>
      <c r="CF337" s="21"/>
      <c r="CG337" s="22"/>
      <c r="CH337" s="63"/>
      <c r="CI337" s="23"/>
      <c r="CJ337" s="121" t="str">
        <f t="shared" si="315"/>
        <v/>
      </c>
      <c r="CK337" s="20"/>
      <c r="CL337" s="20"/>
      <c r="CM337" s="20"/>
      <c r="CN337" s="20"/>
      <c r="CO337" s="125" t="str">
        <f t="shared" si="316"/>
        <v/>
      </c>
      <c r="CP337" s="14"/>
      <c r="CQ337" s="125" t="str">
        <f t="shared" si="317"/>
        <v/>
      </c>
      <c r="CR337" s="20"/>
      <c r="CS337" s="20"/>
      <c r="CT337" s="125" t="str">
        <f t="shared" si="318"/>
        <v/>
      </c>
      <c r="CU337" s="14"/>
      <c r="CV337" s="125" t="str">
        <f t="shared" si="319"/>
        <v/>
      </c>
      <c r="CW337" s="20"/>
      <c r="CX337" s="20"/>
      <c r="CY337" s="125" t="str">
        <f t="shared" si="320"/>
        <v/>
      </c>
      <c r="CZ337" s="125" t="str">
        <f t="shared" si="321"/>
        <v/>
      </c>
      <c r="DA337" s="125" t="str">
        <f t="shared" si="322"/>
        <v/>
      </c>
      <c r="DB337" s="129" t="str">
        <f t="shared" si="323"/>
        <v/>
      </c>
      <c r="DC337" s="14"/>
      <c r="DD337" s="62"/>
      <c r="DE337" s="105">
        <v>335</v>
      </c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</row>
    <row r="338" spans="1:176" s="1" customFormat="1" ht="13" hidden="1" customHeight="1" outlineLevel="1" x14ac:dyDescent="0.2">
      <c r="A338" s="4"/>
      <c r="B338" s="115" t="str">
        <f>IF(_xlfn.XLOOKUP(A338, AutoFill_names!B:B, AutoFill_names!C:C,"")=0,"",_xlfn.XLOOKUP(A338, AutoFill_names!B:B, AutoFill_names!C:C,""))</f>
        <v/>
      </c>
      <c r="C338" s="115" t="str">
        <f>IF(_xlfn.XLOOKUP(A338, AutoFill_names!B:B, AutoFill_names!D:D,"")=0,"",_xlfn.XLOOKUP(A338, AutoFill_names!B:B, AutoFill_names!D:D,""))</f>
        <v/>
      </c>
      <c r="D338" s="115" t="str">
        <f>IF(_xlfn.XLOOKUP(A338, AutoFill_names!B:B, AutoFill_names!E:E,"")=0,"",_xlfn.XLOOKUP(A338, AutoFill_names!B:B, AutoFill_names!E:E,""))</f>
        <v/>
      </c>
      <c r="E338" s="115" t="str">
        <f>IF(_xlfn.XLOOKUP(A338, AutoFill_names!B:B, AutoFill_names!F:F,"")=0,"",_xlfn.XLOOKUP(A338, AutoFill_names!B:B, AutoFill_names!F:F,""))</f>
        <v/>
      </c>
      <c r="F338" s="92"/>
      <c r="J338" s="115" t="str">
        <f>IF(_xlfn.XLOOKUP(A338, AutoFill_names!B:B, AutoFill_names!K:K,"")=0,"",_xlfn.XLOOKUP(A338, AutoFill_names!B:B, AutoFill_names!K:K,""))</f>
        <v/>
      </c>
      <c r="K338" s="115" t="str">
        <f>IF(_xlfn.XLOOKUP(A338, AutoFill_names!B:B, AutoFill_names!L:L,"")=0,"",_xlfn.XLOOKUP(A338, AutoFill_names!B:B, AutoFill_names!L:L,""))</f>
        <v/>
      </c>
      <c r="L338" s="2"/>
      <c r="M338" s="2"/>
      <c r="N338" s="117" t="str">
        <f>IF(_xlfn.XLOOKUP(L338, AutoFill_classes!A:A, AutoFill_classes!B:B,"")=0,"",_xlfn.XLOOKUP(L338, AutoFill_classes!A:A, AutoFill_classes!B:B,""))</f>
        <v/>
      </c>
      <c r="O338" s="108"/>
      <c r="P338" s="7"/>
      <c r="Q338" s="7"/>
      <c r="R338" s="7"/>
      <c r="S338" s="2"/>
      <c r="T338" s="2"/>
      <c r="U338" s="2"/>
      <c r="X338" s="63"/>
      <c r="Y338" s="19"/>
      <c r="Z338" s="121" t="str">
        <f t="shared" si="297"/>
        <v/>
      </c>
      <c r="AA338" s="20"/>
      <c r="AB338" s="20"/>
      <c r="AC338" s="20"/>
      <c r="AD338" s="20"/>
      <c r="AE338" s="125" t="str">
        <f t="shared" si="298"/>
        <v/>
      </c>
      <c r="AF338" s="14"/>
      <c r="AG338" s="125" t="str">
        <f t="shared" si="299"/>
        <v/>
      </c>
      <c r="AH338" s="20"/>
      <c r="AI338" s="20"/>
      <c r="AJ338" s="125" t="str">
        <f t="shared" si="300"/>
        <v/>
      </c>
      <c r="AK338" s="14"/>
      <c r="AL338" s="125" t="str">
        <f t="shared" si="301"/>
        <v/>
      </c>
      <c r="AM338" s="20"/>
      <c r="AN338" s="20"/>
      <c r="AO338" s="125" t="str">
        <f t="shared" si="302"/>
        <v/>
      </c>
      <c r="AP338" s="125" t="str">
        <f t="shared" si="303"/>
        <v/>
      </c>
      <c r="AQ338" s="125" t="str">
        <f t="shared" si="304"/>
        <v/>
      </c>
      <c r="AR338" s="129" t="str">
        <f t="shared" si="305"/>
        <v/>
      </c>
      <c r="AS338" s="14"/>
      <c r="AT338" s="32"/>
      <c r="AU338" s="32"/>
      <c r="AV338" s="117" t="str">
        <f>IF(_xlfn.XLOOKUP(AT338, AutoFill_classes!$A:$A, AutoFill_classes!$B:$B,"")=0,"",_xlfn.XLOOKUP(AT338, AutoFill_classes!$A:$A, AutoFill_classes!$B:$B,""))</f>
        <v/>
      </c>
      <c r="AW338" s="108"/>
      <c r="AX338" s="13"/>
      <c r="AY338" s="13"/>
      <c r="AZ338" s="13"/>
      <c r="BA338" s="13"/>
      <c r="BB338" s="13"/>
      <c r="BC338" s="63"/>
      <c r="BD338" s="18"/>
      <c r="BE338" s="121" t="str">
        <f t="shared" si="306"/>
        <v/>
      </c>
      <c r="BF338" s="20"/>
      <c r="BG338" s="20"/>
      <c r="BH338" s="20"/>
      <c r="BI338" s="20"/>
      <c r="BJ338" s="125" t="str">
        <f t="shared" si="307"/>
        <v/>
      </c>
      <c r="BK338" s="14"/>
      <c r="BL338" s="125" t="str">
        <f t="shared" si="308"/>
        <v/>
      </c>
      <c r="BM338" s="20"/>
      <c r="BN338" s="20"/>
      <c r="BO338" s="125" t="str">
        <f t="shared" si="309"/>
        <v/>
      </c>
      <c r="BP338" s="14"/>
      <c r="BQ338" s="125" t="str">
        <f t="shared" si="310"/>
        <v/>
      </c>
      <c r="BR338" s="20"/>
      <c r="BS338" s="20"/>
      <c r="BT338" s="125" t="str">
        <f t="shared" si="311"/>
        <v/>
      </c>
      <c r="BU338" s="125" t="str">
        <f t="shared" si="312"/>
        <v/>
      </c>
      <c r="BV338" s="125" t="str">
        <f t="shared" si="313"/>
        <v/>
      </c>
      <c r="BW338" s="129" t="str">
        <f t="shared" si="314"/>
        <v/>
      </c>
      <c r="BX338" s="13"/>
      <c r="BY338" s="15"/>
      <c r="BZ338" s="14"/>
      <c r="CA338" s="117" t="str">
        <f>IF(_xlfn.XLOOKUP(BY338, AutoFill_classes!$A:$A, AutoFill_classes!$B:$B,"")=0,"",_xlfn.XLOOKUP(BY338, AutoFill_classes!$A:$A, AutoFill_classes!$B:$B,""))</f>
        <v/>
      </c>
      <c r="CB338" s="108"/>
      <c r="CC338" s="14"/>
      <c r="CD338" s="14"/>
      <c r="CE338" s="14"/>
      <c r="CF338" s="21"/>
      <c r="CG338" s="22"/>
      <c r="CH338" s="63"/>
      <c r="CI338" s="23"/>
      <c r="CJ338" s="121" t="str">
        <f t="shared" si="315"/>
        <v/>
      </c>
      <c r="CK338" s="20"/>
      <c r="CL338" s="20"/>
      <c r="CM338" s="20"/>
      <c r="CN338" s="20"/>
      <c r="CO338" s="125" t="str">
        <f t="shared" si="316"/>
        <v/>
      </c>
      <c r="CP338" s="14"/>
      <c r="CQ338" s="125" t="str">
        <f t="shared" si="317"/>
        <v/>
      </c>
      <c r="CR338" s="20"/>
      <c r="CS338" s="20"/>
      <c r="CT338" s="125" t="str">
        <f t="shared" si="318"/>
        <v/>
      </c>
      <c r="CU338" s="14"/>
      <c r="CV338" s="125" t="str">
        <f t="shared" si="319"/>
        <v/>
      </c>
      <c r="CW338" s="20"/>
      <c r="CX338" s="20"/>
      <c r="CY338" s="125" t="str">
        <f t="shared" si="320"/>
        <v/>
      </c>
      <c r="CZ338" s="125" t="str">
        <f t="shared" si="321"/>
        <v/>
      </c>
      <c r="DA338" s="125" t="str">
        <f t="shared" si="322"/>
        <v/>
      </c>
      <c r="DB338" s="129" t="str">
        <f t="shared" si="323"/>
        <v/>
      </c>
      <c r="DC338" s="14"/>
      <c r="DD338" s="62"/>
      <c r="DE338" s="105">
        <v>336</v>
      </c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</row>
    <row r="339" spans="1:176" s="1" customFormat="1" ht="13" hidden="1" customHeight="1" outlineLevel="1" x14ac:dyDescent="0.2">
      <c r="A339" s="4"/>
      <c r="B339" s="115" t="str">
        <f>IF(_xlfn.XLOOKUP(A339, AutoFill_names!B:B, AutoFill_names!C:C,"")=0,"",_xlfn.XLOOKUP(A339, AutoFill_names!B:B, AutoFill_names!C:C,""))</f>
        <v/>
      </c>
      <c r="C339" s="115" t="str">
        <f>IF(_xlfn.XLOOKUP(A339, AutoFill_names!B:B, AutoFill_names!D:D,"")=0,"",_xlfn.XLOOKUP(A339, AutoFill_names!B:B, AutoFill_names!D:D,""))</f>
        <v/>
      </c>
      <c r="D339" s="115" t="str">
        <f>IF(_xlfn.XLOOKUP(A339, AutoFill_names!B:B, AutoFill_names!E:E,"")=0,"",_xlfn.XLOOKUP(A339, AutoFill_names!B:B, AutoFill_names!E:E,""))</f>
        <v/>
      </c>
      <c r="E339" s="115" t="str">
        <f>IF(_xlfn.XLOOKUP(A339, AutoFill_names!B:B, AutoFill_names!F:F,"")=0,"",_xlfn.XLOOKUP(A339, AutoFill_names!B:B, AutoFill_names!F:F,""))</f>
        <v/>
      </c>
      <c r="F339" s="92"/>
      <c r="J339" s="115" t="str">
        <f>IF(_xlfn.XLOOKUP(A339, AutoFill_names!B:B, AutoFill_names!K:K,"")=0,"",_xlfn.XLOOKUP(A339, AutoFill_names!B:B, AutoFill_names!K:K,""))</f>
        <v/>
      </c>
      <c r="K339" s="115" t="str">
        <f>IF(_xlfn.XLOOKUP(A339, AutoFill_names!B:B, AutoFill_names!L:L,"")=0,"",_xlfn.XLOOKUP(A339, AutoFill_names!B:B, AutoFill_names!L:L,""))</f>
        <v/>
      </c>
      <c r="L339" s="2"/>
      <c r="M339" s="2"/>
      <c r="N339" s="117" t="str">
        <f>IF(_xlfn.XLOOKUP(L339, AutoFill_classes!A:A, AutoFill_classes!B:B,"")=0,"",_xlfn.XLOOKUP(L339, AutoFill_classes!A:A, AutoFill_classes!B:B,""))</f>
        <v/>
      </c>
      <c r="O339" s="108"/>
      <c r="P339" s="7"/>
      <c r="Q339" s="7"/>
      <c r="R339" s="7"/>
      <c r="S339" s="2"/>
      <c r="T339" s="2"/>
      <c r="U339" s="2"/>
      <c r="X339" s="63"/>
      <c r="Y339" s="19"/>
      <c r="Z339" s="121" t="str">
        <f t="shared" si="297"/>
        <v/>
      </c>
      <c r="AA339" s="20"/>
      <c r="AB339" s="20"/>
      <c r="AC339" s="20"/>
      <c r="AD339" s="20"/>
      <c r="AE339" s="125" t="str">
        <f t="shared" si="298"/>
        <v/>
      </c>
      <c r="AF339" s="14"/>
      <c r="AG339" s="125" t="str">
        <f t="shared" si="299"/>
        <v/>
      </c>
      <c r="AH339" s="20"/>
      <c r="AI339" s="20"/>
      <c r="AJ339" s="125" t="str">
        <f t="shared" si="300"/>
        <v/>
      </c>
      <c r="AK339" s="14"/>
      <c r="AL339" s="125" t="str">
        <f t="shared" si="301"/>
        <v/>
      </c>
      <c r="AM339" s="20"/>
      <c r="AN339" s="20"/>
      <c r="AO339" s="125" t="str">
        <f t="shared" si="302"/>
        <v/>
      </c>
      <c r="AP339" s="125" t="str">
        <f t="shared" si="303"/>
        <v/>
      </c>
      <c r="AQ339" s="125" t="str">
        <f t="shared" si="304"/>
        <v/>
      </c>
      <c r="AR339" s="129" t="str">
        <f t="shared" si="305"/>
        <v/>
      </c>
      <c r="AS339" s="14"/>
      <c r="AT339" s="32"/>
      <c r="AU339" s="32"/>
      <c r="AV339" s="117" t="str">
        <f>IF(_xlfn.XLOOKUP(AT339, AutoFill_classes!$A:$A, AutoFill_classes!$B:$B,"")=0,"",_xlfn.XLOOKUP(AT339, AutoFill_classes!$A:$A, AutoFill_classes!$B:$B,""))</f>
        <v/>
      </c>
      <c r="AW339" s="108"/>
      <c r="AX339" s="13"/>
      <c r="AY339" s="13"/>
      <c r="AZ339" s="13"/>
      <c r="BA339" s="13"/>
      <c r="BB339" s="13"/>
      <c r="BC339" s="63"/>
      <c r="BD339" s="18"/>
      <c r="BE339" s="121" t="str">
        <f t="shared" si="306"/>
        <v/>
      </c>
      <c r="BF339" s="20"/>
      <c r="BG339" s="20"/>
      <c r="BH339" s="20"/>
      <c r="BI339" s="20"/>
      <c r="BJ339" s="125" t="str">
        <f t="shared" si="307"/>
        <v/>
      </c>
      <c r="BK339" s="14"/>
      <c r="BL339" s="125" t="str">
        <f t="shared" si="308"/>
        <v/>
      </c>
      <c r="BM339" s="20"/>
      <c r="BN339" s="20"/>
      <c r="BO339" s="125" t="str">
        <f t="shared" si="309"/>
        <v/>
      </c>
      <c r="BP339" s="14"/>
      <c r="BQ339" s="125" t="str">
        <f t="shared" si="310"/>
        <v/>
      </c>
      <c r="BR339" s="20"/>
      <c r="BS339" s="20"/>
      <c r="BT339" s="125" t="str">
        <f t="shared" si="311"/>
        <v/>
      </c>
      <c r="BU339" s="125" t="str">
        <f t="shared" si="312"/>
        <v/>
      </c>
      <c r="BV339" s="125" t="str">
        <f t="shared" si="313"/>
        <v/>
      </c>
      <c r="BW339" s="129" t="str">
        <f t="shared" si="314"/>
        <v/>
      </c>
      <c r="BX339" s="13"/>
      <c r="BY339" s="15"/>
      <c r="BZ339" s="14"/>
      <c r="CA339" s="117" t="str">
        <f>IF(_xlfn.XLOOKUP(BY339, AutoFill_classes!$A:$A, AutoFill_classes!$B:$B,"")=0,"",_xlfn.XLOOKUP(BY339, AutoFill_classes!$A:$A, AutoFill_classes!$B:$B,""))</f>
        <v/>
      </c>
      <c r="CB339" s="108"/>
      <c r="CC339" s="14"/>
      <c r="CD339" s="14"/>
      <c r="CE339" s="14"/>
      <c r="CF339" s="21"/>
      <c r="CG339" s="22"/>
      <c r="CH339" s="63"/>
      <c r="CI339" s="23"/>
      <c r="CJ339" s="121" t="str">
        <f t="shared" si="315"/>
        <v/>
      </c>
      <c r="CK339" s="20"/>
      <c r="CL339" s="20"/>
      <c r="CM339" s="20"/>
      <c r="CN339" s="20"/>
      <c r="CO339" s="125" t="str">
        <f t="shared" si="316"/>
        <v/>
      </c>
      <c r="CP339" s="14"/>
      <c r="CQ339" s="125" t="str">
        <f t="shared" si="317"/>
        <v/>
      </c>
      <c r="CR339" s="20"/>
      <c r="CS339" s="20"/>
      <c r="CT339" s="125" t="str">
        <f t="shared" si="318"/>
        <v/>
      </c>
      <c r="CU339" s="14"/>
      <c r="CV339" s="125" t="str">
        <f t="shared" si="319"/>
        <v/>
      </c>
      <c r="CW339" s="20"/>
      <c r="CX339" s="20"/>
      <c r="CY339" s="125" t="str">
        <f t="shared" si="320"/>
        <v/>
      </c>
      <c r="CZ339" s="125" t="str">
        <f t="shared" si="321"/>
        <v/>
      </c>
      <c r="DA339" s="125" t="str">
        <f t="shared" si="322"/>
        <v/>
      </c>
      <c r="DB339" s="129" t="str">
        <f t="shared" si="323"/>
        <v/>
      </c>
      <c r="DC339" s="14"/>
      <c r="DD339" s="62"/>
      <c r="DE339" s="105">
        <v>337</v>
      </c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</row>
    <row r="340" spans="1:176" s="1" customFormat="1" ht="13" hidden="1" customHeight="1" outlineLevel="1" x14ac:dyDescent="0.2">
      <c r="A340" s="4"/>
      <c r="B340" s="115" t="str">
        <f>IF(_xlfn.XLOOKUP(A340, AutoFill_names!B:B, AutoFill_names!C:C,"")=0,"",_xlfn.XLOOKUP(A340, AutoFill_names!B:B, AutoFill_names!C:C,""))</f>
        <v/>
      </c>
      <c r="C340" s="115" t="str">
        <f>IF(_xlfn.XLOOKUP(A340, AutoFill_names!B:B, AutoFill_names!D:D,"")=0,"",_xlfn.XLOOKUP(A340, AutoFill_names!B:B, AutoFill_names!D:D,""))</f>
        <v/>
      </c>
      <c r="D340" s="115" t="str">
        <f>IF(_xlfn.XLOOKUP(A340, AutoFill_names!B:B, AutoFill_names!E:E,"")=0,"",_xlfn.XLOOKUP(A340, AutoFill_names!B:B, AutoFill_names!E:E,""))</f>
        <v/>
      </c>
      <c r="E340" s="115" t="str">
        <f>IF(_xlfn.XLOOKUP(A340, AutoFill_names!B:B, AutoFill_names!F:F,"")=0,"",_xlfn.XLOOKUP(A340, AutoFill_names!B:B, AutoFill_names!F:F,""))</f>
        <v/>
      </c>
      <c r="F340" s="92"/>
      <c r="J340" s="115" t="str">
        <f>IF(_xlfn.XLOOKUP(A340, AutoFill_names!B:B, AutoFill_names!K:K,"")=0,"",_xlfn.XLOOKUP(A340, AutoFill_names!B:B, AutoFill_names!K:K,""))</f>
        <v/>
      </c>
      <c r="K340" s="115" t="str">
        <f>IF(_xlfn.XLOOKUP(A340, AutoFill_names!B:B, AutoFill_names!L:L,"")=0,"",_xlfn.XLOOKUP(A340, AutoFill_names!B:B, AutoFill_names!L:L,""))</f>
        <v/>
      </c>
      <c r="L340" s="2"/>
      <c r="M340" s="2"/>
      <c r="N340" s="117" t="str">
        <f>IF(_xlfn.XLOOKUP(L340, AutoFill_classes!A:A, AutoFill_classes!B:B,"")=0,"",_xlfn.XLOOKUP(L340, AutoFill_classes!A:A, AutoFill_classes!B:B,""))</f>
        <v/>
      </c>
      <c r="O340" s="108"/>
      <c r="P340" s="7"/>
      <c r="Q340" s="7"/>
      <c r="R340" s="7"/>
      <c r="S340" s="2"/>
      <c r="T340" s="2"/>
      <c r="U340" s="2"/>
      <c r="X340" s="63"/>
      <c r="Y340" s="19"/>
      <c r="Z340" s="121" t="str">
        <f t="shared" si="297"/>
        <v/>
      </c>
      <c r="AA340" s="20"/>
      <c r="AB340" s="20"/>
      <c r="AC340" s="20"/>
      <c r="AD340" s="20"/>
      <c r="AE340" s="125" t="str">
        <f t="shared" si="298"/>
        <v/>
      </c>
      <c r="AF340" s="14"/>
      <c r="AG340" s="125" t="str">
        <f t="shared" si="299"/>
        <v/>
      </c>
      <c r="AH340" s="20"/>
      <c r="AI340" s="20"/>
      <c r="AJ340" s="125" t="str">
        <f t="shared" si="300"/>
        <v/>
      </c>
      <c r="AK340" s="14"/>
      <c r="AL340" s="125" t="str">
        <f t="shared" si="301"/>
        <v/>
      </c>
      <c r="AM340" s="20"/>
      <c r="AN340" s="20"/>
      <c r="AO340" s="125" t="str">
        <f t="shared" si="302"/>
        <v/>
      </c>
      <c r="AP340" s="125" t="str">
        <f t="shared" si="303"/>
        <v/>
      </c>
      <c r="AQ340" s="125" t="str">
        <f t="shared" si="304"/>
        <v/>
      </c>
      <c r="AR340" s="129" t="str">
        <f t="shared" si="305"/>
        <v/>
      </c>
      <c r="AS340" s="14"/>
      <c r="AT340" s="32"/>
      <c r="AU340" s="32"/>
      <c r="AV340" s="117" t="str">
        <f>IF(_xlfn.XLOOKUP(AT340, AutoFill_classes!$A:$A, AutoFill_classes!$B:$B,"")=0,"",_xlfn.XLOOKUP(AT340, AutoFill_classes!$A:$A, AutoFill_classes!$B:$B,""))</f>
        <v/>
      </c>
      <c r="AW340" s="108"/>
      <c r="AX340" s="13"/>
      <c r="AY340" s="13"/>
      <c r="AZ340" s="13"/>
      <c r="BA340" s="13"/>
      <c r="BB340" s="13"/>
      <c r="BC340" s="63"/>
      <c r="BD340" s="18"/>
      <c r="BE340" s="121" t="str">
        <f t="shared" si="306"/>
        <v/>
      </c>
      <c r="BF340" s="20"/>
      <c r="BG340" s="20"/>
      <c r="BH340" s="20"/>
      <c r="BI340" s="20"/>
      <c r="BJ340" s="125" t="str">
        <f t="shared" si="307"/>
        <v/>
      </c>
      <c r="BK340" s="14"/>
      <c r="BL340" s="125" t="str">
        <f t="shared" si="308"/>
        <v/>
      </c>
      <c r="BM340" s="20"/>
      <c r="BN340" s="20"/>
      <c r="BO340" s="125" t="str">
        <f t="shared" si="309"/>
        <v/>
      </c>
      <c r="BP340" s="14"/>
      <c r="BQ340" s="125" t="str">
        <f t="shared" si="310"/>
        <v/>
      </c>
      <c r="BR340" s="20"/>
      <c r="BS340" s="20"/>
      <c r="BT340" s="125" t="str">
        <f t="shared" si="311"/>
        <v/>
      </c>
      <c r="BU340" s="125" t="str">
        <f t="shared" si="312"/>
        <v/>
      </c>
      <c r="BV340" s="125" t="str">
        <f t="shared" si="313"/>
        <v/>
      </c>
      <c r="BW340" s="129" t="str">
        <f t="shared" si="314"/>
        <v/>
      </c>
      <c r="BX340" s="13"/>
      <c r="BY340" s="15"/>
      <c r="BZ340" s="14"/>
      <c r="CA340" s="117" t="str">
        <f>IF(_xlfn.XLOOKUP(BY340, AutoFill_classes!$A:$A, AutoFill_classes!$B:$B,"")=0,"",_xlfn.XLOOKUP(BY340, AutoFill_classes!$A:$A, AutoFill_classes!$B:$B,""))</f>
        <v/>
      </c>
      <c r="CB340" s="108"/>
      <c r="CC340" s="14"/>
      <c r="CD340" s="14"/>
      <c r="CE340" s="14"/>
      <c r="CF340" s="21"/>
      <c r="CG340" s="22"/>
      <c r="CH340" s="63"/>
      <c r="CI340" s="23"/>
      <c r="CJ340" s="121" t="str">
        <f t="shared" si="315"/>
        <v/>
      </c>
      <c r="CK340" s="20"/>
      <c r="CL340" s="20"/>
      <c r="CM340" s="20"/>
      <c r="CN340" s="20"/>
      <c r="CO340" s="125" t="str">
        <f t="shared" si="316"/>
        <v/>
      </c>
      <c r="CP340" s="14"/>
      <c r="CQ340" s="125" t="str">
        <f t="shared" si="317"/>
        <v/>
      </c>
      <c r="CR340" s="20"/>
      <c r="CS340" s="20"/>
      <c r="CT340" s="125" t="str">
        <f t="shared" si="318"/>
        <v/>
      </c>
      <c r="CU340" s="14"/>
      <c r="CV340" s="125" t="str">
        <f t="shared" si="319"/>
        <v/>
      </c>
      <c r="CW340" s="20"/>
      <c r="CX340" s="20"/>
      <c r="CY340" s="125" t="str">
        <f t="shared" si="320"/>
        <v/>
      </c>
      <c r="CZ340" s="125" t="str">
        <f t="shared" si="321"/>
        <v/>
      </c>
      <c r="DA340" s="125" t="str">
        <f t="shared" si="322"/>
        <v/>
      </c>
      <c r="DB340" s="129" t="str">
        <f t="shared" si="323"/>
        <v/>
      </c>
      <c r="DC340" s="14"/>
      <c r="DD340" s="62"/>
      <c r="DE340" s="105">
        <v>338</v>
      </c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</row>
    <row r="341" spans="1:176" s="1" customFormat="1" ht="13" hidden="1" customHeight="1" outlineLevel="1" x14ac:dyDescent="0.2">
      <c r="A341" s="4"/>
      <c r="B341" s="115" t="str">
        <f>IF(_xlfn.XLOOKUP(A341, AutoFill_names!B:B, AutoFill_names!C:C,"")=0,"",_xlfn.XLOOKUP(A341, AutoFill_names!B:B, AutoFill_names!C:C,""))</f>
        <v/>
      </c>
      <c r="C341" s="115" t="str">
        <f>IF(_xlfn.XLOOKUP(A341, AutoFill_names!B:B, AutoFill_names!D:D,"")=0,"",_xlfn.XLOOKUP(A341, AutoFill_names!B:B, AutoFill_names!D:D,""))</f>
        <v/>
      </c>
      <c r="D341" s="115" t="str">
        <f>IF(_xlfn.XLOOKUP(A341, AutoFill_names!B:B, AutoFill_names!E:E,"")=0,"",_xlfn.XLOOKUP(A341, AutoFill_names!B:B, AutoFill_names!E:E,""))</f>
        <v/>
      </c>
      <c r="E341" s="115" t="str">
        <f>IF(_xlfn.XLOOKUP(A341, AutoFill_names!B:B, AutoFill_names!F:F,"")=0,"",_xlfn.XLOOKUP(A341, AutoFill_names!B:B, AutoFill_names!F:F,""))</f>
        <v/>
      </c>
      <c r="F341" s="92"/>
      <c r="J341" s="115" t="str">
        <f>IF(_xlfn.XLOOKUP(A341, AutoFill_names!B:B, AutoFill_names!K:K,"")=0,"",_xlfn.XLOOKUP(A341, AutoFill_names!B:B, AutoFill_names!K:K,""))</f>
        <v/>
      </c>
      <c r="K341" s="115" t="str">
        <f>IF(_xlfn.XLOOKUP(A341, AutoFill_names!B:B, AutoFill_names!L:L,"")=0,"",_xlfn.XLOOKUP(A341, AutoFill_names!B:B, AutoFill_names!L:L,""))</f>
        <v/>
      </c>
      <c r="L341" s="2"/>
      <c r="M341" s="2"/>
      <c r="N341" s="117" t="str">
        <f>IF(_xlfn.XLOOKUP(L341, AutoFill_classes!A:A, AutoFill_classes!B:B,"")=0,"",_xlfn.XLOOKUP(L341, AutoFill_classes!A:A, AutoFill_classes!B:B,""))</f>
        <v/>
      </c>
      <c r="O341" s="108"/>
      <c r="P341" s="7"/>
      <c r="Q341" s="7"/>
      <c r="R341" s="7"/>
      <c r="S341" s="2"/>
      <c r="T341" s="2"/>
      <c r="U341" s="2"/>
      <c r="X341" s="63"/>
      <c r="Y341" s="19"/>
      <c r="Z341" s="121" t="str">
        <f t="shared" si="297"/>
        <v/>
      </c>
      <c r="AA341" s="20"/>
      <c r="AB341" s="20"/>
      <c r="AC341" s="20"/>
      <c r="AD341" s="20"/>
      <c r="AE341" s="125" t="str">
        <f t="shared" si="298"/>
        <v/>
      </c>
      <c r="AF341" s="14"/>
      <c r="AG341" s="125" t="str">
        <f t="shared" si="299"/>
        <v/>
      </c>
      <c r="AH341" s="20"/>
      <c r="AI341" s="20"/>
      <c r="AJ341" s="125" t="str">
        <f t="shared" si="300"/>
        <v/>
      </c>
      <c r="AK341" s="14"/>
      <c r="AL341" s="125" t="str">
        <f t="shared" si="301"/>
        <v/>
      </c>
      <c r="AM341" s="20"/>
      <c r="AN341" s="20"/>
      <c r="AO341" s="125" t="str">
        <f t="shared" si="302"/>
        <v/>
      </c>
      <c r="AP341" s="125" t="str">
        <f t="shared" si="303"/>
        <v/>
      </c>
      <c r="AQ341" s="125" t="str">
        <f t="shared" si="304"/>
        <v/>
      </c>
      <c r="AR341" s="129" t="str">
        <f t="shared" si="305"/>
        <v/>
      </c>
      <c r="AS341" s="14"/>
      <c r="AT341" s="32"/>
      <c r="AU341" s="32"/>
      <c r="AV341" s="117" t="str">
        <f>IF(_xlfn.XLOOKUP(AT341, AutoFill_classes!$A:$A, AutoFill_classes!$B:$B,"")=0,"",_xlfn.XLOOKUP(AT341, AutoFill_classes!$A:$A, AutoFill_classes!$B:$B,""))</f>
        <v/>
      </c>
      <c r="AW341" s="108"/>
      <c r="AX341" s="13"/>
      <c r="AY341" s="13"/>
      <c r="AZ341" s="13"/>
      <c r="BA341" s="13"/>
      <c r="BB341" s="13"/>
      <c r="BC341" s="63"/>
      <c r="BD341" s="18"/>
      <c r="BE341" s="121" t="str">
        <f t="shared" si="306"/>
        <v/>
      </c>
      <c r="BF341" s="20"/>
      <c r="BG341" s="20"/>
      <c r="BH341" s="20"/>
      <c r="BI341" s="20"/>
      <c r="BJ341" s="125" t="str">
        <f t="shared" si="307"/>
        <v/>
      </c>
      <c r="BK341" s="14"/>
      <c r="BL341" s="125" t="str">
        <f t="shared" si="308"/>
        <v/>
      </c>
      <c r="BM341" s="20"/>
      <c r="BN341" s="20"/>
      <c r="BO341" s="125" t="str">
        <f t="shared" si="309"/>
        <v/>
      </c>
      <c r="BP341" s="14"/>
      <c r="BQ341" s="125" t="str">
        <f t="shared" si="310"/>
        <v/>
      </c>
      <c r="BR341" s="20"/>
      <c r="BS341" s="20"/>
      <c r="BT341" s="125" t="str">
        <f t="shared" si="311"/>
        <v/>
      </c>
      <c r="BU341" s="125" t="str">
        <f t="shared" si="312"/>
        <v/>
      </c>
      <c r="BV341" s="125" t="str">
        <f t="shared" si="313"/>
        <v/>
      </c>
      <c r="BW341" s="129" t="str">
        <f t="shared" si="314"/>
        <v/>
      </c>
      <c r="BX341" s="13"/>
      <c r="BY341" s="15"/>
      <c r="BZ341" s="14"/>
      <c r="CA341" s="117" t="str">
        <f>IF(_xlfn.XLOOKUP(BY341, AutoFill_classes!$A:$A, AutoFill_classes!$B:$B,"")=0,"",_xlfn.XLOOKUP(BY341, AutoFill_classes!$A:$A, AutoFill_classes!$B:$B,""))</f>
        <v/>
      </c>
      <c r="CB341" s="108"/>
      <c r="CC341" s="14"/>
      <c r="CD341" s="14"/>
      <c r="CE341" s="14"/>
      <c r="CF341" s="21"/>
      <c r="CG341" s="22"/>
      <c r="CH341" s="63"/>
      <c r="CI341" s="23"/>
      <c r="CJ341" s="121" t="str">
        <f t="shared" si="315"/>
        <v/>
      </c>
      <c r="CK341" s="20"/>
      <c r="CL341" s="20"/>
      <c r="CM341" s="20"/>
      <c r="CN341" s="20"/>
      <c r="CO341" s="125" t="str">
        <f t="shared" si="316"/>
        <v/>
      </c>
      <c r="CP341" s="14"/>
      <c r="CQ341" s="125" t="str">
        <f t="shared" si="317"/>
        <v/>
      </c>
      <c r="CR341" s="20"/>
      <c r="CS341" s="20"/>
      <c r="CT341" s="125" t="str">
        <f t="shared" si="318"/>
        <v/>
      </c>
      <c r="CU341" s="14"/>
      <c r="CV341" s="125" t="str">
        <f t="shared" si="319"/>
        <v/>
      </c>
      <c r="CW341" s="20"/>
      <c r="CX341" s="20"/>
      <c r="CY341" s="125" t="str">
        <f t="shared" si="320"/>
        <v/>
      </c>
      <c r="CZ341" s="125" t="str">
        <f t="shared" si="321"/>
        <v/>
      </c>
      <c r="DA341" s="125" t="str">
        <f t="shared" si="322"/>
        <v/>
      </c>
      <c r="DB341" s="129" t="str">
        <f t="shared" si="323"/>
        <v/>
      </c>
      <c r="DC341" s="14"/>
      <c r="DD341" s="62"/>
      <c r="DE341" s="105">
        <v>339</v>
      </c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</row>
    <row r="342" spans="1:176" s="1" customFormat="1" ht="13" hidden="1" customHeight="1" outlineLevel="1" x14ac:dyDescent="0.2">
      <c r="A342" s="4"/>
      <c r="B342" s="115" t="str">
        <f>IF(_xlfn.XLOOKUP(A342, AutoFill_names!B:B, AutoFill_names!C:C,"")=0,"",_xlfn.XLOOKUP(A342, AutoFill_names!B:B, AutoFill_names!C:C,""))</f>
        <v/>
      </c>
      <c r="C342" s="115" t="str">
        <f>IF(_xlfn.XLOOKUP(A342, AutoFill_names!B:B, AutoFill_names!D:D,"")=0,"",_xlfn.XLOOKUP(A342, AutoFill_names!B:B, AutoFill_names!D:D,""))</f>
        <v/>
      </c>
      <c r="D342" s="115" t="str">
        <f>IF(_xlfn.XLOOKUP(A342, AutoFill_names!B:B, AutoFill_names!E:E,"")=0,"",_xlfn.XLOOKUP(A342, AutoFill_names!B:B, AutoFill_names!E:E,""))</f>
        <v/>
      </c>
      <c r="E342" s="115" t="str">
        <f>IF(_xlfn.XLOOKUP(A342, AutoFill_names!B:B, AutoFill_names!F:F,"")=0,"",_xlfn.XLOOKUP(A342, AutoFill_names!B:B, AutoFill_names!F:F,""))</f>
        <v/>
      </c>
      <c r="F342" s="92"/>
      <c r="J342" s="115" t="str">
        <f>IF(_xlfn.XLOOKUP(A342, AutoFill_names!B:B, AutoFill_names!K:K,"")=0,"",_xlfn.XLOOKUP(A342, AutoFill_names!B:B, AutoFill_names!K:K,""))</f>
        <v/>
      </c>
      <c r="K342" s="115" t="str">
        <f>IF(_xlfn.XLOOKUP(A342, AutoFill_names!B:B, AutoFill_names!L:L,"")=0,"",_xlfn.XLOOKUP(A342, AutoFill_names!B:B, AutoFill_names!L:L,""))</f>
        <v/>
      </c>
      <c r="L342" s="2"/>
      <c r="M342" s="2"/>
      <c r="N342" s="117" t="str">
        <f>IF(_xlfn.XLOOKUP(L342, AutoFill_classes!A:A, AutoFill_classes!B:B,"")=0,"",_xlfn.XLOOKUP(L342, AutoFill_classes!A:A, AutoFill_classes!B:B,""))</f>
        <v/>
      </c>
      <c r="O342" s="108"/>
      <c r="P342" s="7"/>
      <c r="Q342" s="7"/>
      <c r="R342" s="7"/>
      <c r="S342" s="2"/>
      <c r="T342" s="2"/>
      <c r="U342" s="2"/>
      <c r="X342" s="63"/>
      <c r="Y342" s="19"/>
      <c r="Z342" s="121" t="str">
        <f t="shared" si="297"/>
        <v/>
      </c>
      <c r="AA342" s="20"/>
      <c r="AB342" s="20"/>
      <c r="AC342" s="20"/>
      <c r="AD342" s="20"/>
      <c r="AE342" s="125" t="str">
        <f t="shared" si="298"/>
        <v/>
      </c>
      <c r="AF342" s="14"/>
      <c r="AG342" s="125" t="str">
        <f t="shared" si="299"/>
        <v/>
      </c>
      <c r="AH342" s="20"/>
      <c r="AI342" s="20"/>
      <c r="AJ342" s="125" t="str">
        <f t="shared" si="300"/>
        <v/>
      </c>
      <c r="AK342" s="14"/>
      <c r="AL342" s="125" t="str">
        <f t="shared" si="301"/>
        <v/>
      </c>
      <c r="AM342" s="20"/>
      <c r="AN342" s="20"/>
      <c r="AO342" s="125" t="str">
        <f t="shared" si="302"/>
        <v/>
      </c>
      <c r="AP342" s="125" t="str">
        <f t="shared" si="303"/>
        <v/>
      </c>
      <c r="AQ342" s="125" t="str">
        <f t="shared" si="304"/>
        <v/>
      </c>
      <c r="AR342" s="129" t="str">
        <f t="shared" si="305"/>
        <v/>
      </c>
      <c r="AS342" s="14"/>
      <c r="AT342" s="32"/>
      <c r="AU342" s="32"/>
      <c r="AV342" s="117" t="str">
        <f>IF(_xlfn.XLOOKUP(AT342, AutoFill_classes!$A:$A, AutoFill_classes!$B:$B,"")=0,"",_xlfn.XLOOKUP(AT342, AutoFill_classes!$A:$A, AutoFill_classes!$B:$B,""))</f>
        <v/>
      </c>
      <c r="AW342" s="108"/>
      <c r="AX342" s="13"/>
      <c r="AY342" s="13"/>
      <c r="AZ342" s="13"/>
      <c r="BA342" s="13"/>
      <c r="BB342" s="13"/>
      <c r="BC342" s="63"/>
      <c r="BD342" s="18"/>
      <c r="BE342" s="121" t="str">
        <f t="shared" si="306"/>
        <v/>
      </c>
      <c r="BF342" s="20"/>
      <c r="BG342" s="20"/>
      <c r="BH342" s="20"/>
      <c r="BI342" s="20"/>
      <c r="BJ342" s="125" t="str">
        <f t="shared" si="307"/>
        <v/>
      </c>
      <c r="BK342" s="14"/>
      <c r="BL342" s="125" t="str">
        <f t="shared" si="308"/>
        <v/>
      </c>
      <c r="BM342" s="20"/>
      <c r="BN342" s="20"/>
      <c r="BO342" s="125" t="str">
        <f t="shared" si="309"/>
        <v/>
      </c>
      <c r="BP342" s="14"/>
      <c r="BQ342" s="125" t="str">
        <f t="shared" si="310"/>
        <v/>
      </c>
      <c r="BR342" s="20"/>
      <c r="BS342" s="20"/>
      <c r="BT342" s="125" t="str">
        <f t="shared" si="311"/>
        <v/>
      </c>
      <c r="BU342" s="125" t="str">
        <f t="shared" si="312"/>
        <v/>
      </c>
      <c r="BV342" s="125" t="str">
        <f t="shared" si="313"/>
        <v/>
      </c>
      <c r="BW342" s="129" t="str">
        <f t="shared" si="314"/>
        <v/>
      </c>
      <c r="BX342" s="13"/>
      <c r="BY342" s="15"/>
      <c r="BZ342" s="14"/>
      <c r="CA342" s="117" t="str">
        <f>IF(_xlfn.XLOOKUP(BY342, AutoFill_classes!$A:$A, AutoFill_classes!$B:$B,"")=0,"",_xlfn.XLOOKUP(BY342, AutoFill_classes!$A:$A, AutoFill_classes!$B:$B,""))</f>
        <v/>
      </c>
      <c r="CB342" s="108"/>
      <c r="CC342" s="14"/>
      <c r="CD342" s="14"/>
      <c r="CE342" s="14"/>
      <c r="CF342" s="21"/>
      <c r="CG342" s="22"/>
      <c r="CH342" s="63"/>
      <c r="CI342" s="23"/>
      <c r="CJ342" s="121" t="str">
        <f t="shared" si="315"/>
        <v/>
      </c>
      <c r="CK342" s="20"/>
      <c r="CL342" s="20"/>
      <c r="CM342" s="20"/>
      <c r="CN342" s="20"/>
      <c r="CO342" s="125" t="str">
        <f t="shared" si="316"/>
        <v/>
      </c>
      <c r="CP342" s="14"/>
      <c r="CQ342" s="125" t="str">
        <f t="shared" si="317"/>
        <v/>
      </c>
      <c r="CR342" s="20"/>
      <c r="CS342" s="20"/>
      <c r="CT342" s="125" t="str">
        <f t="shared" si="318"/>
        <v/>
      </c>
      <c r="CU342" s="14"/>
      <c r="CV342" s="125" t="str">
        <f t="shared" si="319"/>
        <v/>
      </c>
      <c r="CW342" s="20"/>
      <c r="CX342" s="20"/>
      <c r="CY342" s="125" t="str">
        <f t="shared" si="320"/>
        <v/>
      </c>
      <c r="CZ342" s="125" t="str">
        <f t="shared" si="321"/>
        <v/>
      </c>
      <c r="DA342" s="125" t="str">
        <f t="shared" si="322"/>
        <v/>
      </c>
      <c r="DB342" s="129" t="str">
        <f t="shared" si="323"/>
        <v/>
      </c>
      <c r="DC342" s="14"/>
      <c r="DD342" s="62"/>
      <c r="DE342" s="105">
        <v>340</v>
      </c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</row>
    <row r="343" spans="1:176" s="1" customFormat="1" ht="13" hidden="1" customHeight="1" outlineLevel="1" x14ac:dyDescent="0.2">
      <c r="A343" s="4"/>
      <c r="B343" s="115" t="str">
        <f>IF(_xlfn.XLOOKUP(A343, AutoFill_names!B:B, AutoFill_names!C:C,"")=0,"",_xlfn.XLOOKUP(A343, AutoFill_names!B:B, AutoFill_names!C:C,""))</f>
        <v/>
      </c>
      <c r="C343" s="115" t="str">
        <f>IF(_xlfn.XLOOKUP(A343, AutoFill_names!B:B, AutoFill_names!D:D,"")=0,"",_xlfn.XLOOKUP(A343, AutoFill_names!B:B, AutoFill_names!D:D,""))</f>
        <v/>
      </c>
      <c r="D343" s="115" t="str">
        <f>IF(_xlfn.XLOOKUP(A343, AutoFill_names!B:B, AutoFill_names!E:E,"")=0,"",_xlfn.XLOOKUP(A343, AutoFill_names!B:B, AutoFill_names!E:E,""))</f>
        <v/>
      </c>
      <c r="E343" s="115" t="str">
        <f>IF(_xlfn.XLOOKUP(A343, AutoFill_names!B:B, AutoFill_names!F:F,"")=0,"",_xlfn.XLOOKUP(A343, AutoFill_names!B:B, AutoFill_names!F:F,""))</f>
        <v/>
      </c>
      <c r="F343" s="92"/>
      <c r="J343" s="115" t="str">
        <f>IF(_xlfn.XLOOKUP(A343, AutoFill_names!B:B, AutoFill_names!K:K,"")=0,"",_xlfn.XLOOKUP(A343, AutoFill_names!B:B, AutoFill_names!K:K,""))</f>
        <v/>
      </c>
      <c r="K343" s="115" t="str">
        <f>IF(_xlfn.XLOOKUP(A343, AutoFill_names!B:B, AutoFill_names!L:L,"")=0,"",_xlfn.XLOOKUP(A343, AutoFill_names!B:B, AutoFill_names!L:L,""))</f>
        <v/>
      </c>
      <c r="L343" s="2"/>
      <c r="M343" s="2"/>
      <c r="N343" s="117" t="str">
        <f>IF(_xlfn.XLOOKUP(L343, AutoFill_classes!A:A, AutoFill_classes!B:B,"")=0,"",_xlfn.XLOOKUP(L343, AutoFill_classes!A:A, AutoFill_classes!B:B,""))</f>
        <v/>
      </c>
      <c r="O343" s="108"/>
      <c r="P343" s="7"/>
      <c r="Q343" s="7"/>
      <c r="R343" s="7"/>
      <c r="S343" s="2"/>
      <c r="T343" s="2"/>
      <c r="U343" s="2"/>
      <c r="X343" s="63"/>
      <c r="Y343" s="19"/>
      <c r="Z343" s="121" t="str">
        <f t="shared" si="297"/>
        <v/>
      </c>
      <c r="AA343" s="20"/>
      <c r="AB343" s="20"/>
      <c r="AC343" s="20"/>
      <c r="AD343" s="20"/>
      <c r="AE343" s="125" t="str">
        <f t="shared" si="298"/>
        <v/>
      </c>
      <c r="AF343" s="14"/>
      <c r="AG343" s="125" t="str">
        <f t="shared" si="299"/>
        <v/>
      </c>
      <c r="AH343" s="20"/>
      <c r="AI343" s="20"/>
      <c r="AJ343" s="125" t="str">
        <f t="shared" si="300"/>
        <v/>
      </c>
      <c r="AK343" s="14"/>
      <c r="AL343" s="125" t="str">
        <f t="shared" si="301"/>
        <v/>
      </c>
      <c r="AM343" s="20"/>
      <c r="AN343" s="20"/>
      <c r="AO343" s="125" t="str">
        <f t="shared" si="302"/>
        <v/>
      </c>
      <c r="AP343" s="125" t="str">
        <f t="shared" si="303"/>
        <v/>
      </c>
      <c r="AQ343" s="125" t="str">
        <f t="shared" si="304"/>
        <v/>
      </c>
      <c r="AR343" s="129" t="str">
        <f t="shared" si="305"/>
        <v/>
      </c>
      <c r="AS343" s="14"/>
      <c r="AT343" s="32"/>
      <c r="AU343" s="32"/>
      <c r="AV343" s="117" t="str">
        <f>IF(_xlfn.XLOOKUP(AT343, AutoFill_classes!$A:$A, AutoFill_classes!$B:$B,"")=0,"",_xlfn.XLOOKUP(AT343, AutoFill_classes!$A:$A, AutoFill_classes!$B:$B,""))</f>
        <v/>
      </c>
      <c r="AW343" s="108"/>
      <c r="AX343" s="13"/>
      <c r="AY343" s="13"/>
      <c r="AZ343" s="13"/>
      <c r="BA343" s="13"/>
      <c r="BB343" s="13"/>
      <c r="BC343" s="63"/>
      <c r="BD343" s="18"/>
      <c r="BE343" s="121" t="str">
        <f t="shared" si="306"/>
        <v/>
      </c>
      <c r="BF343" s="20"/>
      <c r="BG343" s="20"/>
      <c r="BH343" s="20"/>
      <c r="BI343" s="20"/>
      <c r="BJ343" s="125" t="str">
        <f t="shared" si="307"/>
        <v/>
      </c>
      <c r="BK343" s="14"/>
      <c r="BL343" s="125" t="str">
        <f t="shared" si="308"/>
        <v/>
      </c>
      <c r="BM343" s="20"/>
      <c r="BN343" s="20"/>
      <c r="BO343" s="125" t="str">
        <f t="shared" si="309"/>
        <v/>
      </c>
      <c r="BP343" s="14"/>
      <c r="BQ343" s="125" t="str">
        <f t="shared" si="310"/>
        <v/>
      </c>
      <c r="BR343" s="20"/>
      <c r="BS343" s="20"/>
      <c r="BT343" s="125" t="str">
        <f t="shared" si="311"/>
        <v/>
      </c>
      <c r="BU343" s="125" t="str">
        <f t="shared" si="312"/>
        <v/>
      </c>
      <c r="BV343" s="125" t="str">
        <f t="shared" si="313"/>
        <v/>
      </c>
      <c r="BW343" s="129" t="str">
        <f t="shared" si="314"/>
        <v/>
      </c>
      <c r="BX343" s="13"/>
      <c r="BY343" s="15"/>
      <c r="BZ343" s="14"/>
      <c r="CA343" s="117" t="str">
        <f>IF(_xlfn.XLOOKUP(BY343, AutoFill_classes!$A:$A, AutoFill_classes!$B:$B,"")=0,"",_xlfn.XLOOKUP(BY343, AutoFill_classes!$A:$A, AutoFill_classes!$B:$B,""))</f>
        <v/>
      </c>
      <c r="CB343" s="108"/>
      <c r="CC343" s="14"/>
      <c r="CD343" s="14"/>
      <c r="CE343" s="14"/>
      <c r="CF343" s="21"/>
      <c r="CG343" s="22"/>
      <c r="CH343" s="63"/>
      <c r="CI343" s="23"/>
      <c r="CJ343" s="121" t="str">
        <f t="shared" si="315"/>
        <v/>
      </c>
      <c r="CK343" s="20"/>
      <c r="CL343" s="20"/>
      <c r="CM343" s="20"/>
      <c r="CN343" s="20"/>
      <c r="CO343" s="125" t="str">
        <f t="shared" si="316"/>
        <v/>
      </c>
      <c r="CP343" s="14"/>
      <c r="CQ343" s="125" t="str">
        <f t="shared" si="317"/>
        <v/>
      </c>
      <c r="CR343" s="20"/>
      <c r="CS343" s="20"/>
      <c r="CT343" s="125" t="str">
        <f t="shared" si="318"/>
        <v/>
      </c>
      <c r="CU343" s="14"/>
      <c r="CV343" s="125" t="str">
        <f t="shared" si="319"/>
        <v/>
      </c>
      <c r="CW343" s="20"/>
      <c r="CX343" s="20"/>
      <c r="CY343" s="125" t="str">
        <f t="shared" si="320"/>
        <v/>
      </c>
      <c r="CZ343" s="125" t="str">
        <f t="shared" si="321"/>
        <v/>
      </c>
      <c r="DA343" s="125" t="str">
        <f t="shared" si="322"/>
        <v/>
      </c>
      <c r="DB343" s="129" t="str">
        <f t="shared" si="323"/>
        <v/>
      </c>
      <c r="DC343" s="14"/>
      <c r="DD343" s="62"/>
      <c r="DE343" s="105">
        <v>341</v>
      </c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</row>
    <row r="344" spans="1:176" s="1" customFormat="1" ht="13" hidden="1" customHeight="1" outlineLevel="1" x14ac:dyDescent="0.2">
      <c r="A344" s="4"/>
      <c r="B344" s="115" t="str">
        <f>IF(_xlfn.XLOOKUP(A344, AutoFill_names!B:B, AutoFill_names!C:C,"")=0,"",_xlfn.XLOOKUP(A344, AutoFill_names!B:B, AutoFill_names!C:C,""))</f>
        <v/>
      </c>
      <c r="C344" s="115" t="str">
        <f>IF(_xlfn.XLOOKUP(A344, AutoFill_names!B:B, AutoFill_names!D:D,"")=0,"",_xlfn.XLOOKUP(A344, AutoFill_names!B:B, AutoFill_names!D:D,""))</f>
        <v/>
      </c>
      <c r="D344" s="115" t="str">
        <f>IF(_xlfn.XLOOKUP(A344, AutoFill_names!B:B, AutoFill_names!E:E,"")=0,"",_xlfn.XLOOKUP(A344, AutoFill_names!B:B, AutoFill_names!E:E,""))</f>
        <v/>
      </c>
      <c r="E344" s="115" t="str">
        <f>IF(_xlfn.XLOOKUP(A344, AutoFill_names!B:B, AutoFill_names!F:F,"")=0,"",_xlfn.XLOOKUP(A344, AutoFill_names!B:B, AutoFill_names!F:F,""))</f>
        <v/>
      </c>
      <c r="F344" s="92"/>
      <c r="J344" s="115" t="str">
        <f>IF(_xlfn.XLOOKUP(A344, AutoFill_names!B:B, AutoFill_names!K:K,"")=0,"",_xlfn.XLOOKUP(A344, AutoFill_names!B:B, AutoFill_names!K:K,""))</f>
        <v/>
      </c>
      <c r="K344" s="115" t="str">
        <f>IF(_xlfn.XLOOKUP(A344, AutoFill_names!B:B, AutoFill_names!L:L,"")=0,"",_xlfn.XLOOKUP(A344, AutoFill_names!B:B, AutoFill_names!L:L,""))</f>
        <v/>
      </c>
      <c r="L344" s="2"/>
      <c r="M344" s="2"/>
      <c r="N344" s="117" t="str">
        <f>IF(_xlfn.XLOOKUP(L344, AutoFill_classes!A:A, AutoFill_classes!B:B,"")=0,"",_xlfn.XLOOKUP(L344, AutoFill_classes!A:A, AutoFill_classes!B:B,""))</f>
        <v/>
      </c>
      <c r="O344" s="108"/>
      <c r="P344" s="7"/>
      <c r="Q344" s="7"/>
      <c r="R344" s="7"/>
      <c r="S344" s="2"/>
      <c r="T344" s="2"/>
      <c r="U344" s="2"/>
      <c r="X344" s="63"/>
      <c r="Y344" s="19"/>
      <c r="Z344" s="121" t="str">
        <f t="shared" si="297"/>
        <v/>
      </c>
      <c r="AA344" s="20"/>
      <c r="AB344" s="20"/>
      <c r="AC344" s="20"/>
      <c r="AD344" s="20"/>
      <c r="AE344" s="125" t="str">
        <f t="shared" si="298"/>
        <v/>
      </c>
      <c r="AF344" s="14"/>
      <c r="AG344" s="125" t="str">
        <f t="shared" si="299"/>
        <v/>
      </c>
      <c r="AH344" s="20"/>
      <c r="AI344" s="20"/>
      <c r="AJ344" s="125" t="str">
        <f t="shared" si="300"/>
        <v/>
      </c>
      <c r="AK344" s="14"/>
      <c r="AL344" s="125" t="str">
        <f t="shared" si="301"/>
        <v/>
      </c>
      <c r="AM344" s="20"/>
      <c r="AN344" s="20"/>
      <c r="AO344" s="125" t="str">
        <f t="shared" si="302"/>
        <v/>
      </c>
      <c r="AP344" s="125" t="str">
        <f t="shared" si="303"/>
        <v/>
      </c>
      <c r="AQ344" s="125" t="str">
        <f t="shared" si="304"/>
        <v/>
      </c>
      <c r="AR344" s="129" t="str">
        <f t="shared" si="305"/>
        <v/>
      </c>
      <c r="AS344" s="14"/>
      <c r="AT344" s="32"/>
      <c r="AU344" s="32"/>
      <c r="AV344" s="117" t="str">
        <f>IF(_xlfn.XLOOKUP(AT344, AutoFill_classes!$A:$A, AutoFill_classes!$B:$B,"")=0,"",_xlfn.XLOOKUP(AT344, AutoFill_classes!$A:$A, AutoFill_classes!$B:$B,""))</f>
        <v/>
      </c>
      <c r="AW344" s="108"/>
      <c r="AX344" s="13"/>
      <c r="AY344" s="13"/>
      <c r="AZ344" s="13"/>
      <c r="BA344" s="13"/>
      <c r="BB344" s="13"/>
      <c r="BC344" s="63"/>
      <c r="BD344" s="18"/>
      <c r="BE344" s="121" t="str">
        <f t="shared" si="306"/>
        <v/>
      </c>
      <c r="BF344" s="20"/>
      <c r="BG344" s="20"/>
      <c r="BH344" s="20"/>
      <c r="BI344" s="20"/>
      <c r="BJ344" s="125" t="str">
        <f t="shared" si="307"/>
        <v/>
      </c>
      <c r="BK344" s="14"/>
      <c r="BL344" s="125" t="str">
        <f t="shared" si="308"/>
        <v/>
      </c>
      <c r="BM344" s="20"/>
      <c r="BN344" s="20"/>
      <c r="BO344" s="125" t="str">
        <f t="shared" si="309"/>
        <v/>
      </c>
      <c r="BP344" s="14"/>
      <c r="BQ344" s="125" t="str">
        <f t="shared" si="310"/>
        <v/>
      </c>
      <c r="BR344" s="20"/>
      <c r="BS344" s="20"/>
      <c r="BT344" s="125" t="str">
        <f t="shared" si="311"/>
        <v/>
      </c>
      <c r="BU344" s="125" t="str">
        <f t="shared" si="312"/>
        <v/>
      </c>
      <c r="BV344" s="125" t="str">
        <f t="shared" si="313"/>
        <v/>
      </c>
      <c r="BW344" s="129" t="str">
        <f t="shared" si="314"/>
        <v/>
      </c>
      <c r="BX344" s="13"/>
      <c r="BY344" s="15"/>
      <c r="BZ344" s="14"/>
      <c r="CA344" s="117" t="str">
        <f>IF(_xlfn.XLOOKUP(BY344, AutoFill_classes!$A:$A, AutoFill_classes!$B:$B,"")=0,"",_xlfn.XLOOKUP(BY344, AutoFill_classes!$A:$A, AutoFill_classes!$B:$B,""))</f>
        <v/>
      </c>
      <c r="CB344" s="108"/>
      <c r="CC344" s="14"/>
      <c r="CD344" s="14"/>
      <c r="CE344" s="14"/>
      <c r="CF344" s="21"/>
      <c r="CG344" s="22"/>
      <c r="CH344" s="63"/>
      <c r="CI344" s="23"/>
      <c r="CJ344" s="121" t="str">
        <f t="shared" si="315"/>
        <v/>
      </c>
      <c r="CK344" s="20"/>
      <c r="CL344" s="20"/>
      <c r="CM344" s="20"/>
      <c r="CN344" s="20"/>
      <c r="CO344" s="125" t="str">
        <f t="shared" si="316"/>
        <v/>
      </c>
      <c r="CP344" s="14"/>
      <c r="CQ344" s="125" t="str">
        <f t="shared" si="317"/>
        <v/>
      </c>
      <c r="CR344" s="20"/>
      <c r="CS344" s="20"/>
      <c r="CT344" s="125" t="str">
        <f t="shared" si="318"/>
        <v/>
      </c>
      <c r="CU344" s="14"/>
      <c r="CV344" s="125" t="str">
        <f t="shared" si="319"/>
        <v/>
      </c>
      <c r="CW344" s="20"/>
      <c r="CX344" s="20"/>
      <c r="CY344" s="125" t="str">
        <f t="shared" si="320"/>
        <v/>
      </c>
      <c r="CZ344" s="125" t="str">
        <f t="shared" si="321"/>
        <v/>
      </c>
      <c r="DA344" s="125" t="str">
        <f t="shared" si="322"/>
        <v/>
      </c>
      <c r="DB344" s="129" t="str">
        <f t="shared" si="323"/>
        <v/>
      </c>
      <c r="DC344" s="14"/>
      <c r="DD344" s="62"/>
      <c r="DE344" s="105">
        <v>342</v>
      </c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</row>
    <row r="345" spans="1:176" s="1" customFormat="1" ht="13" hidden="1" customHeight="1" outlineLevel="1" x14ac:dyDescent="0.2">
      <c r="A345" s="4"/>
      <c r="B345" s="115" t="str">
        <f>IF(_xlfn.XLOOKUP(A345, AutoFill_names!B:B, AutoFill_names!C:C,"")=0,"",_xlfn.XLOOKUP(A345, AutoFill_names!B:B, AutoFill_names!C:C,""))</f>
        <v/>
      </c>
      <c r="C345" s="115" t="str">
        <f>IF(_xlfn.XLOOKUP(A345, AutoFill_names!B:B, AutoFill_names!D:D,"")=0,"",_xlfn.XLOOKUP(A345, AutoFill_names!B:B, AutoFill_names!D:D,""))</f>
        <v/>
      </c>
      <c r="D345" s="115" t="str">
        <f>IF(_xlfn.XLOOKUP(A345, AutoFill_names!B:B, AutoFill_names!E:E,"")=0,"",_xlfn.XLOOKUP(A345, AutoFill_names!B:B, AutoFill_names!E:E,""))</f>
        <v/>
      </c>
      <c r="E345" s="115" t="str">
        <f>IF(_xlfn.XLOOKUP(A345, AutoFill_names!B:B, AutoFill_names!F:F,"")=0,"",_xlfn.XLOOKUP(A345, AutoFill_names!B:B, AutoFill_names!F:F,""))</f>
        <v/>
      </c>
      <c r="F345" s="92"/>
      <c r="J345" s="115" t="str">
        <f>IF(_xlfn.XLOOKUP(A345, AutoFill_names!B:B, AutoFill_names!K:K,"")=0,"",_xlfn.XLOOKUP(A345, AutoFill_names!B:B, AutoFill_names!K:K,""))</f>
        <v/>
      </c>
      <c r="K345" s="115" t="str">
        <f>IF(_xlfn.XLOOKUP(A345, AutoFill_names!B:B, AutoFill_names!L:L,"")=0,"",_xlfn.XLOOKUP(A345, AutoFill_names!B:B, AutoFill_names!L:L,""))</f>
        <v/>
      </c>
      <c r="L345" s="2"/>
      <c r="M345" s="2"/>
      <c r="N345" s="117" t="str">
        <f>IF(_xlfn.XLOOKUP(L345, AutoFill_classes!A:A, AutoFill_classes!B:B,"")=0,"",_xlfn.XLOOKUP(L345, AutoFill_classes!A:A, AutoFill_classes!B:B,""))</f>
        <v/>
      </c>
      <c r="O345" s="108"/>
      <c r="P345" s="7"/>
      <c r="Q345" s="7"/>
      <c r="R345" s="7"/>
      <c r="S345" s="2"/>
      <c r="T345" s="2"/>
      <c r="U345" s="2"/>
      <c r="X345" s="63"/>
      <c r="Y345" s="19"/>
      <c r="Z345" s="121" t="str">
        <f t="shared" si="297"/>
        <v/>
      </c>
      <c r="AA345" s="20"/>
      <c r="AB345" s="20"/>
      <c r="AC345" s="20"/>
      <c r="AD345" s="20"/>
      <c r="AE345" s="125" t="str">
        <f t="shared" si="298"/>
        <v/>
      </c>
      <c r="AF345" s="14"/>
      <c r="AG345" s="125" t="str">
        <f t="shared" si="299"/>
        <v/>
      </c>
      <c r="AH345" s="20"/>
      <c r="AI345" s="20"/>
      <c r="AJ345" s="125" t="str">
        <f t="shared" si="300"/>
        <v/>
      </c>
      <c r="AK345" s="14"/>
      <c r="AL345" s="125" t="str">
        <f t="shared" si="301"/>
        <v/>
      </c>
      <c r="AM345" s="20"/>
      <c r="AN345" s="20"/>
      <c r="AO345" s="125" t="str">
        <f t="shared" si="302"/>
        <v/>
      </c>
      <c r="AP345" s="125" t="str">
        <f t="shared" si="303"/>
        <v/>
      </c>
      <c r="AQ345" s="125" t="str">
        <f t="shared" si="304"/>
        <v/>
      </c>
      <c r="AR345" s="129" t="str">
        <f t="shared" si="305"/>
        <v/>
      </c>
      <c r="AS345" s="14"/>
      <c r="AT345" s="32"/>
      <c r="AU345" s="32"/>
      <c r="AV345" s="117" t="str">
        <f>IF(_xlfn.XLOOKUP(AT345, AutoFill_classes!$A:$A, AutoFill_classes!$B:$B,"")=0,"",_xlfn.XLOOKUP(AT345, AutoFill_classes!$A:$A, AutoFill_classes!$B:$B,""))</f>
        <v/>
      </c>
      <c r="AW345" s="108"/>
      <c r="AX345" s="13"/>
      <c r="AY345" s="13"/>
      <c r="AZ345" s="13"/>
      <c r="BA345" s="13"/>
      <c r="BB345" s="13"/>
      <c r="BC345" s="63"/>
      <c r="BD345" s="18"/>
      <c r="BE345" s="121" t="str">
        <f t="shared" si="306"/>
        <v/>
      </c>
      <c r="BF345" s="20"/>
      <c r="BG345" s="20"/>
      <c r="BH345" s="20"/>
      <c r="BI345" s="20"/>
      <c r="BJ345" s="125" t="str">
        <f t="shared" si="307"/>
        <v/>
      </c>
      <c r="BK345" s="14"/>
      <c r="BL345" s="125" t="str">
        <f t="shared" si="308"/>
        <v/>
      </c>
      <c r="BM345" s="20"/>
      <c r="BN345" s="20"/>
      <c r="BO345" s="125" t="str">
        <f t="shared" si="309"/>
        <v/>
      </c>
      <c r="BP345" s="14"/>
      <c r="BQ345" s="125" t="str">
        <f t="shared" si="310"/>
        <v/>
      </c>
      <c r="BR345" s="20"/>
      <c r="BS345" s="20"/>
      <c r="BT345" s="125" t="str">
        <f t="shared" si="311"/>
        <v/>
      </c>
      <c r="BU345" s="125" t="str">
        <f t="shared" si="312"/>
        <v/>
      </c>
      <c r="BV345" s="125" t="str">
        <f t="shared" si="313"/>
        <v/>
      </c>
      <c r="BW345" s="129" t="str">
        <f t="shared" si="314"/>
        <v/>
      </c>
      <c r="BX345" s="13"/>
      <c r="BY345" s="15"/>
      <c r="BZ345" s="14"/>
      <c r="CA345" s="117" t="str">
        <f>IF(_xlfn.XLOOKUP(BY345, AutoFill_classes!$A:$A, AutoFill_classes!$B:$B,"")=0,"",_xlfn.XLOOKUP(BY345, AutoFill_classes!$A:$A, AutoFill_classes!$B:$B,""))</f>
        <v/>
      </c>
      <c r="CB345" s="108"/>
      <c r="CC345" s="14"/>
      <c r="CD345" s="14"/>
      <c r="CE345" s="14"/>
      <c r="CF345" s="21"/>
      <c r="CG345" s="22"/>
      <c r="CH345" s="63"/>
      <c r="CI345" s="23"/>
      <c r="CJ345" s="121" t="str">
        <f t="shared" si="315"/>
        <v/>
      </c>
      <c r="CK345" s="20"/>
      <c r="CL345" s="20"/>
      <c r="CM345" s="20"/>
      <c r="CN345" s="20"/>
      <c r="CO345" s="125" t="str">
        <f t="shared" si="316"/>
        <v/>
      </c>
      <c r="CP345" s="14"/>
      <c r="CQ345" s="125" t="str">
        <f t="shared" si="317"/>
        <v/>
      </c>
      <c r="CR345" s="20"/>
      <c r="CS345" s="20"/>
      <c r="CT345" s="125" t="str">
        <f t="shared" si="318"/>
        <v/>
      </c>
      <c r="CU345" s="14"/>
      <c r="CV345" s="125" t="str">
        <f t="shared" si="319"/>
        <v/>
      </c>
      <c r="CW345" s="20"/>
      <c r="CX345" s="20"/>
      <c r="CY345" s="125" t="str">
        <f t="shared" si="320"/>
        <v/>
      </c>
      <c r="CZ345" s="125" t="str">
        <f t="shared" si="321"/>
        <v/>
      </c>
      <c r="DA345" s="125" t="str">
        <f t="shared" si="322"/>
        <v/>
      </c>
      <c r="DB345" s="129" t="str">
        <f t="shared" si="323"/>
        <v/>
      </c>
      <c r="DC345" s="14"/>
      <c r="DD345" s="62"/>
      <c r="DE345" s="105">
        <v>343</v>
      </c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</row>
    <row r="346" spans="1:176" s="1" customFormat="1" ht="13" hidden="1" customHeight="1" outlineLevel="1" x14ac:dyDescent="0.2">
      <c r="A346" s="4"/>
      <c r="B346" s="115" t="str">
        <f>IF(_xlfn.XLOOKUP(A346, AutoFill_names!B:B, AutoFill_names!C:C,"")=0,"",_xlfn.XLOOKUP(A346, AutoFill_names!B:B, AutoFill_names!C:C,""))</f>
        <v/>
      </c>
      <c r="C346" s="115" t="str">
        <f>IF(_xlfn.XLOOKUP(A346, AutoFill_names!B:B, AutoFill_names!D:D,"")=0,"",_xlfn.XLOOKUP(A346, AutoFill_names!B:B, AutoFill_names!D:D,""))</f>
        <v/>
      </c>
      <c r="D346" s="115" t="str">
        <f>IF(_xlfn.XLOOKUP(A346, AutoFill_names!B:B, AutoFill_names!E:E,"")=0,"",_xlfn.XLOOKUP(A346, AutoFill_names!B:B, AutoFill_names!E:E,""))</f>
        <v/>
      </c>
      <c r="E346" s="115" t="str">
        <f>IF(_xlfn.XLOOKUP(A346, AutoFill_names!B:B, AutoFill_names!F:F,"")=0,"",_xlfn.XLOOKUP(A346, AutoFill_names!B:B, AutoFill_names!F:F,""))</f>
        <v/>
      </c>
      <c r="F346" s="92"/>
      <c r="J346" s="115" t="str">
        <f>IF(_xlfn.XLOOKUP(A346, AutoFill_names!B:B, AutoFill_names!K:K,"")=0,"",_xlfn.XLOOKUP(A346, AutoFill_names!B:B, AutoFill_names!K:K,""))</f>
        <v/>
      </c>
      <c r="K346" s="115" t="str">
        <f>IF(_xlfn.XLOOKUP(A346, AutoFill_names!B:B, AutoFill_names!L:L,"")=0,"",_xlfn.XLOOKUP(A346, AutoFill_names!B:B, AutoFill_names!L:L,""))</f>
        <v/>
      </c>
      <c r="L346" s="2"/>
      <c r="M346" s="2"/>
      <c r="N346" s="117" t="str">
        <f>IF(_xlfn.XLOOKUP(L346, AutoFill_classes!A:A, AutoFill_classes!B:B,"")=0,"",_xlfn.XLOOKUP(L346, AutoFill_classes!A:A, AutoFill_classes!B:B,""))</f>
        <v/>
      </c>
      <c r="O346" s="108"/>
      <c r="P346" s="7"/>
      <c r="Q346" s="7"/>
      <c r="R346" s="7"/>
      <c r="S346" s="2"/>
      <c r="T346" s="2"/>
      <c r="U346" s="2"/>
      <c r="X346" s="63"/>
      <c r="Y346" s="19"/>
      <c r="Z346" s="121" t="str">
        <f t="shared" si="297"/>
        <v/>
      </c>
      <c r="AA346" s="20"/>
      <c r="AB346" s="20"/>
      <c r="AC346" s="20"/>
      <c r="AD346" s="20"/>
      <c r="AE346" s="125" t="str">
        <f t="shared" si="298"/>
        <v/>
      </c>
      <c r="AF346" s="14"/>
      <c r="AG346" s="125" t="str">
        <f t="shared" si="299"/>
        <v/>
      </c>
      <c r="AH346" s="20"/>
      <c r="AI346" s="20"/>
      <c r="AJ346" s="125" t="str">
        <f t="shared" si="300"/>
        <v/>
      </c>
      <c r="AK346" s="14"/>
      <c r="AL346" s="125" t="str">
        <f t="shared" si="301"/>
        <v/>
      </c>
      <c r="AM346" s="20"/>
      <c r="AN346" s="20"/>
      <c r="AO346" s="125" t="str">
        <f t="shared" si="302"/>
        <v/>
      </c>
      <c r="AP346" s="125" t="str">
        <f t="shared" si="303"/>
        <v/>
      </c>
      <c r="AQ346" s="125" t="str">
        <f t="shared" si="304"/>
        <v/>
      </c>
      <c r="AR346" s="129" t="str">
        <f t="shared" si="305"/>
        <v/>
      </c>
      <c r="AS346" s="14"/>
      <c r="AT346" s="32"/>
      <c r="AU346" s="32"/>
      <c r="AV346" s="117" t="str">
        <f>IF(_xlfn.XLOOKUP(AT346, AutoFill_classes!$A:$A, AutoFill_classes!$B:$B,"")=0,"",_xlfn.XLOOKUP(AT346, AutoFill_classes!$A:$A, AutoFill_classes!$B:$B,""))</f>
        <v/>
      </c>
      <c r="AW346" s="108"/>
      <c r="AX346" s="13"/>
      <c r="AY346" s="13"/>
      <c r="AZ346" s="13"/>
      <c r="BA346" s="13"/>
      <c r="BB346" s="13"/>
      <c r="BC346" s="63"/>
      <c r="BD346" s="18"/>
      <c r="BE346" s="121" t="str">
        <f t="shared" si="306"/>
        <v/>
      </c>
      <c r="BF346" s="20"/>
      <c r="BG346" s="20"/>
      <c r="BH346" s="20"/>
      <c r="BI346" s="20"/>
      <c r="BJ346" s="125" t="str">
        <f t="shared" si="307"/>
        <v/>
      </c>
      <c r="BK346" s="14"/>
      <c r="BL346" s="125" t="str">
        <f t="shared" si="308"/>
        <v/>
      </c>
      <c r="BM346" s="20"/>
      <c r="BN346" s="20"/>
      <c r="BO346" s="125" t="str">
        <f t="shared" si="309"/>
        <v/>
      </c>
      <c r="BP346" s="14"/>
      <c r="BQ346" s="125" t="str">
        <f t="shared" si="310"/>
        <v/>
      </c>
      <c r="BR346" s="20"/>
      <c r="BS346" s="20"/>
      <c r="BT346" s="125" t="str">
        <f t="shared" si="311"/>
        <v/>
      </c>
      <c r="BU346" s="125" t="str">
        <f t="shared" si="312"/>
        <v/>
      </c>
      <c r="BV346" s="125" t="str">
        <f t="shared" si="313"/>
        <v/>
      </c>
      <c r="BW346" s="129" t="str">
        <f t="shared" si="314"/>
        <v/>
      </c>
      <c r="BX346" s="13"/>
      <c r="BY346" s="15"/>
      <c r="BZ346" s="14"/>
      <c r="CA346" s="117" t="str">
        <f>IF(_xlfn.XLOOKUP(BY346, AutoFill_classes!$A:$A, AutoFill_classes!$B:$B,"")=0,"",_xlfn.XLOOKUP(BY346, AutoFill_classes!$A:$A, AutoFill_classes!$B:$B,""))</f>
        <v/>
      </c>
      <c r="CB346" s="108"/>
      <c r="CC346" s="14"/>
      <c r="CD346" s="14"/>
      <c r="CE346" s="14"/>
      <c r="CF346" s="21"/>
      <c r="CG346" s="22"/>
      <c r="CH346" s="63"/>
      <c r="CI346" s="23"/>
      <c r="CJ346" s="121" t="str">
        <f t="shared" si="315"/>
        <v/>
      </c>
      <c r="CK346" s="20"/>
      <c r="CL346" s="20"/>
      <c r="CM346" s="20"/>
      <c r="CN346" s="20"/>
      <c r="CO346" s="125" t="str">
        <f t="shared" si="316"/>
        <v/>
      </c>
      <c r="CP346" s="14"/>
      <c r="CQ346" s="125" t="str">
        <f t="shared" si="317"/>
        <v/>
      </c>
      <c r="CR346" s="20"/>
      <c r="CS346" s="20"/>
      <c r="CT346" s="125" t="str">
        <f t="shared" si="318"/>
        <v/>
      </c>
      <c r="CU346" s="14"/>
      <c r="CV346" s="125" t="str">
        <f t="shared" si="319"/>
        <v/>
      </c>
      <c r="CW346" s="20"/>
      <c r="CX346" s="20"/>
      <c r="CY346" s="125" t="str">
        <f t="shared" si="320"/>
        <v/>
      </c>
      <c r="CZ346" s="125" t="str">
        <f t="shared" si="321"/>
        <v/>
      </c>
      <c r="DA346" s="125" t="str">
        <f t="shared" si="322"/>
        <v/>
      </c>
      <c r="DB346" s="129" t="str">
        <f t="shared" si="323"/>
        <v/>
      </c>
      <c r="DC346" s="14"/>
      <c r="DD346" s="62"/>
      <c r="DE346" s="105">
        <v>344</v>
      </c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</row>
    <row r="347" spans="1:176" s="1" customFormat="1" ht="13" hidden="1" customHeight="1" outlineLevel="1" x14ac:dyDescent="0.2">
      <c r="A347" s="4"/>
      <c r="B347" s="115" t="str">
        <f>IF(_xlfn.XLOOKUP(A347, AutoFill_names!B:B, AutoFill_names!C:C,"")=0,"",_xlfn.XLOOKUP(A347, AutoFill_names!B:B, AutoFill_names!C:C,""))</f>
        <v/>
      </c>
      <c r="C347" s="115" t="str">
        <f>IF(_xlfn.XLOOKUP(A347, AutoFill_names!B:B, AutoFill_names!D:D,"")=0,"",_xlfn.XLOOKUP(A347, AutoFill_names!B:B, AutoFill_names!D:D,""))</f>
        <v/>
      </c>
      <c r="D347" s="115" t="str">
        <f>IF(_xlfn.XLOOKUP(A347, AutoFill_names!B:B, AutoFill_names!E:E,"")=0,"",_xlfn.XLOOKUP(A347, AutoFill_names!B:B, AutoFill_names!E:E,""))</f>
        <v/>
      </c>
      <c r="E347" s="115" t="str">
        <f>IF(_xlfn.XLOOKUP(A347, AutoFill_names!B:B, AutoFill_names!F:F,"")=0,"",_xlfn.XLOOKUP(A347, AutoFill_names!B:B, AutoFill_names!F:F,""))</f>
        <v/>
      </c>
      <c r="F347" s="92"/>
      <c r="J347" s="115" t="str">
        <f>IF(_xlfn.XLOOKUP(A347, AutoFill_names!B:B, AutoFill_names!K:K,"")=0,"",_xlfn.XLOOKUP(A347, AutoFill_names!B:B, AutoFill_names!K:K,""))</f>
        <v/>
      </c>
      <c r="K347" s="115" t="str">
        <f>IF(_xlfn.XLOOKUP(A347, AutoFill_names!B:B, AutoFill_names!L:L,"")=0,"",_xlfn.XLOOKUP(A347, AutoFill_names!B:B, AutoFill_names!L:L,""))</f>
        <v/>
      </c>
      <c r="L347" s="2"/>
      <c r="M347" s="2"/>
      <c r="N347" s="117" t="str">
        <f>IF(_xlfn.XLOOKUP(L347, AutoFill_classes!A:A, AutoFill_classes!B:B,"")=0,"",_xlfn.XLOOKUP(L347, AutoFill_classes!A:A, AutoFill_classes!B:B,""))</f>
        <v/>
      </c>
      <c r="O347" s="108"/>
      <c r="P347" s="7"/>
      <c r="Q347" s="7"/>
      <c r="R347" s="7"/>
      <c r="S347" s="2"/>
      <c r="T347" s="2"/>
      <c r="U347" s="2"/>
      <c r="X347" s="63"/>
      <c r="Y347" s="19"/>
      <c r="Z347" s="121" t="str">
        <f t="shared" si="297"/>
        <v/>
      </c>
      <c r="AA347" s="20"/>
      <c r="AB347" s="20"/>
      <c r="AC347" s="20"/>
      <c r="AD347" s="20"/>
      <c r="AE347" s="125" t="str">
        <f t="shared" si="298"/>
        <v/>
      </c>
      <c r="AF347" s="14"/>
      <c r="AG347" s="125" t="str">
        <f t="shared" si="299"/>
        <v/>
      </c>
      <c r="AH347" s="20"/>
      <c r="AI347" s="20"/>
      <c r="AJ347" s="125" t="str">
        <f t="shared" si="300"/>
        <v/>
      </c>
      <c r="AK347" s="14"/>
      <c r="AL347" s="125" t="str">
        <f t="shared" si="301"/>
        <v/>
      </c>
      <c r="AM347" s="20"/>
      <c r="AN347" s="20"/>
      <c r="AO347" s="125" t="str">
        <f t="shared" si="302"/>
        <v/>
      </c>
      <c r="AP347" s="125" t="str">
        <f t="shared" si="303"/>
        <v/>
      </c>
      <c r="AQ347" s="125" t="str">
        <f t="shared" si="304"/>
        <v/>
      </c>
      <c r="AR347" s="129" t="str">
        <f t="shared" si="305"/>
        <v/>
      </c>
      <c r="AS347" s="14"/>
      <c r="AT347" s="32"/>
      <c r="AU347" s="32"/>
      <c r="AV347" s="117" t="str">
        <f>IF(_xlfn.XLOOKUP(AT347, AutoFill_classes!$A:$A, AutoFill_classes!$B:$B,"")=0,"",_xlfn.XLOOKUP(AT347, AutoFill_classes!$A:$A, AutoFill_classes!$B:$B,""))</f>
        <v/>
      </c>
      <c r="AW347" s="108"/>
      <c r="AX347" s="13"/>
      <c r="AY347" s="13"/>
      <c r="AZ347" s="13"/>
      <c r="BA347" s="13"/>
      <c r="BB347" s="13"/>
      <c r="BC347" s="63"/>
      <c r="BD347" s="18"/>
      <c r="BE347" s="121" t="str">
        <f t="shared" si="306"/>
        <v/>
      </c>
      <c r="BF347" s="20"/>
      <c r="BG347" s="20"/>
      <c r="BH347" s="20"/>
      <c r="BI347" s="20"/>
      <c r="BJ347" s="125" t="str">
        <f t="shared" si="307"/>
        <v/>
      </c>
      <c r="BK347" s="14"/>
      <c r="BL347" s="125" t="str">
        <f t="shared" si="308"/>
        <v/>
      </c>
      <c r="BM347" s="20"/>
      <c r="BN347" s="20"/>
      <c r="BO347" s="125" t="str">
        <f t="shared" si="309"/>
        <v/>
      </c>
      <c r="BP347" s="14"/>
      <c r="BQ347" s="125" t="str">
        <f t="shared" si="310"/>
        <v/>
      </c>
      <c r="BR347" s="20"/>
      <c r="BS347" s="20"/>
      <c r="BT347" s="125" t="str">
        <f t="shared" si="311"/>
        <v/>
      </c>
      <c r="BU347" s="125" t="str">
        <f t="shared" si="312"/>
        <v/>
      </c>
      <c r="BV347" s="125" t="str">
        <f t="shared" si="313"/>
        <v/>
      </c>
      <c r="BW347" s="129" t="str">
        <f t="shared" si="314"/>
        <v/>
      </c>
      <c r="BX347" s="13"/>
      <c r="BY347" s="15"/>
      <c r="BZ347" s="14"/>
      <c r="CA347" s="117" t="str">
        <f>IF(_xlfn.XLOOKUP(BY347, AutoFill_classes!$A:$A, AutoFill_classes!$B:$B,"")=0,"",_xlfn.XLOOKUP(BY347, AutoFill_classes!$A:$A, AutoFill_classes!$B:$B,""))</f>
        <v/>
      </c>
      <c r="CB347" s="108"/>
      <c r="CC347" s="14"/>
      <c r="CD347" s="14"/>
      <c r="CE347" s="14"/>
      <c r="CF347" s="21"/>
      <c r="CG347" s="22"/>
      <c r="CH347" s="63"/>
      <c r="CI347" s="23"/>
      <c r="CJ347" s="121" t="str">
        <f t="shared" si="315"/>
        <v/>
      </c>
      <c r="CK347" s="20"/>
      <c r="CL347" s="20"/>
      <c r="CM347" s="20"/>
      <c r="CN347" s="20"/>
      <c r="CO347" s="125" t="str">
        <f t="shared" si="316"/>
        <v/>
      </c>
      <c r="CP347" s="14"/>
      <c r="CQ347" s="125" t="str">
        <f t="shared" si="317"/>
        <v/>
      </c>
      <c r="CR347" s="20"/>
      <c r="CS347" s="20"/>
      <c r="CT347" s="125" t="str">
        <f t="shared" si="318"/>
        <v/>
      </c>
      <c r="CU347" s="14"/>
      <c r="CV347" s="125" t="str">
        <f t="shared" si="319"/>
        <v/>
      </c>
      <c r="CW347" s="20"/>
      <c r="CX347" s="20"/>
      <c r="CY347" s="125" t="str">
        <f t="shared" si="320"/>
        <v/>
      </c>
      <c r="CZ347" s="125" t="str">
        <f t="shared" si="321"/>
        <v/>
      </c>
      <c r="DA347" s="125" t="str">
        <f t="shared" si="322"/>
        <v/>
      </c>
      <c r="DB347" s="129" t="str">
        <f t="shared" si="323"/>
        <v/>
      </c>
      <c r="DC347" s="14"/>
      <c r="DD347" s="62"/>
      <c r="DE347" s="105">
        <v>345</v>
      </c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</row>
    <row r="348" spans="1:176" s="1" customFormat="1" ht="13" hidden="1" customHeight="1" outlineLevel="1" x14ac:dyDescent="0.2">
      <c r="A348" s="4"/>
      <c r="B348" s="115" t="str">
        <f>IF(_xlfn.XLOOKUP(A348, AutoFill_names!B:B, AutoFill_names!C:C,"")=0,"",_xlfn.XLOOKUP(A348, AutoFill_names!B:B, AutoFill_names!C:C,""))</f>
        <v/>
      </c>
      <c r="C348" s="115" t="str">
        <f>IF(_xlfn.XLOOKUP(A348, AutoFill_names!B:B, AutoFill_names!D:D,"")=0,"",_xlfn.XLOOKUP(A348, AutoFill_names!B:B, AutoFill_names!D:D,""))</f>
        <v/>
      </c>
      <c r="D348" s="115" t="str">
        <f>IF(_xlfn.XLOOKUP(A348, AutoFill_names!B:B, AutoFill_names!E:E,"")=0,"",_xlfn.XLOOKUP(A348, AutoFill_names!B:B, AutoFill_names!E:E,""))</f>
        <v/>
      </c>
      <c r="E348" s="115" t="str">
        <f>IF(_xlfn.XLOOKUP(A348, AutoFill_names!B:B, AutoFill_names!F:F,"")=0,"",_xlfn.XLOOKUP(A348, AutoFill_names!B:B, AutoFill_names!F:F,""))</f>
        <v/>
      </c>
      <c r="F348" s="92"/>
      <c r="J348" s="115" t="str">
        <f>IF(_xlfn.XLOOKUP(A348, AutoFill_names!B:B, AutoFill_names!K:K,"")=0,"",_xlfn.XLOOKUP(A348, AutoFill_names!B:B, AutoFill_names!K:K,""))</f>
        <v/>
      </c>
      <c r="K348" s="115" t="str">
        <f>IF(_xlfn.XLOOKUP(A348, AutoFill_names!B:B, AutoFill_names!L:L,"")=0,"",_xlfn.XLOOKUP(A348, AutoFill_names!B:B, AutoFill_names!L:L,""))</f>
        <v/>
      </c>
      <c r="L348" s="2"/>
      <c r="M348" s="2"/>
      <c r="N348" s="117" t="str">
        <f>IF(_xlfn.XLOOKUP(L348, AutoFill_classes!A:A, AutoFill_classes!B:B,"")=0,"",_xlfn.XLOOKUP(L348, AutoFill_classes!A:A, AutoFill_classes!B:B,""))</f>
        <v/>
      </c>
      <c r="O348" s="108"/>
      <c r="P348" s="7"/>
      <c r="Q348" s="7"/>
      <c r="R348" s="7"/>
      <c r="S348" s="2"/>
      <c r="T348" s="2"/>
      <c r="U348" s="2"/>
      <c r="X348" s="63"/>
      <c r="Y348" s="19"/>
      <c r="Z348" s="121" t="str">
        <f t="shared" si="297"/>
        <v/>
      </c>
      <c r="AA348" s="20"/>
      <c r="AB348" s="20"/>
      <c r="AC348" s="20"/>
      <c r="AD348" s="20"/>
      <c r="AE348" s="125" t="str">
        <f t="shared" si="298"/>
        <v/>
      </c>
      <c r="AF348" s="14"/>
      <c r="AG348" s="125" t="str">
        <f t="shared" si="299"/>
        <v/>
      </c>
      <c r="AH348" s="20"/>
      <c r="AI348" s="20"/>
      <c r="AJ348" s="125" t="str">
        <f t="shared" si="300"/>
        <v/>
      </c>
      <c r="AK348" s="14"/>
      <c r="AL348" s="125" t="str">
        <f t="shared" si="301"/>
        <v/>
      </c>
      <c r="AM348" s="20"/>
      <c r="AN348" s="20"/>
      <c r="AO348" s="125" t="str">
        <f t="shared" si="302"/>
        <v/>
      </c>
      <c r="AP348" s="125" t="str">
        <f t="shared" si="303"/>
        <v/>
      </c>
      <c r="AQ348" s="125" t="str">
        <f t="shared" si="304"/>
        <v/>
      </c>
      <c r="AR348" s="129" t="str">
        <f t="shared" si="305"/>
        <v/>
      </c>
      <c r="AS348" s="14"/>
      <c r="AT348" s="32"/>
      <c r="AU348" s="32"/>
      <c r="AV348" s="117" t="str">
        <f>IF(_xlfn.XLOOKUP(AT348, AutoFill_classes!$A:$A, AutoFill_classes!$B:$B,"")=0,"",_xlfn.XLOOKUP(AT348, AutoFill_classes!$A:$A, AutoFill_classes!$B:$B,""))</f>
        <v/>
      </c>
      <c r="AW348" s="108"/>
      <c r="AX348" s="13"/>
      <c r="AY348" s="13"/>
      <c r="AZ348" s="13"/>
      <c r="BA348" s="13"/>
      <c r="BB348" s="13"/>
      <c r="BC348" s="63"/>
      <c r="BD348" s="18"/>
      <c r="BE348" s="121" t="str">
        <f t="shared" si="306"/>
        <v/>
      </c>
      <c r="BF348" s="20"/>
      <c r="BG348" s="20"/>
      <c r="BH348" s="20"/>
      <c r="BI348" s="20"/>
      <c r="BJ348" s="125" t="str">
        <f t="shared" si="307"/>
        <v/>
      </c>
      <c r="BK348" s="14"/>
      <c r="BL348" s="125" t="str">
        <f t="shared" si="308"/>
        <v/>
      </c>
      <c r="BM348" s="20"/>
      <c r="BN348" s="20"/>
      <c r="BO348" s="125" t="str">
        <f t="shared" si="309"/>
        <v/>
      </c>
      <c r="BP348" s="14"/>
      <c r="BQ348" s="125" t="str">
        <f t="shared" si="310"/>
        <v/>
      </c>
      <c r="BR348" s="20"/>
      <c r="BS348" s="20"/>
      <c r="BT348" s="125" t="str">
        <f t="shared" si="311"/>
        <v/>
      </c>
      <c r="BU348" s="125" t="str">
        <f t="shared" si="312"/>
        <v/>
      </c>
      <c r="BV348" s="125" t="str">
        <f t="shared" si="313"/>
        <v/>
      </c>
      <c r="BW348" s="129" t="str">
        <f t="shared" si="314"/>
        <v/>
      </c>
      <c r="BX348" s="13"/>
      <c r="BY348" s="15"/>
      <c r="BZ348" s="14"/>
      <c r="CA348" s="117" t="str">
        <f>IF(_xlfn.XLOOKUP(BY348, AutoFill_classes!$A:$A, AutoFill_classes!$B:$B,"")=0,"",_xlfn.XLOOKUP(BY348, AutoFill_classes!$A:$A, AutoFill_classes!$B:$B,""))</f>
        <v/>
      </c>
      <c r="CB348" s="108"/>
      <c r="CC348" s="14"/>
      <c r="CD348" s="14"/>
      <c r="CE348" s="14"/>
      <c r="CF348" s="21"/>
      <c r="CG348" s="22"/>
      <c r="CH348" s="63"/>
      <c r="CI348" s="23"/>
      <c r="CJ348" s="121" t="str">
        <f t="shared" si="315"/>
        <v/>
      </c>
      <c r="CK348" s="20"/>
      <c r="CL348" s="20"/>
      <c r="CM348" s="20"/>
      <c r="CN348" s="20"/>
      <c r="CO348" s="125" t="str">
        <f t="shared" si="316"/>
        <v/>
      </c>
      <c r="CP348" s="14"/>
      <c r="CQ348" s="125" t="str">
        <f t="shared" si="317"/>
        <v/>
      </c>
      <c r="CR348" s="20"/>
      <c r="CS348" s="20"/>
      <c r="CT348" s="125" t="str">
        <f t="shared" si="318"/>
        <v/>
      </c>
      <c r="CU348" s="14"/>
      <c r="CV348" s="125" t="str">
        <f t="shared" si="319"/>
        <v/>
      </c>
      <c r="CW348" s="20"/>
      <c r="CX348" s="20"/>
      <c r="CY348" s="125" t="str">
        <f t="shared" si="320"/>
        <v/>
      </c>
      <c r="CZ348" s="125" t="str">
        <f t="shared" si="321"/>
        <v/>
      </c>
      <c r="DA348" s="125" t="str">
        <f t="shared" si="322"/>
        <v/>
      </c>
      <c r="DB348" s="129" t="str">
        <f t="shared" si="323"/>
        <v/>
      </c>
      <c r="DC348" s="14"/>
      <c r="DD348" s="62"/>
      <c r="DE348" s="105">
        <v>346</v>
      </c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</row>
    <row r="349" spans="1:176" s="1" customFormat="1" ht="13" hidden="1" customHeight="1" outlineLevel="1" x14ac:dyDescent="0.2">
      <c r="A349" s="4"/>
      <c r="B349" s="115" t="str">
        <f>IF(_xlfn.XLOOKUP(A349, AutoFill_names!B:B, AutoFill_names!C:C,"")=0,"",_xlfn.XLOOKUP(A349, AutoFill_names!B:B, AutoFill_names!C:C,""))</f>
        <v/>
      </c>
      <c r="C349" s="115" t="str">
        <f>IF(_xlfn.XLOOKUP(A349, AutoFill_names!B:B, AutoFill_names!D:D,"")=0,"",_xlfn.XLOOKUP(A349, AutoFill_names!B:B, AutoFill_names!D:D,""))</f>
        <v/>
      </c>
      <c r="D349" s="115" t="str">
        <f>IF(_xlfn.XLOOKUP(A349, AutoFill_names!B:B, AutoFill_names!E:E,"")=0,"",_xlfn.XLOOKUP(A349, AutoFill_names!B:B, AutoFill_names!E:E,""))</f>
        <v/>
      </c>
      <c r="E349" s="115" t="str">
        <f>IF(_xlfn.XLOOKUP(A349, AutoFill_names!B:B, AutoFill_names!F:F,"")=0,"",_xlfn.XLOOKUP(A349, AutoFill_names!B:B, AutoFill_names!F:F,""))</f>
        <v/>
      </c>
      <c r="F349" s="92"/>
      <c r="J349" s="115" t="str">
        <f>IF(_xlfn.XLOOKUP(A349, AutoFill_names!B:B, AutoFill_names!K:K,"")=0,"",_xlfn.XLOOKUP(A349, AutoFill_names!B:B, AutoFill_names!K:K,""))</f>
        <v/>
      </c>
      <c r="K349" s="115" t="str">
        <f>IF(_xlfn.XLOOKUP(A349, AutoFill_names!B:B, AutoFill_names!L:L,"")=0,"",_xlfn.XLOOKUP(A349, AutoFill_names!B:B, AutoFill_names!L:L,""))</f>
        <v/>
      </c>
      <c r="L349" s="2"/>
      <c r="M349" s="2"/>
      <c r="N349" s="117" t="str">
        <f>IF(_xlfn.XLOOKUP(L349, AutoFill_classes!A:A, AutoFill_classes!B:B,"")=0,"",_xlfn.XLOOKUP(L349, AutoFill_classes!A:A, AutoFill_classes!B:B,""))</f>
        <v/>
      </c>
      <c r="O349" s="108"/>
      <c r="P349" s="7"/>
      <c r="Q349" s="7"/>
      <c r="R349" s="7"/>
      <c r="S349" s="2"/>
      <c r="T349" s="2"/>
      <c r="U349" s="2"/>
      <c r="X349" s="63"/>
      <c r="Y349" s="19"/>
      <c r="Z349" s="121" t="str">
        <f t="shared" si="297"/>
        <v/>
      </c>
      <c r="AA349" s="20"/>
      <c r="AB349" s="20"/>
      <c r="AC349" s="20"/>
      <c r="AD349" s="20"/>
      <c r="AE349" s="125" t="str">
        <f t="shared" si="298"/>
        <v/>
      </c>
      <c r="AF349" s="14"/>
      <c r="AG349" s="125" t="str">
        <f t="shared" si="299"/>
        <v/>
      </c>
      <c r="AH349" s="20"/>
      <c r="AI349" s="20"/>
      <c r="AJ349" s="125" t="str">
        <f t="shared" si="300"/>
        <v/>
      </c>
      <c r="AK349" s="14"/>
      <c r="AL349" s="125" t="str">
        <f t="shared" si="301"/>
        <v/>
      </c>
      <c r="AM349" s="20"/>
      <c r="AN349" s="20"/>
      <c r="AO349" s="125" t="str">
        <f t="shared" si="302"/>
        <v/>
      </c>
      <c r="AP349" s="125" t="str">
        <f t="shared" si="303"/>
        <v/>
      </c>
      <c r="AQ349" s="125" t="str">
        <f t="shared" si="304"/>
        <v/>
      </c>
      <c r="AR349" s="129" t="str">
        <f t="shared" si="305"/>
        <v/>
      </c>
      <c r="AS349" s="14"/>
      <c r="AT349" s="32"/>
      <c r="AU349" s="32"/>
      <c r="AV349" s="117" t="str">
        <f>IF(_xlfn.XLOOKUP(AT349, AutoFill_classes!$A:$A, AutoFill_classes!$B:$B,"")=0,"",_xlfn.XLOOKUP(AT349, AutoFill_classes!$A:$A, AutoFill_classes!$B:$B,""))</f>
        <v/>
      </c>
      <c r="AW349" s="108"/>
      <c r="AX349" s="13"/>
      <c r="AY349" s="13"/>
      <c r="AZ349" s="13"/>
      <c r="BA349" s="13"/>
      <c r="BB349" s="13"/>
      <c r="BC349" s="63"/>
      <c r="BD349" s="18"/>
      <c r="BE349" s="121" t="str">
        <f t="shared" si="306"/>
        <v/>
      </c>
      <c r="BF349" s="20"/>
      <c r="BG349" s="20"/>
      <c r="BH349" s="20"/>
      <c r="BI349" s="20"/>
      <c r="BJ349" s="125" t="str">
        <f t="shared" si="307"/>
        <v/>
      </c>
      <c r="BK349" s="14"/>
      <c r="BL349" s="125" t="str">
        <f t="shared" si="308"/>
        <v/>
      </c>
      <c r="BM349" s="20"/>
      <c r="BN349" s="20"/>
      <c r="BO349" s="125" t="str">
        <f t="shared" si="309"/>
        <v/>
      </c>
      <c r="BP349" s="14"/>
      <c r="BQ349" s="125" t="str">
        <f t="shared" si="310"/>
        <v/>
      </c>
      <c r="BR349" s="20"/>
      <c r="BS349" s="20"/>
      <c r="BT349" s="125" t="str">
        <f t="shared" si="311"/>
        <v/>
      </c>
      <c r="BU349" s="125" t="str">
        <f t="shared" si="312"/>
        <v/>
      </c>
      <c r="BV349" s="125" t="str">
        <f t="shared" si="313"/>
        <v/>
      </c>
      <c r="BW349" s="129" t="str">
        <f t="shared" si="314"/>
        <v/>
      </c>
      <c r="BX349" s="13"/>
      <c r="BY349" s="15"/>
      <c r="BZ349" s="14"/>
      <c r="CA349" s="117" t="str">
        <f>IF(_xlfn.XLOOKUP(BY349, AutoFill_classes!$A:$A, AutoFill_classes!$B:$B,"")=0,"",_xlfn.XLOOKUP(BY349, AutoFill_classes!$A:$A, AutoFill_classes!$B:$B,""))</f>
        <v/>
      </c>
      <c r="CB349" s="108"/>
      <c r="CC349" s="14"/>
      <c r="CD349" s="14"/>
      <c r="CE349" s="14"/>
      <c r="CF349" s="21"/>
      <c r="CG349" s="22"/>
      <c r="CH349" s="63"/>
      <c r="CI349" s="23"/>
      <c r="CJ349" s="121" t="str">
        <f t="shared" si="315"/>
        <v/>
      </c>
      <c r="CK349" s="20"/>
      <c r="CL349" s="20"/>
      <c r="CM349" s="20"/>
      <c r="CN349" s="20"/>
      <c r="CO349" s="125" t="str">
        <f t="shared" si="316"/>
        <v/>
      </c>
      <c r="CP349" s="14"/>
      <c r="CQ349" s="125" t="str">
        <f t="shared" si="317"/>
        <v/>
      </c>
      <c r="CR349" s="20"/>
      <c r="CS349" s="20"/>
      <c r="CT349" s="125" t="str">
        <f t="shared" si="318"/>
        <v/>
      </c>
      <c r="CU349" s="14"/>
      <c r="CV349" s="125" t="str">
        <f t="shared" si="319"/>
        <v/>
      </c>
      <c r="CW349" s="20"/>
      <c r="CX349" s="20"/>
      <c r="CY349" s="125" t="str">
        <f t="shared" si="320"/>
        <v/>
      </c>
      <c r="CZ349" s="125" t="str">
        <f t="shared" si="321"/>
        <v/>
      </c>
      <c r="DA349" s="125" t="str">
        <f t="shared" si="322"/>
        <v/>
      </c>
      <c r="DB349" s="129" t="str">
        <f t="shared" si="323"/>
        <v/>
      </c>
      <c r="DC349" s="14"/>
      <c r="DD349" s="62"/>
      <c r="DE349" s="105">
        <v>347</v>
      </c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</row>
    <row r="350" spans="1:176" s="1" customFormat="1" ht="13" hidden="1" customHeight="1" outlineLevel="1" x14ac:dyDescent="0.2">
      <c r="A350" s="4"/>
      <c r="B350" s="115" t="str">
        <f>IF(_xlfn.XLOOKUP(A350, AutoFill_names!B:B, AutoFill_names!C:C,"")=0,"",_xlfn.XLOOKUP(A350, AutoFill_names!B:B, AutoFill_names!C:C,""))</f>
        <v/>
      </c>
      <c r="C350" s="115" t="str">
        <f>IF(_xlfn.XLOOKUP(A350, AutoFill_names!B:B, AutoFill_names!D:D,"")=0,"",_xlfn.XLOOKUP(A350, AutoFill_names!B:B, AutoFill_names!D:D,""))</f>
        <v/>
      </c>
      <c r="D350" s="115" t="str">
        <f>IF(_xlfn.XLOOKUP(A350, AutoFill_names!B:B, AutoFill_names!E:E,"")=0,"",_xlfn.XLOOKUP(A350, AutoFill_names!B:B, AutoFill_names!E:E,""))</f>
        <v/>
      </c>
      <c r="E350" s="115" t="str">
        <f>IF(_xlfn.XLOOKUP(A350, AutoFill_names!B:B, AutoFill_names!F:F,"")=0,"",_xlfn.XLOOKUP(A350, AutoFill_names!B:B, AutoFill_names!F:F,""))</f>
        <v/>
      </c>
      <c r="F350" s="92"/>
      <c r="J350" s="115" t="str">
        <f>IF(_xlfn.XLOOKUP(A350, AutoFill_names!B:B, AutoFill_names!K:K,"")=0,"",_xlfn.XLOOKUP(A350, AutoFill_names!B:B, AutoFill_names!K:K,""))</f>
        <v/>
      </c>
      <c r="K350" s="115" t="str">
        <f>IF(_xlfn.XLOOKUP(A350, AutoFill_names!B:B, AutoFill_names!L:L,"")=0,"",_xlfn.XLOOKUP(A350, AutoFill_names!B:B, AutoFill_names!L:L,""))</f>
        <v/>
      </c>
      <c r="L350" s="2"/>
      <c r="M350" s="2"/>
      <c r="N350" s="117" t="str">
        <f>IF(_xlfn.XLOOKUP(L350, AutoFill_classes!A:A, AutoFill_classes!B:B,"")=0,"",_xlfn.XLOOKUP(L350, AutoFill_classes!A:A, AutoFill_classes!B:B,""))</f>
        <v/>
      </c>
      <c r="O350" s="108"/>
      <c r="P350" s="7"/>
      <c r="Q350" s="7"/>
      <c r="R350" s="7"/>
      <c r="S350" s="2"/>
      <c r="T350" s="2"/>
      <c r="U350" s="2"/>
      <c r="X350" s="63"/>
      <c r="Y350" s="19"/>
      <c r="Z350" s="121" t="str">
        <f t="shared" si="297"/>
        <v/>
      </c>
      <c r="AA350" s="20"/>
      <c r="AB350" s="20"/>
      <c r="AC350" s="20"/>
      <c r="AD350" s="20"/>
      <c r="AE350" s="125" t="str">
        <f t="shared" si="298"/>
        <v/>
      </c>
      <c r="AF350" s="14"/>
      <c r="AG350" s="125" t="str">
        <f t="shared" si="299"/>
        <v/>
      </c>
      <c r="AH350" s="20"/>
      <c r="AI350" s="20"/>
      <c r="AJ350" s="125" t="str">
        <f t="shared" si="300"/>
        <v/>
      </c>
      <c r="AK350" s="14"/>
      <c r="AL350" s="125" t="str">
        <f t="shared" si="301"/>
        <v/>
      </c>
      <c r="AM350" s="20"/>
      <c r="AN350" s="20"/>
      <c r="AO350" s="125" t="str">
        <f t="shared" si="302"/>
        <v/>
      </c>
      <c r="AP350" s="125" t="str">
        <f t="shared" si="303"/>
        <v/>
      </c>
      <c r="AQ350" s="125" t="str">
        <f t="shared" si="304"/>
        <v/>
      </c>
      <c r="AR350" s="129" t="str">
        <f t="shared" si="305"/>
        <v/>
      </c>
      <c r="AS350" s="14"/>
      <c r="AT350" s="32"/>
      <c r="AU350" s="32"/>
      <c r="AV350" s="117" t="str">
        <f>IF(_xlfn.XLOOKUP(AT350, AutoFill_classes!$A:$A, AutoFill_classes!$B:$B,"")=0,"",_xlfn.XLOOKUP(AT350, AutoFill_classes!$A:$A, AutoFill_classes!$B:$B,""))</f>
        <v/>
      </c>
      <c r="AW350" s="108"/>
      <c r="AX350" s="13"/>
      <c r="AY350" s="13"/>
      <c r="AZ350" s="13"/>
      <c r="BA350" s="13"/>
      <c r="BB350" s="13"/>
      <c r="BC350" s="63"/>
      <c r="BD350" s="18"/>
      <c r="BE350" s="121" t="str">
        <f t="shared" si="306"/>
        <v/>
      </c>
      <c r="BF350" s="20"/>
      <c r="BG350" s="20"/>
      <c r="BH350" s="20"/>
      <c r="BI350" s="20"/>
      <c r="BJ350" s="125" t="str">
        <f t="shared" si="307"/>
        <v/>
      </c>
      <c r="BK350" s="14"/>
      <c r="BL350" s="125" t="str">
        <f t="shared" si="308"/>
        <v/>
      </c>
      <c r="BM350" s="20"/>
      <c r="BN350" s="20"/>
      <c r="BO350" s="125" t="str">
        <f t="shared" si="309"/>
        <v/>
      </c>
      <c r="BP350" s="14"/>
      <c r="BQ350" s="125" t="str">
        <f t="shared" si="310"/>
        <v/>
      </c>
      <c r="BR350" s="20"/>
      <c r="BS350" s="20"/>
      <c r="BT350" s="125" t="str">
        <f t="shared" si="311"/>
        <v/>
      </c>
      <c r="BU350" s="125" t="str">
        <f t="shared" si="312"/>
        <v/>
      </c>
      <c r="BV350" s="125" t="str">
        <f t="shared" si="313"/>
        <v/>
      </c>
      <c r="BW350" s="129" t="str">
        <f t="shared" si="314"/>
        <v/>
      </c>
      <c r="BX350" s="13"/>
      <c r="BY350" s="15"/>
      <c r="BZ350" s="14"/>
      <c r="CA350" s="117" t="str">
        <f>IF(_xlfn.XLOOKUP(BY350, AutoFill_classes!$A:$A, AutoFill_classes!$B:$B,"")=0,"",_xlfn.XLOOKUP(BY350, AutoFill_classes!$A:$A, AutoFill_classes!$B:$B,""))</f>
        <v/>
      </c>
      <c r="CB350" s="108"/>
      <c r="CC350" s="14"/>
      <c r="CD350" s="14"/>
      <c r="CE350" s="14"/>
      <c r="CF350" s="21"/>
      <c r="CG350" s="22"/>
      <c r="CH350" s="63"/>
      <c r="CI350" s="23"/>
      <c r="CJ350" s="121" t="str">
        <f t="shared" si="315"/>
        <v/>
      </c>
      <c r="CK350" s="20"/>
      <c r="CL350" s="20"/>
      <c r="CM350" s="20"/>
      <c r="CN350" s="20"/>
      <c r="CO350" s="125" t="str">
        <f t="shared" si="316"/>
        <v/>
      </c>
      <c r="CP350" s="14"/>
      <c r="CQ350" s="125" t="str">
        <f t="shared" si="317"/>
        <v/>
      </c>
      <c r="CR350" s="20"/>
      <c r="CS350" s="20"/>
      <c r="CT350" s="125" t="str">
        <f t="shared" si="318"/>
        <v/>
      </c>
      <c r="CU350" s="14"/>
      <c r="CV350" s="125" t="str">
        <f t="shared" si="319"/>
        <v/>
      </c>
      <c r="CW350" s="20"/>
      <c r="CX350" s="20"/>
      <c r="CY350" s="125" t="str">
        <f t="shared" si="320"/>
        <v/>
      </c>
      <c r="CZ350" s="125" t="str">
        <f t="shared" si="321"/>
        <v/>
      </c>
      <c r="DA350" s="125" t="str">
        <f t="shared" si="322"/>
        <v/>
      </c>
      <c r="DB350" s="129" t="str">
        <f t="shared" si="323"/>
        <v/>
      </c>
      <c r="DC350" s="14"/>
      <c r="DD350" s="62"/>
      <c r="DE350" s="105">
        <v>348</v>
      </c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</row>
    <row r="351" spans="1:176" s="1" customFormat="1" ht="13" hidden="1" customHeight="1" outlineLevel="1" x14ac:dyDescent="0.2">
      <c r="A351" s="4"/>
      <c r="B351" s="115" t="str">
        <f>IF(_xlfn.XLOOKUP(A351, AutoFill_names!B:B, AutoFill_names!C:C,"")=0,"",_xlfn.XLOOKUP(A351, AutoFill_names!B:B, AutoFill_names!C:C,""))</f>
        <v/>
      </c>
      <c r="C351" s="115" t="str">
        <f>IF(_xlfn.XLOOKUP(A351, AutoFill_names!B:B, AutoFill_names!D:D,"")=0,"",_xlfn.XLOOKUP(A351, AutoFill_names!B:B, AutoFill_names!D:D,""))</f>
        <v/>
      </c>
      <c r="D351" s="115" t="str">
        <f>IF(_xlfn.XLOOKUP(A351, AutoFill_names!B:B, AutoFill_names!E:E,"")=0,"",_xlfn.XLOOKUP(A351, AutoFill_names!B:B, AutoFill_names!E:E,""))</f>
        <v/>
      </c>
      <c r="E351" s="115" t="str">
        <f>IF(_xlfn.XLOOKUP(A351, AutoFill_names!B:B, AutoFill_names!F:F,"")=0,"",_xlfn.XLOOKUP(A351, AutoFill_names!B:B, AutoFill_names!F:F,""))</f>
        <v/>
      </c>
      <c r="F351" s="92"/>
      <c r="J351" s="115" t="str">
        <f>IF(_xlfn.XLOOKUP(A351, AutoFill_names!B:B, AutoFill_names!K:K,"")=0,"",_xlfn.XLOOKUP(A351, AutoFill_names!B:B, AutoFill_names!K:K,""))</f>
        <v/>
      </c>
      <c r="K351" s="115" t="str">
        <f>IF(_xlfn.XLOOKUP(A351, AutoFill_names!B:B, AutoFill_names!L:L,"")=0,"",_xlfn.XLOOKUP(A351, AutoFill_names!B:B, AutoFill_names!L:L,""))</f>
        <v/>
      </c>
      <c r="L351" s="2"/>
      <c r="M351" s="2"/>
      <c r="N351" s="117" t="str">
        <f>IF(_xlfn.XLOOKUP(L351, AutoFill_classes!A:A, AutoFill_classes!B:B,"")=0,"",_xlfn.XLOOKUP(L351, AutoFill_classes!A:A, AutoFill_classes!B:B,""))</f>
        <v/>
      </c>
      <c r="O351" s="108"/>
      <c r="P351" s="7"/>
      <c r="Q351" s="7"/>
      <c r="R351" s="7"/>
      <c r="S351" s="2"/>
      <c r="T351" s="2"/>
      <c r="U351" s="2"/>
      <c r="X351" s="63"/>
      <c r="Y351" s="19"/>
      <c r="Z351" s="121" t="str">
        <f t="shared" si="297"/>
        <v/>
      </c>
      <c r="AA351" s="20"/>
      <c r="AB351" s="20"/>
      <c r="AC351" s="20"/>
      <c r="AD351" s="20"/>
      <c r="AE351" s="125" t="str">
        <f t="shared" si="298"/>
        <v/>
      </c>
      <c r="AF351" s="14"/>
      <c r="AG351" s="125" t="str">
        <f t="shared" si="299"/>
        <v/>
      </c>
      <c r="AH351" s="20"/>
      <c r="AI351" s="20"/>
      <c r="AJ351" s="125" t="str">
        <f t="shared" si="300"/>
        <v/>
      </c>
      <c r="AK351" s="14"/>
      <c r="AL351" s="125" t="str">
        <f t="shared" si="301"/>
        <v/>
      </c>
      <c r="AM351" s="20"/>
      <c r="AN351" s="20"/>
      <c r="AO351" s="125" t="str">
        <f t="shared" si="302"/>
        <v/>
      </c>
      <c r="AP351" s="125" t="str">
        <f t="shared" si="303"/>
        <v/>
      </c>
      <c r="AQ351" s="125" t="str">
        <f t="shared" si="304"/>
        <v/>
      </c>
      <c r="AR351" s="129" t="str">
        <f t="shared" si="305"/>
        <v/>
      </c>
      <c r="AS351" s="14"/>
      <c r="AT351" s="32"/>
      <c r="AU351" s="32"/>
      <c r="AV351" s="117" t="str">
        <f>IF(_xlfn.XLOOKUP(AT351, AutoFill_classes!$A:$A, AutoFill_classes!$B:$B,"")=0,"",_xlfn.XLOOKUP(AT351, AutoFill_classes!$A:$A, AutoFill_classes!$B:$B,""))</f>
        <v/>
      </c>
      <c r="AW351" s="108"/>
      <c r="AX351" s="13"/>
      <c r="AY351" s="13"/>
      <c r="AZ351" s="13"/>
      <c r="BA351" s="13"/>
      <c r="BB351" s="13"/>
      <c r="BC351" s="63"/>
      <c r="BD351" s="18"/>
      <c r="BE351" s="121" t="str">
        <f t="shared" si="306"/>
        <v/>
      </c>
      <c r="BF351" s="20"/>
      <c r="BG351" s="20"/>
      <c r="BH351" s="20"/>
      <c r="BI351" s="20"/>
      <c r="BJ351" s="125" t="str">
        <f t="shared" si="307"/>
        <v/>
      </c>
      <c r="BK351" s="14"/>
      <c r="BL351" s="125" t="str">
        <f t="shared" si="308"/>
        <v/>
      </c>
      <c r="BM351" s="20"/>
      <c r="BN351" s="20"/>
      <c r="BO351" s="125" t="str">
        <f t="shared" si="309"/>
        <v/>
      </c>
      <c r="BP351" s="14"/>
      <c r="BQ351" s="125" t="str">
        <f t="shared" si="310"/>
        <v/>
      </c>
      <c r="BR351" s="20"/>
      <c r="BS351" s="20"/>
      <c r="BT351" s="125" t="str">
        <f t="shared" si="311"/>
        <v/>
      </c>
      <c r="BU351" s="125" t="str">
        <f t="shared" si="312"/>
        <v/>
      </c>
      <c r="BV351" s="125" t="str">
        <f t="shared" si="313"/>
        <v/>
      </c>
      <c r="BW351" s="129" t="str">
        <f t="shared" si="314"/>
        <v/>
      </c>
      <c r="BX351" s="13"/>
      <c r="BY351" s="15"/>
      <c r="BZ351" s="14"/>
      <c r="CA351" s="117" t="str">
        <f>IF(_xlfn.XLOOKUP(BY351, AutoFill_classes!$A:$A, AutoFill_classes!$B:$B,"")=0,"",_xlfn.XLOOKUP(BY351, AutoFill_classes!$A:$A, AutoFill_classes!$B:$B,""))</f>
        <v/>
      </c>
      <c r="CB351" s="108"/>
      <c r="CC351" s="14"/>
      <c r="CD351" s="14"/>
      <c r="CE351" s="14"/>
      <c r="CF351" s="21"/>
      <c r="CG351" s="22"/>
      <c r="CH351" s="63"/>
      <c r="CI351" s="23"/>
      <c r="CJ351" s="121" t="str">
        <f t="shared" si="315"/>
        <v/>
      </c>
      <c r="CK351" s="20"/>
      <c r="CL351" s="20"/>
      <c r="CM351" s="20"/>
      <c r="CN351" s="20"/>
      <c r="CO351" s="125" t="str">
        <f t="shared" si="316"/>
        <v/>
      </c>
      <c r="CP351" s="14"/>
      <c r="CQ351" s="125" t="str">
        <f t="shared" si="317"/>
        <v/>
      </c>
      <c r="CR351" s="20"/>
      <c r="CS351" s="20"/>
      <c r="CT351" s="125" t="str">
        <f t="shared" si="318"/>
        <v/>
      </c>
      <c r="CU351" s="14"/>
      <c r="CV351" s="125" t="str">
        <f t="shared" si="319"/>
        <v/>
      </c>
      <c r="CW351" s="20"/>
      <c r="CX351" s="20"/>
      <c r="CY351" s="125" t="str">
        <f t="shared" si="320"/>
        <v/>
      </c>
      <c r="CZ351" s="125" t="str">
        <f t="shared" si="321"/>
        <v/>
      </c>
      <c r="DA351" s="125" t="str">
        <f t="shared" si="322"/>
        <v/>
      </c>
      <c r="DB351" s="129" t="str">
        <f t="shared" si="323"/>
        <v/>
      </c>
      <c r="DC351" s="14"/>
      <c r="DD351" s="62"/>
      <c r="DE351" s="105">
        <v>349</v>
      </c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</row>
    <row r="352" spans="1:176" s="1" customFormat="1" ht="13" hidden="1" customHeight="1" outlineLevel="1" x14ac:dyDescent="0.2">
      <c r="A352" s="4"/>
      <c r="B352" s="115" t="str">
        <f>IF(_xlfn.XLOOKUP(A352, AutoFill_names!B:B, AutoFill_names!C:C,"")=0,"",_xlfn.XLOOKUP(A352, AutoFill_names!B:B, AutoFill_names!C:C,""))</f>
        <v/>
      </c>
      <c r="C352" s="115" t="str">
        <f>IF(_xlfn.XLOOKUP(A352, AutoFill_names!B:B, AutoFill_names!D:D,"")=0,"",_xlfn.XLOOKUP(A352, AutoFill_names!B:B, AutoFill_names!D:D,""))</f>
        <v/>
      </c>
      <c r="D352" s="115" t="str">
        <f>IF(_xlfn.XLOOKUP(A352, AutoFill_names!B:B, AutoFill_names!E:E,"")=0,"",_xlfn.XLOOKUP(A352, AutoFill_names!B:B, AutoFill_names!E:E,""))</f>
        <v/>
      </c>
      <c r="E352" s="115" t="str">
        <f>IF(_xlfn.XLOOKUP(A352, AutoFill_names!B:B, AutoFill_names!F:F,"")=0,"",_xlfn.XLOOKUP(A352, AutoFill_names!B:B, AutoFill_names!F:F,""))</f>
        <v/>
      </c>
      <c r="F352" s="92"/>
      <c r="J352" s="115" t="str">
        <f>IF(_xlfn.XLOOKUP(A352, AutoFill_names!B:B, AutoFill_names!K:K,"")=0,"",_xlfn.XLOOKUP(A352, AutoFill_names!B:B, AutoFill_names!K:K,""))</f>
        <v/>
      </c>
      <c r="K352" s="115" t="str">
        <f>IF(_xlfn.XLOOKUP(A352, AutoFill_names!B:B, AutoFill_names!L:L,"")=0,"",_xlfn.XLOOKUP(A352, AutoFill_names!B:B, AutoFill_names!L:L,""))</f>
        <v/>
      </c>
      <c r="L352" s="2"/>
      <c r="M352" s="2"/>
      <c r="N352" s="117" t="str">
        <f>IF(_xlfn.XLOOKUP(L352, AutoFill_classes!A:A, AutoFill_classes!B:B,"")=0,"",_xlfn.XLOOKUP(L352, AutoFill_classes!A:A, AutoFill_classes!B:B,""))</f>
        <v/>
      </c>
      <c r="O352" s="108"/>
      <c r="P352" s="7"/>
      <c r="Q352" s="7"/>
      <c r="R352" s="7"/>
      <c r="S352" s="2"/>
      <c r="T352" s="2"/>
      <c r="U352" s="2"/>
      <c r="X352" s="63"/>
      <c r="Y352" s="19"/>
      <c r="Z352" s="121" t="str">
        <f t="shared" si="297"/>
        <v/>
      </c>
      <c r="AA352" s="20"/>
      <c r="AB352" s="20"/>
      <c r="AC352" s="20"/>
      <c r="AD352" s="20"/>
      <c r="AE352" s="125" t="str">
        <f t="shared" si="298"/>
        <v/>
      </c>
      <c r="AF352" s="14"/>
      <c r="AG352" s="125" t="str">
        <f t="shared" si="299"/>
        <v/>
      </c>
      <c r="AH352" s="20"/>
      <c r="AI352" s="20"/>
      <c r="AJ352" s="125" t="str">
        <f t="shared" si="300"/>
        <v/>
      </c>
      <c r="AK352" s="14"/>
      <c r="AL352" s="125" t="str">
        <f t="shared" si="301"/>
        <v/>
      </c>
      <c r="AM352" s="20"/>
      <c r="AN352" s="20"/>
      <c r="AO352" s="125" t="str">
        <f t="shared" si="302"/>
        <v/>
      </c>
      <c r="AP352" s="125" t="str">
        <f t="shared" si="303"/>
        <v/>
      </c>
      <c r="AQ352" s="125" t="str">
        <f t="shared" si="304"/>
        <v/>
      </c>
      <c r="AR352" s="129" t="str">
        <f t="shared" si="305"/>
        <v/>
      </c>
      <c r="AS352" s="14"/>
      <c r="AT352" s="32"/>
      <c r="AU352" s="32"/>
      <c r="AV352" s="117" t="str">
        <f>IF(_xlfn.XLOOKUP(AT352, AutoFill_classes!$A:$A, AutoFill_classes!$B:$B,"")=0,"",_xlfn.XLOOKUP(AT352, AutoFill_classes!$A:$A, AutoFill_classes!$B:$B,""))</f>
        <v/>
      </c>
      <c r="AW352" s="108"/>
      <c r="AX352" s="13"/>
      <c r="AY352" s="13"/>
      <c r="AZ352" s="13"/>
      <c r="BA352" s="13"/>
      <c r="BB352" s="13"/>
      <c r="BC352" s="63"/>
      <c r="BD352" s="18"/>
      <c r="BE352" s="121" t="str">
        <f t="shared" si="306"/>
        <v/>
      </c>
      <c r="BF352" s="20"/>
      <c r="BG352" s="20"/>
      <c r="BH352" s="20"/>
      <c r="BI352" s="20"/>
      <c r="BJ352" s="125" t="str">
        <f t="shared" si="307"/>
        <v/>
      </c>
      <c r="BK352" s="14"/>
      <c r="BL352" s="125" t="str">
        <f t="shared" si="308"/>
        <v/>
      </c>
      <c r="BM352" s="20"/>
      <c r="BN352" s="20"/>
      <c r="BO352" s="125" t="str">
        <f t="shared" si="309"/>
        <v/>
      </c>
      <c r="BP352" s="14"/>
      <c r="BQ352" s="125" t="str">
        <f t="shared" si="310"/>
        <v/>
      </c>
      <c r="BR352" s="20"/>
      <c r="BS352" s="20"/>
      <c r="BT352" s="125" t="str">
        <f t="shared" si="311"/>
        <v/>
      </c>
      <c r="BU352" s="125" t="str">
        <f t="shared" si="312"/>
        <v/>
      </c>
      <c r="BV352" s="125" t="str">
        <f t="shared" si="313"/>
        <v/>
      </c>
      <c r="BW352" s="129" t="str">
        <f t="shared" si="314"/>
        <v/>
      </c>
      <c r="BX352" s="13"/>
      <c r="BY352" s="15"/>
      <c r="BZ352" s="14"/>
      <c r="CA352" s="117" t="str">
        <f>IF(_xlfn.XLOOKUP(BY352, AutoFill_classes!$A:$A, AutoFill_classes!$B:$B,"")=0,"",_xlfn.XLOOKUP(BY352, AutoFill_classes!$A:$A, AutoFill_classes!$B:$B,""))</f>
        <v/>
      </c>
      <c r="CB352" s="108"/>
      <c r="CC352" s="14"/>
      <c r="CD352" s="14"/>
      <c r="CE352" s="14"/>
      <c r="CF352" s="21"/>
      <c r="CG352" s="22"/>
      <c r="CH352" s="63"/>
      <c r="CI352" s="23"/>
      <c r="CJ352" s="121" t="str">
        <f t="shared" si="315"/>
        <v/>
      </c>
      <c r="CK352" s="20"/>
      <c r="CL352" s="20"/>
      <c r="CM352" s="20"/>
      <c r="CN352" s="20"/>
      <c r="CO352" s="125" t="str">
        <f t="shared" si="316"/>
        <v/>
      </c>
      <c r="CP352" s="14"/>
      <c r="CQ352" s="125" t="str">
        <f t="shared" si="317"/>
        <v/>
      </c>
      <c r="CR352" s="20"/>
      <c r="CS352" s="20"/>
      <c r="CT352" s="125" t="str">
        <f t="shared" si="318"/>
        <v/>
      </c>
      <c r="CU352" s="14"/>
      <c r="CV352" s="125" t="str">
        <f t="shared" si="319"/>
        <v/>
      </c>
      <c r="CW352" s="20"/>
      <c r="CX352" s="20"/>
      <c r="CY352" s="125" t="str">
        <f t="shared" si="320"/>
        <v/>
      </c>
      <c r="CZ352" s="125" t="str">
        <f t="shared" si="321"/>
        <v/>
      </c>
      <c r="DA352" s="125" t="str">
        <f t="shared" si="322"/>
        <v/>
      </c>
      <c r="DB352" s="129" t="str">
        <f t="shared" si="323"/>
        <v/>
      </c>
      <c r="DC352" s="14"/>
      <c r="DD352" s="62"/>
      <c r="DE352" s="105">
        <v>350</v>
      </c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</row>
    <row r="353" spans="1:176" s="1" customFormat="1" ht="13" hidden="1" customHeight="1" outlineLevel="1" x14ac:dyDescent="0.2">
      <c r="A353" s="4"/>
      <c r="B353" s="115" t="str">
        <f>IF(_xlfn.XLOOKUP(A353, AutoFill_names!B:B, AutoFill_names!C:C,"")=0,"",_xlfn.XLOOKUP(A353, AutoFill_names!B:B, AutoFill_names!C:C,""))</f>
        <v/>
      </c>
      <c r="C353" s="115" t="str">
        <f>IF(_xlfn.XLOOKUP(A353, AutoFill_names!B:B, AutoFill_names!D:D,"")=0,"",_xlfn.XLOOKUP(A353, AutoFill_names!B:B, AutoFill_names!D:D,""))</f>
        <v/>
      </c>
      <c r="D353" s="115" t="str">
        <f>IF(_xlfn.XLOOKUP(A353, AutoFill_names!B:B, AutoFill_names!E:E,"")=0,"",_xlfn.XLOOKUP(A353, AutoFill_names!B:B, AutoFill_names!E:E,""))</f>
        <v/>
      </c>
      <c r="E353" s="115" t="str">
        <f>IF(_xlfn.XLOOKUP(A353, AutoFill_names!B:B, AutoFill_names!F:F,"")=0,"",_xlfn.XLOOKUP(A353, AutoFill_names!B:B, AutoFill_names!F:F,""))</f>
        <v/>
      </c>
      <c r="F353" s="92"/>
      <c r="J353" s="115" t="str">
        <f>IF(_xlfn.XLOOKUP(A353, AutoFill_names!B:B, AutoFill_names!K:K,"")=0,"",_xlfn.XLOOKUP(A353, AutoFill_names!B:B, AutoFill_names!K:K,""))</f>
        <v/>
      </c>
      <c r="K353" s="115" t="str">
        <f>IF(_xlfn.XLOOKUP(A353, AutoFill_names!B:B, AutoFill_names!L:L,"")=0,"",_xlfn.XLOOKUP(A353, AutoFill_names!B:B, AutoFill_names!L:L,""))</f>
        <v/>
      </c>
      <c r="L353" s="2"/>
      <c r="M353" s="2"/>
      <c r="N353" s="117" t="str">
        <f>IF(_xlfn.XLOOKUP(L353, AutoFill_classes!A:A, AutoFill_classes!B:B,"")=0,"",_xlfn.XLOOKUP(L353, AutoFill_classes!A:A, AutoFill_classes!B:B,""))</f>
        <v/>
      </c>
      <c r="O353" s="108"/>
      <c r="P353" s="7"/>
      <c r="Q353" s="7"/>
      <c r="R353" s="7"/>
      <c r="S353" s="2"/>
      <c r="T353" s="2"/>
      <c r="U353" s="2"/>
      <c r="X353" s="63"/>
      <c r="Y353" s="19"/>
      <c r="Z353" s="121" t="str">
        <f t="shared" si="297"/>
        <v/>
      </c>
      <c r="AA353" s="20"/>
      <c r="AB353" s="20"/>
      <c r="AC353" s="20"/>
      <c r="AD353" s="20"/>
      <c r="AE353" s="125" t="str">
        <f t="shared" si="298"/>
        <v/>
      </c>
      <c r="AF353" s="14"/>
      <c r="AG353" s="125" t="str">
        <f t="shared" si="299"/>
        <v/>
      </c>
      <c r="AH353" s="20"/>
      <c r="AI353" s="20"/>
      <c r="AJ353" s="125" t="str">
        <f t="shared" si="300"/>
        <v/>
      </c>
      <c r="AK353" s="14"/>
      <c r="AL353" s="125" t="str">
        <f t="shared" si="301"/>
        <v/>
      </c>
      <c r="AM353" s="20"/>
      <c r="AN353" s="20"/>
      <c r="AO353" s="125" t="str">
        <f t="shared" si="302"/>
        <v/>
      </c>
      <c r="AP353" s="125" t="str">
        <f t="shared" si="303"/>
        <v/>
      </c>
      <c r="AQ353" s="125" t="str">
        <f t="shared" si="304"/>
        <v/>
      </c>
      <c r="AR353" s="129" t="str">
        <f t="shared" si="305"/>
        <v/>
      </c>
      <c r="AS353" s="14"/>
      <c r="AT353" s="32"/>
      <c r="AU353" s="32"/>
      <c r="AV353" s="117" t="str">
        <f>IF(_xlfn.XLOOKUP(AT353, AutoFill_classes!$A:$A, AutoFill_classes!$B:$B,"")=0,"",_xlfn.XLOOKUP(AT353, AutoFill_classes!$A:$A, AutoFill_classes!$B:$B,""))</f>
        <v/>
      </c>
      <c r="AW353" s="108"/>
      <c r="AX353" s="13"/>
      <c r="AY353" s="13"/>
      <c r="AZ353" s="13"/>
      <c r="BA353" s="13"/>
      <c r="BB353" s="13"/>
      <c r="BC353" s="63"/>
      <c r="BD353" s="18"/>
      <c r="BE353" s="121" t="str">
        <f t="shared" si="306"/>
        <v/>
      </c>
      <c r="BF353" s="20"/>
      <c r="BG353" s="20"/>
      <c r="BH353" s="20"/>
      <c r="BI353" s="20"/>
      <c r="BJ353" s="125" t="str">
        <f t="shared" si="307"/>
        <v/>
      </c>
      <c r="BK353" s="14"/>
      <c r="BL353" s="125" t="str">
        <f t="shared" si="308"/>
        <v/>
      </c>
      <c r="BM353" s="20"/>
      <c r="BN353" s="20"/>
      <c r="BO353" s="125" t="str">
        <f t="shared" si="309"/>
        <v/>
      </c>
      <c r="BP353" s="14"/>
      <c r="BQ353" s="125" t="str">
        <f t="shared" si="310"/>
        <v/>
      </c>
      <c r="BR353" s="20"/>
      <c r="BS353" s="20"/>
      <c r="BT353" s="125" t="str">
        <f t="shared" si="311"/>
        <v/>
      </c>
      <c r="BU353" s="125" t="str">
        <f t="shared" si="312"/>
        <v/>
      </c>
      <c r="BV353" s="125" t="str">
        <f t="shared" si="313"/>
        <v/>
      </c>
      <c r="BW353" s="129" t="str">
        <f t="shared" si="314"/>
        <v/>
      </c>
      <c r="BX353" s="13"/>
      <c r="BY353" s="15"/>
      <c r="BZ353" s="14"/>
      <c r="CA353" s="117" t="str">
        <f>IF(_xlfn.XLOOKUP(BY353, AutoFill_classes!$A:$A, AutoFill_classes!$B:$B,"")=0,"",_xlfn.XLOOKUP(BY353, AutoFill_classes!$A:$A, AutoFill_classes!$B:$B,""))</f>
        <v/>
      </c>
      <c r="CB353" s="108"/>
      <c r="CC353" s="14"/>
      <c r="CD353" s="14"/>
      <c r="CE353" s="14"/>
      <c r="CF353" s="21"/>
      <c r="CG353" s="22"/>
      <c r="CH353" s="63"/>
      <c r="CI353" s="23"/>
      <c r="CJ353" s="121" t="str">
        <f t="shared" si="315"/>
        <v/>
      </c>
      <c r="CK353" s="20"/>
      <c r="CL353" s="20"/>
      <c r="CM353" s="20"/>
      <c r="CN353" s="20"/>
      <c r="CO353" s="125" t="str">
        <f t="shared" si="316"/>
        <v/>
      </c>
      <c r="CP353" s="14"/>
      <c r="CQ353" s="125" t="str">
        <f t="shared" si="317"/>
        <v/>
      </c>
      <c r="CR353" s="20"/>
      <c r="CS353" s="20"/>
      <c r="CT353" s="125" t="str">
        <f t="shared" si="318"/>
        <v/>
      </c>
      <c r="CU353" s="14"/>
      <c r="CV353" s="125" t="str">
        <f t="shared" si="319"/>
        <v/>
      </c>
      <c r="CW353" s="20"/>
      <c r="CX353" s="20"/>
      <c r="CY353" s="125" t="str">
        <f t="shared" si="320"/>
        <v/>
      </c>
      <c r="CZ353" s="125" t="str">
        <f t="shared" si="321"/>
        <v/>
      </c>
      <c r="DA353" s="125" t="str">
        <f t="shared" si="322"/>
        <v/>
      </c>
      <c r="DB353" s="129" t="str">
        <f t="shared" si="323"/>
        <v/>
      </c>
      <c r="DC353" s="14"/>
      <c r="DD353" s="62"/>
      <c r="DE353" s="105">
        <v>351</v>
      </c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</row>
    <row r="354" spans="1:176" s="1" customFormat="1" ht="13" hidden="1" customHeight="1" outlineLevel="1" x14ac:dyDescent="0.2">
      <c r="A354" s="4"/>
      <c r="B354" s="115" t="str">
        <f>IF(_xlfn.XLOOKUP(A354, AutoFill_names!B:B, AutoFill_names!C:C,"")=0,"",_xlfn.XLOOKUP(A354, AutoFill_names!B:B, AutoFill_names!C:C,""))</f>
        <v/>
      </c>
      <c r="C354" s="115" t="str">
        <f>IF(_xlfn.XLOOKUP(A354, AutoFill_names!B:B, AutoFill_names!D:D,"")=0,"",_xlfn.XLOOKUP(A354, AutoFill_names!B:B, AutoFill_names!D:D,""))</f>
        <v/>
      </c>
      <c r="D354" s="115" t="str">
        <f>IF(_xlfn.XLOOKUP(A354, AutoFill_names!B:B, AutoFill_names!E:E,"")=0,"",_xlfn.XLOOKUP(A354, AutoFill_names!B:B, AutoFill_names!E:E,""))</f>
        <v/>
      </c>
      <c r="E354" s="115" t="str">
        <f>IF(_xlfn.XLOOKUP(A354, AutoFill_names!B:B, AutoFill_names!F:F,"")=0,"",_xlfn.XLOOKUP(A354, AutoFill_names!B:B, AutoFill_names!F:F,""))</f>
        <v/>
      </c>
      <c r="F354" s="92"/>
      <c r="J354" s="115" t="str">
        <f>IF(_xlfn.XLOOKUP(A354, AutoFill_names!B:B, AutoFill_names!K:K,"")=0,"",_xlfn.XLOOKUP(A354, AutoFill_names!B:B, AutoFill_names!K:K,""))</f>
        <v/>
      </c>
      <c r="K354" s="115" t="str">
        <f>IF(_xlfn.XLOOKUP(A354, AutoFill_names!B:B, AutoFill_names!L:L,"")=0,"",_xlfn.XLOOKUP(A354, AutoFill_names!B:B, AutoFill_names!L:L,""))</f>
        <v/>
      </c>
      <c r="L354" s="2"/>
      <c r="M354" s="2"/>
      <c r="N354" s="117" t="str">
        <f>IF(_xlfn.XLOOKUP(L354, AutoFill_classes!A:A, AutoFill_classes!B:B,"")=0,"",_xlfn.XLOOKUP(L354, AutoFill_classes!A:A, AutoFill_classes!B:B,""))</f>
        <v/>
      </c>
      <c r="O354" s="108"/>
      <c r="P354" s="7"/>
      <c r="Q354" s="7"/>
      <c r="R354" s="7"/>
      <c r="S354" s="2"/>
      <c r="T354" s="2"/>
      <c r="U354" s="2"/>
      <c r="X354" s="63"/>
      <c r="Y354" s="19"/>
      <c r="Z354" s="121" t="str">
        <f t="shared" si="297"/>
        <v/>
      </c>
      <c r="AA354" s="20"/>
      <c r="AB354" s="20"/>
      <c r="AC354" s="20"/>
      <c r="AD354" s="20"/>
      <c r="AE354" s="125" t="str">
        <f t="shared" si="298"/>
        <v/>
      </c>
      <c r="AF354" s="14"/>
      <c r="AG354" s="125" t="str">
        <f t="shared" si="299"/>
        <v/>
      </c>
      <c r="AH354" s="20"/>
      <c r="AI354" s="20"/>
      <c r="AJ354" s="125" t="str">
        <f t="shared" si="300"/>
        <v/>
      </c>
      <c r="AK354" s="14"/>
      <c r="AL354" s="125" t="str">
        <f t="shared" si="301"/>
        <v/>
      </c>
      <c r="AM354" s="20"/>
      <c r="AN354" s="20"/>
      <c r="AO354" s="125" t="str">
        <f t="shared" si="302"/>
        <v/>
      </c>
      <c r="AP354" s="125" t="str">
        <f t="shared" si="303"/>
        <v/>
      </c>
      <c r="AQ354" s="125" t="str">
        <f t="shared" si="304"/>
        <v/>
      </c>
      <c r="AR354" s="129" t="str">
        <f t="shared" si="305"/>
        <v/>
      </c>
      <c r="AS354" s="14"/>
      <c r="AT354" s="32"/>
      <c r="AU354" s="32"/>
      <c r="AV354" s="117" t="str">
        <f>IF(_xlfn.XLOOKUP(AT354, AutoFill_classes!$A:$A, AutoFill_classes!$B:$B,"")=0,"",_xlfn.XLOOKUP(AT354, AutoFill_classes!$A:$A, AutoFill_classes!$B:$B,""))</f>
        <v/>
      </c>
      <c r="AW354" s="108"/>
      <c r="AX354" s="13"/>
      <c r="AY354" s="13"/>
      <c r="AZ354" s="13"/>
      <c r="BA354" s="13"/>
      <c r="BB354" s="13"/>
      <c r="BC354" s="63"/>
      <c r="BD354" s="18"/>
      <c r="BE354" s="121" t="str">
        <f t="shared" si="306"/>
        <v/>
      </c>
      <c r="BF354" s="20"/>
      <c r="BG354" s="20"/>
      <c r="BH354" s="20"/>
      <c r="BI354" s="20"/>
      <c r="BJ354" s="125" t="str">
        <f t="shared" si="307"/>
        <v/>
      </c>
      <c r="BK354" s="14"/>
      <c r="BL354" s="125" t="str">
        <f t="shared" si="308"/>
        <v/>
      </c>
      <c r="BM354" s="20"/>
      <c r="BN354" s="20"/>
      <c r="BO354" s="125" t="str">
        <f t="shared" si="309"/>
        <v/>
      </c>
      <c r="BP354" s="14"/>
      <c r="BQ354" s="125" t="str">
        <f t="shared" si="310"/>
        <v/>
      </c>
      <c r="BR354" s="20"/>
      <c r="BS354" s="20"/>
      <c r="BT354" s="125" t="str">
        <f t="shared" si="311"/>
        <v/>
      </c>
      <c r="BU354" s="125" t="str">
        <f t="shared" si="312"/>
        <v/>
      </c>
      <c r="BV354" s="125" t="str">
        <f t="shared" si="313"/>
        <v/>
      </c>
      <c r="BW354" s="129" t="str">
        <f t="shared" si="314"/>
        <v/>
      </c>
      <c r="BX354" s="13"/>
      <c r="BY354" s="15"/>
      <c r="BZ354" s="14"/>
      <c r="CA354" s="117" t="str">
        <f>IF(_xlfn.XLOOKUP(BY354, AutoFill_classes!$A:$A, AutoFill_classes!$B:$B,"")=0,"",_xlfn.XLOOKUP(BY354, AutoFill_classes!$A:$A, AutoFill_classes!$B:$B,""))</f>
        <v/>
      </c>
      <c r="CB354" s="108"/>
      <c r="CC354" s="14"/>
      <c r="CD354" s="14"/>
      <c r="CE354" s="14"/>
      <c r="CF354" s="21"/>
      <c r="CG354" s="22"/>
      <c r="CH354" s="63"/>
      <c r="CI354" s="23"/>
      <c r="CJ354" s="121" t="str">
        <f t="shared" si="315"/>
        <v/>
      </c>
      <c r="CK354" s="20"/>
      <c r="CL354" s="20"/>
      <c r="CM354" s="20"/>
      <c r="CN354" s="20"/>
      <c r="CO354" s="125" t="str">
        <f t="shared" si="316"/>
        <v/>
      </c>
      <c r="CP354" s="14"/>
      <c r="CQ354" s="125" t="str">
        <f t="shared" si="317"/>
        <v/>
      </c>
      <c r="CR354" s="20"/>
      <c r="CS354" s="20"/>
      <c r="CT354" s="125" t="str">
        <f t="shared" si="318"/>
        <v/>
      </c>
      <c r="CU354" s="14"/>
      <c r="CV354" s="125" t="str">
        <f t="shared" si="319"/>
        <v/>
      </c>
      <c r="CW354" s="20"/>
      <c r="CX354" s="20"/>
      <c r="CY354" s="125" t="str">
        <f t="shared" si="320"/>
        <v/>
      </c>
      <c r="CZ354" s="125" t="str">
        <f t="shared" si="321"/>
        <v/>
      </c>
      <c r="DA354" s="125" t="str">
        <f t="shared" si="322"/>
        <v/>
      </c>
      <c r="DB354" s="129" t="str">
        <f t="shared" si="323"/>
        <v/>
      </c>
      <c r="DC354" s="14"/>
      <c r="DD354" s="62"/>
      <c r="DE354" s="105">
        <v>352</v>
      </c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</row>
    <row r="355" spans="1:176" s="1" customFormat="1" ht="13" hidden="1" customHeight="1" outlineLevel="1" x14ac:dyDescent="0.2">
      <c r="A355" s="4"/>
      <c r="B355" s="115" t="str">
        <f>IF(_xlfn.XLOOKUP(A355, AutoFill_names!B:B, AutoFill_names!C:C,"")=0,"",_xlfn.XLOOKUP(A355, AutoFill_names!B:B, AutoFill_names!C:C,""))</f>
        <v/>
      </c>
      <c r="C355" s="115" t="str">
        <f>IF(_xlfn.XLOOKUP(A355, AutoFill_names!B:B, AutoFill_names!D:D,"")=0,"",_xlfn.XLOOKUP(A355, AutoFill_names!B:B, AutoFill_names!D:D,""))</f>
        <v/>
      </c>
      <c r="D355" s="115" t="str">
        <f>IF(_xlfn.XLOOKUP(A355, AutoFill_names!B:B, AutoFill_names!E:E,"")=0,"",_xlfn.XLOOKUP(A355, AutoFill_names!B:B, AutoFill_names!E:E,""))</f>
        <v/>
      </c>
      <c r="E355" s="115" t="str">
        <f>IF(_xlfn.XLOOKUP(A355, AutoFill_names!B:B, AutoFill_names!F:F,"")=0,"",_xlfn.XLOOKUP(A355, AutoFill_names!B:B, AutoFill_names!F:F,""))</f>
        <v/>
      </c>
      <c r="F355" s="92"/>
      <c r="J355" s="115" t="str">
        <f>IF(_xlfn.XLOOKUP(A355, AutoFill_names!B:B, AutoFill_names!K:K,"")=0,"",_xlfn.XLOOKUP(A355, AutoFill_names!B:B, AutoFill_names!K:K,""))</f>
        <v/>
      </c>
      <c r="K355" s="115" t="str">
        <f>IF(_xlfn.XLOOKUP(A355, AutoFill_names!B:B, AutoFill_names!L:L,"")=0,"",_xlfn.XLOOKUP(A355, AutoFill_names!B:B, AutoFill_names!L:L,""))</f>
        <v/>
      </c>
      <c r="L355" s="2"/>
      <c r="M355" s="2"/>
      <c r="N355" s="117" t="str">
        <f>IF(_xlfn.XLOOKUP(L355, AutoFill_classes!A:A, AutoFill_classes!B:B,"")=0,"",_xlfn.XLOOKUP(L355, AutoFill_classes!A:A, AutoFill_classes!B:B,""))</f>
        <v/>
      </c>
      <c r="O355" s="108"/>
      <c r="P355" s="7"/>
      <c r="Q355" s="7"/>
      <c r="R355" s="7"/>
      <c r="S355" s="2"/>
      <c r="T355" s="2"/>
      <c r="U355" s="2"/>
      <c r="X355" s="63"/>
      <c r="Y355" s="19"/>
      <c r="Z355" s="121" t="str">
        <f t="shared" si="297"/>
        <v/>
      </c>
      <c r="AA355" s="20"/>
      <c r="AB355" s="20"/>
      <c r="AC355" s="20"/>
      <c r="AD355" s="20"/>
      <c r="AE355" s="125" t="str">
        <f t="shared" si="298"/>
        <v/>
      </c>
      <c r="AF355" s="14"/>
      <c r="AG355" s="125" t="str">
        <f t="shared" si="299"/>
        <v/>
      </c>
      <c r="AH355" s="20"/>
      <c r="AI355" s="20"/>
      <c r="AJ355" s="125" t="str">
        <f t="shared" si="300"/>
        <v/>
      </c>
      <c r="AK355" s="14"/>
      <c r="AL355" s="125" t="str">
        <f t="shared" si="301"/>
        <v/>
      </c>
      <c r="AM355" s="20"/>
      <c r="AN355" s="20"/>
      <c r="AO355" s="125" t="str">
        <f t="shared" si="302"/>
        <v/>
      </c>
      <c r="AP355" s="125" t="str">
        <f t="shared" si="303"/>
        <v/>
      </c>
      <c r="AQ355" s="125" t="str">
        <f t="shared" si="304"/>
        <v/>
      </c>
      <c r="AR355" s="129" t="str">
        <f t="shared" si="305"/>
        <v/>
      </c>
      <c r="AS355" s="14"/>
      <c r="AT355" s="32"/>
      <c r="AU355" s="32"/>
      <c r="AV355" s="117" t="str">
        <f>IF(_xlfn.XLOOKUP(AT355, AutoFill_classes!$A:$A, AutoFill_classes!$B:$B,"")=0,"",_xlfn.XLOOKUP(AT355, AutoFill_classes!$A:$A, AutoFill_classes!$B:$B,""))</f>
        <v/>
      </c>
      <c r="AW355" s="108"/>
      <c r="AX355" s="13"/>
      <c r="AY355" s="13"/>
      <c r="AZ355" s="13"/>
      <c r="BA355" s="13"/>
      <c r="BB355" s="13"/>
      <c r="BC355" s="63"/>
      <c r="BD355" s="18"/>
      <c r="BE355" s="121" t="str">
        <f t="shared" si="306"/>
        <v/>
      </c>
      <c r="BF355" s="20"/>
      <c r="BG355" s="20"/>
      <c r="BH355" s="20"/>
      <c r="BI355" s="20"/>
      <c r="BJ355" s="125" t="str">
        <f t="shared" si="307"/>
        <v/>
      </c>
      <c r="BK355" s="14"/>
      <c r="BL355" s="125" t="str">
        <f t="shared" si="308"/>
        <v/>
      </c>
      <c r="BM355" s="20"/>
      <c r="BN355" s="20"/>
      <c r="BO355" s="125" t="str">
        <f t="shared" si="309"/>
        <v/>
      </c>
      <c r="BP355" s="14"/>
      <c r="BQ355" s="125" t="str">
        <f t="shared" si="310"/>
        <v/>
      </c>
      <c r="BR355" s="20"/>
      <c r="BS355" s="20"/>
      <c r="BT355" s="125" t="str">
        <f t="shared" si="311"/>
        <v/>
      </c>
      <c r="BU355" s="125" t="str">
        <f t="shared" si="312"/>
        <v/>
      </c>
      <c r="BV355" s="125" t="str">
        <f t="shared" si="313"/>
        <v/>
      </c>
      <c r="BW355" s="129" t="str">
        <f t="shared" si="314"/>
        <v/>
      </c>
      <c r="BX355" s="13"/>
      <c r="BY355" s="15"/>
      <c r="BZ355" s="14"/>
      <c r="CA355" s="117" t="str">
        <f>IF(_xlfn.XLOOKUP(BY355, AutoFill_classes!$A:$A, AutoFill_classes!$B:$B,"")=0,"",_xlfn.XLOOKUP(BY355, AutoFill_classes!$A:$A, AutoFill_classes!$B:$B,""))</f>
        <v/>
      </c>
      <c r="CB355" s="108"/>
      <c r="CC355" s="14"/>
      <c r="CD355" s="14"/>
      <c r="CE355" s="14"/>
      <c r="CF355" s="21"/>
      <c r="CG355" s="22"/>
      <c r="CH355" s="63"/>
      <c r="CI355" s="23"/>
      <c r="CJ355" s="121" t="str">
        <f t="shared" si="315"/>
        <v/>
      </c>
      <c r="CK355" s="20"/>
      <c r="CL355" s="20"/>
      <c r="CM355" s="20"/>
      <c r="CN355" s="20"/>
      <c r="CO355" s="125" t="str">
        <f t="shared" si="316"/>
        <v/>
      </c>
      <c r="CP355" s="14"/>
      <c r="CQ355" s="125" t="str">
        <f t="shared" si="317"/>
        <v/>
      </c>
      <c r="CR355" s="20"/>
      <c r="CS355" s="20"/>
      <c r="CT355" s="125" t="str">
        <f t="shared" si="318"/>
        <v/>
      </c>
      <c r="CU355" s="14"/>
      <c r="CV355" s="125" t="str">
        <f t="shared" si="319"/>
        <v/>
      </c>
      <c r="CW355" s="20"/>
      <c r="CX355" s="20"/>
      <c r="CY355" s="125" t="str">
        <f t="shared" si="320"/>
        <v/>
      </c>
      <c r="CZ355" s="125" t="str">
        <f t="shared" si="321"/>
        <v/>
      </c>
      <c r="DA355" s="125" t="str">
        <f t="shared" si="322"/>
        <v/>
      </c>
      <c r="DB355" s="129" t="str">
        <f t="shared" si="323"/>
        <v/>
      </c>
      <c r="DC355" s="14"/>
      <c r="DD355" s="62"/>
      <c r="DE355" s="105">
        <v>353</v>
      </c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</row>
    <row r="356" spans="1:176" s="1" customFormat="1" ht="13" hidden="1" customHeight="1" outlineLevel="1" x14ac:dyDescent="0.2">
      <c r="A356" s="4"/>
      <c r="B356" s="115" t="str">
        <f>IF(_xlfn.XLOOKUP(A356, AutoFill_names!B:B, AutoFill_names!C:C,"")=0,"",_xlfn.XLOOKUP(A356, AutoFill_names!B:B, AutoFill_names!C:C,""))</f>
        <v/>
      </c>
      <c r="C356" s="115" t="str">
        <f>IF(_xlfn.XLOOKUP(A356, AutoFill_names!B:B, AutoFill_names!D:D,"")=0,"",_xlfn.XLOOKUP(A356, AutoFill_names!B:B, AutoFill_names!D:D,""))</f>
        <v/>
      </c>
      <c r="D356" s="115" t="str">
        <f>IF(_xlfn.XLOOKUP(A356, AutoFill_names!B:B, AutoFill_names!E:E,"")=0,"",_xlfn.XLOOKUP(A356, AutoFill_names!B:B, AutoFill_names!E:E,""))</f>
        <v/>
      </c>
      <c r="E356" s="115" t="str">
        <f>IF(_xlfn.XLOOKUP(A356, AutoFill_names!B:B, AutoFill_names!F:F,"")=0,"",_xlfn.XLOOKUP(A356, AutoFill_names!B:B, AutoFill_names!F:F,""))</f>
        <v/>
      </c>
      <c r="F356" s="92"/>
      <c r="J356" s="115" t="str">
        <f>IF(_xlfn.XLOOKUP(A356, AutoFill_names!B:B, AutoFill_names!K:K,"")=0,"",_xlfn.XLOOKUP(A356, AutoFill_names!B:B, AutoFill_names!K:K,""))</f>
        <v/>
      </c>
      <c r="K356" s="115" t="str">
        <f>IF(_xlfn.XLOOKUP(A356, AutoFill_names!B:B, AutoFill_names!L:L,"")=0,"",_xlfn.XLOOKUP(A356, AutoFill_names!B:B, AutoFill_names!L:L,""))</f>
        <v/>
      </c>
      <c r="L356" s="2"/>
      <c r="M356" s="2"/>
      <c r="N356" s="117" t="str">
        <f>IF(_xlfn.XLOOKUP(L356, AutoFill_classes!A:A, AutoFill_classes!B:B,"")=0,"",_xlfn.XLOOKUP(L356, AutoFill_classes!A:A, AutoFill_classes!B:B,""))</f>
        <v/>
      </c>
      <c r="O356" s="108"/>
      <c r="P356" s="7"/>
      <c r="Q356" s="7"/>
      <c r="R356" s="7"/>
      <c r="S356" s="2"/>
      <c r="T356" s="2"/>
      <c r="U356" s="2"/>
      <c r="X356" s="63"/>
      <c r="Y356" s="19"/>
      <c r="Z356" s="121" t="str">
        <f t="shared" si="297"/>
        <v/>
      </c>
      <c r="AA356" s="20"/>
      <c r="AB356" s="20"/>
      <c r="AC356" s="20"/>
      <c r="AD356" s="20"/>
      <c r="AE356" s="125" t="str">
        <f t="shared" si="298"/>
        <v/>
      </c>
      <c r="AF356" s="14"/>
      <c r="AG356" s="125" t="str">
        <f t="shared" si="299"/>
        <v/>
      </c>
      <c r="AH356" s="20"/>
      <c r="AI356" s="20"/>
      <c r="AJ356" s="125" t="str">
        <f t="shared" si="300"/>
        <v/>
      </c>
      <c r="AK356" s="14"/>
      <c r="AL356" s="125" t="str">
        <f t="shared" si="301"/>
        <v/>
      </c>
      <c r="AM356" s="20"/>
      <c r="AN356" s="20"/>
      <c r="AO356" s="125" t="str">
        <f t="shared" si="302"/>
        <v/>
      </c>
      <c r="AP356" s="125" t="str">
        <f t="shared" si="303"/>
        <v/>
      </c>
      <c r="AQ356" s="125" t="str">
        <f t="shared" si="304"/>
        <v/>
      </c>
      <c r="AR356" s="129" t="str">
        <f t="shared" si="305"/>
        <v/>
      </c>
      <c r="AS356" s="14"/>
      <c r="AT356" s="32"/>
      <c r="AU356" s="32"/>
      <c r="AV356" s="117" t="str">
        <f>IF(_xlfn.XLOOKUP(AT356, AutoFill_classes!$A:$A, AutoFill_classes!$B:$B,"")=0,"",_xlfn.XLOOKUP(AT356, AutoFill_classes!$A:$A, AutoFill_classes!$B:$B,""))</f>
        <v/>
      </c>
      <c r="AW356" s="108"/>
      <c r="AX356" s="13"/>
      <c r="AY356" s="13"/>
      <c r="AZ356" s="13"/>
      <c r="BA356" s="13"/>
      <c r="BB356" s="13"/>
      <c r="BC356" s="63"/>
      <c r="BD356" s="18"/>
      <c r="BE356" s="121" t="str">
        <f t="shared" si="306"/>
        <v/>
      </c>
      <c r="BF356" s="20"/>
      <c r="BG356" s="20"/>
      <c r="BH356" s="20"/>
      <c r="BI356" s="20"/>
      <c r="BJ356" s="125" t="str">
        <f t="shared" si="307"/>
        <v/>
      </c>
      <c r="BK356" s="14"/>
      <c r="BL356" s="125" t="str">
        <f t="shared" si="308"/>
        <v/>
      </c>
      <c r="BM356" s="20"/>
      <c r="BN356" s="20"/>
      <c r="BO356" s="125" t="str">
        <f t="shared" si="309"/>
        <v/>
      </c>
      <c r="BP356" s="14"/>
      <c r="BQ356" s="125" t="str">
        <f t="shared" si="310"/>
        <v/>
      </c>
      <c r="BR356" s="20"/>
      <c r="BS356" s="20"/>
      <c r="BT356" s="125" t="str">
        <f t="shared" si="311"/>
        <v/>
      </c>
      <c r="BU356" s="125" t="str">
        <f t="shared" si="312"/>
        <v/>
      </c>
      <c r="BV356" s="125" t="str">
        <f t="shared" si="313"/>
        <v/>
      </c>
      <c r="BW356" s="129" t="str">
        <f t="shared" si="314"/>
        <v/>
      </c>
      <c r="BX356" s="13"/>
      <c r="BY356" s="15"/>
      <c r="BZ356" s="14"/>
      <c r="CA356" s="117" t="str">
        <f>IF(_xlfn.XLOOKUP(BY356, AutoFill_classes!$A:$A, AutoFill_classes!$B:$B,"")=0,"",_xlfn.XLOOKUP(BY356, AutoFill_classes!$A:$A, AutoFill_classes!$B:$B,""))</f>
        <v/>
      </c>
      <c r="CB356" s="108"/>
      <c r="CC356" s="14"/>
      <c r="CD356" s="14"/>
      <c r="CE356" s="14"/>
      <c r="CF356" s="21"/>
      <c r="CG356" s="22"/>
      <c r="CH356" s="63"/>
      <c r="CI356" s="23"/>
      <c r="CJ356" s="121" t="str">
        <f t="shared" si="315"/>
        <v/>
      </c>
      <c r="CK356" s="20"/>
      <c r="CL356" s="20"/>
      <c r="CM356" s="20"/>
      <c r="CN356" s="20"/>
      <c r="CO356" s="125" t="str">
        <f t="shared" si="316"/>
        <v/>
      </c>
      <c r="CP356" s="14"/>
      <c r="CQ356" s="125" t="str">
        <f t="shared" si="317"/>
        <v/>
      </c>
      <c r="CR356" s="20"/>
      <c r="CS356" s="20"/>
      <c r="CT356" s="125" t="str">
        <f t="shared" si="318"/>
        <v/>
      </c>
      <c r="CU356" s="14"/>
      <c r="CV356" s="125" t="str">
        <f t="shared" si="319"/>
        <v/>
      </c>
      <c r="CW356" s="20"/>
      <c r="CX356" s="20"/>
      <c r="CY356" s="125" t="str">
        <f t="shared" si="320"/>
        <v/>
      </c>
      <c r="CZ356" s="125" t="str">
        <f t="shared" si="321"/>
        <v/>
      </c>
      <c r="DA356" s="125" t="str">
        <f t="shared" si="322"/>
        <v/>
      </c>
      <c r="DB356" s="129" t="str">
        <f t="shared" si="323"/>
        <v/>
      </c>
      <c r="DC356" s="14"/>
      <c r="DD356" s="62"/>
      <c r="DE356" s="105">
        <v>354</v>
      </c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</row>
    <row r="357" spans="1:176" s="1" customFormat="1" ht="13" hidden="1" customHeight="1" outlineLevel="1" x14ac:dyDescent="0.2">
      <c r="A357" s="4"/>
      <c r="B357" s="115" t="str">
        <f>IF(_xlfn.XLOOKUP(A357, AutoFill_names!B:B, AutoFill_names!C:C,"")=0,"",_xlfn.XLOOKUP(A357, AutoFill_names!B:B, AutoFill_names!C:C,""))</f>
        <v/>
      </c>
      <c r="C357" s="115" t="str">
        <f>IF(_xlfn.XLOOKUP(A357, AutoFill_names!B:B, AutoFill_names!D:D,"")=0,"",_xlfn.XLOOKUP(A357, AutoFill_names!B:B, AutoFill_names!D:D,""))</f>
        <v/>
      </c>
      <c r="D357" s="115" t="str">
        <f>IF(_xlfn.XLOOKUP(A357, AutoFill_names!B:B, AutoFill_names!E:E,"")=0,"",_xlfn.XLOOKUP(A357, AutoFill_names!B:B, AutoFill_names!E:E,""))</f>
        <v/>
      </c>
      <c r="E357" s="115" t="str">
        <f>IF(_xlfn.XLOOKUP(A357, AutoFill_names!B:B, AutoFill_names!F:F,"")=0,"",_xlfn.XLOOKUP(A357, AutoFill_names!B:B, AutoFill_names!F:F,""))</f>
        <v/>
      </c>
      <c r="F357" s="92"/>
      <c r="J357" s="115" t="str">
        <f>IF(_xlfn.XLOOKUP(A357, AutoFill_names!B:B, AutoFill_names!K:K,"")=0,"",_xlfn.XLOOKUP(A357, AutoFill_names!B:B, AutoFill_names!K:K,""))</f>
        <v/>
      </c>
      <c r="K357" s="115" t="str">
        <f>IF(_xlfn.XLOOKUP(A357, AutoFill_names!B:B, AutoFill_names!L:L,"")=0,"",_xlfn.XLOOKUP(A357, AutoFill_names!B:B, AutoFill_names!L:L,""))</f>
        <v/>
      </c>
      <c r="L357" s="2"/>
      <c r="M357" s="2"/>
      <c r="N357" s="117" t="str">
        <f>IF(_xlfn.XLOOKUP(L357, AutoFill_classes!A:A, AutoFill_classes!B:B,"")=0,"",_xlfn.XLOOKUP(L357, AutoFill_classes!A:A, AutoFill_classes!B:B,""))</f>
        <v/>
      </c>
      <c r="O357" s="108"/>
      <c r="P357" s="7"/>
      <c r="Q357" s="7"/>
      <c r="R357" s="7"/>
      <c r="S357" s="2"/>
      <c r="T357" s="2"/>
      <c r="U357" s="2"/>
      <c r="X357" s="63"/>
      <c r="Y357" s="19"/>
      <c r="Z357" s="121" t="str">
        <f t="shared" si="297"/>
        <v/>
      </c>
      <c r="AA357" s="20"/>
      <c r="AB357" s="20"/>
      <c r="AC357" s="20"/>
      <c r="AD357" s="20"/>
      <c r="AE357" s="125" t="str">
        <f t="shared" si="298"/>
        <v/>
      </c>
      <c r="AF357" s="14"/>
      <c r="AG357" s="125" t="str">
        <f t="shared" si="299"/>
        <v/>
      </c>
      <c r="AH357" s="20"/>
      <c r="AI357" s="20"/>
      <c r="AJ357" s="125" t="str">
        <f t="shared" si="300"/>
        <v/>
      </c>
      <c r="AK357" s="14"/>
      <c r="AL357" s="125" t="str">
        <f t="shared" si="301"/>
        <v/>
      </c>
      <c r="AM357" s="20"/>
      <c r="AN357" s="20"/>
      <c r="AO357" s="125" t="str">
        <f t="shared" si="302"/>
        <v/>
      </c>
      <c r="AP357" s="125" t="str">
        <f t="shared" si="303"/>
        <v/>
      </c>
      <c r="AQ357" s="125" t="str">
        <f t="shared" si="304"/>
        <v/>
      </c>
      <c r="AR357" s="129" t="str">
        <f t="shared" si="305"/>
        <v/>
      </c>
      <c r="AS357" s="14"/>
      <c r="AT357" s="32"/>
      <c r="AU357" s="32"/>
      <c r="AV357" s="117" t="str">
        <f>IF(_xlfn.XLOOKUP(AT357, AutoFill_classes!$A:$A, AutoFill_classes!$B:$B,"")=0,"",_xlfn.XLOOKUP(AT357, AutoFill_classes!$A:$A, AutoFill_classes!$B:$B,""))</f>
        <v/>
      </c>
      <c r="AW357" s="108"/>
      <c r="AX357" s="13"/>
      <c r="AY357" s="13"/>
      <c r="AZ357" s="13"/>
      <c r="BA357" s="13"/>
      <c r="BB357" s="13"/>
      <c r="BC357" s="63"/>
      <c r="BD357" s="18"/>
      <c r="BE357" s="121" t="str">
        <f t="shared" si="306"/>
        <v/>
      </c>
      <c r="BF357" s="20"/>
      <c r="BG357" s="20"/>
      <c r="BH357" s="20"/>
      <c r="BI357" s="20"/>
      <c r="BJ357" s="125" t="str">
        <f t="shared" si="307"/>
        <v/>
      </c>
      <c r="BK357" s="14"/>
      <c r="BL357" s="125" t="str">
        <f t="shared" si="308"/>
        <v/>
      </c>
      <c r="BM357" s="20"/>
      <c r="BN357" s="20"/>
      <c r="BO357" s="125" t="str">
        <f t="shared" si="309"/>
        <v/>
      </c>
      <c r="BP357" s="14"/>
      <c r="BQ357" s="125" t="str">
        <f t="shared" si="310"/>
        <v/>
      </c>
      <c r="BR357" s="20"/>
      <c r="BS357" s="20"/>
      <c r="BT357" s="125" t="str">
        <f t="shared" si="311"/>
        <v/>
      </c>
      <c r="BU357" s="125" t="str">
        <f t="shared" si="312"/>
        <v/>
      </c>
      <c r="BV357" s="125" t="str">
        <f t="shared" si="313"/>
        <v/>
      </c>
      <c r="BW357" s="129" t="str">
        <f t="shared" si="314"/>
        <v/>
      </c>
      <c r="BX357" s="13"/>
      <c r="BY357" s="15"/>
      <c r="BZ357" s="14"/>
      <c r="CA357" s="117" t="str">
        <f>IF(_xlfn.XLOOKUP(BY357, AutoFill_classes!$A:$A, AutoFill_classes!$B:$B,"")=0,"",_xlfn.XLOOKUP(BY357, AutoFill_classes!$A:$A, AutoFill_classes!$B:$B,""))</f>
        <v/>
      </c>
      <c r="CB357" s="108"/>
      <c r="CC357" s="14"/>
      <c r="CD357" s="14"/>
      <c r="CE357" s="14"/>
      <c r="CF357" s="21"/>
      <c r="CG357" s="22"/>
      <c r="CH357" s="63"/>
      <c r="CI357" s="23"/>
      <c r="CJ357" s="121" t="str">
        <f t="shared" si="315"/>
        <v/>
      </c>
      <c r="CK357" s="20"/>
      <c r="CL357" s="20"/>
      <c r="CM357" s="20"/>
      <c r="CN357" s="20"/>
      <c r="CO357" s="125" t="str">
        <f t="shared" si="316"/>
        <v/>
      </c>
      <c r="CP357" s="14"/>
      <c r="CQ357" s="125" t="str">
        <f t="shared" si="317"/>
        <v/>
      </c>
      <c r="CR357" s="20"/>
      <c r="CS357" s="20"/>
      <c r="CT357" s="125" t="str">
        <f t="shared" si="318"/>
        <v/>
      </c>
      <c r="CU357" s="14"/>
      <c r="CV357" s="125" t="str">
        <f t="shared" si="319"/>
        <v/>
      </c>
      <c r="CW357" s="20"/>
      <c r="CX357" s="20"/>
      <c r="CY357" s="125" t="str">
        <f t="shared" si="320"/>
        <v/>
      </c>
      <c r="CZ357" s="125" t="str">
        <f t="shared" si="321"/>
        <v/>
      </c>
      <c r="DA357" s="125" t="str">
        <f t="shared" si="322"/>
        <v/>
      </c>
      <c r="DB357" s="129" t="str">
        <f t="shared" si="323"/>
        <v/>
      </c>
      <c r="DC357" s="14"/>
      <c r="DD357" s="62"/>
      <c r="DE357" s="105">
        <v>355</v>
      </c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</row>
    <row r="358" spans="1:176" s="1" customFormat="1" ht="13" hidden="1" customHeight="1" outlineLevel="1" x14ac:dyDescent="0.2">
      <c r="A358" s="4"/>
      <c r="B358" s="115" t="str">
        <f>IF(_xlfn.XLOOKUP(A358, AutoFill_names!B:B, AutoFill_names!C:C,"")=0,"",_xlfn.XLOOKUP(A358, AutoFill_names!B:B, AutoFill_names!C:C,""))</f>
        <v/>
      </c>
      <c r="C358" s="115" t="str">
        <f>IF(_xlfn.XLOOKUP(A358, AutoFill_names!B:B, AutoFill_names!D:D,"")=0,"",_xlfn.XLOOKUP(A358, AutoFill_names!B:B, AutoFill_names!D:D,""))</f>
        <v/>
      </c>
      <c r="D358" s="115" t="str">
        <f>IF(_xlfn.XLOOKUP(A358, AutoFill_names!B:B, AutoFill_names!E:E,"")=0,"",_xlfn.XLOOKUP(A358, AutoFill_names!B:B, AutoFill_names!E:E,""))</f>
        <v/>
      </c>
      <c r="E358" s="115" t="str">
        <f>IF(_xlfn.XLOOKUP(A358, AutoFill_names!B:B, AutoFill_names!F:F,"")=0,"",_xlfn.XLOOKUP(A358, AutoFill_names!B:B, AutoFill_names!F:F,""))</f>
        <v/>
      </c>
      <c r="F358" s="92"/>
      <c r="J358" s="115" t="str">
        <f>IF(_xlfn.XLOOKUP(A358, AutoFill_names!B:B, AutoFill_names!K:K,"")=0,"",_xlfn.XLOOKUP(A358, AutoFill_names!B:B, AutoFill_names!K:K,""))</f>
        <v/>
      </c>
      <c r="K358" s="115" t="str">
        <f>IF(_xlfn.XLOOKUP(A358, AutoFill_names!B:B, AutoFill_names!L:L,"")=0,"",_xlfn.XLOOKUP(A358, AutoFill_names!B:B, AutoFill_names!L:L,""))</f>
        <v/>
      </c>
      <c r="L358" s="2"/>
      <c r="M358" s="2"/>
      <c r="N358" s="117" t="str">
        <f>IF(_xlfn.XLOOKUP(L358, AutoFill_classes!A:A, AutoFill_classes!B:B,"")=0,"",_xlfn.XLOOKUP(L358, AutoFill_classes!A:A, AutoFill_classes!B:B,""))</f>
        <v/>
      </c>
      <c r="O358" s="108"/>
      <c r="P358" s="7"/>
      <c r="Q358" s="7"/>
      <c r="R358" s="7"/>
      <c r="S358" s="2"/>
      <c r="T358" s="2"/>
      <c r="U358" s="2"/>
      <c r="X358" s="63"/>
      <c r="Y358" s="19"/>
      <c r="Z358" s="121" t="str">
        <f t="shared" si="297"/>
        <v/>
      </c>
      <c r="AA358" s="20"/>
      <c r="AB358" s="20"/>
      <c r="AC358" s="20"/>
      <c r="AD358" s="20"/>
      <c r="AE358" s="125" t="str">
        <f t="shared" si="298"/>
        <v/>
      </c>
      <c r="AF358" s="14"/>
      <c r="AG358" s="125" t="str">
        <f t="shared" si="299"/>
        <v/>
      </c>
      <c r="AH358" s="20"/>
      <c r="AI358" s="20"/>
      <c r="AJ358" s="125" t="str">
        <f t="shared" si="300"/>
        <v/>
      </c>
      <c r="AK358" s="14"/>
      <c r="AL358" s="125" t="str">
        <f t="shared" si="301"/>
        <v/>
      </c>
      <c r="AM358" s="20"/>
      <c r="AN358" s="20"/>
      <c r="AO358" s="125" t="str">
        <f t="shared" si="302"/>
        <v/>
      </c>
      <c r="AP358" s="125" t="str">
        <f t="shared" si="303"/>
        <v/>
      </c>
      <c r="AQ358" s="125" t="str">
        <f t="shared" si="304"/>
        <v/>
      </c>
      <c r="AR358" s="129" t="str">
        <f t="shared" si="305"/>
        <v/>
      </c>
      <c r="AS358" s="14"/>
      <c r="AT358" s="32"/>
      <c r="AU358" s="32"/>
      <c r="AV358" s="117" t="str">
        <f>IF(_xlfn.XLOOKUP(AT358, AutoFill_classes!$A:$A, AutoFill_classes!$B:$B,"")=0,"",_xlfn.XLOOKUP(AT358, AutoFill_classes!$A:$A, AutoFill_classes!$B:$B,""))</f>
        <v/>
      </c>
      <c r="AW358" s="108"/>
      <c r="AX358" s="13"/>
      <c r="AY358" s="13"/>
      <c r="AZ358" s="13"/>
      <c r="BA358" s="13"/>
      <c r="BB358" s="13"/>
      <c r="BC358" s="63"/>
      <c r="BD358" s="18"/>
      <c r="BE358" s="121" t="str">
        <f t="shared" si="306"/>
        <v/>
      </c>
      <c r="BF358" s="20"/>
      <c r="BG358" s="20"/>
      <c r="BH358" s="20"/>
      <c r="BI358" s="20"/>
      <c r="BJ358" s="125" t="str">
        <f t="shared" si="307"/>
        <v/>
      </c>
      <c r="BK358" s="14"/>
      <c r="BL358" s="125" t="str">
        <f t="shared" si="308"/>
        <v/>
      </c>
      <c r="BM358" s="20"/>
      <c r="BN358" s="20"/>
      <c r="BO358" s="125" t="str">
        <f t="shared" si="309"/>
        <v/>
      </c>
      <c r="BP358" s="14"/>
      <c r="BQ358" s="125" t="str">
        <f t="shared" si="310"/>
        <v/>
      </c>
      <c r="BR358" s="20"/>
      <c r="BS358" s="20"/>
      <c r="BT358" s="125" t="str">
        <f t="shared" si="311"/>
        <v/>
      </c>
      <c r="BU358" s="125" t="str">
        <f t="shared" si="312"/>
        <v/>
      </c>
      <c r="BV358" s="125" t="str">
        <f t="shared" si="313"/>
        <v/>
      </c>
      <c r="BW358" s="129" t="str">
        <f t="shared" si="314"/>
        <v/>
      </c>
      <c r="BX358" s="13"/>
      <c r="BY358" s="15"/>
      <c r="BZ358" s="14"/>
      <c r="CA358" s="117" t="str">
        <f>IF(_xlfn.XLOOKUP(BY358, AutoFill_classes!$A:$A, AutoFill_classes!$B:$B,"")=0,"",_xlfn.XLOOKUP(BY358, AutoFill_classes!$A:$A, AutoFill_classes!$B:$B,""))</f>
        <v/>
      </c>
      <c r="CB358" s="108"/>
      <c r="CC358" s="14"/>
      <c r="CD358" s="14"/>
      <c r="CE358" s="14"/>
      <c r="CF358" s="21"/>
      <c r="CG358" s="22"/>
      <c r="CH358" s="63"/>
      <c r="CI358" s="23"/>
      <c r="CJ358" s="121" t="str">
        <f t="shared" si="315"/>
        <v/>
      </c>
      <c r="CK358" s="20"/>
      <c r="CL358" s="20"/>
      <c r="CM358" s="20"/>
      <c r="CN358" s="20"/>
      <c r="CO358" s="125" t="str">
        <f t="shared" si="316"/>
        <v/>
      </c>
      <c r="CP358" s="14"/>
      <c r="CQ358" s="125" t="str">
        <f t="shared" si="317"/>
        <v/>
      </c>
      <c r="CR358" s="20"/>
      <c r="CS358" s="20"/>
      <c r="CT358" s="125" t="str">
        <f t="shared" si="318"/>
        <v/>
      </c>
      <c r="CU358" s="14"/>
      <c r="CV358" s="125" t="str">
        <f t="shared" si="319"/>
        <v/>
      </c>
      <c r="CW358" s="20"/>
      <c r="CX358" s="20"/>
      <c r="CY358" s="125" t="str">
        <f t="shared" si="320"/>
        <v/>
      </c>
      <c r="CZ358" s="125" t="str">
        <f t="shared" si="321"/>
        <v/>
      </c>
      <c r="DA358" s="125" t="str">
        <f t="shared" si="322"/>
        <v/>
      </c>
      <c r="DB358" s="129" t="str">
        <f t="shared" si="323"/>
        <v/>
      </c>
      <c r="DC358" s="14"/>
      <c r="DD358" s="62"/>
      <c r="DE358" s="105">
        <v>356</v>
      </c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</row>
    <row r="359" spans="1:176" s="1" customFormat="1" ht="13" hidden="1" customHeight="1" outlineLevel="1" x14ac:dyDescent="0.2">
      <c r="A359" s="4"/>
      <c r="B359" s="115" t="str">
        <f>IF(_xlfn.XLOOKUP(A359, AutoFill_names!B:B, AutoFill_names!C:C,"")=0,"",_xlfn.XLOOKUP(A359, AutoFill_names!B:B, AutoFill_names!C:C,""))</f>
        <v/>
      </c>
      <c r="C359" s="115" t="str">
        <f>IF(_xlfn.XLOOKUP(A359, AutoFill_names!B:B, AutoFill_names!D:D,"")=0,"",_xlfn.XLOOKUP(A359, AutoFill_names!B:B, AutoFill_names!D:D,""))</f>
        <v/>
      </c>
      <c r="D359" s="115" t="str">
        <f>IF(_xlfn.XLOOKUP(A359, AutoFill_names!B:B, AutoFill_names!E:E,"")=0,"",_xlfn.XLOOKUP(A359, AutoFill_names!B:B, AutoFill_names!E:E,""))</f>
        <v/>
      </c>
      <c r="E359" s="115" t="str">
        <f>IF(_xlfn.XLOOKUP(A359, AutoFill_names!B:B, AutoFill_names!F:F,"")=0,"",_xlfn.XLOOKUP(A359, AutoFill_names!B:B, AutoFill_names!F:F,""))</f>
        <v/>
      </c>
      <c r="F359" s="92"/>
      <c r="J359" s="115" t="str">
        <f>IF(_xlfn.XLOOKUP(A359, AutoFill_names!B:B, AutoFill_names!K:K,"")=0,"",_xlfn.XLOOKUP(A359, AutoFill_names!B:B, AutoFill_names!K:K,""))</f>
        <v/>
      </c>
      <c r="K359" s="115" t="str">
        <f>IF(_xlfn.XLOOKUP(A359, AutoFill_names!B:B, AutoFill_names!L:L,"")=0,"",_xlfn.XLOOKUP(A359, AutoFill_names!B:B, AutoFill_names!L:L,""))</f>
        <v/>
      </c>
      <c r="L359" s="2"/>
      <c r="M359" s="2"/>
      <c r="N359" s="117" t="str">
        <f>IF(_xlfn.XLOOKUP(L359, AutoFill_classes!A:A, AutoFill_classes!B:B,"")=0,"",_xlfn.XLOOKUP(L359, AutoFill_classes!A:A, AutoFill_classes!B:B,""))</f>
        <v/>
      </c>
      <c r="O359" s="108"/>
      <c r="P359" s="7"/>
      <c r="Q359" s="7"/>
      <c r="R359" s="7"/>
      <c r="S359" s="2"/>
      <c r="T359" s="2"/>
      <c r="U359" s="2"/>
      <c r="X359" s="63"/>
      <c r="Y359" s="19"/>
      <c r="Z359" s="121" t="str">
        <f t="shared" si="297"/>
        <v/>
      </c>
      <c r="AA359" s="20"/>
      <c r="AB359" s="20"/>
      <c r="AC359" s="20"/>
      <c r="AD359" s="20"/>
      <c r="AE359" s="125" t="str">
        <f t="shared" si="298"/>
        <v/>
      </c>
      <c r="AF359" s="14"/>
      <c r="AG359" s="125" t="str">
        <f t="shared" si="299"/>
        <v/>
      </c>
      <c r="AH359" s="20"/>
      <c r="AI359" s="20"/>
      <c r="AJ359" s="125" t="str">
        <f t="shared" si="300"/>
        <v/>
      </c>
      <c r="AK359" s="14"/>
      <c r="AL359" s="125" t="str">
        <f t="shared" si="301"/>
        <v/>
      </c>
      <c r="AM359" s="20"/>
      <c r="AN359" s="20"/>
      <c r="AO359" s="125" t="str">
        <f t="shared" si="302"/>
        <v/>
      </c>
      <c r="AP359" s="125" t="str">
        <f t="shared" si="303"/>
        <v/>
      </c>
      <c r="AQ359" s="125" t="str">
        <f t="shared" si="304"/>
        <v/>
      </c>
      <c r="AR359" s="129" t="str">
        <f t="shared" si="305"/>
        <v/>
      </c>
      <c r="AS359" s="14"/>
      <c r="AT359" s="32"/>
      <c r="AU359" s="32"/>
      <c r="AV359" s="117" t="str">
        <f>IF(_xlfn.XLOOKUP(AT359, AutoFill_classes!$A:$A, AutoFill_classes!$B:$B,"")=0,"",_xlfn.XLOOKUP(AT359, AutoFill_classes!$A:$A, AutoFill_classes!$B:$B,""))</f>
        <v/>
      </c>
      <c r="AW359" s="108"/>
      <c r="AX359" s="13"/>
      <c r="AY359" s="13"/>
      <c r="AZ359" s="13"/>
      <c r="BA359" s="13"/>
      <c r="BB359" s="13"/>
      <c r="BC359" s="63"/>
      <c r="BD359" s="18"/>
      <c r="BE359" s="121" t="str">
        <f t="shared" si="306"/>
        <v/>
      </c>
      <c r="BF359" s="20"/>
      <c r="BG359" s="20"/>
      <c r="BH359" s="20"/>
      <c r="BI359" s="20"/>
      <c r="BJ359" s="125" t="str">
        <f t="shared" si="307"/>
        <v/>
      </c>
      <c r="BK359" s="14"/>
      <c r="BL359" s="125" t="str">
        <f t="shared" si="308"/>
        <v/>
      </c>
      <c r="BM359" s="20"/>
      <c r="BN359" s="20"/>
      <c r="BO359" s="125" t="str">
        <f t="shared" si="309"/>
        <v/>
      </c>
      <c r="BP359" s="14"/>
      <c r="BQ359" s="125" t="str">
        <f t="shared" si="310"/>
        <v/>
      </c>
      <c r="BR359" s="20"/>
      <c r="BS359" s="20"/>
      <c r="BT359" s="125" t="str">
        <f t="shared" si="311"/>
        <v/>
      </c>
      <c r="BU359" s="125" t="str">
        <f t="shared" si="312"/>
        <v/>
      </c>
      <c r="BV359" s="125" t="str">
        <f t="shared" si="313"/>
        <v/>
      </c>
      <c r="BW359" s="129" t="str">
        <f t="shared" si="314"/>
        <v/>
      </c>
      <c r="BX359" s="13"/>
      <c r="BY359" s="15"/>
      <c r="BZ359" s="14"/>
      <c r="CA359" s="117" t="str">
        <f>IF(_xlfn.XLOOKUP(BY359, AutoFill_classes!$A:$A, AutoFill_classes!$B:$B,"")=0,"",_xlfn.XLOOKUP(BY359, AutoFill_classes!$A:$A, AutoFill_classes!$B:$B,""))</f>
        <v/>
      </c>
      <c r="CB359" s="108"/>
      <c r="CC359" s="14"/>
      <c r="CD359" s="14"/>
      <c r="CE359" s="14"/>
      <c r="CF359" s="21"/>
      <c r="CG359" s="22"/>
      <c r="CH359" s="63"/>
      <c r="CI359" s="23"/>
      <c r="CJ359" s="121" t="str">
        <f t="shared" si="315"/>
        <v/>
      </c>
      <c r="CK359" s="20"/>
      <c r="CL359" s="20"/>
      <c r="CM359" s="20"/>
      <c r="CN359" s="20"/>
      <c r="CO359" s="125" t="str">
        <f t="shared" si="316"/>
        <v/>
      </c>
      <c r="CP359" s="14"/>
      <c r="CQ359" s="125" t="str">
        <f t="shared" si="317"/>
        <v/>
      </c>
      <c r="CR359" s="20"/>
      <c r="CS359" s="20"/>
      <c r="CT359" s="125" t="str">
        <f t="shared" si="318"/>
        <v/>
      </c>
      <c r="CU359" s="14"/>
      <c r="CV359" s="125" t="str">
        <f t="shared" si="319"/>
        <v/>
      </c>
      <c r="CW359" s="20"/>
      <c r="CX359" s="20"/>
      <c r="CY359" s="125" t="str">
        <f t="shared" si="320"/>
        <v/>
      </c>
      <c r="CZ359" s="125" t="str">
        <f t="shared" si="321"/>
        <v/>
      </c>
      <c r="DA359" s="125" t="str">
        <f t="shared" si="322"/>
        <v/>
      </c>
      <c r="DB359" s="129" t="str">
        <f t="shared" si="323"/>
        <v/>
      </c>
      <c r="DC359" s="14"/>
      <c r="DD359" s="62"/>
      <c r="DE359" s="105">
        <v>357</v>
      </c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</row>
    <row r="360" spans="1:176" s="1" customFormat="1" ht="13" hidden="1" customHeight="1" outlineLevel="1" x14ac:dyDescent="0.2">
      <c r="A360" s="4"/>
      <c r="B360" s="115" t="str">
        <f>IF(_xlfn.XLOOKUP(A360, AutoFill_names!B:B, AutoFill_names!C:C,"")=0,"",_xlfn.XLOOKUP(A360, AutoFill_names!B:B, AutoFill_names!C:C,""))</f>
        <v/>
      </c>
      <c r="C360" s="115" t="str">
        <f>IF(_xlfn.XLOOKUP(A360, AutoFill_names!B:B, AutoFill_names!D:D,"")=0,"",_xlfn.XLOOKUP(A360, AutoFill_names!B:B, AutoFill_names!D:D,""))</f>
        <v/>
      </c>
      <c r="D360" s="115" t="str">
        <f>IF(_xlfn.XLOOKUP(A360, AutoFill_names!B:B, AutoFill_names!E:E,"")=0,"",_xlfn.XLOOKUP(A360, AutoFill_names!B:B, AutoFill_names!E:E,""))</f>
        <v/>
      </c>
      <c r="E360" s="115" t="str">
        <f>IF(_xlfn.XLOOKUP(A360, AutoFill_names!B:B, AutoFill_names!F:F,"")=0,"",_xlfn.XLOOKUP(A360, AutoFill_names!B:B, AutoFill_names!F:F,""))</f>
        <v/>
      </c>
      <c r="F360" s="92"/>
      <c r="J360" s="115" t="str">
        <f>IF(_xlfn.XLOOKUP(A360, AutoFill_names!B:B, AutoFill_names!K:K,"")=0,"",_xlfn.XLOOKUP(A360, AutoFill_names!B:B, AutoFill_names!K:K,""))</f>
        <v/>
      </c>
      <c r="K360" s="115" t="str">
        <f>IF(_xlfn.XLOOKUP(A360, AutoFill_names!B:B, AutoFill_names!L:L,"")=0,"",_xlfn.XLOOKUP(A360, AutoFill_names!B:B, AutoFill_names!L:L,""))</f>
        <v/>
      </c>
      <c r="L360" s="2"/>
      <c r="M360" s="2"/>
      <c r="N360" s="117" t="str">
        <f>IF(_xlfn.XLOOKUP(L360, AutoFill_classes!A:A, AutoFill_classes!B:B,"")=0,"",_xlfn.XLOOKUP(L360, AutoFill_classes!A:A, AutoFill_classes!B:B,""))</f>
        <v/>
      </c>
      <c r="O360" s="108"/>
      <c r="P360" s="7"/>
      <c r="Q360" s="7"/>
      <c r="R360" s="7"/>
      <c r="S360" s="2"/>
      <c r="T360" s="2"/>
      <c r="U360" s="2"/>
      <c r="X360" s="63"/>
      <c r="Y360" s="19"/>
      <c r="Z360" s="121" t="str">
        <f t="shared" si="297"/>
        <v/>
      </c>
      <c r="AA360" s="20"/>
      <c r="AB360" s="20"/>
      <c r="AC360" s="20"/>
      <c r="AD360" s="20"/>
      <c r="AE360" s="125" t="str">
        <f t="shared" si="298"/>
        <v/>
      </c>
      <c r="AF360" s="14"/>
      <c r="AG360" s="125" t="str">
        <f t="shared" si="299"/>
        <v/>
      </c>
      <c r="AH360" s="20"/>
      <c r="AI360" s="20"/>
      <c r="AJ360" s="125" t="str">
        <f t="shared" si="300"/>
        <v/>
      </c>
      <c r="AK360" s="14"/>
      <c r="AL360" s="125" t="str">
        <f t="shared" si="301"/>
        <v/>
      </c>
      <c r="AM360" s="20"/>
      <c r="AN360" s="20"/>
      <c r="AO360" s="125" t="str">
        <f t="shared" si="302"/>
        <v/>
      </c>
      <c r="AP360" s="125" t="str">
        <f t="shared" si="303"/>
        <v/>
      </c>
      <c r="AQ360" s="125" t="str">
        <f t="shared" si="304"/>
        <v/>
      </c>
      <c r="AR360" s="129" t="str">
        <f t="shared" si="305"/>
        <v/>
      </c>
      <c r="AS360" s="14"/>
      <c r="AT360" s="32"/>
      <c r="AU360" s="32"/>
      <c r="AV360" s="117" t="str">
        <f>IF(_xlfn.XLOOKUP(AT360, AutoFill_classes!$A:$A, AutoFill_classes!$B:$B,"")=0,"",_xlfn.XLOOKUP(AT360, AutoFill_classes!$A:$A, AutoFill_classes!$B:$B,""))</f>
        <v/>
      </c>
      <c r="AW360" s="108"/>
      <c r="AX360" s="13"/>
      <c r="AY360" s="13"/>
      <c r="AZ360" s="13"/>
      <c r="BA360" s="13"/>
      <c r="BB360" s="13"/>
      <c r="BC360" s="63"/>
      <c r="BD360" s="18"/>
      <c r="BE360" s="121" t="str">
        <f t="shared" si="306"/>
        <v/>
      </c>
      <c r="BF360" s="20"/>
      <c r="BG360" s="20"/>
      <c r="BH360" s="20"/>
      <c r="BI360" s="20"/>
      <c r="BJ360" s="125" t="str">
        <f t="shared" si="307"/>
        <v/>
      </c>
      <c r="BK360" s="14"/>
      <c r="BL360" s="125" t="str">
        <f t="shared" si="308"/>
        <v/>
      </c>
      <c r="BM360" s="20"/>
      <c r="BN360" s="20"/>
      <c r="BO360" s="125" t="str">
        <f t="shared" si="309"/>
        <v/>
      </c>
      <c r="BP360" s="14"/>
      <c r="BQ360" s="125" t="str">
        <f t="shared" si="310"/>
        <v/>
      </c>
      <c r="BR360" s="20"/>
      <c r="BS360" s="20"/>
      <c r="BT360" s="125" t="str">
        <f t="shared" si="311"/>
        <v/>
      </c>
      <c r="BU360" s="125" t="str">
        <f t="shared" si="312"/>
        <v/>
      </c>
      <c r="BV360" s="125" t="str">
        <f t="shared" si="313"/>
        <v/>
      </c>
      <c r="BW360" s="129" t="str">
        <f t="shared" si="314"/>
        <v/>
      </c>
      <c r="BX360" s="13"/>
      <c r="BY360" s="15"/>
      <c r="BZ360" s="14"/>
      <c r="CA360" s="117" t="str">
        <f>IF(_xlfn.XLOOKUP(BY360, AutoFill_classes!$A:$A, AutoFill_classes!$B:$B,"")=0,"",_xlfn.XLOOKUP(BY360, AutoFill_classes!$A:$A, AutoFill_classes!$B:$B,""))</f>
        <v/>
      </c>
      <c r="CB360" s="108"/>
      <c r="CC360" s="14"/>
      <c r="CD360" s="14"/>
      <c r="CE360" s="14"/>
      <c r="CF360" s="21"/>
      <c r="CG360" s="22"/>
      <c r="CH360" s="63"/>
      <c r="CI360" s="23"/>
      <c r="CJ360" s="121" t="str">
        <f t="shared" si="315"/>
        <v/>
      </c>
      <c r="CK360" s="20"/>
      <c r="CL360" s="20"/>
      <c r="CM360" s="20"/>
      <c r="CN360" s="20"/>
      <c r="CO360" s="125" t="str">
        <f t="shared" si="316"/>
        <v/>
      </c>
      <c r="CP360" s="14"/>
      <c r="CQ360" s="125" t="str">
        <f t="shared" si="317"/>
        <v/>
      </c>
      <c r="CR360" s="20"/>
      <c r="CS360" s="20"/>
      <c r="CT360" s="125" t="str">
        <f t="shared" si="318"/>
        <v/>
      </c>
      <c r="CU360" s="14"/>
      <c r="CV360" s="125" t="str">
        <f t="shared" si="319"/>
        <v/>
      </c>
      <c r="CW360" s="20"/>
      <c r="CX360" s="20"/>
      <c r="CY360" s="125" t="str">
        <f t="shared" si="320"/>
        <v/>
      </c>
      <c r="CZ360" s="125" t="str">
        <f t="shared" si="321"/>
        <v/>
      </c>
      <c r="DA360" s="125" t="str">
        <f t="shared" si="322"/>
        <v/>
      </c>
      <c r="DB360" s="129" t="str">
        <f t="shared" si="323"/>
        <v/>
      </c>
      <c r="DC360" s="14"/>
      <c r="DD360" s="62"/>
      <c r="DE360" s="105">
        <v>358</v>
      </c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</row>
    <row r="361" spans="1:176" s="1" customFormat="1" ht="13" hidden="1" customHeight="1" outlineLevel="1" x14ac:dyDescent="0.2">
      <c r="A361" s="4"/>
      <c r="B361" s="115" t="str">
        <f>IF(_xlfn.XLOOKUP(A361, AutoFill_names!B:B, AutoFill_names!C:C,"")=0,"",_xlfn.XLOOKUP(A361, AutoFill_names!B:B, AutoFill_names!C:C,""))</f>
        <v/>
      </c>
      <c r="C361" s="115" t="str">
        <f>IF(_xlfn.XLOOKUP(A361, AutoFill_names!B:B, AutoFill_names!D:D,"")=0,"",_xlfn.XLOOKUP(A361, AutoFill_names!B:B, AutoFill_names!D:D,""))</f>
        <v/>
      </c>
      <c r="D361" s="115" t="str">
        <f>IF(_xlfn.XLOOKUP(A361, AutoFill_names!B:B, AutoFill_names!E:E,"")=0,"",_xlfn.XLOOKUP(A361, AutoFill_names!B:B, AutoFill_names!E:E,""))</f>
        <v/>
      </c>
      <c r="E361" s="115" t="str">
        <f>IF(_xlfn.XLOOKUP(A361, AutoFill_names!B:B, AutoFill_names!F:F,"")=0,"",_xlfn.XLOOKUP(A361, AutoFill_names!B:B, AutoFill_names!F:F,""))</f>
        <v/>
      </c>
      <c r="F361" s="92"/>
      <c r="J361" s="115" t="str">
        <f>IF(_xlfn.XLOOKUP(A361, AutoFill_names!B:B, AutoFill_names!K:K,"")=0,"",_xlfn.XLOOKUP(A361, AutoFill_names!B:B, AutoFill_names!K:K,""))</f>
        <v/>
      </c>
      <c r="K361" s="115" t="str">
        <f>IF(_xlfn.XLOOKUP(A361, AutoFill_names!B:B, AutoFill_names!L:L,"")=0,"",_xlfn.XLOOKUP(A361, AutoFill_names!B:B, AutoFill_names!L:L,""))</f>
        <v/>
      </c>
      <c r="L361" s="2"/>
      <c r="M361" s="2"/>
      <c r="N361" s="117" t="str">
        <f>IF(_xlfn.XLOOKUP(L361, AutoFill_classes!A:A, AutoFill_classes!B:B,"")=0,"",_xlfn.XLOOKUP(L361, AutoFill_classes!A:A, AutoFill_classes!B:B,""))</f>
        <v/>
      </c>
      <c r="O361" s="108"/>
      <c r="P361" s="7"/>
      <c r="Q361" s="7"/>
      <c r="R361" s="7"/>
      <c r="S361" s="2"/>
      <c r="T361" s="2"/>
      <c r="U361" s="2"/>
      <c r="X361" s="63"/>
      <c r="Y361" s="19"/>
      <c r="Z361" s="121" t="str">
        <f t="shared" si="297"/>
        <v/>
      </c>
      <c r="AA361" s="20"/>
      <c r="AB361" s="20"/>
      <c r="AC361" s="20"/>
      <c r="AD361" s="20"/>
      <c r="AE361" s="125" t="str">
        <f t="shared" si="298"/>
        <v/>
      </c>
      <c r="AF361" s="14"/>
      <c r="AG361" s="125" t="str">
        <f t="shared" si="299"/>
        <v/>
      </c>
      <c r="AH361" s="20"/>
      <c r="AI361" s="20"/>
      <c r="AJ361" s="125" t="str">
        <f t="shared" si="300"/>
        <v/>
      </c>
      <c r="AK361" s="14"/>
      <c r="AL361" s="125" t="str">
        <f t="shared" si="301"/>
        <v/>
      </c>
      <c r="AM361" s="20"/>
      <c r="AN361" s="20"/>
      <c r="AO361" s="125" t="str">
        <f t="shared" si="302"/>
        <v/>
      </c>
      <c r="AP361" s="125" t="str">
        <f t="shared" si="303"/>
        <v/>
      </c>
      <c r="AQ361" s="125" t="str">
        <f t="shared" si="304"/>
        <v/>
      </c>
      <c r="AR361" s="129" t="str">
        <f t="shared" si="305"/>
        <v/>
      </c>
      <c r="AS361" s="14"/>
      <c r="AT361" s="32"/>
      <c r="AU361" s="32"/>
      <c r="AV361" s="117" t="str">
        <f>IF(_xlfn.XLOOKUP(AT361, AutoFill_classes!$A:$A, AutoFill_classes!$B:$B,"")=0,"",_xlfn.XLOOKUP(AT361, AutoFill_classes!$A:$A, AutoFill_classes!$B:$B,""))</f>
        <v/>
      </c>
      <c r="AW361" s="108"/>
      <c r="AX361" s="13"/>
      <c r="AY361" s="13"/>
      <c r="AZ361" s="13"/>
      <c r="BA361" s="13"/>
      <c r="BB361" s="13"/>
      <c r="BC361" s="63"/>
      <c r="BD361" s="18"/>
      <c r="BE361" s="121" t="str">
        <f t="shared" si="306"/>
        <v/>
      </c>
      <c r="BF361" s="20"/>
      <c r="BG361" s="20"/>
      <c r="BH361" s="20"/>
      <c r="BI361" s="20"/>
      <c r="BJ361" s="125" t="str">
        <f t="shared" si="307"/>
        <v/>
      </c>
      <c r="BK361" s="14"/>
      <c r="BL361" s="125" t="str">
        <f t="shared" si="308"/>
        <v/>
      </c>
      <c r="BM361" s="20"/>
      <c r="BN361" s="20"/>
      <c r="BO361" s="125" t="str">
        <f t="shared" si="309"/>
        <v/>
      </c>
      <c r="BP361" s="14"/>
      <c r="BQ361" s="125" t="str">
        <f t="shared" si="310"/>
        <v/>
      </c>
      <c r="BR361" s="20"/>
      <c r="BS361" s="20"/>
      <c r="BT361" s="125" t="str">
        <f t="shared" si="311"/>
        <v/>
      </c>
      <c r="BU361" s="125" t="str">
        <f t="shared" si="312"/>
        <v/>
      </c>
      <c r="BV361" s="125" t="str">
        <f t="shared" si="313"/>
        <v/>
      </c>
      <c r="BW361" s="129" t="str">
        <f t="shared" si="314"/>
        <v/>
      </c>
      <c r="BX361" s="13"/>
      <c r="BY361" s="15"/>
      <c r="BZ361" s="14"/>
      <c r="CA361" s="117" t="str">
        <f>IF(_xlfn.XLOOKUP(BY361, AutoFill_classes!$A:$A, AutoFill_classes!$B:$B,"")=0,"",_xlfn.XLOOKUP(BY361, AutoFill_classes!$A:$A, AutoFill_classes!$B:$B,""))</f>
        <v/>
      </c>
      <c r="CB361" s="108"/>
      <c r="CC361" s="14"/>
      <c r="CD361" s="14"/>
      <c r="CE361" s="14"/>
      <c r="CF361" s="21"/>
      <c r="CG361" s="22"/>
      <c r="CH361" s="63"/>
      <c r="CI361" s="23"/>
      <c r="CJ361" s="121" t="str">
        <f t="shared" si="315"/>
        <v/>
      </c>
      <c r="CK361" s="20"/>
      <c r="CL361" s="20"/>
      <c r="CM361" s="20"/>
      <c r="CN361" s="20"/>
      <c r="CO361" s="125" t="str">
        <f t="shared" si="316"/>
        <v/>
      </c>
      <c r="CP361" s="14"/>
      <c r="CQ361" s="125" t="str">
        <f t="shared" si="317"/>
        <v/>
      </c>
      <c r="CR361" s="20"/>
      <c r="CS361" s="20"/>
      <c r="CT361" s="125" t="str">
        <f t="shared" si="318"/>
        <v/>
      </c>
      <c r="CU361" s="14"/>
      <c r="CV361" s="125" t="str">
        <f t="shared" si="319"/>
        <v/>
      </c>
      <c r="CW361" s="20"/>
      <c r="CX361" s="20"/>
      <c r="CY361" s="125" t="str">
        <f t="shared" si="320"/>
        <v/>
      </c>
      <c r="CZ361" s="125" t="str">
        <f t="shared" si="321"/>
        <v/>
      </c>
      <c r="DA361" s="125" t="str">
        <f t="shared" si="322"/>
        <v/>
      </c>
      <c r="DB361" s="129" t="str">
        <f t="shared" si="323"/>
        <v/>
      </c>
      <c r="DC361" s="14"/>
      <c r="DD361" s="62"/>
      <c r="DE361" s="105">
        <v>359</v>
      </c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</row>
    <row r="362" spans="1:176" s="116" customFormat="1" ht="34" customHeight="1" collapsed="1" x14ac:dyDescent="0.2">
      <c r="A362" s="66" t="s">
        <v>68</v>
      </c>
      <c r="B362" s="112" t="str">
        <f>"Total Credits: " &amp; IFERROR(IF(DD362=0,"",DD362),"")</f>
        <v xml:space="preserve">Total Credits: </v>
      </c>
      <c r="F362" s="138"/>
      <c r="L362" s="119"/>
      <c r="M362" s="119"/>
      <c r="N362" s="119"/>
      <c r="O362" s="119"/>
      <c r="P362" s="139"/>
      <c r="Q362" s="139"/>
      <c r="R362" s="139"/>
      <c r="S362" s="119"/>
      <c r="T362" s="119"/>
      <c r="U362" s="119"/>
      <c r="V362" s="136"/>
      <c r="W362" s="136"/>
      <c r="X362" s="140" t="str">
        <f>IF(SUM(X363:X391)=0, "", SUM(X363:X391))</f>
        <v/>
      </c>
      <c r="Y362" s="123"/>
      <c r="Z362" s="123"/>
      <c r="AA362" s="141"/>
      <c r="AB362" s="141"/>
      <c r="AC362" s="141"/>
      <c r="AD362" s="141"/>
      <c r="AE362" s="124"/>
      <c r="AF362" s="124"/>
      <c r="AG362" s="124"/>
      <c r="AH362" s="141"/>
      <c r="AI362" s="141"/>
      <c r="AJ362" s="124"/>
      <c r="AK362" s="124"/>
      <c r="AL362" s="124"/>
      <c r="AM362" s="141"/>
      <c r="AN362" s="141"/>
      <c r="AO362" s="127"/>
      <c r="AP362" s="127"/>
      <c r="AQ362" s="127"/>
      <c r="AR362" s="127"/>
      <c r="AS362" s="127"/>
      <c r="AT362" s="135"/>
      <c r="AU362" s="135"/>
      <c r="AV362" s="119"/>
      <c r="AW362" s="119"/>
      <c r="AX362" s="135"/>
      <c r="AY362" s="135"/>
      <c r="AZ362" s="135"/>
      <c r="BA362" s="144"/>
      <c r="BB362" s="144"/>
      <c r="BC362" s="140" t="str">
        <f>IF(SUM(BC363:BC391)=0, "", SUM(BC363:BC391))</f>
        <v/>
      </c>
      <c r="BD362" s="132"/>
      <c r="BE362" s="132"/>
      <c r="BF362" s="147"/>
      <c r="BG362" s="147"/>
      <c r="BH362" s="147"/>
      <c r="BI362" s="147"/>
      <c r="BJ362" s="135"/>
      <c r="BK362" s="135"/>
      <c r="BL362" s="135"/>
      <c r="BM362" s="147"/>
      <c r="BN362" s="147"/>
      <c r="BO362" s="135"/>
      <c r="BP362" s="135"/>
      <c r="BQ362" s="135"/>
      <c r="BR362" s="147"/>
      <c r="BS362" s="147"/>
      <c r="BT362" s="135"/>
      <c r="BU362" s="135"/>
      <c r="BV362" s="135"/>
      <c r="BW362" s="127"/>
      <c r="BX362" s="135"/>
      <c r="BY362" s="135"/>
      <c r="BZ362" s="135"/>
      <c r="CA362" s="119"/>
      <c r="CB362" s="119"/>
      <c r="CC362" s="135"/>
      <c r="CD362" s="135"/>
      <c r="CE362" s="135"/>
      <c r="CF362" s="136"/>
      <c r="CG362" s="120"/>
      <c r="CH362" s="140" t="str">
        <f>IF(SUM(CH363:CH391)=0, "", SUM(CH363:CH391))</f>
        <v/>
      </c>
      <c r="CI362" s="123"/>
      <c r="CJ362" s="123"/>
      <c r="CK362" s="146"/>
      <c r="CL362" s="146"/>
      <c r="CM362" s="146"/>
      <c r="CN362" s="146"/>
      <c r="CP362" s="134"/>
      <c r="CR362" s="146"/>
      <c r="CS362" s="146"/>
      <c r="CU362" s="134"/>
      <c r="CW362" s="146"/>
      <c r="CX362" s="146"/>
      <c r="DB362" s="127"/>
      <c r="DC362" s="134"/>
      <c r="DD362" s="140" t="str">
        <f>IF(SUM(L362:DC362)=0, "", SUM(L362:DC362))</f>
        <v/>
      </c>
      <c r="DE362" s="105">
        <v>360</v>
      </c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</row>
    <row r="363" spans="1:176" s="1" customFormat="1" ht="13" hidden="1" customHeight="1" outlineLevel="1" x14ac:dyDescent="0.2">
      <c r="A363" s="4"/>
      <c r="B363" s="115" t="str">
        <f>IF(_xlfn.XLOOKUP(A363, AutoFill_names!B:B, AutoFill_names!C:C,"")=0,"",_xlfn.XLOOKUP(A363, AutoFill_names!B:B, AutoFill_names!C:C,""))</f>
        <v/>
      </c>
      <c r="C363" s="115" t="str">
        <f>IF(_xlfn.XLOOKUP(A363, AutoFill_names!B:B, AutoFill_names!D:D,"")=0,"",_xlfn.XLOOKUP(A363, AutoFill_names!B:B, AutoFill_names!D:D,""))</f>
        <v/>
      </c>
      <c r="D363" s="115" t="str">
        <f>IF(_xlfn.XLOOKUP(A363, AutoFill_names!B:B, AutoFill_names!E:E,"")=0,"",_xlfn.XLOOKUP(A363, AutoFill_names!B:B, AutoFill_names!E:E,""))</f>
        <v/>
      </c>
      <c r="E363" s="115" t="str">
        <f>IF(_xlfn.XLOOKUP(A363, AutoFill_names!B:B, AutoFill_names!F:F,"")=0,"",_xlfn.XLOOKUP(A363, AutoFill_names!B:B, AutoFill_names!F:F,""))</f>
        <v/>
      </c>
      <c r="F363" s="92"/>
      <c r="J363" s="115" t="str">
        <f>IF(_xlfn.XLOOKUP(A363, AutoFill_names!B:B, AutoFill_names!K:K,"")=0,"",_xlfn.XLOOKUP(A363, AutoFill_names!B:B, AutoFill_names!K:K,""))</f>
        <v/>
      </c>
      <c r="K363" s="115" t="str">
        <f>IF(_xlfn.XLOOKUP(A363, AutoFill_names!B:B, AutoFill_names!L:L,"")=0,"",_xlfn.XLOOKUP(A363, AutoFill_names!B:B, AutoFill_names!L:L,""))</f>
        <v/>
      </c>
      <c r="L363" s="2"/>
      <c r="M363" s="2"/>
      <c r="N363" s="117" t="str">
        <f>IF(_xlfn.XLOOKUP(L363, AutoFill_classes!A:A, AutoFill_classes!B:B,"")=0,"",_xlfn.XLOOKUP(L363, AutoFill_classes!A:A, AutoFill_classes!B:B,""))</f>
        <v/>
      </c>
      <c r="O363" s="108"/>
      <c r="P363" s="6"/>
      <c r="Q363" s="6"/>
      <c r="R363" s="6"/>
      <c r="S363" s="2"/>
      <c r="U363" s="2"/>
      <c r="X363" s="63"/>
      <c r="Y363" s="19"/>
      <c r="Z363" s="121" t="str">
        <f t="shared" ref="Z363:Z391" si="324">IF(X363*Y363=0,"",X363*Y363)</f>
        <v/>
      </c>
      <c r="AA363" s="20"/>
      <c r="AB363" s="20"/>
      <c r="AC363" s="20"/>
      <c r="AD363" s="20"/>
      <c r="AE363" s="125" t="str">
        <f t="shared" ref="AE363:AE391" si="325">IF(ROUNDUP((AD363-AC363)/7,0)=0,"",ROUNDUP((AD363-AC363)/7,0))</f>
        <v/>
      </c>
      <c r="AF363" s="14"/>
      <c r="AG363" s="125" t="str">
        <f t="shared" ref="AG363:AG391" si="326">IFERROR(IF(AE363*AF363=0,"",AE363*AF363), "")</f>
        <v/>
      </c>
      <c r="AH363" s="20"/>
      <c r="AI363" s="20"/>
      <c r="AJ363" s="125" t="str">
        <f t="shared" ref="AJ363:AJ391" si="327">IF(ROUNDUP((AI363-AH363)/7,0)=0,"",ROUNDUP((AI363-AH363)/7,0))</f>
        <v/>
      </c>
      <c r="AK363" s="14"/>
      <c r="AL363" s="125" t="str">
        <f t="shared" ref="AL363:AL391" si="328">IFERROR(IF(AJ363*AK363=0,"",AJ363*AK363), "")</f>
        <v/>
      </c>
      <c r="AM363" s="20"/>
      <c r="AN363" s="20"/>
      <c r="AO363" s="125" t="str">
        <f t="shared" ref="AO363:AO391" si="329">IF(ROUNDUP((AN363-AM363)/7,0)=0,"",ROUNDUP((AN363-AM363)/7,0))</f>
        <v/>
      </c>
      <c r="AP363" s="125" t="str">
        <f t="shared" ref="AP363:AP391" si="330">IFERROR(IF((AS363-(AF363+AK363))/AO363=0,"",ROUNDUP((AS363-(AF363+AK363))/AO363,0)), "")</f>
        <v/>
      </c>
      <c r="AQ363" s="125" t="str">
        <f t="shared" ref="AQ363:AQ391" si="331">IFERROR(IF((AS363-(AG363+AL363))=0, "", (AS363-(AG363+AL363))), "")</f>
        <v/>
      </c>
      <c r="AR363" s="129" t="str">
        <f t="shared" ref="AR363:AR391" si="332">IFERROR(IF((AE363+AJ363+AO363)=0, "", (AE363+AJ363+AO363)), "")</f>
        <v/>
      </c>
      <c r="AS363" s="14"/>
      <c r="AT363" s="13"/>
      <c r="AU363" s="13"/>
      <c r="AV363" s="117" t="str">
        <f>IF(_xlfn.XLOOKUP(AT363, AutoFill_classes!$A:$A, AutoFill_classes!$B:$B,"")=0,"",_xlfn.XLOOKUP(AT363, AutoFill_classes!$A:$A, AutoFill_classes!$B:$B,""))</f>
        <v/>
      </c>
      <c r="AW363" s="108"/>
      <c r="AX363" s="11"/>
      <c r="AY363" s="11"/>
      <c r="AZ363" s="11"/>
      <c r="BA363" s="13"/>
      <c r="BB363" s="13"/>
      <c r="BC363" s="63"/>
      <c r="BD363" s="19"/>
      <c r="BE363" s="121" t="str">
        <f t="shared" ref="BE363:BE391" si="333">IF(BC363*BD363=0,"",BC363*BD363)</f>
        <v/>
      </c>
      <c r="BF363" s="20"/>
      <c r="BG363" s="20"/>
      <c r="BH363" s="20"/>
      <c r="BI363" s="20"/>
      <c r="BJ363" s="125" t="str">
        <f t="shared" ref="BJ363:BJ391" si="334">IF(ROUNDUP((BI363-BH363)/7,0)=0,"",ROUNDUP((BI363-BH363)/7,0))</f>
        <v/>
      </c>
      <c r="BK363" s="14"/>
      <c r="BL363" s="125" t="str">
        <f t="shared" ref="BL363:BL391" si="335">IFERROR(IF(BJ363*BK363=0,"",BJ363*BK363), "")</f>
        <v/>
      </c>
      <c r="BM363" s="20"/>
      <c r="BN363" s="20"/>
      <c r="BO363" s="125" t="str">
        <f t="shared" ref="BO363:BO391" si="336">IF(ROUNDUP((BN363-BM363)/7,0)=0,"",ROUNDUP((BN363-BM363)/7,0))</f>
        <v/>
      </c>
      <c r="BP363" s="14"/>
      <c r="BQ363" s="125" t="str">
        <f t="shared" ref="BQ363:BQ391" si="337">IFERROR(IF(BO363*BP363=0,"",BO363*BP363), "")</f>
        <v/>
      </c>
      <c r="BR363" s="20"/>
      <c r="BS363" s="20"/>
      <c r="BT363" s="125" t="str">
        <f t="shared" ref="BT363:BT391" si="338">IF(ROUNDUP((BS363-BR363)/7,0)=0,"",ROUNDUP((BS363-BR363)/7,0))</f>
        <v/>
      </c>
      <c r="BU363" s="125" t="str">
        <f t="shared" ref="BU363:BU391" si="339">IFERROR(IF((BX363-(BK363+BP363))/BT363=0,"",ROUNDUP((BX363-(BK363+BP363))/BT363,0)), "")</f>
        <v/>
      </c>
      <c r="BV363" s="125" t="str">
        <f t="shared" ref="BV363:BV391" si="340">IFERROR(IF((BX363-(BL363+BQ363))=0, "", (BX363-(BL363+BQ363))), "")</f>
        <v/>
      </c>
      <c r="BW363" s="129" t="str">
        <f t="shared" ref="BW363:BW391" si="341">IFERROR(IF((BJ363+BO363+BT363)=0, "", (BJ363+BO363+BT363)), "")</f>
        <v/>
      </c>
      <c r="BX363" s="11"/>
      <c r="BY363" s="15"/>
      <c r="BZ363" s="14"/>
      <c r="CA363" s="117" t="str">
        <f>IF(_xlfn.XLOOKUP(BY363, AutoFill_classes!$A:$A, AutoFill_classes!$B:$B,"")=0,"",_xlfn.XLOOKUP(BY363, AutoFill_classes!$A:$A, AutoFill_classes!$B:$B,""))</f>
        <v/>
      </c>
      <c r="CB363" s="108"/>
      <c r="CC363" s="14"/>
      <c r="CD363" s="14"/>
      <c r="CE363" s="14"/>
      <c r="CF363" s="21"/>
      <c r="CG363" s="22"/>
      <c r="CH363" s="63"/>
      <c r="CI363" s="23"/>
      <c r="CJ363" s="121" t="str">
        <f t="shared" ref="CJ363:CJ391" si="342">IF(CH363*CI363=0,"",CH363*CI363)</f>
        <v/>
      </c>
      <c r="CK363" s="20"/>
      <c r="CL363" s="20"/>
      <c r="CM363" s="20"/>
      <c r="CN363" s="20"/>
      <c r="CO363" s="125" t="str">
        <f t="shared" ref="CO363:CO391" si="343">IF(ROUNDUP((CN363-CM363)/7,0)=0,"",ROUNDUP((CN363-CM363)/7,0))</f>
        <v/>
      </c>
      <c r="CP363" s="14"/>
      <c r="CQ363" s="125" t="str">
        <f t="shared" ref="CQ363:CQ391" si="344">IFERROR(IF(CO363*CP363=0,"",CO363*CP363), "")</f>
        <v/>
      </c>
      <c r="CR363" s="20"/>
      <c r="CS363" s="20"/>
      <c r="CT363" s="125" t="str">
        <f t="shared" ref="CT363:CT391" si="345">IF(ROUNDUP((CS363-CR363)/7,0)=0,"",ROUNDUP((CS363-CR363)/7,0))</f>
        <v/>
      </c>
      <c r="CU363" s="14"/>
      <c r="CV363" s="125" t="str">
        <f t="shared" ref="CV363:CV391" si="346">IFERROR(IF(CT363*CU363=0,"",CT363*CU363), "")</f>
        <v/>
      </c>
      <c r="CW363" s="20"/>
      <c r="CX363" s="20"/>
      <c r="CY363" s="125" t="str">
        <f t="shared" ref="CY363:CY391" si="347">IF(ROUNDUP((CX363-CW363)/7,0)=0,"",ROUNDUP((CX363-CW363)/7,0))</f>
        <v/>
      </c>
      <c r="CZ363" s="125" t="str">
        <f t="shared" ref="CZ363:CZ391" si="348">IFERROR(IF((DC363-(CP363+CU363))/CY363=0,"",ROUNDUP((DC363-(CP363+CU363))/CY363,0)), "")</f>
        <v/>
      </c>
      <c r="DA363" s="125" t="str">
        <f t="shared" ref="DA363:DA391" si="349">IFERROR(IF((DC363-(CQ363+CV363))=0, "", (DC363-(CQ363+CV363))), "")</f>
        <v/>
      </c>
      <c r="DB363" s="129" t="str">
        <f t="shared" ref="DB363:DB391" si="350">IFERROR(IF((CO363+CT363+CY363)=0, "", (CO363+CT363+CY363)), "")</f>
        <v/>
      </c>
      <c r="DC363" s="14"/>
      <c r="DD363" s="62"/>
      <c r="DE363" s="105">
        <v>361</v>
      </c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</row>
    <row r="364" spans="1:176" s="1" customFormat="1" ht="13" hidden="1" customHeight="1" outlineLevel="1" x14ac:dyDescent="0.2">
      <c r="A364" s="4"/>
      <c r="B364" s="115" t="str">
        <f>IF(_xlfn.XLOOKUP(A364, AutoFill_names!B:B, AutoFill_names!C:C,"")=0,"",_xlfn.XLOOKUP(A364, AutoFill_names!B:B, AutoFill_names!C:C,""))</f>
        <v/>
      </c>
      <c r="C364" s="115" t="str">
        <f>IF(_xlfn.XLOOKUP(A364, AutoFill_names!B:B, AutoFill_names!D:D,"")=0,"",_xlfn.XLOOKUP(A364, AutoFill_names!B:B, AutoFill_names!D:D,""))</f>
        <v/>
      </c>
      <c r="D364" s="115" t="str">
        <f>IF(_xlfn.XLOOKUP(A364, AutoFill_names!B:B, AutoFill_names!E:E,"")=0,"",_xlfn.XLOOKUP(A364, AutoFill_names!B:B, AutoFill_names!E:E,""))</f>
        <v/>
      </c>
      <c r="E364" s="115" t="str">
        <f>IF(_xlfn.XLOOKUP(A364, AutoFill_names!B:B, AutoFill_names!F:F,"")=0,"",_xlfn.XLOOKUP(A364, AutoFill_names!B:B, AutoFill_names!F:F,""))</f>
        <v/>
      </c>
      <c r="F364" s="92"/>
      <c r="J364" s="115" t="str">
        <f>IF(_xlfn.XLOOKUP(A364, AutoFill_names!B:B, AutoFill_names!K:K,"")=0,"",_xlfn.XLOOKUP(A364, AutoFill_names!B:B, AutoFill_names!K:K,""))</f>
        <v/>
      </c>
      <c r="K364" s="115" t="str">
        <f>IF(_xlfn.XLOOKUP(A364, AutoFill_names!B:B, AutoFill_names!L:L,"")=0,"",_xlfn.XLOOKUP(A364, AutoFill_names!B:B, AutoFill_names!L:L,""))</f>
        <v/>
      </c>
      <c r="L364" s="2"/>
      <c r="M364" s="2"/>
      <c r="N364" s="117" t="str">
        <f>IF(_xlfn.XLOOKUP(L364, AutoFill_classes!A:A, AutoFill_classes!B:B,"")=0,"",_xlfn.XLOOKUP(L364, AutoFill_classes!A:A, AutoFill_classes!B:B,""))</f>
        <v/>
      </c>
      <c r="O364" s="108"/>
      <c r="P364" s="6"/>
      <c r="Q364" s="6"/>
      <c r="R364" s="6"/>
      <c r="S364" s="2"/>
      <c r="U364" s="2"/>
      <c r="X364" s="63"/>
      <c r="Y364" s="19"/>
      <c r="Z364" s="121" t="str">
        <f t="shared" si="324"/>
        <v/>
      </c>
      <c r="AA364" s="20"/>
      <c r="AB364" s="20"/>
      <c r="AC364" s="20"/>
      <c r="AD364" s="20"/>
      <c r="AE364" s="125" t="str">
        <f t="shared" si="325"/>
        <v/>
      </c>
      <c r="AF364" s="14"/>
      <c r="AG364" s="125" t="str">
        <f t="shared" si="326"/>
        <v/>
      </c>
      <c r="AH364" s="20"/>
      <c r="AI364" s="20"/>
      <c r="AJ364" s="125" t="str">
        <f t="shared" si="327"/>
        <v/>
      </c>
      <c r="AK364" s="14"/>
      <c r="AL364" s="125" t="str">
        <f t="shared" si="328"/>
        <v/>
      </c>
      <c r="AM364" s="20"/>
      <c r="AN364" s="20"/>
      <c r="AO364" s="125" t="str">
        <f t="shared" si="329"/>
        <v/>
      </c>
      <c r="AP364" s="125" t="str">
        <f t="shared" si="330"/>
        <v/>
      </c>
      <c r="AQ364" s="125" t="str">
        <f t="shared" si="331"/>
        <v/>
      </c>
      <c r="AR364" s="129" t="str">
        <f t="shared" si="332"/>
        <v/>
      </c>
      <c r="AS364" s="14"/>
      <c r="AT364" s="13"/>
      <c r="AU364" s="13"/>
      <c r="AV364" s="117" t="str">
        <f>IF(_xlfn.XLOOKUP(AT364, AutoFill_classes!$A:$A, AutoFill_classes!$B:$B,"")=0,"",_xlfn.XLOOKUP(AT364, AutoFill_classes!$A:$A, AutoFill_classes!$B:$B,""))</f>
        <v/>
      </c>
      <c r="AW364" s="108"/>
      <c r="AX364" s="11"/>
      <c r="AY364" s="11"/>
      <c r="AZ364" s="11"/>
      <c r="BA364" s="13"/>
      <c r="BB364" s="13"/>
      <c r="BC364" s="63"/>
      <c r="BD364" s="19"/>
      <c r="BE364" s="121" t="str">
        <f t="shared" si="333"/>
        <v/>
      </c>
      <c r="BF364" s="20"/>
      <c r="BG364" s="20"/>
      <c r="BH364" s="20"/>
      <c r="BI364" s="20"/>
      <c r="BJ364" s="125" t="str">
        <f t="shared" si="334"/>
        <v/>
      </c>
      <c r="BK364" s="14"/>
      <c r="BL364" s="125" t="str">
        <f t="shared" si="335"/>
        <v/>
      </c>
      <c r="BM364" s="20"/>
      <c r="BN364" s="20"/>
      <c r="BO364" s="125" t="str">
        <f t="shared" si="336"/>
        <v/>
      </c>
      <c r="BP364" s="14"/>
      <c r="BQ364" s="125" t="str">
        <f t="shared" si="337"/>
        <v/>
      </c>
      <c r="BR364" s="20"/>
      <c r="BS364" s="20"/>
      <c r="BT364" s="125" t="str">
        <f t="shared" si="338"/>
        <v/>
      </c>
      <c r="BU364" s="125" t="str">
        <f t="shared" si="339"/>
        <v/>
      </c>
      <c r="BV364" s="125" t="str">
        <f t="shared" si="340"/>
        <v/>
      </c>
      <c r="BW364" s="129" t="str">
        <f t="shared" si="341"/>
        <v/>
      </c>
      <c r="BX364" s="11"/>
      <c r="BY364" s="15"/>
      <c r="BZ364" s="14"/>
      <c r="CA364" s="117" t="str">
        <f>IF(_xlfn.XLOOKUP(BY364, AutoFill_classes!$A:$A, AutoFill_classes!$B:$B,"")=0,"",_xlfn.XLOOKUP(BY364, AutoFill_classes!$A:$A, AutoFill_classes!$B:$B,""))</f>
        <v/>
      </c>
      <c r="CB364" s="108"/>
      <c r="CC364" s="14"/>
      <c r="CD364" s="14"/>
      <c r="CE364" s="14"/>
      <c r="CF364" s="21"/>
      <c r="CG364" s="22"/>
      <c r="CH364" s="63"/>
      <c r="CI364" s="23"/>
      <c r="CJ364" s="121" t="str">
        <f t="shared" si="342"/>
        <v/>
      </c>
      <c r="CK364" s="20"/>
      <c r="CL364" s="20"/>
      <c r="CM364" s="20"/>
      <c r="CN364" s="20"/>
      <c r="CO364" s="125" t="str">
        <f t="shared" si="343"/>
        <v/>
      </c>
      <c r="CP364" s="14"/>
      <c r="CQ364" s="125" t="str">
        <f t="shared" si="344"/>
        <v/>
      </c>
      <c r="CR364" s="20"/>
      <c r="CS364" s="20"/>
      <c r="CT364" s="125" t="str">
        <f t="shared" si="345"/>
        <v/>
      </c>
      <c r="CU364" s="14"/>
      <c r="CV364" s="125" t="str">
        <f t="shared" si="346"/>
        <v/>
      </c>
      <c r="CW364" s="20"/>
      <c r="CX364" s="20"/>
      <c r="CY364" s="125" t="str">
        <f t="shared" si="347"/>
        <v/>
      </c>
      <c r="CZ364" s="125" t="str">
        <f t="shared" si="348"/>
        <v/>
      </c>
      <c r="DA364" s="125" t="str">
        <f t="shared" si="349"/>
        <v/>
      </c>
      <c r="DB364" s="129" t="str">
        <f t="shared" si="350"/>
        <v/>
      </c>
      <c r="DC364" s="14"/>
      <c r="DD364" s="62"/>
      <c r="DE364" s="105">
        <v>362</v>
      </c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</row>
    <row r="365" spans="1:176" s="1" customFormat="1" ht="13" hidden="1" customHeight="1" outlineLevel="1" x14ac:dyDescent="0.2">
      <c r="A365" s="4"/>
      <c r="B365" s="115" t="str">
        <f>IF(_xlfn.XLOOKUP(A365, AutoFill_names!B:B, AutoFill_names!C:C,"")=0,"",_xlfn.XLOOKUP(A365, AutoFill_names!B:B, AutoFill_names!C:C,""))</f>
        <v/>
      </c>
      <c r="C365" s="115" t="str">
        <f>IF(_xlfn.XLOOKUP(A365, AutoFill_names!B:B, AutoFill_names!D:D,"")=0,"",_xlfn.XLOOKUP(A365, AutoFill_names!B:B, AutoFill_names!D:D,""))</f>
        <v/>
      </c>
      <c r="D365" s="115" t="str">
        <f>IF(_xlfn.XLOOKUP(A365, AutoFill_names!B:B, AutoFill_names!E:E,"")=0,"",_xlfn.XLOOKUP(A365, AutoFill_names!B:B, AutoFill_names!E:E,""))</f>
        <v/>
      </c>
      <c r="E365" s="115" t="str">
        <f>IF(_xlfn.XLOOKUP(A365, AutoFill_names!B:B, AutoFill_names!F:F,"")=0,"",_xlfn.XLOOKUP(A365, AutoFill_names!B:B, AutoFill_names!F:F,""))</f>
        <v/>
      </c>
      <c r="F365" s="92"/>
      <c r="J365" s="115" t="str">
        <f>IF(_xlfn.XLOOKUP(A365, AutoFill_names!B:B, AutoFill_names!K:K,"")=0,"",_xlfn.XLOOKUP(A365, AutoFill_names!B:B, AutoFill_names!K:K,""))</f>
        <v/>
      </c>
      <c r="K365" s="115" t="str">
        <f>IF(_xlfn.XLOOKUP(A365, AutoFill_names!B:B, AutoFill_names!L:L,"")=0,"",_xlfn.XLOOKUP(A365, AutoFill_names!B:B, AutoFill_names!L:L,""))</f>
        <v/>
      </c>
      <c r="L365" s="2"/>
      <c r="M365" s="2"/>
      <c r="N365" s="117" t="str">
        <f>IF(_xlfn.XLOOKUP(L365, AutoFill_classes!A:A, AutoFill_classes!B:B,"")=0,"",_xlfn.XLOOKUP(L365, AutoFill_classes!A:A, AutoFill_classes!B:B,""))</f>
        <v/>
      </c>
      <c r="O365" s="108"/>
      <c r="P365" s="6"/>
      <c r="Q365" s="6"/>
      <c r="R365" s="6"/>
      <c r="S365" s="2"/>
      <c r="U365" s="2"/>
      <c r="X365" s="63"/>
      <c r="Y365" s="19"/>
      <c r="Z365" s="121" t="str">
        <f t="shared" si="324"/>
        <v/>
      </c>
      <c r="AA365" s="20"/>
      <c r="AB365" s="20"/>
      <c r="AC365" s="20"/>
      <c r="AD365" s="20"/>
      <c r="AE365" s="125" t="str">
        <f t="shared" si="325"/>
        <v/>
      </c>
      <c r="AF365" s="14"/>
      <c r="AG365" s="125" t="str">
        <f t="shared" si="326"/>
        <v/>
      </c>
      <c r="AH365" s="20"/>
      <c r="AI365" s="20"/>
      <c r="AJ365" s="125" t="str">
        <f t="shared" si="327"/>
        <v/>
      </c>
      <c r="AK365" s="14"/>
      <c r="AL365" s="125" t="str">
        <f t="shared" si="328"/>
        <v/>
      </c>
      <c r="AM365" s="20"/>
      <c r="AN365" s="20"/>
      <c r="AO365" s="125" t="str">
        <f t="shared" si="329"/>
        <v/>
      </c>
      <c r="AP365" s="125" t="str">
        <f t="shared" si="330"/>
        <v/>
      </c>
      <c r="AQ365" s="125" t="str">
        <f t="shared" si="331"/>
        <v/>
      </c>
      <c r="AR365" s="129" t="str">
        <f t="shared" si="332"/>
        <v/>
      </c>
      <c r="AS365" s="14"/>
      <c r="AT365" s="13"/>
      <c r="AU365" s="13"/>
      <c r="AV365" s="117" t="str">
        <f>IF(_xlfn.XLOOKUP(AT365, AutoFill_classes!$A:$A, AutoFill_classes!$B:$B,"")=0,"",_xlfn.XLOOKUP(AT365, AutoFill_classes!$A:$A, AutoFill_classes!$B:$B,""))</f>
        <v/>
      </c>
      <c r="AW365" s="108"/>
      <c r="AX365" s="11"/>
      <c r="AY365" s="11"/>
      <c r="AZ365" s="11"/>
      <c r="BA365" s="13"/>
      <c r="BB365" s="13"/>
      <c r="BC365" s="63"/>
      <c r="BD365" s="19"/>
      <c r="BE365" s="121" t="str">
        <f t="shared" si="333"/>
        <v/>
      </c>
      <c r="BF365" s="20"/>
      <c r="BG365" s="20"/>
      <c r="BH365" s="20"/>
      <c r="BI365" s="20"/>
      <c r="BJ365" s="125" t="str">
        <f t="shared" si="334"/>
        <v/>
      </c>
      <c r="BK365" s="14"/>
      <c r="BL365" s="125" t="str">
        <f t="shared" si="335"/>
        <v/>
      </c>
      <c r="BM365" s="20"/>
      <c r="BN365" s="20"/>
      <c r="BO365" s="125" t="str">
        <f t="shared" si="336"/>
        <v/>
      </c>
      <c r="BP365" s="14"/>
      <c r="BQ365" s="125" t="str">
        <f t="shared" si="337"/>
        <v/>
      </c>
      <c r="BR365" s="20"/>
      <c r="BS365" s="20"/>
      <c r="BT365" s="125" t="str">
        <f t="shared" si="338"/>
        <v/>
      </c>
      <c r="BU365" s="125" t="str">
        <f t="shared" si="339"/>
        <v/>
      </c>
      <c r="BV365" s="125" t="str">
        <f t="shared" si="340"/>
        <v/>
      </c>
      <c r="BW365" s="129" t="str">
        <f t="shared" si="341"/>
        <v/>
      </c>
      <c r="BX365" s="11"/>
      <c r="BY365" s="15"/>
      <c r="BZ365" s="14"/>
      <c r="CA365" s="117" t="str">
        <f>IF(_xlfn.XLOOKUP(BY365, AutoFill_classes!$A:$A, AutoFill_classes!$B:$B,"")=0,"",_xlfn.XLOOKUP(BY365, AutoFill_classes!$A:$A, AutoFill_classes!$B:$B,""))</f>
        <v/>
      </c>
      <c r="CB365" s="108"/>
      <c r="CC365" s="14"/>
      <c r="CD365" s="14"/>
      <c r="CE365" s="14"/>
      <c r="CF365" s="21"/>
      <c r="CG365" s="22"/>
      <c r="CH365" s="63"/>
      <c r="CI365" s="23"/>
      <c r="CJ365" s="121" t="str">
        <f t="shared" si="342"/>
        <v/>
      </c>
      <c r="CK365" s="20"/>
      <c r="CL365" s="20"/>
      <c r="CM365" s="20"/>
      <c r="CN365" s="20"/>
      <c r="CO365" s="125" t="str">
        <f t="shared" si="343"/>
        <v/>
      </c>
      <c r="CP365" s="14"/>
      <c r="CQ365" s="125" t="str">
        <f t="shared" si="344"/>
        <v/>
      </c>
      <c r="CR365" s="20"/>
      <c r="CS365" s="20"/>
      <c r="CT365" s="125" t="str">
        <f t="shared" si="345"/>
        <v/>
      </c>
      <c r="CU365" s="14"/>
      <c r="CV365" s="125" t="str">
        <f t="shared" si="346"/>
        <v/>
      </c>
      <c r="CW365" s="20"/>
      <c r="CX365" s="20"/>
      <c r="CY365" s="125" t="str">
        <f t="shared" si="347"/>
        <v/>
      </c>
      <c r="CZ365" s="125" t="str">
        <f t="shared" si="348"/>
        <v/>
      </c>
      <c r="DA365" s="125" t="str">
        <f t="shared" si="349"/>
        <v/>
      </c>
      <c r="DB365" s="129" t="str">
        <f t="shared" si="350"/>
        <v/>
      </c>
      <c r="DC365" s="14"/>
      <c r="DD365" s="62"/>
      <c r="DE365" s="105">
        <v>363</v>
      </c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</row>
    <row r="366" spans="1:176" s="1" customFormat="1" ht="13" hidden="1" customHeight="1" outlineLevel="1" x14ac:dyDescent="0.2">
      <c r="A366" s="4"/>
      <c r="B366" s="115" t="str">
        <f>IF(_xlfn.XLOOKUP(A366, AutoFill_names!B:B, AutoFill_names!C:C,"")=0,"",_xlfn.XLOOKUP(A366, AutoFill_names!B:B, AutoFill_names!C:C,""))</f>
        <v/>
      </c>
      <c r="C366" s="115" t="str">
        <f>IF(_xlfn.XLOOKUP(A366, AutoFill_names!B:B, AutoFill_names!D:D,"")=0,"",_xlfn.XLOOKUP(A366, AutoFill_names!B:B, AutoFill_names!D:D,""))</f>
        <v/>
      </c>
      <c r="D366" s="115" t="str">
        <f>IF(_xlfn.XLOOKUP(A366, AutoFill_names!B:B, AutoFill_names!E:E,"")=0,"",_xlfn.XLOOKUP(A366, AutoFill_names!B:B, AutoFill_names!E:E,""))</f>
        <v/>
      </c>
      <c r="E366" s="115" t="str">
        <f>IF(_xlfn.XLOOKUP(A366, AutoFill_names!B:B, AutoFill_names!F:F,"")=0,"",_xlfn.XLOOKUP(A366, AutoFill_names!B:B, AutoFill_names!F:F,""))</f>
        <v/>
      </c>
      <c r="F366" s="92"/>
      <c r="J366" s="115" t="str">
        <f>IF(_xlfn.XLOOKUP(A366, AutoFill_names!B:B, AutoFill_names!K:K,"")=0,"",_xlfn.XLOOKUP(A366, AutoFill_names!B:B, AutoFill_names!K:K,""))</f>
        <v/>
      </c>
      <c r="K366" s="115" t="str">
        <f>IF(_xlfn.XLOOKUP(A366, AutoFill_names!B:B, AutoFill_names!L:L,"")=0,"",_xlfn.XLOOKUP(A366, AutoFill_names!B:B, AutoFill_names!L:L,""))</f>
        <v/>
      </c>
      <c r="L366" s="2"/>
      <c r="M366" s="2"/>
      <c r="N366" s="117" t="str">
        <f>IF(_xlfn.XLOOKUP(L366, AutoFill_classes!A:A, AutoFill_classes!B:B,"")=0,"",_xlfn.XLOOKUP(L366, AutoFill_classes!A:A, AutoFill_classes!B:B,""))</f>
        <v/>
      </c>
      <c r="O366" s="108"/>
      <c r="P366" s="6"/>
      <c r="Q366" s="6"/>
      <c r="R366" s="6"/>
      <c r="S366" s="2"/>
      <c r="U366" s="2"/>
      <c r="X366" s="63"/>
      <c r="Y366" s="19"/>
      <c r="Z366" s="121" t="str">
        <f t="shared" si="324"/>
        <v/>
      </c>
      <c r="AA366" s="20"/>
      <c r="AB366" s="20"/>
      <c r="AC366" s="20"/>
      <c r="AD366" s="20"/>
      <c r="AE366" s="125" t="str">
        <f t="shared" si="325"/>
        <v/>
      </c>
      <c r="AF366" s="14"/>
      <c r="AG366" s="125" t="str">
        <f t="shared" si="326"/>
        <v/>
      </c>
      <c r="AH366" s="20"/>
      <c r="AI366" s="20"/>
      <c r="AJ366" s="125" t="str">
        <f t="shared" si="327"/>
        <v/>
      </c>
      <c r="AK366" s="14"/>
      <c r="AL366" s="125" t="str">
        <f t="shared" si="328"/>
        <v/>
      </c>
      <c r="AM366" s="20"/>
      <c r="AN366" s="20"/>
      <c r="AO366" s="125" t="str">
        <f t="shared" si="329"/>
        <v/>
      </c>
      <c r="AP366" s="125" t="str">
        <f t="shared" si="330"/>
        <v/>
      </c>
      <c r="AQ366" s="125" t="str">
        <f t="shared" si="331"/>
        <v/>
      </c>
      <c r="AR366" s="129" t="str">
        <f t="shared" si="332"/>
        <v/>
      </c>
      <c r="AS366" s="14"/>
      <c r="AT366" s="13"/>
      <c r="AU366" s="13"/>
      <c r="AV366" s="117" t="str">
        <f>IF(_xlfn.XLOOKUP(AT366, AutoFill_classes!$A:$A, AutoFill_classes!$B:$B,"")=0,"",_xlfn.XLOOKUP(AT366, AutoFill_classes!$A:$A, AutoFill_classes!$B:$B,""))</f>
        <v/>
      </c>
      <c r="AW366" s="108"/>
      <c r="AX366" s="11"/>
      <c r="AY366" s="11"/>
      <c r="AZ366" s="11"/>
      <c r="BA366" s="13"/>
      <c r="BB366" s="13"/>
      <c r="BC366" s="63"/>
      <c r="BD366" s="19"/>
      <c r="BE366" s="121" t="str">
        <f t="shared" si="333"/>
        <v/>
      </c>
      <c r="BF366" s="20"/>
      <c r="BG366" s="20"/>
      <c r="BH366" s="20"/>
      <c r="BI366" s="20"/>
      <c r="BJ366" s="125" t="str">
        <f t="shared" si="334"/>
        <v/>
      </c>
      <c r="BK366" s="14"/>
      <c r="BL366" s="125" t="str">
        <f t="shared" si="335"/>
        <v/>
      </c>
      <c r="BM366" s="20"/>
      <c r="BN366" s="20"/>
      <c r="BO366" s="125" t="str">
        <f t="shared" si="336"/>
        <v/>
      </c>
      <c r="BP366" s="14"/>
      <c r="BQ366" s="125" t="str">
        <f t="shared" si="337"/>
        <v/>
      </c>
      <c r="BR366" s="20"/>
      <c r="BS366" s="20"/>
      <c r="BT366" s="125" t="str">
        <f t="shared" si="338"/>
        <v/>
      </c>
      <c r="BU366" s="125" t="str">
        <f t="shared" si="339"/>
        <v/>
      </c>
      <c r="BV366" s="125" t="str">
        <f t="shared" si="340"/>
        <v/>
      </c>
      <c r="BW366" s="129" t="str">
        <f t="shared" si="341"/>
        <v/>
      </c>
      <c r="BX366" s="11"/>
      <c r="BY366" s="15"/>
      <c r="BZ366" s="14"/>
      <c r="CA366" s="117" t="str">
        <f>IF(_xlfn.XLOOKUP(BY366, AutoFill_classes!$A:$A, AutoFill_classes!$B:$B,"")=0,"",_xlfn.XLOOKUP(BY366, AutoFill_classes!$A:$A, AutoFill_classes!$B:$B,""))</f>
        <v/>
      </c>
      <c r="CB366" s="108"/>
      <c r="CC366" s="14"/>
      <c r="CD366" s="14"/>
      <c r="CE366" s="14"/>
      <c r="CF366" s="21"/>
      <c r="CG366" s="22"/>
      <c r="CH366" s="63"/>
      <c r="CI366" s="23"/>
      <c r="CJ366" s="121" t="str">
        <f t="shared" si="342"/>
        <v/>
      </c>
      <c r="CK366" s="20"/>
      <c r="CL366" s="20"/>
      <c r="CM366" s="20"/>
      <c r="CN366" s="20"/>
      <c r="CO366" s="125" t="str">
        <f t="shared" si="343"/>
        <v/>
      </c>
      <c r="CP366" s="14"/>
      <c r="CQ366" s="125" t="str">
        <f t="shared" si="344"/>
        <v/>
      </c>
      <c r="CR366" s="20"/>
      <c r="CS366" s="20"/>
      <c r="CT366" s="125" t="str">
        <f t="shared" si="345"/>
        <v/>
      </c>
      <c r="CU366" s="14"/>
      <c r="CV366" s="125" t="str">
        <f t="shared" si="346"/>
        <v/>
      </c>
      <c r="CW366" s="20"/>
      <c r="CX366" s="20"/>
      <c r="CY366" s="125" t="str">
        <f t="shared" si="347"/>
        <v/>
      </c>
      <c r="CZ366" s="125" t="str">
        <f t="shared" si="348"/>
        <v/>
      </c>
      <c r="DA366" s="125" t="str">
        <f t="shared" si="349"/>
        <v/>
      </c>
      <c r="DB366" s="129" t="str">
        <f t="shared" si="350"/>
        <v/>
      </c>
      <c r="DC366" s="14"/>
      <c r="DD366" s="62"/>
      <c r="DE366" s="105">
        <v>364</v>
      </c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</row>
    <row r="367" spans="1:176" s="1" customFormat="1" ht="13" hidden="1" customHeight="1" outlineLevel="1" x14ac:dyDescent="0.2">
      <c r="A367" s="4"/>
      <c r="B367" s="115" t="str">
        <f>IF(_xlfn.XLOOKUP(A367, AutoFill_names!B:B, AutoFill_names!C:C,"")=0,"",_xlfn.XLOOKUP(A367, AutoFill_names!B:B, AutoFill_names!C:C,""))</f>
        <v/>
      </c>
      <c r="C367" s="115" t="str">
        <f>IF(_xlfn.XLOOKUP(A367, AutoFill_names!B:B, AutoFill_names!D:D,"")=0,"",_xlfn.XLOOKUP(A367, AutoFill_names!B:B, AutoFill_names!D:D,""))</f>
        <v/>
      </c>
      <c r="D367" s="115" t="str">
        <f>IF(_xlfn.XLOOKUP(A367, AutoFill_names!B:B, AutoFill_names!E:E,"")=0,"",_xlfn.XLOOKUP(A367, AutoFill_names!B:B, AutoFill_names!E:E,""))</f>
        <v/>
      </c>
      <c r="E367" s="115" t="str">
        <f>IF(_xlfn.XLOOKUP(A367, AutoFill_names!B:B, AutoFill_names!F:F,"")=0,"",_xlfn.XLOOKUP(A367, AutoFill_names!B:B, AutoFill_names!F:F,""))</f>
        <v/>
      </c>
      <c r="F367" s="92"/>
      <c r="J367" s="115" t="str">
        <f>IF(_xlfn.XLOOKUP(A367, AutoFill_names!B:B, AutoFill_names!K:K,"")=0,"",_xlfn.XLOOKUP(A367, AutoFill_names!B:B, AutoFill_names!K:K,""))</f>
        <v/>
      </c>
      <c r="K367" s="115" t="str">
        <f>IF(_xlfn.XLOOKUP(A367, AutoFill_names!B:B, AutoFill_names!L:L,"")=0,"",_xlfn.XLOOKUP(A367, AutoFill_names!B:B, AutoFill_names!L:L,""))</f>
        <v/>
      </c>
      <c r="L367" s="2"/>
      <c r="M367" s="2"/>
      <c r="N367" s="117" t="str">
        <f>IF(_xlfn.XLOOKUP(L367, AutoFill_classes!A:A, AutoFill_classes!B:B,"")=0,"",_xlfn.XLOOKUP(L367, AutoFill_classes!A:A, AutoFill_classes!B:B,""))</f>
        <v/>
      </c>
      <c r="O367" s="108"/>
      <c r="P367" s="6"/>
      <c r="Q367" s="6"/>
      <c r="R367" s="6"/>
      <c r="S367" s="2"/>
      <c r="U367" s="2"/>
      <c r="X367" s="63"/>
      <c r="Y367" s="19"/>
      <c r="Z367" s="121" t="str">
        <f t="shared" si="324"/>
        <v/>
      </c>
      <c r="AA367" s="20"/>
      <c r="AB367" s="20"/>
      <c r="AC367" s="20"/>
      <c r="AD367" s="20"/>
      <c r="AE367" s="125" t="str">
        <f t="shared" si="325"/>
        <v/>
      </c>
      <c r="AF367" s="14"/>
      <c r="AG367" s="125" t="str">
        <f t="shared" si="326"/>
        <v/>
      </c>
      <c r="AH367" s="20"/>
      <c r="AI367" s="20"/>
      <c r="AJ367" s="125" t="str">
        <f t="shared" si="327"/>
        <v/>
      </c>
      <c r="AK367" s="14"/>
      <c r="AL367" s="125" t="str">
        <f t="shared" si="328"/>
        <v/>
      </c>
      <c r="AM367" s="20"/>
      <c r="AN367" s="20"/>
      <c r="AO367" s="125" t="str">
        <f t="shared" si="329"/>
        <v/>
      </c>
      <c r="AP367" s="125" t="str">
        <f t="shared" si="330"/>
        <v/>
      </c>
      <c r="AQ367" s="125" t="str">
        <f t="shared" si="331"/>
        <v/>
      </c>
      <c r="AR367" s="129" t="str">
        <f t="shared" si="332"/>
        <v/>
      </c>
      <c r="AS367" s="14"/>
      <c r="AT367" s="13"/>
      <c r="AU367" s="13"/>
      <c r="AV367" s="117" t="str">
        <f>IF(_xlfn.XLOOKUP(AT367, AutoFill_classes!$A:$A, AutoFill_classes!$B:$B,"")=0,"",_xlfn.XLOOKUP(AT367, AutoFill_classes!$A:$A, AutoFill_classes!$B:$B,""))</f>
        <v/>
      </c>
      <c r="AW367" s="108"/>
      <c r="AX367" s="11"/>
      <c r="AY367" s="11"/>
      <c r="AZ367" s="11"/>
      <c r="BA367" s="13"/>
      <c r="BB367" s="13"/>
      <c r="BC367" s="63"/>
      <c r="BD367" s="19"/>
      <c r="BE367" s="121" t="str">
        <f t="shared" si="333"/>
        <v/>
      </c>
      <c r="BF367" s="20"/>
      <c r="BG367" s="20"/>
      <c r="BH367" s="20"/>
      <c r="BI367" s="20"/>
      <c r="BJ367" s="125" t="str">
        <f t="shared" si="334"/>
        <v/>
      </c>
      <c r="BK367" s="14"/>
      <c r="BL367" s="125" t="str">
        <f t="shared" si="335"/>
        <v/>
      </c>
      <c r="BM367" s="20"/>
      <c r="BN367" s="20"/>
      <c r="BO367" s="125" t="str">
        <f t="shared" si="336"/>
        <v/>
      </c>
      <c r="BP367" s="14"/>
      <c r="BQ367" s="125" t="str">
        <f t="shared" si="337"/>
        <v/>
      </c>
      <c r="BR367" s="20"/>
      <c r="BS367" s="20"/>
      <c r="BT367" s="125" t="str">
        <f t="shared" si="338"/>
        <v/>
      </c>
      <c r="BU367" s="125" t="str">
        <f t="shared" si="339"/>
        <v/>
      </c>
      <c r="BV367" s="125" t="str">
        <f t="shared" si="340"/>
        <v/>
      </c>
      <c r="BW367" s="129" t="str">
        <f t="shared" si="341"/>
        <v/>
      </c>
      <c r="BX367" s="11"/>
      <c r="BY367" s="15"/>
      <c r="BZ367" s="14"/>
      <c r="CA367" s="117" t="str">
        <f>IF(_xlfn.XLOOKUP(BY367, AutoFill_classes!$A:$A, AutoFill_classes!$B:$B,"")=0,"",_xlfn.XLOOKUP(BY367, AutoFill_classes!$A:$A, AutoFill_classes!$B:$B,""))</f>
        <v/>
      </c>
      <c r="CB367" s="108"/>
      <c r="CC367" s="14"/>
      <c r="CD367" s="14"/>
      <c r="CE367" s="14"/>
      <c r="CF367" s="21"/>
      <c r="CG367" s="22"/>
      <c r="CH367" s="63"/>
      <c r="CI367" s="23"/>
      <c r="CJ367" s="121" t="str">
        <f t="shared" si="342"/>
        <v/>
      </c>
      <c r="CK367" s="20"/>
      <c r="CL367" s="20"/>
      <c r="CM367" s="20"/>
      <c r="CN367" s="20"/>
      <c r="CO367" s="125" t="str">
        <f t="shared" si="343"/>
        <v/>
      </c>
      <c r="CP367" s="14"/>
      <c r="CQ367" s="125" t="str">
        <f t="shared" si="344"/>
        <v/>
      </c>
      <c r="CR367" s="20"/>
      <c r="CS367" s="20"/>
      <c r="CT367" s="125" t="str">
        <f t="shared" si="345"/>
        <v/>
      </c>
      <c r="CU367" s="14"/>
      <c r="CV367" s="125" t="str">
        <f t="shared" si="346"/>
        <v/>
      </c>
      <c r="CW367" s="20"/>
      <c r="CX367" s="20"/>
      <c r="CY367" s="125" t="str">
        <f t="shared" si="347"/>
        <v/>
      </c>
      <c r="CZ367" s="125" t="str">
        <f t="shared" si="348"/>
        <v/>
      </c>
      <c r="DA367" s="125" t="str">
        <f t="shared" si="349"/>
        <v/>
      </c>
      <c r="DB367" s="129" t="str">
        <f t="shared" si="350"/>
        <v/>
      </c>
      <c r="DC367" s="14"/>
      <c r="DD367" s="62"/>
      <c r="DE367" s="105">
        <v>365</v>
      </c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</row>
    <row r="368" spans="1:176" s="1" customFormat="1" ht="13" hidden="1" customHeight="1" outlineLevel="1" x14ac:dyDescent="0.2">
      <c r="A368" s="4"/>
      <c r="B368" s="115" t="str">
        <f>IF(_xlfn.XLOOKUP(A368, AutoFill_names!B:B, AutoFill_names!C:C,"")=0,"",_xlfn.XLOOKUP(A368, AutoFill_names!B:B, AutoFill_names!C:C,""))</f>
        <v/>
      </c>
      <c r="C368" s="115" t="str">
        <f>IF(_xlfn.XLOOKUP(A368, AutoFill_names!B:B, AutoFill_names!D:D,"")=0,"",_xlfn.XLOOKUP(A368, AutoFill_names!B:B, AutoFill_names!D:D,""))</f>
        <v/>
      </c>
      <c r="D368" s="115" t="str">
        <f>IF(_xlfn.XLOOKUP(A368, AutoFill_names!B:B, AutoFill_names!E:E,"")=0,"",_xlfn.XLOOKUP(A368, AutoFill_names!B:B, AutoFill_names!E:E,""))</f>
        <v/>
      </c>
      <c r="E368" s="115" t="str">
        <f>IF(_xlfn.XLOOKUP(A368, AutoFill_names!B:B, AutoFill_names!F:F,"")=0,"",_xlfn.XLOOKUP(A368, AutoFill_names!B:B, AutoFill_names!F:F,""))</f>
        <v/>
      </c>
      <c r="F368" s="92"/>
      <c r="J368" s="115" t="str">
        <f>IF(_xlfn.XLOOKUP(A368, AutoFill_names!B:B, AutoFill_names!K:K,"")=0,"",_xlfn.XLOOKUP(A368, AutoFill_names!B:B, AutoFill_names!K:K,""))</f>
        <v/>
      </c>
      <c r="K368" s="115" t="str">
        <f>IF(_xlfn.XLOOKUP(A368, AutoFill_names!B:B, AutoFill_names!L:L,"")=0,"",_xlfn.XLOOKUP(A368, AutoFill_names!B:B, AutoFill_names!L:L,""))</f>
        <v/>
      </c>
      <c r="L368" s="2"/>
      <c r="M368" s="2"/>
      <c r="N368" s="117" t="str">
        <f>IF(_xlfn.XLOOKUP(L368, AutoFill_classes!A:A, AutoFill_classes!B:B,"")=0,"",_xlfn.XLOOKUP(L368, AutoFill_classes!A:A, AutoFill_classes!B:B,""))</f>
        <v/>
      </c>
      <c r="O368" s="108"/>
      <c r="P368" s="6"/>
      <c r="Q368" s="6"/>
      <c r="R368" s="6"/>
      <c r="S368" s="2"/>
      <c r="U368" s="2"/>
      <c r="X368" s="63"/>
      <c r="Y368" s="19"/>
      <c r="Z368" s="121" t="str">
        <f t="shared" si="324"/>
        <v/>
      </c>
      <c r="AA368" s="20"/>
      <c r="AB368" s="20"/>
      <c r="AC368" s="20"/>
      <c r="AD368" s="20"/>
      <c r="AE368" s="125" t="str">
        <f t="shared" si="325"/>
        <v/>
      </c>
      <c r="AF368" s="14"/>
      <c r="AG368" s="125" t="str">
        <f t="shared" si="326"/>
        <v/>
      </c>
      <c r="AH368" s="20"/>
      <c r="AI368" s="20"/>
      <c r="AJ368" s="125" t="str">
        <f t="shared" si="327"/>
        <v/>
      </c>
      <c r="AK368" s="14"/>
      <c r="AL368" s="125" t="str">
        <f t="shared" si="328"/>
        <v/>
      </c>
      <c r="AM368" s="20"/>
      <c r="AN368" s="20"/>
      <c r="AO368" s="125" t="str">
        <f t="shared" si="329"/>
        <v/>
      </c>
      <c r="AP368" s="125" t="str">
        <f t="shared" si="330"/>
        <v/>
      </c>
      <c r="AQ368" s="125" t="str">
        <f t="shared" si="331"/>
        <v/>
      </c>
      <c r="AR368" s="129" t="str">
        <f t="shared" si="332"/>
        <v/>
      </c>
      <c r="AS368" s="14"/>
      <c r="AT368" s="13"/>
      <c r="AU368" s="13"/>
      <c r="AV368" s="117" t="str">
        <f>IF(_xlfn.XLOOKUP(AT368, AutoFill_classes!$A:$A, AutoFill_classes!$B:$B,"")=0,"",_xlfn.XLOOKUP(AT368, AutoFill_classes!$A:$A, AutoFill_classes!$B:$B,""))</f>
        <v/>
      </c>
      <c r="AW368" s="108"/>
      <c r="AX368" s="11"/>
      <c r="AY368" s="11"/>
      <c r="AZ368" s="11"/>
      <c r="BA368" s="13"/>
      <c r="BB368" s="13"/>
      <c r="BC368" s="63"/>
      <c r="BD368" s="19"/>
      <c r="BE368" s="121" t="str">
        <f t="shared" si="333"/>
        <v/>
      </c>
      <c r="BF368" s="20"/>
      <c r="BG368" s="20"/>
      <c r="BH368" s="20"/>
      <c r="BI368" s="20"/>
      <c r="BJ368" s="125" t="str">
        <f t="shared" si="334"/>
        <v/>
      </c>
      <c r="BK368" s="14"/>
      <c r="BL368" s="125" t="str">
        <f t="shared" si="335"/>
        <v/>
      </c>
      <c r="BM368" s="20"/>
      <c r="BN368" s="20"/>
      <c r="BO368" s="125" t="str">
        <f t="shared" si="336"/>
        <v/>
      </c>
      <c r="BP368" s="14"/>
      <c r="BQ368" s="125" t="str">
        <f t="shared" si="337"/>
        <v/>
      </c>
      <c r="BR368" s="20"/>
      <c r="BS368" s="20"/>
      <c r="BT368" s="125" t="str">
        <f t="shared" si="338"/>
        <v/>
      </c>
      <c r="BU368" s="125" t="str">
        <f t="shared" si="339"/>
        <v/>
      </c>
      <c r="BV368" s="125" t="str">
        <f t="shared" si="340"/>
        <v/>
      </c>
      <c r="BW368" s="129" t="str">
        <f t="shared" si="341"/>
        <v/>
      </c>
      <c r="BX368" s="11"/>
      <c r="BY368" s="15"/>
      <c r="BZ368" s="14"/>
      <c r="CA368" s="117" t="str">
        <f>IF(_xlfn.XLOOKUP(BY368, AutoFill_classes!$A:$A, AutoFill_classes!$B:$B,"")=0,"",_xlfn.XLOOKUP(BY368, AutoFill_classes!$A:$A, AutoFill_classes!$B:$B,""))</f>
        <v/>
      </c>
      <c r="CB368" s="108"/>
      <c r="CC368" s="14"/>
      <c r="CD368" s="14"/>
      <c r="CE368" s="14"/>
      <c r="CF368" s="21"/>
      <c r="CG368" s="22"/>
      <c r="CH368" s="63"/>
      <c r="CI368" s="23"/>
      <c r="CJ368" s="121" t="str">
        <f t="shared" si="342"/>
        <v/>
      </c>
      <c r="CK368" s="20"/>
      <c r="CL368" s="20"/>
      <c r="CM368" s="20"/>
      <c r="CN368" s="20"/>
      <c r="CO368" s="125" t="str">
        <f t="shared" si="343"/>
        <v/>
      </c>
      <c r="CP368" s="14"/>
      <c r="CQ368" s="125" t="str">
        <f t="shared" si="344"/>
        <v/>
      </c>
      <c r="CR368" s="20"/>
      <c r="CS368" s="20"/>
      <c r="CT368" s="125" t="str">
        <f t="shared" si="345"/>
        <v/>
      </c>
      <c r="CU368" s="14"/>
      <c r="CV368" s="125" t="str">
        <f t="shared" si="346"/>
        <v/>
      </c>
      <c r="CW368" s="20"/>
      <c r="CX368" s="20"/>
      <c r="CY368" s="125" t="str">
        <f t="shared" si="347"/>
        <v/>
      </c>
      <c r="CZ368" s="125" t="str">
        <f t="shared" si="348"/>
        <v/>
      </c>
      <c r="DA368" s="125" t="str">
        <f t="shared" si="349"/>
        <v/>
      </c>
      <c r="DB368" s="129" t="str">
        <f t="shared" si="350"/>
        <v/>
      </c>
      <c r="DC368" s="14"/>
      <c r="DD368" s="62"/>
      <c r="DE368" s="105">
        <v>366</v>
      </c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</row>
    <row r="369" spans="1:176" s="1" customFormat="1" ht="13" hidden="1" customHeight="1" outlineLevel="1" x14ac:dyDescent="0.2">
      <c r="A369" s="4"/>
      <c r="B369" s="115" t="str">
        <f>IF(_xlfn.XLOOKUP(A369, AutoFill_names!B:B, AutoFill_names!C:C,"")=0,"",_xlfn.XLOOKUP(A369, AutoFill_names!B:B, AutoFill_names!C:C,""))</f>
        <v/>
      </c>
      <c r="C369" s="115" t="str">
        <f>IF(_xlfn.XLOOKUP(A369, AutoFill_names!B:B, AutoFill_names!D:D,"")=0,"",_xlfn.XLOOKUP(A369, AutoFill_names!B:B, AutoFill_names!D:D,""))</f>
        <v/>
      </c>
      <c r="D369" s="115" t="str">
        <f>IF(_xlfn.XLOOKUP(A369, AutoFill_names!B:B, AutoFill_names!E:E,"")=0,"",_xlfn.XLOOKUP(A369, AutoFill_names!B:B, AutoFill_names!E:E,""))</f>
        <v/>
      </c>
      <c r="E369" s="115" t="str">
        <f>IF(_xlfn.XLOOKUP(A369, AutoFill_names!B:B, AutoFill_names!F:F,"")=0,"",_xlfn.XLOOKUP(A369, AutoFill_names!B:B, AutoFill_names!F:F,""))</f>
        <v/>
      </c>
      <c r="F369" s="92"/>
      <c r="J369" s="115" t="str">
        <f>IF(_xlfn.XLOOKUP(A369, AutoFill_names!B:B, AutoFill_names!K:K,"")=0,"",_xlfn.XLOOKUP(A369, AutoFill_names!B:B, AutoFill_names!K:K,""))</f>
        <v/>
      </c>
      <c r="K369" s="115" t="str">
        <f>IF(_xlfn.XLOOKUP(A369, AutoFill_names!B:B, AutoFill_names!L:L,"")=0,"",_xlfn.XLOOKUP(A369, AutoFill_names!B:B, AutoFill_names!L:L,""))</f>
        <v/>
      </c>
      <c r="L369" s="2"/>
      <c r="M369" s="2"/>
      <c r="N369" s="117" t="str">
        <f>IF(_xlfn.XLOOKUP(L369, AutoFill_classes!A:A, AutoFill_classes!B:B,"")=0,"",_xlfn.XLOOKUP(L369, AutoFill_classes!A:A, AutoFill_classes!B:B,""))</f>
        <v/>
      </c>
      <c r="O369" s="108"/>
      <c r="P369" s="6"/>
      <c r="Q369" s="6"/>
      <c r="R369" s="6"/>
      <c r="S369" s="2"/>
      <c r="U369" s="2"/>
      <c r="X369" s="63"/>
      <c r="Y369" s="19"/>
      <c r="Z369" s="121" t="str">
        <f t="shared" si="324"/>
        <v/>
      </c>
      <c r="AA369" s="20"/>
      <c r="AB369" s="20"/>
      <c r="AC369" s="20"/>
      <c r="AD369" s="20"/>
      <c r="AE369" s="125" t="str">
        <f t="shared" si="325"/>
        <v/>
      </c>
      <c r="AF369" s="14"/>
      <c r="AG369" s="125" t="str">
        <f t="shared" si="326"/>
        <v/>
      </c>
      <c r="AH369" s="20"/>
      <c r="AI369" s="20"/>
      <c r="AJ369" s="125" t="str">
        <f t="shared" si="327"/>
        <v/>
      </c>
      <c r="AK369" s="14"/>
      <c r="AL369" s="125" t="str">
        <f t="shared" si="328"/>
        <v/>
      </c>
      <c r="AM369" s="20"/>
      <c r="AN369" s="20"/>
      <c r="AO369" s="125" t="str">
        <f t="shared" si="329"/>
        <v/>
      </c>
      <c r="AP369" s="125" t="str">
        <f t="shared" si="330"/>
        <v/>
      </c>
      <c r="AQ369" s="125" t="str">
        <f t="shared" si="331"/>
        <v/>
      </c>
      <c r="AR369" s="129" t="str">
        <f t="shared" si="332"/>
        <v/>
      </c>
      <c r="AS369" s="14"/>
      <c r="AT369" s="13"/>
      <c r="AU369" s="13"/>
      <c r="AV369" s="117" t="str">
        <f>IF(_xlfn.XLOOKUP(AT369, AutoFill_classes!$A:$A, AutoFill_classes!$B:$B,"")=0,"",_xlfn.XLOOKUP(AT369, AutoFill_classes!$A:$A, AutoFill_classes!$B:$B,""))</f>
        <v/>
      </c>
      <c r="AW369" s="108"/>
      <c r="AX369" s="11"/>
      <c r="AY369" s="11"/>
      <c r="AZ369" s="11"/>
      <c r="BA369" s="13"/>
      <c r="BB369" s="13"/>
      <c r="BC369" s="63"/>
      <c r="BD369" s="19"/>
      <c r="BE369" s="121" t="str">
        <f t="shared" si="333"/>
        <v/>
      </c>
      <c r="BF369" s="20"/>
      <c r="BG369" s="20"/>
      <c r="BH369" s="20"/>
      <c r="BI369" s="20"/>
      <c r="BJ369" s="125" t="str">
        <f t="shared" si="334"/>
        <v/>
      </c>
      <c r="BK369" s="14"/>
      <c r="BL369" s="125" t="str">
        <f t="shared" si="335"/>
        <v/>
      </c>
      <c r="BM369" s="20"/>
      <c r="BN369" s="20"/>
      <c r="BO369" s="125" t="str">
        <f t="shared" si="336"/>
        <v/>
      </c>
      <c r="BP369" s="14"/>
      <c r="BQ369" s="125" t="str">
        <f t="shared" si="337"/>
        <v/>
      </c>
      <c r="BR369" s="20"/>
      <c r="BS369" s="20"/>
      <c r="BT369" s="125" t="str">
        <f t="shared" si="338"/>
        <v/>
      </c>
      <c r="BU369" s="125" t="str">
        <f t="shared" si="339"/>
        <v/>
      </c>
      <c r="BV369" s="125" t="str">
        <f t="shared" si="340"/>
        <v/>
      </c>
      <c r="BW369" s="129" t="str">
        <f t="shared" si="341"/>
        <v/>
      </c>
      <c r="BX369" s="11"/>
      <c r="BY369" s="15"/>
      <c r="BZ369" s="14"/>
      <c r="CA369" s="117" t="str">
        <f>IF(_xlfn.XLOOKUP(BY369, AutoFill_classes!$A:$A, AutoFill_classes!$B:$B,"")=0,"",_xlfn.XLOOKUP(BY369, AutoFill_classes!$A:$A, AutoFill_classes!$B:$B,""))</f>
        <v/>
      </c>
      <c r="CB369" s="108"/>
      <c r="CC369" s="14"/>
      <c r="CD369" s="14"/>
      <c r="CE369" s="14"/>
      <c r="CF369" s="21"/>
      <c r="CG369" s="22"/>
      <c r="CH369" s="63"/>
      <c r="CI369" s="23"/>
      <c r="CJ369" s="121" t="str">
        <f t="shared" si="342"/>
        <v/>
      </c>
      <c r="CK369" s="20"/>
      <c r="CL369" s="20"/>
      <c r="CM369" s="20"/>
      <c r="CN369" s="20"/>
      <c r="CO369" s="125" t="str">
        <f t="shared" si="343"/>
        <v/>
      </c>
      <c r="CP369" s="14"/>
      <c r="CQ369" s="125" t="str">
        <f t="shared" si="344"/>
        <v/>
      </c>
      <c r="CR369" s="20"/>
      <c r="CS369" s="20"/>
      <c r="CT369" s="125" t="str">
        <f t="shared" si="345"/>
        <v/>
      </c>
      <c r="CU369" s="14"/>
      <c r="CV369" s="125" t="str">
        <f t="shared" si="346"/>
        <v/>
      </c>
      <c r="CW369" s="20"/>
      <c r="CX369" s="20"/>
      <c r="CY369" s="125" t="str">
        <f t="shared" si="347"/>
        <v/>
      </c>
      <c r="CZ369" s="125" t="str">
        <f t="shared" si="348"/>
        <v/>
      </c>
      <c r="DA369" s="125" t="str">
        <f t="shared" si="349"/>
        <v/>
      </c>
      <c r="DB369" s="129" t="str">
        <f t="shared" si="350"/>
        <v/>
      </c>
      <c r="DC369" s="14"/>
      <c r="DD369" s="62"/>
      <c r="DE369" s="105">
        <v>367</v>
      </c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</row>
    <row r="370" spans="1:176" s="1" customFormat="1" ht="13" hidden="1" customHeight="1" outlineLevel="1" x14ac:dyDescent="0.2">
      <c r="A370" s="4"/>
      <c r="B370" s="115" t="str">
        <f>IF(_xlfn.XLOOKUP(A370, AutoFill_names!B:B, AutoFill_names!C:C,"")=0,"",_xlfn.XLOOKUP(A370, AutoFill_names!B:B, AutoFill_names!C:C,""))</f>
        <v/>
      </c>
      <c r="C370" s="115" t="str">
        <f>IF(_xlfn.XLOOKUP(A370, AutoFill_names!B:B, AutoFill_names!D:D,"")=0,"",_xlfn.XLOOKUP(A370, AutoFill_names!B:B, AutoFill_names!D:D,""))</f>
        <v/>
      </c>
      <c r="D370" s="115" t="str">
        <f>IF(_xlfn.XLOOKUP(A370, AutoFill_names!B:B, AutoFill_names!E:E,"")=0,"",_xlfn.XLOOKUP(A370, AutoFill_names!B:B, AutoFill_names!E:E,""))</f>
        <v/>
      </c>
      <c r="E370" s="115" t="str">
        <f>IF(_xlfn.XLOOKUP(A370, AutoFill_names!B:B, AutoFill_names!F:F,"")=0,"",_xlfn.XLOOKUP(A370, AutoFill_names!B:B, AutoFill_names!F:F,""))</f>
        <v/>
      </c>
      <c r="F370" s="92"/>
      <c r="J370" s="115" t="str">
        <f>IF(_xlfn.XLOOKUP(A370, AutoFill_names!B:B, AutoFill_names!K:K,"")=0,"",_xlfn.XLOOKUP(A370, AutoFill_names!B:B, AutoFill_names!K:K,""))</f>
        <v/>
      </c>
      <c r="K370" s="115" t="str">
        <f>IF(_xlfn.XLOOKUP(A370, AutoFill_names!B:B, AutoFill_names!L:L,"")=0,"",_xlfn.XLOOKUP(A370, AutoFill_names!B:B, AutoFill_names!L:L,""))</f>
        <v/>
      </c>
      <c r="L370" s="2"/>
      <c r="M370" s="2"/>
      <c r="N370" s="117" t="str">
        <f>IF(_xlfn.XLOOKUP(L370, AutoFill_classes!A:A, AutoFill_classes!B:B,"")=0,"",_xlfn.XLOOKUP(L370, AutoFill_classes!A:A, AutoFill_classes!B:B,""))</f>
        <v/>
      </c>
      <c r="O370" s="108"/>
      <c r="P370" s="6"/>
      <c r="Q370" s="6"/>
      <c r="R370" s="6"/>
      <c r="S370" s="2"/>
      <c r="U370" s="2"/>
      <c r="X370" s="63"/>
      <c r="Y370" s="19"/>
      <c r="Z370" s="121" t="str">
        <f t="shared" si="324"/>
        <v/>
      </c>
      <c r="AA370" s="20"/>
      <c r="AB370" s="20"/>
      <c r="AC370" s="20"/>
      <c r="AD370" s="20"/>
      <c r="AE370" s="125" t="str">
        <f t="shared" si="325"/>
        <v/>
      </c>
      <c r="AF370" s="14"/>
      <c r="AG370" s="125" t="str">
        <f t="shared" si="326"/>
        <v/>
      </c>
      <c r="AH370" s="20"/>
      <c r="AI370" s="20"/>
      <c r="AJ370" s="125" t="str">
        <f t="shared" si="327"/>
        <v/>
      </c>
      <c r="AK370" s="14"/>
      <c r="AL370" s="125" t="str">
        <f t="shared" si="328"/>
        <v/>
      </c>
      <c r="AM370" s="20"/>
      <c r="AN370" s="20"/>
      <c r="AO370" s="125" t="str">
        <f t="shared" si="329"/>
        <v/>
      </c>
      <c r="AP370" s="125" t="str">
        <f t="shared" si="330"/>
        <v/>
      </c>
      <c r="AQ370" s="125" t="str">
        <f t="shared" si="331"/>
        <v/>
      </c>
      <c r="AR370" s="129" t="str">
        <f t="shared" si="332"/>
        <v/>
      </c>
      <c r="AS370" s="14"/>
      <c r="AT370" s="13"/>
      <c r="AU370" s="13"/>
      <c r="AV370" s="117" t="str">
        <f>IF(_xlfn.XLOOKUP(AT370, AutoFill_classes!$A:$A, AutoFill_classes!$B:$B,"")=0,"",_xlfn.XLOOKUP(AT370, AutoFill_classes!$A:$A, AutoFill_classes!$B:$B,""))</f>
        <v/>
      </c>
      <c r="AW370" s="108"/>
      <c r="AX370" s="11"/>
      <c r="AY370" s="11"/>
      <c r="AZ370" s="11"/>
      <c r="BA370" s="13"/>
      <c r="BB370" s="13"/>
      <c r="BC370" s="63"/>
      <c r="BD370" s="19"/>
      <c r="BE370" s="121" t="str">
        <f t="shared" si="333"/>
        <v/>
      </c>
      <c r="BF370" s="20"/>
      <c r="BG370" s="20"/>
      <c r="BH370" s="20"/>
      <c r="BI370" s="20"/>
      <c r="BJ370" s="125" t="str">
        <f t="shared" si="334"/>
        <v/>
      </c>
      <c r="BK370" s="14"/>
      <c r="BL370" s="125" t="str">
        <f t="shared" si="335"/>
        <v/>
      </c>
      <c r="BM370" s="20"/>
      <c r="BN370" s="20"/>
      <c r="BO370" s="125" t="str">
        <f t="shared" si="336"/>
        <v/>
      </c>
      <c r="BP370" s="14"/>
      <c r="BQ370" s="125" t="str">
        <f t="shared" si="337"/>
        <v/>
      </c>
      <c r="BR370" s="20"/>
      <c r="BS370" s="20"/>
      <c r="BT370" s="125" t="str">
        <f t="shared" si="338"/>
        <v/>
      </c>
      <c r="BU370" s="125" t="str">
        <f t="shared" si="339"/>
        <v/>
      </c>
      <c r="BV370" s="125" t="str">
        <f t="shared" si="340"/>
        <v/>
      </c>
      <c r="BW370" s="129" t="str">
        <f t="shared" si="341"/>
        <v/>
      </c>
      <c r="BX370" s="11"/>
      <c r="BY370" s="15"/>
      <c r="BZ370" s="14"/>
      <c r="CA370" s="117" t="str">
        <f>IF(_xlfn.XLOOKUP(BY370, AutoFill_classes!$A:$A, AutoFill_classes!$B:$B,"")=0,"",_xlfn.XLOOKUP(BY370, AutoFill_classes!$A:$A, AutoFill_classes!$B:$B,""))</f>
        <v/>
      </c>
      <c r="CB370" s="108"/>
      <c r="CC370" s="14"/>
      <c r="CD370" s="14"/>
      <c r="CE370" s="14"/>
      <c r="CF370" s="21"/>
      <c r="CG370" s="22"/>
      <c r="CH370" s="63"/>
      <c r="CI370" s="23"/>
      <c r="CJ370" s="121" t="str">
        <f t="shared" si="342"/>
        <v/>
      </c>
      <c r="CK370" s="20"/>
      <c r="CL370" s="20"/>
      <c r="CM370" s="20"/>
      <c r="CN370" s="20"/>
      <c r="CO370" s="125" t="str">
        <f t="shared" si="343"/>
        <v/>
      </c>
      <c r="CP370" s="14"/>
      <c r="CQ370" s="125" t="str">
        <f t="shared" si="344"/>
        <v/>
      </c>
      <c r="CR370" s="20"/>
      <c r="CS370" s="20"/>
      <c r="CT370" s="125" t="str">
        <f t="shared" si="345"/>
        <v/>
      </c>
      <c r="CU370" s="14"/>
      <c r="CV370" s="125" t="str">
        <f t="shared" si="346"/>
        <v/>
      </c>
      <c r="CW370" s="20"/>
      <c r="CX370" s="20"/>
      <c r="CY370" s="125" t="str">
        <f t="shared" si="347"/>
        <v/>
      </c>
      <c r="CZ370" s="125" t="str">
        <f t="shared" si="348"/>
        <v/>
      </c>
      <c r="DA370" s="125" t="str">
        <f t="shared" si="349"/>
        <v/>
      </c>
      <c r="DB370" s="129" t="str">
        <f t="shared" si="350"/>
        <v/>
      </c>
      <c r="DC370" s="14"/>
      <c r="DD370" s="62"/>
      <c r="DE370" s="105">
        <v>368</v>
      </c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</row>
    <row r="371" spans="1:176" s="1" customFormat="1" ht="13" hidden="1" customHeight="1" outlineLevel="1" x14ac:dyDescent="0.2">
      <c r="A371" s="4"/>
      <c r="B371" s="115" t="str">
        <f>IF(_xlfn.XLOOKUP(A371, AutoFill_names!B:B, AutoFill_names!C:C,"")=0,"",_xlfn.XLOOKUP(A371, AutoFill_names!B:B, AutoFill_names!C:C,""))</f>
        <v/>
      </c>
      <c r="C371" s="115" t="str">
        <f>IF(_xlfn.XLOOKUP(A371, AutoFill_names!B:B, AutoFill_names!D:D,"")=0,"",_xlfn.XLOOKUP(A371, AutoFill_names!B:B, AutoFill_names!D:D,""))</f>
        <v/>
      </c>
      <c r="D371" s="115" t="str">
        <f>IF(_xlfn.XLOOKUP(A371, AutoFill_names!B:B, AutoFill_names!E:E,"")=0,"",_xlfn.XLOOKUP(A371, AutoFill_names!B:B, AutoFill_names!E:E,""))</f>
        <v/>
      </c>
      <c r="E371" s="115" t="str">
        <f>IF(_xlfn.XLOOKUP(A371, AutoFill_names!B:B, AutoFill_names!F:F,"")=0,"",_xlfn.XLOOKUP(A371, AutoFill_names!B:B, AutoFill_names!F:F,""))</f>
        <v/>
      </c>
      <c r="F371" s="92"/>
      <c r="J371" s="115" t="str">
        <f>IF(_xlfn.XLOOKUP(A371, AutoFill_names!B:B, AutoFill_names!K:K,"")=0,"",_xlfn.XLOOKUP(A371, AutoFill_names!B:B, AutoFill_names!K:K,""))</f>
        <v/>
      </c>
      <c r="K371" s="115" t="str">
        <f>IF(_xlfn.XLOOKUP(A371, AutoFill_names!B:B, AutoFill_names!L:L,"")=0,"",_xlfn.XLOOKUP(A371, AutoFill_names!B:B, AutoFill_names!L:L,""))</f>
        <v/>
      </c>
      <c r="L371" s="2"/>
      <c r="M371" s="2"/>
      <c r="N371" s="117" t="str">
        <f>IF(_xlfn.XLOOKUP(L371, AutoFill_classes!A:A, AutoFill_classes!B:B,"")=0,"",_xlfn.XLOOKUP(L371, AutoFill_classes!A:A, AutoFill_classes!B:B,""))</f>
        <v/>
      </c>
      <c r="O371" s="108"/>
      <c r="P371" s="6"/>
      <c r="Q371" s="6"/>
      <c r="R371" s="6"/>
      <c r="S371" s="2"/>
      <c r="U371" s="2"/>
      <c r="X371" s="63"/>
      <c r="Y371" s="19"/>
      <c r="Z371" s="121" t="str">
        <f t="shared" si="324"/>
        <v/>
      </c>
      <c r="AA371" s="20"/>
      <c r="AB371" s="20"/>
      <c r="AC371" s="20"/>
      <c r="AD371" s="20"/>
      <c r="AE371" s="125" t="str">
        <f t="shared" si="325"/>
        <v/>
      </c>
      <c r="AF371" s="14"/>
      <c r="AG371" s="125" t="str">
        <f t="shared" si="326"/>
        <v/>
      </c>
      <c r="AH371" s="20"/>
      <c r="AI371" s="20"/>
      <c r="AJ371" s="125" t="str">
        <f t="shared" si="327"/>
        <v/>
      </c>
      <c r="AK371" s="14"/>
      <c r="AL371" s="125" t="str">
        <f t="shared" si="328"/>
        <v/>
      </c>
      <c r="AM371" s="20"/>
      <c r="AN371" s="20"/>
      <c r="AO371" s="125" t="str">
        <f t="shared" si="329"/>
        <v/>
      </c>
      <c r="AP371" s="125" t="str">
        <f t="shared" si="330"/>
        <v/>
      </c>
      <c r="AQ371" s="125" t="str">
        <f t="shared" si="331"/>
        <v/>
      </c>
      <c r="AR371" s="129" t="str">
        <f t="shared" si="332"/>
        <v/>
      </c>
      <c r="AS371" s="14"/>
      <c r="AT371" s="13"/>
      <c r="AU371" s="13"/>
      <c r="AV371" s="117" t="str">
        <f>IF(_xlfn.XLOOKUP(AT371, AutoFill_classes!$A:$A, AutoFill_classes!$B:$B,"")=0,"",_xlfn.XLOOKUP(AT371, AutoFill_classes!$A:$A, AutoFill_classes!$B:$B,""))</f>
        <v/>
      </c>
      <c r="AW371" s="108"/>
      <c r="AX371" s="11"/>
      <c r="AY371" s="11"/>
      <c r="AZ371" s="11"/>
      <c r="BA371" s="13"/>
      <c r="BB371" s="13"/>
      <c r="BC371" s="63"/>
      <c r="BD371" s="19"/>
      <c r="BE371" s="121" t="str">
        <f t="shared" si="333"/>
        <v/>
      </c>
      <c r="BF371" s="20"/>
      <c r="BG371" s="20"/>
      <c r="BH371" s="20"/>
      <c r="BI371" s="20"/>
      <c r="BJ371" s="125" t="str">
        <f t="shared" si="334"/>
        <v/>
      </c>
      <c r="BK371" s="14"/>
      <c r="BL371" s="125" t="str">
        <f t="shared" si="335"/>
        <v/>
      </c>
      <c r="BM371" s="20"/>
      <c r="BN371" s="20"/>
      <c r="BO371" s="125" t="str">
        <f t="shared" si="336"/>
        <v/>
      </c>
      <c r="BP371" s="14"/>
      <c r="BQ371" s="125" t="str">
        <f t="shared" si="337"/>
        <v/>
      </c>
      <c r="BR371" s="20"/>
      <c r="BS371" s="20"/>
      <c r="BT371" s="125" t="str">
        <f t="shared" si="338"/>
        <v/>
      </c>
      <c r="BU371" s="125" t="str">
        <f t="shared" si="339"/>
        <v/>
      </c>
      <c r="BV371" s="125" t="str">
        <f t="shared" si="340"/>
        <v/>
      </c>
      <c r="BW371" s="129" t="str">
        <f t="shared" si="341"/>
        <v/>
      </c>
      <c r="BX371" s="11"/>
      <c r="BY371" s="15"/>
      <c r="BZ371" s="14"/>
      <c r="CA371" s="117" t="str">
        <f>IF(_xlfn.XLOOKUP(BY371, AutoFill_classes!$A:$A, AutoFill_classes!$B:$B,"")=0,"",_xlfn.XLOOKUP(BY371, AutoFill_classes!$A:$A, AutoFill_classes!$B:$B,""))</f>
        <v/>
      </c>
      <c r="CB371" s="108"/>
      <c r="CC371" s="14"/>
      <c r="CD371" s="14"/>
      <c r="CE371" s="14"/>
      <c r="CF371" s="21"/>
      <c r="CG371" s="22"/>
      <c r="CH371" s="63"/>
      <c r="CI371" s="23"/>
      <c r="CJ371" s="121" t="str">
        <f t="shared" si="342"/>
        <v/>
      </c>
      <c r="CK371" s="20"/>
      <c r="CL371" s="20"/>
      <c r="CM371" s="20"/>
      <c r="CN371" s="20"/>
      <c r="CO371" s="125" t="str">
        <f t="shared" si="343"/>
        <v/>
      </c>
      <c r="CP371" s="14"/>
      <c r="CQ371" s="125" t="str">
        <f t="shared" si="344"/>
        <v/>
      </c>
      <c r="CR371" s="20"/>
      <c r="CS371" s="20"/>
      <c r="CT371" s="125" t="str">
        <f t="shared" si="345"/>
        <v/>
      </c>
      <c r="CU371" s="14"/>
      <c r="CV371" s="125" t="str">
        <f t="shared" si="346"/>
        <v/>
      </c>
      <c r="CW371" s="20"/>
      <c r="CX371" s="20"/>
      <c r="CY371" s="125" t="str">
        <f t="shared" si="347"/>
        <v/>
      </c>
      <c r="CZ371" s="125" t="str">
        <f t="shared" si="348"/>
        <v/>
      </c>
      <c r="DA371" s="125" t="str">
        <f t="shared" si="349"/>
        <v/>
      </c>
      <c r="DB371" s="129" t="str">
        <f t="shared" si="350"/>
        <v/>
      </c>
      <c r="DC371" s="14"/>
      <c r="DD371" s="62"/>
      <c r="DE371" s="105">
        <v>369</v>
      </c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</row>
    <row r="372" spans="1:176" s="1" customFormat="1" ht="13" hidden="1" customHeight="1" outlineLevel="1" x14ac:dyDescent="0.2">
      <c r="A372" s="4"/>
      <c r="B372" s="115" t="str">
        <f>IF(_xlfn.XLOOKUP(A372, AutoFill_names!B:B, AutoFill_names!C:C,"")=0,"",_xlfn.XLOOKUP(A372, AutoFill_names!B:B, AutoFill_names!C:C,""))</f>
        <v/>
      </c>
      <c r="C372" s="115" t="str">
        <f>IF(_xlfn.XLOOKUP(A372, AutoFill_names!B:B, AutoFill_names!D:D,"")=0,"",_xlfn.XLOOKUP(A372, AutoFill_names!B:B, AutoFill_names!D:D,""))</f>
        <v/>
      </c>
      <c r="D372" s="115" t="str">
        <f>IF(_xlfn.XLOOKUP(A372, AutoFill_names!B:B, AutoFill_names!E:E,"")=0,"",_xlfn.XLOOKUP(A372, AutoFill_names!B:B, AutoFill_names!E:E,""))</f>
        <v/>
      </c>
      <c r="E372" s="115" t="str">
        <f>IF(_xlfn.XLOOKUP(A372, AutoFill_names!B:B, AutoFill_names!F:F,"")=0,"",_xlfn.XLOOKUP(A372, AutoFill_names!B:B, AutoFill_names!F:F,""))</f>
        <v/>
      </c>
      <c r="F372" s="92"/>
      <c r="J372" s="115" t="str">
        <f>IF(_xlfn.XLOOKUP(A372, AutoFill_names!B:B, AutoFill_names!K:K,"")=0,"",_xlfn.XLOOKUP(A372, AutoFill_names!B:B, AutoFill_names!K:K,""))</f>
        <v/>
      </c>
      <c r="K372" s="115" t="str">
        <f>IF(_xlfn.XLOOKUP(A372, AutoFill_names!B:B, AutoFill_names!L:L,"")=0,"",_xlfn.XLOOKUP(A372, AutoFill_names!B:B, AutoFill_names!L:L,""))</f>
        <v/>
      </c>
      <c r="L372" s="2"/>
      <c r="M372" s="2"/>
      <c r="N372" s="117" t="str">
        <f>IF(_xlfn.XLOOKUP(L372, AutoFill_classes!A:A, AutoFill_classes!B:B,"")=0,"",_xlfn.XLOOKUP(L372, AutoFill_classes!A:A, AutoFill_classes!B:B,""))</f>
        <v/>
      </c>
      <c r="O372" s="108"/>
      <c r="P372" s="6"/>
      <c r="Q372" s="6"/>
      <c r="R372" s="6"/>
      <c r="S372" s="2"/>
      <c r="U372" s="2"/>
      <c r="X372" s="63"/>
      <c r="Y372" s="19"/>
      <c r="Z372" s="121" t="str">
        <f t="shared" si="324"/>
        <v/>
      </c>
      <c r="AA372" s="20"/>
      <c r="AB372" s="20"/>
      <c r="AC372" s="20"/>
      <c r="AD372" s="20"/>
      <c r="AE372" s="125" t="str">
        <f t="shared" si="325"/>
        <v/>
      </c>
      <c r="AF372" s="14"/>
      <c r="AG372" s="125" t="str">
        <f t="shared" si="326"/>
        <v/>
      </c>
      <c r="AH372" s="20"/>
      <c r="AI372" s="20"/>
      <c r="AJ372" s="125" t="str">
        <f t="shared" si="327"/>
        <v/>
      </c>
      <c r="AK372" s="14"/>
      <c r="AL372" s="125" t="str">
        <f t="shared" si="328"/>
        <v/>
      </c>
      <c r="AM372" s="20"/>
      <c r="AN372" s="20"/>
      <c r="AO372" s="125" t="str">
        <f t="shared" si="329"/>
        <v/>
      </c>
      <c r="AP372" s="125" t="str">
        <f t="shared" si="330"/>
        <v/>
      </c>
      <c r="AQ372" s="125" t="str">
        <f t="shared" si="331"/>
        <v/>
      </c>
      <c r="AR372" s="129" t="str">
        <f t="shared" si="332"/>
        <v/>
      </c>
      <c r="AS372" s="14"/>
      <c r="AT372" s="13"/>
      <c r="AU372" s="13"/>
      <c r="AV372" s="117" t="str">
        <f>IF(_xlfn.XLOOKUP(AT372, AutoFill_classes!$A:$A, AutoFill_classes!$B:$B,"")=0,"",_xlfn.XLOOKUP(AT372, AutoFill_classes!$A:$A, AutoFill_classes!$B:$B,""))</f>
        <v/>
      </c>
      <c r="AW372" s="108"/>
      <c r="AX372" s="11"/>
      <c r="AY372" s="11"/>
      <c r="AZ372" s="11"/>
      <c r="BA372" s="13"/>
      <c r="BB372" s="13"/>
      <c r="BC372" s="63"/>
      <c r="BD372" s="19"/>
      <c r="BE372" s="121" t="str">
        <f t="shared" si="333"/>
        <v/>
      </c>
      <c r="BF372" s="20"/>
      <c r="BG372" s="20"/>
      <c r="BH372" s="20"/>
      <c r="BI372" s="20"/>
      <c r="BJ372" s="125" t="str">
        <f t="shared" si="334"/>
        <v/>
      </c>
      <c r="BK372" s="14"/>
      <c r="BL372" s="125" t="str">
        <f t="shared" si="335"/>
        <v/>
      </c>
      <c r="BM372" s="20"/>
      <c r="BN372" s="20"/>
      <c r="BO372" s="125" t="str">
        <f t="shared" si="336"/>
        <v/>
      </c>
      <c r="BP372" s="14"/>
      <c r="BQ372" s="125" t="str">
        <f t="shared" si="337"/>
        <v/>
      </c>
      <c r="BR372" s="20"/>
      <c r="BS372" s="20"/>
      <c r="BT372" s="125" t="str">
        <f t="shared" si="338"/>
        <v/>
      </c>
      <c r="BU372" s="125" t="str">
        <f t="shared" si="339"/>
        <v/>
      </c>
      <c r="BV372" s="125" t="str">
        <f t="shared" si="340"/>
        <v/>
      </c>
      <c r="BW372" s="129" t="str">
        <f t="shared" si="341"/>
        <v/>
      </c>
      <c r="BX372" s="11"/>
      <c r="BY372" s="15"/>
      <c r="BZ372" s="14"/>
      <c r="CA372" s="117" t="str">
        <f>IF(_xlfn.XLOOKUP(BY372, AutoFill_classes!$A:$A, AutoFill_classes!$B:$B,"")=0,"",_xlfn.XLOOKUP(BY372, AutoFill_classes!$A:$A, AutoFill_classes!$B:$B,""))</f>
        <v/>
      </c>
      <c r="CB372" s="108"/>
      <c r="CC372" s="14"/>
      <c r="CD372" s="14"/>
      <c r="CE372" s="14"/>
      <c r="CF372" s="21"/>
      <c r="CG372" s="22"/>
      <c r="CH372" s="63"/>
      <c r="CI372" s="23"/>
      <c r="CJ372" s="121" t="str">
        <f t="shared" si="342"/>
        <v/>
      </c>
      <c r="CK372" s="20"/>
      <c r="CL372" s="20"/>
      <c r="CM372" s="20"/>
      <c r="CN372" s="20"/>
      <c r="CO372" s="125" t="str">
        <f t="shared" si="343"/>
        <v/>
      </c>
      <c r="CP372" s="14"/>
      <c r="CQ372" s="125" t="str">
        <f t="shared" si="344"/>
        <v/>
      </c>
      <c r="CR372" s="20"/>
      <c r="CS372" s="20"/>
      <c r="CT372" s="125" t="str">
        <f t="shared" si="345"/>
        <v/>
      </c>
      <c r="CU372" s="14"/>
      <c r="CV372" s="125" t="str">
        <f t="shared" si="346"/>
        <v/>
      </c>
      <c r="CW372" s="20"/>
      <c r="CX372" s="20"/>
      <c r="CY372" s="125" t="str">
        <f t="shared" si="347"/>
        <v/>
      </c>
      <c r="CZ372" s="125" t="str">
        <f t="shared" si="348"/>
        <v/>
      </c>
      <c r="DA372" s="125" t="str">
        <f t="shared" si="349"/>
        <v/>
      </c>
      <c r="DB372" s="129" t="str">
        <f t="shared" si="350"/>
        <v/>
      </c>
      <c r="DC372" s="14"/>
      <c r="DD372" s="62"/>
      <c r="DE372" s="105">
        <v>370</v>
      </c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</row>
    <row r="373" spans="1:176" s="1" customFormat="1" ht="13" hidden="1" customHeight="1" outlineLevel="1" x14ac:dyDescent="0.2">
      <c r="A373" s="4"/>
      <c r="B373" s="115" t="str">
        <f>IF(_xlfn.XLOOKUP(A373, AutoFill_names!B:B, AutoFill_names!C:C,"")=0,"",_xlfn.XLOOKUP(A373, AutoFill_names!B:B, AutoFill_names!C:C,""))</f>
        <v/>
      </c>
      <c r="C373" s="115" t="str">
        <f>IF(_xlfn.XLOOKUP(A373, AutoFill_names!B:B, AutoFill_names!D:D,"")=0,"",_xlfn.XLOOKUP(A373, AutoFill_names!B:B, AutoFill_names!D:D,""))</f>
        <v/>
      </c>
      <c r="D373" s="115" t="str">
        <f>IF(_xlfn.XLOOKUP(A373, AutoFill_names!B:B, AutoFill_names!E:E,"")=0,"",_xlfn.XLOOKUP(A373, AutoFill_names!B:B, AutoFill_names!E:E,""))</f>
        <v/>
      </c>
      <c r="E373" s="115" t="str">
        <f>IF(_xlfn.XLOOKUP(A373, AutoFill_names!B:B, AutoFill_names!F:F,"")=0,"",_xlfn.XLOOKUP(A373, AutoFill_names!B:B, AutoFill_names!F:F,""))</f>
        <v/>
      </c>
      <c r="F373" s="92"/>
      <c r="J373" s="115" t="str">
        <f>IF(_xlfn.XLOOKUP(A373, AutoFill_names!B:B, AutoFill_names!K:K,"")=0,"",_xlfn.XLOOKUP(A373, AutoFill_names!B:B, AutoFill_names!K:K,""))</f>
        <v/>
      </c>
      <c r="K373" s="115" t="str">
        <f>IF(_xlfn.XLOOKUP(A373, AutoFill_names!B:B, AutoFill_names!L:L,"")=0,"",_xlfn.XLOOKUP(A373, AutoFill_names!B:B, AutoFill_names!L:L,""))</f>
        <v/>
      </c>
      <c r="L373" s="2"/>
      <c r="M373" s="2"/>
      <c r="N373" s="117" t="str">
        <f>IF(_xlfn.XLOOKUP(L373, AutoFill_classes!A:A, AutoFill_classes!B:B,"")=0,"",_xlfn.XLOOKUP(L373, AutoFill_classes!A:A, AutoFill_classes!B:B,""))</f>
        <v/>
      </c>
      <c r="O373" s="108"/>
      <c r="P373" s="6"/>
      <c r="Q373" s="6"/>
      <c r="R373" s="6"/>
      <c r="S373" s="2"/>
      <c r="U373" s="2"/>
      <c r="X373" s="63"/>
      <c r="Y373" s="19"/>
      <c r="Z373" s="121" t="str">
        <f t="shared" si="324"/>
        <v/>
      </c>
      <c r="AA373" s="20"/>
      <c r="AB373" s="20"/>
      <c r="AC373" s="20"/>
      <c r="AD373" s="20"/>
      <c r="AE373" s="125" t="str">
        <f t="shared" si="325"/>
        <v/>
      </c>
      <c r="AF373" s="14"/>
      <c r="AG373" s="125" t="str">
        <f t="shared" si="326"/>
        <v/>
      </c>
      <c r="AH373" s="20"/>
      <c r="AI373" s="20"/>
      <c r="AJ373" s="125" t="str">
        <f t="shared" si="327"/>
        <v/>
      </c>
      <c r="AK373" s="14"/>
      <c r="AL373" s="125" t="str">
        <f t="shared" si="328"/>
        <v/>
      </c>
      <c r="AM373" s="20"/>
      <c r="AN373" s="20"/>
      <c r="AO373" s="125" t="str">
        <f t="shared" si="329"/>
        <v/>
      </c>
      <c r="AP373" s="125" t="str">
        <f t="shared" si="330"/>
        <v/>
      </c>
      <c r="AQ373" s="125" t="str">
        <f t="shared" si="331"/>
        <v/>
      </c>
      <c r="AR373" s="129" t="str">
        <f t="shared" si="332"/>
        <v/>
      </c>
      <c r="AS373" s="14"/>
      <c r="AT373" s="13"/>
      <c r="AU373" s="13"/>
      <c r="AV373" s="117" t="str">
        <f>IF(_xlfn.XLOOKUP(AT373, AutoFill_classes!$A:$A, AutoFill_classes!$B:$B,"")=0,"",_xlfn.XLOOKUP(AT373, AutoFill_classes!$A:$A, AutoFill_classes!$B:$B,""))</f>
        <v/>
      </c>
      <c r="AW373" s="108"/>
      <c r="AX373" s="11"/>
      <c r="AY373" s="11"/>
      <c r="AZ373" s="11"/>
      <c r="BA373" s="13"/>
      <c r="BB373" s="13"/>
      <c r="BC373" s="63"/>
      <c r="BD373" s="19"/>
      <c r="BE373" s="121" t="str">
        <f t="shared" si="333"/>
        <v/>
      </c>
      <c r="BF373" s="20"/>
      <c r="BG373" s="20"/>
      <c r="BH373" s="20"/>
      <c r="BI373" s="20"/>
      <c r="BJ373" s="125" t="str">
        <f t="shared" si="334"/>
        <v/>
      </c>
      <c r="BK373" s="14"/>
      <c r="BL373" s="125" t="str">
        <f t="shared" si="335"/>
        <v/>
      </c>
      <c r="BM373" s="20"/>
      <c r="BN373" s="20"/>
      <c r="BO373" s="125" t="str">
        <f t="shared" si="336"/>
        <v/>
      </c>
      <c r="BP373" s="14"/>
      <c r="BQ373" s="125" t="str">
        <f t="shared" si="337"/>
        <v/>
      </c>
      <c r="BR373" s="20"/>
      <c r="BS373" s="20"/>
      <c r="BT373" s="125" t="str">
        <f t="shared" si="338"/>
        <v/>
      </c>
      <c r="BU373" s="125" t="str">
        <f t="shared" si="339"/>
        <v/>
      </c>
      <c r="BV373" s="125" t="str">
        <f t="shared" si="340"/>
        <v/>
      </c>
      <c r="BW373" s="129" t="str">
        <f t="shared" si="341"/>
        <v/>
      </c>
      <c r="BX373" s="11"/>
      <c r="BY373" s="15"/>
      <c r="BZ373" s="14"/>
      <c r="CA373" s="117" t="str">
        <f>IF(_xlfn.XLOOKUP(BY373, AutoFill_classes!$A:$A, AutoFill_classes!$B:$B,"")=0,"",_xlfn.XLOOKUP(BY373, AutoFill_classes!$A:$A, AutoFill_classes!$B:$B,""))</f>
        <v/>
      </c>
      <c r="CB373" s="108"/>
      <c r="CC373" s="14"/>
      <c r="CD373" s="14"/>
      <c r="CE373" s="14"/>
      <c r="CF373" s="21"/>
      <c r="CG373" s="22"/>
      <c r="CH373" s="63"/>
      <c r="CI373" s="23"/>
      <c r="CJ373" s="121" t="str">
        <f t="shared" si="342"/>
        <v/>
      </c>
      <c r="CK373" s="20"/>
      <c r="CL373" s="20"/>
      <c r="CM373" s="20"/>
      <c r="CN373" s="20"/>
      <c r="CO373" s="125" t="str">
        <f t="shared" si="343"/>
        <v/>
      </c>
      <c r="CP373" s="14"/>
      <c r="CQ373" s="125" t="str">
        <f t="shared" si="344"/>
        <v/>
      </c>
      <c r="CR373" s="20"/>
      <c r="CS373" s="20"/>
      <c r="CT373" s="125" t="str">
        <f t="shared" si="345"/>
        <v/>
      </c>
      <c r="CU373" s="14"/>
      <c r="CV373" s="125" t="str">
        <f t="shared" si="346"/>
        <v/>
      </c>
      <c r="CW373" s="20"/>
      <c r="CX373" s="20"/>
      <c r="CY373" s="125" t="str">
        <f t="shared" si="347"/>
        <v/>
      </c>
      <c r="CZ373" s="125" t="str">
        <f t="shared" si="348"/>
        <v/>
      </c>
      <c r="DA373" s="125" t="str">
        <f t="shared" si="349"/>
        <v/>
      </c>
      <c r="DB373" s="129" t="str">
        <f t="shared" si="350"/>
        <v/>
      </c>
      <c r="DC373" s="14"/>
      <c r="DD373" s="62"/>
      <c r="DE373" s="105">
        <v>371</v>
      </c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</row>
    <row r="374" spans="1:176" s="1" customFormat="1" ht="13" hidden="1" customHeight="1" outlineLevel="1" x14ac:dyDescent="0.2">
      <c r="A374" s="4"/>
      <c r="B374" s="115" t="str">
        <f>IF(_xlfn.XLOOKUP(A374, AutoFill_names!B:B, AutoFill_names!C:C,"")=0,"",_xlfn.XLOOKUP(A374, AutoFill_names!B:B, AutoFill_names!C:C,""))</f>
        <v/>
      </c>
      <c r="C374" s="115" t="str">
        <f>IF(_xlfn.XLOOKUP(A374, AutoFill_names!B:B, AutoFill_names!D:D,"")=0,"",_xlfn.XLOOKUP(A374, AutoFill_names!B:B, AutoFill_names!D:D,""))</f>
        <v/>
      </c>
      <c r="D374" s="115" t="str">
        <f>IF(_xlfn.XLOOKUP(A374, AutoFill_names!B:B, AutoFill_names!E:E,"")=0,"",_xlfn.XLOOKUP(A374, AutoFill_names!B:B, AutoFill_names!E:E,""))</f>
        <v/>
      </c>
      <c r="E374" s="115" t="str">
        <f>IF(_xlfn.XLOOKUP(A374, AutoFill_names!B:B, AutoFill_names!F:F,"")=0,"",_xlfn.XLOOKUP(A374, AutoFill_names!B:B, AutoFill_names!F:F,""))</f>
        <v/>
      </c>
      <c r="F374" s="92"/>
      <c r="J374" s="115" t="str">
        <f>IF(_xlfn.XLOOKUP(A374, AutoFill_names!B:B, AutoFill_names!K:K,"")=0,"",_xlfn.XLOOKUP(A374, AutoFill_names!B:B, AutoFill_names!K:K,""))</f>
        <v/>
      </c>
      <c r="K374" s="115" t="str">
        <f>IF(_xlfn.XLOOKUP(A374, AutoFill_names!B:B, AutoFill_names!L:L,"")=0,"",_xlfn.XLOOKUP(A374, AutoFill_names!B:B, AutoFill_names!L:L,""))</f>
        <v/>
      </c>
      <c r="L374" s="2"/>
      <c r="M374" s="2"/>
      <c r="N374" s="117" t="str">
        <f>IF(_xlfn.XLOOKUP(L374, AutoFill_classes!A:A, AutoFill_classes!B:B,"")=0,"",_xlfn.XLOOKUP(L374, AutoFill_classes!A:A, AutoFill_classes!B:B,""))</f>
        <v/>
      </c>
      <c r="O374" s="108"/>
      <c r="P374" s="6"/>
      <c r="Q374" s="6"/>
      <c r="R374" s="6"/>
      <c r="S374" s="2"/>
      <c r="U374" s="2"/>
      <c r="X374" s="63"/>
      <c r="Y374" s="19"/>
      <c r="Z374" s="121" t="str">
        <f t="shared" si="324"/>
        <v/>
      </c>
      <c r="AA374" s="20"/>
      <c r="AB374" s="20"/>
      <c r="AC374" s="20"/>
      <c r="AD374" s="20"/>
      <c r="AE374" s="125" t="str">
        <f t="shared" si="325"/>
        <v/>
      </c>
      <c r="AF374" s="14"/>
      <c r="AG374" s="125" t="str">
        <f t="shared" si="326"/>
        <v/>
      </c>
      <c r="AH374" s="20"/>
      <c r="AI374" s="20"/>
      <c r="AJ374" s="125" t="str">
        <f t="shared" si="327"/>
        <v/>
      </c>
      <c r="AK374" s="14"/>
      <c r="AL374" s="125" t="str">
        <f t="shared" si="328"/>
        <v/>
      </c>
      <c r="AM374" s="20"/>
      <c r="AN374" s="20"/>
      <c r="AO374" s="125" t="str">
        <f t="shared" si="329"/>
        <v/>
      </c>
      <c r="AP374" s="125" t="str">
        <f t="shared" si="330"/>
        <v/>
      </c>
      <c r="AQ374" s="125" t="str">
        <f t="shared" si="331"/>
        <v/>
      </c>
      <c r="AR374" s="129" t="str">
        <f t="shared" si="332"/>
        <v/>
      </c>
      <c r="AS374" s="14"/>
      <c r="AT374" s="13"/>
      <c r="AU374" s="13"/>
      <c r="AV374" s="117" t="str">
        <f>IF(_xlfn.XLOOKUP(AT374, AutoFill_classes!$A:$A, AutoFill_classes!$B:$B,"")=0,"",_xlfn.XLOOKUP(AT374, AutoFill_classes!$A:$A, AutoFill_classes!$B:$B,""))</f>
        <v/>
      </c>
      <c r="AW374" s="108"/>
      <c r="AX374" s="11"/>
      <c r="AY374" s="11"/>
      <c r="AZ374" s="11"/>
      <c r="BA374" s="13"/>
      <c r="BB374" s="13"/>
      <c r="BC374" s="63"/>
      <c r="BD374" s="19"/>
      <c r="BE374" s="121" t="str">
        <f t="shared" si="333"/>
        <v/>
      </c>
      <c r="BF374" s="20"/>
      <c r="BG374" s="20"/>
      <c r="BH374" s="20"/>
      <c r="BI374" s="20"/>
      <c r="BJ374" s="125" t="str">
        <f t="shared" si="334"/>
        <v/>
      </c>
      <c r="BK374" s="14"/>
      <c r="BL374" s="125" t="str">
        <f t="shared" si="335"/>
        <v/>
      </c>
      <c r="BM374" s="20"/>
      <c r="BN374" s="20"/>
      <c r="BO374" s="125" t="str">
        <f t="shared" si="336"/>
        <v/>
      </c>
      <c r="BP374" s="14"/>
      <c r="BQ374" s="125" t="str">
        <f t="shared" si="337"/>
        <v/>
      </c>
      <c r="BR374" s="20"/>
      <c r="BS374" s="20"/>
      <c r="BT374" s="125" t="str">
        <f t="shared" si="338"/>
        <v/>
      </c>
      <c r="BU374" s="125" t="str">
        <f t="shared" si="339"/>
        <v/>
      </c>
      <c r="BV374" s="125" t="str">
        <f t="shared" si="340"/>
        <v/>
      </c>
      <c r="BW374" s="129" t="str">
        <f t="shared" si="341"/>
        <v/>
      </c>
      <c r="BX374" s="11"/>
      <c r="BY374" s="15"/>
      <c r="BZ374" s="14"/>
      <c r="CA374" s="117" t="str">
        <f>IF(_xlfn.XLOOKUP(BY374, AutoFill_classes!$A:$A, AutoFill_classes!$B:$B,"")=0,"",_xlfn.XLOOKUP(BY374, AutoFill_classes!$A:$A, AutoFill_classes!$B:$B,""))</f>
        <v/>
      </c>
      <c r="CB374" s="108"/>
      <c r="CC374" s="14"/>
      <c r="CD374" s="14"/>
      <c r="CE374" s="14"/>
      <c r="CF374" s="21"/>
      <c r="CG374" s="22"/>
      <c r="CH374" s="63"/>
      <c r="CI374" s="23"/>
      <c r="CJ374" s="121" t="str">
        <f t="shared" si="342"/>
        <v/>
      </c>
      <c r="CK374" s="20"/>
      <c r="CL374" s="20"/>
      <c r="CM374" s="20"/>
      <c r="CN374" s="20"/>
      <c r="CO374" s="125" t="str">
        <f t="shared" si="343"/>
        <v/>
      </c>
      <c r="CP374" s="14"/>
      <c r="CQ374" s="125" t="str">
        <f t="shared" si="344"/>
        <v/>
      </c>
      <c r="CR374" s="20"/>
      <c r="CS374" s="20"/>
      <c r="CT374" s="125" t="str">
        <f t="shared" si="345"/>
        <v/>
      </c>
      <c r="CU374" s="14"/>
      <c r="CV374" s="125" t="str">
        <f t="shared" si="346"/>
        <v/>
      </c>
      <c r="CW374" s="20"/>
      <c r="CX374" s="20"/>
      <c r="CY374" s="125" t="str">
        <f t="shared" si="347"/>
        <v/>
      </c>
      <c r="CZ374" s="125" t="str">
        <f t="shared" si="348"/>
        <v/>
      </c>
      <c r="DA374" s="125" t="str">
        <f t="shared" si="349"/>
        <v/>
      </c>
      <c r="DB374" s="129" t="str">
        <f t="shared" si="350"/>
        <v/>
      </c>
      <c r="DC374" s="14"/>
      <c r="DD374" s="62"/>
      <c r="DE374" s="105">
        <v>372</v>
      </c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</row>
    <row r="375" spans="1:176" s="1" customFormat="1" ht="13" hidden="1" customHeight="1" outlineLevel="1" x14ac:dyDescent="0.2">
      <c r="A375" s="4"/>
      <c r="B375" s="115" t="str">
        <f>IF(_xlfn.XLOOKUP(A375, AutoFill_names!B:B, AutoFill_names!C:C,"")=0,"",_xlfn.XLOOKUP(A375, AutoFill_names!B:B, AutoFill_names!C:C,""))</f>
        <v/>
      </c>
      <c r="C375" s="115" t="str">
        <f>IF(_xlfn.XLOOKUP(A375, AutoFill_names!B:B, AutoFill_names!D:D,"")=0,"",_xlfn.XLOOKUP(A375, AutoFill_names!B:B, AutoFill_names!D:D,""))</f>
        <v/>
      </c>
      <c r="D375" s="115" t="str">
        <f>IF(_xlfn.XLOOKUP(A375, AutoFill_names!B:B, AutoFill_names!E:E,"")=0,"",_xlfn.XLOOKUP(A375, AutoFill_names!B:B, AutoFill_names!E:E,""))</f>
        <v/>
      </c>
      <c r="E375" s="115" t="str">
        <f>IF(_xlfn.XLOOKUP(A375, AutoFill_names!B:B, AutoFill_names!F:F,"")=0,"",_xlfn.XLOOKUP(A375, AutoFill_names!B:B, AutoFill_names!F:F,""))</f>
        <v/>
      </c>
      <c r="F375" s="92"/>
      <c r="J375" s="115" t="str">
        <f>IF(_xlfn.XLOOKUP(A375, AutoFill_names!B:B, AutoFill_names!K:K,"")=0,"",_xlfn.XLOOKUP(A375, AutoFill_names!B:B, AutoFill_names!K:K,""))</f>
        <v/>
      </c>
      <c r="K375" s="115" t="str">
        <f>IF(_xlfn.XLOOKUP(A375, AutoFill_names!B:B, AutoFill_names!L:L,"")=0,"",_xlfn.XLOOKUP(A375, AutoFill_names!B:B, AutoFill_names!L:L,""))</f>
        <v/>
      </c>
      <c r="L375" s="2"/>
      <c r="M375" s="2"/>
      <c r="N375" s="117" t="str">
        <f>IF(_xlfn.XLOOKUP(L375, AutoFill_classes!A:A, AutoFill_classes!B:B,"")=0,"",_xlfn.XLOOKUP(L375, AutoFill_classes!A:A, AutoFill_classes!B:B,""))</f>
        <v/>
      </c>
      <c r="O375" s="108"/>
      <c r="P375" s="6"/>
      <c r="Q375" s="6"/>
      <c r="R375" s="6"/>
      <c r="S375" s="2"/>
      <c r="U375" s="2"/>
      <c r="X375" s="63"/>
      <c r="Y375" s="19"/>
      <c r="Z375" s="121" t="str">
        <f t="shared" si="324"/>
        <v/>
      </c>
      <c r="AA375" s="20"/>
      <c r="AB375" s="20"/>
      <c r="AC375" s="20"/>
      <c r="AD375" s="20"/>
      <c r="AE375" s="125" t="str">
        <f t="shared" si="325"/>
        <v/>
      </c>
      <c r="AF375" s="14"/>
      <c r="AG375" s="125" t="str">
        <f t="shared" si="326"/>
        <v/>
      </c>
      <c r="AH375" s="20"/>
      <c r="AI375" s="20"/>
      <c r="AJ375" s="125" t="str">
        <f t="shared" si="327"/>
        <v/>
      </c>
      <c r="AK375" s="14"/>
      <c r="AL375" s="125" t="str">
        <f t="shared" si="328"/>
        <v/>
      </c>
      <c r="AM375" s="20"/>
      <c r="AN375" s="20"/>
      <c r="AO375" s="125" t="str">
        <f t="shared" si="329"/>
        <v/>
      </c>
      <c r="AP375" s="125" t="str">
        <f t="shared" si="330"/>
        <v/>
      </c>
      <c r="AQ375" s="125" t="str">
        <f t="shared" si="331"/>
        <v/>
      </c>
      <c r="AR375" s="129" t="str">
        <f t="shared" si="332"/>
        <v/>
      </c>
      <c r="AS375" s="14"/>
      <c r="AT375" s="13"/>
      <c r="AU375" s="13"/>
      <c r="AV375" s="117" t="str">
        <f>IF(_xlfn.XLOOKUP(AT375, AutoFill_classes!$A:$A, AutoFill_classes!$B:$B,"")=0,"",_xlfn.XLOOKUP(AT375, AutoFill_classes!$A:$A, AutoFill_classes!$B:$B,""))</f>
        <v/>
      </c>
      <c r="AW375" s="108"/>
      <c r="AX375" s="11"/>
      <c r="AY375" s="11"/>
      <c r="AZ375" s="11"/>
      <c r="BA375" s="13"/>
      <c r="BB375" s="13"/>
      <c r="BC375" s="63"/>
      <c r="BD375" s="19"/>
      <c r="BE375" s="121" t="str">
        <f t="shared" si="333"/>
        <v/>
      </c>
      <c r="BF375" s="20"/>
      <c r="BG375" s="20"/>
      <c r="BH375" s="20"/>
      <c r="BI375" s="20"/>
      <c r="BJ375" s="125" t="str">
        <f t="shared" si="334"/>
        <v/>
      </c>
      <c r="BK375" s="14"/>
      <c r="BL375" s="125" t="str">
        <f t="shared" si="335"/>
        <v/>
      </c>
      <c r="BM375" s="20"/>
      <c r="BN375" s="20"/>
      <c r="BO375" s="125" t="str">
        <f t="shared" si="336"/>
        <v/>
      </c>
      <c r="BP375" s="14"/>
      <c r="BQ375" s="125" t="str">
        <f t="shared" si="337"/>
        <v/>
      </c>
      <c r="BR375" s="20"/>
      <c r="BS375" s="20"/>
      <c r="BT375" s="125" t="str">
        <f t="shared" si="338"/>
        <v/>
      </c>
      <c r="BU375" s="125" t="str">
        <f t="shared" si="339"/>
        <v/>
      </c>
      <c r="BV375" s="125" t="str">
        <f t="shared" si="340"/>
        <v/>
      </c>
      <c r="BW375" s="129" t="str">
        <f t="shared" si="341"/>
        <v/>
      </c>
      <c r="BX375" s="11"/>
      <c r="BY375" s="15"/>
      <c r="BZ375" s="14"/>
      <c r="CA375" s="117" t="str">
        <f>IF(_xlfn.XLOOKUP(BY375, AutoFill_classes!$A:$A, AutoFill_classes!$B:$B,"")=0,"",_xlfn.XLOOKUP(BY375, AutoFill_classes!$A:$A, AutoFill_classes!$B:$B,""))</f>
        <v/>
      </c>
      <c r="CB375" s="108"/>
      <c r="CC375" s="14"/>
      <c r="CD375" s="14"/>
      <c r="CE375" s="14"/>
      <c r="CF375" s="21"/>
      <c r="CG375" s="22"/>
      <c r="CH375" s="63"/>
      <c r="CI375" s="23"/>
      <c r="CJ375" s="121" t="str">
        <f t="shared" si="342"/>
        <v/>
      </c>
      <c r="CK375" s="20"/>
      <c r="CL375" s="20"/>
      <c r="CM375" s="20"/>
      <c r="CN375" s="20"/>
      <c r="CO375" s="125" t="str">
        <f t="shared" si="343"/>
        <v/>
      </c>
      <c r="CP375" s="14"/>
      <c r="CQ375" s="125" t="str">
        <f t="shared" si="344"/>
        <v/>
      </c>
      <c r="CR375" s="20"/>
      <c r="CS375" s="20"/>
      <c r="CT375" s="125" t="str">
        <f t="shared" si="345"/>
        <v/>
      </c>
      <c r="CU375" s="14"/>
      <c r="CV375" s="125" t="str">
        <f t="shared" si="346"/>
        <v/>
      </c>
      <c r="CW375" s="20"/>
      <c r="CX375" s="20"/>
      <c r="CY375" s="125" t="str">
        <f t="shared" si="347"/>
        <v/>
      </c>
      <c r="CZ375" s="125" t="str">
        <f t="shared" si="348"/>
        <v/>
      </c>
      <c r="DA375" s="125" t="str">
        <f t="shared" si="349"/>
        <v/>
      </c>
      <c r="DB375" s="129" t="str">
        <f t="shared" si="350"/>
        <v/>
      </c>
      <c r="DC375" s="14"/>
      <c r="DD375" s="62"/>
      <c r="DE375" s="105">
        <v>373</v>
      </c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</row>
    <row r="376" spans="1:176" s="1" customFormat="1" ht="13" hidden="1" customHeight="1" outlineLevel="1" x14ac:dyDescent="0.2">
      <c r="A376" s="4"/>
      <c r="B376" s="115" t="str">
        <f>IF(_xlfn.XLOOKUP(A376, AutoFill_names!B:B, AutoFill_names!C:C,"")=0,"",_xlfn.XLOOKUP(A376, AutoFill_names!B:B, AutoFill_names!C:C,""))</f>
        <v/>
      </c>
      <c r="C376" s="115" t="str">
        <f>IF(_xlfn.XLOOKUP(A376, AutoFill_names!B:B, AutoFill_names!D:D,"")=0,"",_xlfn.XLOOKUP(A376, AutoFill_names!B:B, AutoFill_names!D:D,""))</f>
        <v/>
      </c>
      <c r="D376" s="115" t="str">
        <f>IF(_xlfn.XLOOKUP(A376, AutoFill_names!B:B, AutoFill_names!E:E,"")=0,"",_xlfn.XLOOKUP(A376, AutoFill_names!B:B, AutoFill_names!E:E,""))</f>
        <v/>
      </c>
      <c r="E376" s="115" t="str">
        <f>IF(_xlfn.XLOOKUP(A376, AutoFill_names!B:B, AutoFill_names!F:F,"")=0,"",_xlfn.XLOOKUP(A376, AutoFill_names!B:B, AutoFill_names!F:F,""))</f>
        <v/>
      </c>
      <c r="F376" s="92"/>
      <c r="J376" s="115" t="str">
        <f>IF(_xlfn.XLOOKUP(A376, AutoFill_names!B:B, AutoFill_names!K:K,"")=0,"",_xlfn.XLOOKUP(A376, AutoFill_names!B:B, AutoFill_names!K:K,""))</f>
        <v/>
      </c>
      <c r="K376" s="115" t="str">
        <f>IF(_xlfn.XLOOKUP(A376, AutoFill_names!B:B, AutoFill_names!L:L,"")=0,"",_xlfn.XLOOKUP(A376, AutoFill_names!B:B, AutoFill_names!L:L,""))</f>
        <v/>
      </c>
      <c r="L376" s="2"/>
      <c r="M376" s="2"/>
      <c r="N376" s="117" t="str">
        <f>IF(_xlfn.XLOOKUP(L376, AutoFill_classes!A:A, AutoFill_classes!B:B,"")=0,"",_xlfn.XLOOKUP(L376, AutoFill_classes!A:A, AutoFill_classes!B:B,""))</f>
        <v/>
      </c>
      <c r="O376" s="108"/>
      <c r="P376" s="6"/>
      <c r="Q376" s="6"/>
      <c r="R376" s="6"/>
      <c r="S376" s="2"/>
      <c r="U376" s="2"/>
      <c r="X376" s="63"/>
      <c r="Y376" s="19"/>
      <c r="Z376" s="121" t="str">
        <f t="shared" si="324"/>
        <v/>
      </c>
      <c r="AA376" s="20"/>
      <c r="AB376" s="20"/>
      <c r="AC376" s="20"/>
      <c r="AD376" s="20"/>
      <c r="AE376" s="125" t="str">
        <f t="shared" si="325"/>
        <v/>
      </c>
      <c r="AF376" s="14"/>
      <c r="AG376" s="125" t="str">
        <f t="shared" si="326"/>
        <v/>
      </c>
      <c r="AH376" s="20"/>
      <c r="AI376" s="20"/>
      <c r="AJ376" s="125" t="str">
        <f t="shared" si="327"/>
        <v/>
      </c>
      <c r="AK376" s="14"/>
      <c r="AL376" s="125" t="str">
        <f t="shared" si="328"/>
        <v/>
      </c>
      <c r="AM376" s="20"/>
      <c r="AN376" s="20"/>
      <c r="AO376" s="125" t="str">
        <f t="shared" si="329"/>
        <v/>
      </c>
      <c r="AP376" s="125" t="str">
        <f t="shared" si="330"/>
        <v/>
      </c>
      <c r="AQ376" s="125" t="str">
        <f t="shared" si="331"/>
        <v/>
      </c>
      <c r="AR376" s="129" t="str">
        <f t="shared" si="332"/>
        <v/>
      </c>
      <c r="AS376" s="14"/>
      <c r="AT376" s="13"/>
      <c r="AU376" s="13"/>
      <c r="AV376" s="117" t="str">
        <f>IF(_xlfn.XLOOKUP(AT376, AutoFill_classes!$A:$A, AutoFill_classes!$B:$B,"")=0,"",_xlfn.XLOOKUP(AT376, AutoFill_classes!$A:$A, AutoFill_classes!$B:$B,""))</f>
        <v/>
      </c>
      <c r="AW376" s="108"/>
      <c r="AX376" s="11"/>
      <c r="AY376" s="11"/>
      <c r="AZ376" s="11"/>
      <c r="BA376" s="13"/>
      <c r="BB376" s="13"/>
      <c r="BC376" s="63"/>
      <c r="BD376" s="19"/>
      <c r="BE376" s="121" t="str">
        <f t="shared" si="333"/>
        <v/>
      </c>
      <c r="BF376" s="20"/>
      <c r="BG376" s="20"/>
      <c r="BH376" s="20"/>
      <c r="BI376" s="20"/>
      <c r="BJ376" s="125" t="str">
        <f t="shared" si="334"/>
        <v/>
      </c>
      <c r="BK376" s="14"/>
      <c r="BL376" s="125" t="str">
        <f t="shared" si="335"/>
        <v/>
      </c>
      <c r="BM376" s="20"/>
      <c r="BN376" s="20"/>
      <c r="BO376" s="125" t="str">
        <f t="shared" si="336"/>
        <v/>
      </c>
      <c r="BP376" s="14"/>
      <c r="BQ376" s="125" t="str">
        <f t="shared" si="337"/>
        <v/>
      </c>
      <c r="BR376" s="20"/>
      <c r="BS376" s="20"/>
      <c r="BT376" s="125" t="str">
        <f t="shared" si="338"/>
        <v/>
      </c>
      <c r="BU376" s="125" t="str">
        <f t="shared" si="339"/>
        <v/>
      </c>
      <c r="BV376" s="125" t="str">
        <f t="shared" si="340"/>
        <v/>
      </c>
      <c r="BW376" s="129" t="str">
        <f t="shared" si="341"/>
        <v/>
      </c>
      <c r="BX376" s="11"/>
      <c r="BY376" s="15"/>
      <c r="BZ376" s="14"/>
      <c r="CA376" s="117" t="str">
        <f>IF(_xlfn.XLOOKUP(BY376, AutoFill_classes!$A:$A, AutoFill_classes!$B:$B,"")=0,"",_xlfn.XLOOKUP(BY376, AutoFill_classes!$A:$A, AutoFill_classes!$B:$B,""))</f>
        <v/>
      </c>
      <c r="CB376" s="108"/>
      <c r="CC376" s="14"/>
      <c r="CD376" s="14"/>
      <c r="CE376" s="14"/>
      <c r="CF376" s="21"/>
      <c r="CG376" s="22"/>
      <c r="CH376" s="63"/>
      <c r="CI376" s="23"/>
      <c r="CJ376" s="121" t="str">
        <f t="shared" si="342"/>
        <v/>
      </c>
      <c r="CK376" s="20"/>
      <c r="CL376" s="20"/>
      <c r="CM376" s="20"/>
      <c r="CN376" s="20"/>
      <c r="CO376" s="125" t="str">
        <f t="shared" si="343"/>
        <v/>
      </c>
      <c r="CP376" s="14"/>
      <c r="CQ376" s="125" t="str">
        <f t="shared" si="344"/>
        <v/>
      </c>
      <c r="CR376" s="20"/>
      <c r="CS376" s="20"/>
      <c r="CT376" s="125" t="str">
        <f t="shared" si="345"/>
        <v/>
      </c>
      <c r="CU376" s="14"/>
      <c r="CV376" s="125" t="str">
        <f t="shared" si="346"/>
        <v/>
      </c>
      <c r="CW376" s="20"/>
      <c r="CX376" s="20"/>
      <c r="CY376" s="125" t="str">
        <f t="shared" si="347"/>
        <v/>
      </c>
      <c r="CZ376" s="125" t="str">
        <f t="shared" si="348"/>
        <v/>
      </c>
      <c r="DA376" s="125" t="str">
        <f t="shared" si="349"/>
        <v/>
      </c>
      <c r="DB376" s="129" t="str">
        <f t="shared" si="350"/>
        <v/>
      </c>
      <c r="DC376" s="14"/>
      <c r="DD376" s="62"/>
      <c r="DE376" s="105">
        <v>374</v>
      </c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</row>
    <row r="377" spans="1:176" s="1" customFormat="1" ht="13" hidden="1" customHeight="1" outlineLevel="1" x14ac:dyDescent="0.2">
      <c r="A377" s="4"/>
      <c r="B377" s="115" t="str">
        <f>IF(_xlfn.XLOOKUP(A377, AutoFill_names!B:B, AutoFill_names!C:C,"")=0,"",_xlfn.XLOOKUP(A377, AutoFill_names!B:B, AutoFill_names!C:C,""))</f>
        <v/>
      </c>
      <c r="C377" s="115" t="str">
        <f>IF(_xlfn.XLOOKUP(A377, AutoFill_names!B:B, AutoFill_names!D:D,"")=0,"",_xlfn.XLOOKUP(A377, AutoFill_names!B:B, AutoFill_names!D:D,""))</f>
        <v/>
      </c>
      <c r="D377" s="115" t="str">
        <f>IF(_xlfn.XLOOKUP(A377, AutoFill_names!B:B, AutoFill_names!E:E,"")=0,"",_xlfn.XLOOKUP(A377, AutoFill_names!B:B, AutoFill_names!E:E,""))</f>
        <v/>
      </c>
      <c r="E377" s="115" t="str">
        <f>IF(_xlfn.XLOOKUP(A377, AutoFill_names!B:B, AutoFill_names!F:F,"")=0,"",_xlfn.XLOOKUP(A377, AutoFill_names!B:B, AutoFill_names!F:F,""))</f>
        <v/>
      </c>
      <c r="F377" s="92"/>
      <c r="J377" s="115" t="str">
        <f>IF(_xlfn.XLOOKUP(A377, AutoFill_names!B:B, AutoFill_names!K:K,"")=0,"",_xlfn.XLOOKUP(A377, AutoFill_names!B:B, AutoFill_names!K:K,""))</f>
        <v/>
      </c>
      <c r="K377" s="115" t="str">
        <f>IF(_xlfn.XLOOKUP(A377, AutoFill_names!B:B, AutoFill_names!L:L,"")=0,"",_xlfn.XLOOKUP(A377, AutoFill_names!B:B, AutoFill_names!L:L,""))</f>
        <v/>
      </c>
      <c r="L377" s="2"/>
      <c r="M377" s="2"/>
      <c r="N377" s="117" t="str">
        <f>IF(_xlfn.XLOOKUP(L377, AutoFill_classes!A:A, AutoFill_classes!B:B,"")=0,"",_xlfn.XLOOKUP(L377, AutoFill_classes!A:A, AutoFill_classes!B:B,""))</f>
        <v/>
      </c>
      <c r="O377" s="108"/>
      <c r="P377" s="6"/>
      <c r="Q377" s="6"/>
      <c r="R377" s="6"/>
      <c r="S377" s="2"/>
      <c r="U377" s="2"/>
      <c r="X377" s="63"/>
      <c r="Y377" s="19"/>
      <c r="Z377" s="121" t="str">
        <f t="shared" si="324"/>
        <v/>
      </c>
      <c r="AA377" s="20"/>
      <c r="AB377" s="20"/>
      <c r="AC377" s="20"/>
      <c r="AD377" s="20"/>
      <c r="AE377" s="125" t="str">
        <f t="shared" si="325"/>
        <v/>
      </c>
      <c r="AF377" s="14"/>
      <c r="AG377" s="125" t="str">
        <f t="shared" si="326"/>
        <v/>
      </c>
      <c r="AH377" s="20"/>
      <c r="AI377" s="20"/>
      <c r="AJ377" s="125" t="str">
        <f t="shared" si="327"/>
        <v/>
      </c>
      <c r="AK377" s="14"/>
      <c r="AL377" s="125" t="str">
        <f t="shared" si="328"/>
        <v/>
      </c>
      <c r="AM377" s="20"/>
      <c r="AN377" s="20"/>
      <c r="AO377" s="125" t="str">
        <f t="shared" si="329"/>
        <v/>
      </c>
      <c r="AP377" s="125" t="str">
        <f t="shared" si="330"/>
        <v/>
      </c>
      <c r="AQ377" s="125" t="str">
        <f t="shared" si="331"/>
        <v/>
      </c>
      <c r="AR377" s="129" t="str">
        <f t="shared" si="332"/>
        <v/>
      </c>
      <c r="AS377" s="14"/>
      <c r="AT377" s="13"/>
      <c r="AU377" s="13"/>
      <c r="AV377" s="117" t="str">
        <f>IF(_xlfn.XLOOKUP(AT377, AutoFill_classes!$A:$A, AutoFill_classes!$B:$B,"")=0,"",_xlfn.XLOOKUP(AT377, AutoFill_classes!$A:$A, AutoFill_classes!$B:$B,""))</f>
        <v/>
      </c>
      <c r="AW377" s="108"/>
      <c r="AX377" s="11"/>
      <c r="AY377" s="11"/>
      <c r="AZ377" s="11"/>
      <c r="BA377" s="13"/>
      <c r="BB377" s="13"/>
      <c r="BC377" s="63"/>
      <c r="BD377" s="19"/>
      <c r="BE377" s="121" t="str">
        <f t="shared" si="333"/>
        <v/>
      </c>
      <c r="BF377" s="20"/>
      <c r="BG377" s="20"/>
      <c r="BH377" s="20"/>
      <c r="BI377" s="20"/>
      <c r="BJ377" s="125" t="str">
        <f t="shared" si="334"/>
        <v/>
      </c>
      <c r="BK377" s="14"/>
      <c r="BL377" s="125" t="str">
        <f t="shared" si="335"/>
        <v/>
      </c>
      <c r="BM377" s="20"/>
      <c r="BN377" s="20"/>
      <c r="BO377" s="125" t="str">
        <f t="shared" si="336"/>
        <v/>
      </c>
      <c r="BP377" s="14"/>
      <c r="BQ377" s="125" t="str">
        <f t="shared" si="337"/>
        <v/>
      </c>
      <c r="BR377" s="20"/>
      <c r="BS377" s="20"/>
      <c r="BT377" s="125" t="str">
        <f t="shared" si="338"/>
        <v/>
      </c>
      <c r="BU377" s="125" t="str">
        <f t="shared" si="339"/>
        <v/>
      </c>
      <c r="BV377" s="125" t="str">
        <f t="shared" si="340"/>
        <v/>
      </c>
      <c r="BW377" s="129" t="str">
        <f t="shared" si="341"/>
        <v/>
      </c>
      <c r="BX377" s="11"/>
      <c r="BY377" s="15"/>
      <c r="BZ377" s="14"/>
      <c r="CA377" s="117" t="str">
        <f>IF(_xlfn.XLOOKUP(BY377, AutoFill_classes!$A:$A, AutoFill_classes!$B:$B,"")=0,"",_xlfn.XLOOKUP(BY377, AutoFill_classes!$A:$A, AutoFill_classes!$B:$B,""))</f>
        <v/>
      </c>
      <c r="CB377" s="108"/>
      <c r="CC377" s="14"/>
      <c r="CD377" s="14"/>
      <c r="CE377" s="14"/>
      <c r="CF377" s="21"/>
      <c r="CG377" s="22"/>
      <c r="CH377" s="63"/>
      <c r="CI377" s="23"/>
      <c r="CJ377" s="121" t="str">
        <f t="shared" si="342"/>
        <v/>
      </c>
      <c r="CK377" s="20"/>
      <c r="CL377" s="20"/>
      <c r="CM377" s="20"/>
      <c r="CN377" s="20"/>
      <c r="CO377" s="125" t="str">
        <f t="shared" si="343"/>
        <v/>
      </c>
      <c r="CP377" s="14"/>
      <c r="CQ377" s="125" t="str">
        <f t="shared" si="344"/>
        <v/>
      </c>
      <c r="CR377" s="20"/>
      <c r="CS377" s="20"/>
      <c r="CT377" s="125" t="str">
        <f t="shared" si="345"/>
        <v/>
      </c>
      <c r="CU377" s="14"/>
      <c r="CV377" s="125" t="str">
        <f t="shared" si="346"/>
        <v/>
      </c>
      <c r="CW377" s="20"/>
      <c r="CX377" s="20"/>
      <c r="CY377" s="125" t="str">
        <f t="shared" si="347"/>
        <v/>
      </c>
      <c r="CZ377" s="125" t="str">
        <f t="shared" si="348"/>
        <v/>
      </c>
      <c r="DA377" s="125" t="str">
        <f t="shared" si="349"/>
        <v/>
      </c>
      <c r="DB377" s="129" t="str">
        <f t="shared" si="350"/>
        <v/>
      </c>
      <c r="DC377" s="14"/>
      <c r="DD377" s="62"/>
      <c r="DE377" s="105">
        <v>375</v>
      </c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</row>
    <row r="378" spans="1:176" s="1" customFormat="1" ht="13" hidden="1" customHeight="1" outlineLevel="1" x14ac:dyDescent="0.2">
      <c r="A378" s="4"/>
      <c r="B378" s="115" t="str">
        <f>IF(_xlfn.XLOOKUP(A378, AutoFill_names!B:B, AutoFill_names!C:C,"")=0,"",_xlfn.XLOOKUP(A378, AutoFill_names!B:B, AutoFill_names!C:C,""))</f>
        <v/>
      </c>
      <c r="C378" s="115" t="str">
        <f>IF(_xlfn.XLOOKUP(A378, AutoFill_names!B:B, AutoFill_names!D:D,"")=0,"",_xlfn.XLOOKUP(A378, AutoFill_names!B:B, AutoFill_names!D:D,""))</f>
        <v/>
      </c>
      <c r="D378" s="115" t="str">
        <f>IF(_xlfn.XLOOKUP(A378, AutoFill_names!B:B, AutoFill_names!E:E,"")=0,"",_xlfn.XLOOKUP(A378, AutoFill_names!B:B, AutoFill_names!E:E,""))</f>
        <v/>
      </c>
      <c r="E378" s="115" t="str">
        <f>IF(_xlfn.XLOOKUP(A378, AutoFill_names!B:B, AutoFill_names!F:F,"")=0,"",_xlfn.XLOOKUP(A378, AutoFill_names!B:B, AutoFill_names!F:F,""))</f>
        <v/>
      </c>
      <c r="F378" s="92"/>
      <c r="J378" s="115" t="str">
        <f>IF(_xlfn.XLOOKUP(A378, AutoFill_names!B:B, AutoFill_names!K:K,"")=0,"",_xlfn.XLOOKUP(A378, AutoFill_names!B:B, AutoFill_names!K:K,""))</f>
        <v/>
      </c>
      <c r="K378" s="115" t="str">
        <f>IF(_xlfn.XLOOKUP(A378, AutoFill_names!B:B, AutoFill_names!L:L,"")=0,"",_xlfn.XLOOKUP(A378, AutoFill_names!B:B, AutoFill_names!L:L,""))</f>
        <v/>
      </c>
      <c r="L378" s="2"/>
      <c r="M378" s="2"/>
      <c r="N378" s="117" t="str">
        <f>IF(_xlfn.XLOOKUP(L378, AutoFill_classes!A:A, AutoFill_classes!B:B,"")=0,"",_xlfn.XLOOKUP(L378, AutoFill_classes!A:A, AutoFill_classes!B:B,""))</f>
        <v/>
      </c>
      <c r="O378" s="108"/>
      <c r="P378" s="6"/>
      <c r="Q378" s="6"/>
      <c r="R378" s="6"/>
      <c r="S378" s="2"/>
      <c r="U378" s="2"/>
      <c r="X378" s="63"/>
      <c r="Y378" s="19"/>
      <c r="Z378" s="121" t="str">
        <f t="shared" si="324"/>
        <v/>
      </c>
      <c r="AA378" s="20"/>
      <c r="AB378" s="20"/>
      <c r="AC378" s="20"/>
      <c r="AD378" s="20"/>
      <c r="AE378" s="125" t="str">
        <f t="shared" si="325"/>
        <v/>
      </c>
      <c r="AF378" s="14"/>
      <c r="AG378" s="125" t="str">
        <f t="shared" si="326"/>
        <v/>
      </c>
      <c r="AH378" s="20"/>
      <c r="AI378" s="20"/>
      <c r="AJ378" s="125" t="str">
        <f t="shared" si="327"/>
        <v/>
      </c>
      <c r="AK378" s="14"/>
      <c r="AL378" s="125" t="str">
        <f t="shared" si="328"/>
        <v/>
      </c>
      <c r="AM378" s="20"/>
      <c r="AN378" s="20"/>
      <c r="AO378" s="125" t="str">
        <f t="shared" si="329"/>
        <v/>
      </c>
      <c r="AP378" s="125" t="str">
        <f t="shared" si="330"/>
        <v/>
      </c>
      <c r="AQ378" s="125" t="str">
        <f t="shared" si="331"/>
        <v/>
      </c>
      <c r="AR378" s="129" t="str">
        <f t="shared" si="332"/>
        <v/>
      </c>
      <c r="AS378" s="14"/>
      <c r="AT378" s="13"/>
      <c r="AU378" s="13"/>
      <c r="AV378" s="117" t="str">
        <f>IF(_xlfn.XLOOKUP(AT378, AutoFill_classes!$A:$A, AutoFill_classes!$B:$B,"")=0,"",_xlfn.XLOOKUP(AT378, AutoFill_classes!$A:$A, AutoFill_classes!$B:$B,""))</f>
        <v/>
      </c>
      <c r="AW378" s="108"/>
      <c r="AX378" s="11"/>
      <c r="AY378" s="11"/>
      <c r="AZ378" s="11"/>
      <c r="BA378" s="13"/>
      <c r="BB378" s="13"/>
      <c r="BC378" s="63"/>
      <c r="BD378" s="19"/>
      <c r="BE378" s="121" t="str">
        <f t="shared" si="333"/>
        <v/>
      </c>
      <c r="BF378" s="20"/>
      <c r="BG378" s="20"/>
      <c r="BH378" s="20"/>
      <c r="BI378" s="20"/>
      <c r="BJ378" s="125" t="str">
        <f t="shared" si="334"/>
        <v/>
      </c>
      <c r="BK378" s="14"/>
      <c r="BL378" s="125" t="str">
        <f t="shared" si="335"/>
        <v/>
      </c>
      <c r="BM378" s="20"/>
      <c r="BN378" s="20"/>
      <c r="BO378" s="125" t="str">
        <f t="shared" si="336"/>
        <v/>
      </c>
      <c r="BP378" s="14"/>
      <c r="BQ378" s="125" t="str">
        <f t="shared" si="337"/>
        <v/>
      </c>
      <c r="BR378" s="20"/>
      <c r="BS378" s="20"/>
      <c r="BT378" s="125" t="str">
        <f t="shared" si="338"/>
        <v/>
      </c>
      <c r="BU378" s="125" t="str">
        <f t="shared" si="339"/>
        <v/>
      </c>
      <c r="BV378" s="125" t="str">
        <f t="shared" si="340"/>
        <v/>
      </c>
      <c r="BW378" s="129" t="str">
        <f t="shared" si="341"/>
        <v/>
      </c>
      <c r="BX378" s="11"/>
      <c r="BY378" s="15"/>
      <c r="BZ378" s="14"/>
      <c r="CA378" s="117" t="str">
        <f>IF(_xlfn.XLOOKUP(BY378, AutoFill_classes!$A:$A, AutoFill_classes!$B:$B,"")=0,"",_xlfn.XLOOKUP(BY378, AutoFill_classes!$A:$A, AutoFill_classes!$B:$B,""))</f>
        <v/>
      </c>
      <c r="CB378" s="108"/>
      <c r="CC378" s="14"/>
      <c r="CD378" s="14"/>
      <c r="CE378" s="14"/>
      <c r="CF378" s="21"/>
      <c r="CG378" s="22"/>
      <c r="CH378" s="63"/>
      <c r="CI378" s="23"/>
      <c r="CJ378" s="121" t="str">
        <f t="shared" si="342"/>
        <v/>
      </c>
      <c r="CK378" s="20"/>
      <c r="CL378" s="20"/>
      <c r="CM378" s="20"/>
      <c r="CN378" s="20"/>
      <c r="CO378" s="125" t="str">
        <f t="shared" si="343"/>
        <v/>
      </c>
      <c r="CP378" s="14"/>
      <c r="CQ378" s="125" t="str">
        <f t="shared" si="344"/>
        <v/>
      </c>
      <c r="CR378" s="20"/>
      <c r="CS378" s="20"/>
      <c r="CT378" s="125" t="str">
        <f t="shared" si="345"/>
        <v/>
      </c>
      <c r="CU378" s="14"/>
      <c r="CV378" s="125" t="str">
        <f t="shared" si="346"/>
        <v/>
      </c>
      <c r="CW378" s="20"/>
      <c r="CX378" s="20"/>
      <c r="CY378" s="125" t="str">
        <f t="shared" si="347"/>
        <v/>
      </c>
      <c r="CZ378" s="125" t="str">
        <f t="shared" si="348"/>
        <v/>
      </c>
      <c r="DA378" s="125" t="str">
        <f t="shared" si="349"/>
        <v/>
      </c>
      <c r="DB378" s="129" t="str">
        <f t="shared" si="350"/>
        <v/>
      </c>
      <c r="DC378" s="14"/>
      <c r="DD378" s="62"/>
      <c r="DE378" s="105">
        <v>376</v>
      </c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</row>
    <row r="379" spans="1:176" s="1" customFormat="1" ht="13" hidden="1" customHeight="1" outlineLevel="1" x14ac:dyDescent="0.2">
      <c r="A379" s="4"/>
      <c r="B379" s="115" t="str">
        <f>IF(_xlfn.XLOOKUP(A379, AutoFill_names!B:B, AutoFill_names!C:C,"")=0,"",_xlfn.XLOOKUP(A379, AutoFill_names!B:B, AutoFill_names!C:C,""))</f>
        <v/>
      </c>
      <c r="C379" s="115" t="str">
        <f>IF(_xlfn.XLOOKUP(A379, AutoFill_names!B:B, AutoFill_names!D:D,"")=0,"",_xlfn.XLOOKUP(A379, AutoFill_names!B:B, AutoFill_names!D:D,""))</f>
        <v/>
      </c>
      <c r="D379" s="115" t="str">
        <f>IF(_xlfn.XLOOKUP(A379, AutoFill_names!B:B, AutoFill_names!E:E,"")=0,"",_xlfn.XLOOKUP(A379, AutoFill_names!B:B, AutoFill_names!E:E,""))</f>
        <v/>
      </c>
      <c r="E379" s="115" t="str">
        <f>IF(_xlfn.XLOOKUP(A379, AutoFill_names!B:B, AutoFill_names!F:F,"")=0,"",_xlfn.XLOOKUP(A379, AutoFill_names!B:B, AutoFill_names!F:F,""))</f>
        <v/>
      </c>
      <c r="F379" s="92"/>
      <c r="J379" s="115" t="str">
        <f>IF(_xlfn.XLOOKUP(A379, AutoFill_names!B:B, AutoFill_names!K:K,"")=0,"",_xlfn.XLOOKUP(A379, AutoFill_names!B:B, AutoFill_names!K:K,""))</f>
        <v/>
      </c>
      <c r="K379" s="115" t="str">
        <f>IF(_xlfn.XLOOKUP(A379, AutoFill_names!B:B, AutoFill_names!L:L,"")=0,"",_xlfn.XLOOKUP(A379, AutoFill_names!B:B, AutoFill_names!L:L,""))</f>
        <v/>
      </c>
      <c r="L379" s="2"/>
      <c r="M379" s="2"/>
      <c r="N379" s="117" t="str">
        <f>IF(_xlfn.XLOOKUP(L379, AutoFill_classes!A:A, AutoFill_classes!B:B,"")=0,"",_xlfn.XLOOKUP(L379, AutoFill_classes!A:A, AutoFill_classes!B:B,""))</f>
        <v/>
      </c>
      <c r="O379" s="108"/>
      <c r="P379" s="6"/>
      <c r="Q379" s="6"/>
      <c r="R379" s="6"/>
      <c r="S379" s="2"/>
      <c r="U379" s="2"/>
      <c r="X379" s="63"/>
      <c r="Y379" s="19"/>
      <c r="Z379" s="121" t="str">
        <f t="shared" si="324"/>
        <v/>
      </c>
      <c r="AA379" s="20"/>
      <c r="AB379" s="20"/>
      <c r="AC379" s="20"/>
      <c r="AD379" s="20"/>
      <c r="AE379" s="125" t="str">
        <f t="shared" si="325"/>
        <v/>
      </c>
      <c r="AF379" s="14"/>
      <c r="AG379" s="125" t="str">
        <f t="shared" si="326"/>
        <v/>
      </c>
      <c r="AH379" s="20"/>
      <c r="AI379" s="20"/>
      <c r="AJ379" s="125" t="str">
        <f t="shared" si="327"/>
        <v/>
      </c>
      <c r="AK379" s="14"/>
      <c r="AL379" s="125" t="str">
        <f t="shared" si="328"/>
        <v/>
      </c>
      <c r="AM379" s="20"/>
      <c r="AN379" s="20"/>
      <c r="AO379" s="125" t="str">
        <f t="shared" si="329"/>
        <v/>
      </c>
      <c r="AP379" s="125" t="str">
        <f t="shared" si="330"/>
        <v/>
      </c>
      <c r="AQ379" s="125" t="str">
        <f t="shared" si="331"/>
        <v/>
      </c>
      <c r="AR379" s="129" t="str">
        <f t="shared" si="332"/>
        <v/>
      </c>
      <c r="AS379" s="14"/>
      <c r="AT379" s="13"/>
      <c r="AU379" s="13"/>
      <c r="AV379" s="117" t="str">
        <f>IF(_xlfn.XLOOKUP(AT379, AutoFill_classes!$A:$A, AutoFill_classes!$B:$B,"")=0,"",_xlfn.XLOOKUP(AT379, AutoFill_classes!$A:$A, AutoFill_classes!$B:$B,""))</f>
        <v/>
      </c>
      <c r="AW379" s="108"/>
      <c r="AX379" s="11"/>
      <c r="AY379" s="11"/>
      <c r="AZ379" s="11"/>
      <c r="BA379" s="13"/>
      <c r="BB379" s="13"/>
      <c r="BC379" s="63"/>
      <c r="BD379" s="19"/>
      <c r="BE379" s="121" t="str">
        <f t="shared" si="333"/>
        <v/>
      </c>
      <c r="BF379" s="20"/>
      <c r="BG379" s="20"/>
      <c r="BH379" s="20"/>
      <c r="BI379" s="20"/>
      <c r="BJ379" s="125" t="str">
        <f t="shared" si="334"/>
        <v/>
      </c>
      <c r="BK379" s="14"/>
      <c r="BL379" s="125" t="str">
        <f t="shared" si="335"/>
        <v/>
      </c>
      <c r="BM379" s="20"/>
      <c r="BN379" s="20"/>
      <c r="BO379" s="125" t="str">
        <f t="shared" si="336"/>
        <v/>
      </c>
      <c r="BP379" s="14"/>
      <c r="BQ379" s="125" t="str">
        <f t="shared" si="337"/>
        <v/>
      </c>
      <c r="BR379" s="20"/>
      <c r="BS379" s="20"/>
      <c r="BT379" s="125" t="str">
        <f t="shared" si="338"/>
        <v/>
      </c>
      <c r="BU379" s="125" t="str">
        <f t="shared" si="339"/>
        <v/>
      </c>
      <c r="BV379" s="125" t="str">
        <f t="shared" si="340"/>
        <v/>
      </c>
      <c r="BW379" s="129" t="str">
        <f t="shared" si="341"/>
        <v/>
      </c>
      <c r="BX379" s="11"/>
      <c r="BY379" s="15"/>
      <c r="BZ379" s="14"/>
      <c r="CA379" s="117" t="str">
        <f>IF(_xlfn.XLOOKUP(BY379, AutoFill_classes!$A:$A, AutoFill_classes!$B:$B,"")=0,"",_xlfn.XLOOKUP(BY379, AutoFill_classes!$A:$A, AutoFill_classes!$B:$B,""))</f>
        <v/>
      </c>
      <c r="CB379" s="108"/>
      <c r="CC379" s="14"/>
      <c r="CD379" s="14"/>
      <c r="CE379" s="14"/>
      <c r="CF379" s="21"/>
      <c r="CG379" s="22"/>
      <c r="CH379" s="63"/>
      <c r="CI379" s="23"/>
      <c r="CJ379" s="121" t="str">
        <f t="shared" si="342"/>
        <v/>
      </c>
      <c r="CK379" s="20"/>
      <c r="CL379" s="20"/>
      <c r="CM379" s="20"/>
      <c r="CN379" s="20"/>
      <c r="CO379" s="125" t="str">
        <f t="shared" si="343"/>
        <v/>
      </c>
      <c r="CP379" s="14"/>
      <c r="CQ379" s="125" t="str">
        <f t="shared" si="344"/>
        <v/>
      </c>
      <c r="CR379" s="20"/>
      <c r="CS379" s="20"/>
      <c r="CT379" s="125" t="str">
        <f t="shared" si="345"/>
        <v/>
      </c>
      <c r="CU379" s="14"/>
      <c r="CV379" s="125" t="str">
        <f t="shared" si="346"/>
        <v/>
      </c>
      <c r="CW379" s="20"/>
      <c r="CX379" s="20"/>
      <c r="CY379" s="125" t="str">
        <f t="shared" si="347"/>
        <v/>
      </c>
      <c r="CZ379" s="125" t="str">
        <f t="shared" si="348"/>
        <v/>
      </c>
      <c r="DA379" s="125" t="str">
        <f t="shared" si="349"/>
        <v/>
      </c>
      <c r="DB379" s="129" t="str">
        <f t="shared" si="350"/>
        <v/>
      </c>
      <c r="DC379" s="14"/>
      <c r="DD379" s="62"/>
      <c r="DE379" s="105">
        <v>377</v>
      </c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</row>
    <row r="380" spans="1:176" s="1" customFormat="1" ht="13" hidden="1" customHeight="1" outlineLevel="1" x14ac:dyDescent="0.2">
      <c r="A380" s="4"/>
      <c r="B380" s="115" t="str">
        <f>IF(_xlfn.XLOOKUP(A380, AutoFill_names!B:B, AutoFill_names!C:C,"")=0,"",_xlfn.XLOOKUP(A380, AutoFill_names!B:B, AutoFill_names!C:C,""))</f>
        <v/>
      </c>
      <c r="C380" s="115" t="str">
        <f>IF(_xlfn.XLOOKUP(A380, AutoFill_names!B:B, AutoFill_names!D:D,"")=0,"",_xlfn.XLOOKUP(A380, AutoFill_names!B:B, AutoFill_names!D:D,""))</f>
        <v/>
      </c>
      <c r="D380" s="115" t="str">
        <f>IF(_xlfn.XLOOKUP(A380, AutoFill_names!B:B, AutoFill_names!E:E,"")=0,"",_xlfn.XLOOKUP(A380, AutoFill_names!B:B, AutoFill_names!E:E,""))</f>
        <v/>
      </c>
      <c r="E380" s="115" t="str">
        <f>IF(_xlfn.XLOOKUP(A380, AutoFill_names!B:B, AutoFill_names!F:F,"")=0,"",_xlfn.XLOOKUP(A380, AutoFill_names!B:B, AutoFill_names!F:F,""))</f>
        <v/>
      </c>
      <c r="F380" s="92"/>
      <c r="J380" s="115" t="str">
        <f>IF(_xlfn.XLOOKUP(A380, AutoFill_names!B:B, AutoFill_names!K:K,"")=0,"",_xlfn.XLOOKUP(A380, AutoFill_names!B:B, AutoFill_names!K:K,""))</f>
        <v/>
      </c>
      <c r="K380" s="115" t="str">
        <f>IF(_xlfn.XLOOKUP(A380, AutoFill_names!B:B, AutoFill_names!L:L,"")=0,"",_xlfn.XLOOKUP(A380, AutoFill_names!B:B, AutoFill_names!L:L,""))</f>
        <v/>
      </c>
      <c r="L380" s="2"/>
      <c r="M380" s="2"/>
      <c r="N380" s="117" t="str">
        <f>IF(_xlfn.XLOOKUP(L380, AutoFill_classes!A:A, AutoFill_classes!B:B,"")=0,"",_xlfn.XLOOKUP(L380, AutoFill_classes!A:A, AutoFill_classes!B:B,""))</f>
        <v/>
      </c>
      <c r="O380" s="108"/>
      <c r="P380" s="6"/>
      <c r="Q380" s="6"/>
      <c r="R380" s="6"/>
      <c r="S380" s="2"/>
      <c r="U380" s="2"/>
      <c r="X380" s="63"/>
      <c r="Y380" s="19"/>
      <c r="Z380" s="121" t="str">
        <f t="shared" si="324"/>
        <v/>
      </c>
      <c r="AA380" s="20"/>
      <c r="AB380" s="20"/>
      <c r="AC380" s="20"/>
      <c r="AD380" s="20"/>
      <c r="AE380" s="125" t="str">
        <f t="shared" si="325"/>
        <v/>
      </c>
      <c r="AF380" s="14"/>
      <c r="AG380" s="125" t="str">
        <f t="shared" si="326"/>
        <v/>
      </c>
      <c r="AH380" s="20"/>
      <c r="AI380" s="20"/>
      <c r="AJ380" s="125" t="str">
        <f t="shared" si="327"/>
        <v/>
      </c>
      <c r="AK380" s="14"/>
      <c r="AL380" s="125" t="str">
        <f t="shared" si="328"/>
        <v/>
      </c>
      <c r="AM380" s="20"/>
      <c r="AN380" s="20"/>
      <c r="AO380" s="125" t="str">
        <f t="shared" si="329"/>
        <v/>
      </c>
      <c r="AP380" s="125" t="str">
        <f t="shared" si="330"/>
        <v/>
      </c>
      <c r="AQ380" s="125" t="str">
        <f t="shared" si="331"/>
        <v/>
      </c>
      <c r="AR380" s="129" t="str">
        <f t="shared" si="332"/>
        <v/>
      </c>
      <c r="AS380" s="14"/>
      <c r="AT380" s="13"/>
      <c r="AU380" s="13"/>
      <c r="AV380" s="117" t="str">
        <f>IF(_xlfn.XLOOKUP(AT380, AutoFill_classes!$A:$A, AutoFill_classes!$B:$B,"")=0,"",_xlfn.XLOOKUP(AT380, AutoFill_classes!$A:$A, AutoFill_classes!$B:$B,""))</f>
        <v/>
      </c>
      <c r="AW380" s="108"/>
      <c r="AX380" s="11"/>
      <c r="AY380" s="11"/>
      <c r="AZ380" s="11"/>
      <c r="BA380" s="13"/>
      <c r="BB380" s="13"/>
      <c r="BC380" s="63"/>
      <c r="BD380" s="19"/>
      <c r="BE380" s="121" t="str">
        <f t="shared" si="333"/>
        <v/>
      </c>
      <c r="BF380" s="20"/>
      <c r="BG380" s="20"/>
      <c r="BH380" s="20"/>
      <c r="BI380" s="20"/>
      <c r="BJ380" s="125" t="str">
        <f t="shared" si="334"/>
        <v/>
      </c>
      <c r="BK380" s="14"/>
      <c r="BL380" s="125" t="str">
        <f t="shared" si="335"/>
        <v/>
      </c>
      <c r="BM380" s="20"/>
      <c r="BN380" s="20"/>
      <c r="BO380" s="125" t="str">
        <f t="shared" si="336"/>
        <v/>
      </c>
      <c r="BP380" s="14"/>
      <c r="BQ380" s="125" t="str">
        <f t="shared" si="337"/>
        <v/>
      </c>
      <c r="BR380" s="20"/>
      <c r="BS380" s="20"/>
      <c r="BT380" s="125" t="str">
        <f t="shared" si="338"/>
        <v/>
      </c>
      <c r="BU380" s="125" t="str">
        <f t="shared" si="339"/>
        <v/>
      </c>
      <c r="BV380" s="125" t="str">
        <f t="shared" si="340"/>
        <v/>
      </c>
      <c r="BW380" s="129" t="str">
        <f t="shared" si="341"/>
        <v/>
      </c>
      <c r="BX380" s="11"/>
      <c r="BY380" s="15"/>
      <c r="BZ380" s="14"/>
      <c r="CA380" s="117" t="str">
        <f>IF(_xlfn.XLOOKUP(BY380, AutoFill_classes!$A:$A, AutoFill_classes!$B:$B,"")=0,"",_xlfn.XLOOKUP(BY380, AutoFill_classes!$A:$A, AutoFill_classes!$B:$B,""))</f>
        <v/>
      </c>
      <c r="CB380" s="108"/>
      <c r="CC380" s="14"/>
      <c r="CD380" s="14"/>
      <c r="CE380" s="14"/>
      <c r="CF380" s="21"/>
      <c r="CG380" s="22"/>
      <c r="CH380" s="63"/>
      <c r="CI380" s="23"/>
      <c r="CJ380" s="121" t="str">
        <f t="shared" si="342"/>
        <v/>
      </c>
      <c r="CK380" s="20"/>
      <c r="CL380" s="20"/>
      <c r="CM380" s="20"/>
      <c r="CN380" s="20"/>
      <c r="CO380" s="125" t="str">
        <f t="shared" si="343"/>
        <v/>
      </c>
      <c r="CP380" s="14"/>
      <c r="CQ380" s="125" t="str">
        <f t="shared" si="344"/>
        <v/>
      </c>
      <c r="CR380" s="20"/>
      <c r="CS380" s="20"/>
      <c r="CT380" s="125" t="str">
        <f t="shared" si="345"/>
        <v/>
      </c>
      <c r="CU380" s="14"/>
      <c r="CV380" s="125" t="str">
        <f t="shared" si="346"/>
        <v/>
      </c>
      <c r="CW380" s="20"/>
      <c r="CX380" s="20"/>
      <c r="CY380" s="125" t="str">
        <f t="shared" si="347"/>
        <v/>
      </c>
      <c r="CZ380" s="125" t="str">
        <f t="shared" si="348"/>
        <v/>
      </c>
      <c r="DA380" s="125" t="str">
        <f t="shared" si="349"/>
        <v/>
      </c>
      <c r="DB380" s="129" t="str">
        <f t="shared" si="350"/>
        <v/>
      </c>
      <c r="DC380" s="14"/>
      <c r="DD380" s="62"/>
      <c r="DE380" s="105">
        <v>378</v>
      </c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</row>
    <row r="381" spans="1:176" s="1" customFormat="1" ht="13" hidden="1" customHeight="1" outlineLevel="1" x14ac:dyDescent="0.2">
      <c r="A381" s="4"/>
      <c r="B381" s="115" t="str">
        <f>IF(_xlfn.XLOOKUP(A381, AutoFill_names!B:B, AutoFill_names!C:C,"")=0,"",_xlfn.XLOOKUP(A381, AutoFill_names!B:B, AutoFill_names!C:C,""))</f>
        <v/>
      </c>
      <c r="C381" s="115" t="str">
        <f>IF(_xlfn.XLOOKUP(A381, AutoFill_names!B:B, AutoFill_names!D:D,"")=0,"",_xlfn.XLOOKUP(A381, AutoFill_names!B:B, AutoFill_names!D:D,""))</f>
        <v/>
      </c>
      <c r="D381" s="115" t="str">
        <f>IF(_xlfn.XLOOKUP(A381, AutoFill_names!B:B, AutoFill_names!E:E,"")=0,"",_xlfn.XLOOKUP(A381, AutoFill_names!B:B, AutoFill_names!E:E,""))</f>
        <v/>
      </c>
      <c r="E381" s="115" t="str">
        <f>IF(_xlfn.XLOOKUP(A381, AutoFill_names!B:B, AutoFill_names!F:F,"")=0,"",_xlfn.XLOOKUP(A381, AutoFill_names!B:B, AutoFill_names!F:F,""))</f>
        <v/>
      </c>
      <c r="F381" s="92"/>
      <c r="J381" s="115" t="str">
        <f>IF(_xlfn.XLOOKUP(A381, AutoFill_names!B:B, AutoFill_names!K:K,"")=0,"",_xlfn.XLOOKUP(A381, AutoFill_names!B:B, AutoFill_names!K:K,""))</f>
        <v/>
      </c>
      <c r="K381" s="115" t="str">
        <f>IF(_xlfn.XLOOKUP(A381, AutoFill_names!B:B, AutoFill_names!L:L,"")=0,"",_xlfn.XLOOKUP(A381, AutoFill_names!B:B, AutoFill_names!L:L,""))</f>
        <v/>
      </c>
      <c r="L381" s="2"/>
      <c r="M381" s="2"/>
      <c r="N381" s="117" t="str">
        <f>IF(_xlfn.XLOOKUP(L381, AutoFill_classes!A:A, AutoFill_classes!B:B,"")=0,"",_xlfn.XLOOKUP(L381, AutoFill_classes!A:A, AutoFill_classes!B:B,""))</f>
        <v/>
      </c>
      <c r="O381" s="108"/>
      <c r="P381" s="6"/>
      <c r="Q381" s="6"/>
      <c r="R381" s="6"/>
      <c r="S381" s="2"/>
      <c r="U381" s="2"/>
      <c r="X381" s="63"/>
      <c r="Y381" s="19"/>
      <c r="Z381" s="121" t="str">
        <f t="shared" si="324"/>
        <v/>
      </c>
      <c r="AA381" s="20"/>
      <c r="AB381" s="20"/>
      <c r="AC381" s="20"/>
      <c r="AD381" s="20"/>
      <c r="AE381" s="125" t="str">
        <f t="shared" si="325"/>
        <v/>
      </c>
      <c r="AF381" s="14"/>
      <c r="AG381" s="125" t="str">
        <f t="shared" si="326"/>
        <v/>
      </c>
      <c r="AH381" s="20"/>
      <c r="AI381" s="20"/>
      <c r="AJ381" s="125" t="str">
        <f t="shared" si="327"/>
        <v/>
      </c>
      <c r="AK381" s="14"/>
      <c r="AL381" s="125" t="str">
        <f t="shared" si="328"/>
        <v/>
      </c>
      <c r="AM381" s="20"/>
      <c r="AN381" s="20"/>
      <c r="AO381" s="125" t="str">
        <f t="shared" si="329"/>
        <v/>
      </c>
      <c r="AP381" s="125" t="str">
        <f t="shared" si="330"/>
        <v/>
      </c>
      <c r="AQ381" s="125" t="str">
        <f t="shared" si="331"/>
        <v/>
      </c>
      <c r="AR381" s="129" t="str">
        <f t="shared" si="332"/>
        <v/>
      </c>
      <c r="AS381" s="14"/>
      <c r="AT381" s="13"/>
      <c r="AU381" s="13"/>
      <c r="AV381" s="117" t="str">
        <f>IF(_xlfn.XLOOKUP(AT381, AutoFill_classes!$A:$A, AutoFill_classes!$B:$B,"")=0,"",_xlfn.XLOOKUP(AT381, AutoFill_classes!$A:$A, AutoFill_classes!$B:$B,""))</f>
        <v/>
      </c>
      <c r="AW381" s="108"/>
      <c r="AX381" s="11"/>
      <c r="AY381" s="11"/>
      <c r="AZ381" s="11"/>
      <c r="BA381" s="13"/>
      <c r="BB381" s="13"/>
      <c r="BC381" s="63"/>
      <c r="BD381" s="19"/>
      <c r="BE381" s="121" t="str">
        <f t="shared" si="333"/>
        <v/>
      </c>
      <c r="BF381" s="20"/>
      <c r="BG381" s="20"/>
      <c r="BH381" s="20"/>
      <c r="BI381" s="20"/>
      <c r="BJ381" s="125" t="str">
        <f t="shared" si="334"/>
        <v/>
      </c>
      <c r="BK381" s="14"/>
      <c r="BL381" s="125" t="str">
        <f t="shared" si="335"/>
        <v/>
      </c>
      <c r="BM381" s="20"/>
      <c r="BN381" s="20"/>
      <c r="BO381" s="125" t="str">
        <f t="shared" si="336"/>
        <v/>
      </c>
      <c r="BP381" s="14"/>
      <c r="BQ381" s="125" t="str">
        <f t="shared" si="337"/>
        <v/>
      </c>
      <c r="BR381" s="20"/>
      <c r="BS381" s="20"/>
      <c r="BT381" s="125" t="str">
        <f t="shared" si="338"/>
        <v/>
      </c>
      <c r="BU381" s="125" t="str">
        <f t="shared" si="339"/>
        <v/>
      </c>
      <c r="BV381" s="125" t="str">
        <f t="shared" si="340"/>
        <v/>
      </c>
      <c r="BW381" s="129" t="str">
        <f t="shared" si="341"/>
        <v/>
      </c>
      <c r="BX381" s="11"/>
      <c r="BY381" s="15"/>
      <c r="BZ381" s="14"/>
      <c r="CA381" s="117" t="str">
        <f>IF(_xlfn.XLOOKUP(BY381, AutoFill_classes!$A:$A, AutoFill_classes!$B:$B,"")=0,"",_xlfn.XLOOKUP(BY381, AutoFill_classes!$A:$A, AutoFill_classes!$B:$B,""))</f>
        <v/>
      </c>
      <c r="CB381" s="108"/>
      <c r="CC381" s="14"/>
      <c r="CD381" s="14"/>
      <c r="CE381" s="14"/>
      <c r="CF381" s="21"/>
      <c r="CG381" s="22"/>
      <c r="CH381" s="63"/>
      <c r="CI381" s="23"/>
      <c r="CJ381" s="121" t="str">
        <f t="shared" si="342"/>
        <v/>
      </c>
      <c r="CK381" s="20"/>
      <c r="CL381" s="20"/>
      <c r="CM381" s="20"/>
      <c r="CN381" s="20"/>
      <c r="CO381" s="125" t="str">
        <f t="shared" si="343"/>
        <v/>
      </c>
      <c r="CP381" s="14"/>
      <c r="CQ381" s="125" t="str">
        <f t="shared" si="344"/>
        <v/>
      </c>
      <c r="CR381" s="20"/>
      <c r="CS381" s="20"/>
      <c r="CT381" s="125" t="str">
        <f t="shared" si="345"/>
        <v/>
      </c>
      <c r="CU381" s="14"/>
      <c r="CV381" s="125" t="str">
        <f t="shared" si="346"/>
        <v/>
      </c>
      <c r="CW381" s="20"/>
      <c r="CX381" s="20"/>
      <c r="CY381" s="125" t="str">
        <f t="shared" si="347"/>
        <v/>
      </c>
      <c r="CZ381" s="125" t="str">
        <f t="shared" si="348"/>
        <v/>
      </c>
      <c r="DA381" s="125" t="str">
        <f t="shared" si="349"/>
        <v/>
      </c>
      <c r="DB381" s="129" t="str">
        <f t="shared" si="350"/>
        <v/>
      </c>
      <c r="DC381" s="14"/>
      <c r="DD381" s="62"/>
      <c r="DE381" s="105">
        <v>379</v>
      </c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</row>
    <row r="382" spans="1:176" s="1" customFormat="1" ht="13" hidden="1" customHeight="1" outlineLevel="1" x14ac:dyDescent="0.2">
      <c r="A382" s="4"/>
      <c r="B382" s="115" t="str">
        <f>IF(_xlfn.XLOOKUP(A382, AutoFill_names!B:B, AutoFill_names!C:C,"")=0,"",_xlfn.XLOOKUP(A382, AutoFill_names!B:B, AutoFill_names!C:C,""))</f>
        <v/>
      </c>
      <c r="C382" s="115" t="str">
        <f>IF(_xlfn.XLOOKUP(A382, AutoFill_names!B:B, AutoFill_names!D:D,"")=0,"",_xlfn.XLOOKUP(A382, AutoFill_names!B:B, AutoFill_names!D:D,""))</f>
        <v/>
      </c>
      <c r="D382" s="115" t="str">
        <f>IF(_xlfn.XLOOKUP(A382, AutoFill_names!B:B, AutoFill_names!E:E,"")=0,"",_xlfn.XLOOKUP(A382, AutoFill_names!B:B, AutoFill_names!E:E,""))</f>
        <v/>
      </c>
      <c r="E382" s="115" t="str">
        <f>IF(_xlfn.XLOOKUP(A382, AutoFill_names!B:B, AutoFill_names!F:F,"")=0,"",_xlfn.XLOOKUP(A382, AutoFill_names!B:B, AutoFill_names!F:F,""))</f>
        <v/>
      </c>
      <c r="F382" s="92"/>
      <c r="J382" s="115" t="str">
        <f>IF(_xlfn.XLOOKUP(A382, AutoFill_names!B:B, AutoFill_names!K:K,"")=0,"",_xlfn.XLOOKUP(A382, AutoFill_names!B:B, AutoFill_names!K:K,""))</f>
        <v/>
      </c>
      <c r="K382" s="115" t="str">
        <f>IF(_xlfn.XLOOKUP(A382, AutoFill_names!B:B, AutoFill_names!L:L,"")=0,"",_xlfn.XLOOKUP(A382, AutoFill_names!B:B, AutoFill_names!L:L,""))</f>
        <v/>
      </c>
      <c r="L382" s="2"/>
      <c r="M382" s="2"/>
      <c r="N382" s="117" t="str">
        <f>IF(_xlfn.XLOOKUP(L382, AutoFill_classes!A:A, AutoFill_classes!B:B,"")=0,"",_xlfn.XLOOKUP(L382, AutoFill_classes!A:A, AutoFill_classes!B:B,""))</f>
        <v/>
      </c>
      <c r="O382" s="108"/>
      <c r="P382" s="6"/>
      <c r="Q382" s="6"/>
      <c r="R382" s="6"/>
      <c r="S382" s="2"/>
      <c r="U382" s="2"/>
      <c r="X382" s="63"/>
      <c r="Y382" s="19"/>
      <c r="Z382" s="121" t="str">
        <f t="shared" si="324"/>
        <v/>
      </c>
      <c r="AA382" s="20"/>
      <c r="AB382" s="20"/>
      <c r="AC382" s="20"/>
      <c r="AD382" s="20"/>
      <c r="AE382" s="125" t="str">
        <f t="shared" si="325"/>
        <v/>
      </c>
      <c r="AF382" s="14"/>
      <c r="AG382" s="125" t="str">
        <f t="shared" si="326"/>
        <v/>
      </c>
      <c r="AH382" s="20"/>
      <c r="AI382" s="20"/>
      <c r="AJ382" s="125" t="str">
        <f t="shared" si="327"/>
        <v/>
      </c>
      <c r="AK382" s="14"/>
      <c r="AL382" s="125" t="str">
        <f t="shared" si="328"/>
        <v/>
      </c>
      <c r="AM382" s="20"/>
      <c r="AN382" s="20"/>
      <c r="AO382" s="125" t="str">
        <f t="shared" si="329"/>
        <v/>
      </c>
      <c r="AP382" s="125" t="str">
        <f t="shared" si="330"/>
        <v/>
      </c>
      <c r="AQ382" s="125" t="str">
        <f t="shared" si="331"/>
        <v/>
      </c>
      <c r="AR382" s="129" t="str">
        <f t="shared" si="332"/>
        <v/>
      </c>
      <c r="AS382" s="14"/>
      <c r="AT382" s="13"/>
      <c r="AU382" s="13"/>
      <c r="AV382" s="117" t="str">
        <f>IF(_xlfn.XLOOKUP(AT382, AutoFill_classes!$A:$A, AutoFill_classes!$B:$B,"")=0,"",_xlfn.XLOOKUP(AT382, AutoFill_classes!$A:$A, AutoFill_classes!$B:$B,""))</f>
        <v/>
      </c>
      <c r="AW382" s="108"/>
      <c r="AX382" s="11"/>
      <c r="AY382" s="11"/>
      <c r="AZ382" s="11"/>
      <c r="BA382" s="13"/>
      <c r="BB382" s="13"/>
      <c r="BC382" s="63"/>
      <c r="BD382" s="19"/>
      <c r="BE382" s="121" t="str">
        <f t="shared" si="333"/>
        <v/>
      </c>
      <c r="BF382" s="20"/>
      <c r="BG382" s="20"/>
      <c r="BH382" s="20"/>
      <c r="BI382" s="20"/>
      <c r="BJ382" s="125" t="str">
        <f t="shared" si="334"/>
        <v/>
      </c>
      <c r="BK382" s="14"/>
      <c r="BL382" s="125" t="str">
        <f t="shared" si="335"/>
        <v/>
      </c>
      <c r="BM382" s="20"/>
      <c r="BN382" s="20"/>
      <c r="BO382" s="125" t="str">
        <f t="shared" si="336"/>
        <v/>
      </c>
      <c r="BP382" s="14"/>
      <c r="BQ382" s="125" t="str">
        <f t="shared" si="337"/>
        <v/>
      </c>
      <c r="BR382" s="20"/>
      <c r="BS382" s="20"/>
      <c r="BT382" s="125" t="str">
        <f t="shared" si="338"/>
        <v/>
      </c>
      <c r="BU382" s="125" t="str">
        <f t="shared" si="339"/>
        <v/>
      </c>
      <c r="BV382" s="125" t="str">
        <f t="shared" si="340"/>
        <v/>
      </c>
      <c r="BW382" s="129" t="str">
        <f t="shared" si="341"/>
        <v/>
      </c>
      <c r="BX382" s="11"/>
      <c r="BY382" s="15"/>
      <c r="BZ382" s="14"/>
      <c r="CA382" s="117" t="str">
        <f>IF(_xlfn.XLOOKUP(BY382, AutoFill_classes!$A:$A, AutoFill_classes!$B:$B,"")=0,"",_xlfn.XLOOKUP(BY382, AutoFill_classes!$A:$A, AutoFill_classes!$B:$B,""))</f>
        <v/>
      </c>
      <c r="CB382" s="108"/>
      <c r="CC382" s="14"/>
      <c r="CD382" s="14"/>
      <c r="CE382" s="14"/>
      <c r="CF382" s="21"/>
      <c r="CG382" s="22"/>
      <c r="CH382" s="63"/>
      <c r="CI382" s="23"/>
      <c r="CJ382" s="121" t="str">
        <f t="shared" si="342"/>
        <v/>
      </c>
      <c r="CK382" s="20"/>
      <c r="CL382" s="20"/>
      <c r="CM382" s="20"/>
      <c r="CN382" s="20"/>
      <c r="CO382" s="125" t="str">
        <f t="shared" si="343"/>
        <v/>
      </c>
      <c r="CP382" s="14"/>
      <c r="CQ382" s="125" t="str">
        <f t="shared" si="344"/>
        <v/>
      </c>
      <c r="CR382" s="20"/>
      <c r="CS382" s="20"/>
      <c r="CT382" s="125" t="str">
        <f t="shared" si="345"/>
        <v/>
      </c>
      <c r="CU382" s="14"/>
      <c r="CV382" s="125" t="str">
        <f t="shared" si="346"/>
        <v/>
      </c>
      <c r="CW382" s="20"/>
      <c r="CX382" s="20"/>
      <c r="CY382" s="125" t="str">
        <f t="shared" si="347"/>
        <v/>
      </c>
      <c r="CZ382" s="125" t="str">
        <f t="shared" si="348"/>
        <v/>
      </c>
      <c r="DA382" s="125" t="str">
        <f t="shared" si="349"/>
        <v/>
      </c>
      <c r="DB382" s="129" t="str">
        <f t="shared" si="350"/>
        <v/>
      </c>
      <c r="DC382" s="14"/>
      <c r="DD382" s="62"/>
      <c r="DE382" s="105">
        <v>380</v>
      </c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</row>
    <row r="383" spans="1:176" s="1" customFormat="1" ht="13" hidden="1" customHeight="1" outlineLevel="1" x14ac:dyDescent="0.2">
      <c r="A383" s="4"/>
      <c r="B383" s="115" t="str">
        <f>IF(_xlfn.XLOOKUP(A383, AutoFill_names!B:B, AutoFill_names!C:C,"")=0,"",_xlfn.XLOOKUP(A383, AutoFill_names!B:B, AutoFill_names!C:C,""))</f>
        <v/>
      </c>
      <c r="C383" s="115" t="str">
        <f>IF(_xlfn.XLOOKUP(A383, AutoFill_names!B:B, AutoFill_names!D:D,"")=0,"",_xlfn.XLOOKUP(A383, AutoFill_names!B:B, AutoFill_names!D:D,""))</f>
        <v/>
      </c>
      <c r="D383" s="115" t="str">
        <f>IF(_xlfn.XLOOKUP(A383, AutoFill_names!B:B, AutoFill_names!E:E,"")=0,"",_xlfn.XLOOKUP(A383, AutoFill_names!B:B, AutoFill_names!E:E,""))</f>
        <v/>
      </c>
      <c r="E383" s="115" t="str">
        <f>IF(_xlfn.XLOOKUP(A383, AutoFill_names!B:B, AutoFill_names!F:F,"")=0,"",_xlfn.XLOOKUP(A383, AutoFill_names!B:B, AutoFill_names!F:F,""))</f>
        <v/>
      </c>
      <c r="F383" s="92"/>
      <c r="J383" s="115" t="str">
        <f>IF(_xlfn.XLOOKUP(A383, AutoFill_names!B:B, AutoFill_names!K:K,"")=0,"",_xlfn.XLOOKUP(A383, AutoFill_names!B:B, AutoFill_names!K:K,""))</f>
        <v/>
      </c>
      <c r="K383" s="115" t="str">
        <f>IF(_xlfn.XLOOKUP(A383, AutoFill_names!B:B, AutoFill_names!L:L,"")=0,"",_xlfn.XLOOKUP(A383, AutoFill_names!B:B, AutoFill_names!L:L,""))</f>
        <v/>
      </c>
      <c r="L383" s="2"/>
      <c r="M383" s="2"/>
      <c r="N383" s="117" t="str">
        <f>IF(_xlfn.XLOOKUP(L383, AutoFill_classes!A:A, AutoFill_classes!B:B,"")=0,"",_xlfn.XLOOKUP(L383, AutoFill_classes!A:A, AutoFill_classes!B:B,""))</f>
        <v/>
      </c>
      <c r="O383" s="108"/>
      <c r="P383" s="6"/>
      <c r="Q383" s="6"/>
      <c r="R383" s="6"/>
      <c r="S383" s="2"/>
      <c r="U383" s="2"/>
      <c r="X383" s="63"/>
      <c r="Y383" s="19"/>
      <c r="Z383" s="121" t="str">
        <f t="shared" si="324"/>
        <v/>
      </c>
      <c r="AA383" s="20"/>
      <c r="AB383" s="20"/>
      <c r="AC383" s="20"/>
      <c r="AD383" s="20"/>
      <c r="AE383" s="125" t="str">
        <f t="shared" si="325"/>
        <v/>
      </c>
      <c r="AF383" s="14"/>
      <c r="AG383" s="125" t="str">
        <f t="shared" si="326"/>
        <v/>
      </c>
      <c r="AH383" s="20"/>
      <c r="AI383" s="20"/>
      <c r="AJ383" s="125" t="str">
        <f t="shared" si="327"/>
        <v/>
      </c>
      <c r="AK383" s="14"/>
      <c r="AL383" s="125" t="str">
        <f t="shared" si="328"/>
        <v/>
      </c>
      <c r="AM383" s="20"/>
      <c r="AN383" s="20"/>
      <c r="AO383" s="125" t="str">
        <f t="shared" si="329"/>
        <v/>
      </c>
      <c r="AP383" s="125" t="str">
        <f t="shared" si="330"/>
        <v/>
      </c>
      <c r="AQ383" s="125" t="str">
        <f t="shared" si="331"/>
        <v/>
      </c>
      <c r="AR383" s="129" t="str">
        <f t="shared" si="332"/>
        <v/>
      </c>
      <c r="AS383" s="14"/>
      <c r="AT383" s="13"/>
      <c r="AU383" s="13"/>
      <c r="AV383" s="117" t="str">
        <f>IF(_xlfn.XLOOKUP(AT383, AutoFill_classes!$A:$A, AutoFill_classes!$B:$B,"")=0,"",_xlfn.XLOOKUP(AT383, AutoFill_classes!$A:$A, AutoFill_classes!$B:$B,""))</f>
        <v/>
      </c>
      <c r="AW383" s="108"/>
      <c r="AX383" s="11"/>
      <c r="AY383" s="11"/>
      <c r="AZ383" s="11"/>
      <c r="BA383" s="13"/>
      <c r="BB383" s="13"/>
      <c r="BC383" s="63"/>
      <c r="BD383" s="19"/>
      <c r="BE383" s="121" t="str">
        <f t="shared" si="333"/>
        <v/>
      </c>
      <c r="BF383" s="20"/>
      <c r="BG383" s="20"/>
      <c r="BH383" s="20"/>
      <c r="BI383" s="20"/>
      <c r="BJ383" s="125" t="str">
        <f t="shared" si="334"/>
        <v/>
      </c>
      <c r="BK383" s="14"/>
      <c r="BL383" s="125" t="str">
        <f t="shared" si="335"/>
        <v/>
      </c>
      <c r="BM383" s="20"/>
      <c r="BN383" s="20"/>
      <c r="BO383" s="125" t="str">
        <f t="shared" si="336"/>
        <v/>
      </c>
      <c r="BP383" s="14"/>
      <c r="BQ383" s="125" t="str">
        <f t="shared" si="337"/>
        <v/>
      </c>
      <c r="BR383" s="20"/>
      <c r="BS383" s="20"/>
      <c r="BT383" s="125" t="str">
        <f t="shared" si="338"/>
        <v/>
      </c>
      <c r="BU383" s="125" t="str">
        <f t="shared" si="339"/>
        <v/>
      </c>
      <c r="BV383" s="125" t="str">
        <f t="shared" si="340"/>
        <v/>
      </c>
      <c r="BW383" s="129" t="str">
        <f t="shared" si="341"/>
        <v/>
      </c>
      <c r="BX383" s="11"/>
      <c r="BY383" s="15"/>
      <c r="BZ383" s="14"/>
      <c r="CA383" s="117" t="str">
        <f>IF(_xlfn.XLOOKUP(BY383, AutoFill_classes!$A:$A, AutoFill_classes!$B:$B,"")=0,"",_xlfn.XLOOKUP(BY383, AutoFill_classes!$A:$A, AutoFill_classes!$B:$B,""))</f>
        <v/>
      </c>
      <c r="CB383" s="108"/>
      <c r="CC383" s="14"/>
      <c r="CD383" s="14"/>
      <c r="CE383" s="14"/>
      <c r="CF383" s="21"/>
      <c r="CG383" s="22"/>
      <c r="CH383" s="63"/>
      <c r="CI383" s="23"/>
      <c r="CJ383" s="121" t="str">
        <f t="shared" si="342"/>
        <v/>
      </c>
      <c r="CK383" s="20"/>
      <c r="CL383" s="20"/>
      <c r="CM383" s="20"/>
      <c r="CN383" s="20"/>
      <c r="CO383" s="125" t="str">
        <f t="shared" si="343"/>
        <v/>
      </c>
      <c r="CP383" s="14"/>
      <c r="CQ383" s="125" t="str">
        <f t="shared" si="344"/>
        <v/>
      </c>
      <c r="CR383" s="20"/>
      <c r="CS383" s="20"/>
      <c r="CT383" s="125" t="str">
        <f t="shared" si="345"/>
        <v/>
      </c>
      <c r="CU383" s="14"/>
      <c r="CV383" s="125" t="str">
        <f t="shared" si="346"/>
        <v/>
      </c>
      <c r="CW383" s="20"/>
      <c r="CX383" s="20"/>
      <c r="CY383" s="125" t="str">
        <f t="shared" si="347"/>
        <v/>
      </c>
      <c r="CZ383" s="125" t="str">
        <f t="shared" si="348"/>
        <v/>
      </c>
      <c r="DA383" s="125" t="str">
        <f t="shared" si="349"/>
        <v/>
      </c>
      <c r="DB383" s="129" t="str">
        <f t="shared" si="350"/>
        <v/>
      </c>
      <c r="DC383" s="14"/>
      <c r="DD383" s="62"/>
      <c r="DE383" s="105">
        <v>381</v>
      </c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</row>
    <row r="384" spans="1:176" s="1" customFormat="1" ht="13" hidden="1" customHeight="1" outlineLevel="1" x14ac:dyDescent="0.2">
      <c r="A384" s="4"/>
      <c r="B384" s="115" t="str">
        <f>IF(_xlfn.XLOOKUP(A384, AutoFill_names!B:B, AutoFill_names!C:C,"")=0,"",_xlfn.XLOOKUP(A384, AutoFill_names!B:B, AutoFill_names!C:C,""))</f>
        <v/>
      </c>
      <c r="C384" s="115" t="str">
        <f>IF(_xlfn.XLOOKUP(A384, AutoFill_names!B:B, AutoFill_names!D:D,"")=0,"",_xlfn.XLOOKUP(A384, AutoFill_names!B:B, AutoFill_names!D:D,""))</f>
        <v/>
      </c>
      <c r="D384" s="115" t="str">
        <f>IF(_xlfn.XLOOKUP(A384, AutoFill_names!B:B, AutoFill_names!E:E,"")=0,"",_xlfn.XLOOKUP(A384, AutoFill_names!B:B, AutoFill_names!E:E,""))</f>
        <v/>
      </c>
      <c r="E384" s="115" t="str">
        <f>IF(_xlfn.XLOOKUP(A384, AutoFill_names!B:B, AutoFill_names!F:F,"")=0,"",_xlfn.XLOOKUP(A384, AutoFill_names!B:B, AutoFill_names!F:F,""))</f>
        <v/>
      </c>
      <c r="F384" s="92"/>
      <c r="J384" s="115" t="str">
        <f>IF(_xlfn.XLOOKUP(A384, AutoFill_names!B:B, AutoFill_names!K:K,"")=0,"",_xlfn.XLOOKUP(A384, AutoFill_names!B:B, AutoFill_names!K:K,""))</f>
        <v/>
      </c>
      <c r="K384" s="115" t="str">
        <f>IF(_xlfn.XLOOKUP(A384, AutoFill_names!B:B, AutoFill_names!L:L,"")=0,"",_xlfn.XLOOKUP(A384, AutoFill_names!B:B, AutoFill_names!L:L,""))</f>
        <v/>
      </c>
      <c r="L384" s="2"/>
      <c r="M384" s="2"/>
      <c r="N384" s="117" t="str">
        <f>IF(_xlfn.XLOOKUP(L384, AutoFill_classes!A:A, AutoFill_classes!B:B,"")=0,"",_xlfn.XLOOKUP(L384, AutoFill_classes!A:A, AutoFill_classes!B:B,""))</f>
        <v/>
      </c>
      <c r="O384" s="108"/>
      <c r="P384" s="6"/>
      <c r="Q384" s="6"/>
      <c r="R384" s="6"/>
      <c r="S384" s="2"/>
      <c r="U384" s="2"/>
      <c r="X384" s="63"/>
      <c r="Y384" s="19"/>
      <c r="Z384" s="121" t="str">
        <f t="shared" si="324"/>
        <v/>
      </c>
      <c r="AA384" s="20"/>
      <c r="AB384" s="20"/>
      <c r="AC384" s="20"/>
      <c r="AD384" s="20"/>
      <c r="AE384" s="125" t="str">
        <f t="shared" si="325"/>
        <v/>
      </c>
      <c r="AF384" s="14"/>
      <c r="AG384" s="125" t="str">
        <f t="shared" si="326"/>
        <v/>
      </c>
      <c r="AH384" s="20"/>
      <c r="AI384" s="20"/>
      <c r="AJ384" s="125" t="str">
        <f t="shared" si="327"/>
        <v/>
      </c>
      <c r="AK384" s="14"/>
      <c r="AL384" s="125" t="str">
        <f t="shared" si="328"/>
        <v/>
      </c>
      <c r="AM384" s="20"/>
      <c r="AN384" s="20"/>
      <c r="AO384" s="125" t="str">
        <f t="shared" si="329"/>
        <v/>
      </c>
      <c r="AP384" s="125" t="str">
        <f t="shared" si="330"/>
        <v/>
      </c>
      <c r="AQ384" s="125" t="str">
        <f t="shared" si="331"/>
        <v/>
      </c>
      <c r="AR384" s="129" t="str">
        <f t="shared" si="332"/>
        <v/>
      </c>
      <c r="AS384" s="14"/>
      <c r="AT384" s="13"/>
      <c r="AU384" s="13"/>
      <c r="AV384" s="117" t="str">
        <f>IF(_xlfn.XLOOKUP(AT384, AutoFill_classes!$A:$A, AutoFill_classes!$B:$B,"")=0,"",_xlfn.XLOOKUP(AT384, AutoFill_classes!$A:$A, AutoFill_classes!$B:$B,""))</f>
        <v/>
      </c>
      <c r="AW384" s="108"/>
      <c r="AX384" s="11"/>
      <c r="AY384" s="11"/>
      <c r="AZ384" s="11"/>
      <c r="BA384" s="13"/>
      <c r="BB384" s="13"/>
      <c r="BC384" s="63"/>
      <c r="BD384" s="19"/>
      <c r="BE384" s="121" t="str">
        <f t="shared" si="333"/>
        <v/>
      </c>
      <c r="BF384" s="20"/>
      <c r="BG384" s="20"/>
      <c r="BH384" s="20"/>
      <c r="BI384" s="20"/>
      <c r="BJ384" s="125" t="str">
        <f t="shared" si="334"/>
        <v/>
      </c>
      <c r="BK384" s="14"/>
      <c r="BL384" s="125" t="str">
        <f t="shared" si="335"/>
        <v/>
      </c>
      <c r="BM384" s="20"/>
      <c r="BN384" s="20"/>
      <c r="BO384" s="125" t="str">
        <f t="shared" si="336"/>
        <v/>
      </c>
      <c r="BP384" s="14"/>
      <c r="BQ384" s="125" t="str">
        <f t="shared" si="337"/>
        <v/>
      </c>
      <c r="BR384" s="20"/>
      <c r="BS384" s="20"/>
      <c r="BT384" s="125" t="str">
        <f t="shared" si="338"/>
        <v/>
      </c>
      <c r="BU384" s="125" t="str">
        <f t="shared" si="339"/>
        <v/>
      </c>
      <c r="BV384" s="125" t="str">
        <f t="shared" si="340"/>
        <v/>
      </c>
      <c r="BW384" s="129" t="str">
        <f t="shared" si="341"/>
        <v/>
      </c>
      <c r="BX384" s="11"/>
      <c r="BY384" s="15"/>
      <c r="BZ384" s="14"/>
      <c r="CA384" s="117" t="str">
        <f>IF(_xlfn.XLOOKUP(BY384, AutoFill_classes!$A:$A, AutoFill_classes!$B:$B,"")=0,"",_xlfn.XLOOKUP(BY384, AutoFill_classes!$A:$A, AutoFill_classes!$B:$B,""))</f>
        <v/>
      </c>
      <c r="CB384" s="108"/>
      <c r="CC384" s="14"/>
      <c r="CD384" s="14"/>
      <c r="CE384" s="14"/>
      <c r="CF384" s="21"/>
      <c r="CG384" s="22"/>
      <c r="CH384" s="63"/>
      <c r="CI384" s="23"/>
      <c r="CJ384" s="121" t="str">
        <f t="shared" si="342"/>
        <v/>
      </c>
      <c r="CK384" s="20"/>
      <c r="CL384" s="20"/>
      <c r="CM384" s="20"/>
      <c r="CN384" s="20"/>
      <c r="CO384" s="125" t="str">
        <f t="shared" si="343"/>
        <v/>
      </c>
      <c r="CP384" s="14"/>
      <c r="CQ384" s="125" t="str">
        <f t="shared" si="344"/>
        <v/>
      </c>
      <c r="CR384" s="20"/>
      <c r="CS384" s="20"/>
      <c r="CT384" s="125" t="str">
        <f t="shared" si="345"/>
        <v/>
      </c>
      <c r="CU384" s="14"/>
      <c r="CV384" s="125" t="str">
        <f t="shared" si="346"/>
        <v/>
      </c>
      <c r="CW384" s="20"/>
      <c r="CX384" s="20"/>
      <c r="CY384" s="125" t="str">
        <f t="shared" si="347"/>
        <v/>
      </c>
      <c r="CZ384" s="125" t="str">
        <f t="shared" si="348"/>
        <v/>
      </c>
      <c r="DA384" s="125" t="str">
        <f t="shared" si="349"/>
        <v/>
      </c>
      <c r="DB384" s="129" t="str">
        <f t="shared" si="350"/>
        <v/>
      </c>
      <c r="DC384" s="14"/>
      <c r="DD384" s="62"/>
      <c r="DE384" s="105">
        <v>382</v>
      </c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</row>
    <row r="385" spans="1:176" s="1" customFormat="1" ht="13" hidden="1" customHeight="1" outlineLevel="1" x14ac:dyDescent="0.2">
      <c r="A385" s="4"/>
      <c r="B385" s="115" t="str">
        <f>IF(_xlfn.XLOOKUP(A385, AutoFill_names!B:B, AutoFill_names!C:C,"")=0,"",_xlfn.XLOOKUP(A385, AutoFill_names!B:B, AutoFill_names!C:C,""))</f>
        <v/>
      </c>
      <c r="C385" s="115" t="str">
        <f>IF(_xlfn.XLOOKUP(A385, AutoFill_names!B:B, AutoFill_names!D:D,"")=0,"",_xlfn.XLOOKUP(A385, AutoFill_names!B:B, AutoFill_names!D:D,""))</f>
        <v/>
      </c>
      <c r="D385" s="115" t="str">
        <f>IF(_xlfn.XLOOKUP(A385, AutoFill_names!B:B, AutoFill_names!E:E,"")=0,"",_xlfn.XLOOKUP(A385, AutoFill_names!B:B, AutoFill_names!E:E,""))</f>
        <v/>
      </c>
      <c r="E385" s="115" t="str">
        <f>IF(_xlfn.XLOOKUP(A385, AutoFill_names!B:B, AutoFill_names!F:F,"")=0,"",_xlfn.XLOOKUP(A385, AutoFill_names!B:B, AutoFill_names!F:F,""))</f>
        <v/>
      </c>
      <c r="F385" s="92"/>
      <c r="J385" s="115" t="str">
        <f>IF(_xlfn.XLOOKUP(A385, AutoFill_names!B:B, AutoFill_names!K:K,"")=0,"",_xlfn.XLOOKUP(A385, AutoFill_names!B:B, AutoFill_names!K:K,""))</f>
        <v/>
      </c>
      <c r="K385" s="115" t="str">
        <f>IF(_xlfn.XLOOKUP(A385, AutoFill_names!B:B, AutoFill_names!L:L,"")=0,"",_xlfn.XLOOKUP(A385, AutoFill_names!B:B, AutoFill_names!L:L,""))</f>
        <v/>
      </c>
      <c r="L385" s="2"/>
      <c r="M385" s="2"/>
      <c r="N385" s="117" t="str">
        <f>IF(_xlfn.XLOOKUP(L385, AutoFill_classes!A:A, AutoFill_classes!B:B,"")=0,"",_xlfn.XLOOKUP(L385, AutoFill_classes!A:A, AutoFill_classes!B:B,""))</f>
        <v/>
      </c>
      <c r="O385" s="108"/>
      <c r="P385" s="6"/>
      <c r="Q385" s="6"/>
      <c r="R385" s="6"/>
      <c r="S385" s="2"/>
      <c r="U385" s="2"/>
      <c r="X385" s="63"/>
      <c r="Y385" s="19"/>
      <c r="Z385" s="121" t="str">
        <f t="shared" si="324"/>
        <v/>
      </c>
      <c r="AA385" s="20"/>
      <c r="AB385" s="20"/>
      <c r="AC385" s="20"/>
      <c r="AD385" s="20"/>
      <c r="AE385" s="125" t="str">
        <f t="shared" si="325"/>
        <v/>
      </c>
      <c r="AF385" s="14"/>
      <c r="AG385" s="125" t="str">
        <f t="shared" si="326"/>
        <v/>
      </c>
      <c r="AH385" s="20"/>
      <c r="AI385" s="20"/>
      <c r="AJ385" s="125" t="str">
        <f t="shared" si="327"/>
        <v/>
      </c>
      <c r="AK385" s="14"/>
      <c r="AL385" s="125" t="str">
        <f t="shared" si="328"/>
        <v/>
      </c>
      <c r="AM385" s="20"/>
      <c r="AN385" s="20"/>
      <c r="AO385" s="125" t="str">
        <f t="shared" si="329"/>
        <v/>
      </c>
      <c r="AP385" s="125" t="str">
        <f t="shared" si="330"/>
        <v/>
      </c>
      <c r="AQ385" s="125" t="str">
        <f t="shared" si="331"/>
        <v/>
      </c>
      <c r="AR385" s="129" t="str">
        <f t="shared" si="332"/>
        <v/>
      </c>
      <c r="AS385" s="14"/>
      <c r="AT385" s="13"/>
      <c r="AU385" s="13"/>
      <c r="AV385" s="117" t="str">
        <f>IF(_xlfn.XLOOKUP(AT385, AutoFill_classes!$A:$A, AutoFill_classes!$B:$B,"")=0,"",_xlfn.XLOOKUP(AT385, AutoFill_classes!$A:$A, AutoFill_classes!$B:$B,""))</f>
        <v/>
      </c>
      <c r="AW385" s="108"/>
      <c r="AX385" s="11"/>
      <c r="AY385" s="11"/>
      <c r="AZ385" s="11"/>
      <c r="BA385" s="13"/>
      <c r="BB385" s="13"/>
      <c r="BC385" s="63"/>
      <c r="BD385" s="19"/>
      <c r="BE385" s="121" t="str">
        <f t="shared" si="333"/>
        <v/>
      </c>
      <c r="BF385" s="20"/>
      <c r="BG385" s="20"/>
      <c r="BH385" s="20"/>
      <c r="BI385" s="20"/>
      <c r="BJ385" s="125" t="str">
        <f t="shared" si="334"/>
        <v/>
      </c>
      <c r="BK385" s="14"/>
      <c r="BL385" s="125" t="str">
        <f t="shared" si="335"/>
        <v/>
      </c>
      <c r="BM385" s="20"/>
      <c r="BN385" s="20"/>
      <c r="BO385" s="125" t="str">
        <f t="shared" si="336"/>
        <v/>
      </c>
      <c r="BP385" s="14"/>
      <c r="BQ385" s="125" t="str">
        <f t="shared" si="337"/>
        <v/>
      </c>
      <c r="BR385" s="20"/>
      <c r="BS385" s="20"/>
      <c r="BT385" s="125" t="str">
        <f t="shared" si="338"/>
        <v/>
      </c>
      <c r="BU385" s="125" t="str">
        <f t="shared" si="339"/>
        <v/>
      </c>
      <c r="BV385" s="125" t="str">
        <f t="shared" si="340"/>
        <v/>
      </c>
      <c r="BW385" s="129" t="str">
        <f t="shared" si="341"/>
        <v/>
      </c>
      <c r="BX385" s="11"/>
      <c r="BY385" s="15"/>
      <c r="BZ385" s="14"/>
      <c r="CA385" s="117" t="str">
        <f>IF(_xlfn.XLOOKUP(BY385, AutoFill_classes!$A:$A, AutoFill_classes!$B:$B,"")=0,"",_xlfn.XLOOKUP(BY385, AutoFill_classes!$A:$A, AutoFill_classes!$B:$B,""))</f>
        <v/>
      </c>
      <c r="CB385" s="108"/>
      <c r="CC385" s="14"/>
      <c r="CD385" s="14"/>
      <c r="CE385" s="14"/>
      <c r="CF385" s="21"/>
      <c r="CG385" s="22"/>
      <c r="CH385" s="63"/>
      <c r="CI385" s="23"/>
      <c r="CJ385" s="121" t="str">
        <f t="shared" si="342"/>
        <v/>
      </c>
      <c r="CK385" s="20"/>
      <c r="CL385" s="20"/>
      <c r="CM385" s="20"/>
      <c r="CN385" s="20"/>
      <c r="CO385" s="125" t="str">
        <f t="shared" si="343"/>
        <v/>
      </c>
      <c r="CP385" s="14"/>
      <c r="CQ385" s="125" t="str">
        <f t="shared" si="344"/>
        <v/>
      </c>
      <c r="CR385" s="20"/>
      <c r="CS385" s="20"/>
      <c r="CT385" s="125" t="str">
        <f t="shared" si="345"/>
        <v/>
      </c>
      <c r="CU385" s="14"/>
      <c r="CV385" s="125" t="str">
        <f t="shared" si="346"/>
        <v/>
      </c>
      <c r="CW385" s="20"/>
      <c r="CX385" s="20"/>
      <c r="CY385" s="125" t="str">
        <f t="shared" si="347"/>
        <v/>
      </c>
      <c r="CZ385" s="125" t="str">
        <f t="shared" si="348"/>
        <v/>
      </c>
      <c r="DA385" s="125" t="str">
        <f t="shared" si="349"/>
        <v/>
      </c>
      <c r="DB385" s="129" t="str">
        <f t="shared" si="350"/>
        <v/>
      </c>
      <c r="DC385" s="14"/>
      <c r="DD385" s="62"/>
      <c r="DE385" s="105">
        <v>383</v>
      </c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</row>
    <row r="386" spans="1:176" s="1" customFormat="1" ht="13" hidden="1" customHeight="1" outlineLevel="1" x14ac:dyDescent="0.2">
      <c r="A386" s="4"/>
      <c r="B386" s="115" t="str">
        <f>IF(_xlfn.XLOOKUP(A386, AutoFill_names!B:B, AutoFill_names!C:C,"")=0,"",_xlfn.XLOOKUP(A386, AutoFill_names!B:B, AutoFill_names!C:C,""))</f>
        <v/>
      </c>
      <c r="C386" s="115" t="str">
        <f>IF(_xlfn.XLOOKUP(A386, AutoFill_names!B:B, AutoFill_names!D:D,"")=0,"",_xlfn.XLOOKUP(A386, AutoFill_names!B:B, AutoFill_names!D:D,""))</f>
        <v/>
      </c>
      <c r="D386" s="115" t="str">
        <f>IF(_xlfn.XLOOKUP(A386, AutoFill_names!B:B, AutoFill_names!E:E,"")=0,"",_xlfn.XLOOKUP(A386, AutoFill_names!B:B, AutoFill_names!E:E,""))</f>
        <v/>
      </c>
      <c r="E386" s="115" t="str">
        <f>IF(_xlfn.XLOOKUP(A386, AutoFill_names!B:B, AutoFill_names!F:F,"")=0,"",_xlfn.XLOOKUP(A386, AutoFill_names!B:B, AutoFill_names!F:F,""))</f>
        <v/>
      </c>
      <c r="F386" s="92"/>
      <c r="J386" s="115" t="str">
        <f>IF(_xlfn.XLOOKUP(A386, AutoFill_names!B:B, AutoFill_names!K:K,"")=0,"",_xlfn.XLOOKUP(A386, AutoFill_names!B:B, AutoFill_names!K:K,""))</f>
        <v/>
      </c>
      <c r="K386" s="115" t="str">
        <f>IF(_xlfn.XLOOKUP(A386, AutoFill_names!B:B, AutoFill_names!L:L,"")=0,"",_xlfn.XLOOKUP(A386, AutoFill_names!B:B, AutoFill_names!L:L,""))</f>
        <v/>
      </c>
      <c r="L386" s="2"/>
      <c r="M386" s="2"/>
      <c r="N386" s="117" t="str">
        <f>IF(_xlfn.XLOOKUP(L386, AutoFill_classes!A:A, AutoFill_classes!B:B,"")=0,"",_xlfn.XLOOKUP(L386, AutoFill_classes!A:A, AutoFill_classes!B:B,""))</f>
        <v/>
      </c>
      <c r="O386" s="108"/>
      <c r="P386" s="6"/>
      <c r="Q386" s="6"/>
      <c r="R386" s="6"/>
      <c r="S386" s="2"/>
      <c r="U386" s="2"/>
      <c r="X386" s="63"/>
      <c r="Y386" s="19"/>
      <c r="Z386" s="121" t="str">
        <f t="shared" si="324"/>
        <v/>
      </c>
      <c r="AA386" s="20"/>
      <c r="AB386" s="20"/>
      <c r="AC386" s="20"/>
      <c r="AD386" s="20"/>
      <c r="AE386" s="125" t="str">
        <f t="shared" si="325"/>
        <v/>
      </c>
      <c r="AF386" s="14"/>
      <c r="AG386" s="125" t="str">
        <f t="shared" si="326"/>
        <v/>
      </c>
      <c r="AH386" s="20"/>
      <c r="AI386" s="20"/>
      <c r="AJ386" s="125" t="str">
        <f t="shared" si="327"/>
        <v/>
      </c>
      <c r="AK386" s="14"/>
      <c r="AL386" s="125" t="str">
        <f t="shared" si="328"/>
        <v/>
      </c>
      <c r="AM386" s="20"/>
      <c r="AN386" s="20"/>
      <c r="AO386" s="125" t="str">
        <f t="shared" si="329"/>
        <v/>
      </c>
      <c r="AP386" s="125" t="str">
        <f t="shared" si="330"/>
        <v/>
      </c>
      <c r="AQ386" s="125" t="str">
        <f t="shared" si="331"/>
        <v/>
      </c>
      <c r="AR386" s="129" t="str">
        <f t="shared" si="332"/>
        <v/>
      </c>
      <c r="AS386" s="14"/>
      <c r="AT386" s="13"/>
      <c r="AU386" s="13"/>
      <c r="AV386" s="117" t="str">
        <f>IF(_xlfn.XLOOKUP(AT386, AutoFill_classes!$A:$A, AutoFill_classes!$B:$B,"")=0,"",_xlfn.XLOOKUP(AT386, AutoFill_classes!$A:$A, AutoFill_classes!$B:$B,""))</f>
        <v/>
      </c>
      <c r="AW386" s="108"/>
      <c r="AX386" s="11"/>
      <c r="AY386" s="11"/>
      <c r="AZ386" s="11"/>
      <c r="BA386" s="13"/>
      <c r="BB386" s="13"/>
      <c r="BC386" s="63"/>
      <c r="BD386" s="19"/>
      <c r="BE386" s="121" t="str">
        <f t="shared" si="333"/>
        <v/>
      </c>
      <c r="BF386" s="20"/>
      <c r="BG386" s="20"/>
      <c r="BH386" s="20"/>
      <c r="BI386" s="20"/>
      <c r="BJ386" s="125" t="str">
        <f t="shared" si="334"/>
        <v/>
      </c>
      <c r="BK386" s="14"/>
      <c r="BL386" s="125" t="str">
        <f t="shared" si="335"/>
        <v/>
      </c>
      <c r="BM386" s="20"/>
      <c r="BN386" s="20"/>
      <c r="BO386" s="125" t="str">
        <f t="shared" si="336"/>
        <v/>
      </c>
      <c r="BP386" s="14"/>
      <c r="BQ386" s="125" t="str">
        <f t="shared" si="337"/>
        <v/>
      </c>
      <c r="BR386" s="20"/>
      <c r="BS386" s="20"/>
      <c r="BT386" s="125" t="str">
        <f t="shared" si="338"/>
        <v/>
      </c>
      <c r="BU386" s="125" t="str">
        <f t="shared" si="339"/>
        <v/>
      </c>
      <c r="BV386" s="125" t="str">
        <f t="shared" si="340"/>
        <v/>
      </c>
      <c r="BW386" s="129" t="str">
        <f t="shared" si="341"/>
        <v/>
      </c>
      <c r="BX386" s="11"/>
      <c r="BY386" s="15"/>
      <c r="BZ386" s="14"/>
      <c r="CA386" s="117" t="str">
        <f>IF(_xlfn.XLOOKUP(BY386, AutoFill_classes!$A:$A, AutoFill_classes!$B:$B,"")=0,"",_xlfn.XLOOKUP(BY386, AutoFill_classes!$A:$A, AutoFill_classes!$B:$B,""))</f>
        <v/>
      </c>
      <c r="CB386" s="108"/>
      <c r="CC386" s="14"/>
      <c r="CD386" s="14"/>
      <c r="CE386" s="14"/>
      <c r="CF386" s="21"/>
      <c r="CG386" s="22"/>
      <c r="CH386" s="63"/>
      <c r="CI386" s="23"/>
      <c r="CJ386" s="121" t="str">
        <f t="shared" si="342"/>
        <v/>
      </c>
      <c r="CK386" s="20"/>
      <c r="CL386" s="20"/>
      <c r="CM386" s="20"/>
      <c r="CN386" s="20"/>
      <c r="CO386" s="125" t="str">
        <f t="shared" si="343"/>
        <v/>
      </c>
      <c r="CP386" s="14"/>
      <c r="CQ386" s="125" t="str">
        <f t="shared" si="344"/>
        <v/>
      </c>
      <c r="CR386" s="20"/>
      <c r="CS386" s="20"/>
      <c r="CT386" s="125" t="str">
        <f t="shared" si="345"/>
        <v/>
      </c>
      <c r="CU386" s="14"/>
      <c r="CV386" s="125" t="str">
        <f t="shared" si="346"/>
        <v/>
      </c>
      <c r="CW386" s="20"/>
      <c r="CX386" s="20"/>
      <c r="CY386" s="125" t="str">
        <f t="shared" si="347"/>
        <v/>
      </c>
      <c r="CZ386" s="125" t="str">
        <f t="shared" si="348"/>
        <v/>
      </c>
      <c r="DA386" s="125" t="str">
        <f t="shared" si="349"/>
        <v/>
      </c>
      <c r="DB386" s="129" t="str">
        <f t="shared" si="350"/>
        <v/>
      </c>
      <c r="DC386" s="14"/>
      <c r="DD386" s="62"/>
      <c r="DE386" s="105">
        <v>384</v>
      </c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</row>
    <row r="387" spans="1:176" s="1" customFormat="1" ht="13" hidden="1" customHeight="1" outlineLevel="1" x14ac:dyDescent="0.2">
      <c r="A387" s="4"/>
      <c r="B387" s="115" t="str">
        <f>IF(_xlfn.XLOOKUP(A387, AutoFill_names!B:B, AutoFill_names!C:C,"")=0,"",_xlfn.XLOOKUP(A387, AutoFill_names!B:B, AutoFill_names!C:C,""))</f>
        <v/>
      </c>
      <c r="C387" s="115" t="str">
        <f>IF(_xlfn.XLOOKUP(A387, AutoFill_names!B:B, AutoFill_names!D:D,"")=0,"",_xlfn.XLOOKUP(A387, AutoFill_names!B:B, AutoFill_names!D:D,""))</f>
        <v/>
      </c>
      <c r="D387" s="115" t="str">
        <f>IF(_xlfn.XLOOKUP(A387, AutoFill_names!B:B, AutoFill_names!E:E,"")=0,"",_xlfn.XLOOKUP(A387, AutoFill_names!B:B, AutoFill_names!E:E,""))</f>
        <v/>
      </c>
      <c r="E387" s="115" t="str">
        <f>IF(_xlfn.XLOOKUP(A387, AutoFill_names!B:B, AutoFill_names!F:F,"")=0,"",_xlfn.XLOOKUP(A387, AutoFill_names!B:B, AutoFill_names!F:F,""))</f>
        <v/>
      </c>
      <c r="F387" s="92"/>
      <c r="J387" s="115" t="str">
        <f>IF(_xlfn.XLOOKUP(A387, AutoFill_names!B:B, AutoFill_names!K:K,"")=0,"",_xlfn.XLOOKUP(A387, AutoFill_names!B:B, AutoFill_names!K:K,""))</f>
        <v/>
      </c>
      <c r="K387" s="115" t="str">
        <f>IF(_xlfn.XLOOKUP(A387, AutoFill_names!B:B, AutoFill_names!L:L,"")=0,"",_xlfn.XLOOKUP(A387, AutoFill_names!B:B, AutoFill_names!L:L,""))</f>
        <v/>
      </c>
      <c r="L387" s="2"/>
      <c r="M387" s="2"/>
      <c r="N387" s="117" t="str">
        <f>IF(_xlfn.XLOOKUP(L387, AutoFill_classes!A:A, AutoFill_classes!B:B,"")=0,"",_xlfn.XLOOKUP(L387, AutoFill_classes!A:A, AutoFill_classes!B:B,""))</f>
        <v/>
      </c>
      <c r="O387" s="108"/>
      <c r="P387" s="6"/>
      <c r="Q387" s="6"/>
      <c r="R387" s="6"/>
      <c r="S387" s="2"/>
      <c r="U387" s="2"/>
      <c r="X387" s="63"/>
      <c r="Y387" s="19"/>
      <c r="Z387" s="121" t="str">
        <f t="shared" si="324"/>
        <v/>
      </c>
      <c r="AA387" s="20"/>
      <c r="AB387" s="20"/>
      <c r="AC387" s="20"/>
      <c r="AD387" s="20"/>
      <c r="AE387" s="125" t="str">
        <f t="shared" si="325"/>
        <v/>
      </c>
      <c r="AF387" s="14"/>
      <c r="AG387" s="125" t="str">
        <f t="shared" si="326"/>
        <v/>
      </c>
      <c r="AH387" s="20"/>
      <c r="AI387" s="20"/>
      <c r="AJ387" s="125" t="str">
        <f t="shared" si="327"/>
        <v/>
      </c>
      <c r="AK387" s="14"/>
      <c r="AL387" s="125" t="str">
        <f t="shared" si="328"/>
        <v/>
      </c>
      <c r="AM387" s="20"/>
      <c r="AN387" s="20"/>
      <c r="AO387" s="125" t="str">
        <f t="shared" si="329"/>
        <v/>
      </c>
      <c r="AP387" s="125" t="str">
        <f t="shared" si="330"/>
        <v/>
      </c>
      <c r="AQ387" s="125" t="str">
        <f t="shared" si="331"/>
        <v/>
      </c>
      <c r="AR387" s="129" t="str">
        <f t="shared" si="332"/>
        <v/>
      </c>
      <c r="AS387" s="14"/>
      <c r="AT387" s="13"/>
      <c r="AU387" s="13"/>
      <c r="AV387" s="117" t="str">
        <f>IF(_xlfn.XLOOKUP(AT387, AutoFill_classes!$A:$A, AutoFill_classes!$B:$B,"")=0,"",_xlfn.XLOOKUP(AT387, AutoFill_classes!$A:$A, AutoFill_classes!$B:$B,""))</f>
        <v/>
      </c>
      <c r="AW387" s="108"/>
      <c r="AX387" s="11"/>
      <c r="AY387" s="11"/>
      <c r="AZ387" s="11"/>
      <c r="BA387" s="13"/>
      <c r="BB387" s="13"/>
      <c r="BC387" s="63"/>
      <c r="BD387" s="19"/>
      <c r="BE387" s="121" t="str">
        <f t="shared" si="333"/>
        <v/>
      </c>
      <c r="BF387" s="20"/>
      <c r="BG387" s="20"/>
      <c r="BH387" s="20"/>
      <c r="BI387" s="20"/>
      <c r="BJ387" s="125" t="str">
        <f t="shared" si="334"/>
        <v/>
      </c>
      <c r="BK387" s="14"/>
      <c r="BL387" s="125" t="str">
        <f t="shared" si="335"/>
        <v/>
      </c>
      <c r="BM387" s="20"/>
      <c r="BN387" s="20"/>
      <c r="BO387" s="125" t="str">
        <f t="shared" si="336"/>
        <v/>
      </c>
      <c r="BP387" s="14"/>
      <c r="BQ387" s="125" t="str">
        <f t="shared" si="337"/>
        <v/>
      </c>
      <c r="BR387" s="20"/>
      <c r="BS387" s="20"/>
      <c r="BT387" s="125" t="str">
        <f t="shared" si="338"/>
        <v/>
      </c>
      <c r="BU387" s="125" t="str">
        <f t="shared" si="339"/>
        <v/>
      </c>
      <c r="BV387" s="125" t="str">
        <f t="shared" si="340"/>
        <v/>
      </c>
      <c r="BW387" s="129" t="str">
        <f t="shared" si="341"/>
        <v/>
      </c>
      <c r="BX387" s="11"/>
      <c r="BY387" s="15"/>
      <c r="BZ387" s="14"/>
      <c r="CA387" s="117" t="str">
        <f>IF(_xlfn.XLOOKUP(BY387, AutoFill_classes!$A:$A, AutoFill_classes!$B:$B,"")=0,"",_xlfn.XLOOKUP(BY387, AutoFill_classes!$A:$A, AutoFill_classes!$B:$B,""))</f>
        <v/>
      </c>
      <c r="CB387" s="108"/>
      <c r="CC387" s="14"/>
      <c r="CD387" s="14"/>
      <c r="CE387" s="14"/>
      <c r="CF387" s="21"/>
      <c r="CG387" s="22"/>
      <c r="CH387" s="63"/>
      <c r="CI387" s="23"/>
      <c r="CJ387" s="121" t="str">
        <f t="shared" si="342"/>
        <v/>
      </c>
      <c r="CK387" s="20"/>
      <c r="CL387" s="20"/>
      <c r="CM387" s="20"/>
      <c r="CN387" s="20"/>
      <c r="CO387" s="125" t="str">
        <f t="shared" si="343"/>
        <v/>
      </c>
      <c r="CP387" s="14"/>
      <c r="CQ387" s="125" t="str">
        <f t="shared" si="344"/>
        <v/>
      </c>
      <c r="CR387" s="20"/>
      <c r="CS387" s="20"/>
      <c r="CT387" s="125" t="str">
        <f t="shared" si="345"/>
        <v/>
      </c>
      <c r="CU387" s="14"/>
      <c r="CV387" s="125" t="str">
        <f t="shared" si="346"/>
        <v/>
      </c>
      <c r="CW387" s="20"/>
      <c r="CX387" s="20"/>
      <c r="CY387" s="125" t="str">
        <f t="shared" si="347"/>
        <v/>
      </c>
      <c r="CZ387" s="125" t="str">
        <f t="shared" si="348"/>
        <v/>
      </c>
      <c r="DA387" s="125" t="str">
        <f t="shared" si="349"/>
        <v/>
      </c>
      <c r="DB387" s="129" t="str">
        <f t="shared" si="350"/>
        <v/>
      </c>
      <c r="DC387" s="14"/>
      <c r="DD387" s="62"/>
      <c r="DE387" s="105">
        <v>385</v>
      </c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</row>
    <row r="388" spans="1:176" s="1" customFormat="1" ht="13" hidden="1" customHeight="1" outlineLevel="1" x14ac:dyDescent="0.2">
      <c r="A388" s="4"/>
      <c r="B388" s="115" t="str">
        <f>IF(_xlfn.XLOOKUP(A388, AutoFill_names!B:B, AutoFill_names!C:C,"")=0,"",_xlfn.XLOOKUP(A388, AutoFill_names!B:B, AutoFill_names!C:C,""))</f>
        <v/>
      </c>
      <c r="C388" s="115" t="str">
        <f>IF(_xlfn.XLOOKUP(A388, AutoFill_names!B:B, AutoFill_names!D:D,"")=0,"",_xlfn.XLOOKUP(A388, AutoFill_names!B:B, AutoFill_names!D:D,""))</f>
        <v/>
      </c>
      <c r="D388" s="115" t="str">
        <f>IF(_xlfn.XLOOKUP(A388, AutoFill_names!B:B, AutoFill_names!E:E,"")=0,"",_xlfn.XLOOKUP(A388, AutoFill_names!B:B, AutoFill_names!E:E,""))</f>
        <v/>
      </c>
      <c r="E388" s="115" t="str">
        <f>IF(_xlfn.XLOOKUP(A388, AutoFill_names!B:B, AutoFill_names!F:F,"")=0,"",_xlfn.XLOOKUP(A388, AutoFill_names!B:B, AutoFill_names!F:F,""))</f>
        <v/>
      </c>
      <c r="F388" s="92"/>
      <c r="J388" s="115" t="str">
        <f>IF(_xlfn.XLOOKUP(A388, AutoFill_names!B:B, AutoFill_names!K:K,"")=0,"",_xlfn.XLOOKUP(A388, AutoFill_names!B:B, AutoFill_names!K:K,""))</f>
        <v/>
      </c>
      <c r="K388" s="115" t="str">
        <f>IF(_xlfn.XLOOKUP(A388, AutoFill_names!B:B, AutoFill_names!L:L,"")=0,"",_xlfn.XLOOKUP(A388, AutoFill_names!B:B, AutoFill_names!L:L,""))</f>
        <v/>
      </c>
      <c r="L388" s="2"/>
      <c r="M388" s="2"/>
      <c r="N388" s="117" t="str">
        <f>IF(_xlfn.XLOOKUP(L388, AutoFill_classes!A:A, AutoFill_classes!B:B,"")=0,"",_xlfn.XLOOKUP(L388, AutoFill_classes!A:A, AutoFill_classes!B:B,""))</f>
        <v/>
      </c>
      <c r="O388" s="108"/>
      <c r="P388" s="6"/>
      <c r="Q388" s="6"/>
      <c r="R388" s="6"/>
      <c r="S388" s="2"/>
      <c r="U388" s="2"/>
      <c r="X388" s="63"/>
      <c r="Y388" s="19"/>
      <c r="Z388" s="121" t="str">
        <f t="shared" si="324"/>
        <v/>
      </c>
      <c r="AA388" s="20"/>
      <c r="AB388" s="20"/>
      <c r="AC388" s="20"/>
      <c r="AD388" s="20"/>
      <c r="AE388" s="125" t="str">
        <f t="shared" si="325"/>
        <v/>
      </c>
      <c r="AF388" s="14"/>
      <c r="AG388" s="125" t="str">
        <f t="shared" si="326"/>
        <v/>
      </c>
      <c r="AH388" s="20"/>
      <c r="AI388" s="20"/>
      <c r="AJ388" s="125" t="str">
        <f t="shared" si="327"/>
        <v/>
      </c>
      <c r="AK388" s="14"/>
      <c r="AL388" s="125" t="str">
        <f t="shared" si="328"/>
        <v/>
      </c>
      <c r="AM388" s="20"/>
      <c r="AN388" s="20"/>
      <c r="AO388" s="125" t="str">
        <f t="shared" si="329"/>
        <v/>
      </c>
      <c r="AP388" s="125" t="str">
        <f t="shared" si="330"/>
        <v/>
      </c>
      <c r="AQ388" s="125" t="str">
        <f t="shared" si="331"/>
        <v/>
      </c>
      <c r="AR388" s="129" t="str">
        <f t="shared" si="332"/>
        <v/>
      </c>
      <c r="AS388" s="14"/>
      <c r="AT388" s="13"/>
      <c r="AU388" s="13"/>
      <c r="AV388" s="117" t="str">
        <f>IF(_xlfn.XLOOKUP(AT388, AutoFill_classes!$A:$A, AutoFill_classes!$B:$B,"")=0,"",_xlfn.XLOOKUP(AT388, AutoFill_classes!$A:$A, AutoFill_classes!$B:$B,""))</f>
        <v/>
      </c>
      <c r="AW388" s="108"/>
      <c r="AX388" s="11"/>
      <c r="AY388" s="11"/>
      <c r="AZ388" s="11"/>
      <c r="BA388" s="13"/>
      <c r="BB388" s="13"/>
      <c r="BC388" s="63"/>
      <c r="BD388" s="19"/>
      <c r="BE388" s="121" t="str">
        <f t="shared" si="333"/>
        <v/>
      </c>
      <c r="BF388" s="20"/>
      <c r="BG388" s="20"/>
      <c r="BH388" s="20"/>
      <c r="BI388" s="20"/>
      <c r="BJ388" s="125" t="str">
        <f t="shared" si="334"/>
        <v/>
      </c>
      <c r="BK388" s="14"/>
      <c r="BL388" s="125" t="str">
        <f t="shared" si="335"/>
        <v/>
      </c>
      <c r="BM388" s="20"/>
      <c r="BN388" s="20"/>
      <c r="BO388" s="125" t="str">
        <f t="shared" si="336"/>
        <v/>
      </c>
      <c r="BP388" s="14"/>
      <c r="BQ388" s="125" t="str">
        <f t="shared" si="337"/>
        <v/>
      </c>
      <c r="BR388" s="20"/>
      <c r="BS388" s="20"/>
      <c r="BT388" s="125" t="str">
        <f t="shared" si="338"/>
        <v/>
      </c>
      <c r="BU388" s="125" t="str">
        <f t="shared" si="339"/>
        <v/>
      </c>
      <c r="BV388" s="125" t="str">
        <f t="shared" si="340"/>
        <v/>
      </c>
      <c r="BW388" s="129" t="str">
        <f t="shared" si="341"/>
        <v/>
      </c>
      <c r="BX388" s="11"/>
      <c r="BY388" s="15"/>
      <c r="BZ388" s="14"/>
      <c r="CA388" s="117" t="str">
        <f>IF(_xlfn.XLOOKUP(BY388, AutoFill_classes!$A:$A, AutoFill_classes!$B:$B,"")=0,"",_xlfn.XLOOKUP(BY388, AutoFill_classes!$A:$A, AutoFill_classes!$B:$B,""))</f>
        <v/>
      </c>
      <c r="CB388" s="108"/>
      <c r="CC388" s="14"/>
      <c r="CD388" s="14"/>
      <c r="CE388" s="14"/>
      <c r="CF388" s="21"/>
      <c r="CG388" s="22"/>
      <c r="CH388" s="63"/>
      <c r="CI388" s="23"/>
      <c r="CJ388" s="121" t="str">
        <f t="shared" si="342"/>
        <v/>
      </c>
      <c r="CK388" s="20"/>
      <c r="CL388" s="20"/>
      <c r="CM388" s="20"/>
      <c r="CN388" s="20"/>
      <c r="CO388" s="125" t="str">
        <f t="shared" si="343"/>
        <v/>
      </c>
      <c r="CP388" s="14"/>
      <c r="CQ388" s="125" t="str">
        <f t="shared" si="344"/>
        <v/>
      </c>
      <c r="CR388" s="20"/>
      <c r="CS388" s="20"/>
      <c r="CT388" s="125" t="str">
        <f t="shared" si="345"/>
        <v/>
      </c>
      <c r="CU388" s="14"/>
      <c r="CV388" s="125" t="str">
        <f t="shared" si="346"/>
        <v/>
      </c>
      <c r="CW388" s="20"/>
      <c r="CX388" s="20"/>
      <c r="CY388" s="125" t="str">
        <f t="shared" si="347"/>
        <v/>
      </c>
      <c r="CZ388" s="125" t="str">
        <f t="shared" si="348"/>
        <v/>
      </c>
      <c r="DA388" s="125" t="str">
        <f t="shared" si="349"/>
        <v/>
      </c>
      <c r="DB388" s="129" t="str">
        <f t="shared" si="350"/>
        <v/>
      </c>
      <c r="DC388" s="14"/>
      <c r="DD388" s="62"/>
      <c r="DE388" s="105">
        <v>386</v>
      </c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</row>
    <row r="389" spans="1:176" s="1" customFormat="1" ht="13" hidden="1" customHeight="1" outlineLevel="1" x14ac:dyDescent="0.2">
      <c r="A389" s="4"/>
      <c r="B389" s="115" t="str">
        <f>IF(_xlfn.XLOOKUP(A389, AutoFill_names!B:B, AutoFill_names!C:C,"")=0,"",_xlfn.XLOOKUP(A389, AutoFill_names!B:B, AutoFill_names!C:C,""))</f>
        <v/>
      </c>
      <c r="C389" s="115" t="str">
        <f>IF(_xlfn.XLOOKUP(A389, AutoFill_names!B:B, AutoFill_names!D:D,"")=0,"",_xlfn.XLOOKUP(A389, AutoFill_names!B:B, AutoFill_names!D:D,""))</f>
        <v/>
      </c>
      <c r="D389" s="115" t="str">
        <f>IF(_xlfn.XLOOKUP(A389, AutoFill_names!B:B, AutoFill_names!E:E,"")=0,"",_xlfn.XLOOKUP(A389, AutoFill_names!B:B, AutoFill_names!E:E,""))</f>
        <v/>
      </c>
      <c r="E389" s="115" t="str">
        <f>IF(_xlfn.XLOOKUP(A389, AutoFill_names!B:B, AutoFill_names!F:F,"")=0,"",_xlfn.XLOOKUP(A389, AutoFill_names!B:B, AutoFill_names!F:F,""))</f>
        <v/>
      </c>
      <c r="F389" s="92"/>
      <c r="J389" s="115" t="str">
        <f>IF(_xlfn.XLOOKUP(A389, AutoFill_names!B:B, AutoFill_names!K:K,"")=0,"",_xlfn.XLOOKUP(A389, AutoFill_names!B:B, AutoFill_names!K:K,""))</f>
        <v/>
      </c>
      <c r="K389" s="115" t="str">
        <f>IF(_xlfn.XLOOKUP(A389, AutoFill_names!B:B, AutoFill_names!L:L,"")=0,"",_xlfn.XLOOKUP(A389, AutoFill_names!B:B, AutoFill_names!L:L,""))</f>
        <v/>
      </c>
      <c r="L389" s="2"/>
      <c r="M389" s="2"/>
      <c r="N389" s="117" t="str">
        <f>IF(_xlfn.XLOOKUP(L389, AutoFill_classes!A:A, AutoFill_classes!B:B,"")=0,"",_xlfn.XLOOKUP(L389, AutoFill_classes!A:A, AutoFill_classes!B:B,""))</f>
        <v/>
      </c>
      <c r="O389" s="108"/>
      <c r="P389" s="6"/>
      <c r="Q389" s="6"/>
      <c r="R389" s="6"/>
      <c r="S389" s="2"/>
      <c r="U389" s="2"/>
      <c r="X389" s="63"/>
      <c r="Y389" s="19"/>
      <c r="Z389" s="121" t="str">
        <f t="shared" si="324"/>
        <v/>
      </c>
      <c r="AA389" s="20"/>
      <c r="AB389" s="20"/>
      <c r="AC389" s="20"/>
      <c r="AD389" s="20"/>
      <c r="AE389" s="125" t="str">
        <f t="shared" si="325"/>
        <v/>
      </c>
      <c r="AF389" s="14"/>
      <c r="AG389" s="125" t="str">
        <f t="shared" si="326"/>
        <v/>
      </c>
      <c r="AH389" s="20"/>
      <c r="AI389" s="20"/>
      <c r="AJ389" s="125" t="str">
        <f t="shared" si="327"/>
        <v/>
      </c>
      <c r="AK389" s="14"/>
      <c r="AL389" s="125" t="str">
        <f t="shared" si="328"/>
        <v/>
      </c>
      <c r="AM389" s="20"/>
      <c r="AN389" s="20"/>
      <c r="AO389" s="125" t="str">
        <f t="shared" si="329"/>
        <v/>
      </c>
      <c r="AP389" s="125" t="str">
        <f t="shared" si="330"/>
        <v/>
      </c>
      <c r="AQ389" s="125" t="str">
        <f t="shared" si="331"/>
        <v/>
      </c>
      <c r="AR389" s="129" t="str">
        <f t="shared" si="332"/>
        <v/>
      </c>
      <c r="AS389" s="14"/>
      <c r="AT389" s="13"/>
      <c r="AU389" s="13"/>
      <c r="AV389" s="117" t="str">
        <f>IF(_xlfn.XLOOKUP(AT389, AutoFill_classes!$A:$A, AutoFill_classes!$B:$B,"")=0,"",_xlfn.XLOOKUP(AT389, AutoFill_classes!$A:$A, AutoFill_classes!$B:$B,""))</f>
        <v/>
      </c>
      <c r="AW389" s="108"/>
      <c r="AX389" s="11"/>
      <c r="AY389" s="11"/>
      <c r="AZ389" s="11"/>
      <c r="BA389" s="13"/>
      <c r="BB389" s="13"/>
      <c r="BC389" s="63"/>
      <c r="BD389" s="19"/>
      <c r="BE389" s="121" t="str">
        <f t="shared" si="333"/>
        <v/>
      </c>
      <c r="BF389" s="20"/>
      <c r="BG389" s="20"/>
      <c r="BH389" s="20"/>
      <c r="BI389" s="20"/>
      <c r="BJ389" s="125" t="str">
        <f t="shared" si="334"/>
        <v/>
      </c>
      <c r="BK389" s="14"/>
      <c r="BL389" s="125" t="str">
        <f t="shared" si="335"/>
        <v/>
      </c>
      <c r="BM389" s="20"/>
      <c r="BN389" s="20"/>
      <c r="BO389" s="125" t="str">
        <f t="shared" si="336"/>
        <v/>
      </c>
      <c r="BP389" s="14"/>
      <c r="BQ389" s="125" t="str">
        <f t="shared" si="337"/>
        <v/>
      </c>
      <c r="BR389" s="20"/>
      <c r="BS389" s="20"/>
      <c r="BT389" s="125" t="str">
        <f t="shared" si="338"/>
        <v/>
      </c>
      <c r="BU389" s="125" t="str">
        <f t="shared" si="339"/>
        <v/>
      </c>
      <c r="BV389" s="125" t="str">
        <f t="shared" si="340"/>
        <v/>
      </c>
      <c r="BW389" s="129" t="str">
        <f t="shared" si="341"/>
        <v/>
      </c>
      <c r="BX389" s="11"/>
      <c r="BY389" s="15"/>
      <c r="BZ389" s="14"/>
      <c r="CA389" s="117" t="str">
        <f>IF(_xlfn.XLOOKUP(BY389, AutoFill_classes!$A:$A, AutoFill_classes!$B:$B,"")=0,"",_xlfn.XLOOKUP(BY389, AutoFill_classes!$A:$A, AutoFill_classes!$B:$B,""))</f>
        <v/>
      </c>
      <c r="CB389" s="108"/>
      <c r="CC389" s="14"/>
      <c r="CD389" s="14"/>
      <c r="CE389" s="14"/>
      <c r="CF389" s="21"/>
      <c r="CG389" s="22"/>
      <c r="CH389" s="63"/>
      <c r="CI389" s="23"/>
      <c r="CJ389" s="121" t="str">
        <f t="shared" si="342"/>
        <v/>
      </c>
      <c r="CK389" s="20"/>
      <c r="CL389" s="20"/>
      <c r="CM389" s="20"/>
      <c r="CN389" s="20"/>
      <c r="CO389" s="125" t="str">
        <f t="shared" si="343"/>
        <v/>
      </c>
      <c r="CP389" s="14"/>
      <c r="CQ389" s="125" t="str">
        <f t="shared" si="344"/>
        <v/>
      </c>
      <c r="CR389" s="20"/>
      <c r="CS389" s="20"/>
      <c r="CT389" s="125" t="str">
        <f t="shared" si="345"/>
        <v/>
      </c>
      <c r="CU389" s="14"/>
      <c r="CV389" s="125" t="str">
        <f t="shared" si="346"/>
        <v/>
      </c>
      <c r="CW389" s="20"/>
      <c r="CX389" s="20"/>
      <c r="CY389" s="125" t="str">
        <f t="shared" si="347"/>
        <v/>
      </c>
      <c r="CZ389" s="125" t="str">
        <f t="shared" si="348"/>
        <v/>
      </c>
      <c r="DA389" s="125" t="str">
        <f t="shared" si="349"/>
        <v/>
      </c>
      <c r="DB389" s="129" t="str">
        <f t="shared" si="350"/>
        <v/>
      </c>
      <c r="DC389" s="14"/>
      <c r="DD389" s="62"/>
      <c r="DE389" s="105">
        <v>387</v>
      </c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</row>
    <row r="390" spans="1:176" s="1" customFormat="1" ht="13" hidden="1" customHeight="1" outlineLevel="1" x14ac:dyDescent="0.2">
      <c r="A390" s="4"/>
      <c r="B390" s="115" t="str">
        <f>IF(_xlfn.XLOOKUP(A390, AutoFill_names!B:B, AutoFill_names!C:C,"")=0,"",_xlfn.XLOOKUP(A390, AutoFill_names!B:B, AutoFill_names!C:C,""))</f>
        <v/>
      </c>
      <c r="C390" s="115" t="str">
        <f>IF(_xlfn.XLOOKUP(A390, AutoFill_names!B:B, AutoFill_names!D:D,"")=0,"",_xlfn.XLOOKUP(A390, AutoFill_names!B:B, AutoFill_names!D:D,""))</f>
        <v/>
      </c>
      <c r="D390" s="115" t="str">
        <f>IF(_xlfn.XLOOKUP(A390, AutoFill_names!B:B, AutoFill_names!E:E,"")=0,"",_xlfn.XLOOKUP(A390, AutoFill_names!B:B, AutoFill_names!E:E,""))</f>
        <v/>
      </c>
      <c r="E390" s="115" t="str">
        <f>IF(_xlfn.XLOOKUP(A390, AutoFill_names!B:B, AutoFill_names!F:F,"")=0,"",_xlfn.XLOOKUP(A390, AutoFill_names!B:B, AutoFill_names!F:F,""))</f>
        <v/>
      </c>
      <c r="F390" s="92"/>
      <c r="J390" s="115" t="str">
        <f>IF(_xlfn.XLOOKUP(A390, AutoFill_names!B:B, AutoFill_names!K:K,"")=0,"",_xlfn.XLOOKUP(A390, AutoFill_names!B:B, AutoFill_names!K:K,""))</f>
        <v/>
      </c>
      <c r="K390" s="115" t="str">
        <f>IF(_xlfn.XLOOKUP(A390, AutoFill_names!B:B, AutoFill_names!L:L,"")=0,"",_xlfn.XLOOKUP(A390, AutoFill_names!B:B, AutoFill_names!L:L,""))</f>
        <v/>
      </c>
      <c r="L390" s="2"/>
      <c r="M390" s="2"/>
      <c r="N390" s="117" t="str">
        <f>IF(_xlfn.XLOOKUP(L390, AutoFill_classes!A:A, AutoFill_classes!B:B,"")=0,"",_xlfn.XLOOKUP(L390, AutoFill_classes!A:A, AutoFill_classes!B:B,""))</f>
        <v/>
      </c>
      <c r="O390" s="108"/>
      <c r="P390" s="6"/>
      <c r="Q390" s="6"/>
      <c r="R390" s="6"/>
      <c r="S390" s="2"/>
      <c r="U390" s="2"/>
      <c r="X390" s="63"/>
      <c r="Y390" s="19"/>
      <c r="Z390" s="121" t="str">
        <f t="shared" si="324"/>
        <v/>
      </c>
      <c r="AA390" s="20"/>
      <c r="AB390" s="20"/>
      <c r="AC390" s="20"/>
      <c r="AD390" s="20"/>
      <c r="AE390" s="125" t="str">
        <f t="shared" si="325"/>
        <v/>
      </c>
      <c r="AF390" s="14"/>
      <c r="AG390" s="125" t="str">
        <f t="shared" si="326"/>
        <v/>
      </c>
      <c r="AH390" s="20"/>
      <c r="AI390" s="20"/>
      <c r="AJ390" s="125" t="str">
        <f t="shared" si="327"/>
        <v/>
      </c>
      <c r="AK390" s="14"/>
      <c r="AL390" s="125" t="str">
        <f t="shared" si="328"/>
        <v/>
      </c>
      <c r="AM390" s="20"/>
      <c r="AN390" s="20"/>
      <c r="AO390" s="125" t="str">
        <f t="shared" si="329"/>
        <v/>
      </c>
      <c r="AP390" s="125" t="str">
        <f t="shared" si="330"/>
        <v/>
      </c>
      <c r="AQ390" s="125" t="str">
        <f t="shared" si="331"/>
        <v/>
      </c>
      <c r="AR390" s="129" t="str">
        <f t="shared" si="332"/>
        <v/>
      </c>
      <c r="AS390" s="14"/>
      <c r="AT390" s="13"/>
      <c r="AU390" s="13"/>
      <c r="AV390" s="117" t="str">
        <f>IF(_xlfn.XLOOKUP(AT390, AutoFill_classes!$A:$A, AutoFill_classes!$B:$B,"")=0,"",_xlfn.XLOOKUP(AT390, AutoFill_classes!$A:$A, AutoFill_classes!$B:$B,""))</f>
        <v/>
      </c>
      <c r="AW390" s="108"/>
      <c r="AX390" s="11"/>
      <c r="AY390" s="11"/>
      <c r="AZ390" s="11"/>
      <c r="BA390" s="13"/>
      <c r="BB390" s="13"/>
      <c r="BC390" s="63"/>
      <c r="BD390" s="19"/>
      <c r="BE390" s="121" t="str">
        <f t="shared" si="333"/>
        <v/>
      </c>
      <c r="BF390" s="20"/>
      <c r="BG390" s="20"/>
      <c r="BH390" s="20"/>
      <c r="BI390" s="20"/>
      <c r="BJ390" s="125" t="str">
        <f t="shared" si="334"/>
        <v/>
      </c>
      <c r="BK390" s="14"/>
      <c r="BL390" s="125" t="str">
        <f t="shared" si="335"/>
        <v/>
      </c>
      <c r="BM390" s="20"/>
      <c r="BN390" s="20"/>
      <c r="BO390" s="125" t="str">
        <f t="shared" si="336"/>
        <v/>
      </c>
      <c r="BP390" s="14"/>
      <c r="BQ390" s="125" t="str">
        <f t="shared" si="337"/>
        <v/>
      </c>
      <c r="BR390" s="20"/>
      <c r="BS390" s="20"/>
      <c r="BT390" s="125" t="str">
        <f t="shared" si="338"/>
        <v/>
      </c>
      <c r="BU390" s="125" t="str">
        <f t="shared" si="339"/>
        <v/>
      </c>
      <c r="BV390" s="125" t="str">
        <f t="shared" si="340"/>
        <v/>
      </c>
      <c r="BW390" s="129" t="str">
        <f t="shared" si="341"/>
        <v/>
      </c>
      <c r="BX390" s="11"/>
      <c r="BY390" s="15"/>
      <c r="BZ390" s="14"/>
      <c r="CA390" s="117" t="str">
        <f>IF(_xlfn.XLOOKUP(BY390, AutoFill_classes!$A:$A, AutoFill_classes!$B:$B,"")=0,"",_xlfn.XLOOKUP(BY390, AutoFill_classes!$A:$A, AutoFill_classes!$B:$B,""))</f>
        <v/>
      </c>
      <c r="CB390" s="108"/>
      <c r="CC390" s="14"/>
      <c r="CD390" s="14"/>
      <c r="CE390" s="14"/>
      <c r="CF390" s="21"/>
      <c r="CG390" s="22"/>
      <c r="CH390" s="63"/>
      <c r="CI390" s="23"/>
      <c r="CJ390" s="121" t="str">
        <f t="shared" si="342"/>
        <v/>
      </c>
      <c r="CK390" s="20"/>
      <c r="CL390" s="20"/>
      <c r="CM390" s="20"/>
      <c r="CN390" s="20"/>
      <c r="CO390" s="125" t="str">
        <f t="shared" si="343"/>
        <v/>
      </c>
      <c r="CP390" s="14"/>
      <c r="CQ390" s="125" t="str">
        <f t="shared" si="344"/>
        <v/>
      </c>
      <c r="CR390" s="20"/>
      <c r="CS390" s="20"/>
      <c r="CT390" s="125" t="str">
        <f t="shared" si="345"/>
        <v/>
      </c>
      <c r="CU390" s="14"/>
      <c r="CV390" s="125" t="str">
        <f t="shared" si="346"/>
        <v/>
      </c>
      <c r="CW390" s="20"/>
      <c r="CX390" s="20"/>
      <c r="CY390" s="125" t="str">
        <f t="shared" si="347"/>
        <v/>
      </c>
      <c r="CZ390" s="125" t="str">
        <f t="shared" si="348"/>
        <v/>
      </c>
      <c r="DA390" s="125" t="str">
        <f t="shared" si="349"/>
        <v/>
      </c>
      <c r="DB390" s="129" t="str">
        <f t="shared" si="350"/>
        <v/>
      </c>
      <c r="DC390" s="14"/>
      <c r="DD390" s="62"/>
      <c r="DE390" s="105">
        <v>388</v>
      </c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</row>
    <row r="391" spans="1:176" s="1" customFormat="1" ht="13" hidden="1" customHeight="1" outlineLevel="1" x14ac:dyDescent="0.2">
      <c r="A391" s="4"/>
      <c r="B391" s="115" t="str">
        <f>IF(_xlfn.XLOOKUP(A391, AutoFill_names!B:B, AutoFill_names!C:C,"")=0,"",_xlfn.XLOOKUP(A391, AutoFill_names!B:B, AutoFill_names!C:C,""))</f>
        <v/>
      </c>
      <c r="C391" s="115" t="str">
        <f>IF(_xlfn.XLOOKUP(A391, AutoFill_names!B:B, AutoFill_names!D:D,"")=0,"",_xlfn.XLOOKUP(A391, AutoFill_names!B:B, AutoFill_names!D:D,""))</f>
        <v/>
      </c>
      <c r="D391" s="115" t="str">
        <f>IF(_xlfn.XLOOKUP(A391, AutoFill_names!B:B, AutoFill_names!E:E,"")=0,"",_xlfn.XLOOKUP(A391, AutoFill_names!B:B, AutoFill_names!E:E,""))</f>
        <v/>
      </c>
      <c r="E391" s="115" t="str">
        <f>IF(_xlfn.XLOOKUP(A391, AutoFill_names!B:B, AutoFill_names!F:F,"")=0,"",_xlfn.XLOOKUP(A391, AutoFill_names!B:B, AutoFill_names!F:F,""))</f>
        <v/>
      </c>
      <c r="F391" s="92"/>
      <c r="J391" s="115" t="str">
        <f>IF(_xlfn.XLOOKUP(A391, AutoFill_names!B:B, AutoFill_names!K:K,"")=0,"",_xlfn.XLOOKUP(A391, AutoFill_names!B:B, AutoFill_names!K:K,""))</f>
        <v/>
      </c>
      <c r="K391" s="115" t="str">
        <f>IF(_xlfn.XLOOKUP(A391, AutoFill_names!B:B, AutoFill_names!L:L,"")=0,"",_xlfn.XLOOKUP(A391, AutoFill_names!B:B, AutoFill_names!L:L,""))</f>
        <v/>
      </c>
      <c r="L391" s="2"/>
      <c r="M391" s="2"/>
      <c r="N391" s="117" t="str">
        <f>IF(_xlfn.XLOOKUP(L391, AutoFill_classes!A:A, AutoFill_classes!B:B,"")=0,"",_xlfn.XLOOKUP(L391, AutoFill_classes!A:A, AutoFill_classes!B:B,""))</f>
        <v/>
      </c>
      <c r="O391" s="108"/>
      <c r="P391" s="6"/>
      <c r="Q391" s="6"/>
      <c r="R391" s="6"/>
      <c r="S391" s="2"/>
      <c r="U391" s="2"/>
      <c r="X391" s="63"/>
      <c r="Y391" s="19"/>
      <c r="Z391" s="121" t="str">
        <f t="shared" si="324"/>
        <v/>
      </c>
      <c r="AA391" s="20"/>
      <c r="AB391" s="20"/>
      <c r="AC391" s="20"/>
      <c r="AD391" s="20"/>
      <c r="AE391" s="125" t="str">
        <f t="shared" si="325"/>
        <v/>
      </c>
      <c r="AF391" s="14"/>
      <c r="AG391" s="125" t="str">
        <f t="shared" si="326"/>
        <v/>
      </c>
      <c r="AH391" s="20"/>
      <c r="AI391" s="20"/>
      <c r="AJ391" s="125" t="str">
        <f t="shared" si="327"/>
        <v/>
      </c>
      <c r="AK391" s="14"/>
      <c r="AL391" s="125" t="str">
        <f t="shared" si="328"/>
        <v/>
      </c>
      <c r="AM391" s="20"/>
      <c r="AN391" s="20"/>
      <c r="AO391" s="125" t="str">
        <f t="shared" si="329"/>
        <v/>
      </c>
      <c r="AP391" s="125" t="str">
        <f t="shared" si="330"/>
        <v/>
      </c>
      <c r="AQ391" s="125" t="str">
        <f t="shared" si="331"/>
        <v/>
      </c>
      <c r="AR391" s="129" t="str">
        <f t="shared" si="332"/>
        <v/>
      </c>
      <c r="AS391" s="14"/>
      <c r="AT391" s="13"/>
      <c r="AU391" s="13"/>
      <c r="AV391" s="117" t="str">
        <f>IF(_xlfn.XLOOKUP(AT391, AutoFill_classes!$A:$A, AutoFill_classes!$B:$B,"")=0,"",_xlfn.XLOOKUP(AT391, AutoFill_classes!$A:$A, AutoFill_classes!$B:$B,""))</f>
        <v/>
      </c>
      <c r="AW391" s="108"/>
      <c r="AX391" s="11"/>
      <c r="AY391" s="11"/>
      <c r="AZ391" s="11"/>
      <c r="BA391" s="13"/>
      <c r="BB391" s="13"/>
      <c r="BC391" s="63"/>
      <c r="BD391" s="19"/>
      <c r="BE391" s="121" t="str">
        <f t="shared" si="333"/>
        <v/>
      </c>
      <c r="BF391" s="20"/>
      <c r="BG391" s="20"/>
      <c r="BH391" s="20"/>
      <c r="BI391" s="20"/>
      <c r="BJ391" s="125" t="str">
        <f t="shared" si="334"/>
        <v/>
      </c>
      <c r="BK391" s="14"/>
      <c r="BL391" s="125" t="str">
        <f t="shared" si="335"/>
        <v/>
      </c>
      <c r="BM391" s="20"/>
      <c r="BN391" s="20"/>
      <c r="BO391" s="125" t="str">
        <f t="shared" si="336"/>
        <v/>
      </c>
      <c r="BP391" s="14"/>
      <c r="BQ391" s="125" t="str">
        <f t="shared" si="337"/>
        <v/>
      </c>
      <c r="BR391" s="20"/>
      <c r="BS391" s="20"/>
      <c r="BT391" s="125" t="str">
        <f t="shared" si="338"/>
        <v/>
      </c>
      <c r="BU391" s="125" t="str">
        <f t="shared" si="339"/>
        <v/>
      </c>
      <c r="BV391" s="125" t="str">
        <f t="shared" si="340"/>
        <v/>
      </c>
      <c r="BW391" s="129" t="str">
        <f t="shared" si="341"/>
        <v/>
      </c>
      <c r="BX391" s="11"/>
      <c r="BY391" s="15"/>
      <c r="BZ391" s="14"/>
      <c r="CA391" s="117" t="str">
        <f>IF(_xlfn.XLOOKUP(BY391, AutoFill_classes!$A:$A, AutoFill_classes!$B:$B,"")=0,"",_xlfn.XLOOKUP(BY391, AutoFill_classes!$A:$A, AutoFill_classes!$B:$B,""))</f>
        <v/>
      </c>
      <c r="CB391" s="108"/>
      <c r="CC391" s="14"/>
      <c r="CD391" s="14"/>
      <c r="CE391" s="14"/>
      <c r="CF391" s="21"/>
      <c r="CG391" s="22"/>
      <c r="CH391" s="63"/>
      <c r="CI391" s="23"/>
      <c r="CJ391" s="121" t="str">
        <f t="shared" si="342"/>
        <v/>
      </c>
      <c r="CK391" s="20"/>
      <c r="CL391" s="20"/>
      <c r="CM391" s="20"/>
      <c r="CN391" s="20"/>
      <c r="CO391" s="125" t="str">
        <f t="shared" si="343"/>
        <v/>
      </c>
      <c r="CP391" s="14"/>
      <c r="CQ391" s="125" t="str">
        <f t="shared" si="344"/>
        <v/>
      </c>
      <c r="CR391" s="20"/>
      <c r="CS391" s="20"/>
      <c r="CT391" s="125" t="str">
        <f t="shared" si="345"/>
        <v/>
      </c>
      <c r="CU391" s="14"/>
      <c r="CV391" s="125" t="str">
        <f t="shared" si="346"/>
        <v/>
      </c>
      <c r="CW391" s="20"/>
      <c r="CX391" s="20"/>
      <c r="CY391" s="125" t="str">
        <f t="shared" si="347"/>
        <v/>
      </c>
      <c r="CZ391" s="125" t="str">
        <f t="shared" si="348"/>
        <v/>
      </c>
      <c r="DA391" s="125" t="str">
        <f t="shared" si="349"/>
        <v/>
      </c>
      <c r="DB391" s="129" t="str">
        <f t="shared" si="350"/>
        <v/>
      </c>
      <c r="DC391" s="14"/>
      <c r="DD391" s="62"/>
      <c r="DE391" s="105">
        <v>389</v>
      </c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</row>
    <row r="392" spans="1:176" s="116" customFormat="1" ht="34" customHeight="1" collapsed="1" x14ac:dyDescent="0.2">
      <c r="A392" s="66" t="s">
        <v>68</v>
      </c>
      <c r="B392" s="112" t="str">
        <f>"Total Credits: " &amp; IFERROR(IF(DD392=0,"",DD392),"")</f>
        <v xml:space="preserve">Total Credits: </v>
      </c>
      <c r="F392" s="138"/>
      <c r="P392" s="139"/>
      <c r="Q392" s="139"/>
      <c r="R392" s="139"/>
      <c r="V392" s="136"/>
      <c r="W392" s="136"/>
      <c r="X392" s="140" t="str">
        <f>IF(SUM(X393:X421)=0, "", SUM(X393:X421))</f>
        <v/>
      </c>
      <c r="Y392" s="123"/>
      <c r="Z392" s="123"/>
      <c r="AA392" s="141"/>
      <c r="AB392" s="141"/>
      <c r="AC392" s="141"/>
      <c r="AD392" s="141"/>
      <c r="AE392" s="124"/>
      <c r="AF392" s="124"/>
      <c r="AG392" s="124"/>
      <c r="AH392" s="141"/>
      <c r="AI392" s="141"/>
      <c r="AJ392" s="124"/>
      <c r="AK392" s="124"/>
      <c r="AL392" s="124"/>
      <c r="AM392" s="141"/>
      <c r="AN392" s="141"/>
      <c r="AO392" s="127"/>
      <c r="AP392" s="127"/>
      <c r="AQ392" s="127"/>
      <c r="AR392" s="127"/>
      <c r="AS392" s="127"/>
      <c r="AT392" s="134"/>
      <c r="AU392" s="134"/>
      <c r="AX392" s="134"/>
      <c r="AY392" s="134"/>
      <c r="AZ392" s="134"/>
      <c r="BA392" s="144"/>
      <c r="BB392" s="144"/>
      <c r="BC392" s="140" t="str">
        <f>IF(SUM(BC393:BC421)=0, "", SUM(BC393:BC421))</f>
        <v/>
      </c>
      <c r="BD392" s="123"/>
      <c r="BE392" s="123"/>
      <c r="BF392" s="146"/>
      <c r="BG392" s="146"/>
      <c r="BH392" s="146"/>
      <c r="BI392" s="146"/>
      <c r="BJ392" s="134"/>
      <c r="BK392" s="134"/>
      <c r="BL392" s="134"/>
      <c r="BM392" s="146"/>
      <c r="BN392" s="146"/>
      <c r="BO392" s="134"/>
      <c r="BP392" s="134"/>
      <c r="BQ392" s="134"/>
      <c r="BR392" s="146"/>
      <c r="BS392" s="146"/>
      <c r="BT392" s="134"/>
      <c r="BU392" s="134"/>
      <c r="BV392" s="134"/>
      <c r="BW392" s="127"/>
      <c r="BX392" s="134"/>
      <c r="BY392" s="134"/>
      <c r="BZ392" s="134"/>
      <c r="CC392" s="134"/>
      <c r="CD392" s="134"/>
      <c r="CE392" s="134"/>
      <c r="CF392" s="136"/>
      <c r="CG392" s="120"/>
      <c r="CH392" s="140" t="str">
        <f>IF(SUM(CH393:CH421)=0, "", SUM(CH393:CH421))</f>
        <v/>
      </c>
      <c r="CI392" s="123"/>
      <c r="CJ392" s="123"/>
      <c r="CK392" s="146"/>
      <c r="CL392" s="146"/>
      <c r="CM392" s="146"/>
      <c r="CN392" s="146"/>
      <c r="CP392" s="134"/>
      <c r="CR392" s="146"/>
      <c r="CS392" s="146"/>
      <c r="CU392" s="134"/>
      <c r="CW392" s="146"/>
      <c r="CX392" s="146"/>
      <c r="DB392" s="127"/>
      <c r="DC392" s="134"/>
      <c r="DD392" s="140" t="str">
        <f>IF(SUM(L392:DC392)=0, "", SUM(L392:DC392))</f>
        <v/>
      </c>
      <c r="DE392" s="105">
        <v>390</v>
      </c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</row>
    <row r="393" spans="1:176" s="1" customFormat="1" ht="13" hidden="1" customHeight="1" outlineLevel="1" x14ac:dyDescent="0.2">
      <c r="A393" s="4"/>
      <c r="B393" s="115" t="str">
        <f>IF(_xlfn.XLOOKUP(A393, AutoFill_names!B:B, AutoFill_names!C:C,"")=0,"",_xlfn.XLOOKUP(A393, AutoFill_names!B:B, AutoFill_names!C:C,""))</f>
        <v/>
      </c>
      <c r="C393" s="115" t="str">
        <f>IF(_xlfn.XLOOKUP(A393, AutoFill_names!B:B, AutoFill_names!D:D,"")=0,"",_xlfn.XLOOKUP(A393, AutoFill_names!B:B, AutoFill_names!D:D,""))</f>
        <v/>
      </c>
      <c r="D393" s="115" t="str">
        <f>IF(_xlfn.XLOOKUP(A393, AutoFill_names!B:B, AutoFill_names!E:E,"")=0,"",_xlfn.XLOOKUP(A393, AutoFill_names!B:B, AutoFill_names!E:E,""))</f>
        <v/>
      </c>
      <c r="E393" s="115" t="str">
        <f>IF(_xlfn.XLOOKUP(A393, AutoFill_names!B:B, AutoFill_names!F:F,"")=0,"",_xlfn.XLOOKUP(A393, AutoFill_names!B:B, AutoFill_names!F:F,""))</f>
        <v/>
      </c>
      <c r="F393" s="92"/>
      <c r="J393" s="115" t="str">
        <f>IF(_xlfn.XLOOKUP(A393, AutoFill_names!B:B, AutoFill_names!K:K,"")=0,"",_xlfn.XLOOKUP(A393, AutoFill_names!B:B, AutoFill_names!K:K,""))</f>
        <v/>
      </c>
      <c r="K393" s="115" t="str">
        <f>IF(_xlfn.XLOOKUP(A393, AutoFill_names!B:B, AutoFill_names!L:L,"")=0,"",_xlfn.XLOOKUP(A393, AutoFill_names!B:B, AutoFill_names!L:L,""))</f>
        <v/>
      </c>
      <c r="L393" s="31"/>
      <c r="M393" s="31"/>
      <c r="N393" s="117" t="str">
        <f>IF(_xlfn.XLOOKUP(L393, AutoFill_classes!A:A, AutoFill_classes!B:B,"")=0,"",_xlfn.XLOOKUP(L393, AutoFill_classes!A:A, AutoFill_classes!B:B,""))</f>
        <v/>
      </c>
      <c r="O393" s="108"/>
      <c r="P393" s="6"/>
      <c r="Q393" s="6"/>
      <c r="R393" s="6"/>
      <c r="S393" s="2"/>
      <c r="T393" s="3"/>
      <c r="U393" s="2"/>
      <c r="X393" s="63"/>
      <c r="Y393" s="19"/>
      <c r="Z393" s="121" t="str">
        <f t="shared" ref="Z393:Z421" si="351">IF(X393*Y393=0,"",X393*Y393)</f>
        <v/>
      </c>
      <c r="AA393" s="20"/>
      <c r="AB393" s="20"/>
      <c r="AC393" s="20"/>
      <c r="AD393" s="20"/>
      <c r="AE393" s="125" t="str">
        <f t="shared" ref="AE393:AE421" si="352">IF(ROUNDUP((AD393-AC393)/7,0)=0,"",ROUNDUP((AD393-AC393)/7,0))</f>
        <v/>
      </c>
      <c r="AF393" s="14"/>
      <c r="AG393" s="125" t="str">
        <f t="shared" ref="AG393:AG421" si="353">IFERROR(IF(AE393*AF393=0,"",AE393*AF393), "")</f>
        <v/>
      </c>
      <c r="AH393" s="20"/>
      <c r="AI393" s="20"/>
      <c r="AJ393" s="125" t="str">
        <f t="shared" ref="AJ393:AJ421" si="354">IF(ROUNDUP((AI393-AH393)/7,0)=0,"",ROUNDUP((AI393-AH393)/7,0))</f>
        <v/>
      </c>
      <c r="AK393" s="14"/>
      <c r="AL393" s="125" t="str">
        <f t="shared" ref="AL393:AL421" si="355">IFERROR(IF(AJ393*AK393=0,"",AJ393*AK393), "")</f>
        <v/>
      </c>
      <c r="AM393" s="20"/>
      <c r="AN393" s="20"/>
      <c r="AO393" s="125" t="str">
        <f t="shared" ref="AO393:AO421" si="356">IF(ROUNDUP((AN393-AM393)/7,0)=0,"",ROUNDUP((AN393-AM393)/7,0))</f>
        <v/>
      </c>
      <c r="AP393" s="125" t="str">
        <f t="shared" ref="AP393:AP421" si="357">IFERROR(IF((AS393-(AF393+AK393))/AO393=0,"",ROUNDUP((AS393-(AF393+AK393))/AO393,0)), "")</f>
        <v/>
      </c>
      <c r="AQ393" s="125" t="str">
        <f t="shared" ref="AQ393:AQ421" si="358">IFERROR(IF((AS393-(AG393+AL393))=0, "", (AS393-(AG393+AL393))), "")</f>
        <v/>
      </c>
      <c r="AR393" s="129" t="str">
        <f t="shared" ref="AR393:AR421" si="359">IFERROR(IF((AE393+AJ393+AO393)=0, "", (AE393+AJ393+AO393)), "")</f>
        <v/>
      </c>
      <c r="AS393" s="14"/>
      <c r="AT393" s="13"/>
      <c r="AU393" s="13"/>
      <c r="AV393" s="117" t="str">
        <f>IF(_xlfn.XLOOKUP(AT393, AutoFill_classes!$A:$A, AutoFill_classes!$B:$B,"")=0,"",_xlfn.XLOOKUP(AT393, AutoFill_classes!$A:$A, AutoFill_classes!$B:$B,""))</f>
        <v/>
      </c>
      <c r="AW393" s="108"/>
      <c r="AX393" s="11"/>
      <c r="AY393" s="13"/>
      <c r="AZ393" s="11"/>
      <c r="BA393" s="13"/>
      <c r="BB393" s="13"/>
      <c r="BC393" s="63"/>
      <c r="BD393" s="18"/>
      <c r="BE393" s="121" t="str">
        <f t="shared" ref="BE393:BE421" si="360">IF(BC393*BD393=0,"",BC393*BD393)</f>
        <v/>
      </c>
      <c r="BF393" s="20"/>
      <c r="BG393" s="20"/>
      <c r="BH393" s="20"/>
      <c r="BI393" s="20"/>
      <c r="BJ393" s="125" t="str">
        <f t="shared" ref="BJ393:BJ421" si="361">IF(ROUNDUP((BI393-BH393)/7,0)=0,"",ROUNDUP((BI393-BH393)/7,0))</f>
        <v/>
      </c>
      <c r="BK393" s="14"/>
      <c r="BL393" s="125" t="str">
        <f t="shared" ref="BL393:BL421" si="362">IFERROR(IF(BJ393*BK393=0,"",BJ393*BK393), "")</f>
        <v/>
      </c>
      <c r="BM393" s="20"/>
      <c r="BN393" s="20"/>
      <c r="BO393" s="125" t="str">
        <f t="shared" ref="BO393:BO421" si="363">IF(ROUNDUP((BN393-BM393)/7,0)=0,"",ROUNDUP((BN393-BM393)/7,0))</f>
        <v/>
      </c>
      <c r="BP393" s="14"/>
      <c r="BQ393" s="125" t="str">
        <f t="shared" ref="BQ393:BQ421" si="364">IFERROR(IF(BO393*BP393=0,"",BO393*BP393), "")</f>
        <v/>
      </c>
      <c r="BR393" s="20"/>
      <c r="BS393" s="20"/>
      <c r="BT393" s="125" t="str">
        <f t="shared" ref="BT393:BT421" si="365">IF(ROUNDUP((BS393-BR393)/7,0)=0,"",ROUNDUP((BS393-BR393)/7,0))</f>
        <v/>
      </c>
      <c r="BU393" s="125" t="str">
        <f t="shared" ref="BU393:BU421" si="366">IFERROR(IF((BX393-(BK393+BP393))/BT393=0,"",ROUNDUP((BX393-(BK393+BP393))/BT393,0)), "")</f>
        <v/>
      </c>
      <c r="BV393" s="125" t="str">
        <f t="shared" ref="BV393:BV421" si="367">IFERROR(IF((BX393-(BL393+BQ393))=0, "", (BX393-(BL393+BQ393))), "")</f>
        <v/>
      </c>
      <c r="BW393" s="129" t="str">
        <f t="shared" ref="BW393:BW421" si="368">IFERROR(IF((BJ393+BO393+BT393)=0, "", (BJ393+BO393+BT393)), "")</f>
        <v/>
      </c>
      <c r="BX393" s="13"/>
      <c r="BY393" s="15"/>
      <c r="BZ393" s="14"/>
      <c r="CA393" s="117" t="str">
        <f>IF(_xlfn.XLOOKUP(BY393, AutoFill_classes!$A:$A, AutoFill_classes!$B:$B,"")=0,"",_xlfn.XLOOKUP(BY393, AutoFill_classes!$A:$A, AutoFill_classes!$B:$B,""))</f>
        <v/>
      </c>
      <c r="CB393" s="108"/>
      <c r="CC393" s="14"/>
      <c r="CD393" s="14"/>
      <c r="CE393" s="14"/>
      <c r="CF393" s="21"/>
      <c r="CG393" s="22"/>
      <c r="CH393" s="63"/>
      <c r="CI393" s="23"/>
      <c r="CJ393" s="121" t="str">
        <f t="shared" ref="CJ393:CJ421" si="369">IF(CH393*CI393=0,"",CH393*CI393)</f>
        <v/>
      </c>
      <c r="CK393" s="20"/>
      <c r="CL393" s="20"/>
      <c r="CM393" s="20"/>
      <c r="CN393" s="20"/>
      <c r="CO393" s="125" t="str">
        <f t="shared" ref="CO393:CO421" si="370">IF(ROUNDUP((CN393-CM393)/7,0)=0,"",ROUNDUP((CN393-CM393)/7,0))</f>
        <v/>
      </c>
      <c r="CP393" s="14"/>
      <c r="CQ393" s="125" t="str">
        <f t="shared" ref="CQ393:CQ421" si="371">IFERROR(IF(CO393*CP393=0,"",CO393*CP393), "")</f>
        <v/>
      </c>
      <c r="CR393" s="20"/>
      <c r="CS393" s="20"/>
      <c r="CT393" s="125" t="str">
        <f t="shared" ref="CT393:CT421" si="372">IF(ROUNDUP((CS393-CR393)/7,0)=0,"",ROUNDUP((CS393-CR393)/7,0))</f>
        <v/>
      </c>
      <c r="CU393" s="14"/>
      <c r="CV393" s="125" t="str">
        <f t="shared" ref="CV393:CV421" si="373">IFERROR(IF(CT393*CU393=0,"",CT393*CU393), "")</f>
        <v/>
      </c>
      <c r="CW393" s="20"/>
      <c r="CX393" s="20"/>
      <c r="CY393" s="125" t="str">
        <f t="shared" ref="CY393:CY421" si="374">IF(ROUNDUP((CX393-CW393)/7,0)=0,"",ROUNDUP((CX393-CW393)/7,0))</f>
        <v/>
      </c>
      <c r="CZ393" s="125" t="str">
        <f t="shared" ref="CZ393:CZ421" si="375">IFERROR(IF((DC393-(CP393+CU393))/CY393=0,"",ROUNDUP((DC393-(CP393+CU393))/CY393,0)), "")</f>
        <v/>
      </c>
      <c r="DA393" s="125" t="str">
        <f t="shared" ref="DA393:DA421" si="376">IFERROR(IF((DC393-(CQ393+CV393))=0, "", (DC393-(CQ393+CV393))), "")</f>
        <v/>
      </c>
      <c r="DB393" s="129" t="str">
        <f t="shared" ref="DB393:DB421" si="377">IFERROR(IF((CO393+CT393+CY393)=0, "", (CO393+CT393+CY393)), "")</f>
        <v/>
      </c>
      <c r="DC393" s="14"/>
      <c r="DD393" s="62"/>
      <c r="DE393" s="105">
        <v>391</v>
      </c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</row>
    <row r="394" spans="1:176" s="1" customFormat="1" ht="13" hidden="1" customHeight="1" outlineLevel="1" x14ac:dyDescent="0.2">
      <c r="A394" s="4"/>
      <c r="B394" s="115" t="str">
        <f>IF(_xlfn.XLOOKUP(A394, AutoFill_names!B:B, AutoFill_names!C:C,"")=0,"",_xlfn.XLOOKUP(A394, AutoFill_names!B:B, AutoFill_names!C:C,""))</f>
        <v/>
      </c>
      <c r="C394" s="115" t="str">
        <f>IF(_xlfn.XLOOKUP(A394, AutoFill_names!B:B, AutoFill_names!D:D,"")=0,"",_xlfn.XLOOKUP(A394, AutoFill_names!B:B, AutoFill_names!D:D,""))</f>
        <v/>
      </c>
      <c r="D394" s="115" t="str">
        <f>IF(_xlfn.XLOOKUP(A394, AutoFill_names!B:B, AutoFill_names!E:E,"")=0,"",_xlfn.XLOOKUP(A394, AutoFill_names!B:B, AutoFill_names!E:E,""))</f>
        <v/>
      </c>
      <c r="E394" s="115" t="str">
        <f>IF(_xlfn.XLOOKUP(A394, AutoFill_names!B:B, AutoFill_names!F:F,"")=0,"",_xlfn.XLOOKUP(A394, AutoFill_names!B:B, AutoFill_names!F:F,""))</f>
        <v/>
      </c>
      <c r="F394" s="92"/>
      <c r="J394" s="115" t="str">
        <f>IF(_xlfn.XLOOKUP(A394, AutoFill_names!B:B, AutoFill_names!K:K,"")=0,"",_xlfn.XLOOKUP(A394, AutoFill_names!B:B, AutoFill_names!K:K,""))</f>
        <v/>
      </c>
      <c r="K394" s="115" t="str">
        <f>IF(_xlfn.XLOOKUP(A394, AutoFill_names!B:B, AutoFill_names!L:L,"")=0,"",_xlfn.XLOOKUP(A394, AutoFill_names!B:B, AutoFill_names!L:L,""))</f>
        <v/>
      </c>
      <c r="L394" s="31"/>
      <c r="M394" s="31"/>
      <c r="N394" s="117" t="str">
        <f>IF(_xlfn.XLOOKUP(L394, AutoFill_classes!A:A, AutoFill_classes!B:B,"")=0,"",_xlfn.XLOOKUP(L394, AutoFill_classes!A:A, AutoFill_classes!B:B,""))</f>
        <v/>
      </c>
      <c r="O394" s="108"/>
      <c r="P394" s="6"/>
      <c r="Q394" s="6"/>
      <c r="R394" s="6"/>
      <c r="S394" s="2"/>
      <c r="T394" s="3"/>
      <c r="U394" s="2"/>
      <c r="X394" s="63"/>
      <c r="Y394" s="19"/>
      <c r="Z394" s="121" t="str">
        <f t="shared" si="351"/>
        <v/>
      </c>
      <c r="AA394" s="20"/>
      <c r="AB394" s="20"/>
      <c r="AC394" s="20"/>
      <c r="AD394" s="20"/>
      <c r="AE394" s="125" t="str">
        <f t="shared" si="352"/>
        <v/>
      </c>
      <c r="AF394" s="14"/>
      <c r="AG394" s="125" t="str">
        <f t="shared" si="353"/>
        <v/>
      </c>
      <c r="AH394" s="20"/>
      <c r="AI394" s="20"/>
      <c r="AJ394" s="125" t="str">
        <f t="shared" si="354"/>
        <v/>
      </c>
      <c r="AK394" s="14"/>
      <c r="AL394" s="125" t="str">
        <f t="shared" si="355"/>
        <v/>
      </c>
      <c r="AM394" s="20"/>
      <c r="AN394" s="20"/>
      <c r="AO394" s="125" t="str">
        <f t="shared" si="356"/>
        <v/>
      </c>
      <c r="AP394" s="125" t="str">
        <f t="shared" si="357"/>
        <v/>
      </c>
      <c r="AQ394" s="125" t="str">
        <f t="shared" si="358"/>
        <v/>
      </c>
      <c r="AR394" s="129" t="str">
        <f t="shared" si="359"/>
        <v/>
      </c>
      <c r="AS394" s="14"/>
      <c r="AT394" s="13"/>
      <c r="AU394" s="13"/>
      <c r="AV394" s="117" t="str">
        <f>IF(_xlfn.XLOOKUP(AT394, AutoFill_classes!$A:$A, AutoFill_classes!$B:$B,"")=0,"",_xlfn.XLOOKUP(AT394, AutoFill_classes!$A:$A, AutoFill_classes!$B:$B,""))</f>
        <v/>
      </c>
      <c r="AW394" s="108"/>
      <c r="AX394" s="11"/>
      <c r="AY394" s="13"/>
      <c r="AZ394" s="11"/>
      <c r="BA394" s="13"/>
      <c r="BB394" s="13"/>
      <c r="BC394" s="63"/>
      <c r="BD394" s="18"/>
      <c r="BE394" s="121" t="str">
        <f t="shared" si="360"/>
        <v/>
      </c>
      <c r="BF394" s="20"/>
      <c r="BG394" s="20"/>
      <c r="BH394" s="20"/>
      <c r="BI394" s="20"/>
      <c r="BJ394" s="125" t="str">
        <f t="shared" si="361"/>
        <v/>
      </c>
      <c r="BK394" s="14"/>
      <c r="BL394" s="125" t="str">
        <f t="shared" si="362"/>
        <v/>
      </c>
      <c r="BM394" s="20"/>
      <c r="BN394" s="20"/>
      <c r="BO394" s="125" t="str">
        <f t="shared" si="363"/>
        <v/>
      </c>
      <c r="BP394" s="14"/>
      <c r="BQ394" s="125" t="str">
        <f t="shared" si="364"/>
        <v/>
      </c>
      <c r="BR394" s="20"/>
      <c r="BS394" s="20"/>
      <c r="BT394" s="125" t="str">
        <f t="shared" si="365"/>
        <v/>
      </c>
      <c r="BU394" s="125" t="str">
        <f t="shared" si="366"/>
        <v/>
      </c>
      <c r="BV394" s="125" t="str">
        <f t="shared" si="367"/>
        <v/>
      </c>
      <c r="BW394" s="129" t="str">
        <f t="shared" si="368"/>
        <v/>
      </c>
      <c r="BX394" s="13"/>
      <c r="BY394" s="15"/>
      <c r="BZ394" s="14"/>
      <c r="CA394" s="117" t="str">
        <f>IF(_xlfn.XLOOKUP(BY394, AutoFill_classes!$A:$A, AutoFill_classes!$B:$B,"")=0,"",_xlfn.XLOOKUP(BY394, AutoFill_classes!$A:$A, AutoFill_classes!$B:$B,""))</f>
        <v/>
      </c>
      <c r="CB394" s="108"/>
      <c r="CC394" s="14"/>
      <c r="CD394" s="14"/>
      <c r="CE394" s="14"/>
      <c r="CF394" s="21"/>
      <c r="CG394" s="22"/>
      <c r="CH394" s="63"/>
      <c r="CI394" s="23"/>
      <c r="CJ394" s="121" t="str">
        <f t="shared" si="369"/>
        <v/>
      </c>
      <c r="CK394" s="20"/>
      <c r="CL394" s="20"/>
      <c r="CM394" s="20"/>
      <c r="CN394" s="20"/>
      <c r="CO394" s="125" t="str">
        <f t="shared" si="370"/>
        <v/>
      </c>
      <c r="CP394" s="14"/>
      <c r="CQ394" s="125" t="str">
        <f t="shared" si="371"/>
        <v/>
      </c>
      <c r="CR394" s="20"/>
      <c r="CS394" s="20"/>
      <c r="CT394" s="125" t="str">
        <f t="shared" si="372"/>
        <v/>
      </c>
      <c r="CU394" s="14"/>
      <c r="CV394" s="125" t="str">
        <f t="shared" si="373"/>
        <v/>
      </c>
      <c r="CW394" s="20"/>
      <c r="CX394" s="20"/>
      <c r="CY394" s="125" t="str">
        <f t="shared" si="374"/>
        <v/>
      </c>
      <c r="CZ394" s="125" t="str">
        <f t="shared" si="375"/>
        <v/>
      </c>
      <c r="DA394" s="125" t="str">
        <f t="shared" si="376"/>
        <v/>
      </c>
      <c r="DB394" s="129" t="str">
        <f t="shared" si="377"/>
        <v/>
      </c>
      <c r="DC394" s="14"/>
      <c r="DD394" s="62"/>
      <c r="DE394" s="105">
        <v>392</v>
      </c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</row>
    <row r="395" spans="1:176" s="1" customFormat="1" ht="13" hidden="1" customHeight="1" outlineLevel="1" x14ac:dyDescent="0.2">
      <c r="A395" s="4"/>
      <c r="B395" s="115" t="str">
        <f>IF(_xlfn.XLOOKUP(A395, AutoFill_names!B:B, AutoFill_names!C:C,"")=0,"",_xlfn.XLOOKUP(A395, AutoFill_names!B:B, AutoFill_names!C:C,""))</f>
        <v/>
      </c>
      <c r="C395" s="115" t="str">
        <f>IF(_xlfn.XLOOKUP(A395, AutoFill_names!B:B, AutoFill_names!D:D,"")=0,"",_xlfn.XLOOKUP(A395, AutoFill_names!B:B, AutoFill_names!D:D,""))</f>
        <v/>
      </c>
      <c r="D395" s="115" t="str">
        <f>IF(_xlfn.XLOOKUP(A395, AutoFill_names!B:B, AutoFill_names!E:E,"")=0,"",_xlfn.XLOOKUP(A395, AutoFill_names!B:B, AutoFill_names!E:E,""))</f>
        <v/>
      </c>
      <c r="E395" s="115" t="str">
        <f>IF(_xlfn.XLOOKUP(A395, AutoFill_names!B:B, AutoFill_names!F:F,"")=0,"",_xlfn.XLOOKUP(A395, AutoFill_names!B:B, AutoFill_names!F:F,""))</f>
        <v/>
      </c>
      <c r="F395" s="92"/>
      <c r="J395" s="115" t="str">
        <f>IF(_xlfn.XLOOKUP(A395, AutoFill_names!B:B, AutoFill_names!K:K,"")=0,"",_xlfn.XLOOKUP(A395, AutoFill_names!B:B, AutoFill_names!K:K,""))</f>
        <v/>
      </c>
      <c r="K395" s="115" t="str">
        <f>IF(_xlfn.XLOOKUP(A395, AutoFill_names!B:B, AutoFill_names!L:L,"")=0,"",_xlfn.XLOOKUP(A395, AutoFill_names!B:B, AutoFill_names!L:L,""))</f>
        <v/>
      </c>
      <c r="L395" s="31"/>
      <c r="M395" s="31"/>
      <c r="N395" s="117" t="str">
        <f>IF(_xlfn.XLOOKUP(L395, AutoFill_classes!A:A, AutoFill_classes!B:B,"")=0,"",_xlfn.XLOOKUP(L395, AutoFill_classes!A:A, AutoFill_classes!B:B,""))</f>
        <v/>
      </c>
      <c r="O395" s="108"/>
      <c r="P395" s="6"/>
      <c r="Q395" s="6"/>
      <c r="R395" s="6"/>
      <c r="S395" s="2"/>
      <c r="T395" s="3"/>
      <c r="U395" s="2"/>
      <c r="X395" s="63"/>
      <c r="Y395" s="19"/>
      <c r="Z395" s="121" t="str">
        <f t="shared" si="351"/>
        <v/>
      </c>
      <c r="AA395" s="20"/>
      <c r="AB395" s="20"/>
      <c r="AC395" s="20"/>
      <c r="AD395" s="20"/>
      <c r="AE395" s="125" t="str">
        <f t="shared" si="352"/>
        <v/>
      </c>
      <c r="AF395" s="14"/>
      <c r="AG395" s="125" t="str">
        <f t="shared" si="353"/>
        <v/>
      </c>
      <c r="AH395" s="20"/>
      <c r="AI395" s="20"/>
      <c r="AJ395" s="125" t="str">
        <f t="shared" si="354"/>
        <v/>
      </c>
      <c r="AK395" s="14"/>
      <c r="AL395" s="125" t="str">
        <f t="shared" si="355"/>
        <v/>
      </c>
      <c r="AM395" s="20"/>
      <c r="AN395" s="20"/>
      <c r="AO395" s="125" t="str">
        <f t="shared" si="356"/>
        <v/>
      </c>
      <c r="AP395" s="125" t="str">
        <f t="shared" si="357"/>
        <v/>
      </c>
      <c r="AQ395" s="125" t="str">
        <f t="shared" si="358"/>
        <v/>
      </c>
      <c r="AR395" s="129" t="str">
        <f t="shared" si="359"/>
        <v/>
      </c>
      <c r="AS395" s="14"/>
      <c r="AT395" s="13"/>
      <c r="AU395" s="13"/>
      <c r="AV395" s="117" t="str">
        <f>IF(_xlfn.XLOOKUP(AT395, AutoFill_classes!$A:$A, AutoFill_classes!$B:$B,"")=0,"",_xlfn.XLOOKUP(AT395, AutoFill_classes!$A:$A, AutoFill_classes!$B:$B,""))</f>
        <v/>
      </c>
      <c r="AW395" s="108"/>
      <c r="AX395" s="11"/>
      <c r="AY395" s="13"/>
      <c r="AZ395" s="11"/>
      <c r="BA395" s="13"/>
      <c r="BB395" s="13"/>
      <c r="BC395" s="63"/>
      <c r="BD395" s="18"/>
      <c r="BE395" s="121" t="str">
        <f t="shared" si="360"/>
        <v/>
      </c>
      <c r="BF395" s="20"/>
      <c r="BG395" s="20"/>
      <c r="BH395" s="20"/>
      <c r="BI395" s="20"/>
      <c r="BJ395" s="125" t="str">
        <f t="shared" si="361"/>
        <v/>
      </c>
      <c r="BK395" s="14"/>
      <c r="BL395" s="125" t="str">
        <f t="shared" si="362"/>
        <v/>
      </c>
      <c r="BM395" s="20"/>
      <c r="BN395" s="20"/>
      <c r="BO395" s="125" t="str">
        <f t="shared" si="363"/>
        <v/>
      </c>
      <c r="BP395" s="14"/>
      <c r="BQ395" s="125" t="str">
        <f t="shared" si="364"/>
        <v/>
      </c>
      <c r="BR395" s="20"/>
      <c r="BS395" s="20"/>
      <c r="BT395" s="125" t="str">
        <f t="shared" si="365"/>
        <v/>
      </c>
      <c r="BU395" s="125" t="str">
        <f t="shared" si="366"/>
        <v/>
      </c>
      <c r="BV395" s="125" t="str">
        <f t="shared" si="367"/>
        <v/>
      </c>
      <c r="BW395" s="129" t="str">
        <f t="shared" si="368"/>
        <v/>
      </c>
      <c r="BX395" s="13"/>
      <c r="BY395" s="15"/>
      <c r="BZ395" s="14"/>
      <c r="CA395" s="117" t="str">
        <f>IF(_xlfn.XLOOKUP(BY395, AutoFill_classes!$A:$A, AutoFill_classes!$B:$B,"")=0,"",_xlfn.XLOOKUP(BY395, AutoFill_classes!$A:$A, AutoFill_classes!$B:$B,""))</f>
        <v/>
      </c>
      <c r="CB395" s="108"/>
      <c r="CC395" s="14"/>
      <c r="CD395" s="14"/>
      <c r="CE395" s="14"/>
      <c r="CF395" s="21"/>
      <c r="CG395" s="22"/>
      <c r="CH395" s="63"/>
      <c r="CI395" s="23"/>
      <c r="CJ395" s="121" t="str">
        <f t="shared" si="369"/>
        <v/>
      </c>
      <c r="CK395" s="20"/>
      <c r="CL395" s="20"/>
      <c r="CM395" s="20"/>
      <c r="CN395" s="20"/>
      <c r="CO395" s="125" t="str">
        <f t="shared" si="370"/>
        <v/>
      </c>
      <c r="CP395" s="14"/>
      <c r="CQ395" s="125" t="str">
        <f t="shared" si="371"/>
        <v/>
      </c>
      <c r="CR395" s="20"/>
      <c r="CS395" s="20"/>
      <c r="CT395" s="125" t="str">
        <f t="shared" si="372"/>
        <v/>
      </c>
      <c r="CU395" s="14"/>
      <c r="CV395" s="125" t="str">
        <f t="shared" si="373"/>
        <v/>
      </c>
      <c r="CW395" s="20"/>
      <c r="CX395" s="20"/>
      <c r="CY395" s="125" t="str">
        <f t="shared" si="374"/>
        <v/>
      </c>
      <c r="CZ395" s="125" t="str">
        <f t="shared" si="375"/>
        <v/>
      </c>
      <c r="DA395" s="125" t="str">
        <f t="shared" si="376"/>
        <v/>
      </c>
      <c r="DB395" s="129" t="str">
        <f t="shared" si="377"/>
        <v/>
      </c>
      <c r="DC395" s="14"/>
      <c r="DD395" s="62"/>
      <c r="DE395" s="105">
        <v>393</v>
      </c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</row>
    <row r="396" spans="1:176" s="1" customFormat="1" ht="13" hidden="1" customHeight="1" outlineLevel="1" x14ac:dyDescent="0.2">
      <c r="A396" s="4"/>
      <c r="B396" s="115" t="str">
        <f>IF(_xlfn.XLOOKUP(A396, AutoFill_names!B:B, AutoFill_names!C:C,"")=0,"",_xlfn.XLOOKUP(A396, AutoFill_names!B:B, AutoFill_names!C:C,""))</f>
        <v/>
      </c>
      <c r="C396" s="115" t="str">
        <f>IF(_xlfn.XLOOKUP(A396, AutoFill_names!B:B, AutoFill_names!D:D,"")=0,"",_xlfn.XLOOKUP(A396, AutoFill_names!B:B, AutoFill_names!D:D,""))</f>
        <v/>
      </c>
      <c r="D396" s="115" t="str">
        <f>IF(_xlfn.XLOOKUP(A396, AutoFill_names!B:B, AutoFill_names!E:E,"")=0,"",_xlfn.XLOOKUP(A396, AutoFill_names!B:B, AutoFill_names!E:E,""))</f>
        <v/>
      </c>
      <c r="E396" s="115" t="str">
        <f>IF(_xlfn.XLOOKUP(A396, AutoFill_names!B:B, AutoFill_names!F:F,"")=0,"",_xlfn.XLOOKUP(A396, AutoFill_names!B:B, AutoFill_names!F:F,""))</f>
        <v/>
      </c>
      <c r="F396" s="92"/>
      <c r="J396" s="115" t="str">
        <f>IF(_xlfn.XLOOKUP(A396, AutoFill_names!B:B, AutoFill_names!K:K,"")=0,"",_xlfn.XLOOKUP(A396, AutoFill_names!B:B, AutoFill_names!K:K,""))</f>
        <v/>
      </c>
      <c r="K396" s="115" t="str">
        <f>IF(_xlfn.XLOOKUP(A396, AutoFill_names!B:B, AutoFill_names!L:L,"")=0,"",_xlfn.XLOOKUP(A396, AutoFill_names!B:B, AutoFill_names!L:L,""))</f>
        <v/>
      </c>
      <c r="L396" s="31"/>
      <c r="M396" s="31"/>
      <c r="N396" s="117" t="str">
        <f>IF(_xlfn.XLOOKUP(L396, AutoFill_classes!A:A, AutoFill_classes!B:B,"")=0,"",_xlfn.XLOOKUP(L396, AutoFill_classes!A:A, AutoFill_classes!B:B,""))</f>
        <v/>
      </c>
      <c r="O396" s="108"/>
      <c r="P396" s="6"/>
      <c r="Q396" s="6"/>
      <c r="R396" s="6"/>
      <c r="S396" s="2"/>
      <c r="T396" s="3"/>
      <c r="U396" s="2"/>
      <c r="X396" s="63"/>
      <c r="Y396" s="19"/>
      <c r="Z396" s="121" t="str">
        <f t="shared" si="351"/>
        <v/>
      </c>
      <c r="AA396" s="20"/>
      <c r="AB396" s="20"/>
      <c r="AC396" s="20"/>
      <c r="AD396" s="20"/>
      <c r="AE396" s="125" t="str">
        <f t="shared" si="352"/>
        <v/>
      </c>
      <c r="AF396" s="14"/>
      <c r="AG396" s="125" t="str">
        <f t="shared" si="353"/>
        <v/>
      </c>
      <c r="AH396" s="20"/>
      <c r="AI396" s="20"/>
      <c r="AJ396" s="125" t="str">
        <f t="shared" si="354"/>
        <v/>
      </c>
      <c r="AK396" s="14"/>
      <c r="AL396" s="125" t="str">
        <f t="shared" si="355"/>
        <v/>
      </c>
      <c r="AM396" s="20"/>
      <c r="AN396" s="20"/>
      <c r="AO396" s="125" t="str">
        <f t="shared" si="356"/>
        <v/>
      </c>
      <c r="AP396" s="125" t="str">
        <f t="shared" si="357"/>
        <v/>
      </c>
      <c r="AQ396" s="125" t="str">
        <f t="shared" si="358"/>
        <v/>
      </c>
      <c r="AR396" s="129" t="str">
        <f t="shared" si="359"/>
        <v/>
      </c>
      <c r="AS396" s="14"/>
      <c r="AT396" s="13"/>
      <c r="AU396" s="13"/>
      <c r="AV396" s="117" t="str">
        <f>IF(_xlfn.XLOOKUP(AT396, AutoFill_classes!$A:$A, AutoFill_classes!$B:$B,"")=0,"",_xlfn.XLOOKUP(AT396, AutoFill_classes!$A:$A, AutoFill_classes!$B:$B,""))</f>
        <v/>
      </c>
      <c r="AW396" s="108"/>
      <c r="AX396" s="11"/>
      <c r="AY396" s="13"/>
      <c r="AZ396" s="11"/>
      <c r="BA396" s="13"/>
      <c r="BB396" s="13"/>
      <c r="BC396" s="63"/>
      <c r="BD396" s="18"/>
      <c r="BE396" s="121" t="str">
        <f t="shared" si="360"/>
        <v/>
      </c>
      <c r="BF396" s="20"/>
      <c r="BG396" s="20"/>
      <c r="BH396" s="20"/>
      <c r="BI396" s="20"/>
      <c r="BJ396" s="125" t="str">
        <f t="shared" si="361"/>
        <v/>
      </c>
      <c r="BK396" s="14"/>
      <c r="BL396" s="125" t="str">
        <f t="shared" si="362"/>
        <v/>
      </c>
      <c r="BM396" s="20"/>
      <c r="BN396" s="20"/>
      <c r="BO396" s="125" t="str">
        <f t="shared" si="363"/>
        <v/>
      </c>
      <c r="BP396" s="14"/>
      <c r="BQ396" s="125" t="str">
        <f t="shared" si="364"/>
        <v/>
      </c>
      <c r="BR396" s="20"/>
      <c r="BS396" s="20"/>
      <c r="BT396" s="125" t="str">
        <f t="shared" si="365"/>
        <v/>
      </c>
      <c r="BU396" s="125" t="str">
        <f t="shared" si="366"/>
        <v/>
      </c>
      <c r="BV396" s="125" t="str">
        <f t="shared" si="367"/>
        <v/>
      </c>
      <c r="BW396" s="129" t="str">
        <f t="shared" si="368"/>
        <v/>
      </c>
      <c r="BX396" s="13"/>
      <c r="BY396" s="15"/>
      <c r="BZ396" s="14"/>
      <c r="CA396" s="117" t="str">
        <f>IF(_xlfn.XLOOKUP(BY396, AutoFill_classes!$A:$A, AutoFill_classes!$B:$B,"")=0,"",_xlfn.XLOOKUP(BY396, AutoFill_classes!$A:$A, AutoFill_classes!$B:$B,""))</f>
        <v/>
      </c>
      <c r="CB396" s="108"/>
      <c r="CC396" s="14"/>
      <c r="CD396" s="14"/>
      <c r="CE396" s="14"/>
      <c r="CF396" s="21"/>
      <c r="CG396" s="22"/>
      <c r="CH396" s="63"/>
      <c r="CI396" s="23"/>
      <c r="CJ396" s="121" t="str">
        <f t="shared" si="369"/>
        <v/>
      </c>
      <c r="CK396" s="20"/>
      <c r="CL396" s="20"/>
      <c r="CM396" s="20"/>
      <c r="CN396" s="20"/>
      <c r="CO396" s="125" t="str">
        <f t="shared" si="370"/>
        <v/>
      </c>
      <c r="CP396" s="14"/>
      <c r="CQ396" s="125" t="str">
        <f t="shared" si="371"/>
        <v/>
      </c>
      <c r="CR396" s="20"/>
      <c r="CS396" s="20"/>
      <c r="CT396" s="125" t="str">
        <f t="shared" si="372"/>
        <v/>
      </c>
      <c r="CU396" s="14"/>
      <c r="CV396" s="125" t="str">
        <f t="shared" si="373"/>
        <v/>
      </c>
      <c r="CW396" s="20"/>
      <c r="CX396" s="20"/>
      <c r="CY396" s="125" t="str">
        <f t="shared" si="374"/>
        <v/>
      </c>
      <c r="CZ396" s="125" t="str">
        <f t="shared" si="375"/>
        <v/>
      </c>
      <c r="DA396" s="125" t="str">
        <f t="shared" si="376"/>
        <v/>
      </c>
      <c r="DB396" s="129" t="str">
        <f t="shared" si="377"/>
        <v/>
      </c>
      <c r="DC396" s="14"/>
      <c r="DD396" s="62"/>
      <c r="DE396" s="105">
        <v>394</v>
      </c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</row>
    <row r="397" spans="1:176" s="1" customFormat="1" ht="13" hidden="1" customHeight="1" outlineLevel="1" x14ac:dyDescent="0.2">
      <c r="A397" s="4"/>
      <c r="B397" s="115" t="str">
        <f>IF(_xlfn.XLOOKUP(A397, AutoFill_names!B:B, AutoFill_names!C:C,"")=0,"",_xlfn.XLOOKUP(A397, AutoFill_names!B:B, AutoFill_names!C:C,""))</f>
        <v/>
      </c>
      <c r="C397" s="115" t="str">
        <f>IF(_xlfn.XLOOKUP(A397, AutoFill_names!B:B, AutoFill_names!D:D,"")=0,"",_xlfn.XLOOKUP(A397, AutoFill_names!B:B, AutoFill_names!D:D,""))</f>
        <v/>
      </c>
      <c r="D397" s="115" t="str">
        <f>IF(_xlfn.XLOOKUP(A397, AutoFill_names!B:B, AutoFill_names!E:E,"")=0,"",_xlfn.XLOOKUP(A397, AutoFill_names!B:B, AutoFill_names!E:E,""))</f>
        <v/>
      </c>
      <c r="E397" s="115" t="str">
        <f>IF(_xlfn.XLOOKUP(A397, AutoFill_names!B:B, AutoFill_names!F:F,"")=0,"",_xlfn.XLOOKUP(A397, AutoFill_names!B:B, AutoFill_names!F:F,""))</f>
        <v/>
      </c>
      <c r="F397" s="92"/>
      <c r="J397" s="115" t="str">
        <f>IF(_xlfn.XLOOKUP(A397, AutoFill_names!B:B, AutoFill_names!K:K,"")=0,"",_xlfn.XLOOKUP(A397, AutoFill_names!B:B, AutoFill_names!K:K,""))</f>
        <v/>
      </c>
      <c r="K397" s="115" t="str">
        <f>IF(_xlfn.XLOOKUP(A397, AutoFill_names!B:B, AutoFill_names!L:L,"")=0,"",_xlfn.XLOOKUP(A397, AutoFill_names!B:B, AutoFill_names!L:L,""))</f>
        <v/>
      </c>
      <c r="L397" s="31"/>
      <c r="M397" s="31"/>
      <c r="N397" s="117" t="str">
        <f>IF(_xlfn.XLOOKUP(L397, AutoFill_classes!A:A, AutoFill_classes!B:B,"")=0,"",_xlfn.XLOOKUP(L397, AutoFill_classes!A:A, AutoFill_classes!B:B,""))</f>
        <v/>
      </c>
      <c r="O397" s="108"/>
      <c r="P397" s="6"/>
      <c r="Q397" s="6"/>
      <c r="R397" s="6"/>
      <c r="S397" s="2"/>
      <c r="T397" s="3"/>
      <c r="U397" s="2"/>
      <c r="X397" s="63"/>
      <c r="Y397" s="19"/>
      <c r="Z397" s="121" t="str">
        <f t="shared" si="351"/>
        <v/>
      </c>
      <c r="AA397" s="20"/>
      <c r="AB397" s="20"/>
      <c r="AC397" s="20"/>
      <c r="AD397" s="20"/>
      <c r="AE397" s="125" t="str">
        <f t="shared" si="352"/>
        <v/>
      </c>
      <c r="AF397" s="14"/>
      <c r="AG397" s="125" t="str">
        <f t="shared" si="353"/>
        <v/>
      </c>
      <c r="AH397" s="20"/>
      <c r="AI397" s="20"/>
      <c r="AJ397" s="125" t="str">
        <f t="shared" si="354"/>
        <v/>
      </c>
      <c r="AK397" s="14"/>
      <c r="AL397" s="125" t="str">
        <f t="shared" si="355"/>
        <v/>
      </c>
      <c r="AM397" s="20"/>
      <c r="AN397" s="20"/>
      <c r="AO397" s="125" t="str">
        <f t="shared" si="356"/>
        <v/>
      </c>
      <c r="AP397" s="125" t="str">
        <f t="shared" si="357"/>
        <v/>
      </c>
      <c r="AQ397" s="125" t="str">
        <f t="shared" si="358"/>
        <v/>
      </c>
      <c r="AR397" s="129" t="str">
        <f t="shared" si="359"/>
        <v/>
      </c>
      <c r="AS397" s="14"/>
      <c r="AT397" s="13"/>
      <c r="AU397" s="13"/>
      <c r="AV397" s="117" t="str">
        <f>IF(_xlfn.XLOOKUP(AT397, AutoFill_classes!$A:$A, AutoFill_classes!$B:$B,"")=0,"",_xlfn.XLOOKUP(AT397, AutoFill_classes!$A:$A, AutoFill_classes!$B:$B,""))</f>
        <v/>
      </c>
      <c r="AW397" s="108"/>
      <c r="AX397" s="11"/>
      <c r="AY397" s="13"/>
      <c r="AZ397" s="11"/>
      <c r="BA397" s="13"/>
      <c r="BB397" s="13"/>
      <c r="BC397" s="63"/>
      <c r="BD397" s="18"/>
      <c r="BE397" s="121" t="str">
        <f t="shared" si="360"/>
        <v/>
      </c>
      <c r="BF397" s="20"/>
      <c r="BG397" s="20"/>
      <c r="BH397" s="20"/>
      <c r="BI397" s="20"/>
      <c r="BJ397" s="125" t="str">
        <f t="shared" si="361"/>
        <v/>
      </c>
      <c r="BK397" s="14"/>
      <c r="BL397" s="125" t="str">
        <f t="shared" si="362"/>
        <v/>
      </c>
      <c r="BM397" s="20"/>
      <c r="BN397" s="20"/>
      <c r="BO397" s="125" t="str">
        <f t="shared" si="363"/>
        <v/>
      </c>
      <c r="BP397" s="14"/>
      <c r="BQ397" s="125" t="str">
        <f t="shared" si="364"/>
        <v/>
      </c>
      <c r="BR397" s="20"/>
      <c r="BS397" s="20"/>
      <c r="BT397" s="125" t="str">
        <f t="shared" si="365"/>
        <v/>
      </c>
      <c r="BU397" s="125" t="str">
        <f t="shared" si="366"/>
        <v/>
      </c>
      <c r="BV397" s="125" t="str">
        <f t="shared" si="367"/>
        <v/>
      </c>
      <c r="BW397" s="129" t="str">
        <f t="shared" si="368"/>
        <v/>
      </c>
      <c r="BX397" s="13"/>
      <c r="BY397" s="15"/>
      <c r="BZ397" s="14"/>
      <c r="CA397" s="117" t="str">
        <f>IF(_xlfn.XLOOKUP(BY397, AutoFill_classes!$A:$A, AutoFill_classes!$B:$B,"")=0,"",_xlfn.XLOOKUP(BY397, AutoFill_classes!$A:$A, AutoFill_classes!$B:$B,""))</f>
        <v/>
      </c>
      <c r="CB397" s="108"/>
      <c r="CC397" s="14"/>
      <c r="CD397" s="14"/>
      <c r="CE397" s="14"/>
      <c r="CF397" s="21"/>
      <c r="CG397" s="22"/>
      <c r="CH397" s="63"/>
      <c r="CI397" s="23"/>
      <c r="CJ397" s="121" t="str">
        <f t="shared" si="369"/>
        <v/>
      </c>
      <c r="CK397" s="20"/>
      <c r="CL397" s="20"/>
      <c r="CM397" s="20"/>
      <c r="CN397" s="20"/>
      <c r="CO397" s="125" t="str">
        <f t="shared" si="370"/>
        <v/>
      </c>
      <c r="CP397" s="14"/>
      <c r="CQ397" s="125" t="str">
        <f t="shared" si="371"/>
        <v/>
      </c>
      <c r="CR397" s="20"/>
      <c r="CS397" s="20"/>
      <c r="CT397" s="125" t="str">
        <f t="shared" si="372"/>
        <v/>
      </c>
      <c r="CU397" s="14"/>
      <c r="CV397" s="125" t="str">
        <f t="shared" si="373"/>
        <v/>
      </c>
      <c r="CW397" s="20"/>
      <c r="CX397" s="20"/>
      <c r="CY397" s="125" t="str">
        <f t="shared" si="374"/>
        <v/>
      </c>
      <c r="CZ397" s="125" t="str">
        <f t="shared" si="375"/>
        <v/>
      </c>
      <c r="DA397" s="125" t="str">
        <f t="shared" si="376"/>
        <v/>
      </c>
      <c r="DB397" s="129" t="str">
        <f t="shared" si="377"/>
        <v/>
      </c>
      <c r="DC397" s="14"/>
      <c r="DD397" s="62"/>
      <c r="DE397" s="105">
        <v>395</v>
      </c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</row>
    <row r="398" spans="1:176" s="1" customFormat="1" ht="13" hidden="1" customHeight="1" outlineLevel="1" x14ac:dyDescent="0.2">
      <c r="A398" s="4"/>
      <c r="B398" s="115" t="str">
        <f>IF(_xlfn.XLOOKUP(A398, AutoFill_names!B:B, AutoFill_names!C:C,"")=0,"",_xlfn.XLOOKUP(A398, AutoFill_names!B:B, AutoFill_names!C:C,""))</f>
        <v/>
      </c>
      <c r="C398" s="115" t="str">
        <f>IF(_xlfn.XLOOKUP(A398, AutoFill_names!B:B, AutoFill_names!D:D,"")=0,"",_xlfn.XLOOKUP(A398, AutoFill_names!B:B, AutoFill_names!D:D,""))</f>
        <v/>
      </c>
      <c r="D398" s="115" t="str">
        <f>IF(_xlfn.XLOOKUP(A398, AutoFill_names!B:B, AutoFill_names!E:E,"")=0,"",_xlfn.XLOOKUP(A398, AutoFill_names!B:B, AutoFill_names!E:E,""))</f>
        <v/>
      </c>
      <c r="E398" s="115" t="str">
        <f>IF(_xlfn.XLOOKUP(A398, AutoFill_names!B:B, AutoFill_names!F:F,"")=0,"",_xlfn.XLOOKUP(A398, AutoFill_names!B:B, AutoFill_names!F:F,""))</f>
        <v/>
      </c>
      <c r="F398" s="92"/>
      <c r="J398" s="115" t="str">
        <f>IF(_xlfn.XLOOKUP(A398, AutoFill_names!B:B, AutoFill_names!K:K,"")=0,"",_xlfn.XLOOKUP(A398, AutoFill_names!B:B, AutoFill_names!K:K,""))</f>
        <v/>
      </c>
      <c r="K398" s="115" t="str">
        <f>IF(_xlfn.XLOOKUP(A398, AutoFill_names!B:B, AutoFill_names!L:L,"")=0,"",_xlfn.XLOOKUP(A398, AutoFill_names!B:B, AutoFill_names!L:L,""))</f>
        <v/>
      </c>
      <c r="L398" s="31"/>
      <c r="M398" s="31"/>
      <c r="N398" s="117" t="str">
        <f>IF(_xlfn.XLOOKUP(L398, AutoFill_classes!A:A, AutoFill_classes!B:B,"")=0,"",_xlfn.XLOOKUP(L398, AutoFill_classes!A:A, AutoFill_classes!B:B,""))</f>
        <v/>
      </c>
      <c r="O398" s="108"/>
      <c r="P398" s="6"/>
      <c r="Q398" s="6"/>
      <c r="R398" s="6"/>
      <c r="S398" s="2"/>
      <c r="T398" s="3"/>
      <c r="U398" s="2"/>
      <c r="X398" s="63"/>
      <c r="Y398" s="19"/>
      <c r="Z398" s="121" t="str">
        <f t="shared" si="351"/>
        <v/>
      </c>
      <c r="AA398" s="20"/>
      <c r="AB398" s="20"/>
      <c r="AC398" s="20"/>
      <c r="AD398" s="20"/>
      <c r="AE398" s="125" t="str">
        <f t="shared" si="352"/>
        <v/>
      </c>
      <c r="AF398" s="14"/>
      <c r="AG398" s="125" t="str">
        <f t="shared" si="353"/>
        <v/>
      </c>
      <c r="AH398" s="20"/>
      <c r="AI398" s="20"/>
      <c r="AJ398" s="125" t="str">
        <f t="shared" si="354"/>
        <v/>
      </c>
      <c r="AK398" s="14"/>
      <c r="AL398" s="125" t="str">
        <f t="shared" si="355"/>
        <v/>
      </c>
      <c r="AM398" s="20"/>
      <c r="AN398" s="20"/>
      <c r="AO398" s="125" t="str">
        <f t="shared" si="356"/>
        <v/>
      </c>
      <c r="AP398" s="125" t="str">
        <f t="shared" si="357"/>
        <v/>
      </c>
      <c r="AQ398" s="125" t="str">
        <f t="shared" si="358"/>
        <v/>
      </c>
      <c r="AR398" s="129" t="str">
        <f t="shared" si="359"/>
        <v/>
      </c>
      <c r="AS398" s="14"/>
      <c r="AT398" s="13"/>
      <c r="AU398" s="13"/>
      <c r="AV398" s="117" t="str">
        <f>IF(_xlfn.XLOOKUP(AT398, AutoFill_classes!$A:$A, AutoFill_classes!$B:$B,"")=0,"",_xlfn.XLOOKUP(AT398, AutoFill_classes!$A:$A, AutoFill_classes!$B:$B,""))</f>
        <v/>
      </c>
      <c r="AW398" s="108"/>
      <c r="AX398" s="11"/>
      <c r="AY398" s="13"/>
      <c r="AZ398" s="11"/>
      <c r="BA398" s="13"/>
      <c r="BB398" s="13"/>
      <c r="BC398" s="63"/>
      <c r="BD398" s="18"/>
      <c r="BE398" s="121" t="str">
        <f t="shared" si="360"/>
        <v/>
      </c>
      <c r="BF398" s="20"/>
      <c r="BG398" s="20"/>
      <c r="BH398" s="20"/>
      <c r="BI398" s="20"/>
      <c r="BJ398" s="125" t="str">
        <f t="shared" si="361"/>
        <v/>
      </c>
      <c r="BK398" s="14"/>
      <c r="BL398" s="125" t="str">
        <f t="shared" si="362"/>
        <v/>
      </c>
      <c r="BM398" s="20"/>
      <c r="BN398" s="20"/>
      <c r="BO398" s="125" t="str">
        <f t="shared" si="363"/>
        <v/>
      </c>
      <c r="BP398" s="14"/>
      <c r="BQ398" s="125" t="str">
        <f t="shared" si="364"/>
        <v/>
      </c>
      <c r="BR398" s="20"/>
      <c r="BS398" s="20"/>
      <c r="BT398" s="125" t="str">
        <f t="shared" si="365"/>
        <v/>
      </c>
      <c r="BU398" s="125" t="str">
        <f t="shared" si="366"/>
        <v/>
      </c>
      <c r="BV398" s="125" t="str">
        <f t="shared" si="367"/>
        <v/>
      </c>
      <c r="BW398" s="129" t="str">
        <f t="shared" si="368"/>
        <v/>
      </c>
      <c r="BX398" s="13"/>
      <c r="BY398" s="15"/>
      <c r="BZ398" s="14"/>
      <c r="CA398" s="117" t="str">
        <f>IF(_xlfn.XLOOKUP(BY398, AutoFill_classes!$A:$A, AutoFill_classes!$B:$B,"")=0,"",_xlfn.XLOOKUP(BY398, AutoFill_classes!$A:$A, AutoFill_classes!$B:$B,""))</f>
        <v/>
      </c>
      <c r="CB398" s="108"/>
      <c r="CC398" s="14"/>
      <c r="CD398" s="14"/>
      <c r="CE398" s="14"/>
      <c r="CF398" s="21"/>
      <c r="CG398" s="22"/>
      <c r="CH398" s="63"/>
      <c r="CI398" s="23"/>
      <c r="CJ398" s="121" t="str">
        <f t="shared" si="369"/>
        <v/>
      </c>
      <c r="CK398" s="20"/>
      <c r="CL398" s="20"/>
      <c r="CM398" s="20"/>
      <c r="CN398" s="20"/>
      <c r="CO398" s="125" t="str">
        <f t="shared" si="370"/>
        <v/>
      </c>
      <c r="CP398" s="14"/>
      <c r="CQ398" s="125" t="str">
        <f t="shared" si="371"/>
        <v/>
      </c>
      <c r="CR398" s="20"/>
      <c r="CS398" s="20"/>
      <c r="CT398" s="125" t="str">
        <f t="shared" si="372"/>
        <v/>
      </c>
      <c r="CU398" s="14"/>
      <c r="CV398" s="125" t="str">
        <f t="shared" si="373"/>
        <v/>
      </c>
      <c r="CW398" s="20"/>
      <c r="CX398" s="20"/>
      <c r="CY398" s="125" t="str">
        <f t="shared" si="374"/>
        <v/>
      </c>
      <c r="CZ398" s="125" t="str">
        <f t="shared" si="375"/>
        <v/>
      </c>
      <c r="DA398" s="125" t="str">
        <f t="shared" si="376"/>
        <v/>
      </c>
      <c r="DB398" s="129" t="str">
        <f t="shared" si="377"/>
        <v/>
      </c>
      <c r="DC398" s="14"/>
      <c r="DD398" s="62"/>
      <c r="DE398" s="105">
        <v>396</v>
      </c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</row>
    <row r="399" spans="1:176" s="1" customFormat="1" ht="13" hidden="1" customHeight="1" outlineLevel="1" x14ac:dyDescent="0.2">
      <c r="A399" s="4"/>
      <c r="B399" s="115" t="str">
        <f>IF(_xlfn.XLOOKUP(A399, AutoFill_names!B:B, AutoFill_names!C:C,"")=0,"",_xlfn.XLOOKUP(A399, AutoFill_names!B:B, AutoFill_names!C:C,""))</f>
        <v/>
      </c>
      <c r="C399" s="115" t="str">
        <f>IF(_xlfn.XLOOKUP(A399, AutoFill_names!B:B, AutoFill_names!D:D,"")=0,"",_xlfn.XLOOKUP(A399, AutoFill_names!B:B, AutoFill_names!D:D,""))</f>
        <v/>
      </c>
      <c r="D399" s="115" t="str">
        <f>IF(_xlfn.XLOOKUP(A399, AutoFill_names!B:B, AutoFill_names!E:E,"")=0,"",_xlfn.XLOOKUP(A399, AutoFill_names!B:B, AutoFill_names!E:E,""))</f>
        <v/>
      </c>
      <c r="E399" s="115" t="str">
        <f>IF(_xlfn.XLOOKUP(A399, AutoFill_names!B:B, AutoFill_names!F:F,"")=0,"",_xlfn.XLOOKUP(A399, AutoFill_names!B:B, AutoFill_names!F:F,""))</f>
        <v/>
      </c>
      <c r="F399" s="92"/>
      <c r="J399" s="115" t="str">
        <f>IF(_xlfn.XLOOKUP(A399, AutoFill_names!B:B, AutoFill_names!K:K,"")=0,"",_xlfn.XLOOKUP(A399, AutoFill_names!B:B, AutoFill_names!K:K,""))</f>
        <v/>
      </c>
      <c r="K399" s="115" t="str">
        <f>IF(_xlfn.XLOOKUP(A399, AutoFill_names!B:B, AutoFill_names!L:L,"")=0,"",_xlfn.XLOOKUP(A399, AutoFill_names!B:B, AutoFill_names!L:L,""))</f>
        <v/>
      </c>
      <c r="L399" s="31"/>
      <c r="M399" s="31"/>
      <c r="N399" s="117" t="str">
        <f>IF(_xlfn.XLOOKUP(L399, AutoFill_classes!A:A, AutoFill_classes!B:B,"")=0,"",_xlfn.XLOOKUP(L399, AutoFill_classes!A:A, AutoFill_classes!B:B,""))</f>
        <v/>
      </c>
      <c r="O399" s="108"/>
      <c r="P399" s="6"/>
      <c r="Q399" s="6"/>
      <c r="R399" s="6"/>
      <c r="S399" s="2"/>
      <c r="T399" s="3"/>
      <c r="U399" s="2"/>
      <c r="X399" s="63"/>
      <c r="Y399" s="19"/>
      <c r="Z399" s="121" t="str">
        <f t="shared" si="351"/>
        <v/>
      </c>
      <c r="AA399" s="20"/>
      <c r="AB399" s="20"/>
      <c r="AC399" s="20"/>
      <c r="AD399" s="20"/>
      <c r="AE399" s="125" t="str">
        <f t="shared" si="352"/>
        <v/>
      </c>
      <c r="AF399" s="14"/>
      <c r="AG399" s="125" t="str">
        <f t="shared" si="353"/>
        <v/>
      </c>
      <c r="AH399" s="20"/>
      <c r="AI399" s="20"/>
      <c r="AJ399" s="125" t="str">
        <f t="shared" si="354"/>
        <v/>
      </c>
      <c r="AK399" s="14"/>
      <c r="AL399" s="125" t="str">
        <f t="shared" si="355"/>
        <v/>
      </c>
      <c r="AM399" s="20"/>
      <c r="AN399" s="20"/>
      <c r="AO399" s="125" t="str">
        <f t="shared" si="356"/>
        <v/>
      </c>
      <c r="AP399" s="125" t="str">
        <f t="shared" si="357"/>
        <v/>
      </c>
      <c r="AQ399" s="125" t="str">
        <f t="shared" si="358"/>
        <v/>
      </c>
      <c r="AR399" s="129" t="str">
        <f t="shared" si="359"/>
        <v/>
      </c>
      <c r="AS399" s="14"/>
      <c r="AT399" s="13"/>
      <c r="AU399" s="13"/>
      <c r="AV399" s="117" t="str">
        <f>IF(_xlfn.XLOOKUP(AT399, AutoFill_classes!$A:$A, AutoFill_classes!$B:$B,"")=0,"",_xlfn.XLOOKUP(AT399, AutoFill_classes!$A:$A, AutoFill_classes!$B:$B,""))</f>
        <v/>
      </c>
      <c r="AW399" s="108"/>
      <c r="AX399" s="11"/>
      <c r="AY399" s="13"/>
      <c r="AZ399" s="11"/>
      <c r="BA399" s="13"/>
      <c r="BB399" s="13"/>
      <c r="BC399" s="63"/>
      <c r="BD399" s="18"/>
      <c r="BE399" s="121" t="str">
        <f t="shared" si="360"/>
        <v/>
      </c>
      <c r="BF399" s="20"/>
      <c r="BG399" s="20"/>
      <c r="BH399" s="20"/>
      <c r="BI399" s="20"/>
      <c r="BJ399" s="125" t="str">
        <f t="shared" si="361"/>
        <v/>
      </c>
      <c r="BK399" s="14"/>
      <c r="BL399" s="125" t="str">
        <f t="shared" si="362"/>
        <v/>
      </c>
      <c r="BM399" s="20"/>
      <c r="BN399" s="20"/>
      <c r="BO399" s="125" t="str">
        <f t="shared" si="363"/>
        <v/>
      </c>
      <c r="BP399" s="14"/>
      <c r="BQ399" s="125" t="str">
        <f t="shared" si="364"/>
        <v/>
      </c>
      <c r="BR399" s="20"/>
      <c r="BS399" s="20"/>
      <c r="BT399" s="125" t="str">
        <f t="shared" si="365"/>
        <v/>
      </c>
      <c r="BU399" s="125" t="str">
        <f t="shared" si="366"/>
        <v/>
      </c>
      <c r="BV399" s="125" t="str">
        <f t="shared" si="367"/>
        <v/>
      </c>
      <c r="BW399" s="129" t="str">
        <f t="shared" si="368"/>
        <v/>
      </c>
      <c r="BX399" s="13"/>
      <c r="BY399" s="15"/>
      <c r="BZ399" s="14"/>
      <c r="CA399" s="117" t="str">
        <f>IF(_xlfn.XLOOKUP(BY399, AutoFill_classes!$A:$A, AutoFill_classes!$B:$B,"")=0,"",_xlfn.XLOOKUP(BY399, AutoFill_classes!$A:$A, AutoFill_classes!$B:$B,""))</f>
        <v/>
      </c>
      <c r="CB399" s="108"/>
      <c r="CC399" s="14"/>
      <c r="CD399" s="14"/>
      <c r="CE399" s="14"/>
      <c r="CF399" s="21"/>
      <c r="CG399" s="22"/>
      <c r="CH399" s="63"/>
      <c r="CI399" s="23"/>
      <c r="CJ399" s="121" t="str">
        <f t="shared" si="369"/>
        <v/>
      </c>
      <c r="CK399" s="20"/>
      <c r="CL399" s="20"/>
      <c r="CM399" s="20"/>
      <c r="CN399" s="20"/>
      <c r="CO399" s="125" t="str">
        <f t="shared" si="370"/>
        <v/>
      </c>
      <c r="CP399" s="14"/>
      <c r="CQ399" s="125" t="str">
        <f t="shared" si="371"/>
        <v/>
      </c>
      <c r="CR399" s="20"/>
      <c r="CS399" s="20"/>
      <c r="CT399" s="125" t="str">
        <f t="shared" si="372"/>
        <v/>
      </c>
      <c r="CU399" s="14"/>
      <c r="CV399" s="125" t="str">
        <f t="shared" si="373"/>
        <v/>
      </c>
      <c r="CW399" s="20"/>
      <c r="CX399" s="20"/>
      <c r="CY399" s="125" t="str">
        <f t="shared" si="374"/>
        <v/>
      </c>
      <c r="CZ399" s="125" t="str">
        <f t="shared" si="375"/>
        <v/>
      </c>
      <c r="DA399" s="125" t="str">
        <f t="shared" si="376"/>
        <v/>
      </c>
      <c r="DB399" s="129" t="str">
        <f t="shared" si="377"/>
        <v/>
      </c>
      <c r="DC399" s="14"/>
      <c r="DD399" s="62"/>
      <c r="DE399" s="105">
        <v>397</v>
      </c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</row>
    <row r="400" spans="1:176" s="1" customFormat="1" ht="13" hidden="1" customHeight="1" outlineLevel="1" x14ac:dyDescent="0.2">
      <c r="A400" s="4"/>
      <c r="B400" s="115" t="str">
        <f>IF(_xlfn.XLOOKUP(A400, AutoFill_names!B:B, AutoFill_names!C:C,"")=0,"",_xlfn.XLOOKUP(A400, AutoFill_names!B:B, AutoFill_names!C:C,""))</f>
        <v/>
      </c>
      <c r="C400" s="115" t="str">
        <f>IF(_xlfn.XLOOKUP(A400, AutoFill_names!B:B, AutoFill_names!D:D,"")=0,"",_xlfn.XLOOKUP(A400, AutoFill_names!B:B, AutoFill_names!D:D,""))</f>
        <v/>
      </c>
      <c r="D400" s="115" t="str">
        <f>IF(_xlfn.XLOOKUP(A400, AutoFill_names!B:B, AutoFill_names!E:E,"")=0,"",_xlfn.XLOOKUP(A400, AutoFill_names!B:B, AutoFill_names!E:E,""))</f>
        <v/>
      </c>
      <c r="E400" s="115" t="str">
        <f>IF(_xlfn.XLOOKUP(A400, AutoFill_names!B:B, AutoFill_names!F:F,"")=0,"",_xlfn.XLOOKUP(A400, AutoFill_names!B:B, AutoFill_names!F:F,""))</f>
        <v/>
      </c>
      <c r="F400" s="92"/>
      <c r="J400" s="115" t="str">
        <f>IF(_xlfn.XLOOKUP(A400, AutoFill_names!B:B, AutoFill_names!K:K,"")=0,"",_xlfn.XLOOKUP(A400, AutoFill_names!B:B, AutoFill_names!K:K,""))</f>
        <v/>
      </c>
      <c r="K400" s="115" t="str">
        <f>IF(_xlfn.XLOOKUP(A400, AutoFill_names!B:B, AutoFill_names!L:L,"")=0,"",_xlfn.XLOOKUP(A400, AutoFill_names!B:B, AutoFill_names!L:L,""))</f>
        <v/>
      </c>
      <c r="L400" s="31"/>
      <c r="M400" s="31"/>
      <c r="N400" s="117" t="str">
        <f>IF(_xlfn.XLOOKUP(L400, AutoFill_classes!A:A, AutoFill_classes!B:B,"")=0,"",_xlfn.XLOOKUP(L400, AutoFill_classes!A:A, AutoFill_classes!B:B,""))</f>
        <v/>
      </c>
      <c r="O400" s="108"/>
      <c r="P400" s="6"/>
      <c r="Q400" s="6"/>
      <c r="R400" s="6"/>
      <c r="S400" s="2"/>
      <c r="T400" s="3"/>
      <c r="U400" s="2"/>
      <c r="X400" s="63"/>
      <c r="Y400" s="19"/>
      <c r="Z400" s="121" t="str">
        <f t="shared" si="351"/>
        <v/>
      </c>
      <c r="AA400" s="20"/>
      <c r="AB400" s="20"/>
      <c r="AC400" s="20"/>
      <c r="AD400" s="20"/>
      <c r="AE400" s="125" t="str">
        <f t="shared" si="352"/>
        <v/>
      </c>
      <c r="AF400" s="14"/>
      <c r="AG400" s="125" t="str">
        <f t="shared" si="353"/>
        <v/>
      </c>
      <c r="AH400" s="20"/>
      <c r="AI400" s="20"/>
      <c r="AJ400" s="125" t="str">
        <f t="shared" si="354"/>
        <v/>
      </c>
      <c r="AK400" s="14"/>
      <c r="AL400" s="125" t="str">
        <f t="shared" si="355"/>
        <v/>
      </c>
      <c r="AM400" s="20"/>
      <c r="AN400" s="20"/>
      <c r="AO400" s="125" t="str">
        <f t="shared" si="356"/>
        <v/>
      </c>
      <c r="AP400" s="125" t="str">
        <f t="shared" si="357"/>
        <v/>
      </c>
      <c r="AQ400" s="125" t="str">
        <f t="shared" si="358"/>
        <v/>
      </c>
      <c r="AR400" s="129" t="str">
        <f t="shared" si="359"/>
        <v/>
      </c>
      <c r="AS400" s="14"/>
      <c r="AT400" s="13"/>
      <c r="AU400" s="13"/>
      <c r="AV400" s="117" t="str">
        <f>IF(_xlfn.XLOOKUP(AT400, AutoFill_classes!$A:$A, AutoFill_classes!$B:$B,"")=0,"",_xlfn.XLOOKUP(AT400, AutoFill_classes!$A:$A, AutoFill_classes!$B:$B,""))</f>
        <v/>
      </c>
      <c r="AW400" s="108"/>
      <c r="AX400" s="11"/>
      <c r="AY400" s="13"/>
      <c r="AZ400" s="11"/>
      <c r="BA400" s="13"/>
      <c r="BB400" s="13"/>
      <c r="BC400" s="63"/>
      <c r="BD400" s="18"/>
      <c r="BE400" s="121" t="str">
        <f t="shared" si="360"/>
        <v/>
      </c>
      <c r="BF400" s="20"/>
      <c r="BG400" s="20"/>
      <c r="BH400" s="20"/>
      <c r="BI400" s="20"/>
      <c r="BJ400" s="125" t="str">
        <f t="shared" si="361"/>
        <v/>
      </c>
      <c r="BK400" s="14"/>
      <c r="BL400" s="125" t="str">
        <f t="shared" si="362"/>
        <v/>
      </c>
      <c r="BM400" s="20"/>
      <c r="BN400" s="20"/>
      <c r="BO400" s="125" t="str">
        <f t="shared" si="363"/>
        <v/>
      </c>
      <c r="BP400" s="14"/>
      <c r="BQ400" s="125" t="str">
        <f t="shared" si="364"/>
        <v/>
      </c>
      <c r="BR400" s="20"/>
      <c r="BS400" s="20"/>
      <c r="BT400" s="125" t="str">
        <f t="shared" si="365"/>
        <v/>
      </c>
      <c r="BU400" s="125" t="str">
        <f t="shared" si="366"/>
        <v/>
      </c>
      <c r="BV400" s="125" t="str">
        <f t="shared" si="367"/>
        <v/>
      </c>
      <c r="BW400" s="129" t="str">
        <f t="shared" si="368"/>
        <v/>
      </c>
      <c r="BX400" s="13"/>
      <c r="BY400" s="15"/>
      <c r="BZ400" s="14"/>
      <c r="CA400" s="117" t="str">
        <f>IF(_xlfn.XLOOKUP(BY400, AutoFill_classes!$A:$A, AutoFill_classes!$B:$B,"")=0,"",_xlfn.XLOOKUP(BY400, AutoFill_classes!$A:$A, AutoFill_classes!$B:$B,""))</f>
        <v/>
      </c>
      <c r="CB400" s="108"/>
      <c r="CC400" s="14"/>
      <c r="CD400" s="14"/>
      <c r="CE400" s="14"/>
      <c r="CF400" s="21"/>
      <c r="CG400" s="22"/>
      <c r="CH400" s="63"/>
      <c r="CI400" s="23"/>
      <c r="CJ400" s="121" t="str">
        <f t="shared" si="369"/>
        <v/>
      </c>
      <c r="CK400" s="20"/>
      <c r="CL400" s="20"/>
      <c r="CM400" s="20"/>
      <c r="CN400" s="20"/>
      <c r="CO400" s="125" t="str">
        <f t="shared" si="370"/>
        <v/>
      </c>
      <c r="CP400" s="14"/>
      <c r="CQ400" s="125" t="str">
        <f t="shared" si="371"/>
        <v/>
      </c>
      <c r="CR400" s="20"/>
      <c r="CS400" s="20"/>
      <c r="CT400" s="125" t="str">
        <f t="shared" si="372"/>
        <v/>
      </c>
      <c r="CU400" s="14"/>
      <c r="CV400" s="125" t="str">
        <f t="shared" si="373"/>
        <v/>
      </c>
      <c r="CW400" s="20"/>
      <c r="CX400" s="20"/>
      <c r="CY400" s="125" t="str">
        <f t="shared" si="374"/>
        <v/>
      </c>
      <c r="CZ400" s="125" t="str">
        <f t="shared" si="375"/>
        <v/>
      </c>
      <c r="DA400" s="125" t="str">
        <f t="shared" si="376"/>
        <v/>
      </c>
      <c r="DB400" s="129" t="str">
        <f t="shared" si="377"/>
        <v/>
      </c>
      <c r="DC400" s="14"/>
      <c r="DD400" s="62"/>
      <c r="DE400" s="105">
        <v>398</v>
      </c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</row>
    <row r="401" spans="1:176" s="1" customFormat="1" ht="13" hidden="1" customHeight="1" outlineLevel="1" x14ac:dyDescent="0.2">
      <c r="A401" s="4"/>
      <c r="B401" s="115" t="str">
        <f>IF(_xlfn.XLOOKUP(A401, AutoFill_names!B:B, AutoFill_names!C:C,"")=0,"",_xlfn.XLOOKUP(A401, AutoFill_names!B:B, AutoFill_names!C:C,""))</f>
        <v/>
      </c>
      <c r="C401" s="115" t="str">
        <f>IF(_xlfn.XLOOKUP(A401, AutoFill_names!B:B, AutoFill_names!D:D,"")=0,"",_xlfn.XLOOKUP(A401, AutoFill_names!B:B, AutoFill_names!D:D,""))</f>
        <v/>
      </c>
      <c r="D401" s="115" t="str">
        <f>IF(_xlfn.XLOOKUP(A401, AutoFill_names!B:B, AutoFill_names!E:E,"")=0,"",_xlfn.XLOOKUP(A401, AutoFill_names!B:B, AutoFill_names!E:E,""))</f>
        <v/>
      </c>
      <c r="E401" s="115" t="str">
        <f>IF(_xlfn.XLOOKUP(A401, AutoFill_names!B:B, AutoFill_names!F:F,"")=0,"",_xlfn.XLOOKUP(A401, AutoFill_names!B:B, AutoFill_names!F:F,""))</f>
        <v/>
      </c>
      <c r="F401" s="92"/>
      <c r="J401" s="115" t="str">
        <f>IF(_xlfn.XLOOKUP(A401, AutoFill_names!B:B, AutoFill_names!K:K,"")=0,"",_xlfn.XLOOKUP(A401, AutoFill_names!B:B, AutoFill_names!K:K,""))</f>
        <v/>
      </c>
      <c r="K401" s="115" t="str">
        <f>IF(_xlfn.XLOOKUP(A401, AutoFill_names!B:B, AutoFill_names!L:L,"")=0,"",_xlfn.XLOOKUP(A401, AutoFill_names!B:B, AutoFill_names!L:L,""))</f>
        <v/>
      </c>
      <c r="L401" s="31"/>
      <c r="M401" s="31"/>
      <c r="N401" s="117" t="str">
        <f>IF(_xlfn.XLOOKUP(L401, AutoFill_classes!A:A, AutoFill_classes!B:B,"")=0,"",_xlfn.XLOOKUP(L401, AutoFill_classes!A:A, AutoFill_classes!B:B,""))</f>
        <v/>
      </c>
      <c r="O401" s="108"/>
      <c r="P401" s="6"/>
      <c r="Q401" s="6"/>
      <c r="R401" s="6"/>
      <c r="S401" s="2"/>
      <c r="T401" s="3"/>
      <c r="U401" s="2"/>
      <c r="X401" s="63"/>
      <c r="Y401" s="19"/>
      <c r="Z401" s="121" t="str">
        <f t="shared" si="351"/>
        <v/>
      </c>
      <c r="AA401" s="20"/>
      <c r="AB401" s="20"/>
      <c r="AC401" s="20"/>
      <c r="AD401" s="20"/>
      <c r="AE401" s="125" t="str">
        <f t="shared" si="352"/>
        <v/>
      </c>
      <c r="AF401" s="14"/>
      <c r="AG401" s="125" t="str">
        <f t="shared" si="353"/>
        <v/>
      </c>
      <c r="AH401" s="20"/>
      <c r="AI401" s="20"/>
      <c r="AJ401" s="125" t="str">
        <f t="shared" si="354"/>
        <v/>
      </c>
      <c r="AK401" s="14"/>
      <c r="AL401" s="125" t="str">
        <f t="shared" si="355"/>
        <v/>
      </c>
      <c r="AM401" s="20"/>
      <c r="AN401" s="20"/>
      <c r="AO401" s="125" t="str">
        <f t="shared" si="356"/>
        <v/>
      </c>
      <c r="AP401" s="125" t="str">
        <f t="shared" si="357"/>
        <v/>
      </c>
      <c r="AQ401" s="125" t="str">
        <f t="shared" si="358"/>
        <v/>
      </c>
      <c r="AR401" s="129" t="str">
        <f t="shared" si="359"/>
        <v/>
      </c>
      <c r="AS401" s="14"/>
      <c r="AT401" s="13"/>
      <c r="AU401" s="13"/>
      <c r="AV401" s="117" t="str">
        <f>IF(_xlfn.XLOOKUP(AT401, AutoFill_classes!$A:$A, AutoFill_classes!$B:$B,"")=0,"",_xlfn.XLOOKUP(AT401, AutoFill_classes!$A:$A, AutoFill_classes!$B:$B,""))</f>
        <v/>
      </c>
      <c r="AW401" s="108"/>
      <c r="AX401" s="11"/>
      <c r="AY401" s="13"/>
      <c r="AZ401" s="11"/>
      <c r="BA401" s="13"/>
      <c r="BB401" s="13"/>
      <c r="BC401" s="63"/>
      <c r="BD401" s="18"/>
      <c r="BE401" s="121" t="str">
        <f t="shared" si="360"/>
        <v/>
      </c>
      <c r="BF401" s="20"/>
      <c r="BG401" s="20"/>
      <c r="BH401" s="20"/>
      <c r="BI401" s="20"/>
      <c r="BJ401" s="125" t="str">
        <f t="shared" si="361"/>
        <v/>
      </c>
      <c r="BK401" s="14"/>
      <c r="BL401" s="125" t="str">
        <f t="shared" si="362"/>
        <v/>
      </c>
      <c r="BM401" s="20"/>
      <c r="BN401" s="20"/>
      <c r="BO401" s="125" t="str">
        <f t="shared" si="363"/>
        <v/>
      </c>
      <c r="BP401" s="14"/>
      <c r="BQ401" s="125" t="str">
        <f t="shared" si="364"/>
        <v/>
      </c>
      <c r="BR401" s="20"/>
      <c r="BS401" s="20"/>
      <c r="BT401" s="125" t="str">
        <f t="shared" si="365"/>
        <v/>
      </c>
      <c r="BU401" s="125" t="str">
        <f t="shared" si="366"/>
        <v/>
      </c>
      <c r="BV401" s="125" t="str">
        <f t="shared" si="367"/>
        <v/>
      </c>
      <c r="BW401" s="129" t="str">
        <f t="shared" si="368"/>
        <v/>
      </c>
      <c r="BX401" s="13"/>
      <c r="BY401" s="15"/>
      <c r="BZ401" s="14"/>
      <c r="CA401" s="117" t="str">
        <f>IF(_xlfn.XLOOKUP(BY401, AutoFill_classes!$A:$A, AutoFill_classes!$B:$B,"")=0,"",_xlfn.XLOOKUP(BY401, AutoFill_classes!$A:$A, AutoFill_classes!$B:$B,""))</f>
        <v/>
      </c>
      <c r="CB401" s="108"/>
      <c r="CC401" s="14"/>
      <c r="CD401" s="14"/>
      <c r="CE401" s="14"/>
      <c r="CF401" s="21"/>
      <c r="CG401" s="22"/>
      <c r="CH401" s="63"/>
      <c r="CI401" s="23"/>
      <c r="CJ401" s="121" t="str">
        <f t="shared" si="369"/>
        <v/>
      </c>
      <c r="CK401" s="20"/>
      <c r="CL401" s="20"/>
      <c r="CM401" s="20"/>
      <c r="CN401" s="20"/>
      <c r="CO401" s="125" t="str">
        <f t="shared" si="370"/>
        <v/>
      </c>
      <c r="CP401" s="14"/>
      <c r="CQ401" s="125" t="str">
        <f t="shared" si="371"/>
        <v/>
      </c>
      <c r="CR401" s="20"/>
      <c r="CS401" s="20"/>
      <c r="CT401" s="125" t="str">
        <f t="shared" si="372"/>
        <v/>
      </c>
      <c r="CU401" s="14"/>
      <c r="CV401" s="125" t="str">
        <f t="shared" si="373"/>
        <v/>
      </c>
      <c r="CW401" s="20"/>
      <c r="CX401" s="20"/>
      <c r="CY401" s="125" t="str">
        <f t="shared" si="374"/>
        <v/>
      </c>
      <c r="CZ401" s="125" t="str">
        <f t="shared" si="375"/>
        <v/>
      </c>
      <c r="DA401" s="125" t="str">
        <f t="shared" si="376"/>
        <v/>
      </c>
      <c r="DB401" s="129" t="str">
        <f t="shared" si="377"/>
        <v/>
      </c>
      <c r="DC401" s="14"/>
      <c r="DD401" s="62"/>
      <c r="DE401" s="105">
        <v>399</v>
      </c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</row>
    <row r="402" spans="1:176" s="1" customFormat="1" ht="13" hidden="1" customHeight="1" outlineLevel="1" x14ac:dyDescent="0.2">
      <c r="A402" s="4"/>
      <c r="B402" s="115" t="str">
        <f>IF(_xlfn.XLOOKUP(A402, AutoFill_names!B:B, AutoFill_names!C:C,"")=0,"",_xlfn.XLOOKUP(A402, AutoFill_names!B:B, AutoFill_names!C:C,""))</f>
        <v/>
      </c>
      <c r="C402" s="115" t="str">
        <f>IF(_xlfn.XLOOKUP(A402, AutoFill_names!B:B, AutoFill_names!D:D,"")=0,"",_xlfn.XLOOKUP(A402, AutoFill_names!B:B, AutoFill_names!D:D,""))</f>
        <v/>
      </c>
      <c r="D402" s="115" t="str">
        <f>IF(_xlfn.XLOOKUP(A402, AutoFill_names!B:B, AutoFill_names!E:E,"")=0,"",_xlfn.XLOOKUP(A402, AutoFill_names!B:B, AutoFill_names!E:E,""))</f>
        <v/>
      </c>
      <c r="E402" s="115" t="str">
        <f>IF(_xlfn.XLOOKUP(A402, AutoFill_names!B:B, AutoFill_names!F:F,"")=0,"",_xlfn.XLOOKUP(A402, AutoFill_names!B:B, AutoFill_names!F:F,""))</f>
        <v/>
      </c>
      <c r="F402" s="92"/>
      <c r="J402" s="115" t="str">
        <f>IF(_xlfn.XLOOKUP(A402, AutoFill_names!B:B, AutoFill_names!K:K,"")=0,"",_xlfn.XLOOKUP(A402, AutoFill_names!B:B, AutoFill_names!K:K,""))</f>
        <v/>
      </c>
      <c r="K402" s="115" t="str">
        <f>IF(_xlfn.XLOOKUP(A402, AutoFill_names!B:B, AutoFill_names!L:L,"")=0,"",_xlfn.XLOOKUP(A402, AutoFill_names!B:B, AutoFill_names!L:L,""))</f>
        <v/>
      </c>
      <c r="L402" s="31"/>
      <c r="M402" s="31"/>
      <c r="N402" s="117" t="str">
        <f>IF(_xlfn.XLOOKUP(L402, AutoFill_classes!A:A, AutoFill_classes!B:B,"")=0,"",_xlfn.XLOOKUP(L402, AutoFill_classes!A:A, AutoFill_classes!B:B,""))</f>
        <v/>
      </c>
      <c r="O402" s="108"/>
      <c r="P402" s="6"/>
      <c r="Q402" s="6"/>
      <c r="R402" s="6"/>
      <c r="S402" s="2"/>
      <c r="T402" s="3"/>
      <c r="U402" s="2"/>
      <c r="X402" s="63"/>
      <c r="Y402" s="19"/>
      <c r="Z402" s="121" t="str">
        <f t="shared" si="351"/>
        <v/>
      </c>
      <c r="AA402" s="20"/>
      <c r="AB402" s="20"/>
      <c r="AC402" s="20"/>
      <c r="AD402" s="20"/>
      <c r="AE402" s="125" t="str">
        <f t="shared" si="352"/>
        <v/>
      </c>
      <c r="AF402" s="14"/>
      <c r="AG402" s="125" t="str">
        <f t="shared" si="353"/>
        <v/>
      </c>
      <c r="AH402" s="20"/>
      <c r="AI402" s="20"/>
      <c r="AJ402" s="125" t="str">
        <f t="shared" si="354"/>
        <v/>
      </c>
      <c r="AK402" s="14"/>
      <c r="AL402" s="125" t="str">
        <f t="shared" si="355"/>
        <v/>
      </c>
      <c r="AM402" s="20"/>
      <c r="AN402" s="20"/>
      <c r="AO402" s="125" t="str">
        <f t="shared" si="356"/>
        <v/>
      </c>
      <c r="AP402" s="125" t="str">
        <f t="shared" si="357"/>
        <v/>
      </c>
      <c r="AQ402" s="125" t="str">
        <f t="shared" si="358"/>
        <v/>
      </c>
      <c r="AR402" s="129" t="str">
        <f t="shared" si="359"/>
        <v/>
      </c>
      <c r="AS402" s="14"/>
      <c r="AT402" s="13"/>
      <c r="AU402" s="13"/>
      <c r="AV402" s="117" t="str">
        <f>IF(_xlfn.XLOOKUP(AT402, AutoFill_classes!$A:$A, AutoFill_classes!$B:$B,"")=0,"",_xlfn.XLOOKUP(AT402, AutoFill_classes!$A:$A, AutoFill_classes!$B:$B,""))</f>
        <v/>
      </c>
      <c r="AW402" s="108"/>
      <c r="AX402" s="11"/>
      <c r="AY402" s="13"/>
      <c r="AZ402" s="11"/>
      <c r="BA402" s="13"/>
      <c r="BB402" s="13"/>
      <c r="BC402" s="63"/>
      <c r="BD402" s="18"/>
      <c r="BE402" s="121" t="str">
        <f t="shared" si="360"/>
        <v/>
      </c>
      <c r="BF402" s="20"/>
      <c r="BG402" s="20"/>
      <c r="BH402" s="20"/>
      <c r="BI402" s="20"/>
      <c r="BJ402" s="125" t="str">
        <f t="shared" si="361"/>
        <v/>
      </c>
      <c r="BK402" s="14"/>
      <c r="BL402" s="125" t="str">
        <f t="shared" si="362"/>
        <v/>
      </c>
      <c r="BM402" s="20"/>
      <c r="BN402" s="20"/>
      <c r="BO402" s="125" t="str">
        <f t="shared" si="363"/>
        <v/>
      </c>
      <c r="BP402" s="14"/>
      <c r="BQ402" s="125" t="str">
        <f t="shared" si="364"/>
        <v/>
      </c>
      <c r="BR402" s="20"/>
      <c r="BS402" s="20"/>
      <c r="BT402" s="125" t="str">
        <f t="shared" si="365"/>
        <v/>
      </c>
      <c r="BU402" s="125" t="str">
        <f t="shared" si="366"/>
        <v/>
      </c>
      <c r="BV402" s="125" t="str">
        <f t="shared" si="367"/>
        <v/>
      </c>
      <c r="BW402" s="129" t="str">
        <f t="shared" si="368"/>
        <v/>
      </c>
      <c r="BX402" s="13"/>
      <c r="BY402" s="15"/>
      <c r="BZ402" s="14"/>
      <c r="CA402" s="117" t="str">
        <f>IF(_xlfn.XLOOKUP(BY402, AutoFill_classes!$A:$A, AutoFill_classes!$B:$B,"")=0,"",_xlfn.XLOOKUP(BY402, AutoFill_classes!$A:$A, AutoFill_classes!$B:$B,""))</f>
        <v/>
      </c>
      <c r="CB402" s="108"/>
      <c r="CC402" s="14"/>
      <c r="CD402" s="14"/>
      <c r="CE402" s="14"/>
      <c r="CF402" s="21"/>
      <c r="CG402" s="22"/>
      <c r="CH402" s="63"/>
      <c r="CI402" s="23"/>
      <c r="CJ402" s="121" t="str">
        <f t="shared" si="369"/>
        <v/>
      </c>
      <c r="CK402" s="20"/>
      <c r="CL402" s="20"/>
      <c r="CM402" s="20"/>
      <c r="CN402" s="20"/>
      <c r="CO402" s="125" t="str">
        <f t="shared" si="370"/>
        <v/>
      </c>
      <c r="CP402" s="14"/>
      <c r="CQ402" s="125" t="str">
        <f t="shared" si="371"/>
        <v/>
      </c>
      <c r="CR402" s="20"/>
      <c r="CS402" s="20"/>
      <c r="CT402" s="125" t="str">
        <f t="shared" si="372"/>
        <v/>
      </c>
      <c r="CU402" s="14"/>
      <c r="CV402" s="125" t="str">
        <f t="shared" si="373"/>
        <v/>
      </c>
      <c r="CW402" s="20"/>
      <c r="CX402" s="20"/>
      <c r="CY402" s="125" t="str">
        <f t="shared" si="374"/>
        <v/>
      </c>
      <c r="CZ402" s="125" t="str">
        <f t="shared" si="375"/>
        <v/>
      </c>
      <c r="DA402" s="125" t="str">
        <f t="shared" si="376"/>
        <v/>
      </c>
      <c r="DB402" s="129" t="str">
        <f t="shared" si="377"/>
        <v/>
      </c>
      <c r="DC402" s="14"/>
      <c r="DD402" s="62"/>
      <c r="DE402" s="105">
        <v>400</v>
      </c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</row>
    <row r="403" spans="1:176" s="1" customFormat="1" ht="13" hidden="1" customHeight="1" outlineLevel="1" x14ac:dyDescent="0.2">
      <c r="A403" s="4"/>
      <c r="B403" s="115" t="str">
        <f>IF(_xlfn.XLOOKUP(A403, AutoFill_names!B:B, AutoFill_names!C:C,"")=0,"",_xlfn.XLOOKUP(A403, AutoFill_names!B:B, AutoFill_names!C:C,""))</f>
        <v/>
      </c>
      <c r="C403" s="115" t="str">
        <f>IF(_xlfn.XLOOKUP(A403, AutoFill_names!B:B, AutoFill_names!D:D,"")=0,"",_xlfn.XLOOKUP(A403, AutoFill_names!B:B, AutoFill_names!D:D,""))</f>
        <v/>
      </c>
      <c r="D403" s="115" t="str">
        <f>IF(_xlfn.XLOOKUP(A403, AutoFill_names!B:B, AutoFill_names!E:E,"")=0,"",_xlfn.XLOOKUP(A403, AutoFill_names!B:B, AutoFill_names!E:E,""))</f>
        <v/>
      </c>
      <c r="E403" s="115" t="str">
        <f>IF(_xlfn.XLOOKUP(A403, AutoFill_names!B:B, AutoFill_names!F:F,"")=0,"",_xlfn.XLOOKUP(A403, AutoFill_names!B:B, AutoFill_names!F:F,""))</f>
        <v/>
      </c>
      <c r="F403" s="92"/>
      <c r="J403" s="115" t="str">
        <f>IF(_xlfn.XLOOKUP(A403, AutoFill_names!B:B, AutoFill_names!K:K,"")=0,"",_xlfn.XLOOKUP(A403, AutoFill_names!B:B, AutoFill_names!K:K,""))</f>
        <v/>
      </c>
      <c r="K403" s="115" t="str">
        <f>IF(_xlfn.XLOOKUP(A403, AutoFill_names!B:B, AutoFill_names!L:L,"")=0,"",_xlfn.XLOOKUP(A403, AutoFill_names!B:B, AutoFill_names!L:L,""))</f>
        <v/>
      </c>
      <c r="L403" s="31"/>
      <c r="M403" s="31"/>
      <c r="N403" s="117" t="str">
        <f>IF(_xlfn.XLOOKUP(L403, AutoFill_classes!A:A, AutoFill_classes!B:B,"")=0,"",_xlfn.XLOOKUP(L403, AutoFill_classes!A:A, AutoFill_classes!B:B,""))</f>
        <v/>
      </c>
      <c r="O403" s="108"/>
      <c r="P403" s="6"/>
      <c r="Q403" s="6"/>
      <c r="R403" s="6"/>
      <c r="S403" s="2"/>
      <c r="T403" s="3"/>
      <c r="U403" s="2"/>
      <c r="X403" s="63"/>
      <c r="Y403" s="19"/>
      <c r="Z403" s="121" t="str">
        <f t="shared" si="351"/>
        <v/>
      </c>
      <c r="AA403" s="20"/>
      <c r="AB403" s="20"/>
      <c r="AC403" s="20"/>
      <c r="AD403" s="20"/>
      <c r="AE403" s="125" t="str">
        <f t="shared" si="352"/>
        <v/>
      </c>
      <c r="AF403" s="14"/>
      <c r="AG403" s="125" t="str">
        <f t="shared" si="353"/>
        <v/>
      </c>
      <c r="AH403" s="20"/>
      <c r="AI403" s="20"/>
      <c r="AJ403" s="125" t="str">
        <f t="shared" si="354"/>
        <v/>
      </c>
      <c r="AK403" s="14"/>
      <c r="AL403" s="125" t="str">
        <f t="shared" si="355"/>
        <v/>
      </c>
      <c r="AM403" s="20"/>
      <c r="AN403" s="20"/>
      <c r="AO403" s="125" t="str">
        <f t="shared" si="356"/>
        <v/>
      </c>
      <c r="AP403" s="125" t="str">
        <f t="shared" si="357"/>
        <v/>
      </c>
      <c r="AQ403" s="125" t="str">
        <f t="shared" si="358"/>
        <v/>
      </c>
      <c r="AR403" s="129" t="str">
        <f t="shared" si="359"/>
        <v/>
      </c>
      <c r="AS403" s="14"/>
      <c r="AT403" s="13"/>
      <c r="AU403" s="13"/>
      <c r="AV403" s="117" t="str">
        <f>IF(_xlfn.XLOOKUP(AT403, AutoFill_classes!$A:$A, AutoFill_classes!$B:$B,"")=0,"",_xlfn.XLOOKUP(AT403, AutoFill_classes!$A:$A, AutoFill_classes!$B:$B,""))</f>
        <v/>
      </c>
      <c r="AW403" s="108"/>
      <c r="AX403" s="11"/>
      <c r="AY403" s="13"/>
      <c r="AZ403" s="11"/>
      <c r="BA403" s="13"/>
      <c r="BB403" s="13"/>
      <c r="BC403" s="63"/>
      <c r="BD403" s="18"/>
      <c r="BE403" s="121" t="str">
        <f t="shared" si="360"/>
        <v/>
      </c>
      <c r="BF403" s="20"/>
      <c r="BG403" s="20"/>
      <c r="BH403" s="20"/>
      <c r="BI403" s="20"/>
      <c r="BJ403" s="125" t="str">
        <f t="shared" si="361"/>
        <v/>
      </c>
      <c r="BK403" s="14"/>
      <c r="BL403" s="125" t="str">
        <f t="shared" si="362"/>
        <v/>
      </c>
      <c r="BM403" s="20"/>
      <c r="BN403" s="20"/>
      <c r="BO403" s="125" t="str">
        <f t="shared" si="363"/>
        <v/>
      </c>
      <c r="BP403" s="14"/>
      <c r="BQ403" s="125" t="str">
        <f t="shared" si="364"/>
        <v/>
      </c>
      <c r="BR403" s="20"/>
      <c r="BS403" s="20"/>
      <c r="BT403" s="125" t="str">
        <f t="shared" si="365"/>
        <v/>
      </c>
      <c r="BU403" s="125" t="str">
        <f t="shared" si="366"/>
        <v/>
      </c>
      <c r="BV403" s="125" t="str">
        <f t="shared" si="367"/>
        <v/>
      </c>
      <c r="BW403" s="129" t="str">
        <f t="shared" si="368"/>
        <v/>
      </c>
      <c r="BX403" s="13"/>
      <c r="BY403" s="15"/>
      <c r="BZ403" s="14"/>
      <c r="CA403" s="117" t="str">
        <f>IF(_xlfn.XLOOKUP(BY403, AutoFill_classes!$A:$A, AutoFill_classes!$B:$B,"")=0,"",_xlfn.XLOOKUP(BY403, AutoFill_classes!$A:$A, AutoFill_classes!$B:$B,""))</f>
        <v/>
      </c>
      <c r="CB403" s="108"/>
      <c r="CC403" s="14"/>
      <c r="CD403" s="14"/>
      <c r="CE403" s="14"/>
      <c r="CF403" s="21"/>
      <c r="CG403" s="22"/>
      <c r="CH403" s="63"/>
      <c r="CI403" s="23"/>
      <c r="CJ403" s="121" t="str">
        <f t="shared" si="369"/>
        <v/>
      </c>
      <c r="CK403" s="20"/>
      <c r="CL403" s="20"/>
      <c r="CM403" s="20"/>
      <c r="CN403" s="20"/>
      <c r="CO403" s="125" t="str">
        <f t="shared" si="370"/>
        <v/>
      </c>
      <c r="CP403" s="14"/>
      <c r="CQ403" s="125" t="str">
        <f t="shared" si="371"/>
        <v/>
      </c>
      <c r="CR403" s="20"/>
      <c r="CS403" s="20"/>
      <c r="CT403" s="125" t="str">
        <f t="shared" si="372"/>
        <v/>
      </c>
      <c r="CU403" s="14"/>
      <c r="CV403" s="125" t="str">
        <f t="shared" si="373"/>
        <v/>
      </c>
      <c r="CW403" s="20"/>
      <c r="CX403" s="20"/>
      <c r="CY403" s="125" t="str">
        <f t="shared" si="374"/>
        <v/>
      </c>
      <c r="CZ403" s="125" t="str">
        <f t="shared" si="375"/>
        <v/>
      </c>
      <c r="DA403" s="125" t="str">
        <f t="shared" si="376"/>
        <v/>
      </c>
      <c r="DB403" s="129" t="str">
        <f t="shared" si="377"/>
        <v/>
      </c>
      <c r="DC403" s="14"/>
      <c r="DD403" s="62"/>
      <c r="DE403" s="105">
        <v>401</v>
      </c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</row>
    <row r="404" spans="1:176" s="1" customFormat="1" ht="13" hidden="1" customHeight="1" outlineLevel="1" x14ac:dyDescent="0.2">
      <c r="A404" s="4"/>
      <c r="B404" s="115" t="str">
        <f>IF(_xlfn.XLOOKUP(A404, AutoFill_names!B:B, AutoFill_names!C:C,"")=0,"",_xlfn.XLOOKUP(A404, AutoFill_names!B:B, AutoFill_names!C:C,""))</f>
        <v/>
      </c>
      <c r="C404" s="115" t="str">
        <f>IF(_xlfn.XLOOKUP(A404, AutoFill_names!B:B, AutoFill_names!D:D,"")=0,"",_xlfn.XLOOKUP(A404, AutoFill_names!B:B, AutoFill_names!D:D,""))</f>
        <v/>
      </c>
      <c r="D404" s="115" t="str">
        <f>IF(_xlfn.XLOOKUP(A404, AutoFill_names!B:B, AutoFill_names!E:E,"")=0,"",_xlfn.XLOOKUP(A404, AutoFill_names!B:B, AutoFill_names!E:E,""))</f>
        <v/>
      </c>
      <c r="E404" s="115" t="str">
        <f>IF(_xlfn.XLOOKUP(A404, AutoFill_names!B:B, AutoFill_names!F:F,"")=0,"",_xlfn.XLOOKUP(A404, AutoFill_names!B:B, AutoFill_names!F:F,""))</f>
        <v/>
      </c>
      <c r="F404" s="92"/>
      <c r="J404" s="115" t="str">
        <f>IF(_xlfn.XLOOKUP(A404, AutoFill_names!B:B, AutoFill_names!K:K,"")=0,"",_xlfn.XLOOKUP(A404, AutoFill_names!B:B, AutoFill_names!K:K,""))</f>
        <v/>
      </c>
      <c r="K404" s="115" t="str">
        <f>IF(_xlfn.XLOOKUP(A404, AutoFill_names!B:B, AutoFill_names!L:L,"")=0,"",_xlfn.XLOOKUP(A404, AutoFill_names!B:B, AutoFill_names!L:L,""))</f>
        <v/>
      </c>
      <c r="L404" s="31"/>
      <c r="M404" s="31"/>
      <c r="N404" s="117" t="str">
        <f>IF(_xlfn.XLOOKUP(L404, AutoFill_classes!A:A, AutoFill_classes!B:B,"")=0,"",_xlfn.XLOOKUP(L404, AutoFill_classes!A:A, AutoFill_classes!B:B,""))</f>
        <v/>
      </c>
      <c r="O404" s="108"/>
      <c r="P404" s="6"/>
      <c r="Q404" s="6"/>
      <c r="R404" s="6"/>
      <c r="S404" s="2"/>
      <c r="T404" s="3"/>
      <c r="U404" s="2"/>
      <c r="X404" s="63"/>
      <c r="Y404" s="19"/>
      <c r="Z404" s="121" t="str">
        <f t="shared" si="351"/>
        <v/>
      </c>
      <c r="AA404" s="20"/>
      <c r="AB404" s="20"/>
      <c r="AC404" s="20"/>
      <c r="AD404" s="20"/>
      <c r="AE404" s="125" t="str">
        <f t="shared" si="352"/>
        <v/>
      </c>
      <c r="AF404" s="14"/>
      <c r="AG404" s="125" t="str">
        <f t="shared" si="353"/>
        <v/>
      </c>
      <c r="AH404" s="20"/>
      <c r="AI404" s="20"/>
      <c r="AJ404" s="125" t="str">
        <f t="shared" si="354"/>
        <v/>
      </c>
      <c r="AK404" s="14"/>
      <c r="AL404" s="125" t="str">
        <f t="shared" si="355"/>
        <v/>
      </c>
      <c r="AM404" s="20"/>
      <c r="AN404" s="20"/>
      <c r="AO404" s="125" t="str">
        <f t="shared" si="356"/>
        <v/>
      </c>
      <c r="AP404" s="125" t="str">
        <f t="shared" si="357"/>
        <v/>
      </c>
      <c r="AQ404" s="125" t="str">
        <f t="shared" si="358"/>
        <v/>
      </c>
      <c r="AR404" s="129" t="str">
        <f t="shared" si="359"/>
        <v/>
      </c>
      <c r="AS404" s="14"/>
      <c r="AT404" s="13"/>
      <c r="AU404" s="13"/>
      <c r="AV404" s="117" t="str">
        <f>IF(_xlfn.XLOOKUP(AT404, AutoFill_classes!$A:$A, AutoFill_classes!$B:$B,"")=0,"",_xlfn.XLOOKUP(AT404, AutoFill_classes!$A:$A, AutoFill_classes!$B:$B,""))</f>
        <v/>
      </c>
      <c r="AW404" s="108"/>
      <c r="AX404" s="11"/>
      <c r="AY404" s="13"/>
      <c r="AZ404" s="11"/>
      <c r="BA404" s="13"/>
      <c r="BB404" s="13"/>
      <c r="BC404" s="63"/>
      <c r="BD404" s="18"/>
      <c r="BE404" s="121" t="str">
        <f t="shared" si="360"/>
        <v/>
      </c>
      <c r="BF404" s="20"/>
      <c r="BG404" s="20"/>
      <c r="BH404" s="20"/>
      <c r="BI404" s="20"/>
      <c r="BJ404" s="125" t="str">
        <f t="shared" si="361"/>
        <v/>
      </c>
      <c r="BK404" s="14"/>
      <c r="BL404" s="125" t="str">
        <f t="shared" si="362"/>
        <v/>
      </c>
      <c r="BM404" s="20"/>
      <c r="BN404" s="20"/>
      <c r="BO404" s="125" t="str">
        <f t="shared" si="363"/>
        <v/>
      </c>
      <c r="BP404" s="14"/>
      <c r="BQ404" s="125" t="str">
        <f t="shared" si="364"/>
        <v/>
      </c>
      <c r="BR404" s="20"/>
      <c r="BS404" s="20"/>
      <c r="BT404" s="125" t="str">
        <f t="shared" si="365"/>
        <v/>
      </c>
      <c r="BU404" s="125" t="str">
        <f t="shared" si="366"/>
        <v/>
      </c>
      <c r="BV404" s="125" t="str">
        <f t="shared" si="367"/>
        <v/>
      </c>
      <c r="BW404" s="129" t="str">
        <f t="shared" si="368"/>
        <v/>
      </c>
      <c r="BX404" s="13"/>
      <c r="BY404" s="15"/>
      <c r="BZ404" s="14"/>
      <c r="CA404" s="117" t="str">
        <f>IF(_xlfn.XLOOKUP(BY404, AutoFill_classes!$A:$A, AutoFill_classes!$B:$B,"")=0,"",_xlfn.XLOOKUP(BY404, AutoFill_classes!$A:$A, AutoFill_classes!$B:$B,""))</f>
        <v/>
      </c>
      <c r="CB404" s="108"/>
      <c r="CC404" s="14"/>
      <c r="CD404" s="14"/>
      <c r="CE404" s="14"/>
      <c r="CF404" s="21"/>
      <c r="CG404" s="22"/>
      <c r="CH404" s="63"/>
      <c r="CI404" s="23"/>
      <c r="CJ404" s="121" t="str">
        <f t="shared" si="369"/>
        <v/>
      </c>
      <c r="CK404" s="20"/>
      <c r="CL404" s="20"/>
      <c r="CM404" s="20"/>
      <c r="CN404" s="20"/>
      <c r="CO404" s="125" t="str">
        <f t="shared" si="370"/>
        <v/>
      </c>
      <c r="CP404" s="14"/>
      <c r="CQ404" s="125" t="str">
        <f t="shared" si="371"/>
        <v/>
      </c>
      <c r="CR404" s="20"/>
      <c r="CS404" s="20"/>
      <c r="CT404" s="125" t="str">
        <f t="shared" si="372"/>
        <v/>
      </c>
      <c r="CU404" s="14"/>
      <c r="CV404" s="125" t="str">
        <f t="shared" si="373"/>
        <v/>
      </c>
      <c r="CW404" s="20"/>
      <c r="CX404" s="20"/>
      <c r="CY404" s="125" t="str">
        <f t="shared" si="374"/>
        <v/>
      </c>
      <c r="CZ404" s="125" t="str">
        <f t="shared" si="375"/>
        <v/>
      </c>
      <c r="DA404" s="125" t="str">
        <f t="shared" si="376"/>
        <v/>
      </c>
      <c r="DB404" s="129" t="str">
        <f t="shared" si="377"/>
        <v/>
      </c>
      <c r="DC404" s="14"/>
      <c r="DD404" s="62"/>
      <c r="DE404" s="105">
        <v>402</v>
      </c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</row>
    <row r="405" spans="1:176" s="1" customFormat="1" ht="13" hidden="1" customHeight="1" outlineLevel="1" x14ac:dyDescent="0.2">
      <c r="A405" s="4"/>
      <c r="B405" s="115" t="str">
        <f>IF(_xlfn.XLOOKUP(A405, AutoFill_names!B:B, AutoFill_names!C:C,"")=0,"",_xlfn.XLOOKUP(A405, AutoFill_names!B:B, AutoFill_names!C:C,""))</f>
        <v/>
      </c>
      <c r="C405" s="115" t="str">
        <f>IF(_xlfn.XLOOKUP(A405, AutoFill_names!B:B, AutoFill_names!D:D,"")=0,"",_xlfn.XLOOKUP(A405, AutoFill_names!B:B, AutoFill_names!D:D,""))</f>
        <v/>
      </c>
      <c r="D405" s="115" t="str">
        <f>IF(_xlfn.XLOOKUP(A405, AutoFill_names!B:B, AutoFill_names!E:E,"")=0,"",_xlfn.XLOOKUP(A405, AutoFill_names!B:B, AutoFill_names!E:E,""))</f>
        <v/>
      </c>
      <c r="E405" s="115" t="str">
        <f>IF(_xlfn.XLOOKUP(A405, AutoFill_names!B:B, AutoFill_names!F:F,"")=0,"",_xlfn.XLOOKUP(A405, AutoFill_names!B:B, AutoFill_names!F:F,""))</f>
        <v/>
      </c>
      <c r="F405" s="92"/>
      <c r="J405" s="115" t="str">
        <f>IF(_xlfn.XLOOKUP(A405, AutoFill_names!B:B, AutoFill_names!K:K,"")=0,"",_xlfn.XLOOKUP(A405, AutoFill_names!B:B, AutoFill_names!K:K,""))</f>
        <v/>
      </c>
      <c r="K405" s="115" t="str">
        <f>IF(_xlfn.XLOOKUP(A405, AutoFill_names!B:B, AutoFill_names!L:L,"")=0,"",_xlfn.XLOOKUP(A405, AutoFill_names!B:B, AutoFill_names!L:L,""))</f>
        <v/>
      </c>
      <c r="L405" s="31"/>
      <c r="M405" s="31"/>
      <c r="N405" s="117" t="str">
        <f>IF(_xlfn.XLOOKUP(L405, AutoFill_classes!A:A, AutoFill_classes!B:B,"")=0,"",_xlfn.XLOOKUP(L405, AutoFill_classes!A:A, AutoFill_classes!B:B,""))</f>
        <v/>
      </c>
      <c r="O405" s="108"/>
      <c r="P405" s="6"/>
      <c r="Q405" s="6"/>
      <c r="R405" s="6"/>
      <c r="S405" s="2"/>
      <c r="T405" s="3"/>
      <c r="U405" s="2"/>
      <c r="X405" s="63"/>
      <c r="Y405" s="19"/>
      <c r="Z405" s="121" t="str">
        <f t="shared" si="351"/>
        <v/>
      </c>
      <c r="AA405" s="20"/>
      <c r="AB405" s="20"/>
      <c r="AC405" s="20"/>
      <c r="AD405" s="20"/>
      <c r="AE405" s="125" t="str">
        <f t="shared" si="352"/>
        <v/>
      </c>
      <c r="AF405" s="14"/>
      <c r="AG405" s="125" t="str">
        <f t="shared" si="353"/>
        <v/>
      </c>
      <c r="AH405" s="20"/>
      <c r="AI405" s="20"/>
      <c r="AJ405" s="125" t="str">
        <f t="shared" si="354"/>
        <v/>
      </c>
      <c r="AK405" s="14"/>
      <c r="AL405" s="125" t="str">
        <f t="shared" si="355"/>
        <v/>
      </c>
      <c r="AM405" s="20"/>
      <c r="AN405" s="20"/>
      <c r="AO405" s="125" t="str">
        <f t="shared" si="356"/>
        <v/>
      </c>
      <c r="AP405" s="125" t="str">
        <f t="shared" si="357"/>
        <v/>
      </c>
      <c r="AQ405" s="125" t="str">
        <f t="shared" si="358"/>
        <v/>
      </c>
      <c r="AR405" s="129" t="str">
        <f t="shared" si="359"/>
        <v/>
      </c>
      <c r="AS405" s="14"/>
      <c r="AT405" s="13"/>
      <c r="AU405" s="13"/>
      <c r="AV405" s="117" t="str">
        <f>IF(_xlfn.XLOOKUP(AT405, AutoFill_classes!$A:$A, AutoFill_classes!$B:$B,"")=0,"",_xlfn.XLOOKUP(AT405, AutoFill_classes!$A:$A, AutoFill_classes!$B:$B,""))</f>
        <v/>
      </c>
      <c r="AW405" s="108"/>
      <c r="AX405" s="11"/>
      <c r="AY405" s="13"/>
      <c r="AZ405" s="11"/>
      <c r="BA405" s="13"/>
      <c r="BB405" s="13"/>
      <c r="BC405" s="63"/>
      <c r="BD405" s="18"/>
      <c r="BE405" s="121" t="str">
        <f t="shared" si="360"/>
        <v/>
      </c>
      <c r="BF405" s="20"/>
      <c r="BG405" s="20"/>
      <c r="BH405" s="20"/>
      <c r="BI405" s="20"/>
      <c r="BJ405" s="125" t="str">
        <f t="shared" si="361"/>
        <v/>
      </c>
      <c r="BK405" s="14"/>
      <c r="BL405" s="125" t="str">
        <f t="shared" si="362"/>
        <v/>
      </c>
      <c r="BM405" s="20"/>
      <c r="BN405" s="20"/>
      <c r="BO405" s="125" t="str">
        <f t="shared" si="363"/>
        <v/>
      </c>
      <c r="BP405" s="14"/>
      <c r="BQ405" s="125" t="str">
        <f t="shared" si="364"/>
        <v/>
      </c>
      <c r="BR405" s="20"/>
      <c r="BS405" s="20"/>
      <c r="BT405" s="125" t="str">
        <f t="shared" si="365"/>
        <v/>
      </c>
      <c r="BU405" s="125" t="str">
        <f t="shared" si="366"/>
        <v/>
      </c>
      <c r="BV405" s="125" t="str">
        <f t="shared" si="367"/>
        <v/>
      </c>
      <c r="BW405" s="129" t="str">
        <f t="shared" si="368"/>
        <v/>
      </c>
      <c r="BX405" s="13"/>
      <c r="BY405" s="15"/>
      <c r="BZ405" s="14"/>
      <c r="CA405" s="117" t="str">
        <f>IF(_xlfn.XLOOKUP(BY405, AutoFill_classes!$A:$A, AutoFill_classes!$B:$B,"")=0,"",_xlfn.XLOOKUP(BY405, AutoFill_classes!$A:$A, AutoFill_classes!$B:$B,""))</f>
        <v/>
      </c>
      <c r="CB405" s="108"/>
      <c r="CC405" s="14"/>
      <c r="CD405" s="14"/>
      <c r="CE405" s="14"/>
      <c r="CF405" s="21"/>
      <c r="CG405" s="22"/>
      <c r="CH405" s="63"/>
      <c r="CI405" s="23"/>
      <c r="CJ405" s="121" t="str">
        <f t="shared" si="369"/>
        <v/>
      </c>
      <c r="CK405" s="20"/>
      <c r="CL405" s="20"/>
      <c r="CM405" s="20"/>
      <c r="CN405" s="20"/>
      <c r="CO405" s="125" t="str">
        <f t="shared" si="370"/>
        <v/>
      </c>
      <c r="CP405" s="14"/>
      <c r="CQ405" s="125" t="str">
        <f t="shared" si="371"/>
        <v/>
      </c>
      <c r="CR405" s="20"/>
      <c r="CS405" s="20"/>
      <c r="CT405" s="125" t="str">
        <f t="shared" si="372"/>
        <v/>
      </c>
      <c r="CU405" s="14"/>
      <c r="CV405" s="125" t="str">
        <f t="shared" si="373"/>
        <v/>
      </c>
      <c r="CW405" s="20"/>
      <c r="CX405" s="20"/>
      <c r="CY405" s="125" t="str">
        <f t="shared" si="374"/>
        <v/>
      </c>
      <c r="CZ405" s="125" t="str">
        <f t="shared" si="375"/>
        <v/>
      </c>
      <c r="DA405" s="125" t="str">
        <f t="shared" si="376"/>
        <v/>
      </c>
      <c r="DB405" s="129" t="str">
        <f t="shared" si="377"/>
        <v/>
      </c>
      <c r="DC405" s="14"/>
      <c r="DD405" s="62"/>
      <c r="DE405" s="105">
        <v>403</v>
      </c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</row>
    <row r="406" spans="1:176" s="1" customFormat="1" ht="13" hidden="1" customHeight="1" outlineLevel="1" x14ac:dyDescent="0.2">
      <c r="A406" s="4"/>
      <c r="B406" s="115" t="str">
        <f>IF(_xlfn.XLOOKUP(A406, AutoFill_names!B:B, AutoFill_names!C:C,"")=0,"",_xlfn.XLOOKUP(A406, AutoFill_names!B:B, AutoFill_names!C:C,""))</f>
        <v/>
      </c>
      <c r="C406" s="115" t="str">
        <f>IF(_xlfn.XLOOKUP(A406, AutoFill_names!B:B, AutoFill_names!D:D,"")=0,"",_xlfn.XLOOKUP(A406, AutoFill_names!B:B, AutoFill_names!D:D,""))</f>
        <v/>
      </c>
      <c r="D406" s="115" t="str">
        <f>IF(_xlfn.XLOOKUP(A406, AutoFill_names!B:B, AutoFill_names!E:E,"")=0,"",_xlfn.XLOOKUP(A406, AutoFill_names!B:B, AutoFill_names!E:E,""))</f>
        <v/>
      </c>
      <c r="E406" s="115" t="str">
        <f>IF(_xlfn.XLOOKUP(A406, AutoFill_names!B:B, AutoFill_names!F:F,"")=0,"",_xlfn.XLOOKUP(A406, AutoFill_names!B:B, AutoFill_names!F:F,""))</f>
        <v/>
      </c>
      <c r="F406" s="92"/>
      <c r="J406" s="115" t="str">
        <f>IF(_xlfn.XLOOKUP(A406, AutoFill_names!B:B, AutoFill_names!K:K,"")=0,"",_xlfn.XLOOKUP(A406, AutoFill_names!B:B, AutoFill_names!K:K,""))</f>
        <v/>
      </c>
      <c r="K406" s="115" t="str">
        <f>IF(_xlfn.XLOOKUP(A406, AutoFill_names!B:B, AutoFill_names!L:L,"")=0,"",_xlfn.XLOOKUP(A406, AutoFill_names!B:B, AutoFill_names!L:L,""))</f>
        <v/>
      </c>
      <c r="L406" s="31"/>
      <c r="M406" s="31"/>
      <c r="N406" s="117" t="str">
        <f>IF(_xlfn.XLOOKUP(L406, AutoFill_classes!A:A, AutoFill_classes!B:B,"")=0,"",_xlfn.XLOOKUP(L406, AutoFill_classes!A:A, AutoFill_classes!B:B,""))</f>
        <v/>
      </c>
      <c r="O406" s="108"/>
      <c r="P406" s="6"/>
      <c r="Q406" s="6"/>
      <c r="R406" s="6"/>
      <c r="S406" s="2"/>
      <c r="T406" s="3"/>
      <c r="U406" s="2"/>
      <c r="X406" s="63"/>
      <c r="Y406" s="19"/>
      <c r="Z406" s="121" t="str">
        <f t="shared" si="351"/>
        <v/>
      </c>
      <c r="AA406" s="20"/>
      <c r="AB406" s="20"/>
      <c r="AC406" s="20"/>
      <c r="AD406" s="20"/>
      <c r="AE406" s="125" t="str">
        <f t="shared" si="352"/>
        <v/>
      </c>
      <c r="AF406" s="14"/>
      <c r="AG406" s="125" t="str">
        <f t="shared" si="353"/>
        <v/>
      </c>
      <c r="AH406" s="20"/>
      <c r="AI406" s="20"/>
      <c r="AJ406" s="125" t="str">
        <f t="shared" si="354"/>
        <v/>
      </c>
      <c r="AK406" s="14"/>
      <c r="AL406" s="125" t="str">
        <f t="shared" si="355"/>
        <v/>
      </c>
      <c r="AM406" s="20"/>
      <c r="AN406" s="20"/>
      <c r="AO406" s="125" t="str">
        <f t="shared" si="356"/>
        <v/>
      </c>
      <c r="AP406" s="125" t="str">
        <f t="shared" si="357"/>
        <v/>
      </c>
      <c r="AQ406" s="125" t="str">
        <f t="shared" si="358"/>
        <v/>
      </c>
      <c r="AR406" s="129" t="str">
        <f t="shared" si="359"/>
        <v/>
      </c>
      <c r="AS406" s="14"/>
      <c r="AT406" s="13"/>
      <c r="AU406" s="13"/>
      <c r="AV406" s="117" t="str">
        <f>IF(_xlfn.XLOOKUP(AT406, AutoFill_classes!$A:$A, AutoFill_classes!$B:$B,"")=0,"",_xlfn.XLOOKUP(AT406, AutoFill_classes!$A:$A, AutoFill_classes!$B:$B,""))</f>
        <v/>
      </c>
      <c r="AW406" s="108"/>
      <c r="AX406" s="11"/>
      <c r="AY406" s="13"/>
      <c r="AZ406" s="11"/>
      <c r="BA406" s="13"/>
      <c r="BB406" s="13"/>
      <c r="BC406" s="63"/>
      <c r="BD406" s="18"/>
      <c r="BE406" s="121" t="str">
        <f t="shared" si="360"/>
        <v/>
      </c>
      <c r="BF406" s="20"/>
      <c r="BG406" s="20"/>
      <c r="BH406" s="20"/>
      <c r="BI406" s="20"/>
      <c r="BJ406" s="125" t="str">
        <f t="shared" si="361"/>
        <v/>
      </c>
      <c r="BK406" s="14"/>
      <c r="BL406" s="125" t="str">
        <f t="shared" si="362"/>
        <v/>
      </c>
      <c r="BM406" s="20"/>
      <c r="BN406" s="20"/>
      <c r="BO406" s="125" t="str">
        <f t="shared" si="363"/>
        <v/>
      </c>
      <c r="BP406" s="14"/>
      <c r="BQ406" s="125" t="str">
        <f t="shared" si="364"/>
        <v/>
      </c>
      <c r="BR406" s="20"/>
      <c r="BS406" s="20"/>
      <c r="BT406" s="125" t="str">
        <f t="shared" si="365"/>
        <v/>
      </c>
      <c r="BU406" s="125" t="str">
        <f t="shared" si="366"/>
        <v/>
      </c>
      <c r="BV406" s="125" t="str">
        <f t="shared" si="367"/>
        <v/>
      </c>
      <c r="BW406" s="129" t="str">
        <f t="shared" si="368"/>
        <v/>
      </c>
      <c r="BX406" s="13"/>
      <c r="BY406" s="15"/>
      <c r="BZ406" s="14"/>
      <c r="CA406" s="117" t="str">
        <f>IF(_xlfn.XLOOKUP(BY406, AutoFill_classes!$A:$A, AutoFill_classes!$B:$B,"")=0,"",_xlfn.XLOOKUP(BY406, AutoFill_classes!$A:$A, AutoFill_classes!$B:$B,""))</f>
        <v/>
      </c>
      <c r="CB406" s="108"/>
      <c r="CC406" s="14"/>
      <c r="CD406" s="14"/>
      <c r="CE406" s="14"/>
      <c r="CF406" s="21"/>
      <c r="CG406" s="22"/>
      <c r="CH406" s="63"/>
      <c r="CI406" s="23"/>
      <c r="CJ406" s="121" t="str">
        <f t="shared" si="369"/>
        <v/>
      </c>
      <c r="CK406" s="20"/>
      <c r="CL406" s="20"/>
      <c r="CM406" s="20"/>
      <c r="CN406" s="20"/>
      <c r="CO406" s="125" t="str">
        <f t="shared" si="370"/>
        <v/>
      </c>
      <c r="CP406" s="14"/>
      <c r="CQ406" s="125" t="str">
        <f t="shared" si="371"/>
        <v/>
      </c>
      <c r="CR406" s="20"/>
      <c r="CS406" s="20"/>
      <c r="CT406" s="125" t="str">
        <f t="shared" si="372"/>
        <v/>
      </c>
      <c r="CU406" s="14"/>
      <c r="CV406" s="125" t="str">
        <f t="shared" si="373"/>
        <v/>
      </c>
      <c r="CW406" s="20"/>
      <c r="CX406" s="20"/>
      <c r="CY406" s="125" t="str">
        <f t="shared" si="374"/>
        <v/>
      </c>
      <c r="CZ406" s="125" t="str">
        <f t="shared" si="375"/>
        <v/>
      </c>
      <c r="DA406" s="125" t="str">
        <f t="shared" si="376"/>
        <v/>
      </c>
      <c r="DB406" s="129" t="str">
        <f t="shared" si="377"/>
        <v/>
      </c>
      <c r="DC406" s="14"/>
      <c r="DD406" s="62"/>
      <c r="DE406" s="105">
        <v>404</v>
      </c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</row>
    <row r="407" spans="1:176" s="1" customFormat="1" ht="13" hidden="1" customHeight="1" outlineLevel="1" x14ac:dyDescent="0.2">
      <c r="A407" s="4"/>
      <c r="B407" s="115" t="str">
        <f>IF(_xlfn.XLOOKUP(A407, AutoFill_names!B:B, AutoFill_names!C:C,"")=0,"",_xlfn.XLOOKUP(A407, AutoFill_names!B:B, AutoFill_names!C:C,""))</f>
        <v/>
      </c>
      <c r="C407" s="115" t="str">
        <f>IF(_xlfn.XLOOKUP(A407, AutoFill_names!B:B, AutoFill_names!D:D,"")=0,"",_xlfn.XLOOKUP(A407, AutoFill_names!B:B, AutoFill_names!D:D,""))</f>
        <v/>
      </c>
      <c r="D407" s="115" t="str">
        <f>IF(_xlfn.XLOOKUP(A407, AutoFill_names!B:B, AutoFill_names!E:E,"")=0,"",_xlfn.XLOOKUP(A407, AutoFill_names!B:B, AutoFill_names!E:E,""))</f>
        <v/>
      </c>
      <c r="E407" s="115" t="str">
        <f>IF(_xlfn.XLOOKUP(A407, AutoFill_names!B:B, AutoFill_names!F:F,"")=0,"",_xlfn.XLOOKUP(A407, AutoFill_names!B:B, AutoFill_names!F:F,""))</f>
        <v/>
      </c>
      <c r="F407" s="92"/>
      <c r="J407" s="115" t="str">
        <f>IF(_xlfn.XLOOKUP(A407, AutoFill_names!B:B, AutoFill_names!K:K,"")=0,"",_xlfn.XLOOKUP(A407, AutoFill_names!B:B, AutoFill_names!K:K,""))</f>
        <v/>
      </c>
      <c r="K407" s="115" t="str">
        <f>IF(_xlfn.XLOOKUP(A407, AutoFill_names!B:B, AutoFill_names!L:L,"")=0,"",_xlfn.XLOOKUP(A407, AutoFill_names!B:B, AutoFill_names!L:L,""))</f>
        <v/>
      </c>
      <c r="L407" s="31"/>
      <c r="M407" s="31"/>
      <c r="N407" s="117" t="str">
        <f>IF(_xlfn.XLOOKUP(L407, AutoFill_classes!A:A, AutoFill_classes!B:B,"")=0,"",_xlfn.XLOOKUP(L407, AutoFill_classes!A:A, AutoFill_classes!B:B,""))</f>
        <v/>
      </c>
      <c r="O407" s="108"/>
      <c r="P407" s="6"/>
      <c r="Q407" s="6"/>
      <c r="R407" s="6"/>
      <c r="S407" s="2"/>
      <c r="T407" s="3"/>
      <c r="U407" s="2"/>
      <c r="X407" s="63"/>
      <c r="Y407" s="19"/>
      <c r="Z407" s="121" t="str">
        <f t="shared" si="351"/>
        <v/>
      </c>
      <c r="AA407" s="20"/>
      <c r="AB407" s="20"/>
      <c r="AC407" s="20"/>
      <c r="AD407" s="20"/>
      <c r="AE407" s="125" t="str">
        <f t="shared" si="352"/>
        <v/>
      </c>
      <c r="AF407" s="14"/>
      <c r="AG407" s="125" t="str">
        <f t="shared" si="353"/>
        <v/>
      </c>
      <c r="AH407" s="20"/>
      <c r="AI407" s="20"/>
      <c r="AJ407" s="125" t="str">
        <f t="shared" si="354"/>
        <v/>
      </c>
      <c r="AK407" s="14"/>
      <c r="AL407" s="125" t="str">
        <f t="shared" si="355"/>
        <v/>
      </c>
      <c r="AM407" s="20"/>
      <c r="AN407" s="20"/>
      <c r="AO407" s="125" t="str">
        <f t="shared" si="356"/>
        <v/>
      </c>
      <c r="AP407" s="125" t="str">
        <f t="shared" si="357"/>
        <v/>
      </c>
      <c r="AQ407" s="125" t="str">
        <f t="shared" si="358"/>
        <v/>
      </c>
      <c r="AR407" s="129" t="str">
        <f t="shared" si="359"/>
        <v/>
      </c>
      <c r="AS407" s="14"/>
      <c r="AT407" s="13"/>
      <c r="AU407" s="13"/>
      <c r="AV407" s="117" t="str">
        <f>IF(_xlfn.XLOOKUP(AT407, AutoFill_classes!$A:$A, AutoFill_classes!$B:$B,"")=0,"",_xlfn.XLOOKUP(AT407, AutoFill_classes!$A:$A, AutoFill_classes!$B:$B,""))</f>
        <v/>
      </c>
      <c r="AW407" s="108"/>
      <c r="AX407" s="11"/>
      <c r="AY407" s="13"/>
      <c r="AZ407" s="11"/>
      <c r="BA407" s="13"/>
      <c r="BB407" s="13"/>
      <c r="BC407" s="63"/>
      <c r="BD407" s="18"/>
      <c r="BE407" s="121" t="str">
        <f t="shared" si="360"/>
        <v/>
      </c>
      <c r="BF407" s="20"/>
      <c r="BG407" s="20"/>
      <c r="BH407" s="20"/>
      <c r="BI407" s="20"/>
      <c r="BJ407" s="125" t="str">
        <f t="shared" si="361"/>
        <v/>
      </c>
      <c r="BK407" s="14"/>
      <c r="BL407" s="125" t="str">
        <f t="shared" si="362"/>
        <v/>
      </c>
      <c r="BM407" s="20"/>
      <c r="BN407" s="20"/>
      <c r="BO407" s="125" t="str">
        <f t="shared" si="363"/>
        <v/>
      </c>
      <c r="BP407" s="14"/>
      <c r="BQ407" s="125" t="str">
        <f t="shared" si="364"/>
        <v/>
      </c>
      <c r="BR407" s="20"/>
      <c r="BS407" s="20"/>
      <c r="BT407" s="125" t="str">
        <f t="shared" si="365"/>
        <v/>
      </c>
      <c r="BU407" s="125" t="str">
        <f t="shared" si="366"/>
        <v/>
      </c>
      <c r="BV407" s="125" t="str">
        <f t="shared" si="367"/>
        <v/>
      </c>
      <c r="BW407" s="129" t="str">
        <f t="shared" si="368"/>
        <v/>
      </c>
      <c r="BX407" s="13"/>
      <c r="BY407" s="15"/>
      <c r="BZ407" s="14"/>
      <c r="CA407" s="117" t="str">
        <f>IF(_xlfn.XLOOKUP(BY407, AutoFill_classes!$A:$A, AutoFill_classes!$B:$B,"")=0,"",_xlfn.XLOOKUP(BY407, AutoFill_classes!$A:$A, AutoFill_classes!$B:$B,""))</f>
        <v/>
      </c>
      <c r="CB407" s="108"/>
      <c r="CC407" s="14"/>
      <c r="CD407" s="14"/>
      <c r="CE407" s="14"/>
      <c r="CF407" s="21"/>
      <c r="CG407" s="22"/>
      <c r="CH407" s="63"/>
      <c r="CI407" s="23"/>
      <c r="CJ407" s="121" t="str">
        <f t="shared" si="369"/>
        <v/>
      </c>
      <c r="CK407" s="20"/>
      <c r="CL407" s="20"/>
      <c r="CM407" s="20"/>
      <c r="CN407" s="20"/>
      <c r="CO407" s="125" t="str">
        <f t="shared" si="370"/>
        <v/>
      </c>
      <c r="CP407" s="14"/>
      <c r="CQ407" s="125" t="str">
        <f t="shared" si="371"/>
        <v/>
      </c>
      <c r="CR407" s="20"/>
      <c r="CS407" s="20"/>
      <c r="CT407" s="125" t="str">
        <f t="shared" si="372"/>
        <v/>
      </c>
      <c r="CU407" s="14"/>
      <c r="CV407" s="125" t="str">
        <f t="shared" si="373"/>
        <v/>
      </c>
      <c r="CW407" s="20"/>
      <c r="CX407" s="20"/>
      <c r="CY407" s="125" t="str">
        <f t="shared" si="374"/>
        <v/>
      </c>
      <c r="CZ407" s="125" t="str">
        <f t="shared" si="375"/>
        <v/>
      </c>
      <c r="DA407" s="125" t="str">
        <f t="shared" si="376"/>
        <v/>
      </c>
      <c r="DB407" s="129" t="str">
        <f t="shared" si="377"/>
        <v/>
      </c>
      <c r="DC407" s="14"/>
      <c r="DD407" s="62"/>
      <c r="DE407" s="105">
        <v>405</v>
      </c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</row>
    <row r="408" spans="1:176" s="1" customFormat="1" ht="13" hidden="1" customHeight="1" outlineLevel="1" x14ac:dyDescent="0.2">
      <c r="A408" s="4"/>
      <c r="B408" s="115" t="str">
        <f>IF(_xlfn.XLOOKUP(A408, AutoFill_names!B:B, AutoFill_names!C:C,"")=0,"",_xlfn.XLOOKUP(A408, AutoFill_names!B:B, AutoFill_names!C:C,""))</f>
        <v/>
      </c>
      <c r="C408" s="115" t="str">
        <f>IF(_xlfn.XLOOKUP(A408, AutoFill_names!B:B, AutoFill_names!D:D,"")=0,"",_xlfn.XLOOKUP(A408, AutoFill_names!B:B, AutoFill_names!D:D,""))</f>
        <v/>
      </c>
      <c r="D408" s="115" t="str">
        <f>IF(_xlfn.XLOOKUP(A408, AutoFill_names!B:B, AutoFill_names!E:E,"")=0,"",_xlfn.XLOOKUP(A408, AutoFill_names!B:B, AutoFill_names!E:E,""))</f>
        <v/>
      </c>
      <c r="E408" s="115" t="str">
        <f>IF(_xlfn.XLOOKUP(A408, AutoFill_names!B:B, AutoFill_names!F:F,"")=0,"",_xlfn.XLOOKUP(A408, AutoFill_names!B:B, AutoFill_names!F:F,""))</f>
        <v/>
      </c>
      <c r="F408" s="92"/>
      <c r="J408" s="115" t="str">
        <f>IF(_xlfn.XLOOKUP(A408, AutoFill_names!B:B, AutoFill_names!K:K,"")=0,"",_xlfn.XLOOKUP(A408, AutoFill_names!B:B, AutoFill_names!K:K,""))</f>
        <v/>
      </c>
      <c r="K408" s="115" t="str">
        <f>IF(_xlfn.XLOOKUP(A408, AutoFill_names!B:B, AutoFill_names!L:L,"")=0,"",_xlfn.XLOOKUP(A408, AutoFill_names!B:B, AutoFill_names!L:L,""))</f>
        <v/>
      </c>
      <c r="L408" s="31"/>
      <c r="M408" s="31"/>
      <c r="N408" s="117" t="str">
        <f>IF(_xlfn.XLOOKUP(L408, AutoFill_classes!A:A, AutoFill_classes!B:B,"")=0,"",_xlfn.XLOOKUP(L408, AutoFill_classes!A:A, AutoFill_classes!B:B,""))</f>
        <v/>
      </c>
      <c r="O408" s="108"/>
      <c r="P408" s="6"/>
      <c r="Q408" s="6"/>
      <c r="R408" s="6"/>
      <c r="S408" s="2"/>
      <c r="T408" s="3"/>
      <c r="U408" s="2"/>
      <c r="X408" s="63"/>
      <c r="Y408" s="19"/>
      <c r="Z408" s="121" t="str">
        <f t="shared" si="351"/>
        <v/>
      </c>
      <c r="AA408" s="20"/>
      <c r="AB408" s="20"/>
      <c r="AC408" s="20"/>
      <c r="AD408" s="20"/>
      <c r="AE408" s="125" t="str">
        <f t="shared" si="352"/>
        <v/>
      </c>
      <c r="AF408" s="14"/>
      <c r="AG408" s="125" t="str">
        <f t="shared" si="353"/>
        <v/>
      </c>
      <c r="AH408" s="20"/>
      <c r="AI408" s="20"/>
      <c r="AJ408" s="125" t="str">
        <f t="shared" si="354"/>
        <v/>
      </c>
      <c r="AK408" s="14"/>
      <c r="AL408" s="125" t="str">
        <f t="shared" si="355"/>
        <v/>
      </c>
      <c r="AM408" s="20"/>
      <c r="AN408" s="20"/>
      <c r="AO408" s="125" t="str">
        <f t="shared" si="356"/>
        <v/>
      </c>
      <c r="AP408" s="125" t="str">
        <f t="shared" si="357"/>
        <v/>
      </c>
      <c r="AQ408" s="125" t="str">
        <f t="shared" si="358"/>
        <v/>
      </c>
      <c r="AR408" s="129" t="str">
        <f t="shared" si="359"/>
        <v/>
      </c>
      <c r="AS408" s="14"/>
      <c r="AT408" s="13"/>
      <c r="AU408" s="13"/>
      <c r="AV408" s="117" t="str">
        <f>IF(_xlfn.XLOOKUP(AT408, AutoFill_classes!$A:$A, AutoFill_classes!$B:$B,"")=0,"",_xlfn.XLOOKUP(AT408, AutoFill_classes!$A:$A, AutoFill_classes!$B:$B,""))</f>
        <v/>
      </c>
      <c r="AW408" s="108"/>
      <c r="AX408" s="11"/>
      <c r="AY408" s="13"/>
      <c r="AZ408" s="11"/>
      <c r="BA408" s="13"/>
      <c r="BB408" s="13"/>
      <c r="BC408" s="63"/>
      <c r="BD408" s="18"/>
      <c r="BE408" s="121" t="str">
        <f t="shared" si="360"/>
        <v/>
      </c>
      <c r="BF408" s="20"/>
      <c r="BG408" s="20"/>
      <c r="BH408" s="20"/>
      <c r="BI408" s="20"/>
      <c r="BJ408" s="125" t="str">
        <f t="shared" si="361"/>
        <v/>
      </c>
      <c r="BK408" s="14"/>
      <c r="BL408" s="125" t="str">
        <f t="shared" si="362"/>
        <v/>
      </c>
      <c r="BM408" s="20"/>
      <c r="BN408" s="20"/>
      <c r="BO408" s="125" t="str">
        <f t="shared" si="363"/>
        <v/>
      </c>
      <c r="BP408" s="14"/>
      <c r="BQ408" s="125" t="str">
        <f t="shared" si="364"/>
        <v/>
      </c>
      <c r="BR408" s="20"/>
      <c r="BS408" s="20"/>
      <c r="BT408" s="125" t="str">
        <f t="shared" si="365"/>
        <v/>
      </c>
      <c r="BU408" s="125" t="str">
        <f t="shared" si="366"/>
        <v/>
      </c>
      <c r="BV408" s="125" t="str">
        <f t="shared" si="367"/>
        <v/>
      </c>
      <c r="BW408" s="129" t="str">
        <f t="shared" si="368"/>
        <v/>
      </c>
      <c r="BX408" s="13"/>
      <c r="BY408" s="15"/>
      <c r="BZ408" s="14"/>
      <c r="CA408" s="117" t="str">
        <f>IF(_xlfn.XLOOKUP(BY408, AutoFill_classes!$A:$A, AutoFill_classes!$B:$B,"")=0,"",_xlfn.XLOOKUP(BY408, AutoFill_classes!$A:$A, AutoFill_classes!$B:$B,""))</f>
        <v/>
      </c>
      <c r="CB408" s="108"/>
      <c r="CC408" s="14"/>
      <c r="CD408" s="14"/>
      <c r="CE408" s="14"/>
      <c r="CF408" s="21"/>
      <c r="CG408" s="22"/>
      <c r="CH408" s="63"/>
      <c r="CI408" s="23"/>
      <c r="CJ408" s="121" t="str">
        <f t="shared" si="369"/>
        <v/>
      </c>
      <c r="CK408" s="20"/>
      <c r="CL408" s="20"/>
      <c r="CM408" s="20"/>
      <c r="CN408" s="20"/>
      <c r="CO408" s="125" t="str">
        <f t="shared" si="370"/>
        <v/>
      </c>
      <c r="CP408" s="14"/>
      <c r="CQ408" s="125" t="str">
        <f t="shared" si="371"/>
        <v/>
      </c>
      <c r="CR408" s="20"/>
      <c r="CS408" s="20"/>
      <c r="CT408" s="125" t="str">
        <f t="shared" si="372"/>
        <v/>
      </c>
      <c r="CU408" s="14"/>
      <c r="CV408" s="125" t="str">
        <f t="shared" si="373"/>
        <v/>
      </c>
      <c r="CW408" s="20"/>
      <c r="CX408" s="20"/>
      <c r="CY408" s="125" t="str">
        <f t="shared" si="374"/>
        <v/>
      </c>
      <c r="CZ408" s="125" t="str">
        <f t="shared" si="375"/>
        <v/>
      </c>
      <c r="DA408" s="125" t="str">
        <f t="shared" si="376"/>
        <v/>
      </c>
      <c r="DB408" s="129" t="str">
        <f t="shared" si="377"/>
        <v/>
      </c>
      <c r="DC408" s="14"/>
      <c r="DD408" s="62"/>
      <c r="DE408" s="105">
        <v>406</v>
      </c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</row>
    <row r="409" spans="1:176" s="1" customFormat="1" ht="13" hidden="1" customHeight="1" outlineLevel="1" x14ac:dyDescent="0.2">
      <c r="A409" s="4"/>
      <c r="B409" s="115" t="str">
        <f>IF(_xlfn.XLOOKUP(A409, AutoFill_names!B:B, AutoFill_names!C:C,"")=0,"",_xlfn.XLOOKUP(A409, AutoFill_names!B:B, AutoFill_names!C:C,""))</f>
        <v/>
      </c>
      <c r="C409" s="115" t="str">
        <f>IF(_xlfn.XLOOKUP(A409, AutoFill_names!B:B, AutoFill_names!D:D,"")=0,"",_xlfn.XLOOKUP(A409, AutoFill_names!B:B, AutoFill_names!D:D,""))</f>
        <v/>
      </c>
      <c r="D409" s="115" t="str">
        <f>IF(_xlfn.XLOOKUP(A409, AutoFill_names!B:B, AutoFill_names!E:E,"")=0,"",_xlfn.XLOOKUP(A409, AutoFill_names!B:B, AutoFill_names!E:E,""))</f>
        <v/>
      </c>
      <c r="E409" s="115" t="str">
        <f>IF(_xlfn.XLOOKUP(A409, AutoFill_names!B:B, AutoFill_names!F:F,"")=0,"",_xlfn.XLOOKUP(A409, AutoFill_names!B:B, AutoFill_names!F:F,""))</f>
        <v/>
      </c>
      <c r="F409" s="92"/>
      <c r="J409" s="115" t="str">
        <f>IF(_xlfn.XLOOKUP(A409, AutoFill_names!B:B, AutoFill_names!K:K,"")=0,"",_xlfn.XLOOKUP(A409, AutoFill_names!B:B, AutoFill_names!K:K,""))</f>
        <v/>
      </c>
      <c r="K409" s="115" t="str">
        <f>IF(_xlfn.XLOOKUP(A409, AutoFill_names!B:B, AutoFill_names!L:L,"")=0,"",_xlfn.XLOOKUP(A409, AutoFill_names!B:B, AutoFill_names!L:L,""))</f>
        <v/>
      </c>
      <c r="L409" s="31"/>
      <c r="M409" s="31"/>
      <c r="N409" s="117" t="str">
        <f>IF(_xlfn.XLOOKUP(L409, AutoFill_classes!A:A, AutoFill_classes!B:B,"")=0,"",_xlfn.XLOOKUP(L409, AutoFill_classes!A:A, AutoFill_classes!B:B,""))</f>
        <v/>
      </c>
      <c r="O409" s="108"/>
      <c r="P409" s="6"/>
      <c r="Q409" s="6"/>
      <c r="R409" s="6"/>
      <c r="S409" s="2"/>
      <c r="T409" s="3"/>
      <c r="U409" s="2"/>
      <c r="X409" s="63"/>
      <c r="Y409" s="19"/>
      <c r="Z409" s="121" t="str">
        <f t="shared" si="351"/>
        <v/>
      </c>
      <c r="AA409" s="20"/>
      <c r="AB409" s="20"/>
      <c r="AC409" s="20"/>
      <c r="AD409" s="20"/>
      <c r="AE409" s="125" t="str">
        <f t="shared" si="352"/>
        <v/>
      </c>
      <c r="AF409" s="14"/>
      <c r="AG409" s="125" t="str">
        <f t="shared" si="353"/>
        <v/>
      </c>
      <c r="AH409" s="20"/>
      <c r="AI409" s="20"/>
      <c r="AJ409" s="125" t="str">
        <f t="shared" si="354"/>
        <v/>
      </c>
      <c r="AK409" s="14"/>
      <c r="AL409" s="125" t="str">
        <f t="shared" si="355"/>
        <v/>
      </c>
      <c r="AM409" s="20"/>
      <c r="AN409" s="20"/>
      <c r="AO409" s="125" t="str">
        <f t="shared" si="356"/>
        <v/>
      </c>
      <c r="AP409" s="125" t="str">
        <f t="shared" si="357"/>
        <v/>
      </c>
      <c r="AQ409" s="125" t="str">
        <f t="shared" si="358"/>
        <v/>
      </c>
      <c r="AR409" s="129" t="str">
        <f t="shared" si="359"/>
        <v/>
      </c>
      <c r="AS409" s="14"/>
      <c r="AT409" s="13"/>
      <c r="AU409" s="13"/>
      <c r="AV409" s="117" t="str">
        <f>IF(_xlfn.XLOOKUP(AT409, AutoFill_classes!$A:$A, AutoFill_classes!$B:$B,"")=0,"",_xlfn.XLOOKUP(AT409, AutoFill_classes!$A:$A, AutoFill_classes!$B:$B,""))</f>
        <v/>
      </c>
      <c r="AW409" s="108"/>
      <c r="AX409" s="11"/>
      <c r="AY409" s="13"/>
      <c r="AZ409" s="11"/>
      <c r="BA409" s="13"/>
      <c r="BB409" s="13"/>
      <c r="BC409" s="63"/>
      <c r="BD409" s="18"/>
      <c r="BE409" s="121" t="str">
        <f t="shared" si="360"/>
        <v/>
      </c>
      <c r="BF409" s="20"/>
      <c r="BG409" s="20"/>
      <c r="BH409" s="20"/>
      <c r="BI409" s="20"/>
      <c r="BJ409" s="125" t="str">
        <f t="shared" si="361"/>
        <v/>
      </c>
      <c r="BK409" s="14"/>
      <c r="BL409" s="125" t="str">
        <f t="shared" si="362"/>
        <v/>
      </c>
      <c r="BM409" s="20"/>
      <c r="BN409" s="20"/>
      <c r="BO409" s="125" t="str">
        <f t="shared" si="363"/>
        <v/>
      </c>
      <c r="BP409" s="14"/>
      <c r="BQ409" s="125" t="str">
        <f t="shared" si="364"/>
        <v/>
      </c>
      <c r="BR409" s="20"/>
      <c r="BS409" s="20"/>
      <c r="BT409" s="125" t="str">
        <f t="shared" si="365"/>
        <v/>
      </c>
      <c r="BU409" s="125" t="str">
        <f t="shared" si="366"/>
        <v/>
      </c>
      <c r="BV409" s="125" t="str">
        <f t="shared" si="367"/>
        <v/>
      </c>
      <c r="BW409" s="129" t="str">
        <f t="shared" si="368"/>
        <v/>
      </c>
      <c r="BX409" s="13"/>
      <c r="BY409" s="15"/>
      <c r="BZ409" s="14"/>
      <c r="CA409" s="117" t="str">
        <f>IF(_xlfn.XLOOKUP(BY409, AutoFill_classes!$A:$A, AutoFill_classes!$B:$B,"")=0,"",_xlfn.XLOOKUP(BY409, AutoFill_classes!$A:$A, AutoFill_classes!$B:$B,""))</f>
        <v/>
      </c>
      <c r="CB409" s="108"/>
      <c r="CC409" s="14"/>
      <c r="CD409" s="14"/>
      <c r="CE409" s="14"/>
      <c r="CF409" s="21"/>
      <c r="CG409" s="22"/>
      <c r="CH409" s="63"/>
      <c r="CI409" s="23"/>
      <c r="CJ409" s="121" t="str">
        <f t="shared" si="369"/>
        <v/>
      </c>
      <c r="CK409" s="20"/>
      <c r="CL409" s="20"/>
      <c r="CM409" s="20"/>
      <c r="CN409" s="20"/>
      <c r="CO409" s="125" t="str">
        <f t="shared" si="370"/>
        <v/>
      </c>
      <c r="CP409" s="14"/>
      <c r="CQ409" s="125" t="str">
        <f t="shared" si="371"/>
        <v/>
      </c>
      <c r="CR409" s="20"/>
      <c r="CS409" s="20"/>
      <c r="CT409" s="125" t="str">
        <f t="shared" si="372"/>
        <v/>
      </c>
      <c r="CU409" s="14"/>
      <c r="CV409" s="125" t="str">
        <f t="shared" si="373"/>
        <v/>
      </c>
      <c r="CW409" s="20"/>
      <c r="CX409" s="20"/>
      <c r="CY409" s="125" t="str">
        <f t="shared" si="374"/>
        <v/>
      </c>
      <c r="CZ409" s="125" t="str">
        <f t="shared" si="375"/>
        <v/>
      </c>
      <c r="DA409" s="125" t="str">
        <f t="shared" si="376"/>
        <v/>
      </c>
      <c r="DB409" s="129" t="str">
        <f t="shared" si="377"/>
        <v/>
      </c>
      <c r="DC409" s="14"/>
      <c r="DD409" s="62"/>
      <c r="DE409" s="105">
        <v>407</v>
      </c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</row>
    <row r="410" spans="1:176" s="1" customFormat="1" ht="13" hidden="1" customHeight="1" outlineLevel="1" x14ac:dyDescent="0.2">
      <c r="A410" s="4"/>
      <c r="B410" s="115" t="str">
        <f>IF(_xlfn.XLOOKUP(A410, AutoFill_names!B:B, AutoFill_names!C:C,"")=0,"",_xlfn.XLOOKUP(A410, AutoFill_names!B:B, AutoFill_names!C:C,""))</f>
        <v/>
      </c>
      <c r="C410" s="115" t="str">
        <f>IF(_xlfn.XLOOKUP(A410, AutoFill_names!B:B, AutoFill_names!D:D,"")=0,"",_xlfn.XLOOKUP(A410, AutoFill_names!B:B, AutoFill_names!D:D,""))</f>
        <v/>
      </c>
      <c r="D410" s="115" t="str">
        <f>IF(_xlfn.XLOOKUP(A410, AutoFill_names!B:B, AutoFill_names!E:E,"")=0,"",_xlfn.XLOOKUP(A410, AutoFill_names!B:B, AutoFill_names!E:E,""))</f>
        <v/>
      </c>
      <c r="E410" s="115" t="str">
        <f>IF(_xlfn.XLOOKUP(A410, AutoFill_names!B:B, AutoFill_names!F:F,"")=0,"",_xlfn.XLOOKUP(A410, AutoFill_names!B:B, AutoFill_names!F:F,""))</f>
        <v/>
      </c>
      <c r="F410" s="92"/>
      <c r="J410" s="115" t="str">
        <f>IF(_xlfn.XLOOKUP(A410, AutoFill_names!B:B, AutoFill_names!K:K,"")=0,"",_xlfn.XLOOKUP(A410, AutoFill_names!B:B, AutoFill_names!K:K,""))</f>
        <v/>
      </c>
      <c r="K410" s="115" t="str">
        <f>IF(_xlfn.XLOOKUP(A410, AutoFill_names!B:B, AutoFill_names!L:L,"")=0,"",_xlfn.XLOOKUP(A410, AutoFill_names!B:B, AutoFill_names!L:L,""))</f>
        <v/>
      </c>
      <c r="L410" s="31"/>
      <c r="M410" s="31"/>
      <c r="N410" s="117" t="str">
        <f>IF(_xlfn.XLOOKUP(L410, AutoFill_classes!A:A, AutoFill_classes!B:B,"")=0,"",_xlfn.XLOOKUP(L410, AutoFill_classes!A:A, AutoFill_classes!B:B,""))</f>
        <v/>
      </c>
      <c r="O410" s="108"/>
      <c r="P410" s="6"/>
      <c r="Q410" s="6"/>
      <c r="R410" s="6"/>
      <c r="S410" s="2"/>
      <c r="T410" s="3"/>
      <c r="U410" s="2"/>
      <c r="X410" s="63"/>
      <c r="Y410" s="19"/>
      <c r="Z410" s="121" t="str">
        <f t="shared" si="351"/>
        <v/>
      </c>
      <c r="AA410" s="20"/>
      <c r="AB410" s="20"/>
      <c r="AC410" s="20"/>
      <c r="AD410" s="20"/>
      <c r="AE410" s="125" t="str">
        <f t="shared" si="352"/>
        <v/>
      </c>
      <c r="AF410" s="14"/>
      <c r="AG410" s="125" t="str">
        <f t="shared" si="353"/>
        <v/>
      </c>
      <c r="AH410" s="20"/>
      <c r="AI410" s="20"/>
      <c r="AJ410" s="125" t="str">
        <f t="shared" si="354"/>
        <v/>
      </c>
      <c r="AK410" s="14"/>
      <c r="AL410" s="125" t="str">
        <f t="shared" si="355"/>
        <v/>
      </c>
      <c r="AM410" s="20"/>
      <c r="AN410" s="20"/>
      <c r="AO410" s="125" t="str">
        <f t="shared" si="356"/>
        <v/>
      </c>
      <c r="AP410" s="125" t="str">
        <f t="shared" si="357"/>
        <v/>
      </c>
      <c r="AQ410" s="125" t="str">
        <f t="shared" si="358"/>
        <v/>
      </c>
      <c r="AR410" s="129" t="str">
        <f t="shared" si="359"/>
        <v/>
      </c>
      <c r="AS410" s="14"/>
      <c r="AT410" s="13"/>
      <c r="AU410" s="13"/>
      <c r="AV410" s="117" t="str">
        <f>IF(_xlfn.XLOOKUP(AT410, AutoFill_classes!$A:$A, AutoFill_classes!$B:$B,"")=0,"",_xlfn.XLOOKUP(AT410, AutoFill_classes!$A:$A, AutoFill_classes!$B:$B,""))</f>
        <v/>
      </c>
      <c r="AW410" s="108"/>
      <c r="AX410" s="11"/>
      <c r="AY410" s="13"/>
      <c r="AZ410" s="11"/>
      <c r="BA410" s="13"/>
      <c r="BB410" s="13"/>
      <c r="BC410" s="63"/>
      <c r="BD410" s="18"/>
      <c r="BE410" s="121" t="str">
        <f t="shared" si="360"/>
        <v/>
      </c>
      <c r="BF410" s="20"/>
      <c r="BG410" s="20"/>
      <c r="BH410" s="20"/>
      <c r="BI410" s="20"/>
      <c r="BJ410" s="125" t="str">
        <f t="shared" si="361"/>
        <v/>
      </c>
      <c r="BK410" s="14"/>
      <c r="BL410" s="125" t="str">
        <f t="shared" si="362"/>
        <v/>
      </c>
      <c r="BM410" s="20"/>
      <c r="BN410" s="20"/>
      <c r="BO410" s="125" t="str">
        <f t="shared" si="363"/>
        <v/>
      </c>
      <c r="BP410" s="14"/>
      <c r="BQ410" s="125" t="str">
        <f t="shared" si="364"/>
        <v/>
      </c>
      <c r="BR410" s="20"/>
      <c r="BS410" s="20"/>
      <c r="BT410" s="125" t="str">
        <f t="shared" si="365"/>
        <v/>
      </c>
      <c r="BU410" s="125" t="str">
        <f t="shared" si="366"/>
        <v/>
      </c>
      <c r="BV410" s="125" t="str">
        <f t="shared" si="367"/>
        <v/>
      </c>
      <c r="BW410" s="129" t="str">
        <f t="shared" si="368"/>
        <v/>
      </c>
      <c r="BX410" s="13"/>
      <c r="BY410" s="15"/>
      <c r="BZ410" s="14"/>
      <c r="CA410" s="117" t="str">
        <f>IF(_xlfn.XLOOKUP(BY410, AutoFill_classes!$A:$A, AutoFill_classes!$B:$B,"")=0,"",_xlfn.XLOOKUP(BY410, AutoFill_classes!$A:$A, AutoFill_classes!$B:$B,""))</f>
        <v/>
      </c>
      <c r="CB410" s="108"/>
      <c r="CC410" s="14"/>
      <c r="CD410" s="14"/>
      <c r="CE410" s="14"/>
      <c r="CF410" s="21"/>
      <c r="CG410" s="22"/>
      <c r="CH410" s="63"/>
      <c r="CI410" s="23"/>
      <c r="CJ410" s="121" t="str">
        <f t="shared" si="369"/>
        <v/>
      </c>
      <c r="CK410" s="20"/>
      <c r="CL410" s="20"/>
      <c r="CM410" s="20"/>
      <c r="CN410" s="20"/>
      <c r="CO410" s="125" t="str">
        <f t="shared" si="370"/>
        <v/>
      </c>
      <c r="CP410" s="14"/>
      <c r="CQ410" s="125" t="str">
        <f t="shared" si="371"/>
        <v/>
      </c>
      <c r="CR410" s="20"/>
      <c r="CS410" s="20"/>
      <c r="CT410" s="125" t="str">
        <f t="shared" si="372"/>
        <v/>
      </c>
      <c r="CU410" s="14"/>
      <c r="CV410" s="125" t="str">
        <f t="shared" si="373"/>
        <v/>
      </c>
      <c r="CW410" s="20"/>
      <c r="CX410" s="20"/>
      <c r="CY410" s="125" t="str">
        <f t="shared" si="374"/>
        <v/>
      </c>
      <c r="CZ410" s="125" t="str">
        <f t="shared" si="375"/>
        <v/>
      </c>
      <c r="DA410" s="125" t="str">
        <f t="shared" si="376"/>
        <v/>
      </c>
      <c r="DB410" s="129" t="str">
        <f t="shared" si="377"/>
        <v/>
      </c>
      <c r="DC410" s="14"/>
      <c r="DD410" s="62"/>
      <c r="DE410" s="105">
        <v>408</v>
      </c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</row>
    <row r="411" spans="1:176" s="1" customFormat="1" ht="13" hidden="1" customHeight="1" outlineLevel="1" x14ac:dyDescent="0.2">
      <c r="A411" s="4"/>
      <c r="B411" s="115" t="str">
        <f>IF(_xlfn.XLOOKUP(A411, AutoFill_names!B:B, AutoFill_names!C:C,"")=0,"",_xlfn.XLOOKUP(A411, AutoFill_names!B:B, AutoFill_names!C:C,""))</f>
        <v/>
      </c>
      <c r="C411" s="115" t="str">
        <f>IF(_xlfn.XLOOKUP(A411, AutoFill_names!B:B, AutoFill_names!D:D,"")=0,"",_xlfn.XLOOKUP(A411, AutoFill_names!B:B, AutoFill_names!D:D,""))</f>
        <v/>
      </c>
      <c r="D411" s="115" t="str">
        <f>IF(_xlfn.XLOOKUP(A411, AutoFill_names!B:B, AutoFill_names!E:E,"")=0,"",_xlfn.XLOOKUP(A411, AutoFill_names!B:B, AutoFill_names!E:E,""))</f>
        <v/>
      </c>
      <c r="E411" s="115" t="str">
        <f>IF(_xlfn.XLOOKUP(A411, AutoFill_names!B:B, AutoFill_names!F:F,"")=0,"",_xlfn.XLOOKUP(A411, AutoFill_names!B:B, AutoFill_names!F:F,""))</f>
        <v/>
      </c>
      <c r="F411" s="92"/>
      <c r="J411" s="115" t="str">
        <f>IF(_xlfn.XLOOKUP(A411, AutoFill_names!B:B, AutoFill_names!K:K,"")=0,"",_xlfn.XLOOKUP(A411, AutoFill_names!B:B, AutoFill_names!K:K,""))</f>
        <v/>
      </c>
      <c r="K411" s="115" t="str">
        <f>IF(_xlfn.XLOOKUP(A411, AutoFill_names!B:B, AutoFill_names!L:L,"")=0,"",_xlfn.XLOOKUP(A411, AutoFill_names!B:B, AutoFill_names!L:L,""))</f>
        <v/>
      </c>
      <c r="L411" s="31"/>
      <c r="M411" s="31"/>
      <c r="N411" s="117" t="str">
        <f>IF(_xlfn.XLOOKUP(L411, AutoFill_classes!A:A, AutoFill_classes!B:B,"")=0,"",_xlfn.XLOOKUP(L411, AutoFill_classes!A:A, AutoFill_classes!B:B,""))</f>
        <v/>
      </c>
      <c r="O411" s="108"/>
      <c r="P411" s="6"/>
      <c r="Q411" s="6"/>
      <c r="R411" s="6"/>
      <c r="S411" s="2"/>
      <c r="T411" s="3"/>
      <c r="U411" s="2"/>
      <c r="X411" s="63"/>
      <c r="Y411" s="19"/>
      <c r="Z411" s="121" t="str">
        <f t="shared" si="351"/>
        <v/>
      </c>
      <c r="AA411" s="20"/>
      <c r="AB411" s="20"/>
      <c r="AC411" s="20"/>
      <c r="AD411" s="20"/>
      <c r="AE411" s="125" t="str">
        <f t="shared" si="352"/>
        <v/>
      </c>
      <c r="AF411" s="14"/>
      <c r="AG411" s="125" t="str">
        <f t="shared" si="353"/>
        <v/>
      </c>
      <c r="AH411" s="20"/>
      <c r="AI411" s="20"/>
      <c r="AJ411" s="125" t="str">
        <f t="shared" si="354"/>
        <v/>
      </c>
      <c r="AK411" s="14"/>
      <c r="AL411" s="125" t="str">
        <f t="shared" si="355"/>
        <v/>
      </c>
      <c r="AM411" s="20"/>
      <c r="AN411" s="20"/>
      <c r="AO411" s="125" t="str">
        <f t="shared" si="356"/>
        <v/>
      </c>
      <c r="AP411" s="125" t="str">
        <f t="shared" si="357"/>
        <v/>
      </c>
      <c r="AQ411" s="125" t="str">
        <f t="shared" si="358"/>
        <v/>
      </c>
      <c r="AR411" s="129" t="str">
        <f t="shared" si="359"/>
        <v/>
      </c>
      <c r="AS411" s="14"/>
      <c r="AT411" s="13"/>
      <c r="AU411" s="13"/>
      <c r="AV411" s="117" t="str">
        <f>IF(_xlfn.XLOOKUP(AT411, AutoFill_classes!$A:$A, AutoFill_classes!$B:$B,"")=0,"",_xlfn.XLOOKUP(AT411, AutoFill_classes!$A:$A, AutoFill_classes!$B:$B,""))</f>
        <v/>
      </c>
      <c r="AW411" s="108"/>
      <c r="AX411" s="11"/>
      <c r="AY411" s="13"/>
      <c r="AZ411" s="11"/>
      <c r="BA411" s="13"/>
      <c r="BB411" s="13"/>
      <c r="BC411" s="63"/>
      <c r="BD411" s="18"/>
      <c r="BE411" s="121" t="str">
        <f t="shared" si="360"/>
        <v/>
      </c>
      <c r="BF411" s="20"/>
      <c r="BG411" s="20"/>
      <c r="BH411" s="20"/>
      <c r="BI411" s="20"/>
      <c r="BJ411" s="125" t="str">
        <f t="shared" si="361"/>
        <v/>
      </c>
      <c r="BK411" s="14"/>
      <c r="BL411" s="125" t="str">
        <f t="shared" si="362"/>
        <v/>
      </c>
      <c r="BM411" s="20"/>
      <c r="BN411" s="20"/>
      <c r="BO411" s="125" t="str">
        <f t="shared" si="363"/>
        <v/>
      </c>
      <c r="BP411" s="14"/>
      <c r="BQ411" s="125" t="str">
        <f t="shared" si="364"/>
        <v/>
      </c>
      <c r="BR411" s="20"/>
      <c r="BS411" s="20"/>
      <c r="BT411" s="125" t="str">
        <f t="shared" si="365"/>
        <v/>
      </c>
      <c r="BU411" s="125" t="str">
        <f t="shared" si="366"/>
        <v/>
      </c>
      <c r="BV411" s="125" t="str">
        <f t="shared" si="367"/>
        <v/>
      </c>
      <c r="BW411" s="129" t="str">
        <f t="shared" si="368"/>
        <v/>
      </c>
      <c r="BX411" s="13"/>
      <c r="BY411" s="15"/>
      <c r="BZ411" s="14"/>
      <c r="CA411" s="117" t="str">
        <f>IF(_xlfn.XLOOKUP(BY411, AutoFill_classes!$A:$A, AutoFill_classes!$B:$B,"")=0,"",_xlfn.XLOOKUP(BY411, AutoFill_classes!$A:$A, AutoFill_classes!$B:$B,""))</f>
        <v/>
      </c>
      <c r="CB411" s="108"/>
      <c r="CC411" s="14"/>
      <c r="CD411" s="14"/>
      <c r="CE411" s="14"/>
      <c r="CF411" s="21"/>
      <c r="CG411" s="22"/>
      <c r="CH411" s="63"/>
      <c r="CI411" s="23"/>
      <c r="CJ411" s="121" t="str">
        <f t="shared" si="369"/>
        <v/>
      </c>
      <c r="CK411" s="20"/>
      <c r="CL411" s="20"/>
      <c r="CM411" s="20"/>
      <c r="CN411" s="20"/>
      <c r="CO411" s="125" t="str">
        <f t="shared" si="370"/>
        <v/>
      </c>
      <c r="CP411" s="14"/>
      <c r="CQ411" s="125" t="str">
        <f t="shared" si="371"/>
        <v/>
      </c>
      <c r="CR411" s="20"/>
      <c r="CS411" s="20"/>
      <c r="CT411" s="125" t="str">
        <f t="shared" si="372"/>
        <v/>
      </c>
      <c r="CU411" s="14"/>
      <c r="CV411" s="125" t="str">
        <f t="shared" si="373"/>
        <v/>
      </c>
      <c r="CW411" s="20"/>
      <c r="CX411" s="20"/>
      <c r="CY411" s="125" t="str">
        <f t="shared" si="374"/>
        <v/>
      </c>
      <c r="CZ411" s="125" t="str">
        <f t="shared" si="375"/>
        <v/>
      </c>
      <c r="DA411" s="125" t="str">
        <f t="shared" si="376"/>
        <v/>
      </c>
      <c r="DB411" s="129" t="str">
        <f t="shared" si="377"/>
        <v/>
      </c>
      <c r="DC411" s="14"/>
      <c r="DD411" s="62"/>
      <c r="DE411" s="105">
        <v>409</v>
      </c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</row>
    <row r="412" spans="1:176" s="1" customFormat="1" ht="13" hidden="1" customHeight="1" outlineLevel="1" x14ac:dyDescent="0.2">
      <c r="A412" s="4"/>
      <c r="B412" s="115" t="str">
        <f>IF(_xlfn.XLOOKUP(A412, AutoFill_names!B:B, AutoFill_names!C:C,"")=0,"",_xlfn.XLOOKUP(A412, AutoFill_names!B:B, AutoFill_names!C:C,""))</f>
        <v/>
      </c>
      <c r="C412" s="115" t="str">
        <f>IF(_xlfn.XLOOKUP(A412, AutoFill_names!B:B, AutoFill_names!D:D,"")=0,"",_xlfn.XLOOKUP(A412, AutoFill_names!B:B, AutoFill_names!D:D,""))</f>
        <v/>
      </c>
      <c r="D412" s="115" t="str">
        <f>IF(_xlfn.XLOOKUP(A412, AutoFill_names!B:B, AutoFill_names!E:E,"")=0,"",_xlfn.XLOOKUP(A412, AutoFill_names!B:B, AutoFill_names!E:E,""))</f>
        <v/>
      </c>
      <c r="E412" s="115" t="str">
        <f>IF(_xlfn.XLOOKUP(A412, AutoFill_names!B:B, AutoFill_names!F:F,"")=0,"",_xlfn.XLOOKUP(A412, AutoFill_names!B:B, AutoFill_names!F:F,""))</f>
        <v/>
      </c>
      <c r="F412" s="92"/>
      <c r="J412" s="115" t="str">
        <f>IF(_xlfn.XLOOKUP(A412, AutoFill_names!B:B, AutoFill_names!K:K,"")=0,"",_xlfn.XLOOKUP(A412, AutoFill_names!B:B, AutoFill_names!K:K,""))</f>
        <v/>
      </c>
      <c r="K412" s="115" t="str">
        <f>IF(_xlfn.XLOOKUP(A412, AutoFill_names!B:B, AutoFill_names!L:L,"")=0,"",_xlfn.XLOOKUP(A412, AutoFill_names!B:B, AutoFill_names!L:L,""))</f>
        <v/>
      </c>
      <c r="L412" s="31"/>
      <c r="M412" s="31"/>
      <c r="N412" s="117" t="str">
        <f>IF(_xlfn.XLOOKUP(L412, AutoFill_classes!A:A, AutoFill_classes!B:B,"")=0,"",_xlfn.XLOOKUP(L412, AutoFill_classes!A:A, AutoFill_classes!B:B,""))</f>
        <v/>
      </c>
      <c r="O412" s="108"/>
      <c r="P412" s="6"/>
      <c r="Q412" s="6"/>
      <c r="R412" s="6"/>
      <c r="S412" s="2"/>
      <c r="T412" s="3"/>
      <c r="U412" s="2"/>
      <c r="X412" s="63"/>
      <c r="Y412" s="19"/>
      <c r="Z412" s="121" t="str">
        <f t="shared" si="351"/>
        <v/>
      </c>
      <c r="AA412" s="20"/>
      <c r="AB412" s="20"/>
      <c r="AC412" s="20"/>
      <c r="AD412" s="20"/>
      <c r="AE412" s="125" t="str">
        <f t="shared" si="352"/>
        <v/>
      </c>
      <c r="AF412" s="14"/>
      <c r="AG412" s="125" t="str">
        <f t="shared" si="353"/>
        <v/>
      </c>
      <c r="AH412" s="20"/>
      <c r="AI412" s="20"/>
      <c r="AJ412" s="125" t="str">
        <f t="shared" si="354"/>
        <v/>
      </c>
      <c r="AK412" s="14"/>
      <c r="AL412" s="125" t="str">
        <f t="shared" si="355"/>
        <v/>
      </c>
      <c r="AM412" s="20"/>
      <c r="AN412" s="20"/>
      <c r="AO412" s="125" t="str">
        <f t="shared" si="356"/>
        <v/>
      </c>
      <c r="AP412" s="125" t="str">
        <f t="shared" si="357"/>
        <v/>
      </c>
      <c r="AQ412" s="125" t="str">
        <f t="shared" si="358"/>
        <v/>
      </c>
      <c r="AR412" s="129" t="str">
        <f t="shared" si="359"/>
        <v/>
      </c>
      <c r="AS412" s="14"/>
      <c r="AT412" s="13"/>
      <c r="AU412" s="13"/>
      <c r="AV412" s="117" t="str">
        <f>IF(_xlfn.XLOOKUP(AT412, AutoFill_classes!$A:$A, AutoFill_classes!$B:$B,"")=0,"",_xlfn.XLOOKUP(AT412, AutoFill_classes!$A:$A, AutoFill_classes!$B:$B,""))</f>
        <v/>
      </c>
      <c r="AW412" s="108"/>
      <c r="AX412" s="11"/>
      <c r="AY412" s="13"/>
      <c r="AZ412" s="11"/>
      <c r="BA412" s="13"/>
      <c r="BB412" s="13"/>
      <c r="BC412" s="63"/>
      <c r="BD412" s="18"/>
      <c r="BE412" s="121" t="str">
        <f t="shared" si="360"/>
        <v/>
      </c>
      <c r="BF412" s="20"/>
      <c r="BG412" s="20"/>
      <c r="BH412" s="20"/>
      <c r="BI412" s="20"/>
      <c r="BJ412" s="125" t="str">
        <f t="shared" si="361"/>
        <v/>
      </c>
      <c r="BK412" s="14"/>
      <c r="BL412" s="125" t="str">
        <f t="shared" si="362"/>
        <v/>
      </c>
      <c r="BM412" s="20"/>
      <c r="BN412" s="20"/>
      <c r="BO412" s="125" t="str">
        <f t="shared" si="363"/>
        <v/>
      </c>
      <c r="BP412" s="14"/>
      <c r="BQ412" s="125" t="str">
        <f t="shared" si="364"/>
        <v/>
      </c>
      <c r="BR412" s="20"/>
      <c r="BS412" s="20"/>
      <c r="BT412" s="125" t="str">
        <f t="shared" si="365"/>
        <v/>
      </c>
      <c r="BU412" s="125" t="str">
        <f t="shared" si="366"/>
        <v/>
      </c>
      <c r="BV412" s="125" t="str">
        <f t="shared" si="367"/>
        <v/>
      </c>
      <c r="BW412" s="129" t="str">
        <f t="shared" si="368"/>
        <v/>
      </c>
      <c r="BX412" s="13"/>
      <c r="BY412" s="15"/>
      <c r="BZ412" s="14"/>
      <c r="CA412" s="117" t="str">
        <f>IF(_xlfn.XLOOKUP(BY412, AutoFill_classes!$A:$A, AutoFill_classes!$B:$B,"")=0,"",_xlfn.XLOOKUP(BY412, AutoFill_classes!$A:$A, AutoFill_classes!$B:$B,""))</f>
        <v/>
      </c>
      <c r="CB412" s="108"/>
      <c r="CC412" s="14"/>
      <c r="CD412" s="14"/>
      <c r="CE412" s="14"/>
      <c r="CF412" s="21"/>
      <c r="CG412" s="22"/>
      <c r="CH412" s="63"/>
      <c r="CI412" s="23"/>
      <c r="CJ412" s="121" t="str">
        <f t="shared" si="369"/>
        <v/>
      </c>
      <c r="CK412" s="20"/>
      <c r="CL412" s="20"/>
      <c r="CM412" s="20"/>
      <c r="CN412" s="20"/>
      <c r="CO412" s="125" t="str">
        <f t="shared" si="370"/>
        <v/>
      </c>
      <c r="CP412" s="14"/>
      <c r="CQ412" s="125" t="str">
        <f t="shared" si="371"/>
        <v/>
      </c>
      <c r="CR412" s="20"/>
      <c r="CS412" s="20"/>
      <c r="CT412" s="125" t="str">
        <f t="shared" si="372"/>
        <v/>
      </c>
      <c r="CU412" s="14"/>
      <c r="CV412" s="125" t="str">
        <f t="shared" si="373"/>
        <v/>
      </c>
      <c r="CW412" s="20"/>
      <c r="CX412" s="20"/>
      <c r="CY412" s="125" t="str">
        <f t="shared" si="374"/>
        <v/>
      </c>
      <c r="CZ412" s="125" t="str">
        <f t="shared" si="375"/>
        <v/>
      </c>
      <c r="DA412" s="125" t="str">
        <f t="shared" si="376"/>
        <v/>
      </c>
      <c r="DB412" s="129" t="str">
        <f t="shared" si="377"/>
        <v/>
      </c>
      <c r="DC412" s="14"/>
      <c r="DD412" s="62"/>
      <c r="DE412" s="105">
        <v>410</v>
      </c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</row>
    <row r="413" spans="1:176" s="1" customFormat="1" ht="13" hidden="1" customHeight="1" outlineLevel="1" x14ac:dyDescent="0.2">
      <c r="A413" s="4"/>
      <c r="B413" s="115" t="str">
        <f>IF(_xlfn.XLOOKUP(A413, AutoFill_names!B:B, AutoFill_names!C:C,"")=0,"",_xlfn.XLOOKUP(A413, AutoFill_names!B:B, AutoFill_names!C:C,""))</f>
        <v/>
      </c>
      <c r="C413" s="115" t="str">
        <f>IF(_xlfn.XLOOKUP(A413, AutoFill_names!B:B, AutoFill_names!D:D,"")=0,"",_xlfn.XLOOKUP(A413, AutoFill_names!B:B, AutoFill_names!D:D,""))</f>
        <v/>
      </c>
      <c r="D413" s="115" t="str">
        <f>IF(_xlfn.XLOOKUP(A413, AutoFill_names!B:B, AutoFill_names!E:E,"")=0,"",_xlfn.XLOOKUP(A413, AutoFill_names!B:B, AutoFill_names!E:E,""))</f>
        <v/>
      </c>
      <c r="E413" s="115" t="str">
        <f>IF(_xlfn.XLOOKUP(A413, AutoFill_names!B:B, AutoFill_names!F:F,"")=0,"",_xlfn.XLOOKUP(A413, AutoFill_names!B:B, AutoFill_names!F:F,""))</f>
        <v/>
      </c>
      <c r="F413" s="92"/>
      <c r="J413" s="115" t="str">
        <f>IF(_xlfn.XLOOKUP(A413, AutoFill_names!B:B, AutoFill_names!K:K,"")=0,"",_xlfn.XLOOKUP(A413, AutoFill_names!B:B, AutoFill_names!K:K,""))</f>
        <v/>
      </c>
      <c r="K413" s="115" t="str">
        <f>IF(_xlfn.XLOOKUP(A413, AutoFill_names!B:B, AutoFill_names!L:L,"")=0,"",_xlfn.XLOOKUP(A413, AutoFill_names!B:B, AutoFill_names!L:L,""))</f>
        <v/>
      </c>
      <c r="L413" s="31"/>
      <c r="M413" s="31"/>
      <c r="N413" s="117" t="str">
        <f>IF(_xlfn.XLOOKUP(L413, AutoFill_classes!A:A, AutoFill_classes!B:B,"")=0,"",_xlfn.XLOOKUP(L413, AutoFill_classes!A:A, AutoFill_classes!B:B,""))</f>
        <v/>
      </c>
      <c r="O413" s="108"/>
      <c r="P413" s="6"/>
      <c r="Q413" s="6"/>
      <c r="R413" s="6"/>
      <c r="S413" s="2"/>
      <c r="T413" s="3"/>
      <c r="U413" s="2"/>
      <c r="X413" s="63"/>
      <c r="Y413" s="19"/>
      <c r="Z413" s="121" t="str">
        <f t="shared" si="351"/>
        <v/>
      </c>
      <c r="AA413" s="20"/>
      <c r="AB413" s="20"/>
      <c r="AC413" s="20"/>
      <c r="AD413" s="20"/>
      <c r="AE413" s="125" t="str">
        <f t="shared" si="352"/>
        <v/>
      </c>
      <c r="AF413" s="14"/>
      <c r="AG413" s="125" t="str">
        <f t="shared" si="353"/>
        <v/>
      </c>
      <c r="AH413" s="20"/>
      <c r="AI413" s="20"/>
      <c r="AJ413" s="125" t="str">
        <f t="shared" si="354"/>
        <v/>
      </c>
      <c r="AK413" s="14"/>
      <c r="AL413" s="125" t="str">
        <f t="shared" si="355"/>
        <v/>
      </c>
      <c r="AM413" s="20"/>
      <c r="AN413" s="20"/>
      <c r="AO413" s="125" t="str">
        <f t="shared" si="356"/>
        <v/>
      </c>
      <c r="AP413" s="125" t="str">
        <f t="shared" si="357"/>
        <v/>
      </c>
      <c r="AQ413" s="125" t="str">
        <f t="shared" si="358"/>
        <v/>
      </c>
      <c r="AR413" s="129" t="str">
        <f t="shared" si="359"/>
        <v/>
      </c>
      <c r="AS413" s="14"/>
      <c r="AT413" s="13"/>
      <c r="AU413" s="13"/>
      <c r="AV413" s="117" t="str">
        <f>IF(_xlfn.XLOOKUP(AT413, AutoFill_classes!$A:$A, AutoFill_classes!$B:$B,"")=0,"",_xlfn.XLOOKUP(AT413, AutoFill_classes!$A:$A, AutoFill_classes!$B:$B,""))</f>
        <v/>
      </c>
      <c r="AW413" s="108"/>
      <c r="AX413" s="11"/>
      <c r="AY413" s="13"/>
      <c r="AZ413" s="11"/>
      <c r="BA413" s="13"/>
      <c r="BB413" s="13"/>
      <c r="BC413" s="63"/>
      <c r="BD413" s="18"/>
      <c r="BE413" s="121" t="str">
        <f t="shared" si="360"/>
        <v/>
      </c>
      <c r="BF413" s="20"/>
      <c r="BG413" s="20"/>
      <c r="BH413" s="20"/>
      <c r="BI413" s="20"/>
      <c r="BJ413" s="125" t="str">
        <f t="shared" si="361"/>
        <v/>
      </c>
      <c r="BK413" s="14"/>
      <c r="BL413" s="125" t="str">
        <f t="shared" si="362"/>
        <v/>
      </c>
      <c r="BM413" s="20"/>
      <c r="BN413" s="20"/>
      <c r="BO413" s="125" t="str">
        <f t="shared" si="363"/>
        <v/>
      </c>
      <c r="BP413" s="14"/>
      <c r="BQ413" s="125" t="str">
        <f t="shared" si="364"/>
        <v/>
      </c>
      <c r="BR413" s="20"/>
      <c r="BS413" s="20"/>
      <c r="BT413" s="125" t="str">
        <f t="shared" si="365"/>
        <v/>
      </c>
      <c r="BU413" s="125" t="str">
        <f t="shared" si="366"/>
        <v/>
      </c>
      <c r="BV413" s="125" t="str">
        <f t="shared" si="367"/>
        <v/>
      </c>
      <c r="BW413" s="129" t="str">
        <f t="shared" si="368"/>
        <v/>
      </c>
      <c r="BX413" s="13"/>
      <c r="BY413" s="15"/>
      <c r="BZ413" s="14"/>
      <c r="CA413" s="117" t="str">
        <f>IF(_xlfn.XLOOKUP(BY413, AutoFill_classes!$A:$A, AutoFill_classes!$B:$B,"")=0,"",_xlfn.XLOOKUP(BY413, AutoFill_classes!$A:$A, AutoFill_classes!$B:$B,""))</f>
        <v/>
      </c>
      <c r="CB413" s="108"/>
      <c r="CC413" s="14"/>
      <c r="CD413" s="14"/>
      <c r="CE413" s="14"/>
      <c r="CF413" s="21"/>
      <c r="CG413" s="22"/>
      <c r="CH413" s="63"/>
      <c r="CI413" s="23"/>
      <c r="CJ413" s="121" t="str">
        <f t="shared" si="369"/>
        <v/>
      </c>
      <c r="CK413" s="20"/>
      <c r="CL413" s="20"/>
      <c r="CM413" s="20"/>
      <c r="CN413" s="20"/>
      <c r="CO413" s="125" t="str">
        <f t="shared" si="370"/>
        <v/>
      </c>
      <c r="CP413" s="14"/>
      <c r="CQ413" s="125" t="str">
        <f t="shared" si="371"/>
        <v/>
      </c>
      <c r="CR413" s="20"/>
      <c r="CS413" s="20"/>
      <c r="CT413" s="125" t="str">
        <f t="shared" si="372"/>
        <v/>
      </c>
      <c r="CU413" s="14"/>
      <c r="CV413" s="125" t="str">
        <f t="shared" si="373"/>
        <v/>
      </c>
      <c r="CW413" s="20"/>
      <c r="CX413" s="20"/>
      <c r="CY413" s="125" t="str">
        <f t="shared" si="374"/>
        <v/>
      </c>
      <c r="CZ413" s="125" t="str">
        <f t="shared" si="375"/>
        <v/>
      </c>
      <c r="DA413" s="125" t="str">
        <f t="shared" si="376"/>
        <v/>
      </c>
      <c r="DB413" s="129" t="str">
        <f t="shared" si="377"/>
        <v/>
      </c>
      <c r="DC413" s="14"/>
      <c r="DD413" s="62"/>
      <c r="DE413" s="105">
        <v>411</v>
      </c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</row>
    <row r="414" spans="1:176" s="1" customFormat="1" ht="13" hidden="1" customHeight="1" outlineLevel="1" x14ac:dyDescent="0.2">
      <c r="A414" s="4"/>
      <c r="B414" s="115" t="str">
        <f>IF(_xlfn.XLOOKUP(A414, AutoFill_names!B:B, AutoFill_names!C:C,"")=0,"",_xlfn.XLOOKUP(A414, AutoFill_names!B:B, AutoFill_names!C:C,""))</f>
        <v/>
      </c>
      <c r="C414" s="115" t="str">
        <f>IF(_xlfn.XLOOKUP(A414, AutoFill_names!B:B, AutoFill_names!D:D,"")=0,"",_xlfn.XLOOKUP(A414, AutoFill_names!B:B, AutoFill_names!D:D,""))</f>
        <v/>
      </c>
      <c r="D414" s="115" t="str">
        <f>IF(_xlfn.XLOOKUP(A414, AutoFill_names!B:B, AutoFill_names!E:E,"")=0,"",_xlfn.XLOOKUP(A414, AutoFill_names!B:B, AutoFill_names!E:E,""))</f>
        <v/>
      </c>
      <c r="E414" s="115" t="str">
        <f>IF(_xlfn.XLOOKUP(A414, AutoFill_names!B:B, AutoFill_names!F:F,"")=0,"",_xlfn.XLOOKUP(A414, AutoFill_names!B:B, AutoFill_names!F:F,""))</f>
        <v/>
      </c>
      <c r="F414" s="92"/>
      <c r="J414" s="115" t="str">
        <f>IF(_xlfn.XLOOKUP(A414, AutoFill_names!B:B, AutoFill_names!K:K,"")=0,"",_xlfn.XLOOKUP(A414, AutoFill_names!B:B, AutoFill_names!K:K,""))</f>
        <v/>
      </c>
      <c r="K414" s="115" t="str">
        <f>IF(_xlfn.XLOOKUP(A414, AutoFill_names!B:B, AutoFill_names!L:L,"")=0,"",_xlfn.XLOOKUP(A414, AutoFill_names!B:B, AutoFill_names!L:L,""))</f>
        <v/>
      </c>
      <c r="L414" s="31"/>
      <c r="M414" s="31"/>
      <c r="N414" s="117" t="str">
        <f>IF(_xlfn.XLOOKUP(L414, AutoFill_classes!A:A, AutoFill_classes!B:B,"")=0,"",_xlfn.XLOOKUP(L414, AutoFill_classes!A:A, AutoFill_classes!B:B,""))</f>
        <v/>
      </c>
      <c r="O414" s="108"/>
      <c r="P414" s="6"/>
      <c r="Q414" s="6"/>
      <c r="R414" s="6"/>
      <c r="S414" s="2"/>
      <c r="T414" s="3"/>
      <c r="U414" s="2"/>
      <c r="X414" s="63"/>
      <c r="Y414" s="19"/>
      <c r="Z414" s="121" t="str">
        <f t="shared" si="351"/>
        <v/>
      </c>
      <c r="AA414" s="20"/>
      <c r="AB414" s="20"/>
      <c r="AC414" s="20"/>
      <c r="AD414" s="20"/>
      <c r="AE414" s="125" t="str">
        <f t="shared" si="352"/>
        <v/>
      </c>
      <c r="AF414" s="14"/>
      <c r="AG414" s="125" t="str">
        <f t="shared" si="353"/>
        <v/>
      </c>
      <c r="AH414" s="20"/>
      <c r="AI414" s="20"/>
      <c r="AJ414" s="125" t="str">
        <f t="shared" si="354"/>
        <v/>
      </c>
      <c r="AK414" s="14"/>
      <c r="AL414" s="125" t="str">
        <f t="shared" si="355"/>
        <v/>
      </c>
      <c r="AM414" s="20"/>
      <c r="AN414" s="20"/>
      <c r="AO414" s="125" t="str">
        <f t="shared" si="356"/>
        <v/>
      </c>
      <c r="AP414" s="125" t="str">
        <f t="shared" si="357"/>
        <v/>
      </c>
      <c r="AQ414" s="125" t="str">
        <f t="shared" si="358"/>
        <v/>
      </c>
      <c r="AR414" s="129" t="str">
        <f t="shared" si="359"/>
        <v/>
      </c>
      <c r="AS414" s="14"/>
      <c r="AT414" s="13"/>
      <c r="AU414" s="13"/>
      <c r="AV414" s="117" t="str">
        <f>IF(_xlfn.XLOOKUP(AT414, AutoFill_classes!$A:$A, AutoFill_classes!$B:$B,"")=0,"",_xlfn.XLOOKUP(AT414, AutoFill_classes!$A:$A, AutoFill_classes!$B:$B,""))</f>
        <v/>
      </c>
      <c r="AW414" s="108"/>
      <c r="AX414" s="11"/>
      <c r="AY414" s="13"/>
      <c r="AZ414" s="11"/>
      <c r="BA414" s="13"/>
      <c r="BB414" s="13"/>
      <c r="BC414" s="63"/>
      <c r="BD414" s="18"/>
      <c r="BE414" s="121" t="str">
        <f t="shared" si="360"/>
        <v/>
      </c>
      <c r="BF414" s="20"/>
      <c r="BG414" s="20"/>
      <c r="BH414" s="20"/>
      <c r="BI414" s="20"/>
      <c r="BJ414" s="125" t="str">
        <f t="shared" si="361"/>
        <v/>
      </c>
      <c r="BK414" s="14"/>
      <c r="BL414" s="125" t="str">
        <f t="shared" si="362"/>
        <v/>
      </c>
      <c r="BM414" s="20"/>
      <c r="BN414" s="20"/>
      <c r="BO414" s="125" t="str">
        <f t="shared" si="363"/>
        <v/>
      </c>
      <c r="BP414" s="14"/>
      <c r="BQ414" s="125" t="str">
        <f t="shared" si="364"/>
        <v/>
      </c>
      <c r="BR414" s="20"/>
      <c r="BS414" s="20"/>
      <c r="BT414" s="125" t="str">
        <f t="shared" si="365"/>
        <v/>
      </c>
      <c r="BU414" s="125" t="str">
        <f t="shared" si="366"/>
        <v/>
      </c>
      <c r="BV414" s="125" t="str">
        <f t="shared" si="367"/>
        <v/>
      </c>
      <c r="BW414" s="129" t="str">
        <f t="shared" si="368"/>
        <v/>
      </c>
      <c r="BX414" s="13"/>
      <c r="BY414" s="15"/>
      <c r="BZ414" s="14"/>
      <c r="CA414" s="117" t="str">
        <f>IF(_xlfn.XLOOKUP(BY414, AutoFill_classes!$A:$A, AutoFill_classes!$B:$B,"")=0,"",_xlfn.XLOOKUP(BY414, AutoFill_classes!$A:$A, AutoFill_classes!$B:$B,""))</f>
        <v/>
      </c>
      <c r="CB414" s="108"/>
      <c r="CC414" s="14"/>
      <c r="CD414" s="14"/>
      <c r="CE414" s="14"/>
      <c r="CF414" s="21"/>
      <c r="CG414" s="22"/>
      <c r="CH414" s="63"/>
      <c r="CI414" s="23"/>
      <c r="CJ414" s="121" t="str">
        <f t="shared" si="369"/>
        <v/>
      </c>
      <c r="CK414" s="20"/>
      <c r="CL414" s="20"/>
      <c r="CM414" s="20"/>
      <c r="CN414" s="20"/>
      <c r="CO414" s="125" t="str">
        <f t="shared" si="370"/>
        <v/>
      </c>
      <c r="CP414" s="14"/>
      <c r="CQ414" s="125" t="str">
        <f t="shared" si="371"/>
        <v/>
      </c>
      <c r="CR414" s="20"/>
      <c r="CS414" s="20"/>
      <c r="CT414" s="125" t="str">
        <f t="shared" si="372"/>
        <v/>
      </c>
      <c r="CU414" s="14"/>
      <c r="CV414" s="125" t="str">
        <f t="shared" si="373"/>
        <v/>
      </c>
      <c r="CW414" s="20"/>
      <c r="CX414" s="20"/>
      <c r="CY414" s="125" t="str">
        <f t="shared" si="374"/>
        <v/>
      </c>
      <c r="CZ414" s="125" t="str">
        <f t="shared" si="375"/>
        <v/>
      </c>
      <c r="DA414" s="125" t="str">
        <f t="shared" si="376"/>
        <v/>
      </c>
      <c r="DB414" s="129" t="str">
        <f t="shared" si="377"/>
        <v/>
      </c>
      <c r="DC414" s="14"/>
      <c r="DD414" s="62"/>
      <c r="DE414" s="105">
        <v>412</v>
      </c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</row>
    <row r="415" spans="1:176" s="1" customFormat="1" ht="13" hidden="1" customHeight="1" outlineLevel="1" x14ac:dyDescent="0.2">
      <c r="A415" s="4"/>
      <c r="B415" s="115" t="str">
        <f>IF(_xlfn.XLOOKUP(A415, AutoFill_names!B:B, AutoFill_names!C:C,"")=0,"",_xlfn.XLOOKUP(A415, AutoFill_names!B:B, AutoFill_names!C:C,""))</f>
        <v/>
      </c>
      <c r="C415" s="115" t="str">
        <f>IF(_xlfn.XLOOKUP(A415, AutoFill_names!B:B, AutoFill_names!D:D,"")=0,"",_xlfn.XLOOKUP(A415, AutoFill_names!B:B, AutoFill_names!D:D,""))</f>
        <v/>
      </c>
      <c r="D415" s="115" t="str">
        <f>IF(_xlfn.XLOOKUP(A415, AutoFill_names!B:B, AutoFill_names!E:E,"")=0,"",_xlfn.XLOOKUP(A415, AutoFill_names!B:B, AutoFill_names!E:E,""))</f>
        <v/>
      </c>
      <c r="E415" s="115" t="str">
        <f>IF(_xlfn.XLOOKUP(A415, AutoFill_names!B:B, AutoFill_names!F:F,"")=0,"",_xlfn.XLOOKUP(A415, AutoFill_names!B:B, AutoFill_names!F:F,""))</f>
        <v/>
      </c>
      <c r="F415" s="92"/>
      <c r="J415" s="115" t="str">
        <f>IF(_xlfn.XLOOKUP(A415, AutoFill_names!B:B, AutoFill_names!K:K,"")=0,"",_xlfn.XLOOKUP(A415, AutoFill_names!B:B, AutoFill_names!K:K,""))</f>
        <v/>
      </c>
      <c r="K415" s="115" t="str">
        <f>IF(_xlfn.XLOOKUP(A415, AutoFill_names!B:B, AutoFill_names!L:L,"")=0,"",_xlfn.XLOOKUP(A415, AutoFill_names!B:B, AutoFill_names!L:L,""))</f>
        <v/>
      </c>
      <c r="L415" s="31"/>
      <c r="M415" s="31"/>
      <c r="N415" s="117" t="str">
        <f>IF(_xlfn.XLOOKUP(L415, AutoFill_classes!A:A, AutoFill_classes!B:B,"")=0,"",_xlfn.XLOOKUP(L415, AutoFill_classes!A:A, AutoFill_classes!B:B,""))</f>
        <v/>
      </c>
      <c r="O415" s="108"/>
      <c r="P415" s="6"/>
      <c r="Q415" s="6"/>
      <c r="R415" s="6"/>
      <c r="S415" s="2"/>
      <c r="T415" s="3"/>
      <c r="U415" s="2"/>
      <c r="X415" s="63"/>
      <c r="Y415" s="19"/>
      <c r="Z415" s="121" t="str">
        <f t="shared" si="351"/>
        <v/>
      </c>
      <c r="AA415" s="20"/>
      <c r="AB415" s="20"/>
      <c r="AC415" s="20"/>
      <c r="AD415" s="20"/>
      <c r="AE415" s="125" t="str">
        <f t="shared" si="352"/>
        <v/>
      </c>
      <c r="AF415" s="14"/>
      <c r="AG415" s="125" t="str">
        <f t="shared" si="353"/>
        <v/>
      </c>
      <c r="AH415" s="20"/>
      <c r="AI415" s="20"/>
      <c r="AJ415" s="125" t="str">
        <f t="shared" si="354"/>
        <v/>
      </c>
      <c r="AK415" s="14"/>
      <c r="AL415" s="125" t="str">
        <f t="shared" si="355"/>
        <v/>
      </c>
      <c r="AM415" s="20"/>
      <c r="AN415" s="20"/>
      <c r="AO415" s="125" t="str">
        <f t="shared" si="356"/>
        <v/>
      </c>
      <c r="AP415" s="125" t="str">
        <f t="shared" si="357"/>
        <v/>
      </c>
      <c r="AQ415" s="125" t="str">
        <f t="shared" si="358"/>
        <v/>
      </c>
      <c r="AR415" s="129" t="str">
        <f t="shared" si="359"/>
        <v/>
      </c>
      <c r="AS415" s="14"/>
      <c r="AT415" s="13"/>
      <c r="AU415" s="13"/>
      <c r="AV415" s="117" t="str">
        <f>IF(_xlfn.XLOOKUP(AT415, AutoFill_classes!$A:$A, AutoFill_classes!$B:$B,"")=0,"",_xlfn.XLOOKUP(AT415, AutoFill_classes!$A:$A, AutoFill_classes!$B:$B,""))</f>
        <v/>
      </c>
      <c r="AW415" s="108"/>
      <c r="AX415" s="11"/>
      <c r="AY415" s="13"/>
      <c r="AZ415" s="11"/>
      <c r="BA415" s="13"/>
      <c r="BB415" s="13"/>
      <c r="BC415" s="63"/>
      <c r="BD415" s="18"/>
      <c r="BE415" s="121" t="str">
        <f t="shared" si="360"/>
        <v/>
      </c>
      <c r="BF415" s="20"/>
      <c r="BG415" s="20"/>
      <c r="BH415" s="20"/>
      <c r="BI415" s="20"/>
      <c r="BJ415" s="125" t="str">
        <f t="shared" si="361"/>
        <v/>
      </c>
      <c r="BK415" s="14"/>
      <c r="BL415" s="125" t="str">
        <f t="shared" si="362"/>
        <v/>
      </c>
      <c r="BM415" s="20"/>
      <c r="BN415" s="20"/>
      <c r="BO415" s="125" t="str">
        <f t="shared" si="363"/>
        <v/>
      </c>
      <c r="BP415" s="14"/>
      <c r="BQ415" s="125" t="str">
        <f t="shared" si="364"/>
        <v/>
      </c>
      <c r="BR415" s="20"/>
      <c r="BS415" s="20"/>
      <c r="BT415" s="125" t="str">
        <f t="shared" si="365"/>
        <v/>
      </c>
      <c r="BU415" s="125" t="str">
        <f t="shared" si="366"/>
        <v/>
      </c>
      <c r="BV415" s="125" t="str">
        <f t="shared" si="367"/>
        <v/>
      </c>
      <c r="BW415" s="129" t="str">
        <f t="shared" si="368"/>
        <v/>
      </c>
      <c r="BX415" s="13"/>
      <c r="BY415" s="15"/>
      <c r="BZ415" s="14"/>
      <c r="CA415" s="117" t="str">
        <f>IF(_xlfn.XLOOKUP(BY415, AutoFill_classes!$A:$A, AutoFill_classes!$B:$B,"")=0,"",_xlfn.XLOOKUP(BY415, AutoFill_classes!$A:$A, AutoFill_classes!$B:$B,""))</f>
        <v/>
      </c>
      <c r="CB415" s="108"/>
      <c r="CC415" s="14"/>
      <c r="CD415" s="14"/>
      <c r="CE415" s="14"/>
      <c r="CF415" s="21"/>
      <c r="CG415" s="22"/>
      <c r="CH415" s="63"/>
      <c r="CI415" s="23"/>
      <c r="CJ415" s="121" t="str">
        <f t="shared" si="369"/>
        <v/>
      </c>
      <c r="CK415" s="20"/>
      <c r="CL415" s="20"/>
      <c r="CM415" s="20"/>
      <c r="CN415" s="20"/>
      <c r="CO415" s="125" t="str">
        <f t="shared" si="370"/>
        <v/>
      </c>
      <c r="CP415" s="14"/>
      <c r="CQ415" s="125" t="str">
        <f t="shared" si="371"/>
        <v/>
      </c>
      <c r="CR415" s="20"/>
      <c r="CS415" s="20"/>
      <c r="CT415" s="125" t="str">
        <f t="shared" si="372"/>
        <v/>
      </c>
      <c r="CU415" s="14"/>
      <c r="CV415" s="125" t="str">
        <f t="shared" si="373"/>
        <v/>
      </c>
      <c r="CW415" s="20"/>
      <c r="CX415" s="20"/>
      <c r="CY415" s="125" t="str">
        <f t="shared" si="374"/>
        <v/>
      </c>
      <c r="CZ415" s="125" t="str">
        <f t="shared" si="375"/>
        <v/>
      </c>
      <c r="DA415" s="125" t="str">
        <f t="shared" si="376"/>
        <v/>
      </c>
      <c r="DB415" s="129" t="str">
        <f t="shared" si="377"/>
        <v/>
      </c>
      <c r="DC415" s="14"/>
      <c r="DD415" s="62"/>
      <c r="DE415" s="105">
        <v>413</v>
      </c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</row>
    <row r="416" spans="1:176" s="1" customFormat="1" ht="13" hidden="1" customHeight="1" outlineLevel="1" x14ac:dyDescent="0.2">
      <c r="A416" s="4"/>
      <c r="B416" s="115" t="str">
        <f>IF(_xlfn.XLOOKUP(A416, AutoFill_names!B:B, AutoFill_names!C:C,"")=0,"",_xlfn.XLOOKUP(A416, AutoFill_names!B:B, AutoFill_names!C:C,""))</f>
        <v/>
      </c>
      <c r="C416" s="115" t="str">
        <f>IF(_xlfn.XLOOKUP(A416, AutoFill_names!B:B, AutoFill_names!D:D,"")=0,"",_xlfn.XLOOKUP(A416, AutoFill_names!B:B, AutoFill_names!D:D,""))</f>
        <v/>
      </c>
      <c r="D416" s="115" t="str">
        <f>IF(_xlfn.XLOOKUP(A416, AutoFill_names!B:B, AutoFill_names!E:E,"")=0,"",_xlfn.XLOOKUP(A416, AutoFill_names!B:B, AutoFill_names!E:E,""))</f>
        <v/>
      </c>
      <c r="E416" s="115" t="str">
        <f>IF(_xlfn.XLOOKUP(A416, AutoFill_names!B:B, AutoFill_names!F:F,"")=0,"",_xlfn.XLOOKUP(A416, AutoFill_names!B:B, AutoFill_names!F:F,""))</f>
        <v/>
      </c>
      <c r="F416" s="92"/>
      <c r="J416" s="115" t="str">
        <f>IF(_xlfn.XLOOKUP(A416, AutoFill_names!B:B, AutoFill_names!K:K,"")=0,"",_xlfn.XLOOKUP(A416, AutoFill_names!B:B, AutoFill_names!K:K,""))</f>
        <v/>
      </c>
      <c r="K416" s="115" t="str">
        <f>IF(_xlfn.XLOOKUP(A416, AutoFill_names!B:B, AutoFill_names!L:L,"")=0,"",_xlfn.XLOOKUP(A416, AutoFill_names!B:B, AutoFill_names!L:L,""))</f>
        <v/>
      </c>
      <c r="L416" s="31"/>
      <c r="M416" s="31"/>
      <c r="N416" s="117" t="str">
        <f>IF(_xlfn.XLOOKUP(L416, AutoFill_classes!A:A, AutoFill_classes!B:B,"")=0,"",_xlfn.XLOOKUP(L416, AutoFill_classes!A:A, AutoFill_classes!B:B,""))</f>
        <v/>
      </c>
      <c r="O416" s="108"/>
      <c r="P416" s="6"/>
      <c r="Q416" s="6"/>
      <c r="R416" s="6"/>
      <c r="S416" s="2"/>
      <c r="T416" s="3"/>
      <c r="U416" s="2"/>
      <c r="X416" s="63"/>
      <c r="Y416" s="19"/>
      <c r="Z416" s="121" t="str">
        <f t="shared" si="351"/>
        <v/>
      </c>
      <c r="AA416" s="20"/>
      <c r="AB416" s="20"/>
      <c r="AC416" s="20"/>
      <c r="AD416" s="20"/>
      <c r="AE416" s="125" t="str">
        <f t="shared" si="352"/>
        <v/>
      </c>
      <c r="AF416" s="14"/>
      <c r="AG416" s="125" t="str">
        <f t="shared" si="353"/>
        <v/>
      </c>
      <c r="AH416" s="20"/>
      <c r="AI416" s="20"/>
      <c r="AJ416" s="125" t="str">
        <f t="shared" si="354"/>
        <v/>
      </c>
      <c r="AK416" s="14"/>
      <c r="AL416" s="125" t="str">
        <f t="shared" si="355"/>
        <v/>
      </c>
      <c r="AM416" s="20"/>
      <c r="AN416" s="20"/>
      <c r="AO416" s="125" t="str">
        <f t="shared" si="356"/>
        <v/>
      </c>
      <c r="AP416" s="125" t="str">
        <f t="shared" si="357"/>
        <v/>
      </c>
      <c r="AQ416" s="125" t="str">
        <f t="shared" si="358"/>
        <v/>
      </c>
      <c r="AR416" s="129" t="str">
        <f t="shared" si="359"/>
        <v/>
      </c>
      <c r="AS416" s="14"/>
      <c r="AT416" s="13"/>
      <c r="AU416" s="13"/>
      <c r="AV416" s="117" t="str">
        <f>IF(_xlfn.XLOOKUP(AT416, AutoFill_classes!$A:$A, AutoFill_classes!$B:$B,"")=0,"",_xlfn.XLOOKUP(AT416, AutoFill_classes!$A:$A, AutoFill_classes!$B:$B,""))</f>
        <v/>
      </c>
      <c r="AW416" s="108"/>
      <c r="AX416" s="11"/>
      <c r="AY416" s="13"/>
      <c r="AZ416" s="11"/>
      <c r="BA416" s="13"/>
      <c r="BB416" s="13"/>
      <c r="BC416" s="63"/>
      <c r="BD416" s="18"/>
      <c r="BE416" s="121" t="str">
        <f t="shared" si="360"/>
        <v/>
      </c>
      <c r="BF416" s="20"/>
      <c r="BG416" s="20"/>
      <c r="BH416" s="20"/>
      <c r="BI416" s="20"/>
      <c r="BJ416" s="125" t="str">
        <f t="shared" si="361"/>
        <v/>
      </c>
      <c r="BK416" s="14"/>
      <c r="BL416" s="125" t="str">
        <f t="shared" si="362"/>
        <v/>
      </c>
      <c r="BM416" s="20"/>
      <c r="BN416" s="20"/>
      <c r="BO416" s="125" t="str">
        <f t="shared" si="363"/>
        <v/>
      </c>
      <c r="BP416" s="14"/>
      <c r="BQ416" s="125" t="str">
        <f t="shared" si="364"/>
        <v/>
      </c>
      <c r="BR416" s="20"/>
      <c r="BS416" s="20"/>
      <c r="BT416" s="125" t="str">
        <f t="shared" si="365"/>
        <v/>
      </c>
      <c r="BU416" s="125" t="str">
        <f t="shared" si="366"/>
        <v/>
      </c>
      <c r="BV416" s="125" t="str">
        <f t="shared" si="367"/>
        <v/>
      </c>
      <c r="BW416" s="129" t="str">
        <f t="shared" si="368"/>
        <v/>
      </c>
      <c r="BX416" s="13"/>
      <c r="BY416" s="15"/>
      <c r="BZ416" s="14"/>
      <c r="CA416" s="117" t="str">
        <f>IF(_xlfn.XLOOKUP(BY416, AutoFill_classes!$A:$A, AutoFill_classes!$B:$B,"")=0,"",_xlfn.XLOOKUP(BY416, AutoFill_classes!$A:$A, AutoFill_classes!$B:$B,""))</f>
        <v/>
      </c>
      <c r="CB416" s="108"/>
      <c r="CC416" s="14"/>
      <c r="CD416" s="14"/>
      <c r="CE416" s="14"/>
      <c r="CF416" s="21"/>
      <c r="CG416" s="22"/>
      <c r="CH416" s="63"/>
      <c r="CI416" s="23"/>
      <c r="CJ416" s="121" t="str">
        <f t="shared" si="369"/>
        <v/>
      </c>
      <c r="CK416" s="20"/>
      <c r="CL416" s="20"/>
      <c r="CM416" s="20"/>
      <c r="CN416" s="20"/>
      <c r="CO416" s="125" t="str">
        <f t="shared" si="370"/>
        <v/>
      </c>
      <c r="CP416" s="14"/>
      <c r="CQ416" s="125" t="str">
        <f t="shared" si="371"/>
        <v/>
      </c>
      <c r="CR416" s="20"/>
      <c r="CS416" s="20"/>
      <c r="CT416" s="125" t="str">
        <f t="shared" si="372"/>
        <v/>
      </c>
      <c r="CU416" s="14"/>
      <c r="CV416" s="125" t="str">
        <f t="shared" si="373"/>
        <v/>
      </c>
      <c r="CW416" s="20"/>
      <c r="CX416" s="20"/>
      <c r="CY416" s="125" t="str">
        <f t="shared" si="374"/>
        <v/>
      </c>
      <c r="CZ416" s="125" t="str">
        <f t="shared" si="375"/>
        <v/>
      </c>
      <c r="DA416" s="125" t="str">
        <f t="shared" si="376"/>
        <v/>
      </c>
      <c r="DB416" s="129" t="str">
        <f t="shared" si="377"/>
        <v/>
      </c>
      <c r="DC416" s="14"/>
      <c r="DD416" s="62"/>
      <c r="DE416" s="105">
        <v>414</v>
      </c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</row>
    <row r="417" spans="1:176" s="1" customFormat="1" ht="13" hidden="1" customHeight="1" outlineLevel="1" x14ac:dyDescent="0.2">
      <c r="A417" s="4"/>
      <c r="B417" s="115" t="str">
        <f>IF(_xlfn.XLOOKUP(A417, AutoFill_names!B:B, AutoFill_names!C:C,"")=0,"",_xlfn.XLOOKUP(A417, AutoFill_names!B:B, AutoFill_names!C:C,""))</f>
        <v/>
      </c>
      <c r="C417" s="115" t="str">
        <f>IF(_xlfn.XLOOKUP(A417, AutoFill_names!B:B, AutoFill_names!D:D,"")=0,"",_xlfn.XLOOKUP(A417, AutoFill_names!B:B, AutoFill_names!D:D,""))</f>
        <v/>
      </c>
      <c r="D417" s="115" t="str">
        <f>IF(_xlfn.XLOOKUP(A417, AutoFill_names!B:B, AutoFill_names!E:E,"")=0,"",_xlfn.XLOOKUP(A417, AutoFill_names!B:B, AutoFill_names!E:E,""))</f>
        <v/>
      </c>
      <c r="E417" s="115" t="str">
        <f>IF(_xlfn.XLOOKUP(A417, AutoFill_names!B:B, AutoFill_names!F:F,"")=0,"",_xlfn.XLOOKUP(A417, AutoFill_names!B:B, AutoFill_names!F:F,""))</f>
        <v/>
      </c>
      <c r="F417" s="92"/>
      <c r="J417" s="115" t="str">
        <f>IF(_xlfn.XLOOKUP(A417, AutoFill_names!B:B, AutoFill_names!K:K,"")=0,"",_xlfn.XLOOKUP(A417, AutoFill_names!B:B, AutoFill_names!K:K,""))</f>
        <v/>
      </c>
      <c r="K417" s="115" t="str">
        <f>IF(_xlfn.XLOOKUP(A417, AutoFill_names!B:B, AutoFill_names!L:L,"")=0,"",_xlfn.XLOOKUP(A417, AutoFill_names!B:B, AutoFill_names!L:L,""))</f>
        <v/>
      </c>
      <c r="L417" s="31"/>
      <c r="M417" s="31"/>
      <c r="N417" s="117" t="str">
        <f>IF(_xlfn.XLOOKUP(L417, AutoFill_classes!A:A, AutoFill_classes!B:B,"")=0,"",_xlfn.XLOOKUP(L417, AutoFill_classes!A:A, AutoFill_classes!B:B,""))</f>
        <v/>
      </c>
      <c r="O417" s="108"/>
      <c r="P417" s="6"/>
      <c r="Q417" s="6"/>
      <c r="R417" s="6"/>
      <c r="S417" s="2"/>
      <c r="T417" s="3"/>
      <c r="U417" s="2"/>
      <c r="X417" s="63"/>
      <c r="Y417" s="19"/>
      <c r="Z417" s="121" t="str">
        <f t="shared" si="351"/>
        <v/>
      </c>
      <c r="AA417" s="20"/>
      <c r="AB417" s="20"/>
      <c r="AC417" s="20"/>
      <c r="AD417" s="20"/>
      <c r="AE417" s="125" t="str">
        <f t="shared" si="352"/>
        <v/>
      </c>
      <c r="AF417" s="14"/>
      <c r="AG417" s="125" t="str">
        <f t="shared" si="353"/>
        <v/>
      </c>
      <c r="AH417" s="20"/>
      <c r="AI417" s="20"/>
      <c r="AJ417" s="125" t="str">
        <f t="shared" si="354"/>
        <v/>
      </c>
      <c r="AK417" s="14"/>
      <c r="AL417" s="125" t="str">
        <f t="shared" si="355"/>
        <v/>
      </c>
      <c r="AM417" s="20"/>
      <c r="AN417" s="20"/>
      <c r="AO417" s="125" t="str">
        <f t="shared" si="356"/>
        <v/>
      </c>
      <c r="AP417" s="125" t="str">
        <f t="shared" si="357"/>
        <v/>
      </c>
      <c r="AQ417" s="125" t="str">
        <f t="shared" si="358"/>
        <v/>
      </c>
      <c r="AR417" s="129" t="str">
        <f t="shared" si="359"/>
        <v/>
      </c>
      <c r="AS417" s="14"/>
      <c r="AT417" s="13"/>
      <c r="AU417" s="13"/>
      <c r="AV417" s="117" t="str">
        <f>IF(_xlfn.XLOOKUP(AT417, AutoFill_classes!$A:$A, AutoFill_classes!$B:$B,"")=0,"",_xlfn.XLOOKUP(AT417, AutoFill_classes!$A:$A, AutoFill_classes!$B:$B,""))</f>
        <v/>
      </c>
      <c r="AW417" s="108"/>
      <c r="AX417" s="11"/>
      <c r="AY417" s="13"/>
      <c r="AZ417" s="11"/>
      <c r="BA417" s="13"/>
      <c r="BB417" s="13"/>
      <c r="BC417" s="63"/>
      <c r="BD417" s="18"/>
      <c r="BE417" s="121" t="str">
        <f t="shared" si="360"/>
        <v/>
      </c>
      <c r="BF417" s="20"/>
      <c r="BG417" s="20"/>
      <c r="BH417" s="20"/>
      <c r="BI417" s="20"/>
      <c r="BJ417" s="125" t="str">
        <f t="shared" si="361"/>
        <v/>
      </c>
      <c r="BK417" s="14"/>
      <c r="BL417" s="125" t="str">
        <f t="shared" si="362"/>
        <v/>
      </c>
      <c r="BM417" s="20"/>
      <c r="BN417" s="20"/>
      <c r="BO417" s="125" t="str">
        <f t="shared" si="363"/>
        <v/>
      </c>
      <c r="BP417" s="14"/>
      <c r="BQ417" s="125" t="str">
        <f t="shared" si="364"/>
        <v/>
      </c>
      <c r="BR417" s="20"/>
      <c r="BS417" s="20"/>
      <c r="BT417" s="125" t="str">
        <f t="shared" si="365"/>
        <v/>
      </c>
      <c r="BU417" s="125" t="str">
        <f t="shared" si="366"/>
        <v/>
      </c>
      <c r="BV417" s="125" t="str">
        <f t="shared" si="367"/>
        <v/>
      </c>
      <c r="BW417" s="129" t="str">
        <f t="shared" si="368"/>
        <v/>
      </c>
      <c r="BX417" s="13"/>
      <c r="BY417" s="15"/>
      <c r="BZ417" s="14"/>
      <c r="CA417" s="117" t="str">
        <f>IF(_xlfn.XLOOKUP(BY417, AutoFill_classes!$A:$A, AutoFill_classes!$B:$B,"")=0,"",_xlfn.XLOOKUP(BY417, AutoFill_classes!$A:$A, AutoFill_classes!$B:$B,""))</f>
        <v/>
      </c>
      <c r="CB417" s="108"/>
      <c r="CC417" s="14"/>
      <c r="CD417" s="14"/>
      <c r="CE417" s="14"/>
      <c r="CF417" s="21"/>
      <c r="CG417" s="22"/>
      <c r="CH417" s="63"/>
      <c r="CI417" s="23"/>
      <c r="CJ417" s="121" t="str">
        <f t="shared" si="369"/>
        <v/>
      </c>
      <c r="CK417" s="20"/>
      <c r="CL417" s="20"/>
      <c r="CM417" s="20"/>
      <c r="CN417" s="20"/>
      <c r="CO417" s="125" t="str">
        <f t="shared" si="370"/>
        <v/>
      </c>
      <c r="CP417" s="14"/>
      <c r="CQ417" s="125" t="str">
        <f t="shared" si="371"/>
        <v/>
      </c>
      <c r="CR417" s="20"/>
      <c r="CS417" s="20"/>
      <c r="CT417" s="125" t="str">
        <f t="shared" si="372"/>
        <v/>
      </c>
      <c r="CU417" s="14"/>
      <c r="CV417" s="125" t="str">
        <f t="shared" si="373"/>
        <v/>
      </c>
      <c r="CW417" s="20"/>
      <c r="CX417" s="20"/>
      <c r="CY417" s="125" t="str">
        <f t="shared" si="374"/>
        <v/>
      </c>
      <c r="CZ417" s="125" t="str">
        <f t="shared" si="375"/>
        <v/>
      </c>
      <c r="DA417" s="125" t="str">
        <f t="shared" si="376"/>
        <v/>
      </c>
      <c r="DB417" s="129" t="str">
        <f t="shared" si="377"/>
        <v/>
      </c>
      <c r="DC417" s="14"/>
      <c r="DD417" s="62"/>
      <c r="DE417" s="105">
        <v>415</v>
      </c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</row>
    <row r="418" spans="1:176" s="1" customFormat="1" ht="13" hidden="1" customHeight="1" outlineLevel="1" x14ac:dyDescent="0.2">
      <c r="A418" s="4"/>
      <c r="B418" s="115" t="str">
        <f>IF(_xlfn.XLOOKUP(A418, AutoFill_names!B:B, AutoFill_names!C:C,"")=0,"",_xlfn.XLOOKUP(A418, AutoFill_names!B:B, AutoFill_names!C:C,""))</f>
        <v/>
      </c>
      <c r="C418" s="115" t="str">
        <f>IF(_xlfn.XLOOKUP(A418, AutoFill_names!B:B, AutoFill_names!D:D,"")=0,"",_xlfn.XLOOKUP(A418, AutoFill_names!B:B, AutoFill_names!D:D,""))</f>
        <v/>
      </c>
      <c r="D418" s="115" t="str">
        <f>IF(_xlfn.XLOOKUP(A418, AutoFill_names!B:B, AutoFill_names!E:E,"")=0,"",_xlfn.XLOOKUP(A418, AutoFill_names!B:B, AutoFill_names!E:E,""))</f>
        <v/>
      </c>
      <c r="E418" s="115" t="str">
        <f>IF(_xlfn.XLOOKUP(A418, AutoFill_names!B:B, AutoFill_names!F:F,"")=0,"",_xlfn.XLOOKUP(A418, AutoFill_names!B:B, AutoFill_names!F:F,""))</f>
        <v/>
      </c>
      <c r="F418" s="92"/>
      <c r="J418" s="115" t="str">
        <f>IF(_xlfn.XLOOKUP(A418, AutoFill_names!B:B, AutoFill_names!K:K,"")=0,"",_xlfn.XLOOKUP(A418, AutoFill_names!B:B, AutoFill_names!K:K,""))</f>
        <v/>
      </c>
      <c r="K418" s="115" t="str">
        <f>IF(_xlfn.XLOOKUP(A418, AutoFill_names!B:B, AutoFill_names!L:L,"")=0,"",_xlfn.XLOOKUP(A418, AutoFill_names!B:B, AutoFill_names!L:L,""))</f>
        <v/>
      </c>
      <c r="L418" s="31"/>
      <c r="M418" s="31"/>
      <c r="N418" s="117" t="str">
        <f>IF(_xlfn.XLOOKUP(L418, AutoFill_classes!A:A, AutoFill_classes!B:B,"")=0,"",_xlfn.XLOOKUP(L418, AutoFill_classes!A:A, AutoFill_classes!B:B,""))</f>
        <v/>
      </c>
      <c r="O418" s="108"/>
      <c r="P418" s="6"/>
      <c r="Q418" s="6"/>
      <c r="R418" s="6"/>
      <c r="S418" s="2"/>
      <c r="T418" s="3"/>
      <c r="U418" s="2"/>
      <c r="X418" s="63"/>
      <c r="Y418" s="19"/>
      <c r="Z418" s="121" t="str">
        <f t="shared" si="351"/>
        <v/>
      </c>
      <c r="AA418" s="20"/>
      <c r="AB418" s="20"/>
      <c r="AC418" s="20"/>
      <c r="AD418" s="20"/>
      <c r="AE418" s="125" t="str">
        <f t="shared" si="352"/>
        <v/>
      </c>
      <c r="AF418" s="14"/>
      <c r="AG418" s="125" t="str">
        <f t="shared" si="353"/>
        <v/>
      </c>
      <c r="AH418" s="20"/>
      <c r="AI418" s="20"/>
      <c r="AJ418" s="125" t="str">
        <f t="shared" si="354"/>
        <v/>
      </c>
      <c r="AK418" s="14"/>
      <c r="AL418" s="125" t="str">
        <f t="shared" si="355"/>
        <v/>
      </c>
      <c r="AM418" s="20"/>
      <c r="AN418" s="20"/>
      <c r="AO418" s="125" t="str">
        <f t="shared" si="356"/>
        <v/>
      </c>
      <c r="AP418" s="125" t="str">
        <f t="shared" si="357"/>
        <v/>
      </c>
      <c r="AQ418" s="125" t="str">
        <f t="shared" si="358"/>
        <v/>
      </c>
      <c r="AR418" s="129" t="str">
        <f t="shared" si="359"/>
        <v/>
      </c>
      <c r="AS418" s="14"/>
      <c r="AT418" s="13"/>
      <c r="AU418" s="13"/>
      <c r="AV418" s="117" t="str">
        <f>IF(_xlfn.XLOOKUP(AT418, AutoFill_classes!$A:$A, AutoFill_classes!$B:$B,"")=0,"",_xlfn.XLOOKUP(AT418, AutoFill_classes!$A:$A, AutoFill_classes!$B:$B,""))</f>
        <v/>
      </c>
      <c r="AW418" s="108"/>
      <c r="AX418" s="11"/>
      <c r="AY418" s="13"/>
      <c r="AZ418" s="11"/>
      <c r="BA418" s="13"/>
      <c r="BB418" s="13"/>
      <c r="BC418" s="63"/>
      <c r="BD418" s="18"/>
      <c r="BE418" s="121" t="str">
        <f t="shared" si="360"/>
        <v/>
      </c>
      <c r="BF418" s="20"/>
      <c r="BG418" s="20"/>
      <c r="BH418" s="20"/>
      <c r="BI418" s="20"/>
      <c r="BJ418" s="125" t="str">
        <f t="shared" si="361"/>
        <v/>
      </c>
      <c r="BK418" s="14"/>
      <c r="BL418" s="125" t="str">
        <f t="shared" si="362"/>
        <v/>
      </c>
      <c r="BM418" s="20"/>
      <c r="BN418" s="20"/>
      <c r="BO418" s="125" t="str">
        <f t="shared" si="363"/>
        <v/>
      </c>
      <c r="BP418" s="14"/>
      <c r="BQ418" s="125" t="str">
        <f t="shared" si="364"/>
        <v/>
      </c>
      <c r="BR418" s="20"/>
      <c r="BS418" s="20"/>
      <c r="BT418" s="125" t="str">
        <f t="shared" si="365"/>
        <v/>
      </c>
      <c r="BU418" s="125" t="str">
        <f t="shared" si="366"/>
        <v/>
      </c>
      <c r="BV418" s="125" t="str">
        <f t="shared" si="367"/>
        <v/>
      </c>
      <c r="BW418" s="129" t="str">
        <f t="shared" si="368"/>
        <v/>
      </c>
      <c r="BX418" s="13"/>
      <c r="BY418" s="15"/>
      <c r="BZ418" s="14"/>
      <c r="CA418" s="117" t="str">
        <f>IF(_xlfn.XLOOKUP(BY418, AutoFill_classes!$A:$A, AutoFill_classes!$B:$B,"")=0,"",_xlfn.XLOOKUP(BY418, AutoFill_classes!$A:$A, AutoFill_classes!$B:$B,""))</f>
        <v/>
      </c>
      <c r="CB418" s="108"/>
      <c r="CC418" s="14"/>
      <c r="CD418" s="14"/>
      <c r="CE418" s="14"/>
      <c r="CF418" s="21"/>
      <c r="CG418" s="22"/>
      <c r="CH418" s="63"/>
      <c r="CI418" s="23"/>
      <c r="CJ418" s="121" t="str">
        <f t="shared" si="369"/>
        <v/>
      </c>
      <c r="CK418" s="20"/>
      <c r="CL418" s="20"/>
      <c r="CM418" s="20"/>
      <c r="CN418" s="20"/>
      <c r="CO418" s="125" t="str">
        <f t="shared" si="370"/>
        <v/>
      </c>
      <c r="CP418" s="14"/>
      <c r="CQ418" s="125" t="str">
        <f t="shared" si="371"/>
        <v/>
      </c>
      <c r="CR418" s="20"/>
      <c r="CS418" s="20"/>
      <c r="CT418" s="125" t="str">
        <f t="shared" si="372"/>
        <v/>
      </c>
      <c r="CU418" s="14"/>
      <c r="CV418" s="125" t="str">
        <f t="shared" si="373"/>
        <v/>
      </c>
      <c r="CW418" s="20"/>
      <c r="CX418" s="20"/>
      <c r="CY418" s="125" t="str">
        <f t="shared" si="374"/>
        <v/>
      </c>
      <c r="CZ418" s="125" t="str">
        <f t="shared" si="375"/>
        <v/>
      </c>
      <c r="DA418" s="125" t="str">
        <f t="shared" si="376"/>
        <v/>
      </c>
      <c r="DB418" s="129" t="str">
        <f t="shared" si="377"/>
        <v/>
      </c>
      <c r="DC418" s="14"/>
      <c r="DD418" s="62"/>
      <c r="DE418" s="105">
        <v>416</v>
      </c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</row>
    <row r="419" spans="1:176" s="1" customFormat="1" ht="13" hidden="1" customHeight="1" outlineLevel="1" x14ac:dyDescent="0.2">
      <c r="A419" s="4"/>
      <c r="B419" s="115" t="str">
        <f>IF(_xlfn.XLOOKUP(A419, AutoFill_names!B:B, AutoFill_names!C:C,"")=0,"",_xlfn.XLOOKUP(A419, AutoFill_names!B:B, AutoFill_names!C:C,""))</f>
        <v/>
      </c>
      <c r="C419" s="115" t="str">
        <f>IF(_xlfn.XLOOKUP(A419, AutoFill_names!B:B, AutoFill_names!D:D,"")=0,"",_xlfn.XLOOKUP(A419, AutoFill_names!B:B, AutoFill_names!D:D,""))</f>
        <v/>
      </c>
      <c r="D419" s="115" t="str">
        <f>IF(_xlfn.XLOOKUP(A419, AutoFill_names!B:B, AutoFill_names!E:E,"")=0,"",_xlfn.XLOOKUP(A419, AutoFill_names!B:B, AutoFill_names!E:E,""))</f>
        <v/>
      </c>
      <c r="E419" s="115" t="str">
        <f>IF(_xlfn.XLOOKUP(A419, AutoFill_names!B:B, AutoFill_names!F:F,"")=0,"",_xlfn.XLOOKUP(A419, AutoFill_names!B:B, AutoFill_names!F:F,""))</f>
        <v/>
      </c>
      <c r="F419" s="92"/>
      <c r="J419" s="115" t="str">
        <f>IF(_xlfn.XLOOKUP(A419, AutoFill_names!B:B, AutoFill_names!K:K,"")=0,"",_xlfn.XLOOKUP(A419, AutoFill_names!B:B, AutoFill_names!K:K,""))</f>
        <v/>
      </c>
      <c r="K419" s="115" t="str">
        <f>IF(_xlfn.XLOOKUP(A419, AutoFill_names!B:B, AutoFill_names!L:L,"")=0,"",_xlfn.XLOOKUP(A419, AutoFill_names!B:B, AutoFill_names!L:L,""))</f>
        <v/>
      </c>
      <c r="L419" s="31"/>
      <c r="M419" s="31"/>
      <c r="N419" s="117" t="str">
        <f>IF(_xlfn.XLOOKUP(L419, AutoFill_classes!A:A, AutoFill_classes!B:B,"")=0,"",_xlfn.XLOOKUP(L419, AutoFill_classes!A:A, AutoFill_classes!B:B,""))</f>
        <v/>
      </c>
      <c r="O419" s="108"/>
      <c r="P419" s="6"/>
      <c r="Q419" s="6"/>
      <c r="R419" s="6"/>
      <c r="S419" s="2"/>
      <c r="T419" s="3"/>
      <c r="U419" s="2"/>
      <c r="X419" s="63"/>
      <c r="Y419" s="19"/>
      <c r="Z419" s="121" t="str">
        <f t="shared" si="351"/>
        <v/>
      </c>
      <c r="AA419" s="20"/>
      <c r="AB419" s="20"/>
      <c r="AC419" s="20"/>
      <c r="AD419" s="20"/>
      <c r="AE419" s="125" t="str">
        <f t="shared" si="352"/>
        <v/>
      </c>
      <c r="AF419" s="14"/>
      <c r="AG419" s="125" t="str">
        <f t="shared" si="353"/>
        <v/>
      </c>
      <c r="AH419" s="20"/>
      <c r="AI419" s="20"/>
      <c r="AJ419" s="125" t="str">
        <f t="shared" si="354"/>
        <v/>
      </c>
      <c r="AK419" s="14"/>
      <c r="AL419" s="125" t="str">
        <f t="shared" si="355"/>
        <v/>
      </c>
      <c r="AM419" s="20"/>
      <c r="AN419" s="20"/>
      <c r="AO419" s="125" t="str">
        <f t="shared" si="356"/>
        <v/>
      </c>
      <c r="AP419" s="125" t="str">
        <f t="shared" si="357"/>
        <v/>
      </c>
      <c r="AQ419" s="125" t="str">
        <f t="shared" si="358"/>
        <v/>
      </c>
      <c r="AR419" s="129" t="str">
        <f t="shared" si="359"/>
        <v/>
      </c>
      <c r="AS419" s="14"/>
      <c r="AT419" s="13"/>
      <c r="AU419" s="13"/>
      <c r="AV419" s="117" t="str">
        <f>IF(_xlfn.XLOOKUP(AT419, AutoFill_classes!$A:$A, AutoFill_classes!$B:$B,"")=0,"",_xlfn.XLOOKUP(AT419, AutoFill_classes!$A:$A, AutoFill_classes!$B:$B,""))</f>
        <v/>
      </c>
      <c r="AW419" s="108"/>
      <c r="AX419" s="11"/>
      <c r="AY419" s="13"/>
      <c r="AZ419" s="11"/>
      <c r="BA419" s="13"/>
      <c r="BB419" s="13"/>
      <c r="BC419" s="63"/>
      <c r="BD419" s="18"/>
      <c r="BE419" s="121" t="str">
        <f t="shared" si="360"/>
        <v/>
      </c>
      <c r="BF419" s="20"/>
      <c r="BG419" s="20"/>
      <c r="BH419" s="20"/>
      <c r="BI419" s="20"/>
      <c r="BJ419" s="125" t="str">
        <f t="shared" si="361"/>
        <v/>
      </c>
      <c r="BK419" s="14"/>
      <c r="BL419" s="125" t="str">
        <f t="shared" si="362"/>
        <v/>
      </c>
      <c r="BM419" s="20"/>
      <c r="BN419" s="20"/>
      <c r="BO419" s="125" t="str">
        <f t="shared" si="363"/>
        <v/>
      </c>
      <c r="BP419" s="14"/>
      <c r="BQ419" s="125" t="str">
        <f t="shared" si="364"/>
        <v/>
      </c>
      <c r="BR419" s="20"/>
      <c r="BS419" s="20"/>
      <c r="BT419" s="125" t="str">
        <f t="shared" si="365"/>
        <v/>
      </c>
      <c r="BU419" s="125" t="str">
        <f t="shared" si="366"/>
        <v/>
      </c>
      <c r="BV419" s="125" t="str">
        <f t="shared" si="367"/>
        <v/>
      </c>
      <c r="BW419" s="129" t="str">
        <f t="shared" si="368"/>
        <v/>
      </c>
      <c r="BX419" s="13"/>
      <c r="BY419" s="15"/>
      <c r="BZ419" s="14"/>
      <c r="CA419" s="117" t="str">
        <f>IF(_xlfn.XLOOKUP(BY419, AutoFill_classes!$A:$A, AutoFill_classes!$B:$B,"")=0,"",_xlfn.XLOOKUP(BY419, AutoFill_classes!$A:$A, AutoFill_classes!$B:$B,""))</f>
        <v/>
      </c>
      <c r="CB419" s="108"/>
      <c r="CC419" s="14"/>
      <c r="CD419" s="14"/>
      <c r="CE419" s="14"/>
      <c r="CF419" s="21"/>
      <c r="CG419" s="22"/>
      <c r="CH419" s="63"/>
      <c r="CI419" s="23"/>
      <c r="CJ419" s="121" t="str">
        <f t="shared" si="369"/>
        <v/>
      </c>
      <c r="CK419" s="20"/>
      <c r="CL419" s="20"/>
      <c r="CM419" s="20"/>
      <c r="CN419" s="20"/>
      <c r="CO419" s="125" t="str">
        <f t="shared" si="370"/>
        <v/>
      </c>
      <c r="CP419" s="14"/>
      <c r="CQ419" s="125" t="str">
        <f t="shared" si="371"/>
        <v/>
      </c>
      <c r="CR419" s="20"/>
      <c r="CS419" s="20"/>
      <c r="CT419" s="125" t="str">
        <f t="shared" si="372"/>
        <v/>
      </c>
      <c r="CU419" s="14"/>
      <c r="CV419" s="125" t="str">
        <f t="shared" si="373"/>
        <v/>
      </c>
      <c r="CW419" s="20"/>
      <c r="CX419" s="20"/>
      <c r="CY419" s="125" t="str">
        <f t="shared" si="374"/>
        <v/>
      </c>
      <c r="CZ419" s="125" t="str">
        <f t="shared" si="375"/>
        <v/>
      </c>
      <c r="DA419" s="125" t="str">
        <f t="shared" si="376"/>
        <v/>
      </c>
      <c r="DB419" s="129" t="str">
        <f t="shared" si="377"/>
        <v/>
      </c>
      <c r="DC419" s="14"/>
      <c r="DD419" s="62"/>
      <c r="DE419" s="105">
        <v>417</v>
      </c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</row>
    <row r="420" spans="1:176" s="1" customFormat="1" ht="13" hidden="1" customHeight="1" outlineLevel="1" x14ac:dyDescent="0.2">
      <c r="A420" s="4"/>
      <c r="B420" s="115" t="str">
        <f>IF(_xlfn.XLOOKUP(A420, AutoFill_names!B:B, AutoFill_names!C:C,"")=0,"",_xlfn.XLOOKUP(A420, AutoFill_names!B:B, AutoFill_names!C:C,""))</f>
        <v/>
      </c>
      <c r="C420" s="115" t="str">
        <f>IF(_xlfn.XLOOKUP(A420, AutoFill_names!B:B, AutoFill_names!D:D,"")=0,"",_xlfn.XLOOKUP(A420, AutoFill_names!B:B, AutoFill_names!D:D,""))</f>
        <v/>
      </c>
      <c r="D420" s="115" t="str">
        <f>IF(_xlfn.XLOOKUP(A420, AutoFill_names!B:B, AutoFill_names!E:E,"")=0,"",_xlfn.XLOOKUP(A420, AutoFill_names!B:B, AutoFill_names!E:E,""))</f>
        <v/>
      </c>
      <c r="E420" s="115" t="str">
        <f>IF(_xlfn.XLOOKUP(A420, AutoFill_names!B:B, AutoFill_names!F:F,"")=0,"",_xlfn.XLOOKUP(A420, AutoFill_names!B:B, AutoFill_names!F:F,""))</f>
        <v/>
      </c>
      <c r="F420" s="92"/>
      <c r="J420" s="115" t="str">
        <f>IF(_xlfn.XLOOKUP(A420, AutoFill_names!B:B, AutoFill_names!K:K,"")=0,"",_xlfn.XLOOKUP(A420, AutoFill_names!B:B, AutoFill_names!K:K,""))</f>
        <v/>
      </c>
      <c r="K420" s="115" t="str">
        <f>IF(_xlfn.XLOOKUP(A420, AutoFill_names!B:B, AutoFill_names!L:L,"")=0,"",_xlfn.XLOOKUP(A420, AutoFill_names!B:B, AutoFill_names!L:L,""))</f>
        <v/>
      </c>
      <c r="L420" s="31"/>
      <c r="M420" s="31"/>
      <c r="N420" s="117" t="str">
        <f>IF(_xlfn.XLOOKUP(L420, AutoFill_classes!A:A, AutoFill_classes!B:B,"")=0,"",_xlfn.XLOOKUP(L420, AutoFill_classes!A:A, AutoFill_classes!B:B,""))</f>
        <v/>
      </c>
      <c r="O420" s="108"/>
      <c r="P420" s="6"/>
      <c r="Q420" s="6"/>
      <c r="R420" s="6"/>
      <c r="S420" s="2"/>
      <c r="T420" s="3"/>
      <c r="U420" s="2"/>
      <c r="X420" s="63"/>
      <c r="Y420" s="19"/>
      <c r="Z420" s="121" t="str">
        <f t="shared" si="351"/>
        <v/>
      </c>
      <c r="AA420" s="20"/>
      <c r="AB420" s="20"/>
      <c r="AC420" s="20"/>
      <c r="AD420" s="20"/>
      <c r="AE420" s="125" t="str">
        <f t="shared" si="352"/>
        <v/>
      </c>
      <c r="AF420" s="14"/>
      <c r="AG420" s="125" t="str">
        <f t="shared" si="353"/>
        <v/>
      </c>
      <c r="AH420" s="20"/>
      <c r="AI420" s="20"/>
      <c r="AJ420" s="125" t="str">
        <f t="shared" si="354"/>
        <v/>
      </c>
      <c r="AK420" s="14"/>
      <c r="AL420" s="125" t="str">
        <f t="shared" si="355"/>
        <v/>
      </c>
      <c r="AM420" s="20"/>
      <c r="AN420" s="20"/>
      <c r="AO420" s="125" t="str">
        <f t="shared" si="356"/>
        <v/>
      </c>
      <c r="AP420" s="125" t="str">
        <f t="shared" si="357"/>
        <v/>
      </c>
      <c r="AQ420" s="125" t="str">
        <f t="shared" si="358"/>
        <v/>
      </c>
      <c r="AR420" s="129" t="str">
        <f t="shared" si="359"/>
        <v/>
      </c>
      <c r="AS420" s="14"/>
      <c r="AT420" s="13"/>
      <c r="AU420" s="13"/>
      <c r="AV420" s="117" t="str">
        <f>IF(_xlfn.XLOOKUP(AT420, AutoFill_classes!$A:$A, AutoFill_classes!$B:$B,"")=0,"",_xlfn.XLOOKUP(AT420, AutoFill_classes!$A:$A, AutoFill_classes!$B:$B,""))</f>
        <v/>
      </c>
      <c r="AW420" s="108"/>
      <c r="AX420" s="11"/>
      <c r="AY420" s="13"/>
      <c r="AZ420" s="11"/>
      <c r="BA420" s="13"/>
      <c r="BB420" s="13"/>
      <c r="BC420" s="63"/>
      <c r="BD420" s="18"/>
      <c r="BE420" s="121" t="str">
        <f t="shared" si="360"/>
        <v/>
      </c>
      <c r="BF420" s="20"/>
      <c r="BG420" s="20"/>
      <c r="BH420" s="20"/>
      <c r="BI420" s="20"/>
      <c r="BJ420" s="125" t="str">
        <f t="shared" si="361"/>
        <v/>
      </c>
      <c r="BK420" s="14"/>
      <c r="BL420" s="125" t="str">
        <f t="shared" si="362"/>
        <v/>
      </c>
      <c r="BM420" s="20"/>
      <c r="BN420" s="20"/>
      <c r="BO420" s="125" t="str">
        <f t="shared" si="363"/>
        <v/>
      </c>
      <c r="BP420" s="14"/>
      <c r="BQ420" s="125" t="str">
        <f t="shared" si="364"/>
        <v/>
      </c>
      <c r="BR420" s="20"/>
      <c r="BS420" s="20"/>
      <c r="BT420" s="125" t="str">
        <f t="shared" si="365"/>
        <v/>
      </c>
      <c r="BU420" s="125" t="str">
        <f t="shared" si="366"/>
        <v/>
      </c>
      <c r="BV420" s="125" t="str">
        <f t="shared" si="367"/>
        <v/>
      </c>
      <c r="BW420" s="129" t="str">
        <f t="shared" si="368"/>
        <v/>
      </c>
      <c r="BX420" s="13"/>
      <c r="BY420" s="15"/>
      <c r="BZ420" s="14"/>
      <c r="CA420" s="117" t="str">
        <f>IF(_xlfn.XLOOKUP(BY420, AutoFill_classes!$A:$A, AutoFill_classes!$B:$B,"")=0,"",_xlfn.XLOOKUP(BY420, AutoFill_classes!$A:$A, AutoFill_classes!$B:$B,""))</f>
        <v/>
      </c>
      <c r="CB420" s="108"/>
      <c r="CC420" s="14"/>
      <c r="CD420" s="14"/>
      <c r="CE420" s="14"/>
      <c r="CF420" s="21"/>
      <c r="CG420" s="22"/>
      <c r="CH420" s="63"/>
      <c r="CI420" s="23"/>
      <c r="CJ420" s="121" t="str">
        <f t="shared" si="369"/>
        <v/>
      </c>
      <c r="CK420" s="20"/>
      <c r="CL420" s="20"/>
      <c r="CM420" s="20"/>
      <c r="CN420" s="20"/>
      <c r="CO420" s="125" t="str">
        <f t="shared" si="370"/>
        <v/>
      </c>
      <c r="CP420" s="14"/>
      <c r="CQ420" s="125" t="str">
        <f t="shared" si="371"/>
        <v/>
      </c>
      <c r="CR420" s="20"/>
      <c r="CS420" s="20"/>
      <c r="CT420" s="125" t="str">
        <f t="shared" si="372"/>
        <v/>
      </c>
      <c r="CU420" s="14"/>
      <c r="CV420" s="125" t="str">
        <f t="shared" si="373"/>
        <v/>
      </c>
      <c r="CW420" s="20"/>
      <c r="CX420" s="20"/>
      <c r="CY420" s="125" t="str">
        <f t="shared" si="374"/>
        <v/>
      </c>
      <c r="CZ420" s="125" t="str">
        <f t="shared" si="375"/>
        <v/>
      </c>
      <c r="DA420" s="125" t="str">
        <f t="shared" si="376"/>
        <v/>
      </c>
      <c r="DB420" s="129" t="str">
        <f t="shared" si="377"/>
        <v/>
      </c>
      <c r="DC420" s="14"/>
      <c r="DD420" s="62"/>
      <c r="DE420" s="105">
        <v>418</v>
      </c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</row>
    <row r="421" spans="1:176" s="1" customFormat="1" ht="13" hidden="1" customHeight="1" outlineLevel="1" x14ac:dyDescent="0.2">
      <c r="A421" s="4"/>
      <c r="B421" s="115" t="str">
        <f>IF(_xlfn.XLOOKUP(A421, AutoFill_names!B:B, AutoFill_names!C:C,"")=0,"",_xlfn.XLOOKUP(A421, AutoFill_names!B:B, AutoFill_names!C:C,""))</f>
        <v/>
      </c>
      <c r="C421" s="115" t="str">
        <f>IF(_xlfn.XLOOKUP(A421, AutoFill_names!B:B, AutoFill_names!D:D,"")=0,"",_xlfn.XLOOKUP(A421, AutoFill_names!B:B, AutoFill_names!D:D,""))</f>
        <v/>
      </c>
      <c r="D421" s="115" t="str">
        <f>IF(_xlfn.XLOOKUP(A421, AutoFill_names!B:B, AutoFill_names!E:E,"")=0,"",_xlfn.XLOOKUP(A421, AutoFill_names!B:B, AutoFill_names!E:E,""))</f>
        <v/>
      </c>
      <c r="E421" s="115" t="str">
        <f>IF(_xlfn.XLOOKUP(A421, AutoFill_names!B:B, AutoFill_names!F:F,"")=0,"",_xlfn.XLOOKUP(A421, AutoFill_names!B:B, AutoFill_names!F:F,""))</f>
        <v/>
      </c>
      <c r="F421" s="92"/>
      <c r="J421" s="115" t="str">
        <f>IF(_xlfn.XLOOKUP(A421, AutoFill_names!B:B, AutoFill_names!K:K,"")=0,"",_xlfn.XLOOKUP(A421, AutoFill_names!B:B, AutoFill_names!K:K,""))</f>
        <v/>
      </c>
      <c r="K421" s="115" t="str">
        <f>IF(_xlfn.XLOOKUP(A421, AutoFill_names!B:B, AutoFill_names!L:L,"")=0,"",_xlfn.XLOOKUP(A421, AutoFill_names!B:B, AutoFill_names!L:L,""))</f>
        <v/>
      </c>
      <c r="L421" s="31"/>
      <c r="M421" s="31"/>
      <c r="N421" s="117" t="str">
        <f>IF(_xlfn.XLOOKUP(L421, AutoFill_classes!A:A, AutoFill_classes!B:B,"")=0,"",_xlfn.XLOOKUP(L421, AutoFill_classes!A:A, AutoFill_classes!B:B,""))</f>
        <v/>
      </c>
      <c r="O421" s="108"/>
      <c r="P421" s="6"/>
      <c r="Q421" s="6"/>
      <c r="R421" s="6"/>
      <c r="S421" s="2"/>
      <c r="T421" s="3"/>
      <c r="U421" s="2"/>
      <c r="X421" s="63"/>
      <c r="Y421" s="19"/>
      <c r="Z421" s="121" t="str">
        <f t="shared" si="351"/>
        <v/>
      </c>
      <c r="AA421" s="20"/>
      <c r="AB421" s="20"/>
      <c r="AC421" s="20"/>
      <c r="AD421" s="20"/>
      <c r="AE421" s="125" t="str">
        <f t="shared" si="352"/>
        <v/>
      </c>
      <c r="AF421" s="14"/>
      <c r="AG421" s="125" t="str">
        <f t="shared" si="353"/>
        <v/>
      </c>
      <c r="AH421" s="20"/>
      <c r="AI421" s="20"/>
      <c r="AJ421" s="125" t="str">
        <f t="shared" si="354"/>
        <v/>
      </c>
      <c r="AK421" s="14"/>
      <c r="AL421" s="125" t="str">
        <f t="shared" si="355"/>
        <v/>
      </c>
      <c r="AM421" s="20"/>
      <c r="AN421" s="20"/>
      <c r="AO421" s="125" t="str">
        <f t="shared" si="356"/>
        <v/>
      </c>
      <c r="AP421" s="125" t="str">
        <f t="shared" si="357"/>
        <v/>
      </c>
      <c r="AQ421" s="125" t="str">
        <f t="shared" si="358"/>
        <v/>
      </c>
      <c r="AR421" s="129" t="str">
        <f t="shared" si="359"/>
        <v/>
      </c>
      <c r="AS421" s="14"/>
      <c r="AT421" s="13"/>
      <c r="AU421" s="13"/>
      <c r="AV421" s="117" t="str">
        <f>IF(_xlfn.XLOOKUP(AT421, AutoFill_classes!$A:$A, AutoFill_classes!$B:$B,"")=0,"",_xlfn.XLOOKUP(AT421, AutoFill_classes!$A:$A, AutoFill_classes!$B:$B,""))</f>
        <v/>
      </c>
      <c r="AW421" s="108"/>
      <c r="AX421" s="11"/>
      <c r="AY421" s="13"/>
      <c r="AZ421" s="11"/>
      <c r="BA421" s="13"/>
      <c r="BB421" s="13"/>
      <c r="BC421" s="63"/>
      <c r="BD421" s="18"/>
      <c r="BE421" s="121" t="str">
        <f t="shared" si="360"/>
        <v/>
      </c>
      <c r="BF421" s="20"/>
      <c r="BG421" s="20"/>
      <c r="BH421" s="20"/>
      <c r="BI421" s="20"/>
      <c r="BJ421" s="125" t="str">
        <f t="shared" si="361"/>
        <v/>
      </c>
      <c r="BK421" s="14"/>
      <c r="BL421" s="125" t="str">
        <f t="shared" si="362"/>
        <v/>
      </c>
      <c r="BM421" s="20"/>
      <c r="BN421" s="20"/>
      <c r="BO421" s="125" t="str">
        <f t="shared" si="363"/>
        <v/>
      </c>
      <c r="BP421" s="14"/>
      <c r="BQ421" s="125" t="str">
        <f t="shared" si="364"/>
        <v/>
      </c>
      <c r="BR421" s="20"/>
      <c r="BS421" s="20"/>
      <c r="BT421" s="125" t="str">
        <f t="shared" si="365"/>
        <v/>
      </c>
      <c r="BU421" s="125" t="str">
        <f t="shared" si="366"/>
        <v/>
      </c>
      <c r="BV421" s="125" t="str">
        <f t="shared" si="367"/>
        <v/>
      </c>
      <c r="BW421" s="129" t="str">
        <f t="shared" si="368"/>
        <v/>
      </c>
      <c r="BX421" s="13"/>
      <c r="BY421" s="15"/>
      <c r="BZ421" s="14"/>
      <c r="CA421" s="117" t="str">
        <f>IF(_xlfn.XLOOKUP(BY421, AutoFill_classes!$A:$A, AutoFill_classes!$B:$B,"")=0,"",_xlfn.XLOOKUP(BY421, AutoFill_classes!$A:$A, AutoFill_classes!$B:$B,""))</f>
        <v/>
      </c>
      <c r="CB421" s="108"/>
      <c r="CC421" s="14"/>
      <c r="CD421" s="14"/>
      <c r="CE421" s="14"/>
      <c r="CF421" s="21"/>
      <c r="CG421" s="22"/>
      <c r="CH421" s="63"/>
      <c r="CI421" s="23"/>
      <c r="CJ421" s="121" t="str">
        <f t="shared" si="369"/>
        <v/>
      </c>
      <c r="CK421" s="20"/>
      <c r="CL421" s="20"/>
      <c r="CM421" s="20"/>
      <c r="CN421" s="20"/>
      <c r="CO421" s="125" t="str">
        <f t="shared" si="370"/>
        <v/>
      </c>
      <c r="CP421" s="14"/>
      <c r="CQ421" s="125" t="str">
        <f t="shared" si="371"/>
        <v/>
      </c>
      <c r="CR421" s="20"/>
      <c r="CS421" s="20"/>
      <c r="CT421" s="125" t="str">
        <f t="shared" si="372"/>
        <v/>
      </c>
      <c r="CU421" s="14"/>
      <c r="CV421" s="125" t="str">
        <f t="shared" si="373"/>
        <v/>
      </c>
      <c r="CW421" s="20"/>
      <c r="CX421" s="20"/>
      <c r="CY421" s="125" t="str">
        <f t="shared" si="374"/>
        <v/>
      </c>
      <c r="CZ421" s="125" t="str">
        <f t="shared" si="375"/>
        <v/>
      </c>
      <c r="DA421" s="125" t="str">
        <f t="shared" si="376"/>
        <v/>
      </c>
      <c r="DB421" s="129" t="str">
        <f t="shared" si="377"/>
        <v/>
      </c>
      <c r="DC421" s="14"/>
      <c r="DD421" s="62"/>
      <c r="DE421" s="105">
        <v>419</v>
      </c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</row>
    <row r="422" spans="1:176" s="116" customFormat="1" ht="34" customHeight="1" collapsed="1" x14ac:dyDescent="0.2">
      <c r="A422" s="66" t="s">
        <v>68</v>
      </c>
      <c r="B422" s="112" t="str">
        <f>"Total Credits: " &amp; IFERROR(IF(DD422=0,"",DD422),"")</f>
        <v xml:space="preserve">Total Credits: </v>
      </c>
      <c r="F422" s="138"/>
      <c r="L422" s="114"/>
      <c r="M422" s="114"/>
      <c r="N422" s="114"/>
      <c r="O422" s="114"/>
      <c r="P422" s="139"/>
      <c r="Q422" s="139"/>
      <c r="R422" s="139"/>
      <c r="S422" s="114"/>
      <c r="T422" s="114"/>
      <c r="U422" s="114"/>
      <c r="V422" s="136"/>
      <c r="W422" s="136"/>
      <c r="X422" s="140" t="str">
        <f>IF(SUM(X423:X451)=0, "", SUM(X423:X451))</f>
        <v/>
      </c>
      <c r="Y422" s="120"/>
      <c r="Z422" s="120"/>
      <c r="AA422" s="141"/>
      <c r="AB422" s="141"/>
      <c r="AC422" s="141"/>
      <c r="AD422" s="141"/>
      <c r="AE422" s="124"/>
      <c r="AF422" s="124"/>
      <c r="AG422" s="124"/>
      <c r="AH422" s="141"/>
      <c r="AI422" s="141"/>
      <c r="AJ422" s="124"/>
      <c r="AK422" s="124"/>
      <c r="AL422" s="124"/>
      <c r="AM422" s="141"/>
      <c r="AN422" s="141"/>
      <c r="AO422" s="127"/>
      <c r="AP422" s="127"/>
      <c r="AQ422" s="127"/>
      <c r="AR422" s="127"/>
      <c r="AS422" s="127"/>
      <c r="AT422" s="133"/>
      <c r="AU422" s="133"/>
      <c r="AV422" s="114"/>
      <c r="AW422" s="114"/>
      <c r="AX422" s="133"/>
      <c r="AY422" s="133"/>
      <c r="AZ422" s="133"/>
      <c r="BA422" s="133"/>
      <c r="BB422" s="133"/>
      <c r="BC422" s="140" t="str">
        <f>IF(SUM(BC423:BC451)=0, "", SUM(BC423:BC451))</f>
        <v/>
      </c>
      <c r="BD422" s="131"/>
      <c r="BE422" s="131"/>
      <c r="BF422" s="142"/>
      <c r="BG422" s="142"/>
      <c r="BH422" s="142"/>
      <c r="BI422" s="142"/>
      <c r="BJ422" s="133"/>
      <c r="BK422" s="133"/>
      <c r="BL422" s="133"/>
      <c r="BM422" s="142"/>
      <c r="BN422" s="142"/>
      <c r="BO422" s="133"/>
      <c r="BP422" s="133"/>
      <c r="BQ422" s="133"/>
      <c r="BR422" s="142"/>
      <c r="BS422" s="142"/>
      <c r="BT422" s="133"/>
      <c r="BU422" s="133"/>
      <c r="BV422" s="133"/>
      <c r="BW422" s="127"/>
      <c r="BX422" s="133"/>
      <c r="BY422" s="133"/>
      <c r="BZ422" s="133"/>
      <c r="CA422" s="114"/>
      <c r="CB422" s="114"/>
      <c r="CC422" s="133"/>
      <c r="CD422" s="133"/>
      <c r="CE422" s="133"/>
      <c r="CF422" s="136"/>
      <c r="CG422" s="120"/>
      <c r="CH422" s="140" t="str">
        <f>IF(SUM(CH423:CH451)=0, "", SUM(CH423:CH451))</f>
        <v/>
      </c>
      <c r="CI422" s="120"/>
      <c r="CJ422" s="120"/>
      <c r="CK422" s="143"/>
      <c r="CL422" s="143"/>
      <c r="CM422" s="143"/>
      <c r="CN422" s="143"/>
      <c r="CO422" s="136"/>
      <c r="CP422" s="144"/>
      <c r="CQ422" s="136"/>
      <c r="CR422" s="143"/>
      <c r="CS422" s="143"/>
      <c r="CT422" s="136"/>
      <c r="CU422" s="144"/>
      <c r="CV422" s="136"/>
      <c r="CW422" s="143"/>
      <c r="CX422" s="143"/>
      <c r="CY422" s="136"/>
      <c r="CZ422" s="136"/>
      <c r="DA422" s="136"/>
      <c r="DB422" s="127"/>
      <c r="DC422" s="144"/>
      <c r="DD422" s="140" t="str">
        <f>IF(SUM(L422:DC422)=0, "", SUM(L422:DC422))</f>
        <v/>
      </c>
      <c r="DE422" s="105">
        <v>420</v>
      </c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</row>
    <row r="423" spans="1:176" s="1" customFormat="1" ht="13" hidden="1" customHeight="1" outlineLevel="1" x14ac:dyDescent="0.2">
      <c r="A423" s="4"/>
      <c r="B423" s="115" t="str">
        <f>IF(_xlfn.XLOOKUP(A423, AutoFill_names!B:B, AutoFill_names!C:C,"")=0,"",_xlfn.XLOOKUP(A423, AutoFill_names!B:B, AutoFill_names!C:C,""))</f>
        <v/>
      </c>
      <c r="C423" s="115" t="str">
        <f>IF(_xlfn.XLOOKUP(A423, AutoFill_names!B:B, AutoFill_names!D:D,"")=0,"",_xlfn.XLOOKUP(A423, AutoFill_names!B:B, AutoFill_names!D:D,""))</f>
        <v/>
      </c>
      <c r="D423" s="115" t="str">
        <f>IF(_xlfn.XLOOKUP(A423, AutoFill_names!B:B, AutoFill_names!E:E,"")=0,"",_xlfn.XLOOKUP(A423, AutoFill_names!B:B, AutoFill_names!E:E,""))</f>
        <v/>
      </c>
      <c r="E423" s="115" t="str">
        <f>IF(_xlfn.XLOOKUP(A423, AutoFill_names!B:B, AutoFill_names!F:F,"")=0,"",_xlfn.XLOOKUP(A423, AutoFill_names!B:B, AutoFill_names!F:F,""))</f>
        <v/>
      </c>
      <c r="F423" s="92"/>
      <c r="J423" s="115" t="str">
        <f>IF(_xlfn.XLOOKUP(A423, AutoFill_names!B:B, AutoFill_names!K:K,"")=0,"",_xlfn.XLOOKUP(A423, AutoFill_names!B:B, AutoFill_names!K:K,""))</f>
        <v/>
      </c>
      <c r="K423" s="115" t="str">
        <f>IF(_xlfn.XLOOKUP(A423, AutoFill_names!B:B, AutoFill_names!L:L,"")=0,"",_xlfn.XLOOKUP(A423, AutoFill_names!B:B, AutoFill_names!L:L,""))</f>
        <v/>
      </c>
      <c r="L423" s="31"/>
      <c r="M423" s="31"/>
      <c r="N423" s="117" t="str">
        <f>IF(_xlfn.XLOOKUP(L423, AutoFill_classes!A:A, AutoFill_classes!B:B,"")=0,"",_xlfn.XLOOKUP(L423, AutoFill_classes!A:A, AutoFill_classes!B:B,""))</f>
        <v/>
      </c>
      <c r="O423" s="108"/>
      <c r="P423" s="6"/>
      <c r="Q423" s="6"/>
      <c r="R423" s="6"/>
      <c r="X423" s="63"/>
      <c r="Y423" s="19"/>
      <c r="Z423" s="121" t="str">
        <f t="shared" ref="Z423:Z451" si="378">IF(X423*Y423=0,"",X423*Y423)</f>
        <v/>
      </c>
      <c r="AA423" s="20"/>
      <c r="AB423" s="20"/>
      <c r="AC423" s="20"/>
      <c r="AD423" s="20"/>
      <c r="AE423" s="125" t="str">
        <f t="shared" ref="AE423:AE451" si="379">IF(ROUNDUP((AD423-AC423)/7,0)=0,"",ROUNDUP((AD423-AC423)/7,0))</f>
        <v/>
      </c>
      <c r="AF423" s="14"/>
      <c r="AG423" s="125" t="str">
        <f t="shared" ref="AG423:AG451" si="380">IFERROR(IF(AE423*AF423=0,"",AE423*AF423), "")</f>
        <v/>
      </c>
      <c r="AH423" s="20"/>
      <c r="AI423" s="20"/>
      <c r="AJ423" s="125" t="str">
        <f t="shared" ref="AJ423:AJ451" si="381">IF(ROUNDUP((AI423-AH423)/7,0)=0,"",ROUNDUP((AI423-AH423)/7,0))</f>
        <v/>
      </c>
      <c r="AK423" s="14"/>
      <c r="AL423" s="125" t="str">
        <f t="shared" ref="AL423:AL451" si="382">IFERROR(IF(AJ423*AK423=0,"",AJ423*AK423), "")</f>
        <v/>
      </c>
      <c r="AM423" s="20"/>
      <c r="AN423" s="20"/>
      <c r="AO423" s="125" t="str">
        <f t="shared" ref="AO423:AO451" si="383">IF(ROUNDUP((AN423-AM423)/7,0)=0,"",ROUNDUP((AN423-AM423)/7,0))</f>
        <v/>
      </c>
      <c r="AP423" s="125" t="str">
        <f t="shared" ref="AP423:AP451" si="384">IFERROR(IF((AS423-(AF423+AK423))/AO423=0,"",ROUNDUP((AS423-(AF423+AK423))/AO423,0)), "")</f>
        <v/>
      </c>
      <c r="AQ423" s="125" t="str">
        <f t="shared" ref="AQ423:AQ451" si="385">IFERROR(IF((AS423-(AG423+AL423))=0, "", (AS423-(AG423+AL423))), "")</f>
        <v/>
      </c>
      <c r="AR423" s="129" t="str">
        <f t="shared" ref="AR423:AR451" si="386">IFERROR(IF((AE423+AJ423+AO423)=0, "", (AE423+AJ423+AO423)), "")</f>
        <v/>
      </c>
      <c r="AS423" s="14"/>
      <c r="AT423" s="33"/>
      <c r="AU423" s="33"/>
      <c r="AV423" s="117" t="str">
        <f>IF(_xlfn.XLOOKUP(AT423, AutoFill_classes!$A:$A, AutoFill_classes!$B:$B,"")=0,"",_xlfn.XLOOKUP(AT423, AutoFill_classes!$A:$A, AutoFill_classes!$B:$B,""))</f>
        <v/>
      </c>
      <c r="AW423" s="108"/>
      <c r="AX423" s="11"/>
      <c r="AY423" s="12"/>
      <c r="AZ423" s="11"/>
      <c r="BA423" s="13"/>
      <c r="BB423" s="13"/>
      <c r="BC423" s="63"/>
      <c r="BD423" s="19"/>
      <c r="BE423" s="121" t="str">
        <f t="shared" ref="BE423:BE451" si="387">IF(BC423*BD423=0,"",BC423*BD423)</f>
        <v/>
      </c>
      <c r="BF423" s="20"/>
      <c r="BG423" s="20"/>
      <c r="BH423" s="20"/>
      <c r="BI423" s="20"/>
      <c r="BJ423" s="125" t="str">
        <f t="shared" ref="BJ423:BJ451" si="388">IF(ROUNDUP((BI423-BH423)/7,0)=0,"",ROUNDUP((BI423-BH423)/7,0))</f>
        <v/>
      </c>
      <c r="BK423" s="14"/>
      <c r="BL423" s="125" t="str">
        <f t="shared" ref="BL423:BL451" si="389">IFERROR(IF(BJ423*BK423=0,"",BJ423*BK423), "")</f>
        <v/>
      </c>
      <c r="BM423" s="20"/>
      <c r="BN423" s="20"/>
      <c r="BO423" s="125" t="str">
        <f t="shared" ref="BO423:BO451" si="390">IF(ROUNDUP((BN423-BM423)/7,0)=0,"",ROUNDUP((BN423-BM423)/7,0))</f>
        <v/>
      </c>
      <c r="BP423" s="14"/>
      <c r="BQ423" s="125" t="str">
        <f t="shared" ref="BQ423:BQ451" si="391">IFERROR(IF(BO423*BP423=0,"",BO423*BP423), "")</f>
        <v/>
      </c>
      <c r="BR423" s="20"/>
      <c r="BS423" s="20"/>
      <c r="BT423" s="125" t="str">
        <f t="shared" ref="BT423:BT451" si="392">IF(ROUNDUP((BS423-BR423)/7,0)=0,"",ROUNDUP((BS423-BR423)/7,0))</f>
        <v/>
      </c>
      <c r="BU423" s="125" t="str">
        <f t="shared" ref="BU423:BU451" si="393">IFERROR(IF((BX423-(BK423+BP423))/BT423=0,"",ROUNDUP((BX423-(BK423+BP423))/BT423,0)), "")</f>
        <v/>
      </c>
      <c r="BV423" s="125" t="str">
        <f t="shared" ref="BV423:BV451" si="394">IFERROR(IF((BX423-(BL423+BQ423))=0, "", (BX423-(BL423+BQ423))), "")</f>
        <v/>
      </c>
      <c r="BW423" s="129" t="str">
        <f t="shared" ref="BW423:BW451" si="395">IFERROR(IF((BJ423+BO423+BT423)=0, "", (BJ423+BO423+BT423)), "")</f>
        <v/>
      </c>
      <c r="BX423" s="11"/>
      <c r="BY423" s="15"/>
      <c r="BZ423" s="14"/>
      <c r="CA423" s="117" t="str">
        <f>IF(_xlfn.XLOOKUP(BY423, AutoFill_classes!$A:$A, AutoFill_classes!$B:$B,"")=0,"",_xlfn.XLOOKUP(BY423, AutoFill_classes!$A:$A, AutoFill_classes!$B:$B,""))</f>
        <v/>
      </c>
      <c r="CB423" s="108"/>
      <c r="CC423" s="14"/>
      <c r="CD423" s="14"/>
      <c r="CE423" s="14"/>
      <c r="CF423" s="21"/>
      <c r="CG423" s="22"/>
      <c r="CH423" s="63"/>
      <c r="CI423" s="23"/>
      <c r="CJ423" s="121" t="str">
        <f t="shared" ref="CJ423:CJ451" si="396">IF(CH423*CI423=0,"",CH423*CI423)</f>
        <v/>
      </c>
      <c r="CK423" s="20"/>
      <c r="CL423" s="20"/>
      <c r="CM423" s="20"/>
      <c r="CN423" s="20"/>
      <c r="CO423" s="125" t="str">
        <f t="shared" ref="CO423:CO451" si="397">IF(ROUNDUP((CN423-CM423)/7,0)=0,"",ROUNDUP((CN423-CM423)/7,0))</f>
        <v/>
      </c>
      <c r="CP423" s="14"/>
      <c r="CQ423" s="125" t="str">
        <f t="shared" ref="CQ423:CQ451" si="398">IFERROR(IF(CO423*CP423=0,"",CO423*CP423), "")</f>
        <v/>
      </c>
      <c r="CR423" s="20"/>
      <c r="CS423" s="20"/>
      <c r="CT423" s="125" t="str">
        <f t="shared" ref="CT423:CT451" si="399">IF(ROUNDUP((CS423-CR423)/7,0)=0,"",ROUNDUP((CS423-CR423)/7,0))</f>
        <v/>
      </c>
      <c r="CU423" s="14"/>
      <c r="CV423" s="125" t="str">
        <f t="shared" ref="CV423:CV451" si="400">IFERROR(IF(CT423*CU423=0,"",CT423*CU423), "")</f>
        <v/>
      </c>
      <c r="CW423" s="20"/>
      <c r="CX423" s="20"/>
      <c r="CY423" s="125" t="str">
        <f t="shared" ref="CY423:CY451" si="401">IF(ROUNDUP((CX423-CW423)/7,0)=0,"",ROUNDUP((CX423-CW423)/7,0))</f>
        <v/>
      </c>
      <c r="CZ423" s="125" t="str">
        <f t="shared" ref="CZ423:CZ451" si="402">IFERROR(IF((DC423-(CP423+CU423))/CY423=0,"",ROUNDUP((DC423-(CP423+CU423))/CY423,0)), "")</f>
        <v/>
      </c>
      <c r="DA423" s="125" t="str">
        <f t="shared" ref="DA423:DA451" si="403">IFERROR(IF((DC423-(CQ423+CV423))=0, "", (DC423-(CQ423+CV423))), "")</f>
        <v/>
      </c>
      <c r="DB423" s="129" t="str">
        <f t="shared" ref="DB423:DB451" si="404">IFERROR(IF((CO423+CT423+CY423)=0, "", (CO423+CT423+CY423)), "")</f>
        <v/>
      </c>
      <c r="DC423" s="14"/>
      <c r="DD423" s="62"/>
      <c r="DE423" s="105">
        <v>421</v>
      </c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</row>
    <row r="424" spans="1:176" s="1" customFormat="1" ht="13" hidden="1" customHeight="1" outlineLevel="1" x14ac:dyDescent="0.2">
      <c r="A424" s="4"/>
      <c r="B424" s="115" t="str">
        <f>IF(_xlfn.XLOOKUP(A424, AutoFill_names!B:B, AutoFill_names!C:C,"")=0,"",_xlfn.XLOOKUP(A424, AutoFill_names!B:B, AutoFill_names!C:C,""))</f>
        <v/>
      </c>
      <c r="C424" s="115" t="str">
        <f>IF(_xlfn.XLOOKUP(A424, AutoFill_names!B:B, AutoFill_names!D:D,"")=0,"",_xlfn.XLOOKUP(A424, AutoFill_names!B:B, AutoFill_names!D:D,""))</f>
        <v/>
      </c>
      <c r="D424" s="115" t="str">
        <f>IF(_xlfn.XLOOKUP(A424, AutoFill_names!B:B, AutoFill_names!E:E,"")=0,"",_xlfn.XLOOKUP(A424, AutoFill_names!B:B, AutoFill_names!E:E,""))</f>
        <v/>
      </c>
      <c r="E424" s="115" t="str">
        <f>IF(_xlfn.XLOOKUP(A424, AutoFill_names!B:B, AutoFill_names!F:F,"")=0,"",_xlfn.XLOOKUP(A424, AutoFill_names!B:B, AutoFill_names!F:F,""))</f>
        <v/>
      </c>
      <c r="F424" s="92"/>
      <c r="J424" s="115" t="str">
        <f>IF(_xlfn.XLOOKUP(A424, AutoFill_names!B:B, AutoFill_names!K:K,"")=0,"",_xlfn.XLOOKUP(A424, AutoFill_names!B:B, AutoFill_names!K:K,""))</f>
        <v/>
      </c>
      <c r="K424" s="115" t="str">
        <f>IF(_xlfn.XLOOKUP(A424, AutoFill_names!B:B, AutoFill_names!L:L,"")=0,"",_xlfn.XLOOKUP(A424, AutoFill_names!B:B, AutoFill_names!L:L,""))</f>
        <v/>
      </c>
      <c r="L424" s="31"/>
      <c r="M424" s="31"/>
      <c r="N424" s="117" t="str">
        <f>IF(_xlfn.XLOOKUP(L424, AutoFill_classes!A:A, AutoFill_classes!B:B,"")=0,"",_xlfn.XLOOKUP(L424, AutoFill_classes!A:A, AutoFill_classes!B:B,""))</f>
        <v/>
      </c>
      <c r="O424" s="108"/>
      <c r="P424" s="6"/>
      <c r="Q424" s="6"/>
      <c r="R424" s="6"/>
      <c r="X424" s="63"/>
      <c r="Y424" s="19"/>
      <c r="Z424" s="121" t="str">
        <f t="shared" si="378"/>
        <v/>
      </c>
      <c r="AA424" s="20"/>
      <c r="AB424" s="20"/>
      <c r="AC424" s="20"/>
      <c r="AD424" s="20"/>
      <c r="AE424" s="125" t="str">
        <f t="shared" si="379"/>
        <v/>
      </c>
      <c r="AF424" s="14"/>
      <c r="AG424" s="125" t="str">
        <f t="shared" si="380"/>
        <v/>
      </c>
      <c r="AH424" s="20"/>
      <c r="AI424" s="20"/>
      <c r="AJ424" s="125" t="str">
        <f t="shared" si="381"/>
        <v/>
      </c>
      <c r="AK424" s="14"/>
      <c r="AL424" s="125" t="str">
        <f t="shared" si="382"/>
        <v/>
      </c>
      <c r="AM424" s="20"/>
      <c r="AN424" s="20"/>
      <c r="AO424" s="125" t="str">
        <f t="shared" si="383"/>
        <v/>
      </c>
      <c r="AP424" s="125" t="str">
        <f t="shared" si="384"/>
        <v/>
      </c>
      <c r="AQ424" s="125" t="str">
        <f t="shared" si="385"/>
        <v/>
      </c>
      <c r="AR424" s="129" t="str">
        <f t="shared" si="386"/>
        <v/>
      </c>
      <c r="AS424" s="14"/>
      <c r="AT424" s="33"/>
      <c r="AU424" s="33"/>
      <c r="AV424" s="117" t="str">
        <f>IF(_xlfn.XLOOKUP(AT424, AutoFill_classes!$A:$A, AutoFill_classes!$B:$B,"")=0,"",_xlfn.XLOOKUP(AT424, AutoFill_classes!$A:$A, AutoFill_classes!$B:$B,""))</f>
        <v/>
      </c>
      <c r="AW424" s="108"/>
      <c r="AX424" s="11"/>
      <c r="AY424" s="12"/>
      <c r="AZ424" s="11"/>
      <c r="BA424" s="13"/>
      <c r="BB424" s="13"/>
      <c r="BC424" s="63"/>
      <c r="BD424" s="19"/>
      <c r="BE424" s="121" t="str">
        <f t="shared" si="387"/>
        <v/>
      </c>
      <c r="BF424" s="20"/>
      <c r="BG424" s="20"/>
      <c r="BH424" s="20"/>
      <c r="BI424" s="20"/>
      <c r="BJ424" s="125" t="str">
        <f t="shared" si="388"/>
        <v/>
      </c>
      <c r="BK424" s="14"/>
      <c r="BL424" s="125" t="str">
        <f t="shared" si="389"/>
        <v/>
      </c>
      <c r="BM424" s="20"/>
      <c r="BN424" s="20"/>
      <c r="BO424" s="125" t="str">
        <f t="shared" si="390"/>
        <v/>
      </c>
      <c r="BP424" s="14"/>
      <c r="BQ424" s="125" t="str">
        <f t="shared" si="391"/>
        <v/>
      </c>
      <c r="BR424" s="20"/>
      <c r="BS424" s="20"/>
      <c r="BT424" s="125" t="str">
        <f t="shared" si="392"/>
        <v/>
      </c>
      <c r="BU424" s="125" t="str">
        <f t="shared" si="393"/>
        <v/>
      </c>
      <c r="BV424" s="125" t="str">
        <f t="shared" si="394"/>
        <v/>
      </c>
      <c r="BW424" s="129" t="str">
        <f t="shared" si="395"/>
        <v/>
      </c>
      <c r="BX424" s="11"/>
      <c r="BY424" s="15"/>
      <c r="BZ424" s="14"/>
      <c r="CA424" s="117" t="str">
        <f>IF(_xlfn.XLOOKUP(BY424, AutoFill_classes!$A:$A, AutoFill_classes!$B:$B,"")=0,"",_xlfn.XLOOKUP(BY424, AutoFill_classes!$A:$A, AutoFill_classes!$B:$B,""))</f>
        <v/>
      </c>
      <c r="CB424" s="108"/>
      <c r="CC424" s="14"/>
      <c r="CD424" s="14"/>
      <c r="CE424" s="14"/>
      <c r="CF424" s="21"/>
      <c r="CG424" s="22"/>
      <c r="CH424" s="63"/>
      <c r="CI424" s="23"/>
      <c r="CJ424" s="121" t="str">
        <f t="shared" si="396"/>
        <v/>
      </c>
      <c r="CK424" s="20"/>
      <c r="CL424" s="20"/>
      <c r="CM424" s="20"/>
      <c r="CN424" s="20"/>
      <c r="CO424" s="125" t="str">
        <f t="shared" si="397"/>
        <v/>
      </c>
      <c r="CP424" s="14"/>
      <c r="CQ424" s="125" t="str">
        <f t="shared" si="398"/>
        <v/>
      </c>
      <c r="CR424" s="20"/>
      <c r="CS424" s="20"/>
      <c r="CT424" s="125" t="str">
        <f t="shared" si="399"/>
        <v/>
      </c>
      <c r="CU424" s="14"/>
      <c r="CV424" s="125" t="str">
        <f t="shared" si="400"/>
        <v/>
      </c>
      <c r="CW424" s="20"/>
      <c r="CX424" s="20"/>
      <c r="CY424" s="125" t="str">
        <f t="shared" si="401"/>
        <v/>
      </c>
      <c r="CZ424" s="125" t="str">
        <f t="shared" si="402"/>
        <v/>
      </c>
      <c r="DA424" s="125" t="str">
        <f t="shared" si="403"/>
        <v/>
      </c>
      <c r="DB424" s="129" t="str">
        <f t="shared" si="404"/>
        <v/>
      </c>
      <c r="DC424" s="14"/>
      <c r="DD424" s="62"/>
      <c r="DE424" s="105">
        <v>422</v>
      </c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</row>
    <row r="425" spans="1:176" s="1" customFormat="1" ht="13" hidden="1" customHeight="1" outlineLevel="1" x14ac:dyDescent="0.2">
      <c r="A425" s="4"/>
      <c r="B425" s="115" t="str">
        <f>IF(_xlfn.XLOOKUP(A425, AutoFill_names!B:B, AutoFill_names!C:C,"")=0,"",_xlfn.XLOOKUP(A425, AutoFill_names!B:B, AutoFill_names!C:C,""))</f>
        <v/>
      </c>
      <c r="C425" s="115" t="str">
        <f>IF(_xlfn.XLOOKUP(A425, AutoFill_names!B:B, AutoFill_names!D:D,"")=0,"",_xlfn.XLOOKUP(A425, AutoFill_names!B:B, AutoFill_names!D:D,""))</f>
        <v/>
      </c>
      <c r="D425" s="115" t="str">
        <f>IF(_xlfn.XLOOKUP(A425, AutoFill_names!B:B, AutoFill_names!E:E,"")=0,"",_xlfn.XLOOKUP(A425, AutoFill_names!B:B, AutoFill_names!E:E,""))</f>
        <v/>
      </c>
      <c r="E425" s="115" t="str">
        <f>IF(_xlfn.XLOOKUP(A425, AutoFill_names!B:B, AutoFill_names!F:F,"")=0,"",_xlfn.XLOOKUP(A425, AutoFill_names!B:B, AutoFill_names!F:F,""))</f>
        <v/>
      </c>
      <c r="F425" s="92"/>
      <c r="J425" s="115" t="str">
        <f>IF(_xlfn.XLOOKUP(A425, AutoFill_names!B:B, AutoFill_names!K:K,"")=0,"",_xlfn.XLOOKUP(A425, AutoFill_names!B:B, AutoFill_names!K:K,""))</f>
        <v/>
      </c>
      <c r="K425" s="115" t="str">
        <f>IF(_xlfn.XLOOKUP(A425, AutoFill_names!B:B, AutoFill_names!L:L,"")=0,"",_xlfn.XLOOKUP(A425, AutoFill_names!B:B, AutoFill_names!L:L,""))</f>
        <v/>
      </c>
      <c r="L425" s="31"/>
      <c r="M425" s="31"/>
      <c r="N425" s="117" t="str">
        <f>IF(_xlfn.XLOOKUP(L425, AutoFill_classes!A:A, AutoFill_classes!B:B,"")=0,"",_xlfn.XLOOKUP(L425, AutoFill_classes!A:A, AutoFill_classes!B:B,""))</f>
        <v/>
      </c>
      <c r="O425" s="108"/>
      <c r="P425" s="6"/>
      <c r="Q425" s="6"/>
      <c r="R425" s="6"/>
      <c r="X425" s="63"/>
      <c r="Y425" s="19"/>
      <c r="Z425" s="121" t="str">
        <f t="shared" si="378"/>
        <v/>
      </c>
      <c r="AA425" s="20"/>
      <c r="AB425" s="20"/>
      <c r="AC425" s="20"/>
      <c r="AD425" s="20"/>
      <c r="AE425" s="125" t="str">
        <f t="shared" si="379"/>
        <v/>
      </c>
      <c r="AF425" s="14"/>
      <c r="AG425" s="125" t="str">
        <f t="shared" si="380"/>
        <v/>
      </c>
      <c r="AH425" s="20"/>
      <c r="AI425" s="20"/>
      <c r="AJ425" s="125" t="str">
        <f t="shared" si="381"/>
        <v/>
      </c>
      <c r="AK425" s="14"/>
      <c r="AL425" s="125" t="str">
        <f t="shared" si="382"/>
        <v/>
      </c>
      <c r="AM425" s="20"/>
      <c r="AN425" s="20"/>
      <c r="AO425" s="125" t="str">
        <f t="shared" si="383"/>
        <v/>
      </c>
      <c r="AP425" s="125" t="str">
        <f t="shared" si="384"/>
        <v/>
      </c>
      <c r="AQ425" s="125" t="str">
        <f t="shared" si="385"/>
        <v/>
      </c>
      <c r="AR425" s="129" t="str">
        <f t="shared" si="386"/>
        <v/>
      </c>
      <c r="AS425" s="14"/>
      <c r="AT425" s="33"/>
      <c r="AU425" s="33"/>
      <c r="AV425" s="117" t="str">
        <f>IF(_xlfn.XLOOKUP(AT425, AutoFill_classes!$A:$A, AutoFill_classes!$B:$B,"")=0,"",_xlfn.XLOOKUP(AT425, AutoFill_classes!$A:$A, AutoFill_classes!$B:$B,""))</f>
        <v/>
      </c>
      <c r="AW425" s="108"/>
      <c r="AX425" s="11"/>
      <c r="AY425" s="12"/>
      <c r="AZ425" s="11"/>
      <c r="BA425" s="13"/>
      <c r="BB425" s="13"/>
      <c r="BC425" s="63"/>
      <c r="BD425" s="19"/>
      <c r="BE425" s="121" t="str">
        <f t="shared" si="387"/>
        <v/>
      </c>
      <c r="BF425" s="20"/>
      <c r="BG425" s="20"/>
      <c r="BH425" s="20"/>
      <c r="BI425" s="20"/>
      <c r="BJ425" s="125" t="str">
        <f t="shared" si="388"/>
        <v/>
      </c>
      <c r="BK425" s="14"/>
      <c r="BL425" s="125" t="str">
        <f t="shared" si="389"/>
        <v/>
      </c>
      <c r="BM425" s="20"/>
      <c r="BN425" s="20"/>
      <c r="BO425" s="125" t="str">
        <f t="shared" si="390"/>
        <v/>
      </c>
      <c r="BP425" s="14"/>
      <c r="BQ425" s="125" t="str">
        <f t="shared" si="391"/>
        <v/>
      </c>
      <c r="BR425" s="20"/>
      <c r="BS425" s="20"/>
      <c r="BT425" s="125" t="str">
        <f t="shared" si="392"/>
        <v/>
      </c>
      <c r="BU425" s="125" t="str">
        <f t="shared" si="393"/>
        <v/>
      </c>
      <c r="BV425" s="125" t="str">
        <f t="shared" si="394"/>
        <v/>
      </c>
      <c r="BW425" s="129" t="str">
        <f t="shared" si="395"/>
        <v/>
      </c>
      <c r="BX425" s="11"/>
      <c r="BY425" s="15"/>
      <c r="BZ425" s="14"/>
      <c r="CA425" s="117" t="str">
        <f>IF(_xlfn.XLOOKUP(BY425, AutoFill_classes!$A:$A, AutoFill_classes!$B:$B,"")=0,"",_xlfn.XLOOKUP(BY425, AutoFill_classes!$A:$A, AutoFill_classes!$B:$B,""))</f>
        <v/>
      </c>
      <c r="CB425" s="108"/>
      <c r="CC425" s="14"/>
      <c r="CD425" s="14"/>
      <c r="CE425" s="14"/>
      <c r="CF425" s="21"/>
      <c r="CG425" s="22"/>
      <c r="CH425" s="63"/>
      <c r="CI425" s="23"/>
      <c r="CJ425" s="121" t="str">
        <f t="shared" si="396"/>
        <v/>
      </c>
      <c r="CK425" s="20"/>
      <c r="CL425" s="20"/>
      <c r="CM425" s="20"/>
      <c r="CN425" s="20"/>
      <c r="CO425" s="125" t="str">
        <f t="shared" si="397"/>
        <v/>
      </c>
      <c r="CP425" s="14"/>
      <c r="CQ425" s="125" t="str">
        <f t="shared" si="398"/>
        <v/>
      </c>
      <c r="CR425" s="20"/>
      <c r="CS425" s="20"/>
      <c r="CT425" s="125" t="str">
        <f t="shared" si="399"/>
        <v/>
      </c>
      <c r="CU425" s="14"/>
      <c r="CV425" s="125" t="str">
        <f t="shared" si="400"/>
        <v/>
      </c>
      <c r="CW425" s="20"/>
      <c r="CX425" s="20"/>
      <c r="CY425" s="125" t="str">
        <f t="shared" si="401"/>
        <v/>
      </c>
      <c r="CZ425" s="125" t="str">
        <f t="shared" si="402"/>
        <v/>
      </c>
      <c r="DA425" s="125" t="str">
        <f t="shared" si="403"/>
        <v/>
      </c>
      <c r="DB425" s="129" t="str">
        <f t="shared" si="404"/>
        <v/>
      </c>
      <c r="DC425" s="14"/>
      <c r="DD425" s="62"/>
      <c r="DE425" s="105">
        <v>423</v>
      </c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</row>
    <row r="426" spans="1:176" s="1" customFormat="1" ht="13" hidden="1" customHeight="1" outlineLevel="1" x14ac:dyDescent="0.2">
      <c r="A426" s="4"/>
      <c r="B426" s="115" t="str">
        <f>IF(_xlfn.XLOOKUP(A426, AutoFill_names!B:B, AutoFill_names!C:C,"")=0,"",_xlfn.XLOOKUP(A426, AutoFill_names!B:B, AutoFill_names!C:C,""))</f>
        <v/>
      </c>
      <c r="C426" s="115" t="str">
        <f>IF(_xlfn.XLOOKUP(A426, AutoFill_names!B:B, AutoFill_names!D:D,"")=0,"",_xlfn.XLOOKUP(A426, AutoFill_names!B:B, AutoFill_names!D:D,""))</f>
        <v/>
      </c>
      <c r="D426" s="115" t="str">
        <f>IF(_xlfn.XLOOKUP(A426, AutoFill_names!B:B, AutoFill_names!E:E,"")=0,"",_xlfn.XLOOKUP(A426, AutoFill_names!B:B, AutoFill_names!E:E,""))</f>
        <v/>
      </c>
      <c r="E426" s="115" t="str">
        <f>IF(_xlfn.XLOOKUP(A426, AutoFill_names!B:B, AutoFill_names!F:F,"")=0,"",_xlfn.XLOOKUP(A426, AutoFill_names!B:B, AutoFill_names!F:F,""))</f>
        <v/>
      </c>
      <c r="F426" s="92"/>
      <c r="J426" s="115" t="str">
        <f>IF(_xlfn.XLOOKUP(A426, AutoFill_names!B:B, AutoFill_names!K:K,"")=0,"",_xlfn.XLOOKUP(A426, AutoFill_names!B:B, AutoFill_names!K:K,""))</f>
        <v/>
      </c>
      <c r="K426" s="115" t="str">
        <f>IF(_xlfn.XLOOKUP(A426, AutoFill_names!B:B, AutoFill_names!L:L,"")=0,"",_xlfn.XLOOKUP(A426, AutoFill_names!B:B, AutoFill_names!L:L,""))</f>
        <v/>
      </c>
      <c r="L426" s="31"/>
      <c r="M426" s="31"/>
      <c r="N426" s="117" t="str">
        <f>IF(_xlfn.XLOOKUP(L426, AutoFill_classes!A:A, AutoFill_classes!B:B,"")=0,"",_xlfn.XLOOKUP(L426, AutoFill_classes!A:A, AutoFill_classes!B:B,""))</f>
        <v/>
      </c>
      <c r="O426" s="108"/>
      <c r="P426" s="6"/>
      <c r="Q426" s="6"/>
      <c r="R426" s="6"/>
      <c r="X426" s="63"/>
      <c r="Y426" s="19"/>
      <c r="Z426" s="121" t="str">
        <f t="shared" si="378"/>
        <v/>
      </c>
      <c r="AA426" s="20"/>
      <c r="AB426" s="20"/>
      <c r="AC426" s="20"/>
      <c r="AD426" s="20"/>
      <c r="AE426" s="125" t="str">
        <f t="shared" si="379"/>
        <v/>
      </c>
      <c r="AF426" s="14"/>
      <c r="AG426" s="125" t="str">
        <f t="shared" si="380"/>
        <v/>
      </c>
      <c r="AH426" s="20"/>
      <c r="AI426" s="20"/>
      <c r="AJ426" s="125" t="str">
        <f t="shared" si="381"/>
        <v/>
      </c>
      <c r="AK426" s="14"/>
      <c r="AL426" s="125" t="str">
        <f t="shared" si="382"/>
        <v/>
      </c>
      <c r="AM426" s="20"/>
      <c r="AN426" s="20"/>
      <c r="AO426" s="125" t="str">
        <f t="shared" si="383"/>
        <v/>
      </c>
      <c r="AP426" s="125" t="str">
        <f t="shared" si="384"/>
        <v/>
      </c>
      <c r="AQ426" s="125" t="str">
        <f t="shared" si="385"/>
        <v/>
      </c>
      <c r="AR426" s="129" t="str">
        <f t="shared" si="386"/>
        <v/>
      </c>
      <c r="AS426" s="14"/>
      <c r="AT426" s="33"/>
      <c r="AU426" s="33"/>
      <c r="AV426" s="117" t="str">
        <f>IF(_xlfn.XLOOKUP(AT426, AutoFill_classes!$A:$A, AutoFill_classes!$B:$B,"")=0,"",_xlfn.XLOOKUP(AT426, AutoFill_classes!$A:$A, AutoFill_classes!$B:$B,""))</f>
        <v/>
      </c>
      <c r="AW426" s="108"/>
      <c r="AX426" s="11"/>
      <c r="AY426" s="12"/>
      <c r="AZ426" s="11"/>
      <c r="BA426" s="13"/>
      <c r="BB426" s="13"/>
      <c r="BC426" s="63"/>
      <c r="BD426" s="19"/>
      <c r="BE426" s="121" t="str">
        <f t="shared" si="387"/>
        <v/>
      </c>
      <c r="BF426" s="20"/>
      <c r="BG426" s="20"/>
      <c r="BH426" s="20"/>
      <c r="BI426" s="20"/>
      <c r="BJ426" s="125" t="str">
        <f t="shared" si="388"/>
        <v/>
      </c>
      <c r="BK426" s="14"/>
      <c r="BL426" s="125" t="str">
        <f t="shared" si="389"/>
        <v/>
      </c>
      <c r="BM426" s="20"/>
      <c r="BN426" s="20"/>
      <c r="BO426" s="125" t="str">
        <f t="shared" si="390"/>
        <v/>
      </c>
      <c r="BP426" s="14"/>
      <c r="BQ426" s="125" t="str">
        <f t="shared" si="391"/>
        <v/>
      </c>
      <c r="BR426" s="20"/>
      <c r="BS426" s="20"/>
      <c r="BT426" s="125" t="str">
        <f t="shared" si="392"/>
        <v/>
      </c>
      <c r="BU426" s="125" t="str">
        <f t="shared" si="393"/>
        <v/>
      </c>
      <c r="BV426" s="125" t="str">
        <f t="shared" si="394"/>
        <v/>
      </c>
      <c r="BW426" s="129" t="str">
        <f t="shared" si="395"/>
        <v/>
      </c>
      <c r="BX426" s="11"/>
      <c r="BY426" s="15"/>
      <c r="BZ426" s="14"/>
      <c r="CA426" s="117" t="str">
        <f>IF(_xlfn.XLOOKUP(BY426, AutoFill_classes!$A:$A, AutoFill_classes!$B:$B,"")=0,"",_xlfn.XLOOKUP(BY426, AutoFill_classes!$A:$A, AutoFill_classes!$B:$B,""))</f>
        <v/>
      </c>
      <c r="CB426" s="108"/>
      <c r="CC426" s="14"/>
      <c r="CD426" s="14"/>
      <c r="CE426" s="14"/>
      <c r="CF426" s="21"/>
      <c r="CG426" s="22"/>
      <c r="CH426" s="63"/>
      <c r="CI426" s="23"/>
      <c r="CJ426" s="121" t="str">
        <f t="shared" si="396"/>
        <v/>
      </c>
      <c r="CK426" s="20"/>
      <c r="CL426" s="20"/>
      <c r="CM426" s="20"/>
      <c r="CN426" s="20"/>
      <c r="CO426" s="125" t="str">
        <f t="shared" si="397"/>
        <v/>
      </c>
      <c r="CP426" s="14"/>
      <c r="CQ426" s="125" t="str">
        <f t="shared" si="398"/>
        <v/>
      </c>
      <c r="CR426" s="20"/>
      <c r="CS426" s="20"/>
      <c r="CT426" s="125" t="str">
        <f t="shared" si="399"/>
        <v/>
      </c>
      <c r="CU426" s="14"/>
      <c r="CV426" s="125" t="str">
        <f t="shared" si="400"/>
        <v/>
      </c>
      <c r="CW426" s="20"/>
      <c r="CX426" s="20"/>
      <c r="CY426" s="125" t="str">
        <f t="shared" si="401"/>
        <v/>
      </c>
      <c r="CZ426" s="125" t="str">
        <f t="shared" si="402"/>
        <v/>
      </c>
      <c r="DA426" s="125" t="str">
        <f t="shared" si="403"/>
        <v/>
      </c>
      <c r="DB426" s="129" t="str">
        <f t="shared" si="404"/>
        <v/>
      </c>
      <c r="DC426" s="14"/>
      <c r="DD426" s="62"/>
      <c r="DE426" s="105">
        <v>424</v>
      </c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</row>
    <row r="427" spans="1:176" s="1" customFormat="1" ht="13" hidden="1" customHeight="1" outlineLevel="1" x14ac:dyDescent="0.2">
      <c r="A427" s="4"/>
      <c r="B427" s="115" t="str">
        <f>IF(_xlfn.XLOOKUP(A427, AutoFill_names!B:B, AutoFill_names!C:C,"")=0,"",_xlfn.XLOOKUP(A427, AutoFill_names!B:B, AutoFill_names!C:C,""))</f>
        <v/>
      </c>
      <c r="C427" s="115" t="str">
        <f>IF(_xlfn.XLOOKUP(A427, AutoFill_names!B:B, AutoFill_names!D:D,"")=0,"",_xlfn.XLOOKUP(A427, AutoFill_names!B:B, AutoFill_names!D:D,""))</f>
        <v/>
      </c>
      <c r="D427" s="115" t="str">
        <f>IF(_xlfn.XLOOKUP(A427, AutoFill_names!B:B, AutoFill_names!E:E,"")=0,"",_xlfn.XLOOKUP(A427, AutoFill_names!B:B, AutoFill_names!E:E,""))</f>
        <v/>
      </c>
      <c r="E427" s="115" t="str">
        <f>IF(_xlfn.XLOOKUP(A427, AutoFill_names!B:B, AutoFill_names!F:F,"")=0,"",_xlfn.XLOOKUP(A427, AutoFill_names!B:B, AutoFill_names!F:F,""))</f>
        <v/>
      </c>
      <c r="F427" s="92"/>
      <c r="J427" s="115" t="str">
        <f>IF(_xlfn.XLOOKUP(A427, AutoFill_names!B:B, AutoFill_names!K:K,"")=0,"",_xlfn.XLOOKUP(A427, AutoFill_names!B:B, AutoFill_names!K:K,""))</f>
        <v/>
      </c>
      <c r="K427" s="115" t="str">
        <f>IF(_xlfn.XLOOKUP(A427, AutoFill_names!B:B, AutoFill_names!L:L,"")=0,"",_xlfn.XLOOKUP(A427, AutoFill_names!B:B, AutoFill_names!L:L,""))</f>
        <v/>
      </c>
      <c r="L427" s="31"/>
      <c r="M427" s="31"/>
      <c r="N427" s="117" t="str">
        <f>IF(_xlfn.XLOOKUP(L427, AutoFill_classes!A:A, AutoFill_classes!B:B,"")=0,"",_xlfn.XLOOKUP(L427, AutoFill_classes!A:A, AutoFill_classes!B:B,""))</f>
        <v/>
      </c>
      <c r="O427" s="108"/>
      <c r="P427" s="6"/>
      <c r="Q427" s="6"/>
      <c r="R427" s="6"/>
      <c r="X427" s="63"/>
      <c r="Y427" s="19"/>
      <c r="Z427" s="121" t="str">
        <f t="shared" si="378"/>
        <v/>
      </c>
      <c r="AA427" s="20"/>
      <c r="AB427" s="20"/>
      <c r="AC427" s="20"/>
      <c r="AD427" s="20"/>
      <c r="AE427" s="125" t="str">
        <f t="shared" si="379"/>
        <v/>
      </c>
      <c r="AF427" s="14"/>
      <c r="AG427" s="125" t="str">
        <f t="shared" si="380"/>
        <v/>
      </c>
      <c r="AH427" s="20"/>
      <c r="AI427" s="20"/>
      <c r="AJ427" s="125" t="str">
        <f t="shared" si="381"/>
        <v/>
      </c>
      <c r="AK427" s="14"/>
      <c r="AL427" s="125" t="str">
        <f t="shared" si="382"/>
        <v/>
      </c>
      <c r="AM427" s="20"/>
      <c r="AN427" s="20"/>
      <c r="AO427" s="125" t="str">
        <f t="shared" si="383"/>
        <v/>
      </c>
      <c r="AP427" s="125" t="str">
        <f t="shared" si="384"/>
        <v/>
      </c>
      <c r="AQ427" s="125" t="str">
        <f t="shared" si="385"/>
        <v/>
      </c>
      <c r="AR427" s="129" t="str">
        <f t="shared" si="386"/>
        <v/>
      </c>
      <c r="AS427" s="14"/>
      <c r="AT427" s="33"/>
      <c r="AU427" s="33"/>
      <c r="AV427" s="117" t="str">
        <f>IF(_xlfn.XLOOKUP(AT427, AutoFill_classes!$A:$A, AutoFill_classes!$B:$B,"")=0,"",_xlfn.XLOOKUP(AT427, AutoFill_classes!$A:$A, AutoFill_classes!$B:$B,""))</f>
        <v/>
      </c>
      <c r="AW427" s="108"/>
      <c r="AX427" s="11"/>
      <c r="AY427" s="12"/>
      <c r="AZ427" s="11"/>
      <c r="BA427" s="13"/>
      <c r="BB427" s="13"/>
      <c r="BC427" s="63"/>
      <c r="BD427" s="19"/>
      <c r="BE427" s="121" t="str">
        <f t="shared" si="387"/>
        <v/>
      </c>
      <c r="BF427" s="20"/>
      <c r="BG427" s="20"/>
      <c r="BH427" s="20"/>
      <c r="BI427" s="20"/>
      <c r="BJ427" s="125" t="str">
        <f t="shared" si="388"/>
        <v/>
      </c>
      <c r="BK427" s="14"/>
      <c r="BL427" s="125" t="str">
        <f t="shared" si="389"/>
        <v/>
      </c>
      <c r="BM427" s="20"/>
      <c r="BN427" s="20"/>
      <c r="BO427" s="125" t="str">
        <f t="shared" si="390"/>
        <v/>
      </c>
      <c r="BP427" s="14"/>
      <c r="BQ427" s="125" t="str">
        <f t="shared" si="391"/>
        <v/>
      </c>
      <c r="BR427" s="20"/>
      <c r="BS427" s="20"/>
      <c r="BT427" s="125" t="str">
        <f t="shared" si="392"/>
        <v/>
      </c>
      <c r="BU427" s="125" t="str">
        <f t="shared" si="393"/>
        <v/>
      </c>
      <c r="BV427" s="125" t="str">
        <f t="shared" si="394"/>
        <v/>
      </c>
      <c r="BW427" s="129" t="str">
        <f t="shared" si="395"/>
        <v/>
      </c>
      <c r="BX427" s="11"/>
      <c r="BY427" s="15"/>
      <c r="BZ427" s="14"/>
      <c r="CA427" s="117" t="str">
        <f>IF(_xlfn.XLOOKUP(BY427, AutoFill_classes!$A:$A, AutoFill_classes!$B:$B,"")=0,"",_xlfn.XLOOKUP(BY427, AutoFill_classes!$A:$A, AutoFill_classes!$B:$B,""))</f>
        <v/>
      </c>
      <c r="CB427" s="108"/>
      <c r="CC427" s="14"/>
      <c r="CD427" s="14"/>
      <c r="CE427" s="14"/>
      <c r="CF427" s="21"/>
      <c r="CG427" s="22"/>
      <c r="CH427" s="63"/>
      <c r="CI427" s="23"/>
      <c r="CJ427" s="121" t="str">
        <f t="shared" si="396"/>
        <v/>
      </c>
      <c r="CK427" s="20"/>
      <c r="CL427" s="20"/>
      <c r="CM427" s="20"/>
      <c r="CN427" s="20"/>
      <c r="CO427" s="125" t="str">
        <f t="shared" si="397"/>
        <v/>
      </c>
      <c r="CP427" s="14"/>
      <c r="CQ427" s="125" t="str">
        <f t="shared" si="398"/>
        <v/>
      </c>
      <c r="CR427" s="20"/>
      <c r="CS427" s="20"/>
      <c r="CT427" s="125" t="str">
        <f t="shared" si="399"/>
        <v/>
      </c>
      <c r="CU427" s="14"/>
      <c r="CV427" s="125" t="str">
        <f t="shared" si="400"/>
        <v/>
      </c>
      <c r="CW427" s="20"/>
      <c r="CX427" s="20"/>
      <c r="CY427" s="125" t="str">
        <f t="shared" si="401"/>
        <v/>
      </c>
      <c r="CZ427" s="125" t="str">
        <f t="shared" si="402"/>
        <v/>
      </c>
      <c r="DA427" s="125" t="str">
        <f t="shared" si="403"/>
        <v/>
      </c>
      <c r="DB427" s="129" t="str">
        <f t="shared" si="404"/>
        <v/>
      </c>
      <c r="DC427" s="14"/>
      <c r="DD427" s="62"/>
      <c r="DE427" s="105">
        <v>425</v>
      </c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</row>
    <row r="428" spans="1:176" s="1" customFormat="1" ht="13" hidden="1" customHeight="1" outlineLevel="1" x14ac:dyDescent="0.2">
      <c r="A428" s="4"/>
      <c r="B428" s="115" t="str">
        <f>IF(_xlfn.XLOOKUP(A428, AutoFill_names!B:B, AutoFill_names!C:C,"")=0,"",_xlfn.XLOOKUP(A428, AutoFill_names!B:B, AutoFill_names!C:C,""))</f>
        <v/>
      </c>
      <c r="C428" s="115" t="str">
        <f>IF(_xlfn.XLOOKUP(A428, AutoFill_names!B:B, AutoFill_names!D:D,"")=0,"",_xlfn.XLOOKUP(A428, AutoFill_names!B:B, AutoFill_names!D:D,""))</f>
        <v/>
      </c>
      <c r="D428" s="115" t="str">
        <f>IF(_xlfn.XLOOKUP(A428, AutoFill_names!B:B, AutoFill_names!E:E,"")=0,"",_xlfn.XLOOKUP(A428, AutoFill_names!B:B, AutoFill_names!E:E,""))</f>
        <v/>
      </c>
      <c r="E428" s="115" t="str">
        <f>IF(_xlfn.XLOOKUP(A428, AutoFill_names!B:B, AutoFill_names!F:F,"")=0,"",_xlfn.XLOOKUP(A428, AutoFill_names!B:B, AutoFill_names!F:F,""))</f>
        <v/>
      </c>
      <c r="F428" s="92"/>
      <c r="J428" s="115" t="str">
        <f>IF(_xlfn.XLOOKUP(A428, AutoFill_names!B:B, AutoFill_names!K:K,"")=0,"",_xlfn.XLOOKUP(A428, AutoFill_names!B:B, AutoFill_names!K:K,""))</f>
        <v/>
      </c>
      <c r="K428" s="115" t="str">
        <f>IF(_xlfn.XLOOKUP(A428, AutoFill_names!B:B, AutoFill_names!L:L,"")=0,"",_xlfn.XLOOKUP(A428, AutoFill_names!B:B, AutoFill_names!L:L,""))</f>
        <v/>
      </c>
      <c r="L428" s="31"/>
      <c r="M428" s="31"/>
      <c r="N428" s="117" t="str">
        <f>IF(_xlfn.XLOOKUP(L428, AutoFill_classes!A:A, AutoFill_classes!B:B,"")=0,"",_xlfn.XLOOKUP(L428, AutoFill_classes!A:A, AutoFill_classes!B:B,""))</f>
        <v/>
      </c>
      <c r="O428" s="108"/>
      <c r="P428" s="6"/>
      <c r="Q428" s="6"/>
      <c r="R428" s="6"/>
      <c r="X428" s="63"/>
      <c r="Y428" s="19"/>
      <c r="Z428" s="121" t="str">
        <f t="shared" si="378"/>
        <v/>
      </c>
      <c r="AA428" s="20"/>
      <c r="AB428" s="20"/>
      <c r="AC428" s="20"/>
      <c r="AD428" s="20"/>
      <c r="AE428" s="125" t="str">
        <f t="shared" si="379"/>
        <v/>
      </c>
      <c r="AF428" s="14"/>
      <c r="AG428" s="125" t="str">
        <f t="shared" si="380"/>
        <v/>
      </c>
      <c r="AH428" s="20"/>
      <c r="AI428" s="20"/>
      <c r="AJ428" s="125" t="str">
        <f t="shared" si="381"/>
        <v/>
      </c>
      <c r="AK428" s="14"/>
      <c r="AL428" s="125" t="str">
        <f t="shared" si="382"/>
        <v/>
      </c>
      <c r="AM428" s="20"/>
      <c r="AN428" s="20"/>
      <c r="AO428" s="125" t="str">
        <f t="shared" si="383"/>
        <v/>
      </c>
      <c r="AP428" s="125" t="str">
        <f t="shared" si="384"/>
        <v/>
      </c>
      <c r="AQ428" s="125" t="str">
        <f t="shared" si="385"/>
        <v/>
      </c>
      <c r="AR428" s="129" t="str">
        <f t="shared" si="386"/>
        <v/>
      </c>
      <c r="AS428" s="14"/>
      <c r="AT428" s="33"/>
      <c r="AU428" s="33"/>
      <c r="AV428" s="117" t="str">
        <f>IF(_xlfn.XLOOKUP(AT428, AutoFill_classes!$A:$A, AutoFill_classes!$B:$B,"")=0,"",_xlfn.XLOOKUP(AT428, AutoFill_classes!$A:$A, AutoFill_classes!$B:$B,""))</f>
        <v/>
      </c>
      <c r="AW428" s="108"/>
      <c r="AX428" s="11"/>
      <c r="AY428" s="12"/>
      <c r="AZ428" s="11"/>
      <c r="BA428" s="13"/>
      <c r="BB428" s="13"/>
      <c r="BC428" s="63"/>
      <c r="BD428" s="19"/>
      <c r="BE428" s="121" t="str">
        <f t="shared" si="387"/>
        <v/>
      </c>
      <c r="BF428" s="20"/>
      <c r="BG428" s="20"/>
      <c r="BH428" s="20"/>
      <c r="BI428" s="20"/>
      <c r="BJ428" s="125" t="str">
        <f t="shared" si="388"/>
        <v/>
      </c>
      <c r="BK428" s="14"/>
      <c r="BL428" s="125" t="str">
        <f t="shared" si="389"/>
        <v/>
      </c>
      <c r="BM428" s="20"/>
      <c r="BN428" s="20"/>
      <c r="BO428" s="125" t="str">
        <f t="shared" si="390"/>
        <v/>
      </c>
      <c r="BP428" s="14"/>
      <c r="BQ428" s="125" t="str">
        <f t="shared" si="391"/>
        <v/>
      </c>
      <c r="BR428" s="20"/>
      <c r="BS428" s="20"/>
      <c r="BT428" s="125" t="str">
        <f t="shared" si="392"/>
        <v/>
      </c>
      <c r="BU428" s="125" t="str">
        <f t="shared" si="393"/>
        <v/>
      </c>
      <c r="BV428" s="125" t="str">
        <f t="shared" si="394"/>
        <v/>
      </c>
      <c r="BW428" s="129" t="str">
        <f t="shared" si="395"/>
        <v/>
      </c>
      <c r="BX428" s="11"/>
      <c r="BY428" s="15"/>
      <c r="BZ428" s="14"/>
      <c r="CA428" s="117" t="str">
        <f>IF(_xlfn.XLOOKUP(BY428, AutoFill_classes!$A:$A, AutoFill_classes!$B:$B,"")=0,"",_xlfn.XLOOKUP(BY428, AutoFill_classes!$A:$A, AutoFill_classes!$B:$B,""))</f>
        <v/>
      </c>
      <c r="CB428" s="108"/>
      <c r="CC428" s="14"/>
      <c r="CD428" s="14"/>
      <c r="CE428" s="14"/>
      <c r="CF428" s="21"/>
      <c r="CG428" s="22"/>
      <c r="CH428" s="63"/>
      <c r="CI428" s="23"/>
      <c r="CJ428" s="121" t="str">
        <f t="shared" si="396"/>
        <v/>
      </c>
      <c r="CK428" s="20"/>
      <c r="CL428" s="20"/>
      <c r="CM428" s="20"/>
      <c r="CN428" s="20"/>
      <c r="CO428" s="125" t="str">
        <f t="shared" si="397"/>
        <v/>
      </c>
      <c r="CP428" s="14"/>
      <c r="CQ428" s="125" t="str">
        <f t="shared" si="398"/>
        <v/>
      </c>
      <c r="CR428" s="20"/>
      <c r="CS428" s="20"/>
      <c r="CT428" s="125" t="str">
        <f t="shared" si="399"/>
        <v/>
      </c>
      <c r="CU428" s="14"/>
      <c r="CV428" s="125" t="str">
        <f t="shared" si="400"/>
        <v/>
      </c>
      <c r="CW428" s="20"/>
      <c r="CX428" s="20"/>
      <c r="CY428" s="125" t="str">
        <f t="shared" si="401"/>
        <v/>
      </c>
      <c r="CZ428" s="125" t="str">
        <f t="shared" si="402"/>
        <v/>
      </c>
      <c r="DA428" s="125" t="str">
        <f t="shared" si="403"/>
        <v/>
      </c>
      <c r="DB428" s="129" t="str">
        <f t="shared" si="404"/>
        <v/>
      </c>
      <c r="DC428" s="14"/>
      <c r="DD428" s="62"/>
      <c r="DE428" s="105">
        <v>426</v>
      </c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</row>
    <row r="429" spans="1:176" s="1" customFormat="1" ht="13" hidden="1" customHeight="1" outlineLevel="1" x14ac:dyDescent="0.2">
      <c r="A429" s="4"/>
      <c r="B429" s="115" t="str">
        <f>IF(_xlfn.XLOOKUP(A429, AutoFill_names!B:B, AutoFill_names!C:C,"")=0,"",_xlfn.XLOOKUP(A429, AutoFill_names!B:B, AutoFill_names!C:C,""))</f>
        <v/>
      </c>
      <c r="C429" s="115" t="str">
        <f>IF(_xlfn.XLOOKUP(A429, AutoFill_names!B:B, AutoFill_names!D:D,"")=0,"",_xlfn.XLOOKUP(A429, AutoFill_names!B:B, AutoFill_names!D:D,""))</f>
        <v/>
      </c>
      <c r="D429" s="115" t="str">
        <f>IF(_xlfn.XLOOKUP(A429, AutoFill_names!B:B, AutoFill_names!E:E,"")=0,"",_xlfn.XLOOKUP(A429, AutoFill_names!B:B, AutoFill_names!E:E,""))</f>
        <v/>
      </c>
      <c r="E429" s="115" t="str">
        <f>IF(_xlfn.XLOOKUP(A429, AutoFill_names!B:B, AutoFill_names!F:F,"")=0,"",_xlfn.XLOOKUP(A429, AutoFill_names!B:B, AutoFill_names!F:F,""))</f>
        <v/>
      </c>
      <c r="F429" s="92"/>
      <c r="J429" s="115" t="str">
        <f>IF(_xlfn.XLOOKUP(A429, AutoFill_names!B:B, AutoFill_names!K:K,"")=0,"",_xlfn.XLOOKUP(A429, AutoFill_names!B:B, AutoFill_names!K:K,""))</f>
        <v/>
      </c>
      <c r="K429" s="115" t="str">
        <f>IF(_xlfn.XLOOKUP(A429, AutoFill_names!B:B, AutoFill_names!L:L,"")=0,"",_xlfn.XLOOKUP(A429, AutoFill_names!B:B, AutoFill_names!L:L,""))</f>
        <v/>
      </c>
      <c r="L429" s="31"/>
      <c r="M429" s="31"/>
      <c r="N429" s="117" t="str">
        <f>IF(_xlfn.XLOOKUP(L429, AutoFill_classes!A:A, AutoFill_classes!B:B,"")=0,"",_xlfn.XLOOKUP(L429, AutoFill_classes!A:A, AutoFill_classes!B:B,""))</f>
        <v/>
      </c>
      <c r="O429" s="108"/>
      <c r="P429" s="6"/>
      <c r="Q429" s="6"/>
      <c r="R429" s="6"/>
      <c r="X429" s="63"/>
      <c r="Y429" s="19"/>
      <c r="Z429" s="121" t="str">
        <f t="shared" si="378"/>
        <v/>
      </c>
      <c r="AA429" s="20"/>
      <c r="AB429" s="20"/>
      <c r="AC429" s="20"/>
      <c r="AD429" s="20"/>
      <c r="AE429" s="125" t="str">
        <f t="shared" si="379"/>
        <v/>
      </c>
      <c r="AF429" s="14"/>
      <c r="AG429" s="125" t="str">
        <f t="shared" si="380"/>
        <v/>
      </c>
      <c r="AH429" s="20"/>
      <c r="AI429" s="20"/>
      <c r="AJ429" s="125" t="str">
        <f t="shared" si="381"/>
        <v/>
      </c>
      <c r="AK429" s="14"/>
      <c r="AL429" s="125" t="str">
        <f t="shared" si="382"/>
        <v/>
      </c>
      <c r="AM429" s="20"/>
      <c r="AN429" s="20"/>
      <c r="AO429" s="125" t="str">
        <f t="shared" si="383"/>
        <v/>
      </c>
      <c r="AP429" s="125" t="str">
        <f t="shared" si="384"/>
        <v/>
      </c>
      <c r="AQ429" s="125" t="str">
        <f t="shared" si="385"/>
        <v/>
      </c>
      <c r="AR429" s="129" t="str">
        <f t="shared" si="386"/>
        <v/>
      </c>
      <c r="AS429" s="14"/>
      <c r="AT429" s="33"/>
      <c r="AU429" s="33"/>
      <c r="AV429" s="117" t="str">
        <f>IF(_xlfn.XLOOKUP(AT429, AutoFill_classes!$A:$A, AutoFill_classes!$B:$B,"")=0,"",_xlfn.XLOOKUP(AT429, AutoFill_classes!$A:$A, AutoFill_classes!$B:$B,""))</f>
        <v/>
      </c>
      <c r="AW429" s="108"/>
      <c r="AX429" s="11"/>
      <c r="AY429" s="12"/>
      <c r="AZ429" s="11"/>
      <c r="BA429" s="13"/>
      <c r="BB429" s="13"/>
      <c r="BC429" s="63"/>
      <c r="BD429" s="19"/>
      <c r="BE429" s="121" t="str">
        <f t="shared" si="387"/>
        <v/>
      </c>
      <c r="BF429" s="20"/>
      <c r="BG429" s="20"/>
      <c r="BH429" s="20"/>
      <c r="BI429" s="20"/>
      <c r="BJ429" s="125" t="str">
        <f t="shared" si="388"/>
        <v/>
      </c>
      <c r="BK429" s="14"/>
      <c r="BL429" s="125" t="str">
        <f t="shared" si="389"/>
        <v/>
      </c>
      <c r="BM429" s="20"/>
      <c r="BN429" s="20"/>
      <c r="BO429" s="125" t="str">
        <f t="shared" si="390"/>
        <v/>
      </c>
      <c r="BP429" s="14"/>
      <c r="BQ429" s="125" t="str">
        <f t="shared" si="391"/>
        <v/>
      </c>
      <c r="BR429" s="20"/>
      <c r="BS429" s="20"/>
      <c r="BT429" s="125" t="str">
        <f t="shared" si="392"/>
        <v/>
      </c>
      <c r="BU429" s="125" t="str">
        <f t="shared" si="393"/>
        <v/>
      </c>
      <c r="BV429" s="125" t="str">
        <f t="shared" si="394"/>
        <v/>
      </c>
      <c r="BW429" s="129" t="str">
        <f t="shared" si="395"/>
        <v/>
      </c>
      <c r="BX429" s="11"/>
      <c r="BY429" s="15"/>
      <c r="BZ429" s="14"/>
      <c r="CA429" s="117" t="str">
        <f>IF(_xlfn.XLOOKUP(BY429, AutoFill_classes!$A:$A, AutoFill_classes!$B:$B,"")=0,"",_xlfn.XLOOKUP(BY429, AutoFill_classes!$A:$A, AutoFill_classes!$B:$B,""))</f>
        <v/>
      </c>
      <c r="CB429" s="108"/>
      <c r="CC429" s="14"/>
      <c r="CD429" s="14"/>
      <c r="CE429" s="14"/>
      <c r="CF429" s="21"/>
      <c r="CG429" s="22"/>
      <c r="CH429" s="63"/>
      <c r="CI429" s="23"/>
      <c r="CJ429" s="121" t="str">
        <f t="shared" si="396"/>
        <v/>
      </c>
      <c r="CK429" s="20"/>
      <c r="CL429" s="20"/>
      <c r="CM429" s="20"/>
      <c r="CN429" s="20"/>
      <c r="CO429" s="125" t="str">
        <f t="shared" si="397"/>
        <v/>
      </c>
      <c r="CP429" s="14"/>
      <c r="CQ429" s="125" t="str">
        <f t="shared" si="398"/>
        <v/>
      </c>
      <c r="CR429" s="20"/>
      <c r="CS429" s="20"/>
      <c r="CT429" s="125" t="str">
        <f t="shared" si="399"/>
        <v/>
      </c>
      <c r="CU429" s="14"/>
      <c r="CV429" s="125" t="str">
        <f t="shared" si="400"/>
        <v/>
      </c>
      <c r="CW429" s="20"/>
      <c r="CX429" s="20"/>
      <c r="CY429" s="125" t="str">
        <f t="shared" si="401"/>
        <v/>
      </c>
      <c r="CZ429" s="125" t="str">
        <f t="shared" si="402"/>
        <v/>
      </c>
      <c r="DA429" s="125" t="str">
        <f t="shared" si="403"/>
        <v/>
      </c>
      <c r="DB429" s="129" t="str">
        <f t="shared" si="404"/>
        <v/>
      </c>
      <c r="DC429" s="14"/>
      <c r="DD429" s="62"/>
      <c r="DE429" s="105">
        <v>427</v>
      </c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</row>
    <row r="430" spans="1:176" s="1" customFormat="1" ht="13" hidden="1" customHeight="1" outlineLevel="1" x14ac:dyDescent="0.2">
      <c r="A430" s="4"/>
      <c r="B430" s="115" t="str">
        <f>IF(_xlfn.XLOOKUP(A430, AutoFill_names!B:B, AutoFill_names!C:C,"")=0,"",_xlfn.XLOOKUP(A430, AutoFill_names!B:B, AutoFill_names!C:C,""))</f>
        <v/>
      </c>
      <c r="C430" s="115" t="str">
        <f>IF(_xlfn.XLOOKUP(A430, AutoFill_names!B:B, AutoFill_names!D:D,"")=0,"",_xlfn.XLOOKUP(A430, AutoFill_names!B:B, AutoFill_names!D:D,""))</f>
        <v/>
      </c>
      <c r="D430" s="115" t="str">
        <f>IF(_xlfn.XLOOKUP(A430, AutoFill_names!B:B, AutoFill_names!E:E,"")=0,"",_xlfn.XLOOKUP(A430, AutoFill_names!B:B, AutoFill_names!E:E,""))</f>
        <v/>
      </c>
      <c r="E430" s="115" t="str">
        <f>IF(_xlfn.XLOOKUP(A430, AutoFill_names!B:B, AutoFill_names!F:F,"")=0,"",_xlfn.XLOOKUP(A430, AutoFill_names!B:B, AutoFill_names!F:F,""))</f>
        <v/>
      </c>
      <c r="F430" s="92"/>
      <c r="J430" s="115" t="str">
        <f>IF(_xlfn.XLOOKUP(A430, AutoFill_names!B:B, AutoFill_names!K:K,"")=0,"",_xlfn.XLOOKUP(A430, AutoFill_names!B:B, AutoFill_names!K:K,""))</f>
        <v/>
      </c>
      <c r="K430" s="115" t="str">
        <f>IF(_xlfn.XLOOKUP(A430, AutoFill_names!B:B, AutoFill_names!L:L,"")=0,"",_xlfn.XLOOKUP(A430, AutoFill_names!B:B, AutoFill_names!L:L,""))</f>
        <v/>
      </c>
      <c r="L430" s="31"/>
      <c r="M430" s="31"/>
      <c r="N430" s="117" t="str">
        <f>IF(_xlfn.XLOOKUP(L430, AutoFill_classes!A:A, AutoFill_classes!B:B,"")=0,"",_xlfn.XLOOKUP(L430, AutoFill_classes!A:A, AutoFill_classes!B:B,""))</f>
        <v/>
      </c>
      <c r="O430" s="108"/>
      <c r="P430" s="6"/>
      <c r="Q430" s="6"/>
      <c r="R430" s="6"/>
      <c r="X430" s="63"/>
      <c r="Y430" s="19"/>
      <c r="Z430" s="121" t="str">
        <f t="shared" si="378"/>
        <v/>
      </c>
      <c r="AA430" s="20"/>
      <c r="AB430" s="20"/>
      <c r="AC430" s="20"/>
      <c r="AD430" s="20"/>
      <c r="AE430" s="125" t="str">
        <f t="shared" si="379"/>
        <v/>
      </c>
      <c r="AF430" s="14"/>
      <c r="AG430" s="125" t="str">
        <f t="shared" si="380"/>
        <v/>
      </c>
      <c r="AH430" s="20"/>
      <c r="AI430" s="20"/>
      <c r="AJ430" s="125" t="str">
        <f t="shared" si="381"/>
        <v/>
      </c>
      <c r="AK430" s="14"/>
      <c r="AL430" s="125" t="str">
        <f t="shared" si="382"/>
        <v/>
      </c>
      <c r="AM430" s="20"/>
      <c r="AN430" s="20"/>
      <c r="AO430" s="125" t="str">
        <f t="shared" si="383"/>
        <v/>
      </c>
      <c r="AP430" s="125" t="str">
        <f t="shared" si="384"/>
        <v/>
      </c>
      <c r="AQ430" s="125" t="str">
        <f t="shared" si="385"/>
        <v/>
      </c>
      <c r="AR430" s="129" t="str">
        <f t="shared" si="386"/>
        <v/>
      </c>
      <c r="AS430" s="14"/>
      <c r="AT430" s="33"/>
      <c r="AU430" s="33"/>
      <c r="AV430" s="117" t="str">
        <f>IF(_xlfn.XLOOKUP(AT430, AutoFill_classes!$A:$A, AutoFill_classes!$B:$B,"")=0,"",_xlfn.XLOOKUP(AT430, AutoFill_classes!$A:$A, AutoFill_classes!$B:$B,""))</f>
        <v/>
      </c>
      <c r="AW430" s="108"/>
      <c r="AX430" s="11"/>
      <c r="AY430" s="12"/>
      <c r="AZ430" s="11"/>
      <c r="BA430" s="13"/>
      <c r="BB430" s="13"/>
      <c r="BC430" s="63"/>
      <c r="BD430" s="19"/>
      <c r="BE430" s="121" t="str">
        <f t="shared" si="387"/>
        <v/>
      </c>
      <c r="BF430" s="20"/>
      <c r="BG430" s="20"/>
      <c r="BH430" s="20"/>
      <c r="BI430" s="20"/>
      <c r="BJ430" s="125" t="str">
        <f t="shared" si="388"/>
        <v/>
      </c>
      <c r="BK430" s="14"/>
      <c r="BL430" s="125" t="str">
        <f t="shared" si="389"/>
        <v/>
      </c>
      <c r="BM430" s="20"/>
      <c r="BN430" s="20"/>
      <c r="BO430" s="125" t="str">
        <f t="shared" si="390"/>
        <v/>
      </c>
      <c r="BP430" s="14"/>
      <c r="BQ430" s="125" t="str">
        <f t="shared" si="391"/>
        <v/>
      </c>
      <c r="BR430" s="20"/>
      <c r="BS430" s="20"/>
      <c r="BT430" s="125" t="str">
        <f t="shared" si="392"/>
        <v/>
      </c>
      <c r="BU430" s="125" t="str">
        <f t="shared" si="393"/>
        <v/>
      </c>
      <c r="BV430" s="125" t="str">
        <f t="shared" si="394"/>
        <v/>
      </c>
      <c r="BW430" s="129" t="str">
        <f t="shared" si="395"/>
        <v/>
      </c>
      <c r="BX430" s="11"/>
      <c r="BY430" s="15"/>
      <c r="BZ430" s="14"/>
      <c r="CA430" s="117" t="str">
        <f>IF(_xlfn.XLOOKUP(BY430, AutoFill_classes!$A:$A, AutoFill_classes!$B:$B,"")=0,"",_xlfn.XLOOKUP(BY430, AutoFill_classes!$A:$A, AutoFill_classes!$B:$B,""))</f>
        <v/>
      </c>
      <c r="CB430" s="108"/>
      <c r="CC430" s="14"/>
      <c r="CD430" s="14"/>
      <c r="CE430" s="14"/>
      <c r="CF430" s="21"/>
      <c r="CG430" s="22"/>
      <c r="CH430" s="63"/>
      <c r="CI430" s="23"/>
      <c r="CJ430" s="121" t="str">
        <f t="shared" si="396"/>
        <v/>
      </c>
      <c r="CK430" s="20"/>
      <c r="CL430" s="20"/>
      <c r="CM430" s="20"/>
      <c r="CN430" s="20"/>
      <c r="CO430" s="125" t="str">
        <f t="shared" si="397"/>
        <v/>
      </c>
      <c r="CP430" s="14"/>
      <c r="CQ430" s="125" t="str">
        <f t="shared" si="398"/>
        <v/>
      </c>
      <c r="CR430" s="20"/>
      <c r="CS430" s="20"/>
      <c r="CT430" s="125" t="str">
        <f t="shared" si="399"/>
        <v/>
      </c>
      <c r="CU430" s="14"/>
      <c r="CV430" s="125" t="str">
        <f t="shared" si="400"/>
        <v/>
      </c>
      <c r="CW430" s="20"/>
      <c r="CX430" s="20"/>
      <c r="CY430" s="125" t="str">
        <f t="shared" si="401"/>
        <v/>
      </c>
      <c r="CZ430" s="125" t="str">
        <f t="shared" si="402"/>
        <v/>
      </c>
      <c r="DA430" s="125" t="str">
        <f t="shared" si="403"/>
        <v/>
      </c>
      <c r="DB430" s="129" t="str">
        <f t="shared" si="404"/>
        <v/>
      </c>
      <c r="DC430" s="14"/>
      <c r="DD430" s="62"/>
      <c r="DE430" s="105">
        <v>428</v>
      </c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</row>
    <row r="431" spans="1:176" s="1" customFormat="1" ht="13" hidden="1" customHeight="1" outlineLevel="1" x14ac:dyDescent="0.2">
      <c r="A431" s="4"/>
      <c r="B431" s="115" t="str">
        <f>IF(_xlfn.XLOOKUP(A431, AutoFill_names!B:B, AutoFill_names!C:C,"")=0,"",_xlfn.XLOOKUP(A431, AutoFill_names!B:B, AutoFill_names!C:C,""))</f>
        <v/>
      </c>
      <c r="C431" s="115" t="str">
        <f>IF(_xlfn.XLOOKUP(A431, AutoFill_names!B:B, AutoFill_names!D:D,"")=0,"",_xlfn.XLOOKUP(A431, AutoFill_names!B:B, AutoFill_names!D:D,""))</f>
        <v/>
      </c>
      <c r="D431" s="115" t="str">
        <f>IF(_xlfn.XLOOKUP(A431, AutoFill_names!B:B, AutoFill_names!E:E,"")=0,"",_xlfn.XLOOKUP(A431, AutoFill_names!B:B, AutoFill_names!E:E,""))</f>
        <v/>
      </c>
      <c r="E431" s="115" t="str">
        <f>IF(_xlfn.XLOOKUP(A431, AutoFill_names!B:B, AutoFill_names!F:F,"")=0,"",_xlfn.XLOOKUP(A431, AutoFill_names!B:B, AutoFill_names!F:F,""))</f>
        <v/>
      </c>
      <c r="F431" s="92"/>
      <c r="J431" s="115" t="str">
        <f>IF(_xlfn.XLOOKUP(A431, AutoFill_names!B:B, AutoFill_names!K:K,"")=0,"",_xlfn.XLOOKUP(A431, AutoFill_names!B:B, AutoFill_names!K:K,""))</f>
        <v/>
      </c>
      <c r="K431" s="115" t="str">
        <f>IF(_xlfn.XLOOKUP(A431, AutoFill_names!B:B, AutoFill_names!L:L,"")=0,"",_xlfn.XLOOKUP(A431, AutoFill_names!B:B, AutoFill_names!L:L,""))</f>
        <v/>
      </c>
      <c r="L431" s="31"/>
      <c r="M431" s="31"/>
      <c r="N431" s="117" t="str">
        <f>IF(_xlfn.XLOOKUP(L431, AutoFill_classes!A:A, AutoFill_classes!B:B,"")=0,"",_xlfn.XLOOKUP(L431, AutoFill_classes!A:A, AutoFill_classes!B:B,""))</f>
        <v/>
      </c>
      <c r="O431" s="108"/>
      <c r="P431" s="6"/>
      <c r="Q431" s="6"/>
      <c r="R431" s="6"/>
      <c r="X431" s="63"/>
      <c r="Y431" s="19"/>
      <c r="Z431" s="121" t="str">
        <f t="shared" si="378"/>
        <v/>
      </c>
      <c r="AA431" s="20"/>
      <c r="AB431" s="20"/>
      <c r="AC431" s="20"/>
      <c r="AD431" s="20"/>
      <c r="AE431" s="125" t="str">
        <f t="shared" si="379"/>
        <v/>
      </c>
      <c r="AF431" s="14"/>
      <c r="AG431" s="125" t="str">
        <f t="shared" si="380"/>
        <v/>
      </c>
      <c r="AH431" s="20"/>
      <c r="AI431" s="20"/>
      <c r="AJ431" s="125" t="str">
        <f t="shared" si="381"/>
        <v/>
      </c>
      <c r="AK431" s="14"/>
      <c r="AL431" s="125" t="str">
        <f t="shared" si="382"/>
        <v/>
      </c>
      <c r="AM431" s="20"/>
      <c r="AN431" s="20"/>
      <c r="AO431" s="125" t="str">
        <f t="shared" si="383"/>
        <v/>
      </c>
      <c r="AP431" s="125" t="str">
        <f t="shared" si="384"/>
        <v/>
      </c>
      <c r="AQ431" s="125" t="str">
        <f t="shared" si="385"/>
        <v/>
      </c>
      <c r="AR431" s="129" t="str">
        <f t="shared" si="386"/>
        <v/>
      </c>
      <c r="AS431" s="14"/>
      <c r="AT431" s="33"/>
      <c r="AU431" s="33"/>
      <c r="AV431" s="117" t="str">
        <f>IF(_xlfn.XLOOKUP(AT431, AutoFill_classes!$A:$A, AutoFill_classes!$B:$B,"")=0,"",_xlfn.XLOOKUP(AT431, AutoFill_classes!$A:$A, AutoFill_classes!$B:$B,""))</f>
        <v/>
      </c>
      <c r="AW431" s="108"/>
      <c r="AX431" s="11"/>
      <c r="AY431" s="12"/>
      <c r="AZ431" s="11"/>
      <c r="BA431" s="13"/>
      <c r="BB431" s="13"/>
      <c r="BC431" s="63"/>
      <c r="BD431" s="19"/>
      <c r="BE431" s="121" t="str">
        <f t="shared" si="387"/>
        <v/>
      </c>
      <c r="BF431" s="20"/>
      <c r="BG431" s="20"/>
      <c r="BH431" s="20"/>
      <c r="BI431" s="20"/>
      <c r="BJ431" s="125" t="str">
        <f t="shared" si="388"/>
        <v/>
      </c>
      <c r="BK431" s="14"/>
      <c r="BL431" s="125" t="str">
        <f t="shared" si="389"/>
        <v/>
      </c>
      <c r="BM431" s="20"/>
      <c r="BN431" s="20"/>
      <c r="BO431" s="125" t="str">
        <f t="shared" si="390"/>
        <v/>
      </c>
      <c r="BP431" s="14"/>
      <c r="BQ431" s="125" t="str">
        <f t="shared" si="391"/>
        <v/>
      </c>
      <c r="BR431" s="20"/>
      <c r="BS431" s="20"/>
      <c r="BT431" s="125" t="str">
        <f t="shared" si="392"/>
        <v/>
      </c>
      <c r="BU431" s="125" t="str">
        <f t="shared" si="393"/>
        <v/>
      </c>
      <c r="BV431" s="125" t="str">
        <f t="shared" si="394"/>
        <v/>
      </c>
      <c r="BW431" s="129" t="str">
        <f t="shared" si="395"/>
        <v/>
      </c>
      <c r="BX431" s="11"/>
      <c r="BY431" s="15"/>
      <c r="BZ431" s="14"/>
      <c r="CA431" s="117" t="str">
        <f>IF(_xlfn.XLOOKUP(BY431, AutoFill_classes!$A:$A, AutoFill_classes!$B:$B,"")=0,"",_xlfn.XLOOKUP(BY431, AutoFill_classes!$A:$A, AutoFill_classes!$B:$B,""))</f>
        <v/>
      </c>
      <c r="CB431" s="108"/>
      <c r="CC431" s="14"/>
      <c r="CD431" s="14"/>
      <c r="CE431" s="14"/>
      <c r="CF431" s="21"/>
      <c r="CG431" s="22"/>
      <c r="CH431" s="63"/>
      <c r="CI431" s="23"/>
      <c r="CJ431" s="121" t="str">
        <f t="shared" si="396"/>
        <v/>
      </c>
      <c r="CK431" s="20"/>
      <c r="CL431" s="20"/>
      <c r="CM431" s="20"/>
      <c r="CN431" s="20"/>
      <c r="CO431" s="125" t="str">
        <f t="shared" si="397"/>
        <v/>
      </c>
      <c r="CP431" s="14"/>
      <c r="CQ431" s="125" t="str">
        <f t="shared" si="398"/>
        <v/>
      </c>
      <c r="CR431" s="20"/>
      <c r="CS431" s="20"/>
      <c r="CT431" s="125" t="str">
        <f t="shared" si="399"/>
        <v/>
      </c>
      <c r="CU431" s="14"/>
      <c r="CV431" s="125" t="str">
        <f t="shared" si="400"/>
        <v/>
      </c>
      <c r="CW431" s="20"/>
      <c r="CX431" s="20"/>
      <c r="CY431" s="125" t="str">
        <f t="shared" si="401"/>
        <v/>
      </c>
      <c r="CZ431" s="125" t="str">
        <f t="shared" si="402"/>
        <v/>
      </c>
      <c r="DA431" s="125" t="str">
        <f t="shared" si="403"/>
        <v/>
      </c>
      <c r="DB431" s="129" t="str">
        <f t="shared" si="404"/>
        <v/>
      </c>
      <c r="DC431" s="14"/>
      <c r="DD431" s="62"/>
      <c r="DE431" s="105">
        <v>429</v>
      </c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</row>
    <row r="432" spans="1:176" s="1" customFormat="1" ht="13" hidden="1" customHeight="1" outlineLevel="1" x14ac:dyDescent="0.2">
      <c r="A432" s="4"/>
      <c r="B432" s="115" t="str">
        <f>IF(_xlfn.XLOOKUP(A432, AutoFill_names!B:B, AutoFill_names!C:C,"")=0,"",_xlfn.XLOOKUP(A432, AutoFill_names!B:B, AutoFill_names!C:C,""))</f>
        <v/>
      </c>
      <c r="C432" s="115" t="str">
        <f>IF(_xlfn.XLOOKUP(A432, AutoFill_names!B:B, AutoFill_names!D:D,"")=0,"",_xlfn.XLOOKUP(A432, AutoFill_names!B:B, AutoFill_names!D:D,""))</f>
        <v/>
      </c>
      <c r="D432" s="115" t="str">
        <f>IF(_xlfn.XLOOKUP(A432, AutoFill_names!B:B, AutoFill_names!E:E,"")=0,"",_xlfn.XLOOKUP(A432, AutoFill_names!B:B, AutoFill_names!E:E,""))</f>
        <v/>
      </c>
      <c r="E432" s="115" t="str">
        <f>IF(_xlfn.XLOOKUP(A432, AutoFill_names!B:B, AutoFill_names!F:F,"")=0,"",_xlfn.XLOOKUP(A432, AutoFill_names!B:B, AutoFill_names!F:F,""))</f>
        <v/>
      </c>
      <c r="F432" s="92"/>
      <c r="J432" s="115" t="str">
        <f>IF(_xlfn.XLOOKUP(A432, AutoFill_names!B:B, AutoFill_names!K:K,"")=0,"",_xlfn.XLOOKUP(A432, AutoFill_names!B:B, AutoFill_names!K:K,""))</f>
        <v/>
      </c>
      <c r="K432" s="115" t="str">
        <f>IF(_xlfn.XLOOKUP(A432, AutoFill_names!B:B, AutoFill_names!L:L,"")=0,"",_xlfn.XLOOKUP(A432, AutoFill_names!B:B, AutoFill_names!L:L,""))</f>
        <v/>
      </c>
      <c r="L432" s="31"/>
      <c r="M432" s="31"/>
      <c r="N432" s="117" t="str">
        <f>IF(_xlfn.XLOOKUP(L432, AutoFill_classes!A:A, AutoFill_classes!B:B,"")=0,"",_xlfn.XLOOKUP(L432, AutoFill_classes!A:A, AutoFill_classes!B:B,""))</f>
        <v/>
      </c>
      <c r="O432" s="108"/>
      <c r="P432" s="6"/>
      <c r="Q432" s="6"/>
      <c r="R432" s="6"/>
      <c r="X432" s="63"/>
      <c r="Y432" s="19"/>
      <c r="Z432" s="121" t="str">
        <f t="shared" si="378"/>
        <v/>
      </c>
      <c r="AA432" s="20"/>
      <c r="AB432" s="20"/>
      <c r="AC432" s="20"/>
      <c r="AD432" s="20"/>
      <c r="AE432" s="125" t="str">
        <f t="shared" si="379"/>
        <v/>
      </c>
      <c r="AF432" s="14"/>
      <c r="AG432" s="125" t="str">
        <f t="shared" si="380"/>
        <v/>
      </c>
      <c r="AH432" s="20"/>
      <c r="AI432" s="20"/>
      <c r="AJ432" s="125" t="str">
        <f t="shared" si="381"/>
        <v/>
      </c>
      <c r="AK432" s="14"/>
      <c r="AL432" s="125" t="str">
        <f t="shared" si="382"/>
        <v/>
      </c>
      <c r="AM432" s="20"/>
      <c r="AN432" s="20"/>
      <c r="AO432" s="125" t="str">
        <f t="shared" si="383"/>
        <v/>
      </c>
      <c r="AP432" s="125" t="str">
        <f t="shared" si="384"/>
        <v/>
      </c>
      <c r="AQ432" s="125" t="str">
        <f t="shared" si="385"/>
        <v/>
      </c>
      <c r="AR432" s="129" t="str">
        <f t="shared" si="386"/>
        <v/>
      </c>
      <c r="AS432" s="14"/>
      <c r="AT432" s="33"/>
      <c r="AU432" s="33"/>
      <c r="AV432" s="117" t="str">
        <f>IF(_xlfn.XLOOKUP(AT432, AutoFill_classes!$A:$A, AutoFill_classes!$B:$B,"")=0,"",_xlfn.XLOOKUP(AT432, AutoFill_classes!$A:$A, AutoFill_classes!$B:$B,""))</f>
        <v/>
      </c>
      <c r="AW432" s="108"/>
      <c r="AX432" s="11"/>
      <c r="AY432" s="12"/>
      <c r="AZ432" s="11"/>
      <c r="BA432" s="13"/>
      <c r="BB432" s="13"/>
      <c r="BC432" s="63"/>
      <c r="BD432" s="19"/>
      <c r="BE432" s="121" t="str">
        <f t="shared" si="387"/>
        <v/>
      </c>
      <c r="BF432" s="20"/>
      <c r="BG432" s="20"/>
      <c r="BH432" s="20"/>
      <c r="BI432" s="20"/>
      <c r="BJ432" s="125" t="str">
        <f t="shared" si="388"/>
        <v/>
      </c>
      <c r="BK432" s="14"/>
      <c r="BL432" s="125" t="str">
        <f t="shared" si="389"/>
        <v/>
      </c>
      <c r="BM432" s="20"/>
      <c r="BN432" s="20"/>
      <c r="BO432" s="125" t="str">
        <f t="shared" si="390"/>
        <v/>
      </c>
      <c r="BP432" s="14"/>
      <c r="BQ432" s="125" t="str">
        <f t="shared" si="391"/>
        <v/>
      </c>
      <c r="BR432" s="20"/>
      <c r="BS432" s="20"/>
      <c r="BT432" s="125" t="str">
        <f t="shared" si="392"/>
        <v/>
      </c>
      <c r="BU432" s="125" t="str">
        <f t="shared" si="393"/>
        <v/>
      </c>
      <c r="BV432" s="125" t="str">
        <f t="shared" si="394"/>
        <v/>
      </c>
      <c r="BW432" s="129" t="str">
        <f t="shared" si="395"/>
        <v/>
      </c>
      <c r="BX432" s="11"/>
      <c r="BY432" s="15"/>
      <c r="BZ432" s="14"/>
      <c r="CA432" s="117" t="str">
        <f>IF(_xlfn.XLOOKUP(BY432, AutoFill_classes!$A:$A, AutoFill_classes!$B:$B,"")=0,"",_xlfn.XLOOKUP(BY432, AutoFill_classes!$A:$A, AutoFill_classes!$B:$B,""))</f>
        <v/>
      </c>
      <c r="CB432" s="108"/>
      <c r="CC432" s="14"/>
      <c r="CD432" s="14"/>
      <c r="CE432" s="14"/>
      <c r="CF432" s="21"/>
      <c r="CG432" s="22"/>
      <c r="CH432" s="63"/>
      <c r="CI432" s="23"/>
      <c r="CJ432" s="121" t="str">
        <f t="shared" si="396"/>
        <v/>
      </c>
      <c r="CK432" s="20"/>
      <c r="CL432" s="20"/>
      <c r="CM432" s="20"/>
      <c r="CN432" s="20"/>
      <c r="CO432" s="125" t="str">
        <f t="shared" si="397"/>
        <v/>
      </c>
      <c r="CP432" s="14"/>
      <c r="CQ432" s="125" t="str">
        <f t="shared" si="398"/>
        <v/>
      </c>
      <c r="CR432" s="20"/>
      <c r="CS432" s="20"/>
      <c r="CT432" s="125" t="str">
        <f t="shared" si="399"/>
        <v/>
      </c>
      <c r="CU432" s="14"/>
      <c r="CV432" s="125" t="str">
        <f t="shared" si="400"/>
        <v/>
      </c>
      <c r="CW432" s="20"/>
      <c r="CX432" s="20"/>
      <c r="CY432" s="125" t="str">
        <f t="shared" si="401"/>
        <v/>
      </c>
      <c r="CZ432" s="125" t="str">
        <f t="shared" si="402"/>
        <v/>
      </c>
      <c r="DA432" s="125" t="str">
        <f t="shared" si="403"/>
        <v/>
      </c>
      <c r="DB432" s="129" t="str">
        <f t="shared" si="404"/>
        <v/>
      </c>
      <c r="DC432" s="14"/>
      <c r="DD432" s="62"/>
      <c r="DE432" s="105">
        <v>430</v>
      </c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</row>
    <row r="433" spans="1:176" s="1" customFormat="1" ht="13" hidden="1" customHeight="1" outlineLevel="1" x14ac:dyDescent="0.2">
      <c r="A433" s="4"/>
      <c r="B433" s="115" t="str">
        <f>IF(_xlfn.XLOOKUP(A433, AutoFill_names!B:B, AutoFill_names!C:C,"")=0,"",_xlfn.XLOOKUP(A433, AutoFill_names!B:B, AutoFill_names!C:C,""))</f>
        <v/>
      </c>
      <c r="C433" s="115" t="str">
        <f>IF(_xlfn.XLOOKUP(A433, AutoFill_names!B:B, AutoFill_names!D:D,"")=0,"",_xlfn.XLOOKUP(A433, AutoFill_names!B:B, AutoFill_names!D:D,""))</f>
        <v/>
      </c>
      <c r="D433" s="115" t="str">
        <f>IF(_xlfn.XLOOKUP(A433, AutoFill_names!B:B, AutoFill_names!E:E,"")=0,"",_xlfn.XLOOKUP(A433, AutoFill_names!B:B, AutoFill_names!E:E,""))</f>
        <v/>
      </c>
      <c r="E433" s="115" t="str">
        <f>IF(_xlfn.XLOOKUP(A433, AutoFill_names!B:B, AutoFill_names!F:F,"")=0,"",_xlfn.XLOOKUP(A433, AutoFill_names!B:B, AutoFill_names!F:F,""))</f>
        <v/>
      </c>
      <c r="F433" s="92"/>
      <c r="J433" s="115" t="str">
        <f>IF(_xlfn.XLOOKUP(A433, AutoFill_names!B:B, AutoFill_names!K:K,"")=0,"",_xlfn.XLOOKUP(A433, AutoFill_names!B:B, AutoFill_names!K:K,""))</f>
        <v/>
      </c>
      <c r="K433" s="115" t="str">
        <f>IF(_xlfn.XLOOKUP(A433, AutoFill_names!B:B, AutoFill_names!L:L,"")=0,"",_xlfn.XLOOKUP(A433, AutoFill_names!B:B, AutoFill_names!L:L,""))</f>
        <v/>
      </c>
      <c r="L433" s="31"/>
      <c r="M433" s="31"/>
      <c r="N433" s="117" t="str">
        <f>IF(_xlfn.XLOOKUP(L433, AutoFill_classes!A:A, AutoFill_classes!B:B,"")=0,"",_xlfn.XLOOKUP(L433, AutoFill_classes!A:A, AutoFill_classes!B:B,""))</f>
        <v/>
      </c>
      <c r="O433" s="108"/>
      <c r="P433" s="6"/>
      <c r="Q433" s="6"/>
      <c r="R433" s="6"/>
      <c r="X433" s="63"/>
      <c r="Y433" s="19"/>
      <c r="Z433" s="121" t="str">
        <f t="shared" si="378"/>
        <v/>
      </c>
      <c r="AA433" s="20"/>
      <c r="AB433" s="20"/>
      <c r="AC433" s="20"/>
      <c r="AD433" s="20"/>
      <c r="AE433" s="125" t="str">
        <f t="shared" si="379"/>
        <v/>
      </c>
      <c r="AF433" s="14"/>
      <c r="AG433" s="125" t="str">
        <f t="shared" si="380"/>
        <v/>
      </c>
      <c r="AH433" s="20"/>
      <c r="AI433" s="20"/>
      <c r="AJ433" s="125" t="str">
        <f t="shared" si="381"/>
        <v/>
      </c>
      <c r="AK433" s="14"/>
      <c r="AL433" s="125" t="str">
        <f t="shared" si="382"/>
        <v/>
      </c>
      <c r="AM433" s="20"/>
      <c r="AN433" s="20"/>
      <c r="AO433" s="125" t="str">
        <f t="shared" si="383"/>
        <v/>
      </c>
      <c r="AP433" s="125" t="str">
        <f t="shared" si="384"/>
        <v/>
      </c>
      <c r="AQ433" s="125" t="str">
        <f t="shared" si="385"/>
        <v/>
      </c>
      <c r="AR433" s="129" t="str">
        <f t="shared" si="386"/>
        <v/>
      </c>
      <c r="AS433" s="14"/>
      <c r="AT433" s="33"/>
      <c r="AU433" s="33"/>
      <c r="AV433" s="117" t="str">
        <f>IF(_xlfn.XLOOKUP(AT433, AutoFill_classes!$A:$A, AutoFill_classes!$B:$B,"")=0,"",_xlfn.XLOOKUP(AT433, AutoFill_classes!$A:$A, AutoFill_classes!$B:$B,""))</f>
        <v/>
      </c>
      <c r="AW433" s="108"/>
      <c r="AX433" s="11"/>
      <c r="AY433" s="12"/>
      <c r="AZ433" s="11"/>
      <c r="BA433" s="13"/>
      <c r="BB433" s="13"/>
      <c r="BC433" s="63"/>
      <c r="BD433" s="19"/>
      <c r="BE433" s="121" t="str">
        <f t="shared" si="387"/>
        <v/>
      </c>
      <c r="BF433" s="20"/>
      <c r="BG433" s="20"/>
      <c r="BH433" s="20"/>
      <c r="BI433" s="20"/>
      <c r="BJ433" s="125" t="str">
        <f t="shared" si="388"/>
        <v/>
      </c>
      <c r="BK433" s="14"/>
      <c r="BL433" s="125" t="str">
        <f t="shared" si="389"/>
        <v/>
      </c>
      <c r="BM433" s="20"/>
      <c r="BN433" s="20"/>
      <c r="BO433" s="125" t="str">
        <f t="shared" si="390"/>
        <v/>
      </c>
      <c r="BP433" s="14"/>
      <c r="BQ433" s="125" t="str">
        <f t="shared" si="391"/>
        <v/>
      </c>
      <c r="BR433" s="20"/>
      <c r="BS433" s="20"/>
      <c r="BT433" s="125" t="str">
        <f t="shared" si="392"/>
        <v/>
      </c>
      <c r="BU433" s="125" t="str">
        <f t="shared" si="393"/>
        <v/>
      </c>
      <c r="BV433" s="125" t="str">
        <f t="shared" si="394"/>
        <v/>
      </c>
      <c r="BW433" s="129" t="str">
        <f t="shared" si="395"/>
        <v/>
      </c>
      <c r="BX433" s="11"/>
      <c r="BY433" s="15"/>
      <c r="BZ433" s="14"/>
      <c r="CA433" s="117" t="str">
        <f>IF(_xlfn.XLOOKUP(BY433, AutoFill_classes!$A:$A, AutoFill_classes!$B:$B,"")=0,"",_xlfn.XLOOKUP(BY433, AutoFill_classes!$A:$A, AutoFill_classes!$B:$B,""))</f>
        <v/>
      </c>
      <c r="CB433" s="108"/>
      <c r="CC433" s="14"/>
      <c r="CD433" s="14"/>
      <c r="CE433" s="14"/>
      <c r="CF433" s="21"/>
      <c r="CG433" s="22"/>
      <c r="CH433" s="63"/>
      <c r="CI433" s="23"/>
      <c r="CJ433" s="121" t="str">
        <f t="shared" si="396"/>
        <v/>
      </c>
      <c r="CK433" s="20"/>
      <c r="CL433" s="20"/>
      <c r="CM433" s="20"/>
      <c r="CN433" s="20"/>
      <c r="CO433" s="125" t="str">
        <f t="shared" si="397"/>
        <v/>
      </c>
      <c r="CP433" s="14"/>
      <c r="CQ433" s="125" t="str">
        <f t="shared" si="398"/>
        <v/>
      </c>
      <c r="CR433" s="20"/>
      <c r="CS433" s="20"/>
      <c r="CT433" s="125" t="str">
        <f t="shared" si="399"/>
        <v/>
      </c>
      <c r="CU433" s="14"/>
      <c r="CV433" s="125" t="str">
        <f t="shared" si="400"/>
        <v/>
      </c>
      <c r="CW433" s="20"/>
      <c r="CX433" s="20"/>
      <c r="CY433" s="125" t="str">
        <f t="shared" si="401"/>
        <v/>
      </c>
      <c r="CZ433" s="125" t="str">
        <f t="shared" si="402"/>
        <v/>
      </c>
      <c r="DA433" s="125" t="str">
        <f t="shared" si="403"/>
        <v/>
      </c>
      <c r="DB433" s="129" t="str">
        <f t="shared" si="404"/>
        <v/>
      </c>
      <c r="DC433" s="14"/>
      <c r="DD433" s="62"/>
      <c r="DE433" s="105">
        <v>431</v>
      </c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</row>
    <row r="434" spans="1:176" s="1" customFormat="1" ht="13" hidden="1" customHeight="1" outlineLevel="1" x14ac:dyDescent="0.2">
      <c r="A434" s="4"/>
      <c r="B434" s="115" t="str">
        <f>IF(_xlfn.XLOOKUP(A434, AutoFill_names!B:B, AutoFill_names!C:C,"")=0,"",_xlfn.XLOOKUP(A434, AutoFill_names!B:B, AutoFill_names!C:C,""))</f>
        <v/>
      </c>
      <c r="C434" s="115" t="str">
        <f>IF(_xlfn.XLOOKUP(A434, AutoFill_names!B:B, AutoFill_names!D:D,"")=0,"",_xlfn.XLOOKUP(A434, AutoFill_names!B:B, AutoFill_names!D:D,""))</f>
        <v/>
      </c>
      <c r="D434" s="115" t="str">
        <f>IF(_xlfn.XLOOKUP(A434, AutoFill_names!B:B, AutoFill_names!E:E,"")=0,"",_xlfn.XLOOKUP(A434, AutoFill_names!B:B, AutoFill_names!E:E,""))</f>
        <v/>
      </c>
      <c r="E434" s="115" t="str">
        <f>IF(_xlfn.XLOOKUP(A434, AutoFill_names!B:B, AutoFill_names!F:F,"")=0,"",_xlfn.XLOOKUP(A434, AutoFill_names!B:B, AutoFill_names!F:F,""))</f>
        <v/>
      </c>
      <c r="F434" s="92"/>
      <c r="J434" s="115" t="str">
        <f>IF(_xlfn.XLOOKUP(A434, AutoFill_names!B:B, AutoFill_names!K:K,"")=0,"",_xlfn.XLOOKUP(A434, AutoFill_names!B:B, AutoFill_names!K:K,""))</f>
        <v/>
      </c>
      <c r="K434" s="115" t="str">
        <f>IF(_xlfn.XLOOKUP(A434, AutoFill_names!B:B, AutoFill_names!L:L,"")=0,"",_xlfn.XLOOKUP(A434, AutoFill_names!B:B, AutoFill_names!L:L,""))</f>
        <v/>
      </c>
      <c r="L434" s="31"/>
      <c r="M434" s="31"/>
      <c r="N434" s="117" t="str">
        <f>IF(_xlfn.XLOOKUP(L434, AutoFill_classes!A:A, AutoFill_classes!B:B,"")=0,"",_xlfn.XLOOKUP(L434, AutoFill_classes!A:A, AutoFill_classes!B:B,""))</f>
        <v/>
      </c>
      <c r="O434" s="108"/>
      <c r="P434" s="6"/>
      <c r="Q434" s="6"/>
      <c r="R434" s="6"/>
      <c r="X434" s="63"/>
      <c r="Y434" s="19"/>
      <c r="Z434" s="121" t="str">
        <f t="shared" si="378"/>
        <v/>
      </c>
      <c r="AA434" s="20"/>
      <c r="AB434" s="20"/>
      <c r="AC434" s="20"/>
      <c r="AD434" s="20"/>
      <c r="AE434" s="125" t="str">
        <f t="shared" si="379"/>
        <v/>
      </c>
      <c r="AF434" s="14"/>
      <c r="AG434" s="125" t="str">
        <f t="shared" si="380"/>
        <v/>
      </c>
      <c r="AH434" s="20"/>
      <c r="AI434" s="20"/>
      <c r="AJ434" s="125" t="str">
        <f t="shared" si="381"/>
        <v/>
      </c>
      <c r="AK434" s="14"/>
      <c r="AL434" s="125" t="str">
        <f t="shared" si="382"/>
        <v/>
      </c>
      <c r="AM434" s="20"/>
      <c r="AN434" s="20"/>
      <c r="AO434" s="125" t="str">
        <f t="shared" si="383"/>
        <v/>
      </c>
      <c r="AP434" s="125" t="str">
        <f t="shared" si="384"/>
        <v/>
      </c>
      <c r="AQ434" s="125" t="str">
        <f t="shared" si="385"/>
        <v/>
      </c>
      <c r="AR434" s="129" t="str">
        <f t="shared" si="386"/>
        <v/>
      </c>
      <c r="AS434" s="14"/>
      <c r="AT434" s="33"/>
      <c r="AU434" s="33"/>
      <c r="AV434" s="117" t="str">
        <f>IF(_xlfn.XLOOKUP(AT434, AutoFill_classes!$A:$A, AutoFill_classes!$B:$B,"")=0,"",_xlfn.XLOOKUP(AT434, AutoFill_classes!$A:$A, AutoFill_classes!$B:$B,""))</f>
        <v/>
      </c>
      <c r="AW434" s="108"/>
      <c r="AX434" s="11"/>
      <c r="AY434" s="12"/>
      <c r="AZ434" s="11"/>
      <c r="BA434" s="13"/>
      <c r="BB434" s="13"/>
      <c r="BC434" s="63"/>
      <c r="BD434" s="19"/>
      <c r="BE434" s="121" t="str">
        <f t="shared" si="387"/>
        <v/>
      </c>
      <c r="BF434" s="20"/>
      <c r="BG434" s="20"/>
      <c r="BH434" s="20"/>
      <c r="BI434" s="20"/>
      <c r="BJ434" s="125" t="str">
        <f t="shared" si="388"/>
        <v/>
      </c>
      <c r="BK434" s="14"/>
      <c r="BL434" s="125" t="str">
        <f t="shared" si="389"/>
        <v/>
      </c>
      <c r="BM434" s="20"/>
      <c r="BN434" s="20"/>
      <c r="BO434" s="125" t="str">
        <f t="shared" si="390"/>
        <v/>
      </c>
      <c r="BP434" s="14"/>
      <c r="BQ434" s="125" t="str">
        <f t="shared" si="391"/>
        <v/>
      </c>
      <c r="BR434" s="20"/>
      <c r="BS434" s="20"/>
      <c r="BT434" s="125" t="str">
        <f t="shared" si="392"/>
        <v/>
      </c>
      <c r="BU434" s="125" t="str">
        <f t="shared" si="393"/>
        <v/>
      </c>
      <c r="BV434" s="125" t="str">
        <f t="shared" si="394"/>
        <v/>
      </c>
      <c r="BW434" s="129" t="str">
        <f t="shared" si="395"/>
        <v/>
      </c>
      <c r="BX434" s="11"/>
      <c r="BY434" s="15"/>
      <c r="BZ434" s="14"/>
      <c r="CA434" s="117" t="str">
        <f>IF(_xlfn.XLOOKUP(BY434, AutoFill_classes!$A:$A, AutoFill_classes!$B:$B,"")=0,"",_xlfn.XLOOKUP(BY434, AutoFill_classes!$A:$A, AutoFill_classes!$B:$B,""))</f>
        <v/>
      </c>
      <c r="CB434" s="108"/>
      <c r="CC434" s="14"/>
      <c r="CD434" s="14"/>
      <c r="CE434" s="14"/>
      <c r="CF434" s="21"/>
      <c r="CG434" s="22"/>
      <c r="CH434" s="63"/>
      <c r="CI434" s="23"/>
      <c r="CJ434" s="121" t="str">
        <f t="shared" si="396"/>
        <v/>
      </c>
      <c r="CK434" s="20"/>
      <c r="CL434" s="20"/>
      <c r="CM434" s="20"/>
      <c r="CN434" s="20"/>
      <c r="CO434" s="125" t="str">
        <f t="shared" si="397"/>
        <v/>
      </c>
      <c r="CP434" s="14"/>
      <c r="CQ434" s="125" t="str">
        <f t="shared" si="398"/>
        <v/>
      </c>
      <c r="CR434" s="20"/>
      <c r="CS434" s="20"/>
      <c r="CT434" s="125" t="str">
        <f t="shared" si="399"/>
        <v/>
      </c>
      <c r="CU434" s="14"/>
      <c r="CV434" s="125" t="str">
        <f t="shared" si="400"/>
        <v/>
      </c>
      <c r="CW434" s="20"/>
      <c r="CX434" s="20"/>
      <c r="CY434" s="125" t="str">
        <f t="shared" si="401"/>
        <v/>
      </c>
      <c r="CZ434" s="125" t="str">
        <f t="shared" si="402"/>
        <v/>
      </c>
      <c r="DA434" s="125" t="str">
        <f t="shared" si="403"/>
        <v/>
      </c>
      <c r="DB434" s="129" t="str">
        <f t="shared" si="404"/>
        <v/>
      </c>
      <c r="DC434" s="14"/>
      <c r="DD434" s="62"/>
      <c r="DE434" s="105">
        <v>432</v>
      </c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</row>
    <row r="435" spans="1:176" s="1" customFormat="1" ht="13" hidden="1" customHeight="1" outlineLevel="1" x14ac:dyDescent="0.2">
      <c r="A435" s="4"/>
      <c r="B435" s="115" t="str">
        <f>IF(_xlfn.XLOOKUP(A435, AutoFill_names!B:B, AutoFill_names!C:C,"")=0,"",_xlfn.XLOOKUP(A435, AutoFill_names!B:B, AutoFill_names!C:C,""))</f>
        <v/>
      </c>
      <c r="C435" s="115" t="str">
        <f>IF(_xlfn.XLOOKUP(A435, AutoFill_names!B:B, AutoFill_names!D:D,"")=0,"",_xlfn.XLOOKUP(A435, AutoFill_names!B:B, AutoFill_names!D:D,""))</f>
        <v/>
      </c>
      <c r="D435" s="115" t="str">
        <f>IF(_xlfn.XLOOKUP(A435, AutoFill_names!B:B, AutoFill_names!E:E,"")=0,"",_xlfn.XLOOKUP(A435, AutoFill_names!B:B, AutoFill_names!E:E,""))</f>
        <v/>
      </c>
      <c r="E435" s="115" t="str">
        <f>IF(_xlfn.XLOOKUP(A435, AutoFill_names!B:B, AutoFill_names!F:F,"")=0,"",_xlfn.XLOOKUP(A435, AutoFill_names!B:B, AutoFill_names!F:F,""))</f>
        <v/>
      </c>
      <c r="F435" s="92"/>
      <c r="J435" s="115" t="str">
        <f>IF(_xlfn.XLOOKUP(A435, AutoFill_names!B:B, AutoFill_names!K:K,"")=0,"",_xlfn.XLOOKUP(A435, AutoFill_names!B:B, AutoFill_names!K:K,""))</f>
        <v/>
      </c>
      <c r="K435" s="115" t="str">
        <f>IF(_xlfn.XLOOKUP(A435, AutoFill_names!B:B, AutoFill_names!L:L,"")=0,"",_xlfn.XLOOKUP(A435, AutoFill_names!B:B, AutoFill_names!L:L,""))</f>
        <v/>
      </c>
      <c r="L435" s="31"/>
      <c r="M435" s="31"/>
      <c r="N435" s="117" t="str">
        <f>IF(_xlfn.XLOOKUP(L435, AutoFill_classes!A:A, AutoFill_classes!B:B,"")=0,"",_xlfn.XLOOKUP(L435, AutoFill_classes!A:A, AutoFill_classes!B:B,""))</f>
        <v/>
      </c>
      <c r="O435" s="108"/>
      <c r="P435" s="6"/>
      <c r="Q435" s="6"/>
      <c r="R435" s="6"/>
      <c r="X435" s="63"/>
      <c r="Y435" s="19"/>
      <c r="Z435" s="121" t="str">
        <f t="shared" si="378"/>
        <v/>
      </c>
      <c r="AA435" s="20"/>
      <c r="AB435" s="20"/>
      <c r="AC435" s="20"/>
      <c r="AD435" s="20"/>
      <c r="AE435" s="125" t="str">
        <f t="shared" si="379"/>
        <v/>
      </c>
      <c r="AF435" s="14"/>
      <c r="AG435" s="125" t="str">
        <f t="shared" si="380"/>
        <v/>
      </c>
      <c r="AH435" s="20"/>
      <c r="AI435" s="20"/>
      <c r="AJ435" s="125" t="str">
        <f t="shared" si="381"/>
        <v/>
      </c>
      <c r="AK435" s="14"/>
      <c r="AL435" s="125" t="str">
        <f t="shared" si="382"/>
        <v/>
      </c>
      <c r="AM435" s="20"/>
      <c r="AN435" s="20"/>
      <c r="AO435" s="125" t="str">
        <f t="shared" si="383"/>
        <v/>
      </c>
      <c r="AP435" s="125" t="str">
        <f t="shared" si="384"/>
        <v/>
      </c>
      <c r="AQ435" s="125" t="str">
        <f t="shared" si="385"/>
        <v/>
      </c>
      <c r="AR435" s="129" t="str">
        <f t="shared" si="386"/>
        <v/>
      </c>
      <c r="AS435" s="14"/>
      <c r="AT435" s="33"/>
      <c r="AU435" s="33"/>
      <c r="AV435" s="117" t="str">
        <f>IF(_xlfn.XLOOKUP(AT435, AutoFill_classes!$A:$A, AutoFill_classes!$B:$B,"")=0,"",_xlfn.XLOOKUP(AT435, AutoFill_classes!$A:$A, AutoFill_classes!$B:$B,""))</f>
        <v/>
      </c>
      <c r="AW435" s="108"/>
      <c r="AX435" s="11"/>
      <c r="AY435" s="12"/>
      <c r="AZ435" s="11"/>
      <c r="BA435" s="13"/>
      <c r="BB435" s="13"/>
      <c r="BC435" s="63"/>
      <c r="BD435" s="19"/>
      <c r="BE435" s="121" t="str">
        <f t="shared" si="387"/>
        <v/>
      </c>
      <c r="BF435" s="20"/>
      <c r="BG435" s="20"/>
      <c r="BH435" s="20"/>
      <c r="BI435" s="20"/>
      <c r="BJ435" s="125" t="str">
        <f t="shared" si="388"/>
        <v/>
      </c>
      <c r="BK435" s="14"/>
      <c r="BL435" s="125" t="str">
        <f t="shared" si="389"/>
        <v/>
      </c>
      <c r="BM435" s="20"/>
      <c r="BN435" s="20"/>
      <c r="BO435" s="125" t="str">
        <f t="shared" si="390"/>
        <v/>
      </c>
      <c r="BP435" s="14"/>
      <c r="BQ435" s="125" t="str">
        <f t="shared" si="391"/>
        <v/>
      </c>
      <c r="BR435" s="20"/>
      <c r="BS435" s="20"/>
      <c r="BT435" s="125" t="str">
        <f t="shared" si="392"/>
        <v/>
      </c>
      <c r="BU435" s="125" t="str">
        <f t="shared" si="393"/>
        <v/>
      </c>
      <c r="BV435" s="125" t="str">
        <f t="shared" si="394"/>
        <v/>
      </c>
      <c r="BW435" s="129" t="str">
        <f t="shared" si="395"/>
        <v/>
      </c>
      <c r="BX435" s="11"/>
      <c r="BY435" s="15"/>
      <c r="BZ435" s="14"/>
      <c r="CA435" s="117" t="str">
        <f>IF(_xlfn.XLOOKUP(BY435, AutoFill_classes!$A:$A, AutoFill_classes!$B:$B,"")=0,"",_xlfn.XLOOKUP(BY435, AutoFill_classes!$A:$A, AutoFill_classes!$B:$B,""))</f>
        <v/>
      </c>
      <c r="CB435" s="108"/>
      <c r="CC435" s="14"/>
      <c r="CD435" s="14"/>
      <c r="CE435" s="14"/>
      <c r="CF435" s="21"/>
      <c r="CG435" s="22"/>
      <c r="CH435" s="63"/>
      <c r="CI435" s="23"/>
      <c r="CJ435" s="121" t="str">
        <f t="shared" si="396"/>
        <v/>
      </c>
      <c r="CK435" s="20"/>
      <c r="CL435" s="20"/>
      <c r="CM435" s="20"/>
      <c r="CN435" s="20"/>
      <c r="CO435" s="125" t="str">
        <f t="shared" si="397"/>
        <v/>
      </c>
      <c r="CP435" s="14"/>
      <c r="CQ435" s="125" t="str">
        <f t="shared" si="398"/>
        <v/>
      </c>
      <c r="CR435" s="20"/>
      <c r="CS435" s="20"/>
      <c r="CT435" s="125" t="str">
        <f t="shared" si="399"/>
        <v/>
      </c>
      <c r="CU435" s="14"/>
      <c r="CV435" s="125" t="str">
        <f t="shared" si="400"/>
        <v/>
      </c>
      <c r="CW435" s="20"/>
      <c r="CX435" s="20"/>
      <c r="CY435" s="125" t="str">
        <f t="shared" si="401"/>
        <v/>
      </c>
      <c r="CZ435" s="125" t="str">
        <f t="shared" si="402"/>
        <v/>
      </c>
      <c r="DA435" s="125" t="str">
        <f t="shared" si="403"/>
        <v/>
      </c>
      <c r="DB435" s="129" t="str">
        <f t="shared" si="404"/>
        <v/>
      </c>
      <c r="DC435" s="14"/>
      <c r="DD435" s="62"/>
      <c r="DE435" s="105">
        <v>433</v>
      </c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</row>
    <row r="436" spans="1:176" s="1" customFormat="1" ht="13" hidden="1" customHeight="1" outlineLevel="1" x14ac:dyDescent="0.2">
      <c r="A436" s="4"/>
      <c r="B436" s="115" t="str">
        <f>IF(_xlfn.XLOOKUP(A436, AutoFill_names!B:B, AutoFill_names!C:C,"")=0,"",_xlfn.XLOOKUP(A436, AutoFill_names!B:B, AutoFill_names!C:C,""))</f>
        <v/>
      </c>
      <c r="C436" s="115" t="str">
        <f>IF(_xlfn.XLOOKUP(A436, AutoFill_names!B:B, AutoFill_names!D:D,"")=0,"",_xlfn.XLOOKUP(A436, AutoFill_names!B:B, AutoFill_names!D:D,""))</f>
        <v/>
      </c>
      <c r="D436" s="115" t="str">
        <f>IF(_xlfn.XLOOKUP(A436, AutoFill_names!B:B, AutoFill_names!E:E,"")=0,"",_xlfn.XLOOKUP(A436, AutoFill_names!B:B, AutoFill_names!E:E,""))</f>
        <v/>
      </c>
      <c r="E436" s="115" t="str">
        <f>IF(_xlfn.XLOOKUP(A436, AutoFill_names!B:B, AutoFill_names!F:F,"")=0,"",_xlfn.XLOOKUP(A436, AutoFill_names!B:B, AutoFill_names!F:F,""))</f>
        <v/>
      </c>
      <c r="F436" s="92"/>
      <c r="J436" s="115" t="str">
        <f>IF(_xlfn.XLOOKUP(A436, AutoFill_names!B:B, AutoFill_names!K:K,"")=0,"",_xlfn.XLOOKUP(A436, AutoFill_names!B:B, AutoFill_names!K:K,""))</f>
        <v/>
      </c>
      <c r="K436" s="115" t="str">
        <f>IF(_xlfn.XLOOKUP(A436, AutoFill_names!B:B, AutoFill_names!L:L,"")=0,"",_xlfn.XLOOKUP(A436, AutoFill_names!B:B, AutoFill_names!L:L,""))</f>
        <v/>
      </c>
      <c r="L436" s="31"/>
      <c r="M436" s="31"/>
      <c r="N436" s="117" t="str">
        <f>IF(_xlfn.XLOOKUP(L436, AutoFill_classes!A:A, AutoFill_classes!B:B,"")=0,"",_xlfn.XLOOKUP(L436, AutoFill_classes!A:A, AutoFill_classes!B:B,""))</f>
        <v/>
      </c>
      <c r="O436" s="108"/>
      <c r="P436" s="6"/>
      <c r="Q436" s="6"/>
      <c r="R436" s="6"/>
      <c r="X436" s="63"/>
      <c r="Y436" s="19"/>
      <c r="Z436" s="121" t="str">
        <f t="shared" si="378"/>
        <v/>
      </c>
      <c r="AA436" s="20"/>
      <c r="AB436" s="20"/>
      <c r="AC436" s="20"/>
      <c r="AD436" s="20"/>
      <c r="AE436" s="125" t="str">
        <f t="shared" si="379"/>
        <v/>
      </c>
      <c r="AF436" s="14"/>
      <c r="AG436" s="125" t="str">
        <f t="shared" si="380"/>
        <v/>
      </c>
      <c r="AH436" s="20"/>
      <c r="AI436" s="20"/>
      <c r="AJ436" s="125" t="str">
        <f t="shared" si="381"/>
        <v/>
      </c>
      <c r="AK436" s="14"/>
      <c r="AL436" s="125" t="str">
        <f t="shared" si="382"/>
        <v/>
      </c>
      <c r="AM436" s="20"/>
      <c r="AN436" s="20"/>
      <c r="AO436" s="125" t="str">
        <f t="shared" si="383"/>
        <v/>
      </c>
      <c r="AP436" s="125" t="str">
        <f t="shared" si="384"/>
        <v/>
      </c>
      <c r="AQ436" s="125" t="str">
        <f t="shared" si="385"/>
        <v/>
      </c>
      <c r="AR436" s="129" t="str">
        <f t="shared" si="386"/>
        <v/>
      </c>
      <c r="AS436" s="14"/>
      <c r="AT436" s="33"/>
      <c r="AU436" s="33"/>
      <c r="AV436" s="117" t="str">
        <f>IF(_xlfn.XLOOKUP(AT436, AutoFill_classes!$A:$A, AutoFill_classes!$B:$B,"")=0,"",_xlfn.XLOOKUP(AT436, AutoFill_classes!$A:$A, AutoFill_classes!$B:$B,""))</f>
        <v/>
      </c>
      <c r="AW436" s="108"/>
      <c r="AX436" s="11"/>
      <c r="AY436" s="12"/>
      <c r="AZ436" s="11"/>
      <c r="BA436" s="13"/>
      <c r="BB436" s="13"/>
      <c r="BC436" s="63"/>
      <c r="BD436" s="19"/>
      <c r="BE436" s="121" t="str">
        <f t="shared" si="387"/>
        <v/>
      </c>
      <c r="BF436" s="20"/>
      <c r="BG436" s="20"/>
      <c r="BH436" s="20"/>
      <c r="BI436" s="20"/>
      <c r="BJ436" s="125" t="str">
        <f t="shared" si="388"/>
        <v/>
      </c>
      <c r="BK436" s="14"/>
      <c r="BL436" s="125" t="str">
        <f t="shared" si="389"/>
        <v/>
      </c>
      <c r="BM436" s="20"/>
      <c r="BN436" s="20"/>
      <c r="BO436" s="125" t="str">
        <f t="shared" si="390"/>
        <v/>
      </c>
      <c r="BP436" s="14"/>
      <c r="BQ436" s="125" t="str">
        <f t="shared" si="391"/>
        <v/>
      </c>
      <c r="BR436" s="20"/>
      <c r="BS436" s="20"/>
      <c r="BT436" s="125" t="str">
        <f t="shared" si="392"/>
        <v/>
      </c>
      <c r="BU436" s="125" t="str">
        <f t="shared" si="393"/>
        <v/>
      </c>
      <c r="BV436" s="125" t="str">
        <f t="shared" si="394"/>
        <v/>
      </c>
      <c r="BW436" s="129" t="str">
        <f t="shared" si="395"/>
        <v/>
      </c>
      <c r="BX436" s="11"/>
      <c r="BY436" s="15"/>
      <c r="BZ436" s="14"/>
      <c r="CA436" s="117" t="str">
        <f>IF(_xlfn.XLOOKUP(BY436, AutoFill_classes!$A:$A, AutoFill_classes!$B:$B,"")=0,"",_xlfn.XLOOKUP(BY436, AutoFill_classes!$A:$A, AutoFill_classes!$B:$B,""))</f>
        <v/>
      </c>
      <c r="CB436" s="108"/>
      <c r="CC436" s="14"/>
      <c r="CD436" s="14"/>
      <c r="CE436" s="14"/>
      <c r="CF436" s="21"/>
      <c r="CG436" s="22"/>
      <c r="CH436" s="63"/>
      <c r="CI436" s="23"/>
      <c r="CJ436" s="121" t="str">
        <f t="shared" si="396"/>
        <v/>
      </c>
      <c r="CK436" s="20"/>
      <c r="CL436" s="20"/>
      <c r="CM436" s="20"/>
      <c r="CN436" s="20"/>
      <c r="CO436" s="125" t="str">
        <f t="shared" si="397"/>
        <v/>
      </c>
      <c r="CP436" s="14"/>
      <c r="CQ436" s="125" t="str">
        <f t="shared" si="398"/>
        <v/>
      </c>
      <c r="CR436" s="20"/>
      <c r="CS436" s="20"/>
      <c r="CT436" s="125" t="str">
        <f t="shared" si="399"/>
        <v/>
      </c>
      <c r="CU436" s="14"/>
      <c r="CV436" s="125" t="str">
        <f t="shared" si="400"/>
        <v/>
      </c>
      <c r="CW436" s="20"/>
      <c r="CX436" s="20"/>
      <c r="CY436" s="125" t="str">
        <f t="shared" si="401"/>
        <v/>
      </c>
      <c r="CZ436" s="125" t="str">
        <f t="shared" si="402"/>
        <v/>
      </c>
      <c r="DA436" s="125" t="str">
        <f t="shared" si="403"/>
        <v/>
      </c>
      <c r="DB436" s="129" t="str">
        <f t="shared" si="404"/>
        <v/>
      </c>
      <c r="DC436" s="14"/>
      <c r="DD436" s="62"/>
      <c r="DE436" s="105">
        <v>434</v>
      </c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</row>
    <row r="437" spans="1:176" s="1" customFormat="1" ht="13" hidden="1" customHeight="1" outlineLevel="1" x14ac:dyDescent="0.2">
      <c r="A437" s="4"/>
      <c r="B437" s="115" t="str">
        <f>IF(_xlfn.XLOOKUP(A437, AutoFill_names!B:B, AutoFill_names!C:C,"")=0,"",_xlfn.XLOOKUP(A437, AutoFill_names!B:B, AutoFill_names!C:C,""))</f>
        <v/>
      </c>
      <c r="C437" s="115" t="str">
        <f>IF(_xlfn.XLOOKUP(A437, AutoFill_names!B:B, AutoFill_names!D:D,"")=0,"",_xlfn.XLOOKUP(A437, AutoFill_names!B:B, AutoFill_names!D:D,""))</f>
        <v/>
      </c>
      <c r="D437" s="115" t="str">
        <f>IF(_xlfn.XLOOKUP(A437, AutoFill_names!B:B, AutoFill_names!E:E,"")=0,"",_xlfn.XLOOKUP(A437, AutoFill_names!B:B, AutoFill_names!E:E,""))</f>
        <v/>
      </c>
      <c r="E437" s="115" t="str">
        <f>IF(_xlfn.XLOOKUP(A437, AutoFill_names!B:B, AutoFill_names!F:F,"")=0,"",_xlfn.XLOOKUP(A437, AutoFill_names!B:B, AutoFill_names!F:F,""))</f>
        <v/>
      </c>
      <c r="F437" s="92"/>
      <c r="J437" s="115" t="str">
        <f>IF(_xlfn.XLOOKUP(A437, AutoFill_names!B:B, AutoFill_names!K:K,"")=0,"",_xlfn.XLOOKUP(A437, AutoFill_names!B:B, AutoFill_names!K:K,""))</f>
        <v/>
      </c>
      <c r="K437" s="115" t="str">
        <f>IF(_xlfn.XLOOKUP(A437, AutoFill_names!B:B, AutoFill_names!L:L,"")=0,"",_xlfn.XLOOKUP(A437, AutoFill_names!B:B, AutoFill_names!L:L,""))</f>
        <v/>
      </c>
      <c r="L437" s="31"/>
      <c r="M437" s="31"/>
      <c r="N437" s="117" t="str">
        <f>IF(_xlfn.XLOOKUP(L437, AutoFill_classes!A:A, AutoFill_classes!B:B,"")=0,"",_xlfn.XLOOKUP(L437, AutoFill_classes!A:A, AutoFill_classes!B:B,""))</f>
        <v/>
      </c>
      <c r="O437" s="108"/>
      <c r="P437" s="6"/>
      <c r="Q437" s="6"/>
      <c r="R437" s="6"/>
      <c r="X437" s="63"/>
      <c r="Y437" s="19"/>
      <c r="Z437" s="121" t="str">
        <f t="shared" si="378"/>
        <v/>
      </c>
      <c r="AA437" s="20"/>
      <c r="AB437" s="20"/>
      <c r="AC437" s="20"/>
      <c r="AD437" s="20"/>
      <c r="AE437" s="125" t="str">
        <f t="shared" si="379"/>
        <v/>
      </c>
      <c r="AF437" s="14"/>
      <c r="AG437" s="125" t="str">
        <f t="shared" si="380"/>
        <v/>
      </c>
      <c r="AH437" s="20"/>
      <c r="AI437" s="20"/>
      <c r="AJ437" s="125" t="str">
        <f t="shared" si="381"/>
        <v/>
      </c>
      <c r="AK437" s="14"/>
      <c r="AL437" s="125" t="str">
        <f t="shared" si="382"/>
        <v/>
      </c>
      <c r="AM437" s="20"/>
      <c r="AN437" s="20"/>
      <c r="AO437" s="125" t="str">
        <f t="shared" si="383"/>
        <v/>
      </c>
      <c r="AP437" s="125" t="str">
        <f t="shared" si="384"/>
        <v/>
      </c>
      <c r="AQ437" s="125" t="str">
        <f t="shared" si="385"/>
        <v/>
      </c>
      <c r="AR437" s="129" t="str">
        <f t="shared" si="386"/>
        <v/>
      </c>
      <c r="AS437" s="14"/>
      <c r="AT437" s="33"/>
      <c r="AU437" s="33"/>
      <c r="AV437" s="117" t="str">
        <f>IF(_xlfn.XLOOKUP(AT437, AutoFill_classes!$A:$A, AutoFill_classes!$B:$B,"")=0,"",_xlfn.XLOOKUP(AT437, AutoFill_classes!$A:$A, AutoFill_classes!$B:$B,""))</f>
        <v/>
      </c>
      <c r="AW437" s="108"/>
      <c r="AX437" s="11"/>
      <c r="AY437" s="12"/>
      <c r="AZ437" s="11"/>
      <c r="BA437" s="13"/>
      <c r="BB437" s="13"/>
      <c r="BC437" s="63"/>
      <c r="BD437" s="19"/>
      <c r="BE437" s="121" t="str">
        <f t="shared" si="387"/>
        <v/>
      </c>
      <c r="BF437" s="20"/>
      <c r="BG437" s="20"/>
      <c r="BH437" s="20"/>
      <c r="BI437" s="20"/>
      <c r="BJ437" s="125" t="str">
        <f t="shared" si="388"/>
        <v/>
      </c>
      <c r="BK437" s="14"/>
      <c r="BL437" s="125" t="str">
        <f t="shared" si="389"/>
        <v/>
      </c>
      <c r="BM437" s="20"/>
      <c r="BN437" s="20"/>
      <c r="BO437" s="125" t="str">
        <f t="shared" si="390"/>
        <v/>
      </c>
      <c r="BP437" s="14"/>
      <c r="BQ437" s="125" t="str">
        <f t="shared" si="391"/>
        <v/>
      </c>
      <c r="BR437" s="20"/>
      <c r="BS437" s="20"/>
      <c r="BT437" s="125" t="str">
        <f t="shared" si="392"/>
        <v/>
      </c>
      <c r="BU437" s="125" t="str">
        <f t="shared" si="393"/>
        <v/>
      </c>
      <c r="BV437" s="125" t="str">
        <f t="shared" si="394"/>
        <v/>
      </c>
      <c r="BW437" s="129" t="str">
        <f t="shared" si="395"/>
        <v/>
      </c>
      <c r="BX437" s="11"/>
      <c r="BY437" s="15"/>
      <c r="BZ437" s="14"/>
      <c r="CA437" s="117" t="str">
        <f>IF(_xlfn.XLOOKUP(BY437, AutoFill_classes!$A:$A, AutoFill_classes!$B:$B,"")=0,"",_xlfn.XLOOKUP(BY437, AutoFill_classes!$A:$A, AutoFill_classes!$B:$B,""))</f>
        <v/>
      </c>
      <c r="CB437" s="108"/>
      <c r="CC437" s="14"/>
      <c r="CD437" s="14"/>
      <c r="CE437" s="14"/>
      <c r="CF437" s="21"/>
      <c r="CG437" s="22"/>
      <c r="CH437" s="63"/>
      <c r="CI437" s="23"/>
      <c r="CJ437" s="121" t="str">
        <f t="shared" si="396"/>
        <v/>
      </c>
      <c r="CK437" s="20"/>
      <c r="CL437" s="20"/>
      <c r="CM437" s="20"/>
      <c r="CN437" s="20"/>
      <c r="CO437" s="125" t="str">
        <f t="shared" si="397"/>
        <v/>
      </c>
      <c r="CP437" s="14"/>
      <c r="CQ437" s="125" t="str">
        <f t="shared" si="398"/>
        <v/>
      </c>
      <c r="CR437" s="20"/>
      <c r="CS437" s="20"/>
      <c r="CT437" s="125" t="str">
        <f t="shared" si="399"/>
        <v/>
      </c>
      <c r="CU437" s="14"/>
      <c r="CV437" s="125" t="str">
        <f t="shared" si="400"/>
        <v/>
      </c>
      <c r="CW437" s="20"/>
      <c r="CX437" s="20"/>
      <c r="CY437" s="125" t="str">
        <f t="shared" si="401"/>
        <v/>
      </c>
      <c r="CZ437" s="125" t="str">
        <f t="shared" si="402"/>
        <v/>
      </c>
      <c r="DA437" s="125" t="str">
        <f t="shared" si="403"/>
        <v/>
      </c>
      <c r="DB437" s="129" t="str">
        <f t="shared" si="404"/>
        <v/>
      </c>
      <c r="DC437" s="14"/>
      <c r="DD437" s="62"/>
      <c r="DE437" s="105">
        <v>435</v>
      </c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</row>
    <row r="438" spans="1:176" s="1" customFormat="1" ht="13" hidden="1" customHeight="1" outlineLevel="1" x14ac:dyDescent="0.2">
      <c r="A438" s="4"/>
      <c r="B438" s="115" t="str">
        <f>IF(_xlfn.XLOOKUP(A438, AutoFill_names!B:B, AutoFill_names!C:C,"")=0,"",_xlfn.XLOOKUP(A438, AutoFill_names!B:B, AutoFill_names!C:C,""))</f>
        <v/>
      </c>
      <c r="C438" s="115" t="str">
        <f>IF(_xlfn.XLOOKUP(A438, AutoFill_names!B:B, AutoFill_names!D:D,"")=0,"",_xlfn.XLOOKUP(A438, AutoFill_names!B:B, AutoFill_names!D:D,""))</f>
        <v/>
      </c>
      <c r="D438" s="115" t="str">
        <f>IF(_xlfn.XLOOKUP(A438, AutoFill_names!B:B, AutoFill_names!E:E,"")=0,"",_xlfn.XLOOKUP(A438, AutoFill_names!B:B, AutoFill_names!E:E,""))</f>
        <v/>
      </c>
      <c r="E438" s="115" t="str">
        <f>IF(_xlfn.XLOOKUP(A438, AutoFill_names!B:B, AutoFill_names!F:F,"")=0,"",_xlfn.XLOOKUP(A438, AutoFill_names!B:B, AutoFill_names!F:F,""))</f>
        <v/>
      </c>
      <c r="F438" s="92"/>
      <c r="J438" s="115" t="str">
        <f>IF(_xlfn.XLOOKUP(A438, AutoFill_names!B:B, AutoFill_names!K:K,"")=0,"",_xlfn.XLOOKUP(A438, AutoFill_names!B:B, AutoFill_names!K:K,""))</f>
        <v/>
      </c>
      <c r="K438" s="115" t="str">
        <f>IF(_xlfn.XLOOKUP(A438, AutoFill_names!B:B, AutoFill_names!L:L,"")=0,"",_xlfn.XLOOKUP(A438, AutoFill_names!B:B, AutoFill_names!L:L,""))</f>
        <v/>
      </c>
      <c r="L438" s="31"/>
      <c r="M438" s="31"/>
      <c r="N438" s="117" t="str">
        <f>IF(_xlfn.XLOOKUP(L438, AutoFill_classes!A:A, AutoFill_classes!B:B,"")=0,"",_xlfn.XLOOKUP(L438, AutoFill_classes!A:A, AutoFill_classes!B:B,""))</f>
        <v/>
      </c>
      <c r="O438" s="108"/>
      <c r="P438" s="6"/>
      <c r="Q438" s="6"/>
      <c r="R438" s="6"/>
      <c r="X438" s="63"/>
      <c r="Y438" s="19"/>
      <c r="Z438" s="121" t="str">
        <f t="shared" si="378"/>
        <v/>
      </c>
      <c r="AA438" s="20"/>
      <c r="AB438" s="20"/>
      <c r="AC438" s="20"/>
      <c r="AD438" s="20"/>
      <c r="AE438" s="125" t="str">
        <f t="shared" si="379"/>
        <v/>
      </c>
      <c r="AF438" s="14"/>
      <c r="AG438" s="125" t="str">
        <f t="shared" si="380"/>
        <v/>
      </c>
      <c r="AH438" s="20"/>
      <c r="AI438" s="20"/>
      <c r="AJ438" s="125" t="str">
        <f t="shared" si="381"/>
        <v/>
      </c>
      <c r="AK438" s="14"/>
      <c r="AL438" s="125" t="str">
        <f t="shared" si="382"/>
        <v/>
      </c>
      <c r="AM438" s="20"/>
      <c r="AN438" s="20"/>
      <c r="AO438" s="125" t="str">
        <f t="shared" si="383"/>
        <v/>
      </c>
      <c r="AP438" s="125" t="str">
        <f t="shared" si="384"/>
        <v/>
      </c>
      <c r="AQ438" s="125" t="str">
        <f t="shared" si="385"/>
        <v/>
      </c>
      <c r="AR438" s="129" t="str">
        <f t="shared" si="386"/>
        <v/>
      </c>
      <c r="AS438" s="14"/>
      <c r="AT438" s="33"/>
      <c r="AU438" s="33"/>
      <c r="AV438" s="117" t="str">
        <f>IF(_xlfn.XLOOKUP(AT438, AutoFill_classes!$A:$A, AutoFill_classes!$B:$B,"")=0,"",_xlfn.XLOOKUP(AT438, AutoFill_classes!$A:$A, AutoFill_classes!$B:$B,""))</f>
        <v/>
      </c>
      <c r="AW438" s="108"/>
      <c r="AX438" s="11"/>
      <c r="AY438" s="12"/>
      <c r="AZ438" s="11"/>
      <c r="BA438" s="13"/>
      <c r="BB438" s="13"/>
      <c r="BC438" s="63"/>
      <c r="BD438" s="19"/>
      <c r="BE438" s="121" t="str">
        <f t="shared" si="387"/>
        <v/>
      </c>
      <c r="BF438" s="20"/>
      <c r="BG438" s="20"/>
      <c r="BH438" s="20"/>
      <c r="BI438" s="20"/>
      <c r="BJ438" s="125" t="str">
        <f t="shared" si="388"/>
        <v/>
      </c>
      <c r="BK438" s="14"/>
      <c r="BL438" s="125" t="str">
        <f t="shared" si="389"/>
        <v/>
      </c>
      <c r="BM438" s="20"/>
      <c r="BN438" s="20"/>
      <c r="BO438" s="125" t="str">
        <f t="shared" si="390"/>
        <v/>
      </c>
      <c r="BP438" s="14"/>
      <c r="BQ438" s="125" t="str">
        <f t="shared" si="391"/>
        <v/>
      </c>
      <c r="BR438" s="20"/>
      <c r="BS438" s="20"/>
      <c r="BT438" s="125" t="str">
        <f t="shared" si="392"/>
        <v/>
      </c>
      <c r="BU438" s="125" t="str">
        <f t="shared" si="393"/>
        <v/>
      </c>
      <c r="BV438" s="125" t="str">
        <f t="shared" si="394"/>
        <v/>
      </c>
      <c r="BW438" s="129" t="str">
        <f t="shared" si="395"/>
        <v/>
      </c>
      <c r="BX438" s="11"/>
      <c r="BY438" s="15"/>
      <c r="BZ438" s="14"/>
      <c r="CA438" s="117" t="str">
        <f>IF(_xlfn.XLOOKUP(BY438, AutoFill_classes!$A:$A, AutoFill_classes!$B:$B,"")=0,"",_xlfn.XLOOKUP(BY438, AutoFill_classes!$A:$A, AutoFill_classes!$B:$B,""))</f>
        <v/>
      </c>
      <c r="CB438" s="108"/>
      <c r="CC438" s="14"/>
      <c r="CD438" s="14"/>
      <c r="CE438" s="14"/>
      <c r="CF438" s="21"/>
      <c r="CG438" s="22"/>
      <c r="CH438" s="63"/>
      <c r="CI438" s="23"/>
      <c r="CJ438" s="121" t="str">
        <f t="shared" si="396"/>
        <v/>
      </c>
      <c r="CK438" s="20"/>
      <c r="CL438" s="20"/>
      <c r="CM438" s="20"/>
      <c r="CN438" s="20"/>
      <c r="CO438" s="125" t="str">
        <f t="shared" si="397"/>
        <v/>
      </c>
      <c r="CP438" s="14"/>
      <c r="CQ438" s="125" t="str">
        <f t="shared" si="398"/>
        <v/>
      </c>
      <c r="CR438" s="20"/>
      <c r="CS438" s="20"/>
      <c r="CT438" s="125" t="str">
        <f t="shared" si="399"/>
        <v/>
      </c>
      <c r="CU438" s="14"/>
      <c r="CV438" s="125" t="str">
        <f t="shared" si="400"/>
        <v/>
      </c>
      <c r="CW438" s="20"/>
      <c r="CX438" s="20"/>
      <c r="CY438" s="125" t="str">
        <f t="shared" si="401"/>
        <v/>
      </c>
      <c r="CZ438" s="125" t="str">
        <f t="shared" si="402"/>
        <v/>
      </c>
      <c r="DA438" s="125" t="str">
        <f t="shared" si="403"/>
        <v/>
      </c>
      <c r="DB438" s="129" t="str">
        <f t="shared" si="404"/>
        <v/>
      </c>
      <c r="DC438" s="14"/>
      <c r="DD438" s="62"/>
      <c r="DE438" s="105">
        <v>436</v>
      </c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</row>
    <row r="439" spans="1:176" s="1" customFormat="1" ht="13" hidden="1" customHeight="1" outlineLevel="1" x14ac:dyDescent="0.2">
      <c r="A439" s="4"/>
      <c r="B439" s="115" t="str">
        <f>IF(_xlfn.XLOOKUP(A439, AutoFill_names!B:B, AutoFill_names!C:C,"")=0,"",_xlfn.XLOOKUP(A439, AutoFill_names!B:B, AutoFill_names!C:C,""))</f>
        <v/>
      </c>
      <c r="C439" s="115" t="str">
        <f>IF(_xlfn.XLOOKUP(A439, AutoFill_names!B:B, AutoFill_names!D:D,"")=0,"",_xlfn.XLOOKUP(A439, AutoFill_names!B:B, AutoFill_names!D:D,""))</f>
        <v/>
      </c>
      <c r="D439" s="115" t="str">
        <f>IF(_xlfn.XLOOKUP(A439, AutoFill_names!B:B, AutoFill_names!E:E,"")=0,"",_xlfn.XLOOKUP(A439, AutoFill_names!B:B, AutoFill_names!E:E,""))</f>
        <v/>
      </c>
      <c r="E439" s="115" t="str">
        <f>IF(_xlfn.XLOOKUP(A439, AutoFill_names!B:B, AutoFill_names!F:F,"")=0,"",_xlfn.XLOOKUP(A439, AutoFill_names!B:B, AutoFill_names!F:F,""))</f>
        <v/>
      </c>
      <c r="F439" s="92"/>
      <c r="J439" s="115" t="str">
        <f>IF(_xlfn.XLOOKUP(A439, AutoFill_names!B:B, AutoFill_names!K:K,"")=0,"",_xlfn.XLOOKUP(A439, AutoFill_names!B:B, AutoFill_names!K:K,""))</f>
        <v/>
      </c>
      <c r="K439" s="115" t="str">
        <f>IF(_xlfn.XLOOKUP(A439, AutoFill_names!B:B, AutoFill_names!L:L,"")=0,"",_xlfn.XLOOKUP(A439, AutoFill_names!B:B, AutoFill_names!L:L,""))</f>
        <v/>
      </c>
      <c r="L439" s="31"/>
      <c r="M439" s="31"/>
      <c r="N439" s="117" t="str">
        <f>IF(_xlfn.XLOOKUP(L439, AutoFill_classes!A:A, AutoFill_classes!B:B,"")=0,"",_xlfn.XLOOKUP(L439, AutoFill_classes!A:A, AutoFill_classes!B:B,""))</f>
        <v/>
      </c>
      <c r="O439" s="108"/>
      <c r="P439" s="6"/>
      <c r="Q439" s="6"/>
      <c r="R439" s="6"/>
      <c r="X439" s="63"/>
      <c r="Y439" s="19"/>
      <c r="Z439" s="121" t="str">
        <f t="shared" si="378"/>
        <v/>
      </c>
      <c r="AA439" s="20"/>
      <c r="AB439" s="20"/>
      <c r="AC439" s="20"/>
      <c r="AD439" s="20"/>
      <c r="AE439" s="125" t="str">
        <f t="shared" si="379"/>
        <v/>
      </c>
      <c r="AF439" s="14"/>
      <c r="AG439" s="125" t="str">
        <f t="shared" si="380"/>
        <v/>
      </c>
      <c r="AH439" s="20"/>
      <c r="AI439" s="20"/>
      <c r="AJ439" s="125" t="str">
        <f t="shared" si="381"/>
        <v/>
      </c>
      <c r="AK439" s="14"/>
      <c r="AL439" s="125" t="str">
        <f t="shared" si="382"/>
        <v/>
      </c>
      <c r="AM439" s="20"/>
      <c r="AN439" s="20"/>
      <c r="AO439" s="125" t="str">
        <f t="shared" si="383"/>
        <v/>
      </c>
      <c r="AP439" s="125" t="str">
        <f t="shared" si="384"/>
        <v/>
      </c>
      <c r="AQ439" s="125" t="str">
        <f t="shared" si="385"/>
        <v/>
      </c>
      <c r="AR439" s="129" t="str">
        <f t="shared" si="386"/>
        <v/>
      </c>
      <c r="AS439" s="14"/>
      <c r="AT439" s="33"/>
      <c r="AU439" s="33"/>
      <c r="AV439" s="117" t="str">
        <f>IF(_xlfn.XLOOKUP(AT439, AutoFill_classes!$A:$A, AutoFill_classes!$B:$B,"")=0,"",_xlfn.XLOOKUP(AT439, AutoFill_classes!$A:$A, AutoFill_classes!$B:$B,""))</f>
        <v/>
      </c>
      <c r="AW439" s="108"/>
      <c r="AX439" s="11"/>
      <c r="AY439" s="12"/>
      <c r="AZ439" s="11"/>
      <c r="BA439" s="13"/>
      <c r="BB439" s="13"/>
      <c r="BC439" s="63"/>
      <c r="BD439" s="19"/>
      <c r="BE439" s="121" t="str">
        <f t="shared" si="387"/>
        <v/>
      </c>
      <c r="BF439" s="20"/>
      <c r="BG439" s="20"/>
      <c r="BH439" s="20"/>
      <c r="BI439" s="20"/>
      <c r="BJ439" s="125" t="str">
        <f t="shared" si="388"/>
        <v/>
      </c>
      <c r="BK439" s="14"/>
      <c r="BL439" s="125" t="str">
        <f t="shared" si="389"/>
        <v/>
      </c>
      <c r="BM439" s="20"/>
      <c r="BN439" s="20"/>
      <c r="BO439" s="125" t="str">
        <f t="shared" si="390"/>
        <v/>
      </c>
      <c r="BP439" s="14"/>
      <c r="BQ439" s="125" t="str">
        <f t="shared" si="391"/>
        <v/>
      </c>
      <c r="BR439" s="20"/>
      <c r="BS439" s="20"/>
      <c r="BT439" s="125" t="str">
        <f t="shared" si="392"/>
        <v/>
      </c>
      <c r="BU439" s="125" t="str">
        <f t="shared" si="393"/>
        <v/>
      </c>
      <c r="BV439" s="125" t="str">
        <f t="shared" si="394"/>
        <v/>
      </c>
      <c r="BW439" s="129" t="str">
        <f t="shared" si="395"/>
        <v/>
      </c>
      <c r="BX439" s="11"/>
      <c r="BY439" s="15"/>
      <c r="BZ439" s="14"/>
      <c r="CA439" s="117" t="str">
        <f>IF(_xlfn.XLOOKUP(BY439, AutoFill_classes!$A:$A, AutoFill_classes!$B:$B,"")=0,"",_xlfn.XLOOKUP(BY439, AutoFill_classes!$A:$A, AutoFill_classes!$B:$B,""))</f>
        <v/>
      </c>
      <c r="CB439" s="108"/>
      <c r="CC439" s="14"/>
      <c r="CD439" s="14"/>
      <c r="CE439" s="14"/>
      <c r="CF439" s="21"/>
      <c r="CG439" s="22"/>
      <c r="CH439" s="63"/>
      <c r="CI439" s="23"/>
      <c r="CJ439" s="121" t="str">
        <f t="shared" si="396"/>
        <v/>
      </c>
      <c r="CK439" s="20"/>
      <c r="CL439" s="20"/>
      <c r="CM439" s="20"/>
      <c r="CN439" s="20"/>
      <c r="CO439" s="125" t="str">
        <f t="shared" si="397"/>
        <v/>
      </c>
      <c r="CP439" s="14"/>
      <c r="CQ439" s="125" t="str">
        <f t="shared" si="398"/>
        <v/>
      </c>
      <c r="CR439" s="20"/>
      <c r="CS439" s="20"/>
      <c r="CT439" s="125" t="str">
        <f t="shared" si="399"/>
        <v/>
      </c>
      <c r="CU439" s="14"/>
      <c r="CV439" s="125" t="str">
        <f t="shared" si="400"/>
        <v/>
      </c>
      <c r="CW439" s="20"/>
      <c r="CX439" s="20"/>
      <c r="CY439" s="125" t="str">
        <f t="shared" si="401"/>
        <v/>
      </c>
      <c r="CZ439" s="125" t="str">
        <f t="shared" si="402"/>
        <v/>
      </c>
      <c r="DA439" s="125" t="str">
        <f t="shared" si="403"/>
        <v/>
      </c>
      <c r="DB439" s="129" t="str">
        <f t="shared" si="404"/>
        <v/>
      </c>
      <c r="DC439" s="14"/>
      <c r="DD439" s="62"/>
      <c r="DE439" s="105">
        <v>437</v>
      </c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</row>
    <row r="440" spans="1:176" s="1" customFormat="1" ht="13" hidden="1" customHeight="1" outlineLevel="1" x14ac:dyDescent="0.2">
      <c r="A440" s="4"/>
      <c r="B440" s="115" t="str">
        <f>IF(_xlfn.XLOOKUP(A440, AutoFill_names!B:B, AutoFill_names!C:C,"")=0,"",_xlfn.XLOOKUP(A440, AutoFill_names!B:B, AutoFill_names!C:C,""))</f>
        <v/>
      </c>
      <c r="C440" s="115" t="str">
        <f>IF(_xlfn.XLOOKUP(A440, AutoFill_names!B:B, AutoFill_names!D:D,"")=0,"",_xlfn.XLOOKUP(A440, AutoFill_names!B:B, AutoFill_names!D:D,""))</f>
        <v/>
      </c>
      <c r="D440" s="115" t="str">
        <f>IF(_xlfn.XLOOKUP(A440, AutoFill_names!B:B, AutoFill_names!E:E,"")=0,"",_xlfn.XLOOKUP(A440, AutoFill_names!B:B, AutoFill_names!E:E,""))</f>
        <v/>
      </c>
      <c r="E440" s="115" t="str">
        <f>IF(_xlfn.XLOOKUP(A440, AutoFill_names!B:B, AutoFill_names!F:F,"")=0,"",_xlfn.XLOOKUP(A440, AutoFill_names!B:B, AutoFill_names!F:F,""))</f>
        <v/>
      </c>
      <c r="F440" s="92"/>
      <c r="J440" s="115" t="str">
        <f>IF(_xlfn.XLOOKUP(A440, AutoFill_names!B:B, AutoFill_names!K:K,"")=0,"",_xlfn.XLOOKUP(A440, AutoFill_names!B:B, AutoFill_names!K:K,""))</f>
        <v/>
      </c>
      <c r="K440" s="115" t="str">
        <f>IF(_xlfn.XLOOKUP(A440, AutoFill_names!B:B, AutoFill_names!L:L,"")=0,"",_xlfn.XLOOKUP(A440, AutoFill_names!B:B, AutoFill_names!L:L,""))</f>
        <v/>
      </c>
      <c r="L440" s="31"/>
      <c r="M440" s="31"/>
      <c r="N440" s="117" t="str">
        <f>IF(_xlfn.XLOOKUP(L440, AutoFill_classes!A:A, AutoFill_classes!B:B,"")=0,"",_xlfn.XLOOKUP(L440, AutoFill_classes!A:A, AutoFill_classes!B:B,""))</f>
        <v/>
      </c>
      <c r="O440" s="108"/>
      <c r="P440" s="6"/>
      <c r="Q440" s="6"/>
      <c r="R440" s="6"/>
      <c r="X440" s="63"/>
      <c r="Y440" s="19"/>
      <c r="Z440" s="121" t="str">
        <f t="shared" si="378"/>
        <v/>
      </c>
      <c r="AA440" s="20"/>
      <c r="AB440" s="20"/>
      <c r="AC440" s="20"/>
      <c r="AD440" s="20"/>
      <c r="AE440" s="125" t="str">
        <f t="shared" si="379"/>
        <v/>
      </c>
      <c r="AF440" s="14"/>
      <c r="AG440" s="125" t="str">
        <f t="shared" si="380"/>
        <v/>
      </c>
      <c r="AH440" s="20"/>
      <c r="AI440" s="20"/>
      <c r="AJ440" s="125" t="str">
        <f t="shared" si="381"/>
        <v/>
      </c>
      <c r="AK440" s="14"/>
      <c r="AL440" s="125" t="str">
        <f t="shared" si="382"/>
        <v/>
      </c>
      <c r="AM440" s="20"/>
      <c r="AN440" s="20"/>
      <c r="AO440" s="125" t="str">
        <f t="shared" si="383"/>
        <v/>
      </c>
      <c r="AP440" s="125" t="str">
        <f t="shared" si="384"/>
        <v/>
      </c>
      <c r="AQ440" s="125" t="str">
        <f t="shared" si="385"/>
        <v/>
      </c>
      <c r="AR440" s="129" t="str">
        <f t="shared" si="386"/>
        <v/>
      </c>
      <c r="AS440" s="14"/>
      <c r="AT440" s="33"/>
      <c r="AU440" s="33"/>
      <c r="AV440" s="117" t="str">
        <f>IF(_xlfn.XLOOKUP(AT440, AutoFill_classes!$A:$A, AutoFill_classes!$B:$B,"")=0,"",_xlfn.XLOOKUP(AT440, AutoFill_classes!$A:$A, AutoFill_classes!$B:$B,""))</f>
        <v/>
      </c>
      <c r="AW440" s="108"/>
      <c r="AX440" s="11"/>
      <c r="AY440" s="12"/>
      <c r="AZ440" s="11"/>
      <c r="BA440" s="13"/>
      <c r="BB440" s="13"/>
      <c r="BC440" s="63"/>
      <c r="BD440" s="19"/>
      <c r="BE440" s="121" t="str">
        <f t="shared" si="387"/>
        <v/>
      </c>
      <c r="BF440" s="20"/>
      <c r="BG440" s="20"/>
      <c r="BH440" s="20"/>
      <c r="BI440" s="20"/>
      <c r="BJ440" s="125" t="str">
        <f t="shared" si="388"/>
        <v/>
      </c>
      <c r="BK440" s="14"/>
      <c r="BL440" s="125" t="str">
        <f t="shared" si="389"/>
        <v/>
      </c>
      <c r="BM440" s="20"/>
      <c r="BN440" s="20"/>
      <c r="BO440" s="125" t="str">
        <f t="shared" si="390"/>
        <v/>
      </c>
      <c r="BP440" s="14"/>
      <c r="BQ440" s="125" t="str">
        <f t="shared" si="391"/>
        <v/>
      </c>
      <c r="BR440" s="20"/>
      <c r="BS440" s="20"/>
      <c r="BT440" s="125" t="str">
        <f t="shared" si="392"/>
        <v/>
      </c>
      <c r="BU440" s="125" t="str">
        <f t="shared" si="393"/>
        <v/>
      </c>
      <c r="BV440" s="125" t="str">
        <f t="shared" si="394"/>
        <v/>
      </c>
      <c r="BW440" s="129" t="str">
        <f t="shared" si="395"/>
        <v/>
      </c>
      <c r="BX440" s="11"/>
      <c r="BY440" s="15"/>
      <c r="BZ440" s="14"/>
      <c r="CA440" s="117" t="str">
        <f>IF(_xlfn.XLOOKUP(BY440, AutoFill_classes!$A:$A, AutoFill_classes!$B:$B,"")=0,"",_xlfn.XLOOKUP(BY440, AutoFill_classes!$A:$A, AutoFill_classes!$B:$B,""))</f>
        <v/>
      </c>
      <c r="CB440" s="108"/>
      <c r="CC440" s="14"/>
      <c r="CD440" s="14"/>
      <c r="CE440" s="14"/>
      <c r="CF440" s="21"/>
      <c r="CG440" s="22"/>
      <c r="CH440" s="63"/>
      <c r="CI440" s="23"/>
      <c r="CJ440" s="121" t="str">
        <f t="shared" si="396"/>
        <v/>
      </c>
      <c r="CK440" s="20"/>
      <c r="CL440" s="20"/>
      <c r="CM440" s="20"/>
      <c r="CN440" s="20"/>
      <c r="CO440" s="125" t="str">
        <f t="shared" si="397"/>
        <v/>
      </c>
      <c r="CP440" s="14"/>
      <c r="CQ440" s="125" t="str">
        <f t="shared" si="398"/>
        <v/>
      </c>
      <c r="CR440" s="20"/>
      <c r="CS440" s="20"/>
      <c r="CT440" s="125" t="str">
        <f t="shared" si="399"/>
        <v/>
      </c>
      <c r="CU440" s="14"/>
      <c r="CV440" s="125" t="str">
        <f t="shared" si="400"/>
        <v/>
      </c>
      <c r="CW440" s="20"/>
      <c r="CX440" s="20"/>
      <c r="CY440" s="125" t="str">
        <f t="shared" si="401"/>
        <v/>
      </c>
      <c r="CZ440" s="125" t="str">
        <f t="shared" si="402"/>
        <v/>
      </c>
      <c r="DA440" s="125" t="str">
        <f t="shared" si="403"/>
        <v/>
      </c>
      <c r="DB440" s="129" t="str">
        <f t="shared" si="404"/>
        <v/>
      </c>
      <c r="DC440" s="14"/>
      <c r="DD440" s="62"/>
      <c r="DE440" s="105">
        <v>438</v>
      </c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</row>
    <row r="441" spans="1:176" s="1" customFormat="1" ht="13" hidden="1" customHeight="1" outlineLevel="1" x14ac:dyDescent="0.2">
      <c r="A441" s="4"/>
      <c r="B441" s="115" t="str">
        <f>IF(_xlfn.XLOOKUP(A441, AutoFill_names!B:B, AutoFill_names!C:C,"")=0,"",_xlfn.XLOOKUP(A441, AutoFill_names!B:B, AutoFill_names!C:C,""))</f>
        <v/>
      </c>
      <c r="C441" s="115" t="str">
        <f>IF(_xlfn.XLOOKUP(A441, AutoFill_names!B:B, AutoFill_names!D:D,"")=0,"",_xlfn.XLOOKUP(A441, AutoFill_names!B:B, AutoFill_names!D:D,""))</f>
        <v/>
      </c>
      <c r="D441" s="115" t="str">
        <f>IF(_xlfn.XLOOKUP(A441, AutoFill_names!B:B, AutoFill_names!E:E,"")=0,"",_xlfn.XLOOKUP(A441, AutoFill_names!B:B, AutoFill_names!E:E,""))</f>
        <v/>
      </c>
      <c r="E441" s="115" t="str">
        <f>IF(_xlfn.XLOOKUP(A441, AutoFill_names!B:B, AutoFill_names!F:F,"")=0,"",_xlfn.XLOOKUP(A441, AutoFill_names!B:B, AutoFill_names!F:F,""))</f>
        <v/>
      </c>
      <c r="F441" s="92"/>
      <c r="J441" s="115" t="str">
        <f>IF(_xlfn.XLOOKUP(A441, AutoFill_names!B:B, AutoFill_names!K:K,"")=0,"",_xlfn.XLOOKUP(A441, AutoFill_names!B:B, AutoFill_names!K:K,""))</f>
        <v/>
      </c>
      <c r="K441" s="115" t="str">
        <f>IF(_xlfn.XLOOKUP(A441, AutoFill_names!B:B, AutoFill_names!L:L,"")=0,"",_xlfn.XLOOKUP(A441, AutoFill_names!B:B, AutoFill_names!L:L,""))</f>
        <v/>
      </c>
      <c r="L441" s="31"/>
      <c r="M441" s="31"/>
      <c r="N441" s="117" t="str">
        <f>IF(_xlfn.XLOOKUP(L441, AutoFill_classes!A:A, AutoFill_classes!B:B,"")=0,"",_xlfn.XLOOKUP(L441, AutoFill_classes!A:A, AutoFill_classes!B:B,""))</f>
        <v/>
      </c>
      <c r="O441" s="108"/>
      <c r="P441" s="6"/>
      <c r="Q441" s="6"/>
      <c r="R441" s="6"/>
      <c r="X441" s="63"/>
      <c r="Y441" s="19"/>
      <c r="Z441" s="121" t="str">
        <f t="shared" si="378"/>
        <v/>
      </c>
      <c r="AA441" s="20"/>
      <c r="AB441" s="20"/>
      <c r="AC441" s="20"/>
      <c r="AD441" s="20"/>
      <c r="AE441" s="125" t="str">
        <f t="shared" si="379"/>
        <v/>
      </c>
      <c r="AF441" s="14"/>
      <c r="AG441" s="125" t="str">
        <f t="shared" si="380"/>
        <v/>
      </c>
      <c r="AH441" s="20"/>
      <c r="AI441" s="20"/>
      <c r="AJ441" s="125" t="str">
        <f t="shared" si="381"/>
        <v/>
      </c>
      <c r="AK441" s="14"/>
      <c r="AL441" s="125" t="str">
        <f t="shared" si="382"/>
        <v/>
      </c>
      <c r="AM441" s="20"/>
      <c r="AN441" s="20"/>
      <c r="AO441" s="125" t="str">
        <f t="shared" si="383"/>
        <v/>
      </c>
      <c r="AP441" s="125" t="str">
        <f t="shared" si="384"/>
        <v/>
      </c>
      <c r="AQ441" s="125" t="str">
        <f t="shared" si="385"/>
        <v/>
      </c>
      <c r="AR441" s="129" t="str">
        <f t="shared" si="386"/>
        <v/>
      </c>
      <c r="AS441" s="14"/>
      <c r="AT441" s="33"/>
      <c r="AU441" s="33"/>
      <c r="AV441" s="117" t="str">
        <f>IF(_xlfn.XLOOKUP(AT441, AutoFill_classes!$A:$A, AutoFill_classes!$B:$B,"")=0,"",_xlfn.XLOOKUP(AT441, AutoFill_classes!$A:$A, AutoFill_classes!$B:$B,""))</f>
        <v/>
      </c>
      <c r="AW441" s="108"/>
      <c r="AX441" s="11"/>
      <c r="AY441" s="12"/>
      <c r="AZ441" s="11"/>
      <c r="BA441" s="13"/>
      <c r="BB441" s="13"/>
      <c r="BC441" s="63"/>
      <c r="BD441" s="19"/>
      <c r="BE441" s="121" t="str">
        <f t="shared" si="387"/>
        <v/>
      </c>
      <c r="BF441" s="20"/>
      <c r="BG441" s="20"/>
      <c r="BH441" s="20"/>
      <c r="BI441" s="20"/>
      <c r="BJ441" s="125" t="str">
        <f t="shared" si="388"/>
        <v/>
      </c>
      <c r="BK441" s="14"/>
      <c r="BL441" s="125" t="str">
        <f t="shared" si="389"/>
        <v/>
      </c>
      <c r="BM441" s="20"/>
      <c r="BN441" s="20"/>
      <c r="BO441" s="125" t="str">
        <f t="shared" si="390"/>
        <v/>
      </c>
      <c r="BP441" s="14"/>
      <c r="BQ441" s="125" t="str">
        <f t="shared" si="391"/>
        <v/>
      </c>
      <c r="BR441" s="20"/>
      <c r="BS441" s="20"/>
      <c r="BT441" s="125" t="str">
        <f t="shared" si="392"/>
        <v/>
      </c>
      <c r="BU441" s="125" t="str">
        <f t="shared" si="393"/>
        <v/>
      </c>
      <c r="BV441" s="125" t="str">
        <f t="shared" si="394"/>
        <v/>
      </c>
      <c r="BW441" s="129" t="str">
        <f t="shared" si="395"/>
        <v/>
      </c>
      <c r="BX441" s="11"/>
      <c r="BY441" s="15"/>
      <c r="BZ441" s="14"/>
      <c r="CA441" s="117" t="str">
        <f>IF(_xlfn.XLOOKUP(BY441, AutoFill_classes!$A:$A, AutoFill_classes!$B:$B,"")=0,"",_xlfn.XLOOKUP(BY441, AutoFill_classes!$A:$A, AutoFill_classes!$B:$B,""))</f>
        <v/>
      </c>
      <c r="CB441" s="108"/>
      <c r="CC441" s="14"/>
      <c r="CD441" s="14"/>
      <c r="CE441" s="14"/>
      <c r="CF441" s="21"/>
      <c r="CG441" s="22"/>
      <c r="CH441" s="63"/>
      <c r="CI441" s="23"/>
      <c r="CJ441" s="121" t="str">
        <f t="shared" si="396"/>
        <v/>
      </c>
      <c r="CK441" s="20"/>
      <c r="CL441" s="20"/>
      <c r="CM441" s="20"/>
      <c r="CN441" s="20"/>
      <c r="CO441" s="125" t="str">
        <f t="shared" si="397"/>
        <v/>
      </c>
      <c r="CP441" s="14"/>
      <c r="CQ441" s="125" t="str">
        <f t="shared" si="398"/>
        <v/>
      </c>
      <c r="CR441" s="20"/>
      <c r="CS441" s="20"/>
      <c r="CT441" s="125" t="str">
        <f t="shared" si="399"/>
        <v/>
      </c>
      <c r="CU441" s="14"/>
      <c r="CV441" s="125" t="str">
        <f t="shared" si="400"/>
        <v/>
      </c>
      <c r="CW441" s="20"/>
      <c r="CX441" s="20"/>
      <c r="CY441" s="125" t="str">
        <f t="shared" si="401"/>
        <v/>
      </c>
      <c r="CZ441" s="125" t="str">
        <f t="shared" si="402"/>
        <v/>
      </c>
      <c r="DA441" s="125" t="str">
        <f t="shared" si="403"/>
        <v/>
      </c>
      <c r="DB441" s="129" t="str">
        <f t="shared" si="404"/>
        <v/>
      </c>
      <c r="DC441" s="14"/>
      <c r="DD441" s="62"/>
      <c r="DE441" s="105">
        <v>439</v>
      </c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</row>
    <row r="442" spans="1:176" s="1" customFormat="1" ht="13" hidden="1" customHeight="1" outlineLevel="1" x14ac:dyDescent="0.2">
      <c r="A442" s="4"/>
      <c r="B442" s="115" t="str">
        <f>IF(_xlfn.XLOOKUP(A442, AutoFill_names!B:B, AutoFill_names!C:C,"")=0,"",_xlfn.XLOOKUP(A442, AutoFill_names!B:B, AutoFill_names!C:C,""))</f>
        <v/>
      </c>
      <c r="C442" s="115" t="str">
        <f>IF(_xlfn.XLOOKUP(A442, AutoFill_names!B:B, AutoFill_names!D:D,"")=0,"",_xlfn.XLOOKUP(A442, AutoFill_names!B:B, AutoFill_names!D:D,""))</f>
        <v/>
      </c>
      <c r="D442" s="115" t="str">
        <f>IF(_xlfn.XLOOKUP(A442, AutoFill_names!B:B, AutoFill_names!E:E,"")=0,"",_xlfn.XLOOKUP(A442, AutoFill_names!B:B, AutoFill_names!E:E,""))</f>
        <v/>
      </c>
      <c r="E442" s="115" t="str">
        <f>IF(_xlfn.XLOOKUP(A442, AutoFill_names!B:B, AutoFill_names!F:F,"")=0,"",_xlfn.XLOOKUP(A442, AutoFill_names!B:B, AutoFill_names!F:F,""))</f>
        <v/>
      </c>
      <c r="F442" s="92"/>
      <c r="J442" s="115" t="str">
        <f>IF(_xlfn.XLOOKUP(A442, AutoFill_names!B:B, AutoFill_names!K:K,"")=0,"",_xlfn.XLOOKUP(A442, AutoFill_names!B:B, AutoFill_names!K:K,""))</f>
        <v/>
      </c>
      <c r="K442" s="115" t="str">
        <f>IF(_xlfn.XLOOKUP(A442, AutoFill_names!B:B, AutoFill_names!L:L,"")=0,"",_xlfn.XLOOKUP(A442, AutoFill_names!B:B, AutoFill_names!L:L,""))</f>
        <v/>
      </c>
      <c r="L442" s="31"/>
      <c r="M442" s="31"/>
      <c r="N442" s="117" t="str">
        <f>IF(_xlfn.XLOOKUP(L442, AutoFill_classes!A:A, AutoFill_classes!B:B,"")=0,"",_xlfn.XLOOKUP(L442, AutoFill_classes!A:A, AutoFill_classes!B:B,""))</f>
        <v/>
      </c>
      <c r="O442" s="108"/>
      <c r="P442" s="6"/>
      <c r="Q442" s="6"/>
      <c r="R442" s="6"/>
      <c r="X442" s="63"/>
      <c r="Y442" s="19"/>
      <c r="Z442" s="121" t="str">
        <f t="shared" si="378"/>
        <v/>
      </c>
      <c r="AA442" s="20"/>
      <c r="AB442" s="20"/>
      <c r="AC442" s="20"/>
      <c r="AD442" s="20"/>
      <c r="AE442" s="125" t="str">
        <f t="shared" si="379"/>
        <v/>
      </c>
      <c r="AF442" s="14"/>
      <c r="AG442" s="125" t="str">
        <f t="shared" si="380"/>
        <v/>
      </c>
      <c r="AH442" s="20"/>
      <c r="AI442" s="20"/>
      <c r="AJ442" s="125" t="str">
        <f t="shared" si="381"/>
        <v/>
      </c>
      <c r="AK442" s="14"/>
      <c r="AL442" s="125" t="str">
        <f t="shared" si="382"/>
        <v/>
      </c>
      <c r="AM442" s="20"/>
      <c r="AN442" s="20"/>
      <c r="AO442" s="125" t="str">
        <f t="shared" si="383"/>
        <v/>
      </c>
      <c r="AP442" s="125" t="str">
        <f t="shared" si="384"/>
        <v/>
      </c>
      <c r="AQ442" s="125" t="str">
        <f t="shared" si="385"/>
        <v/>
      </c>
      <c r="AR442" s="129" t="str">
        <f t="shared" si="386"/>
        <v/>
      </c>
      <c r="AS442" s="14"/>
      <c r="AT442" s="33"/>
      <c r="AU442" s="33"/>
      <c r="AV442" s="117" t="str">
        <f>IF(_xlfn.XLOOKUP(AT442, AutoFill_classes!$A:$A, AutoFill_classes!$B:$B,"")=0,"",_xlfn.XLOOKUP(AT442, AutoFill_classes!$A:$A, AutoFill_classes!$B:$B,""))</f>
        <v/>
      </c>
      <c r="AW442" s="108"/>
      <c r="AX442" s="11"/>
      <c r="AY442" s="12"/>
      <c r="AZ442" s="11"/>
      <c r="BA442" s="13"/>
      <c r="BB442" s="13"/>
      <c r="BC442" s="63"/>
      <c r="BD442" s="19"/>
      <c r="BE442" s="121" t="str">
        <f t="shared" si="387"/>
        <v/>
      </c>
      <c r="BF442" s="20"/>
      <c r="BG442" s="20"/>
      <c r="BH442" s="20"/>
      <c r="BI442" s="20"/>
      <c r="BJ442" s="125" t="str">
        <f t="shared" si="388"/>
        <v/>
      </c>
      <c r="BK442" s="14"/>
      <c r="BL442" s="125" t="str">
        <f t="shared" si="389"/>
        <v/>
      </c>
      <c r="BM442" s="20"/>
      <c r="BN442" s="20"/>
      <c r="BO442" s="125" t="str">
        <f t="shared" si="390"/>
        <v/>
      </c>
      <c r="BP442" s="14"/>
      <c r="BQ442" s="125" t="str">
        <f t="shared" si="391"/>
        <v/>
      </c>
      <c r="BR442" s="20"/>
      <c r="BS442" s="20"/>
      <c r="BT442" s="125" t="str">
        <f t="shared" si="392"/>
        <v/>
      </c>
      <c r="BU442" s="125" t="str">
        <f t="shared" si="393"/>
        <v/>
      </c>
      <c r="BV442" s="125" t="str">
        <f t="shared" si="394"/>
        <v/>
      </c>
      <c r="BW442" s="129" t="str">
        <f t="shared" si="395"/>
        <v/>
      </c>
      <c r="BX442" s="11"/>
      <c r="BY442" s="15"/>
      <c r="BZ442" s="14"/>
      <c r="CA442" s="117" t="str">
        <f>IF(_xlfn.XLOOKUP(BY442, AutoFill_classes!$A:$A, AutoFill_classes!$B:$B,"")=0,"",_xlfn.XLOOKUP(BY442, AutoFill_classes!$A:$A, AutoFill_classes!$B:$B,""))</f>
        <v/>
      </c>
      <c r="CB442" s="108"/>
      <c r="CC442" s="14"/>
      <c r="CD442" s="14"/>
      <c r="CE442" s="14"/>
      <c r="CF442" s="21"/>
      <c r="CG442" s="22"/>
      <c r="CH442" s="63"/>
      <c r="CI442" s="23"/>
      <c r="CJ442" s="121" t="str">
        <f t="shared" si="396"/>
        <v/>
      </c>
      <c r="CK442" s="20"/>
      <c r="CL442" s="20"/>
      <c r="CM442" s="20"/>
      <c r="CN442" s="20"/>
      <c r="CO442" s="125" t="str">
        <f t="shared" si="397"/>
        <v/>
      </c>
      <c r="CP442" s="14"/>
      <c r="CQ442" s="125" t="str">
        <f t="shared" si="398"/>
        <v/>
      </c>
      <c r="CR442" s="20"/>
      <c r="CS442" s="20"/>
      <c r="CT442" s="125" t="str">
        <f t="shared" si="399"/>
        <v/>
      </c>
      <c r="CU442" s="14"/>
      <c r="CV442" s="125" t="str">
        <f t="shared" si="400"/>
        <v/>
      </c>
      <c r="CW442" s="20"/>
      <c r="CX442" s="20"/>
      <c r="CY442" s="125" t="str">
        <f t="shared" si="401"/>
        <v/>
      </c>
      <c r="CZ442" s="125" t="str">
        <f t="shared" si="402"/>
        <v/>
      </c>
      <c r="DA442" s="125" t="str">
        <f t="shared" si="403"/>
        <v/>
      </c>
      <c r="DB442" s="129" t="str">
        <f t="shared" si="404"/>
        <v/>
      </c>
      <c r="DC442" s="14"/>
      <c r="DD442" s="62"/>
      <c r="DE442" s="105">
        <v>440</v>
      </c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</row>
    <row r="443" spans="1:176" s="1" customFormat="1" ht="13" hidden="1" customHeight="1" outlineLevel="1" x14ac:dyDescent="0.2">
      <c r="A443" s="4"/>
      <c r="B443" s="115" t="str">
        <f>IF(_xlfn.XLOOKUP(A443, AutoFill_names!B:B, AutoFill_names!C:C,"")=0,"",_xlfn.XLOOKUP(A443, AutoFill_names!B:B, AutoFill_names!C:C,""))</f>
        <v/>
      </c>
      <c r="C443" s="115" t="str">
        <f>IF(_xlfn.XLOOKUP(A443, AutoFill_names!B:B, AutoFill_names!D:D,"")=0,"",_xlfn.XLOOKUP(A443, AutoFill_names!B:B, AutoFill_names!D:D,""))</f>
        <v/>
      </c>
      <c r="D443" s="115" t="str">
        <f>IF(_xlfn.XLOOKUP(A443, AutoFill_names!B:B, AutoFill_names!E:E,"")=0,"",_xlfn.XLOOKUP(A443, AutoFill_names!B:B, AutoFill_names!E:E,""))</f>
        <v/>
      </c>
      <c r="E443" s="115" t="str">
        <f>IF(_xlfn.XLOOKUP(A443, AutoFill_names!B:B, AutoFill_names!F:F,"")=0,"",_xlfn.XLOOKUP(A443, AutoFill_names!B:B, AutoFill_names!F:F,""))</f>
        <v/>
      </c>
      <c r="F443" s="92"/>
      <c r="J443" s="115" t="str">
        <f>IF(_xlfn.XLOOKUP(A443, AutoFill_names!B:B, AutoFill_names!K:K,"")=0,"",_xlfn.XLOOKUP(A443, AutoFill_names!B:B, AutoFill_names!K:K,""))</f>
        <v/>
      </c>
      <c r="K443" s="115" t="str">
        <f>IF(_xlfn.XLOOKUP(A443, AutoFill_names!B:B, AutoFill_names!L:L,"")=0,"",_xlfn.XLOOKUP(A443, AutoFill_names!B:B, AutoFill_names!L:L,""))</f>
        <v/>
      </c>
      <c r="L443" s="31"/>
      <c r="M443" s="31"/>
      <c r="N443" s="117" t="str">
        <f>IF(_xlfn.XLOOKUP(L443, AutoFill_classes!A:A, AutoFill_classes!B:B,"")=0,"",_xlfn.XLOOKUP(L443, AutoFill_classes!A:A, AutoFill_classes!B:B,""))</f>
        <v/>
      </c>
      <c r="O443" s="108"/>
      <c r="P443" s="6"/>
      <c r="Q443" s="6"/>
      <c r="R443" s="6"/>
      <c r="X443" s="63"/>
      <c r="Y443" s="19"/>
      <c r="Z443" s="121" t="str">
        <f t="shared" si="378"/>
        <v/>
      </c>
      <c r="AA443" s="20"/>
      <c r="AB443" s="20"/>
      <c r="AC443" s="20"/>
      <c r="AD443" s="20"/>
      <c r="AE443" s="125" t="str">
        <f t="shared" si="379"/>
        <v/>
      </c>
      <c r="AF443" s="14"/>
      <c r="AG443" s="125" t="str">
        <f t="shared" si="380"/>
        <v/>
      </c>
      <c r="AH443" s="20"/>
      <c r="AI443" s="20"/>
      <c r="AJ443" s="125" t="str">
        <f t="shared" si="381"/>
        <v/>
      </c>
      <c r="AK443" s="14"/>
      <c r="AL443" s="125" t="str">
        <f t="shared" si="382"/>
        <v/>
      </c>
      <c r="AM443" s="20"/>
      <c r="AN443" s="20"/>
      <c r="AO443" s="125" t="str">
        <f t="shared" si="383"/>
        <v/>
      </c>
      <c r="AP443" s="125" t="str">
        <f t="shared" si="384"/>
        <v/>
      </c>
      <c r="AQ443" s="125" t="str">
        <f t="shared" si="385"/>
        <v/>
      </c>
      <c r="AR443" s="129" t="str">
        <f t="shared" si="386"/>
        <v/>
      </c>
      <c r="AS443" s="14"/>
      <c r="AT443" s="33"/>
      <c r="AU443" s="33"/>
      <c r="AV443" s="117" t="str">
        <f>IF(_xlfn.XLOOKUP(AT443, AutoFill_classes!$A:$A, AutoFill_classes!$B:$B,"")=0,"",_xlfn.XLOOKUP(AT443, AutoFill_classes!$A:$A, AutoFill_classes!$B:$B,""))</f>
        <v/>
      </c>
      <c r="AW443" s="108"/>
      <c r="AX443" s="11"/>
      <c r="AY443" s="12"/>
      <c r="AZ443" s="11"/>
      <c r="BA443" s="13"/>
      <c r="BB443" s="13"/>
      <c r="BC443" s="63"/>
      <c r="BD443" s="19"/>
      <c r="BE443" s="121" t="str">
        <f t="shared" si="387"/>
        <v/>
      </c>
      <c r="BF443" s="20"/>
      <c r="BG443" s="20"/>
      <c r="BH443" s="20"/>
      <c r="BI443" s="20"/>
      <c r="BJ443" s="125" t="str">
        <f t="shared" si="388"/>
        <v/>
      </c>
      <c r="BK443" s="14"/>
      <c r="BL443" s="125" t="str">
        <f t="shared" si="389"/>
        <v/>
      </c>
      <c r="BM443" s="20"/>
      <c r="BN443" s="20"/>
      <c r="BO443" s="125" t="str">
        <f t="shared" si="390"/>
        <v/>
      </c>
      <c r="BP443" s="14"/>
      <c r="BQ443" s="125" t="str">
        <f t="shared" si="391"/>
        <v/>
      </c>
      <c r="BR443" s="20"/>
      <c r="BS443" s="20"/>
      <c r="BT443" s="125" t="str">
        <f t="shared" si="392"/>
        <v/>
      </c>
      <c r="BU443" s="125" t="str">
        <f t="shared" si="393"/>
        <v/>
      </c>
      <c r="BV443" s="125" t="str">
        <f t="shared" si="394"/>
        <v/>
      </c>
      <c r="BW443" s="129" t="str">
        <f t="shared" si="395"/>
        <v/>
      </c>
      <c r="BX443" s="11"/>
      <c r="BY443" s="15"/>
      <c r="BZ443" s="14"/>
      <c r="CA443" s="117" t="str">
        <f>IF(_xlfn.XLOOKUP(BY443, AutoFill_classes!$A:$A, AutoFill_classes!$B:$B,"")=0,"",_xlfn.XLOOKUP(BY443, AutoFill_classes!$A:$A, AutoFill_classes!$B:$B,""))</f>
        <v/>
      </c>
      <c r="CB443" s="108"/>
      <c r="CC443" s="14"/>
      <c r="CD443" s="14"/>
      <c r="CE443" s="14"/>
      <c r="CF443" s="21"/>
      <c r="CG443" s="22"/>
      <c r="CH443" s="63"/>
      <c r="CI443" s="23"/>
      <c r="CJ443" s="121" t="str">
        <f t="shared" si="396"/>
        <v/>
      </c>
      <c r="CK443" s="20"/>
      <c r="CL443" s="20"/>
      <c r="CM443" s="20"/>
      <c r="CN443" s="20"/>
      <c r="CO443" s="125" t="str">
        <f t="shared" si="397"/>
        <v/>
      </c>
      <c r="CP443" s="14"/>
      <c r="CQ443" s="125" t="str">
        <f t="shared" si="398"/>
        <v/>
      </c>
      <c r="CR443" s="20"/>
      <c r="CS443" s="20"/>
      <c r="CT443" s="125" t="str">
        <f t="shared" si="399"/>
        <v/>
      </c>
      <c r="CU443" s="14"/>
      <c r="CV443" s="125" t="str">
        <f t="shared" si="400"/>
        <v/>
      </c>
      <c r="CW443" s="20"/>
      <c r="CX443" s="20"/>
      <c r="CY443" s="125" t="str">
        <f t="shared" si="401"/>
        <v/>
      </c>
      <c r="CZ443" s="125" t="str">
        <f t="shared" si="402"/>
        <v/>
      </c>
      <c r="DA443" s="125" t="str">
        <f t="shared" si="403"/>
        <v/>
      </c>
      <c r="DB443" s="129" t="str">
        <f t="shared" si="404"/>
        <v/>
      </c>
      <c r="DC443" s="14"/>
      <c r="DD443" s="62"/>
      <c r="DE443" s="105">
        <v>441</v>
      </c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</row>
    <row r="444" spans="1:176" s="1" customFormat="1" ht="13" hidden="1" customHeight="1" outlineLevel="1" x14ac:dyDescent="0.2">
      <c r="A444" s="4"/>
      <c r="B444" s="115" t="str">
        <f>IF(_xlfn.XLOOKUP(A444, AutoFill_names!B:B, AutoFill_names!C:C,"")=0,"",_xlfn.XLOOKUP(A444, AutoFill_names!B:B, AutoFill_names!C:C,""))</f>
        <v/>
      </c>
      <c r="C444" s="115" t="str">
        <f>IF(_xlfn.XLOOKUP(A444, AutoFill_names!B:B, AutoFill_names!D:D,"")=0,"",_xlfn.XLOOKUP(A444, AutoFill_names!B:B, AutoFill_names!D:D,""))</f>
        <v/>
      </c>
      <c r="D444" s="115" t="str">
        <f>IF(_xlfn.XLOOKUP(A444, AutoFill_names!B:B, AutoFill_names!E:E,"")=0,"",_xlfn.XLOOKUP(A444, AutoFill_names!B:B, AutoFill_names!E:E,""))</f>
        <v/>
      </c>
      <c r="E444" s="115" t="str">
        <f>IF(_xlfn.XLOOKUP(A444, AutoFill_names!B:B, AutoFill_names!F:F,"")=0,"",_xlfn.XLOOKUP(A444, AutoFill_names!B:B, AutoFill_names!F:F,""))</f>
        <v/>
      </c>
      <c r="F444" s="92"/>
      <c r="J444" s="115" t="str">
        <f>IF(_xlfn.XLOOKUP(A444, AutoFill_names!B:B, AutoFill_names!K:K,"")=0,"",_xlfn.XLOOKUP(A444, AutoFill_names!B:B, AutoFill_names!K:K,""))</f>
        <v/>
      </c>
      <c r="K444" s="115" t="str">
        <f>IF(_xlfn.XLOOKUP(A444, AutoFill_names!B:B, AutoFill_names!L:L,"")=0,"",_xlfn.XLOOKUP(A444, AutoFill_names!B:B, AutoFill_names!L:L,""))</f>
        <v/>
      </c>
      <c r="L444" s="31"/>
      <c r="M444" s="31"/>
      <c r="N444" s="117" t="str">
        <f>IF(_xlfn.XLOOKUP(L444, AutoFill_classes!A:A, AutoFill_classes!B:B,"")=0,"",_xlfn.XLOOKUP(L444, AutoFill_classes!A:A, AutoFill_classes!B:B,""))</f>
        <v/>
      </c>
      <c r="O444" s="108"/>
      <c r="P444" s="6"/>
      <c r="Q444" s="6"/>
      <c r="R444" s="6"/>
      <c r="X444" s="63"/>
      <c r="Y444" s="19"/>
      <c r="Z444" s="121" t="str">
        <f t="shared" si="378"/>
        <v/>
      </c>
      <c r="AA444" s="20"/>
      <c r="AB444" s="20"/>
      <c r="AC444" s="20"/>
      <c r="AD444" s="20"/>
      <c r="AE444" s="125" t="str">
        <f t="shared" si="379"/>
        <v/>
      </c>
      <c r="AF444" s="14"/>
      <c r="AG444" s="125" t="str">
        <f t="shared" si="380"/>
        <v/>
      </c>
      <c r="AH444" s="20"/>
      <c r="AI444" s="20"/>
      <c r="AJ444" s="125" t="str">
        <f t="shared" si="381"/>
        <v/>
      </c>
      <c r="AK444" s="14"/>
      <c r="AL444" s="125" t="str">
        <f t="shared" si="382"/>
        <v/>
      </c>
      <c r="AM444" s="20"/>
      <c r="AN444" s="20"/>
      <c r="AO444" s="125" t="str">
        <f t="shared" si="383"/>
        <v/>
      </c>
      <c r="AP444" s="125" t="str">
        <f t="shared" si="384"/>
        <v/>
      </c>
      <c r="AQ444" s="125" t="str">
        <f t="shared" si="385"/>
        <v/>
      </c>
      <c r="AR444" s="129" t="str">
        <f t="shared" si="386"/>
        <v/>
      </c>
      <c r="AS444" s="14"/>
      <c r="AT444" s="33"/>
      <c r="AU444" s="33"/>
      <c r="AV444" s="117" t="str">
        <f>IF(_xlfn.XLOOKUP(AT444, AutoFill_classes!$A:$A, AutoFill_classes!$B:$B,"")=0,"",_xlfn.XLOOKUP(AT444, AutoFill_classes!$A:$A, AutoFill_classes!$B:$B,""))</f>
        <v/>
      </c>
      <c r="AW444" s="108"/>
      <c r="AX444" s="11"/>
      <c r="AY444" s="12"/>
      <c r="AZ444" s="11"/>
      <c r="BA444" s="13"/>
      <c r="BB444" s="13"/>
      <c r="BC444" s="63"/>
      <c r="BD444" s="19"/>
      <c r="BE444" s="121" t="str">
        <f t="shared" si="387"/>
        <v/>
      </c>
      <c r="BF444" s="20"/>
      <c r="BG444" s="20"/>
      <c r="BH444" s="20"/>
      <c r="BI444" s="20"/>
      <c r="BJ444" s="125" t="str">
        <f t="shared" si="388"/>
        <v/>
      </c>
      <c r="BK444" s="14"/>
      <c r="BL444" s="125" t="str">
        <f t="shared" si="389"/>
        <v/>
      </c>
      <c r="BM444" s="20"/>
      <c r="BN444" s="20"/>
      <c r="BO444" s="125" t="str">
        <f t="shared" si="390"/>
        <v/>
      </c>
      <c r="BP444" s="14"/>
      <c r="BQ444" s="125" t="str">
        <f t="shared" si="391"/>
        <v/>
      </c>
      <c r="BR444" s="20"/>
      <c r="BS444" s="20"/>
      <c r="BT444" s="125" t="str">
        <f t="shared" si="392"/>
        <v/>
      </c>
      <c r="BU444" s="125" t="str">
        <f t="shared" si="393"/>
        <v/>
      </c>
      <c r="BV444" s="125" t="str">
        <f t="shared" si="394"/>
        <v/>
      </c>
      <c r="BW444" s="129" t="str">
        <f t="shared" si="395"/>
        <v/>
      </c>
      <c r="BX444" s="11"/>
      <c r="BY444" s="15"/>
      <c r="BZ444" s="14"/>
      <c r="CA444" s="117" t="str">
        <f>IF(_xlfn.XLOOKUP(BY444, AutoFill_classes!$A:$A, AutoFill_classes!$B:$B,"")=0,"",_xlfn.XLOOKUP(BY444, AutoFill_classes!$A:$A, AutoFill_classes!$B:$B,""))</f>
        <v/>
      </c>
      <c r="CB444" s="108"/>
      <c r="CC444" s="14"/>
      <c r="CD444" s="14"/>
      <c r="CE444" s="14"/>
      <c r="CF444" s="21"/>
      <c r="CG444" s="22"/>
      <c r="CH444" s="63"/>
      <c r="CI444" s="23"/>
      <c r="CJ444" s="121" t="str">
        <f t="shared" si="396"/>
        <v/>
      </c>
      <c r="CK444" s="20"/>
      <c r="CL444" s="20"/>
      <c r="CM444" s="20"/>
      <c r="CN444" s="20"/>
      <c r="CO444" s="125" t="str">
        <f t="shared" si="397"/>
        <v/>
      </c>
      <c r="CP444" s="14"/>
      <c r="CQ444" s="125" t="str">
        <f t="shared" si="398"/>
        <v/>
      </c>
      <c r="CR444" s="20"/>
      <c r="CS444" s="20"/>
      <c r="CT444" s="125" t="str">
        <f t="shared" si="399"/>
        <v/>
      </c>
      <c r="CU444" s="14"/>
      <c r="CV444" s="125" t="str">
        <f t="shared" si="400"/>
        <v/>
      </c>
      <c r="CW444" s="20"/>
      <c r="CX444" s="20"/>
      <c r="CY444" s="125" t="str">
        <f t="shared" si="401"/>
        <v/>
      </c>
      <c r="CZ444" s="125" t="str">
        <f t="shared" si="402"/>
        <v/>
      </c>
      <c r="DA444" s="125" t="str">
        <f t="shared" si="403"/>
        <v/>
      </c>
      <c r="DB444" s="129" t="str">
        <f t="shared" si="404"/>
        <v/>
      </c>
      <c r="DC444" s="14"/>
      <c r="DD444" s="62"/>
      <c r="DE444" s="105">
        <v>442</v>
      </c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</row>
    <row r="445" spans="1:176" s="1" customFormat="1" ht="13" hidden="1" customHeight="1" outlineLevel="1" x14ac:dyDescent="0.2">
      <c r="A445" s="4"/>
      <c r="B445" s="115" t="str">
        <f>IF(_xlfn.XLOOKUP(A445, AutoFill_names!B:B, AutoFill_names!C:C,"")=0,"",_xlfn.XLOOKUP(A445, AutoFill_names!B:B, AutoFill_names!C:C,""))</f>
        <v/>
      </c>
      <c r="C445" s="115" t="str">
        <f>IF(_xlfn.XLOOKUP(A445, AutoFill_names!B:B, AutoFill_names!D:D,"")=0,"",_xlfn.XLOOKUP(A445, AutoFill_names!B:B, AutoFill_names!D:D,""))</f>
        <v/>
      </c>
      <c r="D445" s="115" t="str">
        <f>IF(_xlfn.XLOOKUP(A445, AutoFill_names!B:B, AutoFill_names!E:E,"")=0,"",_xlfn.XLOOKUP(A445, AutoFill_names!B:B, AutoFill_names!E:E,""))</f>
        <v/>
      </c>
      <c r="E445" s="115" t="str">
        <f>IF(_xlfn.XLOOKUP(A445, AutoFill_names!B:B, AutoFill_names!F:F,"")=0,"",_xlfn.XLOOKUP(A445, AutoFill_names!B:B, AutoFill_names!F:F,""))</f>
        <v/>
      </c>
      <c r="F445" s="92"/>
      <c r="J445" s="115" t="str">
        <f>IF(_xlfn.XLOOKUP(A445, AutoFill_names!B:B, AutoFill_names!K:K,"")=0,"",_xlfn.XLOOKUP(A445, AutoFill_names!B:B, AutoFill_names!K:K,""))</f>
        <v/>
      </c>
      <c r="K445" s="115" t="str">
        <f>IF(_xlfn.XLOOKUP(A445, AutoFill_names!B:B, AutoFill_names!L:L,"")=0,"",_xlfn.XLOOKUP(A445, AutoFill_names!B:B, AutoFill_names!L:L,""))</f>
        <v/>
      </c>
      <c r="L445" s="31"/>
      <c r="M445" s="31"/>
      <c r="N445" s="117" t="str">
        <f>IF(_xlfn.XLOOKUP(L445, AutoFill_classes!A:A, AutoFill_classes!B:B,"")=0,"",_xlfn.XLOOKUP(L445, AutoFill_classes!A:A, AutoFill_classes!B:B,""))</f>
        <v/>
      </c>
      <c r="O445" s="108"/>
      <c r="P445" s="6"/>
      <c r="Q445" s="6"/>
      <c r="R445" s="6"/>
      <c r="X445" s="63"/>
      <c r="Y445" s="19"/>
      <c r="Z445" s="121" t="str">
        <f t="shared" si="378"/>
        <v/>
      </c>
      <c r="AA445" s="20"/>
      <c r="AB445" s="20"/>
      <c r="AC445" s="20"/>
      <c r="AD445" s="20"/>
      <c r="AE445" s="125" t="str">
        <f t="shared" si="379"/>
        <v/>
      </c>
      <c r="AF445" s="14"/>
      <c r="AG445" s="125" t="str">
        <f t="shared" si="380"/>
        <v/>
      </c>
      <c r="AH445" s="20"/>
      <c r="AI445" s="20"/>
      <c r="AJ445" s="125" t="str">
        <f t="shared" si="381"/>
        <v/>
      </c>
      <c r="AK445" s="14"/>
      <c r="AL445" s="125" t="str">
        <f t="shared" si="382"/>
        <v/>
      </c>
      <c r="AM445" s="20"/>
      <c r="AN445" s="20"/>
      <c r="AO445" s="125" t="str">
        <f t="shared" si="383"/>
        <v/>
      </c>
      <c r="AP445" s="125" t="str">
        <f t="shared" si="384"/>
        <v/>
      </c>
      <c r="AQ445" s="125" t="str">
        <f t="shared" si="385"/>
        <v/>
      </c>
      <c r="AR445" s="129" t="str">
        <f t="shared" si="386"/>
        <v/>
      </c>
      <c r="AS445" s="14"/>
      <c r="AT445" s="33"/>
      <c r="AU445" s="33"/>
      <c r="AV445" s="117" t="str">
        <f>IF(_xlfn.XLOOKUP(AT445, AutoFill_classes!$A:$A, AutoFill_classes!$B:$B,"")=0,"",_xlfn.XLOOKUP(AT445, AutoFill_classes!$A:$A, AutoFill_classes!$B:$B,""))</f>
        <v/>
      </c>
      <c r="AW445" s="108"/>
      <c r="AX445" s="11"/>
      <c r="AY445" s="12"/>
      <c r="AZ445" s="11"/>
      <c r="BA445" s="13"/>
      <c r="BB445" s="13"/>
      <c r="BC445" s="63"/>
      <c r="BD445" s="19"/>
      <c r="BE445" s="121" t="str">
        <f t="shared" si="387"/>
        <v/>
      </c>
      <c r="BF445" s="20"/>
      <c r="BG445" s="20"/>
      <c r="BH445" s="20"/>
      <c r="BI445" s="20"/>
      <c r="BJ445" s="125" t="str">
        <f t="shared" si="388"/>
        <v/>
      </c>
      <c r="BK445" s="14"/>
      <c r="BL445" s="125" t="str">
        <f t="shared" si="389"/>
        <v/>
      </c>
      <c r="BM445" s="20"/>
      <c r="BN445" s="20"/>
      <c r="BO445" s="125" t="str">
        <f t="shared" si="390"/>
        <v/>
      </c>
      <c r="BP445" s="14"/>
      <c r="BQ445" s="125" t="str">
        <f t="shared" si="391"/>
        <v/>
      </c>
      <c r="BR445" s="20"/>
      <c r="BS445" s="20"/>
      <c r="BT445" s="125" t="str">
        <f t="shared" si="392"/>
        <v/>
      </c>
      <c r="BU445" s="125" t="str">
        <f t="shared" si="393"/>
        <v/>
      </c>
      <c r="BV445" s="125" t="str">
        <f t="shared" si="394"/>
        <v/>
      </c>
      <c r="BW445" s="129" t="str">
        <f t="shared" si="395"/>
        <v/>
      </c>
      <c r="BX445" s="11"/>
      <c r="BY445" s="15"/>
      <c r="BZ445" s="14"/>
      <c r="CA445" s="117" t="str">
        <f>IF(_xlfn.XLOOKUP(BY445, AutoFill_classes!$A:$A, AutoFill_classes!$B:$B,"")=0,"",_xlfn.XLOOKUP(BY445, AutoFill_classes!$A:$A, AutoFill_classes!$B:$B,""))</f>
        <v/>
      </c>
      <c r="CB445" s="108"/>
      <c r="CC445" s="14"/>
      <c r="CD445" s="14"/>
      <c r="CE445" s="14"/>
      <c r="CF445" s="21"/>
      <c r="CG445" s="22"/>
      <c r="CH445" s="63"/>
      <c r="CI445" s="23"/>
      <c r="CJ445" s="121" t="str">
        <f t="shared" si="396"/>
        <v/>
      </c>
      <c r="CK445" s="20"/>
      <c r="CL445" s="20"/>
      <c r="CM445" s="20"/>
      <c r="CN445" s="20"/>
      <c r="CO445" s="125" t="str">
        <f t="shared" si="397"/>
        <v/>
      </c>
      <c r="CP445" s="14"/>
      <c r="CQ445" s="125" t="str">
        <f t="shared" si="398"/>
        <v/>
      </c>
      <c r="CR445" s="20"/>
      <c r="CS445" s="20"/>
      <c r="CT445" s="125" t="str">
        <f t="shared" si="399"/>
        <v/>
      </c>
      <c r="CU445" s="14"/>
      <c r="CV445" s="125" t="str">
        <f t="shared" si="400"/>
        <v/>
      </c>
      <c r="CW445" s="20"/>
      <c r="CX445" s="20"/>
      <c r="CY445" s="125" t="str">
        <f t="shared" si="401"/>
        <v/>
      </c>
      <c r="CZ445" s="125" t="str">
        <f t="shared" si="402"/>
        <v/>
      </c>
      <c r="DA445" s="125" t="str">
        <f t="shared" si="403"/>
        <v/>
      </c>
      <c r="DB445" s="129" t="str">
        <f t="shared" si="404"/>
        <v/>
      </c>
      <c r="DC445" s="14"/>
      <c r="DD445" s="62"/>
      <c r="DE445" s="105">
        <v>443</v>
      </c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</row>
    <row r="446" spans="1:176" s="1" customFormat="1" ht="13" hidden="1" customHeight="1" outlineLevel="1" x14ac:dyDescent="0.2">
      <c r="A446" s="4"/>
      <c r="B446" s="115" t="str">
        <f>IF(_xlfn.XLOOKUP(A446, AutoFill_names!B:B, AutoFill_names!C:C,"")=0,"",_xlfn.XLOOKUP(A446, AutoFill_names!B:B, AutoFill_names!C:C,""))</f>
        <v/>
      </c>
      <c r="C446" s="115" t="str">
        <f>IF(_xlfn.XLOOKUP(A446, AutoFill_names!B:B, AutoFill_names!D:D,"")=0,"",_xlfn.XLOOKUP(A446, AutoFill_names!B:B, AutoFill_names!D:D,""))</f>
        <v/>
      </c>
      <c r="D446" s="115" t="str">
        <f>IF(_xlfn.XLOOKUP(A446, AutoFill_names!B:B, AutoFill_names!E:E,"")=0,"",_xlfn.XLOOKUP(A446, AutoFill_names!B:B, AutoFill_names!E:E,""))</f>
        <v/>
      </c>
      <c r="E446" s="115" t="str">
        <f>IF(_xlfn.XLOOKUP(A446, AutoFill_names!B:B, AutoFill_names!F:F,"")=0,"",_xlfn.XLOOKUP(A446, AutoFill_names!B:B, AutoFill_names!F:F,""))</f>
        <v/>
      </c>
      <c r="F446" s="92"/>
      <c r="J446" s="115" t="str">
        <f>IF(_xlfn.XLOOKUP(A446, AutoFill_names!B:B, AutoFill_names!K:K,"")=0,"",_xlfn.XLOOKUP(A446, AutoFill_names!B:B, AutoFill_names!K:K,""))</f>
        <v/>
      </c>
      <c r="K446" s="115" t="str">
        <f>IF(_xlfn.XLOOKUP(A446, AutoFill_names!B:B, AutoFill_names!L:L,"")=0,"",_xlfn.XLOOKUP(A446, AutoFill_names!B:B, AutoFill_names!L:L,""))</f>
        <v/>
      </c>
      <c r="L446" s="31"/>
      <c r="M446" s="31"/>
      <c r="N446" s="117" t="str">
        <f>IF(_xlfn.XLOOKUP(L446, AutoFill_classes!A:A, AutoFill_classes!B:B,"")=0,"",_xlfn.XLOOKUP(L446, AutoFill_classes!A:A, AutoFill_classes!B:B,""))</f>
        <v/>
      </c>
      <c r="O446" s="108"/>
      <c r="P446" s="6"/>
      <c r="Q446" s="6"/>
      <c r="R446" s="6"/>
      <c r="X446" s="63"/>
      <c r="Y446" s="19"/>
      <c r="Z446" s="121" t="str">
        <f t="shared" si="378"/>
        <v/>
      </c>
      <c r="AA446" s="20"/>
      <c r="AB446" s="20"/>
      <c r="AC446" s="20"/>
      <c r="AD446" s="20"/>
      <c r="AE446" s="125" t="str">
        <f t="shared" si="379"/>
        <v/>
      </c>
      <c r="AF446" s="14"/>
      <c r="AG446" s="125" t="str">
        <f t="shared" si="380"/>
        <v/>
      </c>
      <c r="AH446" s="20"/>
      <c r="AI446" s="20"/>
      <c r="AJ446" s="125" t="str">
        <f t="shared" si="381"/>
        <v/>
      </c>
      <c r="AK446" s="14"/>
      <c r="AL446" s="125" t="str">
        <f t="shared" si="382"/>
        <v/>
      </c>
      <c r="AM446" s="20"/>
      <c r="AN446" s="20"/>
      <c r="AO446" s="125" t="str">
        <f t="shared" si="383"/>
        <v/>
      </c>
      <c r="AP446" s="125" t="str">
        <f t="shared" si="384"/>
        <v/>
      </c>
      <c r="AQ446" s="125" t="str">
        <f t="shared" si="385"/>
        <v/>
      </c>
      <c r="AR446" s="129" t="str">
        <f t="shared" si="386"/>
        <v/>
      </c>
      <c r="AS446" s="14"/>
      <c r="AT446" s="33"/>
      <c r="AU446" s="33"/>
      <c r="AV446" s="117" t="str">
        <f>IF(_xlfn.XLOOKUP(AT446, AutoFill_classes!$A:$A, AutoFill_classes!$B:$B,"")=0,"",_xlfn.XLOOKUP(AT446, AutoFill_classes!$A:$A, AutoFill_classes!$B:$B,""))</f>
        <v/>
      </c>
      <c r="AW446" s="108"/>
      <c r="AX446" s="11"/>
      <c r="AY446" s="12"/>
      <c r="AZ446" s="11"/>
      <c r="BA446" s="13"/>
      <c r="BB446" s="13"/>
      <c r="BC446" s="63"/>
      <c r="BD446" s="19"/>
      <c r="BE446" s="121" t="str">
        <f t="shared" si="387"/>
        <v/>
      </c>
      <c r="BF446" s="20"/>
      <c r="BG446" s="20"/>
      <c r="BH446" s="20"/>
      <c r="BI446" s="20"/>
      <c r="BJ446" s="125" t="str">
        <f t="shared" si="388"/>
        <v/>
      </c>
      <c r="BK446" s="14"/>
      <c r="BL446" s="125" t="str">
        <f t="shared" si="389"/>
        <v/>
      </c>
      <c r="BM446" s="20"/>
      <c r="BN446" s="20"/>
      <c r="BO446" s="125" t="str">
        <f t="shared" si="390"/>
        <v/>
      </c>
      <c r="BP446" s="14"/>
      <c r="BQ446" s="125" t="str">
        <f t="shared" si="391"/>
        <v/>
      </c>
      <c r="BR446" s="20"/>
      <c r="BS446" s="20"/>
      <c r="BT446" s="125" t="str">
        <f t="shared" si="392"/>
        <v/>
      </c>
      <c r="BU446" s="125" t="str">
        <f t="shared" si="393"/>
        <v/>
      </c>
      <c r="BV446" s="125" t="str">
        <f t="shared" si="394"/>
        <v/>
      </c>
      <c r="BW446" s="129" t="str">
        <f t="shared" si="395"/>
        <v/>
      </c>
      <c r="BX446" s="11"/>
      <c r="BY446" s="15"/>
      <c r="BZ446" s="14"/>
      <c r="CA446" s="117" t="str">
        <f>IF(_xlfn.XLOOKUP(BY446, AutoFill_classes!$A:$A, AutoFill_classes!$B:$B,"")=0,"",_xlfn.XLOOKUP(BY446, AutoFill_classes!$A:$A, AutoFill_classes!$B:$B,""))</f>
        <v/>
      </c>
      <c r="CB446" s="108"/>
      <c r="CC446" s="14"/>
      <c r="CD446" s="14"/>
      <c r="CE446" s="14"/>
      <c r="CF446" s="21"/>
      <c r="CG446" s="22"/>
      <c r="CH446" s="63"/>
      <c r="CI446" s="23"/>
      <c r="CJ446" s="121" t="str">
        <f t="shared" si="396"/>
        <v/>
      </c>
      <c r="CK446" s="20"/>
      <c r="CL446" s="20"/>
      <c r="CM446" s="20"/>
      <c r="CN446" s="20"/>
      <c r="CO446" s="125" t="str">
        <f t="shared" si="397"/>
        <v/>
      </c>
      <c r="CP446" s="14"/>
      <c r="CQ446" s="125" t="str">
        <f t="shared" si="398"/>
        <v/>
      </c>
      <c r="CR446" s="20"/>
      <c r="CS446" s="20"/>
      <c r="CT446" s="125" t="str">
        <f t="shared" si="399"/>
        <v/>
      </c>
      <c r="CU446" s="14"/>
      <c r="CV446" s="125" t="str">
        <f t="shared" si="400"/>
        <v/>
      </c>
      <c r="CW446" s="20"/>
      <c r="CX446" s="20"/>
      <c r="CY446" s="125" t="str">
        <f t="shared" si="401"/>
        <v/>
      </c>
      <c r="CZ446" s="125" t="str">
        <f t="shared" si="402"/>
        <v/>
      </c>
      <c r="DA446" s="125" t="str">
        <f t="shared" si="403"/>
        <v/>
      </c>
      <c r="DB446" s="129" t="str">
        <f t="shared" si="404"/>
        <v/>
      </c>
      <c r="DC446" s="14"/>
      <c r="DD446" s="62"/>
      <c r="DE446" s="105">
        <v>444</v>
      </c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</row>
    <row r="447" spans="1:176" s="1" customFormat="1" ht="13" hidden="1" customHeight="1" outlineLevel="1" x14ac:dyDescent="0.2">
      <c r="A447" s="4"/>
      <c r="B447" s="115" t="str">
        <f>IF(_xlfn.XLOOKUP(A447, AutoFill_names!B:B, AutoFill_names!C:C,"")=0,"",_xlfn.XLOOKUP(A447, AutoFill_names!B:B, AutoFill_names!C:C,""))</f>
        <v/>
      </c>
      <c r="C447" s="115" t="str">
        <f>IF(_xlfn.XLOOKUP(A447, AutoFill_names!B:B, AutoFill_names!D:D,"")=0,"",_xlfn.XLOOKUP(A447, AutoFill_names!B:B, AutoFill_names!D:D,""))</f>
        <v/>
      </c>
      <c r="D447" s="115" t="str">
        <f>IF(_xlfn.XLOOKUP(A447, AutoFill_names!B:B, AutoFill_names!E:E,"")=0,"",_xlfn.XLOOKUP(A447, AutoFill_names!B:B, AutoFill_names!E:E,""))</f>
        <v/>
      </c>
      <c r="E447" s="115" t="str">
        <f>IF(_xlfn.XLOOKUP(A447, AutoFill_names!B:B, AutoFill_names!F:F,"")=0,"",_xlfn.XLOOKUP(A447, AutoFill_names!B:B, AutoFill_names!F:F,""))</f>
        <v/>
      </c>
      <c r="F447" s="92"/>
      <c r="J447" s="115" t="str">
        <f>IF(_xlfn.XLOOKUP(A447, AutoFill_names!B:B, AutoFill_names!K:K,"")=0,"",_xlfn.XLOOKUP(A447, AutoFill_names!B:B, AutoFill_names!K:K,""))</f>
        <v/>
      </c>
      <c r="K447" s="115" t="str">
        <f>IF(_xlfn.XLOOKUP(A447, AutoFill_names!B:B, AutoFill_names!L:L,"")=0,"",_xlfn.XLOOKUP(A447, AutoFill_names!B:B, AutoFill_names!L:L,""))</f>
        <v/>
      </c>
      <c r="L447" s="31"/>
      <c r="M447" s="31"/>
      <c r="N447" s="117" t="str">
        <f>IF(_xlfn.XLOOKUP(L447, AutoFill_classes!A:A, AutoFill_classes!B:B,"")=0,"",_xlfn.XLOOKUP(L447, AutoFill_classes!A:A, AutoFill_classes!B:B,""))</f>
        <v/>
      </c>
      <c r="O447" s="108"/>
      <c r="P447" s="6"/>
      <c r="Q447" s="6"/>
      <c r="R447" s="6"/>
      <c r="X447" s="63"/>
      <c r="Y447" s="19"/>
      <c r="Z447" s="121" t="str">
        <f t="shared" si="378"/>
        <v/>
      </c>
      <c r="AA447" s="20"/>
      <c r="AB447" s="20"/>
      <c r="AC447" s="20"/>
      <c r="AD447" s="20"/>
      <c r="AE447" s="125" t="str">
        <f t="shared" si="379"/>
        <v/>
      </c>
      <c r="AF447" s="14"/>
      <c r="AG447" s="125" t="str">
        <f t="shared" si="380"/>
        <v/>
      </c>
      <c r="AH447" s="20"/>
      <c r="AI447" s="20"/>
      <c r="AJ447" s="125" t="str">
        <f t="shared" si="381"/>
        <v/>
      </c>
      <c r="AK447" s="14"/>
      <c r="AL447" s="125" t="str">
        <f t="shared" si="382"/>
        <v/>
      </c>
      <c r="AM447" s="20"/>
      <c r="AN447" s="20"/>
      <c r="AO447" s="125" t="str">
        <f t="shared" si="383"/>
        <v/>
      </c>
      <c r="AP447" s="125" t="str">
        <f t="shared" si="384"/>
        <v/>
      </c>
      <c r="AQ447" s="125" t="str">
        <f t="shared" si="385"/>
        <v/>
      </c>
      <c r="AR447" s="129" t="str">
        <f t="shared" si="386"/>
        <v/>
      </c>
      <c r="AS447" s="14"/>
      <c r="AT447" s="33"/>
      <c r="AU447" s="33"/>
      <c r="AV447" s="117" t="str">
        <f>IF(_xlfn.XLOOKUP(AT447, AutoFill_classes!$A:$A, AutoFill_classes!$B:$B,"")=0,"",_xlfn.XLOOKUP(AT447, AutoFill_classes!$A:$A, AutoFill_classes!$B:$B,""))</f>
        <v/>
      </c>
      <c r="AW447" s="108"/>
      <c r="AX447" s="11"/>
      <c r="AY447" s="12"/>
      <c r="AZ447" s="11"/>
      <c r="BA447" s="13"/>
      <c r="BB447" s="13"/>
      <c r="BC447" s="63"/>
      <c r="BD447" s="19"/>
      <c r="BE447" s="121" t="str">
        <f t="shared" si="387"/>
        <v/>
      </c>
      <c r="BF447" s="20"/>
      <c r="BG447" s="20"/>
      <c r="BH447" s="20"/>
      <c r="BI447" s="20"/>
      <c r="BJ447" s="125" t="str">
        <f t="shared" si="388"/>
        <v/>
      </c>
      <c r="BK447" s="14"/>
      <c r="BL447" s="125" t="str">
        <f t="shared" si="389"/>
        <v/>
      </c>
      <c r="BM447" s="20"/>
      <c r="BN447" s="20"/>
      <c r="BO447" s="125" t="str">
        <f t="shared" si="390"/>
        <v/>
      </c>
      <c r="BP447" s="14"/>
      <c r="BQ447" s="125" t="str">
        <f t="shared" si="391"/>
        <v/>
      </c>
      <c r="BR447" s="20"/>
      <c r="BS447" s="20"/>
      <c r="BT447" s="125" t="str">
        <f t="shared" si="392"/>
        <v/>
      </c>
      <c r="BU447" s="125" t="str">
        <f t="shared" si="393"/>
        <v/>
      </c>
      <c r="BV447" s="125" t="str">
        <f t="shared" si="394"/>
        <v/>
      </c>
      <c r="BW447" s="129" t="str">
        <f t="shared" si="395"/>
        <v/>
      </c>
      <c r="BX447" s="11"/>
      <c r="BY447" s="15"/>
      <c r="BZ447" s="14"/>
      <c r="CA447" s="117" t="str">
        <f>IF(_xlfn.XLOOKUP(BY447, AutoFill_classes!$A:$A, AutoFill_classes!$B:$B,"")=0,"",_xlfn.XLOOKUP(BY447, AutoFill_classes!$A:$A, AutoFill_classes!$B:$B,""))</f>
        <v/>
      </c>
      <c r="CB447" s="108"/>
      <c r="CC447" s="14"/>
      <c r="CD447" s="14"/>
      <c r="CE447" s="14"/>
      <c r="CF447" s="21"/>
      <c r="CG447" s="22"/>
      <c r="CH447" s="63"/>
      <c r="CI447" s="23"/>
      <c r="CJ447" s="121" t="str">
        <f t="shared" si="396"/>
        <v/>
      </c>
      <c r="CK447" s="20"/>
      <c r="CL447" s="20"/>
      <c r="CM447" s="20"/>
      <c r="CN447" s="20"/>
      <c r="CO447" s="125" t="str">
        <f t="shared" si="397"/>
        <v/>
      </c>
      <c r="CP447" s="14"/>
      <c r="CQ447" s="125" t="str">
        <f t="shared" si="398"/>
        <v/>
      </c>
      <c r="CR447" s="20"/>
      <c r="CS447" s="20"/>
      <c r="CT447" s="125" t="str">
        <f t="shared" si="399"/>
        <v/>
      </c>
      <c r="CU447" s="14"/>
      <c r="CV447" s="125" t="str">
        <f t="shared" si="400"/>
        <v/>
      </c>
      <c r="CW447" s="20"/>
      <c r="CX447" s="20"/>
      <c r="CY447" s="125" t="str">
        <f t="shared" si="401"/>
        <v/>
      </c>
      <c r="CZ447" s="125" t="str">
        <f t="shared" si="402"/>
        <v/>
      </c>
      <c r="DA447" s="125" t="str">
        <f t="shared" si="403"/>
        <v/>
      </c>
      <c r="DB447" s="129" t="str">
        <f t="shared" si="404"/>
        <v/>
      </c>
      <c r="DC447" s="14"/>
      <c r="DD447" s="62"/>
      <c r="DE447" s="105">
        <v>445</v>
      </c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</row>
    <row r="448" spans="1:176" s="1" customFormat="1" ht="13" hidden="1" customHeight="1" outlineLevel="1" x14ac:dyDescent="0.2">
      <c r="A448" s="4"/>
      <c r="B448" s="115" t="str">
        <f>IF(_xlfn.XLOOKUP(A448, AutoFill_names!B:B, AutoFill_names!C:C,"")=0,"",_xlfn.XLOOKUP(A448, AutoFill_names!B:B, AutoFill_names!C:C,""))</f>
        <v/>
      </c>
      <c r="C448" s="115" t="str">
        <f>IF(_xlfn.XLOOKUP(A448, AutoFill_names!B:B, AutoFill_names!D:D,"")=0,"",_xlfn.XLOOKUP(A448, AutoFill_names!B:B, AutoFill_names!D:D,""))</f>
        <v/>
      </c>
      <c r="D448" s="115" t="str">
        <f>IF(_xlfn.XLOOKUP(A448, AutoFill_names!B:B, AutoFill_names!E:E,"")=0,"",_xlfn.XLOOKUP(A448, AutoFill_names!B:B, AutoFill_names!E:E,""))</f>
        <v/>
      </c>
      <c r="E448" s="115" t="str">
        <f>IF(_xlfn.XLOOKUP(A448, AutoFill_names!B:B, AutoFill_names!F:F,"")=0,"",_xlfn.XLOOKUP(A448, AutoFill_names!B:B, AutoFill_names!F:F,""))</f>
        <v/>
      </c>
      <c r="F448" s="92"/>
      <c r="J448" s="115" t="str">
        <f>IF(_xlfn.XLOOKUP(A448, AutoFill_names!B:B, AutoFill_names!K:K,"")=0,"",_xlfn.XLOOKUP(A448, AutoFill_names!B:B, AutoFill_names!K:K,""))</f>
        <v/>
      </c>
      <c r="K448" s="115" t="str">
        <f>IF(_xlfn.XLOOKUP(A448, AutoFill_names!B:B, AutoFill_names!L:L,"")=0,"",_xlfn.XLOOKUP(A448, AutoFill_names!B:B, AutoFill_names!L:L,""))</f>
        <v/>
      </c>
      <c r="L448" s="31"/>
      <c r="M448" s="31"/>
      <c r="N448" s="117" t="str">
        <f>IF(_xlfn.XLOOKUP(L448, AutoFill_classes!A:A, AutoFill_classes!B:B,"")=0,"",_xlfn.XLOOKUP(L448, AutoFill_classes!A:A, AutoFill_classes!B:B,""))</f>
        <v/>
      </c>
      <c r="O448" s="108"/>
      <c r="P448" s="6"/>
      <c r="Q448" s="6"/>
      <c r="R448" s="6"/>
      <c r="X448" s="63"/>
      <c r="Y448" s="19"/>
      <c r="Z448" s="121" t="str">
        <f t="shared" si="378"/>
        <v/>
      </c>
      <c r="AA448" s="20"/>
      <c r="AB448" s="20"/>
      <c r="AC448" s="20"/>
      <c r="AD448" s="20"/>
      <c r="AE448" s="125" t="str">
        <f t="shared" si="379"/>
        <v/>
      </c>
      <c r="AF448" s="14"/>
      <c r="AG448" s="125" t="str">
        <f t="shared" si="380"/>
        <v/>
      </c>
      <c r="AH448" s="20"/>
      <c r="AI448" s="20"/>
      <c r="AJ448" s="125" t="str">
        <f t="shared" si="381"/>
        <v/>
      </c>
      <c r="AK448" s="14"/>
      <c r="AL448" s="125" t="str">
        <f t="shared" si="382"/>
        <v/>
      </c>
      <c r="AM448" s="20"/>
      <c r="AN448" s="20"/>
      <c r="AO448" s="125" t="str">
        <f t="shared" si="383"/>
        <v/>
      </c>
      <c r="AP448" s="125" t="str">
        <f t="shared" si="384"/>
        <v/>
      </c>
      <c r="AQ448" s="125" t="str">
        <f t="shared" si="385"/>
        <v/>
      </c>
      <c r="AR448" s="129" t="str">
        <f t="shared" si="386"/>
        <v/>
      </c>
      <c r="AS448" s="14"/>
      <c r="AT448" s="33"/>
      <c r="AU448" s="33"/>
      <c r="AV448" s="117" t="str">
        <f>IF(_xlfn.XLOOKUP(AT448, AutoFill_classes!$A:$A, AutoFill_classes!$B:$B,"")=0,"",_xlfn.XLOOKUP(AT448, AutoFill_classes!$A:$A, AutoFill_classes!$B:$B,""))</f>
        <v/>
      </c>
      <c r="AW448" s="108"/>
      <c r="AX448" s="11"/>
      <c r="AY448" s="12"/>
      <c r="AZ448" s="11"/>
      <c r="BA448" s="13"/>
      <c r="BB448" s="13"/>
      <c r="BC448" s="63"/>
      <c r="BD448" s="19"/>
      <c r="BE448" s="121" t="str">
        <f t="shared" si="387"/>
        <v/>
      </c>
      <c r="BF448" s="20"/>
      <c r="BG448" s="20"/>
      <c r="BH448" s="20"/>
      <c r="BI448" s="20"/>
      <c r="BJ448" s="125" t="str">
        <f t="shared" si="388"/>
        <v/>
      </c>
      <c r="BK448" s="14"/>
      <c r="BL448" s="125" t="str">
        <f t="shared" si="389"/>
        <v/>
      </c>
      <c r="BM448" s="20"/>
      <c r="BN448" s="20"/>
      <c r="BO448" s="125" t="str">
        <f t="shared" si="390"/>
        <v/>
      </c>
      <c r="BP448" s="14"/>
      <c r="BQ448" s="125" t="str">
        <f t="shared" si="391"/>
        <v/>
      </c>
      <c r="BR448" s="20"/>
      <c r="BS448" s="20"/>
      <c r="BT448" s="125" t="str">
        <f t="shared" si="392"/>
        <v/>
      </c>
      <c r="BU448" s="125" t="str">
        <f t="shared" si="393"/>
        <v/>
      </c>
      <c r="BV448" s="125" t="str">
        <f t="shared" si="394"/>
        <v/>
      </c>
      <c r="BW448" s="129" t="str">
        <f t="shared" si="395"/>
        <v/>
      </c>
      <c r="BX448" s="11"/>
      <c r="BY448" s="15"/>
      <c r="BZ448" s="14"/>
      <c r="CA448" s="117" t="str">
        <f>IF(_xlfn.XLOOKUP(BY448, AutoFill_classes!$A:$A, AutoFill_classes!$B:$B,"")=0,"",_xlfn.XLOOKUP(BY448, AutoFill_classes!$A:$A, AutoFill_classes!$B:$B,""))</f>
        <v/>
      </c>
      <c r="CB448" s="108"/>
      <c r="CC448" s="14"/>
      <c r="CD448" s="14"/>
      <c r="CE448" s="14"/>
      <c r="CF448" s="21"/>
      <c r="CG448" s="22"/>
      <c r="CH448" s="63"/>
      <c r="CI448" s="23"/>
      <c r="CJ448" s="121" t="str">
        <f t="shared" si="396"/>
        <v/>
      </c>
      <c r="CK448" s="20"/>
      <c r="CL448" s="20"/>
      <c r="CM448" s="20"/>
      <c r="CN448" s="20"/>
      <c r="CO448" s="125" t="str">
        <f t="shared" si="397"/>
        <v/>
      </c>
      <c r="CP448" s="14"/>
      <c r="CQ448" s="125" t="str">
        <f t="shared" si="398"/>
        <v/>
      </c>
      <c r="CR448" s="20"/>
      <c r="CS448" s="20"/>
      <c r="CT448" s="125" t="str">
        <f t="shared" si="399"/>
        <v/>
      </c>
      <c r="CU448" s="14"/>
      <c r="CV448" s="125" t="str">
        <f t="shared" si="400"/>
        <v/>
      </c>
      <c r="CW448" s="20"/>
      <c r="CX448" s="20"/>
      <c r="CY448" s="125" t="str">
        <f t="shared" si="401"/>
        <v/>
      </c>
      <c r="CZ448" s="125" t="str">
        <f t="shared" si="402"/>
        <v/>
      </c>
      <c r="DA448" s="125" t="str">
        <f t="shared" si="403"/>
        <v/>
      </c>
      <c r="DB448" s="129" t="str">
        <f t="shared" si="404"/>
        <v/>
      </c>
      <c r="DC448" s="14"/>
      <c r="DD448" s="62"/>
      <c r="DE448" s="105">
        <v>446</v>
      </c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</row>
    <row r="449" spans="1:176" s="1" customFormat="1" ht="13" hidden="1" customHeight="1" outlineLevel="1" x14ac:dyDescent="0.2">
      <c r="A449" s="4"/>
      <c r="B449" s="115" t="str">
        <f>IF(_xlfn.XLOOKUP(A449, AutoFill_names!B:B, AutoFill_names!C:C,"")=0,"",_xlfn.XLOOKUP(A449, AutoFill_names!B:B, AutoFill_names!C:C,""))</f>
        <v/>
      </c>
      <c r="C449" s="115" t="str">
        <f>IF(_xlfn.XLOOKUP(A449, AutoFill_names!B:B, AutoFill_names!D:D,"")=0,"",_xlfn.XLOOKUP(A449, AutoFill_names!B:B, AutoFill_names!D:D,""))</f>
        <v/>
      </c>
      <c r="D449" s="115" t="str">
        <f>IF(_xlfn.XLOOKUP(A449, AutoFill_names!B:B, AutoFill_names!E:E,"")=0,"",_xlfn.XLOOKUP(A449, AutoFill_names!B:B, AutoFill_names!E:E,""))</f>
        <v/>
      </c>
      <c r="E449" s="115" t="str">
        <f>IF(_xlfn.XLOOKUP(A449, AutoFill_names!B:B, AutoFill_names!F:F,"")=0,"",_xlfn.XLOOKUP(A449, AutoFill_names!B:B, AutoFill_names!F:F,""))</f>
        <v/>
      </c>
      <c r="F449" s="92"/>
      <c r="J449" s="115" t="str">
        <f>IF(_xlfn.XLOOKUP(A449, AutoFill_names!B:B, AutoFill_names!K:K,"")=0,"",_xlfn.XLOOKUP(A449, AutoFill_names!B:B, AutoFill_names!K:K,""))</f>
        <v/>
      </c>
      <c r="K449" s="115" t="str">
        <f>IF(_xlfn.XLOOKUP(A449, AutoFill_names!B:B, AutoFill_names!L:L,"")=0,"",_xlfn.XLOOKUP(A449, AutoFill_names!B:B, AutoFill_names!L:L,""))</f>
        <v/>
      </c>
      <c r="L449" s="31"/>
      <c r="M449" s="31"/>
      <c r="N449" s="117" t="str">
        <f>IF(_xlfn.XLOOKUP(L449, AutoFill_classes!A:A, AutoFill_classes!B:B,"")=0,"",_xlfn.XLOOKUP(L449, AutoFill_classes!A:A, AutoFill_classes!B:B,""))</f>
        <v/>
      </c>
      <c r="O449" s="108"/>
      <c r="P449" s="6"/>
      <c r="Q449" s="6"/>
      <c r="R449" s="6"/>
      <c r="X449" s="63"/>
      <c r="Y449" s="19"/>
      <c r="Z449" s="121" t="str">
        <f t="shared" si="378"/>
        <v/>
      </c>
      <c r="AA449" s="20"/>
      <c r="AB449" s="20"/>
      <c r="AC449" s="20"/>
      <c r="AD449" s="20"/>
      <c r="AE449" s="125" t="str">
        <f t="shared" si="379"/>
        <v/>
      </c>
      <c r="AF449" s="14"/>
      <c r="AG449" s="125" t="str">
        <f t="shared" si="380"/>
        <v/>
      </c>
      <c r="AH449" s="20"/>
      <c r="AI449" s="20"/>
      <c r="AJ449" s="125" t="str">
        <f t="shared" si="381"/>
        <v/>
      </c>
      <c r="AK449" s="14"/>
      <c r="AL449" s="125" t="str">
        <f t="shared" si="382"/>
        <v/>
      </c>
      <c r="AM449" s="20"/>
      <c r="AN449" s="20"/>
      <c r="AO449" s="125" t="str">
        <f t="shared" si="383"/>
        <v/>
      </c>
      <c r="AP449" s="125" t="str">
        <f t="shared" si="384"/>
        <v/>
      </c>
      <c r="AQ449" s="125" t="str">
        <f t="shared" si="385"/>
        <v/>
      </c>
      <c r="AR449" s="129" t="str">
        <f t="shared" si="386"/>
        <v/>
      </c>
      <c r="AS449" s="14"/>
      <c r="AT449" s="33"/>
      <c r="AU449" s="33"/>
      <c r="AV449" s="117" t="str">
        <f>IF(_xlfn.XLOOKUP(AT449, AutoFill_classes!$A:$A, AutoFill_classes!$B:$B,"")=0,"",_xlfn.XLOOKUP(AT449, AutoFill_classes!$A:$A, AutoFill_classes!$B:$B,""))</f>
        <v/>
      </c>
      <c r="AW449" s="108"/>
      <c r="AX449" s="11"/>
      <c r="AY449" s="12"/>
      <c r="AZ449" s="11"/>
      <c r="BA449" s="13"/>
      <c r="BB449" s="13"/>
      <c r="BC449" s="63"/>
      <c r="BD449" s="19"/>
      <c r="BE449" s="121" t="str">
        <f t="shared" si="387"/>
        <v/>
      </c>
      <c r="BF449" s="20"/>
      <c r="BG449" s="20"/>
      <c r="BH449" s="20"/>
      <c r="BI449" s="20"/>
      <c r="BJ449" s="125" t="str">
        <f t="shared" si="388"/>
        <v/>
      </c>
      <c r="BK449" s="14"/>
      <c r="BL449" s="125" t="str">
        <f t="shared" si="389"/>
        <v/>
      </c>
      <c r="BM449" s="20"/>
      <c r="BN449" s="20"/>
      <c r="BO449" s="125" t="str">
        <f t="shared" si="390"/>
        <v/>
      </c>
      <c r="BP449" s="14"/>
      <c r="BQ449" s="125" t="str">
        <f t="shared" si="391"/>
        <v/>
      </c>
      <c r="BR449" s="20"/>
      <c r="BS449" s="20"/>
      <c r="BT449" s="125" t="str">
        <f t="shared" si="392"/>
        <v/>
      </c>
      <c r="BU449" s="125" t="str">
        <f t="shared" si="393"/>
        <v/>
      </c>
      <c r="BV449" s="125" t="str">
        <f t="shared" si="394"/>
        <v/>
      </c>
      <c r="BW449" s="129" t="str">
        <f t="shared" si="395"/>
        <v/>
      </c>
      <c r="BX449" s="11"/>
      <c r="BY449" s="15"/>
      <c r="BZ449" s="14"/>
      <c r="CA449" s="117" t="str">
        <f>IF(_xlfn.XLOOKUP(BY449, AutoFill_classes!$A:$A, AutoFill_classes!$B:$B,"")=0,"",_xlfn.XLOOKUP(BY449, AutoFill_classes!$A:$A, AutoFill_classes!$B:$B,""))</f>
        <v/>
      </c>
      <c r="CB449" s="108"/>
      <c r="CC449" s="14"/>
      <c r="CD449" s="14"/>
      <c r="CE449" s="14"/>
      <c r="CF449" s="21"/>
      <c r="CG449" s="22"/>
      <c r="CH449" s="63"/>
      <c r="CI449" s="23"/>
      <c r="CJ449" s="121" t="str">
        <f t="shared" si="396"/>
        <v/>
      </c>
      <c r="CK449" s="20"/>
      <c r="CL449" s="20"/>
      <c r="CM449" s="20"/>
      <c r="CN449" s="20"/>
      <c r="CO449" s="125" t="str">
        <f t="shared" si="397"/>
        <v/>
      </c>
      <c r="CP449" s="14"/>
      <c r="CQ449" s="125" t="str">
        <f t="shared" si="398"/>
        <v/>
      </c>
      <c r="CR449" s="20"/>
      <c r="CS449" s="20"/>
      <c r="CT449" s="125" t="str">
        <f t="shared" si="399"/>
        <v/>
      </c>
      <c r="CU449" s="14"/>
      <c r="CV449" s="125" t="str">
        <f t="shared" si="400"/>
        <v/>
      </c>
      <c r="CW449" s="20"/>
      <c r="CX449" s="20"/>
      <c r="CY449" s="125" t="str">
        <f t="shared" si="401"/>
        <v/>
      </c>
      <c r="CZ449" s="125" t="str">
        <f t="shared" si="402"/>
        <v/>
      </c>
      <c r="DA449" s="125" t="str">
        <f t="shared" si="403"/>
        <v/>
      </c>
      <c r="DB449" s="129" t="str">
        <f t="shared" si="404"/>
        <v/>
      </c>
      <c r="DC449" s="14"/>
      <c r="DD449" s="62"/>
      <c r="DE449" s="105">
        <v>447</v>
      </c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</row>
    <row r="450" spans="1:176" s="1" customFormat="1" ht="13" hidden="1" customHeight="1" outlineLevel="1" x14ac:dyDescent="0.2">
      <c r="A450" s="4"/>
      <c r="B450" s="115" t="str">
        <f>IF(_xlfn.XLOOKUP(A450, AutoFill_names!B:B, AutoFill_names!C:C,"")=0,"",_xlfn.XLOOKUP(A450, AutoFill_names!B:B, AutoFill_names!C:C,""))</f>
        <v/>
      </c>
      <c r="C450" s="115" t="str">
        <f>IF(_xlfn.XLOOKUP(A450, AutoFill_names!B:B, AutoFill_names!D:D,"")=0,"",_xlfn.XLOOKUP(A450, AutoFill_names!B:B, AutoFill_names!D:D,""))</f>
        <v/>
      </c>
      <c r="D450" s="115" t="str">
        <f>IF(_xlfn.XLOOKUP(A450, AutoFill_names!B:B, AutoFill_names!E:E,"")=0,"",_xlfn.XLOOKUP(A450, AutoFill_names!B:B, AutoFill_names!E:E,""))</f>
        <v/>
      </c>
      <c r="E450" s="115" t="str">
        <f>IF(_xlfn.XLOOKUP(A450, AutoFill_names!B:B, AutoFill_names!F:F,"")=0,"",_xlfn.XLOOKUP(A450, AutoFill_names!B:B, AutoFill_names!F:F,""))</f>
        <v/>
      </c>
      <c r="F450" s="92"/>
      <c r="J450" s="115" t="str">
        <f>IF(_xlfn.XLOOKUP(A450, AutoFill_names!B:B, AutoFill_names!K:K,"")=0,"",_xlfn.XLOOKUP(A450, AutoFill_names!B:B, AutoFill_names!K:K,""))</f>
        <v/>
      </c>
      <c r="K450" s="115" t="str">
        <f>IF(_xlfn.XLOOKUP(A450, AutoFill_names!B:B, AutoFill_names!L:L,"")=0,"",_xlfn.XLOOKUP(A450, AutoFill_names!B:B, AutoFill_names!L:L,""))</f>
        <v/>
      </c>
      <c r="L450" s="31"/>
      <c r="M450" s="31"/>
      <c r="N450" s="117" t="str">
        <f>IF(_xlfn.XLOOKUP(L450, AutoFill_classes!A:A, AutoFill_classes!B:B,"")=0,"",_xlfn.XLOOKUP(L450, AutoFill_classes!A:A, AutoFill_classes!B:B,""))</f>
        <v/>
      </c>
      <c r="O450" s="108"/>
      <c r="P450" s="6"/>
      <c r="Q450" s="6"/>
      <c r="R450" s="6"/>
      <c r="X450" s="63"/>
      <c r="Y450" s="19"/>
      <c r="Z450" s="121" t="str">
        <f t="shared" si="378"/>
        <v/>
      </c>
      <c r="AA450" s="20"/>
      <c r="AB450" s="20"/>
      <c r="AC450" s="20"/>
      <c r="AD450" s="20"/>
      <c r="AE450" s="125" t="str">
        <f t="shared" si="379"/>
        <v/>
      </c>
      <c r="AF450" s="14"/>
      <c r="AG450" s="125" t="str">
        <f t="shared" si="380"/>
        <v/>
      </c>
      <c r="AH450" s="20"/>
      <c r="AI450" s="20"/>
      <c r="AJ450" s="125" t="str">
        <f t="shared" si="381"/>
        <v/>
      </c>
      <c r="AK450" s="14"/>
      <c r="AL450" s="125" t="str">
        <f t="shared" si="382"/>
        <v/>
      </c>
      <c r="AM450" s="20"/>
      <c r="AN450" s="20"/>
      <c r="AO450" s="125" t="str">
        <f t="shared" si="383"/>
        <v/>
      </c>
      <c r="AP450" s="125" t="str">
        <f t="shared" si="384"/>
        <v/>
      </c>
      <c r="AQ450" s="125" t="str">
        <f t="shared" si="385"/>
        <v/>
      </c>
      <c r="AR450" s="129" t="str">
        <f t="shared" si="386"/>
        <v/>
      </c>
      <c r="AS450" s="14"/>
      <c r="AT450" s="33"/>
      <c r="AU450" s="33"/>
      <c r="AV450" s="117" t="str">
        <f>IF(_xlfn.XLOOKUP(AT450, AutoFill_classes!$A:$A, AutoFill_classes!$B:$B,"")=0,"",_xlfn.XLOOKUP(AT450, AutoFill_classes!$A:$A, AutoFill_classes!$B:$B,""))</f>
        <v/>
      </c>
      <c r="AW450" s="108"/>
      <c r="AX450" s="11"/>
      <c r="AY450" s="12"/>
      <c r="AZ450" s="11"/>
      <c r="BA450" s="13"/>
      <c r="BB450" s="13"/>
      <c r="BC450" s="63"/>
      <c r="BD450" s="19"/>
      <c r="BE450" s="121" t="str">
        <f t="shared" si="387"/>
        <v/>
      </c>
      <c r="BF450" s="20"/>
      <c r="BG450" s="20"/>
      <c r="BH450" s="20"/>
      <c r="BI450" s="20"/>
      <c r="BJ450" s="125" t="str">
        <f t="shared" si="388"/>
        <v/>
      </c>
      <c r="BK450" s="14"/>
      <c r="BL450" s="125" t="str">
        <f t="shared" si="389"/>
        <v/>
      </c>
      <c r="BM450" s="20"/>
      <c r="BN450" s="20"/>
      <c r="BO450" s="125" t="str">
        <f t="shared" si="390"/>
        <v/>
      </c>
      <c r="BP450" s="14"/>
      <c r="BQ450" s="125" t="str">
        <f t="shared" si="391"/>
        <v/>
      </c>
      <c r="BR450" s="20"/>
      <c r="BS450" s="20"/>
      <c r="BT450" s="125" t="str">
        <f t="shared" si="392"/>
        <v/>
      </c>
      <c r="BU450" s="125" t="str">
        <f t="shared" si="393"/>
        <v/>
      </c>
      <c r="BV450" s="125" t="str">
        <f t="shared" si="394"/>
        <v/>
      </c>
      <c r="BW450" s="129" t="str">
        <f t="shared" si="395"/>
        <v/>
      </c>
      <c r="BX450" s="11"/>
      <c r="BY450" s="15"/>
      <c r="BZ450" s="14"/>
      <c r="CA450" s="117" t="str">
        <f>IF(_xlfn.XLOOKUP(BY450, AutoFill_classes!$A:$A, AutoFill_classes!$B:$B,"")=0,"",_xlfn.XLOOKUP(BY450, AutoFill_classes!$A:$A, AutoFill_classes!$B:$B,""))</f>
        <v/>
      </c>
      <c r="CB450" s="108"/>
      <c r="CC450" s="14"/>
      <c r="CD450" s="14"/>
      <c r="CE450" s="14"/>
      <c r="CF450" s="21"/>
      <c r="CG450" s="22"/>
      <c r="CH450" s="63"/>
      <c r="CI450" s="23"/>
      <c r="CJ450" s="121" t="str">
        <f t="shared" si="396"/>
        <v/>
      </c>
      <c r="CK450" s="20"/>
      <c r="CL450" s="20"/>
      <c r="CM450" s="20"/>
      <c r="CN450" s="20"/>
      <c r="CO450" s="125" t="str">
        <f t="shared" si="397"/>
        <v/>
      </c>
      <c r="CP450" s="14"/>
      <c r="CQ450" s="125" t="str">
        <f t="shared" si="398"/>
        <v/>
      </c>
      <c r="CR450" s="20"/>
      <c r="CS450" s="20"/>
      <c r="CT450" s="125" t="str">
        <f t="shared" si="399"/>
        <v/>
      </c>
      <c r="CU450" s="14"/>
      <c r="CV450" s="125" t="str">
        <f t="shared" si="400"/>
        <v/>
      </c>
      <c r="CW450" s="20"/>
      <c r="CX450" s="20"/>
      <c r="CY450" s="125" t="str">
        <f t="shared" si="401"/>
        <v/>
      </c>
      <c r="CZ450" s="125" t="str">
        <f t="shared" si="402"/>
        <v/>
      </c>
      <c r="DA450" s="125" t="str">
        <f t="shared" si="403"/>
        <v/>
      </c>
      <c r="DB450" s="129" t="str">
        <f t="shared" si="404"/>
        <v/>
      </c>
      <c r="DC450" s="14"/>
      <c r="DD450" s="62"/>
      <c r="DE450" s="105">
        <v>448</v>
      </c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</row>
    <row r="451" spans="1:176" s="1" customFormat="1" ht="13" hidden="1" customHeight="1" outlineLevel="1" x14ac:dyDescent="0.2">
      <c r="A451" s="4"/>
      <c r="B451" s="115" t="str">
        <f>IF(_xlfn.XLOOKUP(A451, AutoFill_names!B:B, AutoFill_names!C:C,"")=0,"",_xlfn.XLOOKUP(A451, AutoFill_names!B:B, AutoFill_names!C:C,""))</f>
        <v/>
      </c>
      <c r="C451" s="115" t="str">
        <f>IF(_xlfn.XLOOKUP(A451, AutoFill_names!B:B, AutoFill_names!D:D,"")=0,"",_xlfn.XLOOKUP(A451, AutoFill_names!B:B, AutoFill_names!D:D,""))</f>
        <v/>
      </c>
      <c r="D451" s="115" t="str">
        <f>IF(_xlfn.XLOOKUP(A451, AutoFill_names!B:B, AutoFill_names!E:E,"")=0,"",_xlfn.XLOOKUP(A451, AutoFill_names!B:B, AutoFill_names!E:E,""))</f>
        <v/>
      </c>
      <c r="E451" s="115" t="str">
        <f>IF(_xlfn.XLOOKUP(A451, AutoFill_names!B:B, AutoFill_names!F:F,"")=0,"",_xlfn.XLOOKUP(A451, AutoFill_names!B:B, AutoFill_names!F:F,""))</f>
        <v/>
      </c>
      <c r="F451" s="92"/>
      <c r="J451" s="115" t="str">
        <f>IF(_xlfn.XLOOKUP(A451, AutoFill_names!B:B, AutoFill_names!K:K,"")=0,"",_xlfn.XLOOKUP(A451, AutoFill_names!B:B, AutoFill_names!K:K,""))</f>
        <v/>
      </c>
      <c r="K451" s="115" t="str">
        <f>IF(_xlfn.XLOOKUP(A451, AutoFill_names!B:B, AutoFill_names!L:L,"")=0,"",_xlfn.XLOOKUP(A451, AutoFill_names!B:B, AutoFill_names!L:L,""))</f>
        <v/>
      </c>
      <c r="L451" s="31"/>
      <c r="M451" s="31"/>
      <c r="N451" s="117" t="str">
        <f>IF(_xlfn.XLOOKUP(L451, AutoFill_classes!A:A, AutoFill_classes!B:B,"")=0,"",_xlfn.XLOOKUP(L451, AutoFill_classes!A:A, AutoFill_classes!B:B,""))</f>
        <v/>
      </c>
      <c r="O451" s="108"/>
      <c r="P451" s="6"/>
      <c r="Q451" s="6"/>
      <c r="R451" s="6"/>
      <c r="X451" s="63"/>
      <c r="Y451" s="19"/>
      <c r="Z451" s="121" t="str">
        <f t="shared" si="378"/>
        <v/>
      </c>
      <c r="AA451" s="20"/>
      <c r="AB451" s="20"/>
      <c r="AC451" s="20"/>
      <c r="AD451" s="20"/>
      <c r="AE451" s="125" t="str">
        <f t="shared" si="379"/>
        <v/>
      </c>
      <c r="AF451" s="14"/>
      <c r="AG451" s="125" t="str">
        <f t="shared" si="380"/>
        <v/>
      </c>
      <c r="AH451" s="20"/>
      <c r="AI451" s="20"/>
      <c r="AJ451" s="125" t="str">
        <f t="shared" si="381"/>
        <v/>
      </c>
      <c r="AK451" s="14"/>
      <c r="AL451" s="125" t="str">
        <f t="shared" si="382"/>
        <v/>
      </c>
      <c r="AM451" s="20"/>
      <c r="AN451" s="20"/>
      <c r="AO451" s="125" t="str">
        <f t="shared" si="383"/>
        <v/>
      </c>
      <c r="AP451" s="125" t="str">
        <f t="shared" si="384"/>
        <v/>
      </c>
      <c r="AQ451" s="125" t="str">
        <f t="shared" si="385"/>
        <v/>
      </c>
      <c r="AR451" s="129" t="str">
        <f t="shared" si="386"/>
        <v/>
      </c>
      <c r="AS451" s="14"/>
      <c r="AT451" s="33"/>
      <c r="AU451" s="33"/>
      <c r="AV451" s="117" t="str">
        <f>IF(_xlfn.XLOOKUP(AT451, AutoFill_classes!$A:$A, AutoFill_classes!$B:$B,"")=0,"",_xlfn.XLOOKUP(AT451, AutoFill_classes!$A:$A, AutoFill_classes!$B:$B,""))</f>
        <v/>
      </c>
      <c r="AW451" s="108"/>
      <c r="AX451" s="11"/>
      <c r="AY451" s="12"/>
      <c r="AZ451" s="11"/>
      <c r="BA451" s="13"/>
      <c r="BB451" s="13"/>
      <c r="BC451" s="63"/>
      <c r="BD451" s="19"/>
      <c r="BE451" s="121" t="str">
        <f t="shared" si="387"/>
        <v/>
      </c>
      <c r="BF451" s="20"/>
      <c r="BG451" s="20"/>
      <c r="BH451" s="20"/>
      <c r="BI451" s="20"/>
      <c r="BJ451" s="125" t="str">
        <f t="shared" si="388"/>
        <v/>
      </c>
      <c r="BK451" s="14"/>
      <c r="BL451" s="125" t="str">
        <f t="shared" si="389"/>
        <v/>
      </c>
      <c r="BM451" s="20"/>
      <c r="BN451" s="20"/>
      <c r="BO451" s="125" t="str">
        <f t="shared" si="390"/>
        <v/>
      </c>
      <c r="BP451" s="14"/>
      <c r="BQ451" s="125" t="str">
        <f t="shared" si="391"/>
        <v/>
      </c>
      <c r="BR451" s="20"/>
      <c r="BS451" s="20"/>
      <c r="BT451" s="125" t="str">
        <f t="shared" si="392"/>
        <v/>
      </c>
      <c r="BU451" s="125" t="str">
        <f t="shared" si="393"/>
        <v/>
      </c>
      <c r="BV451" s="125" t="str">
        <f t="shared" si="394"/>
        <v/>
      </c>
      <c r="BW451" s="129" t="str">
        <f t="shared" si="395"/>
        <v/>
      </c>
      <c r="BX451" s="11"/>
      <c r="BY451" s="15"/>
      <c r="BZ451" s="14"/>
      <c r="CA451" s="117" t="str">
        <f>IF(_xlfn.XLOOKUP(BY451, AutoFill_classes!$A:$A, AutoFill_classes!$B:$B,"")=0,"",_xlfn.XLOOKUP(BY451, AutoFill_classes!$A:$A, AutoFill_classes!$B:$B,""))</f>
        <v/>
      </c>
      <c r="CB451" s="108"/>
      <c r="CC451" s="14"/>
      <c r="CD451" s="14"/>
      <c r="CE451" s="14"/>
      <c r="CF451" s="21"/>
      <c r="CG451" s="22"/>
      <c r="CH451" s="63"/>
      <c r="CI451" s="23"/>
      <c r="CJ451" s="121" t="str">
        <f t="shared" si="396"/>
        <v/>
      </c>
      <c r="CK451" s="20"/>
      <c r="CL451" s="20"/>
      <c r="CM451" s="20"/>
      <c r="CN451" s="20"/>
      <c r="CO451" s="125" t="str">
        <f t="shared" si="397"/>
        <v/>
      </c>
      <c r="CP451" s="14"/>
      <c r="CQ451" s="125" t="str">
        <f t="shared" si="398"/>
        <v/>
      </c>
      <c r="CR451" s="20"/>
      <c r="CS451" s="20"/>
      <c r="CT451" s="125" t="str">
        <f t="shared" si="399"/>
        <v/>
      </c>
      <c r="CU451" s="14"/>
      <c r="CV451" s="125" t="str">
        <f t="shared" si="400"/>
        <v/>
      </c>
      <c r="CW451" s="20"/>
      <c r="CX451" s="20"/>
      <c r="CY451" s="125" t="str">
        <f t="shared" si="401"/>
        <v/>
      </c>
      <c r="CZ451" s="125" t="str">
        <f t="shared" si="402"/>
        <v/>
      </c>
      <c r="DA451" s="125" t="str">
        <f t="shared" si="403"/>
        <v/>
      </c>
      <c r="DB451" s="129" t="str">
        <f t="shared" si="404"/>
        <v/>
      </c>
      <c r="DC451" s="14"/>
      <c r="DD451" s="62"/>
      <c r="DE451" s="105">
        <v>449</v>
      </c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</row>
    <row r="452" spans="1:176" s="17" customFormat="1" x14ac:dyDescent="0.2">
      <c r="A452" s="93" t="s">
        <v>69</v>
      </c>
      <c r="B452" s="93" t="s">
        <v>1</v>
      </c>
      <c r="C452" s="93" t="s">
        <v>2</v>
      </c>
      <c r="D452" s="93" t="s">
        <v>3</v>
      </c>
      <c r="E452" s="93" t="s">
        <v>4</v>
      </c>
      <c r="F452" s="94" t="s">
        <v>5</v>
      </c>
      <c r="G452" s="93" t="s">
        <v>6</v>
      </c>
      <c r="H452" s="93" t="s">
        <v>7</v>
      </c>
      <c r="I452" s="93" t="s">
        <v>8</v>
      </c>
      <c r="J452" s="93" t="s">
        <v>9</v>
      </c>
      <c r="K452" s="93" t="s">
        <v>10</v>
      </c>
      <c r="L452" s="37" t="s">
        <v>70</v>
      </c>
      <c r="M452" s="37" t="s">
        <v>12</v>
      </c>
      <c r="N452" s="37" t="s">
        <v>13</v>
      </c>
      <c r="O452" s="37"/>
      <c r="P452" s="43" t="s">
        <v>15</v>
      </c>
      <c r="Q452" s="43" t="s">
        <v>16</v>
      </c>
      <c r="R452" s="43" t="s">
        <v>17</v>
      </c>
      <c r="S452" s="37" t="s">
        <v>18</v>
      </c>
      <c r="T452" s="37" t="s">
        <v>19</v>
      </c>
      <c r="U452" s="37" t="s">
        <v>20</v>
      </c>
      <c r="V452" s="95" t="s">
        <v>21</v>
      </c>
      <c r="W452" s="95" t="s">
        <v>22</v>
      </c>
      <c r="X452" s="96" t="s">
        <v>23</v>
      </c>
      <c r="Y452" s="41" t="s">
        <v>24</v>
      </c>
      <c r="Z452" s="41" t="s">
        <v>25</v>
      </c>
      <c r="AA452" s="97" t="s">
        <v>26</v>
      </c>
      <c r="AB452" s="97" t="s">
        <v>27</v>
      </c>
      <c r="AC452" s="97" t="s">
        <v>28</v>
      </c>
      <c r="AD452" s="97" t="s">
        <v>29</v>
      </c>
      <c r="AE452" s="43" t="s">
        <v>30</v>
      </c>
      <c r="AF452" s="43" t="s">
        <v>31</v>
      </c>
      <c r="AG452" s="43" t="s">
        <v>32</v>
      </c>
      <c r="AH452" s="97" t="s">
        <v>33</v>
      </c>
      <c r="AI452" s="97" t="s">
        <v>34</v>
      </c>
      <c r="AJ452" s="43" t="s">
        <v>35</v>
      </c>
      <c r="AK452" s="43" t="s">
        <v>36</v>
      </c>
      <c r="AL452" s="43" t="s">
        <v>37</v>
      </c>
      <c r="AM452" s="97" t="s">
        <v>38</v>
      </c>
      <c r="AN452" s="97" t="s">
        <v>39</v>
      </c>
      <c r="AO452" s="44" t="s">
        <v>40</v>
      </c>
      <c r="AP452" s="44" t="s">
        <v>41</v>
      </c>
      <c r="AQ452" s="44" t="s">
        <v>42</v>
      </c>
      <c r="AR452" s="44" t="s">
        <v>43</v>
      </c>
      <c r="AS452" s="44" t="s">
        <v>44</v>
      </c>
      <c r="AT452" s="51" t="s">
        <v>71</v>
      </c>
      <c r="AU452" s="51" t="s">
        <v>12</v>
      </c>
      <c r="AV452" s="47" t="s">
        <v>13</v>
      </c>
      <c r="AW452" s="47" t="s">
        <v>14</v>
      </c>
      <c r="AX452" s="51" t="s">
        <v>18</v>
      </c>
      <c r="AY452" s="51" t="s">
        <v>19</v>
      </c>
      <c r="AZ452" s="51" t="s">
        <v>20</v>
      </c>
      <c r="BA452" s="51" t="s">
        <v>21</v>
      </c>
      <c r="BB452" s="51" t="s">
        <v>22</v>
      </c>
      <c r="BC452" s="98" t="s">
        <v>23</v>
      </c>
      <c r="BD452" s="49" t="s">
        <v>24</v>
      </c>
      <c r="BE452" s="49" t="s">
        <v>25</v>
      </c>
      <c r="BF452" s="99" t="s">
        <v>26</v>
      </c>
      <c r="BG452" s="99" t="s">
        <v>27</v>
      </c>
      <c r="BH452" s="99" t="s">
        <v>28</v>
      </c>
      <c r="BI452" s="99" t="s">
        <v>29</v>
      </c>
      <c r="BJ452" s="51" t="s">
        <v>30</v>
      </c>
      <c r="BK452" s="51" t="s">
        <v>31</v>
      </c>
      <c r="BL452" s="51" t="s">
        <v>32</v>
      </c>
      <c r="BM452" s="99" t="s">
        <v>33</v>
      </c>
      <c r="BN452" s="99" t="s">
        <v>34</v>
      </c>
      <c r="BO452" s="51" t="s">
        <v>35</v>
      </c>
      <c r="BP452" s="51" t="s">
        <v>36</v>
      </c>
      <c r="BQ452" s="51" t="s">
        <v>37</v>
      </c>
      <c r="BR452" s="99" t="s">
        <v>38</v>
      </c>
      <c r="BS452" s="99" t="s">
        <v>39</v>
      </c>
      <c r="BT452" s="51" t="s">
        <v>40</v>
      </c>
      <c r="BU452" s="51" t="s">
        <v>41</v>
      </c>
      <c r="BV452" s="51" t="s">
        <v>42</v>
      </c>
      <c r="BW452" s="52" t="s">
        <v>43</v>
      </c>
      <c r="BX452" s="51" t="s">
        <v>44</v>
      </c>
      <c r="BY452" s="100" t="s">
        <v>72</v>
      </c>
      <c r="BZ452" s="100" t="s">
        <v>12</v>
      </c>
      <c r="CA452" s="106" t="s">
        <v>13</v>
      </c>
      <c r="CB452" s="106" t="s">
        <v>14</v>
      </c>
      <c r="CC452" s="100" t="s">
        <v>18</v>
      </c>
      <c r="CD452" s="100" t="s">
        <v>19</v>
      </c>
      <c r="CE452" s="100" t="s">
        <v>20</v>
      </c>
      <c r="CF452" s="59" t="s">
        <v>21</v>
      </c>
      <c r="CG452" s="57" t="s">
        <v>22</v>
      </c>
      <c r="CH452" s="101" t="s">
        <v>23</v>
      </c>
      <c r="CI452" s="57" t="s">
        <v>24</v>
      </c>
      <c r="CJ452" s="57" t="s">
        <v>25</v>
      </c>
      <c r="CK452" s="102" t="s">
        <v>26</v>
      </c>
      <c r="CL452" s="102" t="s">
        <v>27</v>
      </c>
      <c r="CM452" s="102" t="s">
        <v>28</v>
      </c>
      <c r="CN452" s="102" t="s">
        <v>29</v>
      </c>
      <c r="CO452" s="59" t="s">
        <v>30</v>
      </c>
      <c r="CP452" s="103" t="s">
        <v>31</v>
      </c>
      <c r="CQ452" s="59" t="s">
        <v>32</v>
      </c>
      <c r="CR452" s="102" t="s">
        <v>33</v>
      </c>
      <c r="CS452" s="102" t="s">
        <v>34</v>
      </c>
      <c r="CT452" s="59" t="s">
        <v>35</v>
      </c>
      <c r="CU452" s="103" t="s">
        <v>36</v>
      </c>
      <c r="CV452" s="59" t="s">
        <v>37</v>
      </c>
      <c r="CW452" s="102" t="s">
        <v>38</v>
      </c>
      <c r="CX452" s="102" t="s">
        <v>39</v>
      </c>
      <c r="CY452" s="59" t="s">
        <v>40</v>
      </c>
      <c r="CZ452" s="59" t="s">
        <v>41</v>
      </c>
      <c r="DA452" s="59" t="s">
        <v>42</v>
      </c>
      <c r="DB452" s="61" t="s">
        <v>43</v>
      </c>
      <c r="DC452" s="103" t="s">
        <v>44</v>
      </c>
      <c r="DD452" s="104" t="s">
        <v>47</v>
      </c>
      <c r="DE452" s="105">
        <v>450</v>
      </c>
    </row>
    <row r="453" spans="1:176" s="116" customFormat="1" outlineLevel="1" x14ac:dyDescent="0.2">
      <c r="A453" s="114" t="s">
        <v>73</v>
      </c>
      <c r="B453" s="112" t="str">
        <f>"Total Credits: " &amp; IFERROR(IF(DD453=0,"",DD453),"")</f>
        <v>Total Credits: 25</v>
      </c>
      <c r="F453" s="138"/>
      <c r="P453" s="126"/>
      <c r="Q453" s="126"/>
      <c r="R453" s="126"/>
      <c r="X453" s="140">
        <f>IF(SUM(X454:X464)=0, "", SUM(X454:X464))</f>
        <v>8</v>
      </c>
      <c r="Y453" s="123"/>
      <c r="Z453" s="123"/>
      <c r="AA453" s="148"/>
      <c r="AB453" s="148"/>
      <c r="AC453" s="148"/>
      <c r="AD453" s="148"/>
      <c r="AE453" s="126"/>
      <c r="AF453" s="126"/>
      <c r="AG453" s="126"/>
      <c r="AH453" s="148"/>
      <c r="AI453" s="148"/>
      <c r="AJ453" s="126"/>
      <c r="AK453" s="126"/>
      <c r="AL453" s="126"/>
      <c r="AM453" s="148"/>
      <c r="AN453" s="148"/>
      <c r="AO453" s="128"/>
      <c r="AP453" s="128"/>
      <c r="AQ453" s="128"/>
      <c r="AR453" s="128"/>
      <c r="AS453" s="128"/>
      <c r="AT453" s="134"/>
      <c r="AU453" s="134"/>
      <c r="AX453" s="134"/>
      <c r="AY453" s="134"/>
      <c r="AZ453" s="134"/>
      <c r="BA453" s="134"/>
      <c r="BB453" s="134"/>
      <c r="BC453" s="140">
        <f>IF(SUM(BC454:BC464)=0, "", SUM(BC454:BC464))</f>
        <v>4</v>
      </c>
      <c r="BD453" s="123"/>
      <c r="BE453" s="123"/>
      <c r="BF453" s="146"/>
      <c r="BG453" s="146"/>
      <c r="BH453" s="146"/>
      <c r="BI453" s="146"/>
      <c r="BJ453" s="134"/>
      <c r="BK453" s="134"/>
      <c r="BL453" s="134"/>
      <c r="BM453" s="146"/>
      <c r="BN453" s="146"/>
      <c r="BO453" s="134"/>
      <c r="BP453" s="134"/>
      <c r="BQ453" s="134"/>
      <c r="BR453" s="146"/>
      <c r="BS453" s="146"/>
      <c r="BT453" s="134"/>
      <c r="BU453" s="134"/>
      <c r="BV453" s="134"/>
      <c r="BW453" s="128"/>
      <c r="BX453" s="134"/>
      <c r="BY453" s="134"/>
      <c r="BZ453" s="134"/>
      <c r="CC453" s="134"/>
      <c r="CD453" s="134"/>
      <c r="CE453" s="134"/>
      <c r="CG453" s="123"/>
      <c r="CH453" s="140">
        <f>IF(SUM(CH454:CH464)=0, "", SUM(CH454:CH464))</f>
        <v>13</v>
      </c>
      <c r="CI453" s="123"/>
      <c r="CJ453" s="123"/>
      <c r="CK453" s="146"/>
      <c r="CL453" s="146"/>
      <c r="CM453" s="146"/>
      <c r="CN453" s="146"/>
      <c r="CP453" s="134"/>
      <c r="CR453" s="146"/>
      <c r="CS453" s="146"/>
      <c r="CU453" s="134"/>
      <c r="CW453" s="146"/>
      <c r="CX453" s="146"/>
      <c r="DB453" s="128"/>
      <c r="DC453" s="134"/>
      <c r="DD453" s="140">
        <f>IF(SUM(L453:DC453)=0, "", SUM(L453:DC453))</f>
        <v>25</v>
      </c>
      <c r="DE453" s="105">
        <v>451</v>
      </c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</row>
    <row r="454" spans="1:176" s="4" customFormat="1" ht="13" customHeight="1" outlineLevel="1" x14ac:dyDescent="0.2">
      <c r="A454" s="4" t="s">
        <v>1030</v>
      </c>
      <c r="B454" s="115" t="str">
        <f>IF(_xlfn.XLOOKUP(A454, AutoFill_names!B:B, AutoFill_names!C:C,"")=0,"",_xlfn.XLOOKUP(A454, AutoFill_names!B:B, AutoFill_names!C:C,""))</f>
        <v>000043384</v>
      </c>
      <c r="C454" s="115" t="str">
        <f>IF(_xlfn.XLOOKUP(A454, AutoFill_names!B:B, AutoFill_names!D:D,"")=0,"",_xlfn.XLOOKUP(A454, AutoFill_names!B:B, AutoFill_names!D:D,""))</f>
        <v>drewa@andrews.edu</v>
      </c>
      <c r="D454" s="115" t="str">
        <f>IF(_xlfn.XLOOKUP(A454, AutoFill_names!B:B, AutoFill_names!E:E,"")=0,"",_xlfn.XLOOKUP(A454, AutoFill_names!B:B, AutoFill_names!E:E,""))</f>
        <v/>
      </c>
      <c r="E454" s="115" t="str">
        <f>IF(_xlfn.XLOOKUP(A454, AutoFill_names!B:B, AutoFill_names!F:F,"")=0,"",_xlfn.XLOOKUP(A454, AutoFill_names!B:B, AutoFill_names!F:F,""))</f>
        <v/>
      </c>
      <c r="F454" s="92"/>
      <c r="G454" s="1"/>
      <c r="H454" s="1"/>
      <c r="I454" s="1"/>
      <c r="J454" s="115" t="str">
        <f>IF(_xlfn.XLOOKUP(A454, AutoFill_names!B:B, AutoFill_names!K:K,"")=0,"",_xlfn.XLOOKUP(A454, AutoFill_names!B:B, AutoFill_names!K:K,""))</f>
        <v>Jeroncic, Ante</v>
      </c>
      <c r="K454" s="115" t="str">
        <f>IF(_xlfn.XLOOKUP(A454, AutoFill_names!B:B, AutoFill_names!L:L,"")=0,"",_xlfn.XLOOKUP(A454, AutoFill_names!B:B, AutoFill_names!L:L,""))</f>
        <v>000066942</v>
      </c>
      <c r="L454" s="5" t="s">
        <v>1547</v>
      </c>
      <c r="M454" s="5"/>
      <c r="N454" s="117" t="str">
        <f>IF(_xlfn.XLOOKUP(L454, AutoFill_classes!A:A, AutoFill_classes!B:B,"")=0,"",_xlfn.XLOOKUP(L454, AutoFill_classes!A:A, AutoFill_classes!B:B,""))</f>
        <v>Doctrine of God</v>
      </c>
      <c r="O454" s="108"/>
      <c r="P454" s="8"/>
      <c r="Q454" s="8"/>
      <c r="R454" s="8"/>
      <c r="S454" s="4" t="s">
        <v>53</v>
      </c>
      <c r="T454" s="4" t="s">
        <v>54</v>
      </c>
      <c r="U454" s="4" t="s">
        <v>167</v>
      </c>
      <c r="V454" s="4" t="s">
        <v>93</v>
      </c>
      <c r="W454" s="4" t="s">
        <v>56</v>
      </c>
      <c r="X454" s="64">
        <v>3</v>
      </c>
      <c r="Y454" s="25">
        <v>1050</v>
      </c>
      <c r="Z454" s="121">
        <f t="shared" ref="Z454:Z487" si="405">IF(X454*Y454=0,"",X454*Y454)</f>
        <v>3150</v>
      </c>
      <c r="AA454" s="26"/>
      <c r="AB454" s="26"/>
      <c r="AC454" s="28"/>
      <c r="AD454" s="28"/>
      <c r="AE454" s="125" t="str">
        <f t="shared" ref="AE454:AE487" si="406">IF(ROUNDUP((AD454-AC454)/7,0)=0,"",ROUNDUP((AD454-AC454)/7,0))</f>
        <v/>
      </c>
      <c r="AF454" s="9"/>
      <c r="AG454" s="125" t="str">
        <f t="shared" ref="AG454:AG487" si="407">IFERROR(IF(AE454*AF454=0,"",AE454*AF454), "")</f>
        <v/>
      </c>
      <c r="AH454" s="28"/>
      <c r="AI454" s="28"/>
      <c r="AJ454" s="125" t="str">
        <f t="shared" ref="AJ454:AJ487" si="408">IF(ROUNDUP((AI454-AH454)/7,0)=0,"",ROUNDUP((AI454-AH454)/7,0))</f>
        <v/>
      </c>
      <c r="AK454" s="9"/>
      <c r="AL454" s="125" t="str">
        <f t="shared" ref="AL454:AL487" si="409">IFERROR(IF(AJ454*AK454=0,"",AJ454*AK454), "")</f>
        <v/>
      </c>
      <c r="AM454" s="28"/>
      <c r="AN454" s="28"/>
      <c r="AO454" s="125" t="str">
        <f t="shared" ref="AO454:AO487" si="410">IF(ROUNDUP((AN454-AM454)/7,0)=0,"",ROUNDUP((AN454-AM454)/7,0))</f>
        <v/>
      </c>
      <c r="AP454" s="125" t="str">
        <f t="shared" ref="AP454:AP487" si="411">IFERROR(IF((AS454-(AF454+AK454))/AO454=0,"",ROUNDUP((AS454-(AF454+AK454))/AO454,0)), "")</f>
        <v/>
      </c>
      <c r="AQ454" s="125" t="str">
        <f t="shared" ref="AQ454:AQ487" si="412">IFERROR(IF((AS454-(AG454+AL454))=0, "", (AS454-(AG454+AL454))), "")</f>
        <v/>
      </c>
      <c r="AR454" s="129" t="str">
        <f t="shared" ref="AR454:AR487" si="413">IFERROR(IF((AE454+AJ454+AO454)=0, "", (AE454+AJ454+AO454)), "")</f>
        <v/>
      </c>
      <c r="AS454" s="9"/>
      <c r="AT454" s="34" t="s">
        <v>1557</v>
      </c>
      <c r="AU454" s="34"/>
      <c r="AV454" s="117" t="str">
        <f>IF(_xlfn.XLOOKUP(AT454, AutoFill_classes!$A:$A, AutoFill_classes!$B:$B,"")=0,"",_xlfn.XLOOKUP(AT454, AutoFill_classes!$A:$A, AutoFill_classes!$B:$B,""))</f>
        <v>Contemporary Theology</v>
      </c>
      <c r="AW454" s="108"/>
      <c r="AX454" s="9" t="s">
        <v>53</v>
      </c>
      <c r="AY454" s="10" t="s">
        <v>54</v>
      </c>
      <c r="AZ454" s="9" t="s">
        <v>167</v>
      </c>
      <c r="BA454" s="10" t="s">
        <v>93</v>
      </c>
      <c r="BB454" s="10" t="s">
        <v>56</v>
      </c>
      <c r="BC454" s="64">
        <v>2</v>
      </c>
      <c r="BD454" s="25">
        <v>1050</v>
      </c>
      <c r="BE454" s="121">
        <f t="shared" ref="BE454:BE487" si="414">IF(BC454*BD454=0,"",BC454*BD454)</f>
        <v>2100</v>
      </c>
      <c r="BF454" s="20"/>
      <c r="BG454" s="20"/>
      <c r="BH454" s="24"/>
      <c r="BI454" s="24"/>
      <c r="BJ454" s="125" t="str">
        <f t="shared" ref="BJ454:BJ487" si="415">IF(ROUNDUP((BI454-BH454)/7,0)=0,"",ROUNDUP((BI454-BH454)/7,0))</f>
        <v/>
      </c>
      <c r="BK454" s="14"/>
      <c r="BL454" s="125" t="str">
        <f t="shared" ref="BL454:BL487" si="416">IFERROR(IF(BJ454*BK454=0,"",BJ454*BK454), "")</f>
        <v/>
      </c>
      <c r="BM454" s="24"/>
      <c r="BN454" s="24"/>
      <c r="BO454" s="125" t="str">
        <f t="shared" ref="BO454:BO487" si="417">IF(ROUNDUP((BN454-BM454)/7,0)=0,"",ROUNDUP((BN454-BM454)/7,0))</f>
        <v/>
      </c>
      <c r="BP454" s="14"/>
      <c r="BQ454" s="125" t="str">
        <f t="shared" ref="BQ454:BQ487" si="418">IFERROR(IF(BO454*BP454=0,"",BO454*BP454), "")</f>
        <v/>
      </c>
      <c r="BR454" s="24"/>
      <c r="BS454" s="24"/>
      <c r="BT454" s="125" t="str">
        <f t="shared" ref="BT454:BT487" si="419">IF(ROUNDUP((BS454-BR454)/7,0)=0,"",ROUNDUP((BS454-BR454)/7,0))</f>
        <v/>
      </c>
      <c r="BU454" s="125" t="str">
        <f t="shared" ref="BU454:BU487" si="420">IFERROR(IF((BX454-(BK454+BP454))/BT454=0,"",ROUNDUP((BX454-(BK454+BP454))/BT454,0)), "")</f>
        <v/>
      </c>
      <c r="BV454" s="125" t="str">
        <f t="shared" ref="BV454:BV487" si="421">IFERROR(IF((BX454-(BL454+BQ454))=0, "", (BX454-(BL454+BQ454))), "")</f>
        <v/>
      </c>
      <c r="BW454" s="129" t="str">
        <f t="shared" ref="BW454:BW487" si="422">IFERROR(IF((BJ454+BO454+BT454)=0, "", (BJ454+BO454+BT454)), "")</f>
        <v/>
      </c>
      <c r="BX454" s="9"/>
      <c r="BY454" s="9"/>
      <c r="BZ454" s="9"/>
      <c r="CA454" s="117" t="str">
        <f>IF(_xlfn.XLOOKUP(BY454, AutoFill_classes!$A:$A, AutoFill_classes!$B:$B,"")=0,"",_xlfn.XLOOKUP(BY454, AutoFill_classes!$A:$A, AutoFill_classes!$B:$B,""))</f>
        <v/>
      </c>
      <c r="CB454" s="108"/>
      <c r="CC454" s="9"/>
      <c r="CD454" s="9"/>
      <c r="CE454" s="9"/>
      <c r="CG454" s="25"/>
      <c r="CH454" s="64"/>
      <c r="CI454" s="27"/>
      <c r="CJ454" s="121" t="str">
        <f t="shared" ref="CJ454:CJ487" si="423">IF(CH454*CI454=0,"",CH454*CI454)</f>
        <v/>
      </c>
      <c r="CK454" s="20"/>
      <c r="CL454" s="20"/>
      <c r="CM454" s="24"/>
      <c r="CN454" s="24"/>
      <c r="CO454" s="125" t="str">
        <f t="shared" ref="CO454:CO487" si="424">IF(ROUNDUP((CN454-CM454)/7,0)=0,"",ROUNDUP((CN454-CM454)/7,0))</f>
        <v/>
      </c>
      <c r="CP454" s="14"/>
      <c r="CQ454" s="125" t="str">
        <f t="shared" ref="CQ454:CQ487" si="425">IFERROR(IF(CO454*CP454=0,"",CO454*CP454), "")</f>
        <v/>
      </c>
      <c r="CR454" s="24"/>
      <c r="CS454" s="24"/>
      <c r="CT454" s="125" t="str">
        <f t="shared" ref="CT454:CT487" si="426">IF(ROUNDUP((CS454-CR454)/7,0)=0,"",ROUNDUP((CS454-CR454)/7,0))</f>
        <v/>
      </c>
      <c r="CU454" s="14"/>
      <c r="CV454" s="125" t="str">
        <f t="shared" ref="CV454:CV487" si="427">IFERROR(IF(CT454*CU454=0,"",CT454*CU454), "")</f>
        <v/>
      </c>
      <c r="CW454" s="24"/>
      <c r="CX454" s="24"/>
      <c r="CY454" s="125" t="str">
        <f t="shared" ref="CY454:CY487" si="428">IF(ROUNDUP((CX454-CW454)/7,0)=0,"",ROUNDUP((CX454-CW454)/7,0))</f>
        <v/>
      </c>
      <c r="CZ454" s="125" t="str">
        <f t="shared" ref="CZ454:CZ487" si="429">IFERROR(IF((DC454-(CP454+CU454))/CY454=0,"",ROUNDUP((DC454-(CP454+CU454))/CY454,0)), "")</f>
        <v/>
      </c>
      <c r="DA454" s="125" t="str">
        <f t="shared" ref="DA454:DA487" si="430">IFERROR(IF((DC454-(CQ454+CV454))=0, "", (DC454-(CQ454+CV454))), "")</f>
        <v/>
      </c>
      <c r="DB454" s="129" t="str">
        <f t="shared" ref="DB454:DB487" si="431">IFERROR(IF((CO454+CT454+CY454)=0, "", (CO454+CT454+CY454)), "")</f>
        <v/>
      </c>
      <c r="DC454" s="9"/>
      <c r="DD454" s="65"/>
      <c r="DE454" s="105">
        <v>452</v>
      </c>
    </row>
    <row r="455" spans="1:176" s="4" customFormat="1" ht="13" customHeight="1" outlineLevel="1" x14ac:dyDescent="0.2">
      <c r="A455" s="4" t="s">
        <v>1030</v>
      </c>
      <c r="B455" s="115"/>
      <c r="C455" s="115"/>
      <c r="D455" s="115"/>
      <c r="E455" s="115"/>
      <c r="F455" s="92"/>
      <c r="G455" s="1"/>
      <c r="H455" s="1"/>
      <c r="I455" s="1"/>
      <c r="J455" s="115"/>
      <c r="K455" s="115"/>
      <c r="L455" s="5"/>
      <c r="M455" s="5"/>
      <c r="N455" s="117" t="str">
        <f>IF(_xlfn.XLOOKUP(L455, AutoFill_classes!A:A, AutoFill_classes!B:B,"")=0,"",_xlfn.XLOOKUP(L455, AutoFill_classes!A:A, AutoFill_classes!B:B,""))</f>
        <v/>
      </c>
      <c r="O455" s="108"/>
      <c r="P455" s="8"/>
      <c r="Q455" s="8"/>
      <c r="R455" s="8"/>
      <c r="X455" s="64"/>
      <c r="Y455" s="25"/>
      <c r="Z455" s="121" t="str">
        <f t="shared" si="405"/>
        <v/>
      </c>
      <c r="AA455" s="26"/>
      <c r="AB455" s="26"/>
      <c r="AC455" s="28"/>
      <c r="AD455" s="28"/>
      <c r="AE455" s="125"/>
      <c r="AF455" s="9"/>
      <c r="AG455" s="125"/>
      <c r="AH455" s="28"/>
      <c r="AI455" s="28"/>
      <c r="AJ455" s="125"/>
      <c r="AK455" s="9"/>
      <c r="AL455" s="125"/>
      <c r="AM455" s="28"/>
      <c r="AN455" s="28"/>
      <c r="AO455" s="125"/>
      <c r="AP455" s="125"/>
      <c r="AQ455" s="125"/>
      <c r="AR455" s="129"/>
      <c r="AS455" s="9"/>
      <c r="AT455" s="34" t="s">
        <v>1557</v>
      </c>
      <c r="AU455" s="34" t="s">
        <v>57</v>
      </c>
      <c r="AV455" s="117" t="str">
        <f>IF(_xlfn.XLOOKUP(AT455, AutoFill_classes!$A:$A, AutoFill_classes!$B:$B,"")=0,"",_xlfn.XLOOKUP(AT455, AutoFill_classes!$A:$A, AutoFill_classes!$B:$B,""))</f>
        <v>Contemporary Theology</v>
      </c>
      <c r="AW455" s="108"/>
      <c r="AX455" s="9" t="s">
        <v>58</v>
      </c>
      <c r="AY455" s="10" t="s">
        <v>54</v>
      </c>
      <c r="AZ455" s="9" t="s">
        <v>167</v>
      </c>
      <c r="BA455" s="10" t="s">
        <v>59</v>
      </c>
      <c r="BB455" s="10" t="s">
        <v>56</v>
      </c>
      <c r="BC455" s="64">
        <v>0</v>
      </c>
      <c r="BD455" s="25"/>
      <c r="BE455" s="121" t="str">
        <f t="shared" si="414"/>
        <v/>
      </c>
      <c r="BF455" s="20"/>
      <c r="BG455" s="20"/>
      <c r="BH455" s="24"/>
      <c r="BI455" s="24"/>
      <c r="BJ455" s="125"/>
      <c r="BK455" s="14"/>
      <c r="BL455" s="125"/>
      <c r="BM455" s="24"/>
      <c r="BN455" s="24"/>
      <c r="BO455" s="125"/>
      <c r="BP455" s="14"/>
      <c r="BQ455" s="125"/>
      <c r="BR455" s="24"/>
      <c r="BS455" s="24"/>
      <c r="BT455" s="125"/>
      <c r="BU455" s="125"/>
      <c r="BV455" s="125"/>
      <c r="BW455" s="129"/>
      <c r="BX455" s="9"/>
      <c r="BY455" s="9"/>
      <c r="BZ455" s="9"/>
      <c r="CA455" s="117"/>
      <c r="CB455" s="108"/>
      <c r="CC455" s="9"/>
      <c r="CD455" s="9"/>
      <c r="CE455" s="9"/>
      <c r="CG455" s="25"/>
      <c r="CH455" s="64"/>
      <c r="CI455" s="27"/>
      <c r="CJ455" s="121"/>
      <c r="CK455" s="20"/>
      <c r="CL455" s="20"/>
      <c r="CM455" s="24"/>
      <c r="CN455" s="24"/>
      <c r="CO455" s="125"/>
      <c r="CP455" s="14"/>
      <c r="CQ455" s="125"/>
      <c r="CR455" s="24"/>
      <c r="CS455" s="24"/>
      <c r="CT455" s="125"/>
      <c r="CU455" s="14"/>
      <c r="CV455" s="125"/>
      <c r="CW455" s="24"/>
      <c r="CX455" s="24"/>
      <c r="CY455" s="125"/>
      <c r="CZ455" s="125"/>
      <c r="DA455" s="125"/>
      <c r="DB455" s="129"/>
      <c r="DC455" s="9"/>
      <c r="DD455" s="65"/>
      <c r="DE455" s="105"/>
    </row>
    <row r="456" spans="1:176" s="4" customFormat="1" ht="13" customHeight="1" outlineLevel="1" x14ac:dyDescent="0.2">
      <c r="A456" s="4" t="s">
        <v>1042</v>
      </c>
      <c r="B456" s="115" t="str">
        <f>IF(_xlfn.XLOOKUP(A456, AutoFill_names!B:B, AutoFill_names!C:C,"")=0,"",_xlfn.XLOOKUP(A456, AutoFill_names!B:B, AutoFill_names!C:C,""))</f>
        <v>000146529</v>
      </c>
      <c r="C456" s="115" t="str">
        <f>IF(_xlfn.XLOOKUP(A456, AutoFill_names!B:B, AutoFill_names!D:D,"")=0,"",_xlfn.XLOOKUP(A456, AutoFill_names!B:B, AutoFill_names!D:D,""))</f>
        <v>gibbsn@andrews.edu</v>
      </c>
      <c r="D456" s="115" t="str">
        <f>IF(_xlfn.XLOOKUP(A456, AutoFill_names!B:B, AutoFill_names!E:E,"")=0,"",_xlfn.XLOOKUP(A456, AutoFill_names!B:B, AutoFill_names!E:E,""))</f>
        <v/>
      </c>
      <c r="E456" s="115" t="str">
        <f>IF(_xlfn.XLOOKUP(A456, AutoFill_names!B:B, AutoFill_names!F:F,"")=0,"",_xlfn.XLOOKUP(A456, AutoFill_names!B:B, AutoFill_names!F:F,""))</f>
        <v/>
      </c>
      <c r="F456" s="92"/>
      <c r="G456" s="1"/>
      <c r="H456" s="1"/>
      <c r="I456" s="1"/>
      <c r="J456" s="115" t="str">
        <f>IF(_xlfn.XLOOKUP(A456, AutoFill_names!B:B, AutoFill_names!K:K,"")=0,"",_xlfn.XLOOKUP(A456, AutoFill_names!B:B, AutoFill_names!K:K,""))</f>
        <v>Jeroncic, Ante</v>
      </c>
      <c r="K456" s="115" t="str">
        <f>IF(_xlfn.XLOOKUP(A456, AutoFill_names!B:B, AutoFill_names!L:L,"")=0,"",_xlfn.XLOOKUP(A456, AutoFill_names!B:B, AutoFill_names!L:L,""))</f>
        <v>000066942</v>
      </c>
      <c r="L456" s="5" t="s">
        <v>1562</v>
      </c>
      <c r="M456" s="5" t="s">
        <v>453</v>
      </c>
      <c r="N456" s="117" t="str">
        <f>IF(_xlfn.XLOOKUP(L456, AutoFill_classes!A:A, AutoFill_classes!B:B,"")=0,"",_xlfn.XLOOKUP(L456, AutoFill_classes!A:A, AutoFill_classes!B:B,""))</f>
        <v>Issues in Origins</v>
      </c>
      <c r="O456" s="108"/>
      <c r="P456" s="8"/>
      <c r="Q456" s="8"/>
      <c r="R456" s="8"/>
      <c r="S456" s="4" t="s">
        <v>102</v>
      </c>
      <c r="T456" s="4" t="s">
        <v>54</v>
      </c>
      <c r="U456" s="4" t="s">
        <v>167</v>
      </c>
      <c r="V456" s="4" t="s">
        <v>93</v>
      </c>
      <c r="W456" s="4" t="s">
        <v>56</v>
      </c>
      <c r="X456" s="64">
        <v>2</v>
      </c>
      <c r="Y456" s="25">
        <v>1000</v>
      </c>
      <c r="Z456" s="121">
        <f t="shared" si="405"/>
        <v>2000</v>
      </c>
      <c r="AA456" s="26"/>
      <c r="AB456" s="26"/>
      <c r="AC456" s="28"/>
      <c r="AD456" s="28"/>
      <c r="AE456" s="125" t="str">
        <f t="shared" si="406"/>
        <v/>
      </c>
      <c r="AF456" s="9"/>
      <c r="AG456" s="125" t="str">
        <f t="shared" si="407"/>
        <v/>
      </c>
      <c r="AH456" s="28"/>
      <c r="AI456" s="28"/>
      <c r="AJ456" s="125" t="str">
        <f t="shared" si="408"/>
        <v/>
      </c>
      <c r="AK456" s="9"/>
      <c r="AL456" s="125" t="str">
        <f t="shared" si="409"/>
        <v/>
      </c>
      <c r="AM456" s="28"/>
      <c r="AN456" s="28"/>
      <c r="AO456" s="125" t="str">
        <f t="shared" si="410"/>
        <v/>
      </c>
      <c r="AP456" s="125" t="str">
        <f t="shared" si="411"/>
        <v/>
      </c>
      <c r="AQ456" s="125" t="str">
        <f t="shared" si="412"/>
        <v/>
      </c>
      <c r="AR456" s="129" t="str">
        <f t="shared" si="413"/>
        <v/>
      </c>
      <c r="AS456" s="9"/>
      <c r="AT456" s="34" t="s">
        <v>1562</v>
      </c>
      <c r="AU456" s="34"/>
      <c r="AV456" s="117" t="str">
        <f>IF(_xlfn.XLOOKUP(AT456, AutoFill_classes!$A:$A, AutoFill_classes!$B:$B,"")=0,"",_xlfn.XLOOKUP(AT456, AutoFill_classes!$A:$A, AutoFill_classes!$B:$B,""))</f>
        <v>Issues in Origins</v>
      </c>
      <c r="AW456" s="108"/>
      <c r="AX456" s="9" t="s">
        <v>53</v>
      </c>
      <c r="AY456" s="10" t="s">
        <v>54</v>
      </c>
      <c r="AZ456" s="9" t="s">
        <v>167</v>
      </c>
      <c r="BA456" s="10" t="s">
        <v>93</v>
      </c>
      <c r="BB456" s="10" t="s">
        <v>56</v>
      </c>
      <c r="BC456" s="64">
        <v>2</v>
      </c>
      <c r="BD456" s="25">
        <v>1000</v>
      </c>
      <c r="BE456" s="121">
        <f t="shared" si="414"/>
        <v>2000</v>
      </c>
      <c r="BF456" s="20"/>
      <c r="BG456" s="20"/>
      <c r="BH456" s="24"/>
      <c r="BI456" s="24"/>
      <c r="BJ456" s="125" t="str">
        <f t="shared" si="415"/>
        <v/>
      </c>
      <c r="BK456" s="14"/>
      <c r="BL456" s="125" t="str">
        <f t="shared" si="416"/>
        <v/>
      </c>
      <c r="BM456" s="24"/>
      <c r="BN456" s="24"/>
      <c r="BO456" s="125" t="str">
        <f t="shared" si="417"/>
        <v/>
      </c>
      <c r="BP456" s="14"/>
      <c r="BQ456" s="125" t="str">
        <f t="shared" si="418"/>
        <v/>
      </c>
      <c r="BR456" s="24"/>
      <c r="BS456" s="24"/>
      <c r="BT456" s="125" t="str">
        <f t="shared" si="419"/>
        <v/>
      </c>
      <c r="BU456" s="125" t="str">
        <f t="shared" si="420"/>
        <v/>
      </c>
      <c r="BV456" s="125" t="str">
        <f t="shared" si="421"/>
        <v/>
      </c>
      <c r="BW456" s="129" t="str">
        <f t="shared" si="422"/>
        <v/>
      </c>
      <c r="BX456" s="9"/>
      <c r="BY456" s="9" t="s">
        <v>1562</v>
      </c>
      <c r="BZ456" s="9"/>
      <c r="CA456" s="117" t="str">
        <f>IF(_xlfn.XLOOKUP(BY456, AutoFill_classes!$A:$A, AutoFill_classes!$B:$B,"")=0,"",_xlfn.XLOOKUP(BY456, AutoFill_classes!$A:$A, AutoFill_classes!$B:$B,""))</f>
        <v>Issues in Origins</v>
      </c>
      <c r="CB456" s="108"/>
      <c r="CC456" s="9" t="s">
        <v>53</v>
      </c>
      <c r="CD456" s="9" t="s">
        <v>54</v>
      </c>
      <c r="CE456" s="9" t="s">
        <v>167</v>
      </c>
      <c r="CF456" s="4" t="s">
        <v>93</v>
      </c>
      <c r="CG456" s="25" t="s">
        <v>56</v>
      </c>
      <c r="CH456" s="64">
        <v>2</v>
      </c>
      <c r="CI456" s="27">
        <v>1000</v>
      </c>
      <c r="CJ456" s="121">
        <f t="shared" si="423"/>
        <v>2000</v>
      </c>
      <c r="CK456" s="20"/>
      <c r="CL456" s="20"/>
      <c r="CM456" s="24"/>
      <c r="CN456" s="24"/>
      <c r="CO456" s="125" t="str">
        <f t="shared" si="424"/>
        <v/>
      </c>
      <c r="CP456" s="14"/>
      <c r="CQ456" s="125" t="str">
        <f t="shared" si="425"/>
        <v/>
      </c>
      <c r="CR456" s="24"/>
      <c r="CS456" s="24"/>
      <c r="CT456" s="125" t="str">
        <f t="shared" si="426"/>
        <v/>
      </c>
      <c r="CU456" s="14"/>
      <c r="CV456" s="125" t="str">
        <f t="shared" si="427"/>
        <v/>
      </c>
      <c r="CW456" s="24"/>
      <c r="CX456" s="24"/>
      <c r="CY456" s="125" t="str">
        <f t="shared" si="428"/>
        <v/>
      </c>
      <c r="CZ456" s="125" t="str">
        <f t="shared" si="429"/>
        <v/>
      </c>
      <c r="DA456" s="125" t="str">
        <f t="shared" si="430"/>
        <v/>
      </c>
      <c r="DB456" s="129" t="str">
        <f t="shared" si="431"/>
        <v/>
      </c>
      <c r="DC456" s="9"/>
      <c r="DD456" s="65"/>
      <c r="DE456" s="105">
        <v>453</v>
      </c>
    </row>
    <row r="457" spans="1:176" s="4" customFormat="1" ht="13" customHeight="1" outlineLevel="1" x14ac:dyDescent="0.2">
      <c r="A457" s="4" t="s">
        <v>1042</v>
      </c>
      <c r="B457" s="115"/>
      <c r="C457" s="115"/>
      <c r="D457" s="115"/>
      <c r="E457" s="115"/>
      <c r="F457" s="92"/>
      <c r="G457" s="1"/>
      <c r="H457" s="1"/>
      <c r="I457" s="1"/>
      <c r="J457" s="115"/>
      <c r="K457" s="115"/>
      <c r="L457" s="5"/>
      <c r="M457" s="5"/>
      <c r="N457" s="117" t="str">
        <f>IF(_xlfn.XLOOKUP(L457, AutoFill_classes!A:A, AutoFill_classes!B:B,"")=0,"",_xlfn.XLOOKUP(L457, AutoFill_classes!A:A, AutoFill_classes!B:B,""))</f>
        <v/>
      </c>
      <c r="O457" s="108"/>
      <c r="P457" s="8"/>
      <c r="Q457" s="8"/>
      <c r="R457" s="8"/>
      <c r="X457" s="64"/>
      <c r="Y457" s="25"/>
      <c r="Z457" s="121" t="str">
        <f t="shared" si="405"/>
        <v/>
      </c>
      <c r="AA457" s="26"/>
      <c r="AB457" s="26"/>
      <c r="AC457" s="28"/>
      <c r="AD457" s="28"/>
      <c r="AE457" s="125"/>
      <c r="AF457" s="9"/>
      <c r="AG457" s="125"/>
      <c r="AH457" s="28"/>
      <c r="AI457" s="28"/>
      <c r="AJ457" s="125"/>
      <c r="AK457" s="9"/>
      <c r="AL457" s="125"/>
      <c r="AM457" s="28"/>
      <c r="AN457" s="28"/>
      <c r="AO457" s="125"/>
      <c r="AP457" s="125"/>
      <c r="AQ457" s="125"/>
      <c r="AR457" s="129"/>
      <c r="AS457" s="9"/>
      <c r="AT457" s="34" t="s">
        <v>1562</v>
      </c>
      <c r="AU457" s="34" t="s">
        <v>57</v>
      </c>
      <c r="AV457" s="117" t="str">
        <f>IF(_xlfn.XLOOKUP(AT457, AutoFill_classes!$A:$A, AutoFill_classes!$B:$B,"")=0,"",_xlfn.XLOOKUP(AT457, AutoFill_classes!$A:$A, AutoFill_classes!$B:$B,""))</f>
        <v>Issues in Origins</v>
      </c>
      <c r="AW457" s="108"/>
      <c r="AX457" s="9" t="s">
        <v>58</v>
      </c>
      <c r="AY457" s="10" t="s">
        <v>54</v>
      </c>
      <c r="AZ457" s="9" t="s">
        <v>167</v>
      </c>
      <c r="BA457" s="10" t="s">
        <v>59</v>
      </c>
      <c r="BB457" s="10" t="s">
        <v>56</v>
      </c>
      <c r="BC457" s="64">
        <v>0</v>
      </c>
      <c r="BD457" s="25"/>
      <c r="BE457" s="121" t="str">
        <f t="shared" si="414"/>
        <v/>
      </c>
      <c r="BF457" s="20"/>
      <c r="BG457" s="20"/>
      <c r="BH457" s="24"/>
      <c r="BI457" s="24"/>
      <c r="BJ457" s="125"/>
      <c r="BK457" s="14"/>
      <c r="BL457" s="125"/>
      <c r="BM457" s="24"/>
      <c r="BN457" s="24"/>
      <c r="BO457" s="125"/>
      <c r="BP457" s="14"/>
      <c r="BQ457" s="125"/>
      <c r="BR457" s="24"/>
      <c r="BS457" s="24"/>
      <c r="BT457" s="125"/>
      <c r="BU457" s="125"/>
      <c r="BV457" s="125"/>
      <c r="BW457" s="129"/>
      <c r="BX457" s="9"/>
      <c r="BY457" s="9" t="s">
        <v>1562</v>
      </c>
      <c r="BZ457" s="9" t="s">
        <v>57</v>
      </c>
      <c r="CA457" s="117"/>
      <c r="CB457" s="108"/>
      <c r="CC457" s="9" t="s">
        <v>58</v>
      </c>
      <c r="CD457" s="9" t="s">
        <v>54</v>
      </c>
      <c r="CE457" s="9" t="s">
        <v>167</v>
      </c>
      <c r="CF457" s="4" t="s">
        <v>59</v>
      </c>
      <c r="CG457" s="25" t="s">
        <v>56</v>
      </c>
      <c r="CH457" s="64">
        <v>0</v>
      </c>
      <c r="CI457" s="27"/>
      <c r="CJ457" s="121"/>
      <c r="CK457" s="20"/>
      <c r="CL457" s="20"/>
      <c r="CM457" s="24"/>
      <c r="CN457" s="24"/>
      <c r="CO457" s="125"/>
      <c r="CP457" s="14"/>
      <c r="CQ457" s="125"/>
      <c r="CR457" s="24"/>
      <c r="CS457" s="24"/>
      <c r="CT457" s="125"/>
      <c r="CU457" s="14"/>
      <c r="CV457" s="125"/>
      <c r="CW457" s="24"/>
      <c r="CX457" s="24"/>
      <c r="CY457" s="125"/>
      <c r="CZ457" s="125"/>
      <c r="DA457" s="125"/>
      <c r="DB457" s="129"/>
      <c r="DC457" s="9"/>
      <c r="DD457" s="65"/>
      <c r="DE457" s="105"/>
    </row>
    <row r="458" spans="1:176" s="4" customFormat="1" ht="13" customHeight="1" outlineLevel="1" x14ac:dyDescent="0.2">
      <c r="A458" s="4" t="s">
        <v>1083</v>
      </c>
      <c r="B458" s="115" t="str">
        <f>IF(_xlfn.XLOOKUP(A458, AutoFill_names!B:B, AutoFill_names!C:C,"")=0,"",_xlfn.XLOOKUP(A458, AutoFill_names!B:B, AutoFill_names!C:C,""))</f>
        <v>000138600</v>
      </c>
      <c r="C458" s="115" t="str">
        <f>IF(_xlfn.XLOOKUP(A458, AutoFill_names!B:B, AutoFill_names!D:D,"")=0,"",_xlfn.XLOOKUP(A458, AutoFill_names!B:B, AutoFill_names!D:D,""))</f>
        <v>sciarabb@andrews.edu</v>
      </c>
      <c r="D458" s="115" t="str">
        <f>IF(_xlfn.XLOOKUP(A458, AutoFill_names!B:B, AutoFill_names!E:E,"")=0,"",_xlfn.XLOOKUP(A458, AutoFill_names!B:B, AutoFill_names!E:E,""))</f>
        <v/>
      </c>
      <c r="E458" s="115" t="str">
        <f>IF(_xlfn.XLOOKUP(A458, AutoFill_names!B:B, AutoFill_names!F:F,"")=0,"",_xlfn.XLOOKUP(A458, AutoFill_names!B:B, AutoFill_names!F:F,""))</f>
        <v/>
      </c>
      <c r="F458" s="92"/>
      <c r="G458" s="1"/>
      <c r="H458" s="1"/>
      <c r="I458" s="1"/>
      <c r="J458" s="115" t="str">
        <f>IF(_xlfn.XLOOKUP(A458, AutoFill_names!B:B, AutoFill_names!K:K,"")=0,"",_xlfn.XLOOKUP(A458, AutoFill_names!B:B, AutoFill_names!K:K,""))</f>
        <v>Jeroncic, Ante</v>
      </c>
      <c r="K458" s="115" t="str">
        <f>IF(_xlfn.XLOOKUP(A458, AutoFill_names!B:B, AutoFill_names!L:L,"")=0,"",_xlfn.XLOOKUP(A458, AutoFill_names!B:B, AutoFill_names!L:L,""))</f>
        <v>000066942</v>
      </c>
      <c r="L458" s="5" t="s">
        <v>1565</v>
      </c>
      <c r="M458" s="5"/>
      <c r="N458" s="117" t="str">
        <f>IF(_xlfn.XLOOKUP(L458, AutoFill_classes!A:A, AutoFill_classes!B:B,"")=0,"",_xlfn.XLOOKUP(L458, AutoFill_classes!A:A, AutoFill_classes!B:B,""))</f>
        <v>Doctrine of Salvation</v>
      </c>
      <c r="O458" s="108"/>
      <c r="P458" s="8"/>
      <c r="Q458" s="8"/>
      <c r="R458" s="8"/>
      <c r="S458" s="4" t="s">
        <v>53</v>
      </c>
      <c r="T458" s="4" t="s">
        <v>103</v>
      </c>
      <c r="U458" s="151" t="s">
        <v>167</v>
      </c>
      <c r="V458" s="4" t="s">
        <v>93</v>
      </c>
      <c r="W458" s="4" t="s">
        <v>56</v>
      </c>
      <c r="X458" s="64">
        <v>3</v>
      </c>
      <c r="Y458" s="25">
        <v>1050</v>
      </c>
      <c r="Z458" s="121">
        <f t="shared" si="405"/>
        <v>3150</v>
      </c>
      <c r="AA458" s="26"/>
      <c r="AB458" s="26"/>
      <c r="AC458" s="28"/>
      <c r="AD458" s="28"/>
      <c r="AE458" s="125" t="str">
        <f t="shared" si="406"/>
        <v/>
      </c>
      <c r="AF458" s="9"/>
      <c r="AG458" s="125" t="str">
        <f t="shared" si="407"/>
        <v/>
      </c>
      <c r="AH458" s="28"/>
      <c r="AI458" s="28"/>
      <c r="AJ458" s="125" t="str">
        <f t="shared" si="408"/>
        <v/>
      </c>
      <c r="AK458" s="9"/>
      <c r="AL458" s="125" t="str">
        <f t="shared" si="409"/>
        <v/>
      </c>
      <c r="AM458" s="28"/>
      <c r="AN458" s="28"/>
      <c r="AO458" s="125" t="str">
        <f t="shared" si="410"/>
        <v/>
      </c>
      <c r="AP458" s="125" t="str">
        <f t="shared" si="411"/>
        <v/>
      </c>
      <c r="AQ458" s="125" t="str">
        <f t="shared" si="412"/>
        <v/>
      </c>
      <c r="AR458" s="129" t="str">
        <f t="shared" si="413"/>
        <v/>
      </c>
      <c r="AS458" s="9"/>
      <c r="AT458" s="34"/>
      <c r="AU458" s="34"/>
      <c r="AV458" s="117" t="str">
        <f>IF(_xlfn.XLOOKUP(AT458, AutoFill_classes!$A:$A, AutoFill_classes!$B:$B,"")=0,"",_xlfn.XLOOKUP(AT458, AutoFill_classes!$A:$A, AutoFill_classes!$B:$B,""))</f>
        <v/>
      </c>
      <c r="AW458" s="108"/>
      <c r="AX458" s="9"/>
      <c r="AY458" s="10"/>
      <c r="AZ458" s="9"/>
      <c r="BA458" s="10"/>
      <c r="BB458" s="10"/>
      <c r="BC458" s="64"/>
      <c r="BD458" s="25"/>
      <c r="BE458" s="121" t="str">
        <f t="shared" si="414"/>
        <v/>
      </c>
      <c r="BF458" s="20"/>
      <c r="BG458" s="20"/>
      <c r="BH458" s="24"/>
      <c r="BI458" s="24"/>
      <c r="BJ458" s="125" t="str">
        <f t="shared" si="415"/>
        <v/>
      </c>
      <c r="BK458" s="14"/>
      <c r="BL458" s="125" t="str">
        <f t="shared" si="416"/>
        <v/>
      </c>
      <c r="BM458" s="24"/>
      <c r="BN458" s="24"/>
      <c r="BO458" s="125" t="str">
        <f t="shared" si="417"/>
        <v/>
      </c>
      <c r="BP458" s="14"/>
      <c r="BQ458" s="125" t="str">
        <f t="shared" si="418"/>
        <v/>
      </c>
      <c r="BR458" s="24"/>
      <c r="BS458" s="24"/>
      <c r="BT458" s="125" t="str">
        <f t="shared" si="419"/>
        <v/>
      </c>
      <c r="BU458" s="125" t="str">
        <f t="shared" si="420"/>
        <v/>
      </c>
      <c r="BV458" s="125" t="str">
        <f t="shared" si="421"/>
        <v/>
      </c>
      <c r="BW458" s="129" t="str">
        <f t="shared" si="422"/>
        <v/>
      </c>
      <c r="BX458" s="9"/>
      <c r="BY458" s="9"/>
      <c r="BZ458" s="9"/>
      <c r="CA458" s="117" t="str">
        <f>IF(_xlfn.XLOOKUP(BY458, AutoFill_classes!$A:$A, AutoFill_classes!$B:$B,"")=0,"",_xlfn.XLOOKUP(BY458, AutoFill_classes!$A:$A, AutoFill_classes!$B:$B,""))</f>
        <v/>
      </c>
      <c r="CB458" s="108"/>
      <c r="CC458" s="9"/>
      <c r="CD458" s="9"/>
      <c r="CE458" s="9"/>
      <c r="CG458" s="25"/>
      <c r="CH458" s="64"/>
      <c r="CI458" s="27"/>
      <c r="CJ458" s="121" t="str">
        <f t="shared" si="423"/>
        <v/>
      </c>
      <c r="CK458" s="20"/>
      <c r="CL458" s="20"/>
      <c r="CM458" s="24"/>
      <c r="CN458" s="24"/>
      <c r="CO458" s="125" t="str">
        <f t="shared" si="424"/>
        <v/>
      </c>
      <c r="CP458" s="14"/>
      <c r="CQ458" s="125" t="str">
        <f t="shared" si="425"/>
        <v/>
      </c>
      <c r="CR458" s="24"/>
      <c r="CS458" s="24"/>
      <c r="CT458" s="125" t="str">
        <f t="shared" si="426"/>
        <v/>
      </c>
      <c r="CU458" s="14"/>
      <c r="CV458" s="125" t="str">
        <f t="shared" si="427"/>
        <v/>
      </c>
      <c r="CW458" s="24"/>
      <c r="CX458" s="24"/>
      <c r="CY458" s="125" t="str">
        <f t="shared" si="428"/>
        <v/>
      </c>
      <c r="CZ458" s="125" t="str">
        <f t="shared" si="429"/>
        <v/>
      </c>
      <c r="DA458" s="125" t="str">
        <f t="shared" si="430"/>
        <v/>
      </c>
      <c r="DB458" s="129" t="str">
        <f t="shared" si="431"/>
        <v/>
      </c>
      <c r="DC458" s="9"/>
      <c r="DD458" s="65"/>
      <c r="DE458" s="105">
        <v>454</v>
      </c>
    </row>
    <row r="459" spans="1:176" s="4" customFormat="1" ht="13" customHeight="1" outlineLevel="1" x14ac:dyDescent="0.2">
      <c r="A459" s="4" t="s">
        <v>690</v>
      </c>
      <c r="B459" s="115" t="str">
        <f>IF(_xlfn.XLOOKUP(A459, AutoFill_names!B:B, AutoFill_names!C:C,"")=0,"",_xlfn.XLOOKUP(A459, AutoFill_names!B:B, AutoFill_names!C:C,""))</f>
        <v>000012454</v>
      </c>
      <c r="C459" s="115" t="str">
        <f>IF(_xlfn.XLOOKUP(A459, AutoFill_names!B:B, AutoFill_names!D:D,"")=0,"",_xlfn.XLOOKUP(A459, AutoFill_names!B:B, AutoFill_names!D:D,""))</f>
        <v>jad@andrews.edu</v>
      </c>
      <c r="D459" s="115" t="str">
        <f>IF(_xlfn.XLOOKUP(A459, AutoFill_names!B:B, AutoFill_names!E:E,"")=0,"",_xlfn.XLOOKUP(A459, AutoFill_names!B:B, AutoFill_names!E:E,""))</f>
        <v/>
      </c>
      <c r="E459" s="115" t="str">
        <f>IF(_xlfn.XLOOKUP(A459, AutoFill_names!B:B, AutoFill_names!F:F,"")=0,"",_xlfn.XLOOKUP(A459, AutoFill_names!B:B, AutoFill_names!F:F,""))</f>
        <v/>
      </c>
      <c r="F459" s="92"/>
      <c r="G459" s="1"/>
      <c r="H459" s="1"/>
      <c r="I459" s="1"/>
      <c r="J459" s="115" t="str">
        <f>IF(_xlfn.XLOOKUP(A459, AutoFill_names!B:B, AutoFill_names!K:K,"")=0,"",_xlfn.XLOOKUP(A459, AutoFill_names!B:B, AutoFill_names!K:K,""))</f>
        <v>Jeroncic, Ante</v>
      </c>
      <c r="K459" s="115" t="str">
        <f>IF(_xlfn.XLOOKUP(A459, AutoFill_names!B:B, AutoFill_names!L:L,"")=0,"",_xlfn.XLOOKUP(A459, AutoFill_names!B:B, AutoFill_names!L:L,""))</f>
        <v>000066942</v>
      </c>
      <c r="L459" s="5"/>
      <c r="M459" s="5"/>
      <c r="N459" s="117" t="str">
        <f>IF(_xlfn.XLOOKUP(L459, AutoFill_classes!A:A, AutoFill_classes!B:B,"")=0,"",_xlfn.XLOOKUP(L459, AutoFill_classes!A:A, AutoFill_classes!B:B,""))</f>
        <v/>
      </c>
      <c r="O459" s="108"/>
      <c r="P459" s="8"/>
      <c r="Q459" s="8"/>
      <c r="R459" s="8"/>
      <c r="X459" s="64"/>
      <c r="Y459" s="25"/>
      <c r="Z459" s="121" t="str">
        <f t="shared" si="405"/>
        <v/>
      </c>
      <c r="AA459" s="26"/>
      <c r="AB459" s="26"/>
      <c r="AC459" s="28"/>
      <c r="AD459" s="28"/>
      <c r="AE459" s="125" t="str">
        <f t="shared" si="406"/>
        <v/>
      </c>
      <c r="AF459" s="9"/>
      <c r="AG459" s="125" t="str">
        <f t="shared" si="407"/>
        <v/>
      </c>
      <c r="AH459" s="28"/>
      <c r="AI459" s="28"/>
      <c r="AJ459" s="125" t="str">
        <f t="shared" si="408"/>
        <v/>
      </c>
      <c r="AK459" s="9"/>
      <c r="AL459" s="125" t="str">
        <f t="shared" si="409"/>
        <v/>
      </c>
      <c r="AM459" s="28"/>
      <c r="AN459" s="28"/>
      <c r="AO459" s="125" t="str">
        <f t="shared" si="410"/>
        <v/>
      </c>
      <c r="AP459" s="125" t="str">
        <f t="shared" si="411"/>
        <v/>
      </c>
      <c r="AQ459" s="125" t="str">
        <f t="shared" si="412"/>
        <v/>
      </c>
      <c r="AR459" s="129" t="str">
        <f t="shared" si="413"/>
        <v/>
      </c>
      <c r="AS459" s="9"/>
      <c r="AT459" s="34"/>
      <c r="AU459" s="34"/>
      <c r="AV459" s="117" t="str">
        <f>IF(_xlfn.XLOOKUP(AT459, AutoFill_classes!$A:$A, AutoFill_classes!$B:$B,"")=0,"",_xlfn.XLOOKUP(AT459, AutoFill_classes!$A:$A, AutoFill_classes!$B:$B,""))</f>
        <v/>
      </c>
      <c r="AW459" s="108"/>
      <c r="AX459" s="9"/>
      <c r="AY459" s="10"/>
      <c r="AZ459" s="9"/>
      <c r="BA459" s="10"/>
      <c r="BB459" s="10"/>
      <c r="BC459" s="64"/>
      <c r="BD459" s="25"/>
      <c r="BE459" s="121" t="str">
        <f t="shared" si="414"/>
        <v/>
      </c>
      <c r="BF459" s="20"/>
      <c r="BG459" s="20"/>
      <c r="BH459" s="24"/>
      <c r="BI459" s="24"/>
      <c r="BJ459" s="125" t="str">
        <f t="shared" si="415"/>
        <v/>
      </c>
      <c r="BK459" s="14"/>
      <c r="BL459" s="125" t="str">
        <f t="shared" si="416"/>
        <v/>
      </c>
      <c r="BM459" s="24"/>
      <c r="BN459" s="24"/>
      <c r="BO459" s="125" t="str">
        <f t="shared" si="417"/>
        <v/>
      </c>
      <c r="BP459" s="14"/>
      <c r="BQ459" s="125" t="str">
        <f t="shared" si="418"/>
        <v/>
      </c>
      <c r="BR459" s="24"/>
      <c r="BS459" s="24"/>
      <c r="BT459" s="125" t="str">
        <f t="shared" si="419"/>
        <v/>
      </c>
      <c r="BU459" s="125" t="str">
        <f t="shared" si="420"/>
        <v/>
      </c>
      <c r="BV459" s="125" t="str">
        <f t="shared" si="421"/>
        <v/>
      </c>
      <c r="BW459" s="129" t="str">
        <f t="shared" si="422"/>
        <v/>
      </c>
      <c r="BX459" s="9"/>
      <c r="BY459" s="9" t="s">
        <v>1567</v>
      </c>
      <c r="BZ459" s="9"/>
      <c r="CA459" s="117" t="str">
        <f>IF(_xlfn.XLOOKUP(BY459, AutoFill_classes!$A:$A, AutoFill_classes!$B:$B,"")=0,"",_xlfn.XLOOKUP(BY459, AutoFill_classes!$A:$A, AutoFill_classes!$B:$B,""))</f>
        <v>Theological Ethics</v>
      </c>
      <c r="CB459" s="108"/>
      <c r="CC459" s="9" t="s">
        <v>53</v>
      </c>
      <c r="CD459" s="9" t="s">
        <v>54</v>
      </c>
      <c r="CE459" s="9" t="s">
        <v>167</v>
      </c>
      <c r="CF459" s="4" t="s">
        <v>93</v>
      </c>
      <c r="CG459" s="25" t="s">
        <v>56</v>
      </c>
      <c r="CH459" s="64">
        <v>3</v>
      </c>
      <c r="CI459" s="27">
        <v>1050</v>
      </c>
      <c r="CJ459" s="121">
        <f t="shared" si="423"/>
        <v>3150</v>
      </c>
      <c r="CK459" s="20"/>
      <c r="CL459" s="20"/>
      <c r="CM459" s="24"/>
      <c r="CN459" s="24"/>
      <c r="CO459" s="125" t="str">
        <f t="shared" si="424"/>
        <v/>
      </c>
      <c r="CP459" s="14"/>
      <c r="CQ459" s="125" t="str">
        <f t="shared" si="425"/>
        <v/>
      </c>
      <c r="CR459" s="24"/>
      <c r="CS459" s="24"/>
      <c r="CT459" s="125" t="str">
        <f t="shared" si="426"/>
        <v/>
      </c>
      <c r="CU459" s="14"/>
      <c r="CV459" s="125" t="str">
        <f t="shared" si="427"/>
        <v/>
      </c>
      <c r="CW459" s="24"/>
      <c r="CX459" s="24"/>
      <c r="CY459" s="125" t="str">
        <f t="shared" si="428"/>
        <v/>
      </c>
      <c r="CZ459" s="125" t="str">
        <f t="shared" si="429"/>
        <v/>
      </c>
      <c r="DA459" s="125" t="str">
        <f t="shared" si="430"/>
        <v/>
      </c>
      <c r="DB459" s="129" t="str">
        <f t="shared" si="431"/>
        <v/>
      </c>
      <c r="DC459" s="9"/>
      <c r="DD459" s="65"/>
      <c r="DE459" s="105">
        <v>455</v>
      </c>
    </row>
    <row r="460" spans="1:176" s="4" customFormat="1" ht="13" customHeight="1" outlineLevel="1" x14ac:dyDescent="0.2">
      <c r="A460" s="4" t="s">
        <v>690</v>
      </c>
      <c r="B460" s="115" t="str">
        <f>IF(_xlfn.XLOOKUP(A460, AutoFill_names!B:B, AutoFill_names!C:C,"")=0,"",_xlfn.XLOOKUP(A460, AutoFill_names!B:B, AutoFill_names!C:C,""))</f>
        <v>000012454</v>
      </c>
      <c r="C460" s="115" t="str">
        <f>IF(_xlfn.XLOOKUP(A460, AutoFill_names!B:B, AutoFill_names!D:D,"")=0,"",_xlfn.XLOOKUP(A460, AutoFill_names!B:B, AutoFill_names!D:D,""))</f>
        <v>jad@andrews.edu</v>
      </c>
      <c r="D460" s="115" t="str">
        <f>IF(_xlfn.XLOOKUP(A460, AutoFill_names!B:B, AutoFill_names!E:E,"")=0,"",_xlfn.XLOOKUP(A460, AutoFill_names!B:B, AutoFill_names!E:E,""))</f>
        <v/>
      </c>
      <c r="E460" s="115" t="str">
        <f>IF(_xlfn.XLOOKUP(A460, AutoFill_names!B:B, AutoFill_names!F:F,"")=0,"",_xlfn.XLOOKUP(A460, AutoFill_names!B:B, AutoFill_names!F:F,""))</f>
        <v/>
      </c>
      <c r="F460" s="92"/>
      <c r="G460" s="1"/>
      <c r="H460" s="1"/>
      <c r="I460" s="1"/>
      <c r="J460" s="115" t="str">
        <f>IF(_xlfn.XLOOKUP(A460, AutoFill_names!B:B, AutoFill_names!K:K,"")=0,"",_xlfn.XLOOKUP(A460, AutoFill_names!B:B, AutoFill_names!K:K,""))</f>
        <v>Jeroncic, Ante</v>
      </c>
      <c r="K460" s="115" t="str">
        <f>IF(_xlfn.XLOOKUP(A460, AutoFill_names!B:B, AutoFill_names!L:L,"")=0,"",_xlfn.XLOOKUP(A460, AutoFill_names!B:B, AutoFill_names!L:L,""))</f>
        <v>000066942</v>
      </c>
      <c r="L460" s="5"/>
      <c r="M460" s="5"/>
      <c r="N460" s="117" t="str">
        <f>IF(_xlfn.XLOOKUP(L460, AutoFill_classes!A:A, AutoFill_classes!B:B,"")=0,"",_xlfn.XLOOKUP(L460, AutoFill_classes!A:A, AutoFill_classes!B:B,""))</f>
        <v/>
      </c>
      <c r="O460" s="108"/>
      <c r="P460" s="8"/>
      <c r="Q460" s="8"/>
      <c r="R460" s="8"/>
      <c r="X460" s="64"/>
      <c r="Y460" s="25"/>
      <c r="Z460" s="121" t="str">
        <f t="shared" si="405"/>
        <v/>
      </c>
      <c r="AA460" s="26"/>
      <c r="AB460" s="26"/>
      <c r="AC460" s="28"/>
      <c r="AD460" s="28"/>
      <c r="AE460" s="125" t="str">
        <f t="shared" si="406"/>
        <v/>
      </c>
      <c r="AF460" s="9"/>
      <c r="AG460" s="125" t="str">
        <f t="shared" si="407"/>
        <v/>
      </c>
      <c r="AH460" s="28"/>
      <c r="AI460" s="28"/>
      <c r="AJ460" s="125" t="str">
        <f t="shared" si="408"/>
        <v/>
      </c>
      <c r="AK460" s="9"/>
      <c r="AL460" s="125" t="str">
        <f t="shared" si="409"/>
        <v/>
      </c>
      <c r="AM460" s="28"/>
      <c r="AN460" s="28"/>
      <c r="AO460" s="125" t="str">
        <f t="shared" si="410"/>
        <v/>
      </c>
      <c r="AP460" s="125" t="str">
        <f t="shared" si="411"/>
        <v/>
      </c>
      <c r="AQ460" s="125" t="str">
        <f t="shared" si="412"/>
        <v/>
      </c>
      <c r="AR460" s="129" t="str">
        <f t="shared" si="413"/>
        <v/>
      </c>
      <c r="AS460" s="9"/>
      <c r="AT460" s="34"/>
      <c r="AU460" s="34"/>
      <c r="AV460" s="117" t="str">
        <f>IF(_xlfn.XLOOKUP(AT460, AutoFill_classes!$A:$A, AutoFill_classes!$B:$B,"")=0,"",_xlfn.XLOOKUP(AT460, AutoFill_classes!$A:$A, AutoFill_classes!$B:$B,""))</f>
        <v/>
      </c>
      <c r="AW460" s="108"/>
      <c r="AX460" s="9"/>
      <c r="AY460" s="10"/>
      <c r="AZ460" s="9"/>
      <c r="BA460" s="10"/>
      <c r="BB460" s="10"/>
      <c r="BC460" s="64"/>
      <c r="BD460" s="25"/>
      <c r="BE460" s="121" t="str">
        <f t="shared" si="414"/>
        <v/>
      </c>
      <c r="BF460" s="20"/>
      <c r="BG460" s="20"/>
      <c r="BH460" s="24"/>
      <c r="BI460" s="24"/>
      <c r="BJ460" s="125" t="str">
        <f t="shared" si="415"/>
        <v/>
      </c>
      <c r="BK460" s="14"/>
      <c r="BL460" s="125" t="str">
        <f t="shared" si="416"/>
        <v/>
      </c>
      <c r="BM460" s="24"/>
      <c r="BN460" s="24"/>
      <c r="BO460" s="125" t="str">
        <f t="shared" si="417"/>
        <v/>
      </c>
      <c r="BP460" s="14"/>
      <c r="BQ460" s="125" t="str">
        <f t="shared" si="418"/>
        <v/>
      </c>
      <c r="BR460" s="24"/>
      <c r="BS460" s="24"/>
      <c r="BT460" s="125" t="str">
        <f t="shared" si="419"/>
        <v/>
      </c>
      <c r="BU460" s="125" t="str">
        <f t="shared" si="420"/>
        <v/>
      </c>
      <c r="BV460" s="125" t="str">
        <f t="shared" si="421"/>
        <v/>
      </c>
      <c r="BW460" s="129" t="str">
        <f t="shared" si="422"/>
        <v/>
      </c>
      <c r="BX460" s="9"/>
      <c r="BY460" s="9" t="s">
        <v>1543</v>
      </c>
      <c r="BZ460" s="9"/>
      <c r="CA460" s="117" t="str">
        <f>IF(_xlfn.XLOOKUP(BY460, AutoFill_classes!$A:$A, AutoFill_classes!$B:$B,"")=0,"",_xlfn.XLOOKUP(BY460, AutoFill_classes!$A:$A, AutoFill_classes!$B:$B,""))</f>
        <v>Principles of Christian Ethics</v>
      </c>
      <c r="CB460" s="108"/>
      <c r="CC460" s="9" t="s">
        <v>53</v>
      </c>
      <c r="CD460" s="9" t="s">
        <v>54</v>
      </c>
      <c r="CE460" s="9" t="s">
        <v>167</v>
      </c>
      <c r="CF460" s="4" t="s">
        <v>93</v>
      </c>
      <c r="CG460" s="25" t="s">
        <v>56</v>
      </c>
      <c r="CH460" s="64">
        <v>3</v>
      </c>
      <c r="CI460" s="27">
        <v>1050</v>
      </c>
      <c r="CJ460" s="121">
        <f t="shared" si="423"/>
        <v>3150</v>
      </c>
      <c r="CK460" s="20"/>
      <c r="CL460" s="20"/>
      <c r="CM460" s="24"/>
      <c r="CN460" s="24"/>
      <c r="CO460" s="125" t="str">
        <f t="shared" si="424"/>
        <v/>
      </c>
      <c r="CP460" s="14"/>
      <c r="CQ460" s="125" t="str">
        <f t="shared" si="425"/>
        <v/>
      </c>
      <c r="CR460" s="24"/>
      <c r="CS460" s="24"/>
      <c r="CT460" s="125" t="str">
        <f t="shared" si="426"/>
        <v/>
      </c>
      <c r="CU460" s="14"/>
      <c r="CV460" s="125" t="str">
        <f t="shared" si="427"/>
        <v/>
      </c>
      <c r="CW460" s="24"/>
      <c r="CX460" s="24"/>
      <c r="CY460" s="125" t="str">
        <f t="shared" si="428"/>
        <v/>
      </c>
      <c r="CZ460" s="125" t="str">
        <f t="shared" si="429"/>
        <v/>
      </c>
      <c r="DA460" s="125" t="str">
        <f t="shared" si="430"/>
        <v/>
      </c>
      <c r="DB460" s="129" t="str">
        <f t="shared" si="431"/>
        <v/>
      </c>
      <c r="DC460" s="9"/>
      <c r="DD460" s="65"/>
      <c r="DE460" s="105">
        <v>456</v>
      </c>
    </row>
    <row r="461" spans="1:176" s="4" customFormat="1" ht="13" customHeight="1" outlineLevel="1" x14ac:dyDescent="0.2">
      <c r="A461" s="4" t="s">
        <v>267</v>
      </c>
      <c r="B461" s="115" t="str">
        <f>IF(_xlfn.XLOOKUP(A461, AutoFill_names!B:B, AutoFill_names!C:C,"")=0,"",_xlfn.XLOOKUP(A461, AutoFill_names!B:B, AutoFill_names!C:C,""))</f>
        <v>000049018</v>
      </c>
      <c r="C461" s="115" t="str">
        <f>IF(_xlfn.XLOOKUP(A461, AutoFill_names!B:B, AutoFill_names!D:D,"")=0,"",_xlfn.XLOOKUP(A461, AutoFill_names!B:B, AutoFill_names!D:D,""))</f>
        <v>jreeve@andrews.edu</v>
      </c>
      <c r="D461" s="115" t="str">
        <f>IF(_xlfn.XLOOKUP(A461, AutoFill_names!B:B, AutoFill_names!E:E,"")=0,"",_xlfn.XLOOKUP(A461, AutoFill_names!B:B, AutoFill_names!E:E,""))</f>
        <v/>
      </c>
      <c r="E461" s="115" t="str">
        <f>IF(_xlfn.XLOOKUP(A461, AutoFill_names!B:B, AutoFill_names!F:F,"")=0,"",_xlfn.XLOOKUP(A461, AutoFill_names!B:B, AutoFill_names!F:F,""))</f>
        <v/>
      </c>
      <c r="F461" s="92"/>
      <c r="G461" s="1"/>
      <c r="H461" s="1"/>
      <c r="I461" s="1"/>
      <c r="J461" s="115" t="str">
        <f>IF(_xlfn.XLOOKUP(A461, AutoFill_names!B:B, AutoFill_names!K:K,"")=0,"",_xlfn.XLOOKUP(A461, AutoFill_names!B:B, AutoFill_names!K:K,""))</f>
        <v>O'Reggio, Trevor E.</v>
      </c>
      <c r="K461" s="115" t="str">
        <f>IF(_xlfn.XLOOKUP(A461, AutoFill_names!B:B, AutoFill_names!L:L,"")=0,"",_xlfn.XLOOKUP(A461, AutoFill_names!B:B, AutoFill_names!L:L,""))</f>
        <v>000035762</v>
      </c>
      <c r="L461" s="5"/>
      <c r="M461" s="5"/>
      <c r="N461" s="117" t="str">
        <f>IF(_xlfn.XLOOKUP(L461, AutoFill_classes!A:A, AutoFill_classes!B:B,"")=0,"",_xlfn.XLOOKUP(L461, AutoFill_classes!A:A, AutoFill_classes!B:B,""))</f>
        <v/>
      </c>
      <c r="O461" s="108"/>
      <c r="P461" s="8"/>
      <c r="Q461" s="8"/>
      <c r="R461" s="8"/>
      <c r="X461" s="64"/>
      <c r="Y461" s="25"/>
      <c r="Z461" s="121" t="str">
        <f t="shared" si="405"/>
        <v/>
      </c>
      <c r="AA461" s="26"/>
      <c r="AB461" s="26"/>
      <c r="AC461" s="28"/>
      <c r="AD461" s="28"/>
      <c r="AE461" s="125" t="str">
        <f t="shared" si="406"/>
        <v/>
      </c>
      <c r="AF461" s="9"/>
      <c r="AG461" s="125" t="str">
        <f t="shared" si="407"/>
        <v/>
      </c>
      <c r="AH461" s="28"/>
      <c r="AI461" s="28"/>
      <c r="AJ461" s="125" t="str">
        <f t="shared" si="408"/>
        <v/>
      </c>
      <c r="AK461" s="9"/>
      <c r="AL461" s="125" t="str">
        <f t="shared" si="409"/>
        <v/>
      </c>
      <c r="AM461" s="28"/>
      <c r="AN461" s="28"/>
      <c r="AO461" s="125" t="str">
        <f t="shared" si="410"/>
        <v/>
      </c>
      <c r="AP461" s="125" t="str">
        <f t="shared" si="411"/>
        <v/>
      </c>
      <c r="AQ461" s="125" t="str">
        <f t="shared" si="412"/>
        <v/>
      </c>
      <c r="AR461" s="129" t="str">
        <f t="shared" si="413"/>
        <v/>
      </c>
      <c r="AS461" s="9"/>
      <c r="AT461" s="34"/>
      <c r="AU461" s="34"/>
      <c r="AV461" s="117" t="str">
        <f>IF(_xlfn.XLOOKUP(AT461, AutoFill_classes!$A:$A, AutoFill_classes!$B:$B,"")=0,"",_xlfn.XLOOKUP(AT461, AutoFill_classes!$A:$A, AutoFill_classes!$B:$B,""))</f>
        <v/>
      </c>
      <c r="AW461" s="108"/>
      <c r="AX461" s="9"/>
      <c r="AY461" s="10"/>
      <c r="AZ461" s="9"/>
      <c r="BA461" s="10"/>
      <c r="BB461" s="10"/>
      <c r="BC461" s="64"/>
      <c r="BD461" s="25"/>
      <c r="BE461" s="121" t="str">
        <f t="shared" si="414"/>
        <v/>
      </c>
      <c r="BF461" s="20"/>
      <c r="BG461" s="20"/>
      <c r="BH461" s="24"/>
      <c r="BI461" s="24"/>
      <c r="BJ461" s="125" t="str">
        <f t="shared" si="415"/>
        <v/>
      </c>
      <c r="BK461" s="14"/>
      <c r="BL461" s="125" t="str">
        <f t="shared" si="416"/>
        <v/>
      </c>
      <c r="BM461" s="24"/>
      <c r="BN461" s="24"/>
      <c r="BO461" s="125" t="str">
        <f t="shared" si="417"/>
        <v/>
      </c>
      <c r="BP461" s="14"/>
      <c r="BQ461" s="125" t="str">
        <f t="shared" si="418"/>
        <v/>
      </c>
      <c r="BR461" s="24"/>
      <c r="BS461" s="24"/>
      <c r="BT461" s="125" t="str">
        <f t="shared" si="419"/>
        <v/>
      </c>
      <c r="BU461" s="125" t="str">
        <f t="shared" si="420"/>
        <v/>
      </c>
      <c r="BV461" s="125" t="str">
        <f t="shared" si="421"/>
        <v/>
      </c>
      <c r="BW461" s="129" t="str">
        <f t="shared" si="422"/>
        <v/>
      </c>
      <c r="BX461" s="9"/>
      <c r="BY461" s="9" t="s">
        <v>1540</v>
      </c>
      <c r="BZ461" s="9"/>
      <c r="CA461" s="117" t="str">
        <f>IF(_xlfn.XLOOKUP(BY461, AutoFill_classes!$A:$A, AutoFill_classes!$B:$B,"")=0,"",_xlfn.XLOOKUP(BY461, AutoFill_classes!$A:$A, AutoFill_classes!$B:$B,""))</f>
        <v>Doctrine of Salvation</v>
      </c>
      <c r="CB461" s="108"/>
      <c r="CC461" s="9" t="s">
        <v>53</v>
      </c>
      <c r="CD461" s="9" t="s">
        <v>129</v>
      </c>
      <c r="CE461" s="9" t="s">
        <v>272</v>
      </c>
      <c r="CF461" s="4" t="s">
        <v>93</v>
      </c>
      <c r="CG461" s="25" t="s">
        <v>56</v>
      </c>
      <c r="CH461" s="64">
        <v>2</v>
      </c>
      <c r="CI461" s="27">
        <v>1050</v>
      </c>
      <c r="CJ461" s="121">
        <f t="shared" si="423"/>
        <v>2100</v>
      </c>
      <c r="CK461" s="20"/>
      <c r="CL461" s="20"/>
      <c r="CM461" s="24"/>
      <c r="CN461" s="24"/>
      <c r="CO461" s="125" t="str">
        <f t="shared" si="424"/>
        <v/>
      </c>
      <c r="CP461" s="14"/>
      <c r="CQ461" s="125" t="str">
        <f t="shared" si="425"/>
        <v/>
      </c>
      <c r="CR461" s="24"/>
      <c r="CS461" s="24"/>
      <c r="CT461" s="125" t="str">
        <f t="shared" si="426"/>
        <v/>
      </c>
      <c r="CU461" s="14"/>
      <c r="CV461" s="125" t="str">
        <f t="shared" si="427"/>
        <v/>
      </c>
      <c r="CW461" s="24"/>
      <c r="CX461" s="24"/>
      <c r="CY461" s="125" t="str">
        <f t="shared" si="428"/>
        <v/>
      </c>
      <c r="CZ461" s="125" t="str">
        <f t="shared" si="429"/>
        <v/>
      </c>
      <c r="DA461" s="125" t="str">
        <f t="shared" si="430"/>
        <v/>
      </c>
      <c r="DB461" s="129" t="str">
        <f t="shared" si="431"/>
        <v/>
      </c>
      <c r="DC461" s="9"/>
      <c r="DD461" s="65"/>
      <c r="DE461" s="105">
        <v>457</v>
      </c>
    </row>
    <row r="462" spans="1:176" s="4" customFormat="1" ht="13" customHeight="1" outlineLevel="1" x14ac:dyDescent="0.2">
      <c r="A462" s="4" t="s">
        <v>1011</v>
      </c>
      <c r="B462" s="115" t="str">
        <f>IF(_xlfn.XLOOKUP(A462, AutoFill_names!B:B, AutoFill_names!C:C,"")=0,"",_xlfn.XLOOKUP(A462, AutoFill_names!B:B, AutoFill_names!C:C,""))</f>
        <v>000193021</v>
      </c>
      <c r="C462" s="115" t="str">
        <f>IF(_xlfn.XLOOKUP(A462, AutoFill_names!B:B, AutoFill_names!D:D,"")=0,"",_xlfn.XLOOKUP(A462, AutoFill_names!B:B, AutoFill_names!D:D,""))</f>
        <v>bentancur@andrews.edu</v>
      </c>
      <c r="D462" s="115" t="str">
        <f>IF(_xlfn.XLOOKUP(A462, AutoFill_names!B:B, AutoFill_names!E:E,"")=0,"",_xlfn.XLOOKUP(A462, AutoFill_names!B:B, AutoFill_names!E:E,""))</f>
        <v/>
      </c>
      <c r="E462" s="115" t="str">
        <f>IF(_xlfn.XLOOKUP(A462, AutoFill_names!B:B, AutoFill_names!F:F,"")=0,"",_xlfn.XLOOKUP(A462, AutoFill_names!B:B, AutoFill_names!F:F,""))</f>
        <v/>
      </c>
      <c r="F462" s="92"/>
      <c r="G462" s="1"/>
      <c r="H462" s="1"/>
      <c r="I462" s="1"/>
      <c r="J462" s="115" t="str">
        <f>IF(_xlfn.XLOOKUP(A462, AutoFill_names!B:B, AutoFill_names!K:K,"")=0,"",_xlfn.XLOOKUP(A462, AutoFill_names!B:B, AutoFill_names!K:K,""))</f>
        <v>Jeroncic, Ante</v>
      </c>
      <c r="K462" s="115" t="str">
        <f>IF(_xlfn.XLOOKUP(A462, AutoFill_names!B:B, AutoFill_names!L:L,"")=0,"",_xlfn.XLOOKUP(A462, AutoFill_names!B:B, AutoFill_names!L:L,""))</f>
        <v>000066942</v>
      </c>
      <c r="L462" s="5"/>
      <c r="M462" s="5"/>
      <c r="N462" s="117" t="str">
        <f>IF(_xlfn.XLOOKUP(L462, AutoFill_classes!A:A, AutoFill_classes!B:B,"")=0,"",_xlfn.XLOOKUP(L462, AutoFill_classes!A:A, AutoFill_classes!B:B,""))</f>
        <v/>
      </c>
      <c r="O462" s="108"/>
      <c r="P462" s="8"/>
      <c r="Q462" s="8"/>
      <c r="R462" s="8"/>
      <c r="X462" s="64"/>
      <c r="Y462" s="25"/>
      <c r="Z462" s="121" t="str">
        <f t="shared" si="405"/>
        <v/>
      </c>
      <c r="AA462" s="26"/>
      <c r="AB462" s="26"/>
      <c r="AC462" s="28"/>
      <c r="AD462" s="28"/>
      <c r="AE462" s="125" t="str">
        <f t="shared" si="406"/>
        <v/>
      </c>
      <c r="AF462" s="9"/>
      <c r="AG462" s="125" t="str">
        <f t="shared" si="407"/>
        <v/>
      </c>
      <c r="AH462" s="28"/>
      <c r="AI462" s="28"/>
      <c r="AJ462" s="125" t="str">
        <f t="shared" si="408"/>
        <v/>
      </c>
      <c r="AK462" s="9"/>
      <c r="AL462" s="125" t="str">
        <f t="shared" si="409"/>
        <v/>
      </c>
      <c r="AM462" s="28"/>
      <c r="AN462" s="28"/>
      <c r="AO462" s="125" t="str">
        <f t="shared" si="410"/>
        <v/>
      </c>
      <c r="AP462" s="125" t="str">
        <f t="shared" si="411"/>
        <v/>
      </c>
      <c r="AQ462" s="125" t="str">
        <f t="shared" si="412"/>
        <v/>
      </c>
      <c r="AR462" s="129" t="str">
        <f t="shared" si="413"/>
        <v/>
      </c>
      <c r="AS462" s="9"/>
      <c r="AT462" s="34"/>
      <c r="AU462" s="34"/>
      <c r="AV462" s="117" t="str">
        <f>IF(_xlfn.XLOOKUP(AT462, AutoFill_classes!$A:$A, AutoFill_classes!$B:$B,"")=0,"",_xlfn.XLOOKUP(AT462, AutoFill_classes!$A:$A, AutoFill_classes!$B:$B,""))</f>
        <v/>
      </c>
      <c r="AW462" s="108"/>
      <c r="AX462" s="9"/>
      <c r="AY462" s="10"/>
      <c r="AZ462" s="9"/>
      <c r="BA462" s="10"/>
      <c r="BB462" s="10"/>
      <c r="BC462" s="64"/>
      <c r="BD462" s="25"/>
      <c r="BE462" s="121" t="str">
        <f t="shared" si="414"/>
        <v/>
      </c>
      <c r="BF462" s="20"/>
      <c r="BG462" s="20"/>
      <c r="BH462" s="24"/>
      <c r="BI462" s="24"/>
      <c r="BJ462" s="125" t="str">
        <f t="shared" si="415"/>
        <v/>
      </c>
      <c r="BK462" s="14"/>
      <c r="BL462" s="125" t="str">
        <f t="shared" si="416"/>
        <v/>
      </c>
      <c r="BM462" s="24"/>
      <c r="BN462" s="24"/>
      <c r="BO462" s="125" t="str">
        <f t="shared" si="417"/>
        <v/>
      </c>
      <c r="BP462" s="14"/>
      <c r="BQ462" s="125" t="str">
        <f t="shared" si="418"/>
        <v/>
      </c>
      <c r="BR462" s="24"/>
      <c r="BS462" s="24"/>
      <c r="BT462" s="125" t="str">
        <f t="shared" si="419"/>
        <v/>
      </c>
      <c r="BU462" s="125" t="str">
        <f t="shared" si="420"/>
        <v/>
      </c>
      <c r="BV462" s="125" t="str">
        <f t="shared" si="421"/>
        <v/>
      </c>
      <c r="BW462" s="129" t="str">
        <f t="shared" si="422"/>
        <v/>
      </c>
      <c r="BX462" s="9"/>
      <c r="BY462" s="9" t="s">
        <v>1559</v>
      </c>
      <c r="BZ462" s="9"/>
      <c r="CA462" s="117" t="str">
        <f>IF(_xlfn.XLOOKUP(BY462, AutoFill_classes!$A:$A, AutoFill_classes!$B:$B,"")=0,"",_xlfn.XLOOKUP(BY462, AutoFill_classes!$A:$A, AutoFill_classes!$B:$B,""))</f>
        <v>Doctrine of Christ</v>
      </c>
      <c r="CB462" s="108"/>
      <c r="CC462" s="9" t="s">
        <v>53</v>
      </c>
      <c r="CD462" s="9" t="s">
        <v>103</v>
      </c>
      <c r="CE462" s="152" t="s">
        <v>167</v>
      </c>
      <c r="CF462" s="4" t="s">
        <v>93</v>
      </c>
      <c r="CG462" s="25" t="s">
        <v>56</v>
      </c>
      <c r="CH462" s="64">
        <v>3</v>
      </c>
      <c r="CI462" s="27">
        <v>1050</v>
      </c>
      <c r="CJ462" s="121">
        <f t="shared" si="423"/>
        <v>3150</v>
      </c>
      <c r="CK462" s="20"/>
      <c r="CL462" s="20"/>
      <c r="CM462" s="24"/>
      <c r="CN462" s="24"/>
      <c r="CO462" s="125" t="str">
        <f t="shared" si="424"/>
        <v/>
      </c>
      <c r="CP462" s="14"/>
      <c r="CQ462" s="125" t="str">
        <f t="shared" si="425"/>
        <v/>
      </c>
      <c r="CR462" s="24"/>
      <c r="CS462" s="24"/>
      <c r="CT462" s="125" t="str">
        <f t="shared" si="426"/>
        <v/>
      </c>
      <c r="CU462" s="14"/>
      <c r="CV462" s="125" t="str">
        <f t="shared" si="427"/>
        <v/>
      </c>
      <c r="CW462" s="24"/>
      <c r="CX462" s="24"/>
      <c r="CY462" s="125" t="str">
        <f t="shared" si="428"/>
        <v/>
      </c>
      <c r="CZ462" s="125" t="str">
        <f t="shared" si="429"/>
        <v/>
      </c>
      <c r="DA462" s="125" t="str">
        <f t="shared" si="430"/>
        <v/>
      </c>
      <c r="DB462" s="129" t="str">
        <f t="shared" si="431"/>
        <v/>
      </c>
      <c r="DC462" s="9"/>
      <c r="DD462" s="65"/>
      <c r="DE462" s="105">
        <v>458</v>
      </c>
    </row>
    <row r="463" spans="1:176" s="4" customFormat="1" ht="13" customHeight="1" outlineLevel="1" x14ac:dyDescent="0.2">
      <c r="B463" s="115" t="str">
        <f>IF(_xlfn.XLOOKUP(A463, AutoFill_names!B:B, AutoFill_names!C:C,"")=0,"",_xlfn.XLOOKUP(A463, AutoFill_names!B:B, AutoFill_names!C:C,""))</f>
        <v/>
      </c>
      <c r="C463" s="115" t="str">
        <f>IF(_xlfn.XLOOKUP(A463, AutoFill_names!B:B, AutoFill_names!D:D,"")=0,"",_xlfn.XLOOKUP(A463, AutoFill_names!B:B, AutoFill_names!D:D,""))</f>
        <v/>
      </c>
      <c r="D463" s="115" t="str">
        <f>IF(_xlfn.XLOOKUP(A463, AutoFill_names!B:B, AutoFill_names!E:E,"")=0,"",_xlfn.XLOOKUP(A463, AutoFill_names!B:B, AutoFill_names!E:E,""))</f>
        <v/>
      </c>
      <c r="E463" s="115" t="str">
        <f>IF(_xlfn.XLOOKUP(A463, AutoFill_names!B:B, AutoFill_names!F:F,"")=0,"",_xlfn.XLOOKUP(A463, AutoFill_names!B:B, AutoFill_names!F:F,""))</f>
        <v/>
      </c>
      <c r="F463" s="92"/>
      <c r="G463" s="1"/>
      <c r="H463" s="1"/>
      <c r="I463" s="1"/>
      <c r="J463" s="115" t="str">
        <f>IF(_xlfn.XLOOKUP(A463, AutoFill_names!B:B, AutoFill_names!K:K,"")=0,"",_xlfn.XLOOKUP(A463, AutoFill_names!B:B, AutoFill_names!K:K,""))</f>
        <v/>
      </c>
      <c r="K463" s="115" t="str">
        <f>IF(_xlfn.XLOOKUP(A463, AutoFill_names!B:B, AutoFill_names!L:L,"")=0,"",_xlfn.XLOOKUP(A463, AutoFill_names!B:B, AutoFill_names!L:L,""))</f>
        <v/>
      </c>
      <c r="L463" s="5"/>
      <c r="M463" s="5"/>
      <c r="N463" s="117" t="str">
        <f>IF(_xlfn.XLOOKUP(L463, AutoFill_classes!A:A, AutoFill_classes!B:B,"")=0,"",_xlfn.XLOOKUP(L463, AutoFill_classes!A:A, AutoFill_classes!B:B,""))</f>
        <v/>
      </c>
      <c r="O463" s="108"/>
      <c r="P463" s="8"/>
      <c r="Q463" s="8"/>
      <c r="R463" s="8"/>
      <c r="X463" s="64"/>
      <c r="Y463" s="25"/>
      <c r="Z463" s="121" t="str">
        <f t="shared" si="405"/>
        <v/>
      </c>
      <c r="AA463" s="26"/>
      <c r="AB463" s="26"/>
      <c r="AC463" s="28"/>
      <c r="AD463" s="28"/>
      <c r="AE463" s="125" t="str">
        <f t="shared" si="406"/>
        <v/>
      </c>
      <c r="AF463" s="9"/>
      <c r="AG463" s="125" t="str">
        <f t="shared" si="407"/>
        <v/>
      </c>
      <c r="AH463" s="28"/>
      <c r="AI463" s="28"/>
      <c r="AJ463" s="125" t="str">
        <f t="shared" si="408"/>
        <v/>
      </c>
      <c r="AK463" s="9"/>
      <c r="AL463" s="125" t="str">
        <f t="shared" si="409"/>
        <v/>
      </c>
      <c r="AM463" s="28"/>
      <c r="AN463" s="28"/>
      <c r="AO463" s="125" t="str">
        <f t="shared" si="410"/>
        <v/>
      </c>
      <c r="AP463" s="125" t="str">
        <f t="shared" si="411"/>
        <v/>
      </c>
      <c r="AQ463" s="125" t="str">
        <f t="shared" si="412"/>
        <v/>
      </c>
      <c r="AR463" s="129" t="str">
        <f t="shared" si="413"/>
        <v/>
      </c>
      <c r="AS463" s="9"/>
      <c r="AT463" s="34"/>
      <c r="AU463" s="34"/>
      <c r="AV463" s="117" t="str">
        <f>IF(_xlfn.XLOOKUP(AT463, AutoFill_classes!$A:$A, AutoFill_classes!$B:$B,"")=0,"",_xlfn.XLOOKUP(AT463, AutoFill_classes!$A:$A, AutoFill_classes!$B:$B,""))</f>
        <v/>
      </c>
      <c r="AW463" s="108"/>
      <c r="AX463" s="9"/>
      <c r="AY463" s="10"/>
      <c r="AZ463" s="9"/>
      <c r="BA463" s="10"/>
      <c r="BB463" s="10"/>
      <c r="BC463" s="64"/>
      <c r="BD463" s="25"/>
      <c r="BE463" s="121" t="str">
        <f t="shared" si="414"/>
        <v/>
      </c>
      <c r="BF463" s="20"/>
      <c r="BG463" s="20"/>
      <c r="BH463" s="24"/>
      <c r="BI463" s="24"/>
      <c r="BJ463" s="125" t="str">
        <f t="shared" si="415"/>
        <v/>
      </c>
      <c r="BK463" s="14"/>
      <c r="BL463" s="125" t="str">
        <f t="shared" si="416"/>
        <v/>
      </c>
      <c r="BM463" s="24"/>
      <c r="BN463" s="24"/>
      <c r="BO463" s="125" t="str">
        <f t="shared" si="417"/>
        <v/>
      </c>
      <c r="BP463" s="14"/>
      <c r="BQ463" s="125" t="str">
        <f t="shared" si="418"/>
        <v/>
      </c>
      <c r="BR463" s="24"/>
      <c r="BS463" s="24"/>
      <c r="BT463" s="125" t="str">
        <f t="shared" si="419"/>
        <v/>
      </c>
      <c r="BU463" s="125" t="str">
        <f t="shared" si="420"/>
        <v/>
      </c>
      <c r="BV463" s="125" t="str">
        <f t="shared" si="421"/>
        <v/>
      </c>
      <c r="BW463" s="129" t="str">
        <f t="shared" si="422"/>
        <v/>
      </c>
      <c r="BX463" s="9"/>
      <c r="BY463" s="9"/>
      <c r="BZ463" s="9"/>
      <c r="CA463" s="117" t="str">
        <f>IF(_xlfn.XLOOKUP(BY463, AutoFill_classes!$A:$A, AutoFill_classes!$B:$B,"")=0,"",_xlfn.XLOOKUP(BY463, AutoFill_classes!$A:$A, AutoFill_classes!$B:$B,""))</f>
        <v/>
      </c>
      <c r="CB463" s="108"/>
      <c r="CC463" s="9"/>
      <c r="CD463" s="9"/>
      <c r="CE463" s="9"/>
      <c r="CG463" s="25"/>
      <c r="CH463" s="64"/>
      <c r="CI463" s="27"/>
      <c r="CJ463" s="121" t="str">
        <f t="shared" si="423"/>
        <v/>
      </c>
      <c r="CK463" s="20"/>
      <c r="CL463" s="20"/>
      <c r="CM463" s="24"/>
      <c r="CN463" s="24"/>
      <c r="CO463" s="125" t="str">
        <f t="shared" si="424"/>
        <v/>
      </c>
      <c r="CP463" s="14"/>
      <c r="CQ463" s="125" t="str">
        <f t="shared" si="425"/>
        <v/>
      </c>
      <c r="CR463" s="24"/>
      <c r="CS463" s="24"/>
      <c r="CT463" s="125" t="str">
        <f t="shared" si="426"/>
        <v/>
      </c>
      <c r="CU463" s="14"/>
      <c r="CV463" s="125" t="str">
        <f t="shared" si="427"/>
        <v/>
      </c>
      <c r="CW463" s="24"/>
      <c r="CX463" s="24"/>
      <c r="CY463" s="125" t="str">
        <f t="shared" si="428"/>
        <v/>
      </c>
      <c r="CZ463" s="125" t="str">
        <f t="shared" si="429"/>
        <v/>
      </c>
      <c r="DA463" s="125" t="str">
        <f t="shared" si="430"/>
        <v/>
      </c>
      <c r="DB463" s="129" t="str">
        <f t="shared" si="431"/>
        <v/>
      </c>
      <c r="DC463" s="9"/>
      <c r="DD463" s="65"/>
      <c r="DE463" s="105">
        <v>459</v>
      </c>
    </row>
    <row r="464" spans="1:176" s="4" customFormat="1" ht="13" customHeight="1" outlineLevel="1" x14ac:dyDescent="0.2">
      <c r="B464" s="115" t="str">
        <f>IF(_xlfn.XLOOKUP(A464, AutoFill_names!B:B, AutoFill_names!C:C,"")=0,"",_xlfn.XLOOKUP(A464, AutoFill_names!B:B, AutoFill_names!C:C,""))</f>
        <v/>
      </c>
      <c r="C464" s="115" t="str">
        <f>IF(_xlfn.XLOOKUP(A464, AutoFill_names!B:B, AutoFill_names!D:D,"")=0,"",_xlfn.XLOOKUP(A464, AutoFill_names!B:B, AutoFill_names!D:D,""))</f>
        <v/>
      </c>
      <c r="D464" s="115" t="str">
        <f>IF(_xlfn.XLOOKUP(A464, AutoFill_names!B:B, AutoFill_names!E:E,"")=0,"",_xlfn.XLOOKUP(A464, AutoFill_names!B:B, AutoFill_names!E:E,""))</f>
        <v/>
      </c>
      <c r="E464" s="115" t="str">
        <f>IF(_xlfn.XLOOKUP(A464, AutoFill_names!B:B, AutoFill_names!F:F,"")=0,"",_xlfn.XLOOKUP(A464, AutoFill_names!B:B, AutoFill_names!F:F,""))</f>
        <v/>
      </c>
      <c r="F464" s="92"/>
      <c r="G464" s="1"/>
      <c r="H464" s="1"/>
      <c r="I464" s="1"/>
      <c r="J464" s="115" t="str">
        <f>IF(_xlfn.XLOOKUP(A464, AutoFill_names!B:B, AutoFill_names!K:K,"")=0,"",_xlfn.XLOOKUP(A464, AutoFill_names!B:B, AutoFill_names!K:K,""))</f>
        <v/>
      </c>
      <c r="K464" s="115" t="str">
        <f>IF(_xlfn.XLOOKUP(A464, AutoFill_names!B:B, AutoFill_names!L:L,"")=0,"",_xlfn.XLOOKUP(A464, AutoFill_names!B:B, AutoFill_names!L:L,""))</f>
        <v/>
      </c>
      <c r="L464" s="5"/>
      <c r="M464" s="5"/>
      <c r="N464" s="117" t="str">
        <f>IF(_xlfn.XLOOKUP(L464, AutoFill_classes!A:A, AutoFill_classes!B:B,"")=0,"",_xlfn.XLOOKUP(L464, AutoFill_classes!A:A, AutoFill_classes!B:B,""))</f>
        <v/>
      </c>
      <c r="O464" s="108"/>
      <c r="P464" s="8"/>
      <c r="Q464" s="8"/>
      <c r="R464" s="8"/>
      <c r="X464" s="64"/>
      <c r="Y464" s="25"/>
      <c r="Z464" s="121" t="str">
        <f t="shared" si="405"/>
        <v/>
      </c>
      <c r="AA464" s="26"/>
      <c r="AB464" s="26"/>
      <c r="AC464" s="28"/>
      <c r="AD464" s="28"/>
      <c r="AE464" s="125" t="str">
        <f t="shared" si="406"/>
        <v/>
      </c>
      <c r="AF464" s="9"/>
      <c r="AG464" s="125" t="str">
        <f t="shared" si="407"/>
        <v/>
      </c>
      <c r="AH464" s="28"/>
      <c r="AI464" s="28"/>
      <c r="AJ464" s="125" t="str">
        <f t="shared" si="408"/>
        <v/>
      </c>
      <c r="AK464" s="9"/>
      <c r="AL464" s="125" t="str">
        <f t="shared" si="409"/>
        <v/>
      </c>
      <c r="AM464" s="28"/>
      <c r="AN464" s="28"/>
      <c r="AO464" s="125" t="str">
        <f t="shared" si="410"/>
        <v/>
      </c>
      <c r="AP464" s="125" t="str">
        <f t="shared" si="411"/>
        <v/>
      </c>
      <c r="AQ464" s="125" t="str">
        <f t="shared" si="412"/>
        <v/>
      </c>
      <c r="AR464" s="129" t="str">
        <f t="shared" si="413"/>
        <v/>
      </c>
      <c r="AS464" s="9"/>
      <c r="AT464" s="34"/>
      <c r="AU464" s="34"/>
      <c r="AV464" s="117" t="str">
        <f>IF(_xlfn.XLOOKUP(AT464, AutoFill_classes!$A:$A, AutoFill_classes!$B:$B,"")=0,"",_xlfn.XLOOKUP(AT464, AutoFill_classes!$A:$A, AutoFill_classes!$B:$B,""))</f>
        <v/>
      </c>
      <c r="AW464" s="108"/>
      <c r="AX464" s="9"/>
      <c r="AY464" s="10"/>
      <c r="AZ464" s="9"/>
      <c r="BA464" s="10"/>
      <c r="BB464" s="10"/>
      <c r="BC464" s="64"/>
      <c r="BD464" s="25"/>
      <c r="BE464" s="121" t="str">
        <f t="shared" si="414"/>
        <v/>
      </c>
      <c r="BF464" s="20"/>
      <c r="BG464" s="20"/>
      <c r="BH464" s="24"/>
      <c r="BI464" s="24"/>
      <c r="BJ464" s="125" t="str">
        <f t="shared" si="415"/>
        <v/>
      </c>
      <c r="BK464" s="14"/>
      <c r="BL464" s="125" t="str">
        <f t="shared" si="416"/>
        <v/>
      </c>
      <c r="BM464" s="24"/>
      <c r="BN464" s="24"/>
      <c r="BO464" s="125" t="str">
        <f t="shared" si="417"/>
        <v/>
      </c>
      <c r="BP464" s="14"/>
      <c r="BQ464" s="125" t="str">
        <f t="shared" si="418"/>
        <v/>
      </c>
      <c r="BR464" s="24"/>
      <c r="BS464" s="24"/>
      <c r="BT464" s="125" t="str">
        <f t="shared" si="419"/>
        <v/>
      </c>
      <c r="BU464" s="125" t="str">
        <f t="shared" si="420"/>
        <v/>
      </c>
      <c r="BV464" s="125" t="str">
        <f t="shared" si="421"/>
        <v/>
      </c>
      <c r="BW464" s="129" t="str">
        <f t="shared" si="422"/>
        <v/>
      </c>
      <c r="BX464" s="9"/>
      <c r="BY464" s="9"/>
      <c r="BZ464" s="9"/>
      <c r="CA464" s="117" t="str">
        <f>IF(_xlfn.XLOOKUP(BY464, AutoFill_classes!$A:$A, AutoFill_classes!$B:$B,"")=0,"",_xlfn.XLOOKUP(BY464, AutoFill_classes!$A:$A, AutoFill_classes!$B:$B,""))</f>
        <v/>
      </c>
      <c r="CB464" s="108"/>
      <c r="CC464" s="9"/>
      <c r="CD464" s="9"/>
      <c r="CE464" s="9"/>
      <c r="CG464" s="25"/>
      <c r="CH464" s="64"/>
      <c r="CI464" s="27"/>
      <c r="CJ464" s="121" t="str">
        <f t="shared" si="423"/>
        <v/>
      </c>
      <c r="CK464" s="20"/>
      <c r="CL464" s="20"/>
      <c r="CM464" s="24"/>
      <c r="CN464" s="24"/>
      <c r="CO464" s="125" t="str">
        <f t="shared" si="424"/>
        <v/>
      </c>
      <c r="CP464" s="14"/>
      <c r="CQ464" s="125" t="str">
        <f t="shared" si="425"/>
        <v/>
      </c>
      <c r="CR464" s="24"/>
      <c r="CS464" s="24"/>
      <c r="CT464" s="125" t="str">
        <f t="shared" si="426"/>
        <v/>
      </c>
      <c r="CU464" s="14"/>
      <c r="CV464" s="125" t="str">
        <f t="shared" si="427"/>
        <v/>
      </c>
      <c r="CW464" s="24"/>
      <c r="CX464" s="24"/>
      <c r="CY464" s="125" t="str">
        <f t="shared" si="428"/>
        <v/>
      </c>
      <c r="CZ464" s="125" t="str">
        <f t="shared" si="429"/>
        <v/>
      </c>
      <c r="DA464" s="125" t="str">
        <f t="shared" si="430"/>
        <v/>
      </c>
      <c r="DB464" s="129" t="str">
        <f t="shared" si="431"/>
        <v/>
      </c>
      <c r="DC464" s="9"/>
      <c r="DD464" s="65"/>
      <c r="DE464" s="105">
        <v>460</v>
      </c>
    </row>
    <row r="465" spans="1:109" outlineLevel="1" x14ac:dyDescent="0.2">
      <c r="A465" s="4"/>
      <c r="B465" s="115" t="str">
        <f>IF(_xlfn.XLOOKUP(A465, AutoFill_names!B:B, AutoFill_names!C:C,"")=0,"",_xlfn.XLOOKUP(A465, AutoFill_names!B:B, AutoFill_names!C:C,""))</f>
        <v/>
      </c>
      <c r="C465" s="115" t="str">
        <f>IF(_xlfn.XLOOKUP(A465, AutoFill_names!B:B, AutoFill_names!D:D,"")=0,"",_xlfn.XLOOKUP(A465, AutoFill_names!B:B, AutoFill_names!D:D,""))</f>
        <v/>
      </c>
      <c r="D465" s="115" t="str">
        <f>IF(_xlfn.XLOOKUP(A465, AutoFill_names!B:B, AutoFill_names!E:E,"")=0,"",_xlfn.XLOOKUP(A465, AutoFill_names!B:B, AutoFill_names!E:E,""))</f>
        <v/>
      </c>
      <c r="E465" s="115" t="str">
        <f>IF(_xlfn.XLOOKUP(A465, AutoFill_names!B:B, AutoFill_names!F:F,"")=0,"",_xlfn.XLOOKUP(A465, AutoFill_names!B:B, AutoFill_names!F:F,""))</f>
        <v/>
      </c>
      <c r="F465" s="92"/>
      <c r="G465" s="1"/>
      <c r="H465" s="1"/>
      <c r="I465" s="1"/>
      <c r="J465" s="115" t="str">
        <f>IF(_xlfn.XLOOKUP(A465, AutoFill_names!B:B, AutoFill_names!K:K,"")=0,"",_xlfn.XLOOKUP(A465, AutoFill_names!B:B, AutoFill_names!K:K,""))</f>
        <v/>
      </c>
      <c r="K465" s="115" t="str">
        <f>IF(_xlfn.XLOOKUP(A465, AutoFill_names!B:B, AutoFill_names!L:L,"")=0,"",_xlfn.XLOOKUP(A465, AutoFill_names!B:B, AutoFill_names!L:L,""))</f>
        <v/>
      </c>
      <c r="L465" s="5"/>
      <c r="M465" s="5"/>
      <c r="N465" s="117" t="str">
        <f>IF(_xlfn.XLOOKUP(L465, AutoFill_classes!A:A, AutoFill_classes!B:B,"")=0,"",_xlfn.XLOOKUP(L465, AutoFill_classes!A:A, AutoFill_classes!B:B,""))</f>
        <v/>
      </c>
      <c r="O465" s="108"/>
      <c r="P465" s="8"/>
      <c r="Q465" s="8"/>
      <c r="R465" s="8"/>
      <c r="S465" s="4"/>
      <c r="T465" s="4"/>
      <c r="U465" s="4"/>
      <c r="V465" s="4"/>
      <c r="W465" s="4"/>
      <c r="X465" s="64"/>
      <c r="Y465" s="25"/>
      <c r="Z465" s="121" t="str">
        <f t="shared" si="405"/>
        <v/>
      </c>
      <c r="AA465" s="26"/>
      <c r="AB465" s="26"/>
      <c r="AC465" s="28"/>
      <c r="AD465" s="28"/>
      <c r="AE465" s="125" t="str">
        <f t="shared" si="406"/>
        <v/>
      </c>
      <c r="AF465" s="9"/>
      <c r="AG465" s="125" t="str">
        <f t="shared" si="407"/>
        <v/>
      </c>
      <c r="AH465" s="28"/>
      <c r="AI465" s="28"/>
      <c r="AJ465" s="125" t="str">
        <f t="shared" si="408"/>
        <v/>
      </c>
      <c r="AK465" s="9"/>
      <c r="AL465" s="125" t="str">
        <f t="shared" si="409"/>
        <v/>
      </c>
      <c r="AM465" s="28"/>
      <c r="AN465" s="28"/>
      <c r="AO465" s="125" t="str">
        <f t="shared" si="410"/>
        <v/>
      </c>
      <c r="AP465" s="125" t="str">
        <f t="shared" si="411"/>
        <v/>
      </c>
      <c r="AQ465" s="125" t="str">
        <f t="shared" si="412"/>
        <v/>
      </c>
      <c r="AR465" s="129" t="str">
        <f t="shared" si="413"/>
        <v/>
      </c>
      <c r="AS465" s="9"/>
      <c r="AT465" s="34"/>
      <c r="AU465" s="34"/>
      <c r="AV465" s="117" t="str">
        <f>IF(_xlfn.XLOOKUP(AT465, AutoFill_classes!$A:$A, AutoFill_classes!$B:$B,"")=0,"",_xlfn.XLOOKUP(AT465, AutoFill_classes!$A:$A, AutoFill_classes!$B:$B,""))</f>
        <v/>
      </c>
      <c r="AW465" s="108"/>
      <c r="AX465" s="9"/>
      <c r="AY465" s="10"/>
      <c r="AZ465" s="9"/>
      <c r="BA465" s="10"/>
      <c r="BB465" s="10"/>
      <c r="BC465" s="64"/>
      <c r="BD465" s="25"/>
      <c r="BE465" s="121" t="str">
        <f t="shared" si="414"/>
        <v/>
      </c>
      <c r="BF465" s="20"/>
      <c r="BG465" s="20"/>
      <c r="BH465" s="24"/>
      <c r="BI465" s="24"/>
      <c r="BJ465" s="125" t="str">
        <f t="shared" si="415"/>
        <v/>
      </c>
      <c r="BK465" s="14"/>
      <c r="BL465" s="125" t="str">
        <f t="shared" si="416"/>
        <v/>
      </c>
      <c r="BM465" s="24"/>
      <c r="BN465" s="24"/>
      <c r="BO465" s="125" t="str">
        <f t="shared" si="417"/>
        <v/>
      </c>
      <c r="BP465" s="14"/>
      <c r="BQ465" s="125" t="str">
        <f t="shared" si="418"/>
        <v/>
      </c>
      <c r="BR465" s="24"/>
      <c r="BS465" s="24"/>
      <c r="BT465" s="125" t="str">
        <f t="shared" si="419"/>
        <v/>
      </c>
      <c r="BU465" s="125" t="str">
        <f t="shared" si="420"/>
        <v/>
      </c>
      <c r="BV465" s="125" t="str">
        <f t="shared" si="421"/>
        <v/>
      </c>
      <c r="BW465" s="129" t="str">
        <f t="shared" si="422"/>
        <v/>
      </c>
      <c r="BX465" s="9"/>
      <c r="BY465" s="9"/>
      <c r="BZ465" s="9"/>
      <c r="CA465" s="117" t="str">
        <f>IF(_xlfn.XLOOKUP(BY465, AutoFill_classes!$A:$A, AutoFill_classes!$B:$B,"")=0,"",_xlfn.XLOOKUP(BY465, AutoFill_classes!$A:$A, AutoFill_classes!$B:$B,""))</f>
        <v/>
      </c>
      <c r="CB465" s="108"/>
      <c r="CC465" s="9"/>
      <c r="CD465" s="9"/>
      <c r="CE465" s="9"/>
      <c r="CF465" s="4"/>
      <c r="CG465" s="25"/>
      <c r="CH465" s="64"/>
      <c r="CI465" s="27"/>
      <c r="CJ465" s="121" t="str">
        <f t="shared" si="423"/>
        <v/>
      </c>
      <c r="CK465" s="20"/>
      <c r="CL465" s="20"/>
      <c r="CM465" s="24"/>
      <c r="CN465" s="24"/>
      <c r="CO465" s="125" t="str">
        <f t="shared" si="424"/>
        <v/>
      </c>
      <c r="CP465" s="14"/>
      <c r="CQ465" s="125" t="str">
        <f t="shared" si="425"/>
        <v/>
      </c>
      <c r="CR465" s="24"/>
      <c r="CS465" s="24"/>
      <c r="CT465" s="125" t="str">
        <f t="shared" si="426"/>
        <v/>
      </c>
      <c r="CU465" s="14"/>
      <c r="CV465" s="125" t="str">
        <f t="shared" si="427"/>
        <v/>
      </c>
      <c r="CW465" s="24"/>
      <c r="CX465" s="24"/>
      <c r="CY465" s="125" t="str">
        <f t="shared" si="428"/>
        <v/>
      </c>
      <c r="CZ465" s="125" t="str">
        <f t="shared" si="429"/>
        <v/>
      </c>
      <c r="DA465" s="125" t="str">
        <f t="shared" si="430"/>
        <v/>
      </c>
      <c r="DB465" s="129" t="str">
        <f t="shared" si="431"/>
        <v/>
      </c>
      <c r="DC465" s="9"/>
      <c r="DD465" s="65"/>
      <c r="DE465" s="105">
        <v>461</v>
      </c>
    </row>
    <row r="466" spans="1:109" outlineLevel="1" x14ac:dyDescent="0.2">
      <c r="A466" s="4"/>
      <c r="B466" s="115" t="str">
        <f>IF(_xlfn.XLOOKUP(A466, AutoFill_names!B:B, AutoFill_names!C:C,"")=0,"",_xlfn.XLOOKUP(A466, AutoFill_names!B:B, AutoFill_names!C:C,""))</f>
        <v/>
      </c>
      <c r="C466" s="115" t="str">
        <f>IF(_xlfn.XLOOKUP(A466, AutoFill_names!B:B, AutoFill_names!D:D,"")=0,"",_xlfn.XLOOKUP(A466, AutoFill_names!B:B, AutoFill_names!D:D,""))</f>
        <v/>
      </c>
      <c r="D466" s="115" t="str">
        <f>IF(_xlfn.XLOOKUP(A466, AutoFill_names!B:B, AutoFill_names!E:E,"")=0,"",_xlfn.XLOOKUP(A466, AutoFill_names!B:B, AutoFill_names!E:E,""))</f>
        <v/>
      </c>
      <c r="E466" s="115" t="str">
        <f>IF(_xlfn.XLOOKUP(A466, AutoFill_names!B:B, AutoFill_names!F:F,"")=0,"",_xlfn.XLOOKUP(A466, AutoFill_names!B:B, AutoFill_names!F:F,""))</f>
        <v/>
      </c>
      <c r="F466" s="92"/>
      <c r="G466" s="1"/>
      <c r="H466" s="1"/>
      <c r="I466" s="1"/>
      <c r="J466" s="115" t="str">
        <f>IF(_xlfn.XLOOKUP(A466, AutoFill_names!B:B, AutoFill_names!K:K,"")=0,"",_xlfn.XLOOKUP(A466, AutoFill_names!B:B, AutoFill_names!K:K,""))</f>
        <v/>
      </c>
      <c r="K466" s="115" t="str">
        <f>IF(_xlfn.XLOOKUP(A466, AutoFill_names!B:B, AutoFill_names!L:L,"")=0,"",_xlfn.XLOOKUP(A466, AutoFill_names!B:B, AutoFill_names!L:L,""))</f>
        <v/>
      </c>
      <c r="L466" s="5"/>
      <c r="M466" s="5"/>
      <c r="N466" s="117" t="str">
        <f>IF(_xlfn.XLOOKUP(L466, AutoFill_classes!A:A, AutoFill_classes!B:B,"")=0,"",_xlfn.XLOOKUP(L466, AutoFill_classes!A:A, AutoFill_classes!B:B,""))</f>
        <v/>
      </c>
      <c r="O466" s="108"/>
      <c r="P466" s="8"/>
      <c r="Q466" s="8"/>
      <c r="R466" s="8"/>
      <c r="S466" s="4"/>
      <c r="T466" s="4"/>
      <c r="U466" s="4"/>
      <c r="V466" s="4"/>
      <c r="W466" s="4"/>
      <c r="X466" s="64"/>
      <c r="Y466" s="25"/>
      <c r="Z466" s="121" t="str">
        <f t="shared" si="405"/>
        <v/>
      </c>
      <c r="AA466" s="26"/>
      <c r="AB466" s="26"/>
      <c r="AC466" s="28"/>
      <c r="AD466" s="28"/>
      <c r="AE466" s="125" t="str">
        <f t="shared" si="406"/>
        <v/>
      </c>
      <c r="AF466" s="9"/>
      <c r="AG466" s="125" t="str">
        <f t="shared" si="407"/>
        <v/>
      </c>
      <c r="AH466" s="28"/>
      <c r="AI466" s="28"/>
      <c r="AJ466" s="125" t="str">
        <f t="shared" si="408"/>
        <v/>
      </c>
      <c r="AK466" s="9"/>
      <c r="AL466" s="125" t="str">
        <f t="shared" si="409"/>
        <v/>
      </c>
      <c r="AM466" s="28"/>
      <c r="AN466" s="28"/>
      <c r="AO466" s="125" t="str">
        <f t="shared" si="410"/>
        <v/>
      </c>
      <c r="AP466" s="125" t="str">
        <f t="shared" si="411"/>
        <v/>
      </c>
      <c r="AQ466" s="125" t="str">
        <f t="shared" si="412"/>
        <v/>
      </c>
      <c r="AR466" s="129" t="str">
        <f t="shared" si="413"/>
        <v/>
      </c>
      <c r="AS466" s="9"/>
      <c r="AT466" s="34"/>
      <c r="AU466" s="34"/>
      <c r="AV466" s="117" t="str">
        <f>IF(_xlfn.XLOOKUP(AT466, AutoFill_classes!$A:$A, AutoFill_classes!$B:$B,"")=0,"",_xlfn.XLOOKUP(AT466, AutoFill_classes!$A:$A, AutoFill_classes!$B:$B,""))</f>
        <v/>
      </c>
      <c r="AW466" s="108"/>
      <c r="AX466" s="9"/>
      <c r="AY466" s="10"/>
      <c r="AZ466" s="9"/>
      <c r="BA466" s="10"/>
      <c r="BB466" s="10"/>
      <c r="BC466" s="64"/>
      <c r="BD466" s="25"/>
      <c r="BE466" s="121" t="str">
        <f t="shared" si="414"/>
        <v/>
      </c>
      <c r="BF466" s="20"/>
      <c r="BG466" s="20"/>
      <c r="BH466" s="24"/>
      <c r="BI466" s="24"/>
      <c r="BJ466" s="125" t="str">
        <f t="shared" si="415"/>
        <v/>
      </c>
      <c r="BK466" s="14"/>
      <c r="BL466" s="125" t="str">
        <f t="shared" si="416"/>
        <v/>
      </c>
      <c r="BM466" s="24"/>
      <c r="BN466" s="24"/>
      <c r="BO466" s="125" t="str">
        <f t="shared" si="417"/>
        <v/>
      </c>
      <c r="BP466" s="14"/>
      <c r="BQ466" s="125" t="str">
        <f t="shared" si="418"/>
        <v/>
      </c>
      <c r="BR466" s="24"/>
      <c r="BS466" s="24"/>
      <c r="BT466" s="125" t="str">
        <f t="shared" si="419"/>
        <v/>
      </c>
      <c r="BU466" s="125" t="str">
        <f t="shared" si="420"/>
        <v/>
      </c>
      <c r="BV466" s="125" t="str">
        <f t="shared" si="421"/>
        <v/>
      </c>
      <c r="BW466" s="129" t="str">
        <f t="shared" si="422"/>
        <v/>
      </c>
      <c r="BX466" s="9"/>
      <c r="BY466" s="9"/>
      <c r="BZ466" s="9"/>
      <c r="CA466" s="117" t="str">
        <f>IF(_xlfn.XLOOKUP(BY466, AutoFill_classes!$A:$A, AutoFill_classes!$B:$B,"")=0,"",_xlfn.XLOOKUP(BY466, AutoFill_classes!$A:$A, AutoFill_classes!$B:$B,""))</f>
        <v/>
      </c>
      <c r="CB466" s="108"/>
      <c r="CC466" s="9"/>
      <c r="CD466" s="9"/>
      <c r="CE466" s="9"/>
      <c r="CF466" s="4"/>
      <c r="CG466" s="25"/>
      <c r="CH466" s="64"/>
      <c r="CI466" s="27"/>
      <c r="CJ466" s="121" t="str">
        <f t="shared" si="423"/>
        <v/>
      </c>
      <c r="CK466" s="20"/>
      <c r="CL466" s="20"/>
      <c r="CM466" s="24"/>
      <c r="CN466" s="24"/>
      <c r="CO466" s="125" t="str">
        <f t="shared" si="424"/>
        <v/>
      </c>
      <c r="CP466" s="14"/>
      <c r="CQ466" s="125" t="str">
        <f t="shared" si="425"/>
        <v/>
      </c>
      <c r="CR466" s="24"/>
      <c r="CS466" s="24"/>
      <c r="CT466" s="125" t="str">
        <f t="shared" si="426"/>
        <v/>
      </c>
      <c r="CU466" s="14"/>
      <c r="CV466" s="125" t="str">
        <f t="shared" si="427"/>
        <v/>
      </c>
      <c r="CW466" s="24"/>
      <c r="CX466" s="24"/>
      <c r="CY466" s="125" t="str">
        <f t="shared" si="428"/>
        <v/>
      </c>
      <c r="CZ466" s="125" t="str">
        <f t="shared" si="429"/>
        <v/>
      </c>
      <c r="DA466" s="125" t="str">
        <f t="shared" si="430"/>
        <v/>
      </c>
      <c r="DB466" s="129" t="str">
        <f t="shared" si="431"/>
        <v/>
      </c>
      <c r="DC466" s="9"/>
      <c r="DD466" s="65"/>
      <c r="DE466" s="105">
        <v>462</v>
      </c>
    </row>
    <row r="467" spans="1:109" outlineLevel="1" x14ac:dyDescent="0.2">
      <c r="A467" s="4"/>
      <c r="B467" s="115" t="str">
        <f>IF(_xlfn.XLOOKUP(A467, AutoFill_names!B:B, AutoFill_names!C:C,"")=0,"",_xlfn.XLOOKUP(A467, AutoFill_names!B:B, AutoFill_names!C:C,""))</f>
        <v/>
      </c>
      <c r="C467" s="115" t="str">
        <f>IF(_xlfn.XLOOKUP(A467, AutoFill_names!B:B, AutoFill_names!D:D,"")=0,"",_xlfn.XLOOKUP(A467, AutoFill_names!B:B, AutoFill_names!D:D,""))</f>
        <v/>
      </c>
      <c r="D467" s="115" t="str">
        <f>IF(_xlfn.XLOOKUP(A467, AutoFill_names!B:B, AutoFill_names!E:E,"")=0,"",_xlfn.XLOOKUP(A467, AutoFill_names!B:B, AutoFill_names!E:E,""))</f>
        <v/>
      </c>
      <c r="E467" s="115" t="str">
        <f>IF(_xlfn.XLOOKUP(A467, AutoFill_names!B:B, AutoFill_names!F:F,"")=0,"",_xlfn.XLOOKUP(A467, AutoFill_names!B:B, AutoFill_names!F:F,""))</f>
        <v/>
      </c>
      <c r="F467" s="92"/>
      <c r="G467" s="1"/>
      <c r="H467" s="1"/>
      <c r="I467" s="1"/>
      <c r="J467" s="115" t="str">
        <f>IF(_xlfn.XLOOKUP(A467, AutoFill_names!B:B, AutoFill_names!K:K,"")=0,"",_xlfn.XLOOKUP(A467, AutoFill_names!B:B, AutoFill_names!K:K,""))</f>
        <v/>
      </c>
      <c r="K467" s="115" t="str">
        <f>IF(_xlfn.XLOOKUP(A467, AutoFill_names!B:B, AutoFill_names!L:L,"")=0,"",_xlfn.XLOOKUP(A467, AutoFill_names!B:B, AutoFill_names!L:L,""))</f>
        <v/>
      </c>
      <c r="L467" s="5"/>
      <c r="M467" s="5"/>
      <c r="N467" s="117" t="str">
        <f>IF(_xlfn.XLOOKUP(L467, AutoFill_classes!A:A, AutoFill_classes!B:B,"")=0,"",_xlfn.XLOOKUP(L467, AutoFill_classes!A:A, AutoFill_classes!B:B,""))</f>
        <v/>
      </c>
      <c r="O467" s="108"/>
      <c r="P467" s="8"/>
      <c r="Q467" s="8"/>
      <c r="R467" s="8"/>
      <c r="S467" s="4"/>
      <c r="T467" s="4"/>
      <c r="U467" s="4"/>
      <c r="V467" s="4"/>
      <c r="W467" s="4"/>
      <c r="X467" s="64"/>
      <c r="Y467" s="25"/>
      <c r="Z467" s="121" t="str">
        <f t="shared" si="405"/>
        <v/>
      </c>
      <c r="AA467" s="26"/>
      <c r="AB467" s="26"/>
      <c r="AC467" s="28"/>
      <c r="AD467" s="28"/>
      <c r="AE467" s="125" t="str">
        <f t="shared" si="406"/>
        <v/>
      </c>
      <c r="AF467" s="9"/>
      <c r="AG467" s="125" t="str">
        <f t="shared" si="407"/>
        <v/>
      </c>
      <c r="AH467" s="28"/>
      <c r="AI467" s="28"/>
      <c r="AJ467" s="125" t="str">
        <f t="shared" si="408"/>
        <v/>
      </c>
      <c r="AK467" s="9"/>
      <c r="AL467" s="125" t="str">
        <f t="shared" si="409"/>
        <v/>
      </c>
      <c r="AM467" s="28"/>
      <c r="AN467" s="28"/>
      <c r="AO467" s="125" t="str">
        <f t="shared" si="410"/>
        <v/>
      </c>
      <c r="AP467" s="125" t="str">
        <f t="shared" si="411"/>
        <v/>
      </c>
      <c r="AQ467" s="125" t="str">
        <f t="shared" si="412"/>
        <v/>
      </c>
      <c r="AR467" s="129" t="str">
        <f t="shared" si="413"/>
        <v/>
      </c>
      <c r="AS467" s="9"/>
      <c r="AT467" s="34"/>
      <c r="AU467" s="34"/>
      <c r="AV467" s="117" t="str">
        <f>IF(_xlfn.XLOOKUP(AT467, AutoFill_classes!$A:$A, AutoFill_classes!$B:$B,"")=0,"",_xlfn.XLOOKUP(AT467, AutoFill_classes!$A:$A, AutoFill_classes!$B:$B,""))</f>
        <v/>
      </c>
      <c r="AW467" s="108"/>
      <c r="AX467" s="9"/>
      <c r="AY467" s="10"/>
      <c r="AZ467" s="9"/>
      <c r="BA467" s="10"/>
      <c r="BB467" s="10"/>
      <c r="BC467" s="64"/>
      <c r="BD467" s="25"/>
      <c r="BE467" s="121" t="str">
        <f t="shared" si="414"/>
        <v/>
      </c>
      <c r="BF467" s="20"/>
      <c r="BG467" s="20"/>
      <c r="BH467" s="24"/>
      <c r="BI467" s="24"/>
      <c r="BJ467" s="125" t="str">
        <f t="shared" si="415"/>
        <v/>
      </c>
      <c r="BK467" s="14"/>
      <c r="BL467" s="125" t="str">
        <f t="shared" si="416"/>
        <v/>
      </c>
      <c r="BM467" s="24"/>
      <c r="BN467" s="24"/>
      <c r="BO467" s="125" t="str">
        <f t="shared" si="417"/>
        <v/>
      </c>
      <c r="BP467" s="14"/>
      <c r="BQ467" s="125" t="str">
        <f t="shared" si="418"/>
        <v/>
      </c>
      <c r="BR467" s="24"/>
      <c r="BS467" s="24"/>
      <c r="BT467" s="125" t="str">
        <f t="shared" si="419"/>
        <v/>
      </c>
      <c r="BU467" s="125" t="str">
        <f t="shared" si="420"/>
        <v/>
      </c>
      <c r="BV467" s="125" t="str">
        <f t="shared" si="421"/>
        <v/>
      </c>
      <c r="BW467" s="129" t="str">
        <f t="shared" si="422"/>
        <v/>
      </c>
      <c r="BX467" s="9"/>
      <c r="BY467" s="9"/>
      <c r="BZ467" s="9"/>
      <c r="CA467" s="117" t="str">
        <f>IF(_xlfn.XLOOKUP(BY467, AutoFill_classes!$A:$A, AutoFill_classes!$B:$B,"")=0,"",_xlfn.XLOOKUP(BY467, AutoFill_classes!$A:$A, AutoFill_classes!$B:$B,""))</f>
        <v/>
      </c>
      <c r="CB467" s="108"/>
      <c r="CC467" s="9"/>
      <c r="CD467" s="9"/>
      <c r="CE467" s="9"/>
      <c r="CF467" s="4"/>
      <c r="CG467" s="25"/>
      <c r="CH467" s="64"/>
      <c r="CI467" s="27"/>
      <c r="CJ467" s="121" t="str">
        <f t="shared" si="423"/>
        <v/>
      </c>
      <c r="CK467" s="20"/>
      <c r="CL467" s="20"/>
      <c r="CM467" s="24"/>
      <c r="CN467" s="24"/>
      <c r="CO467" s="125" t="str">
        <f t="shared" si="424"/>
        <v/>
      </c>
      <c r="CP467" s="14"/>
      <c r="CQ467" s="125" t="str">
        <f t="shared" si="425"/>
        <v/>
      </c>
      <c r="CR467" s="24"/>
      <c r="CS467" s="24"/>
      <c r="CT467" s="125" t="str">
        <f t="shared" si="426"/>
        <v/>
      </c>
      <c r="CU467" s="14"/>
      <c r="CV467" s="125" t="str">
        <f t="shared" si="427"/>
        <v/>
      </c>
      <c r="CW467" s="24"/>
      <c r="CX467" s="24"/>
      <c r="CY467" s="125" t="str">
        <f t="shared" si="428"/>
        <v/>
      </c>
      <c r="CZ467" s="125" t="str">
        <f t="shared" si="429"/>
        <v/>
      </c>
      <c r="DA467" s="125" t="str">
        <f t="shared" si="430"/>
        <v/>
      </c>
      <c r="DB467" s="129" t="str">
        <f t="shared" si="431"/>
        <v/>
      </c>
      <c r="DC467" s="9"/>
      <c r="DD467" s="65"/>
      <c r="DE467" s="105">
        <v>463</v>
      </c>
    </row>
    <row r="468" spans="1:109" outlineLevel="1" x14ac:dyDescent="0.2">
      <c r="A468" s="4"/>
      <c r="B468" s="115" t="str">
        <f>IF(_xlfn.XLOOKUP(A468, AutoFill_names!B:B, AutoFill_names!C:C,"")=0,"",_xlfn.XLOOKUP(A468, AutoFill_names!B:B, AutoFill_names!C:C,""))</f>
        <v/>
      </c>
      <c r="C468" s="115" t="str">
        <f>IF(_xlfn.XLOOKUP(A468, AutoFill_names!B:B, AutoFill_names!D:D,"")=0,"",_xlfn.XLOOKUP(A468, AutoFill_names!B:B, AutoFill_names!D:D,""))</f>
        <v/>
      </c>
      <c r="D468" s="115" t="str">
        <f>IF(_xlfn.XLOOKUP(A468, AutoFill_names!B:B, AutoFill_names!E:E,"")=0,"",_xlfn.XLOOKUP(A468, AutoFill_names!B:B, AutoFill_names!E:E,""))</f>
        <v/>
      </c>
      <c r="E468" s="115" t="str">
        <f>IF(_xlfn.XLOOKUP(A468, AutoFill_names!B:B, AutoFill_names!F:F,"")=0,"",_xlfn.XLOOKUP(A468, AutoFill_names!B:B, AutoFill_names!F:F,""))</f>
        <v/>
      </c>
      <c r="F468" s="92"/>
      <c r="G468" s="1"/>
      <c r="H468" s="1"/>
      <c r="I468" s="1"/>
      <c r="J468" s="115" t="str">
        <f>IF(_xlfn.XLOOKUP(A468, AutoFill_names!B:B, AutoFill_names!K:K,"")=0,"",_xlfn.XLOOKUP(A468, AutoFill_names!B:B, AutoFill_names!K:K,""))</f>
        <v/>
      </c>
      <c r="K468" s="115" t="str">
        <f>IF(_xlfn.XLOOKUP(A468, AutoFill_names!B:B, AutoFill_names!L:L,"")=0,"",_xlfn.XLOOKUP(A468, AutoFill_names!B:B, AutoFill_names!L:L,""))</f>
        <v/>
      </c>
      <c r="L468" s="5"/>
      <c r="M468" s="5"/>
      <c r="N468" s="117" t="str">
        <f>IF(_xlfn.XLOOKUP(L468, AutoFill_classes!A:A, AutoFill_classes!B:B,"")=0,"",_xlfn.XLOOKUP(L468, AutoFill_classes!A:A, AutoFill_classes!B:B,""))</f>
        <v/>
      </c>
      <c r="O468" s="108"/>
      <c r="P468" s="8"/>
      <c r="Q468" s="8"/>
      <c r="R468" s="8"/>
      <c r="S468" s="4"/>
      <c r="T468" s="4"/>
      <c r="U468" s="4"/>
      <c r="V468" s="4"/>
      <c r="W468" s="4"/>
      <c r="X468" s="64"/>
      <c r="Y468" s="25"/>
      <c r="Z468" s="121" t="str">
        <f t="shared" si="405"/>
        <v/>
      </c>
      <c r="AA468" s="26"/>
      <c r="AB468" s="26"/>
      <c r="AC468" s="28"/>
      <c r="AD468" s="28"/>
      <c r="AE468" s="125" t="str">
        <f t="shared" si="406"/>
        <v/>
      </c>
      <c r="AF468" s="9"/>
      <c r="AG468" s="125" t="str">
        <f t="shared" si="407"/>
        <v/>
      </c>
      <c r="AH468" s="28"/>
      <c r="AI468" s="28"/>
      <c r="AJ468" s="125" t="str">
        <f t="shared" si="408"/>
        <v/>
      </c>
      <c r="AK468" s="9"/>
      <c r="AL468" s="125" t="str">
        <f t="shared" si="409"/>
        <v/>
      </c>
      <c r="AM468" s="28"/>
      <c r="AN468" s="28"/>
      <c r="AO468" s="125" t="str">
        <f t="shared" si="410"/>
        <v/>
      </c>
      <c r="AP468" s="125" t="str">
        <f t="shared" si="411"/>
        <v/>
      </c>
      <c r="AQ468" s="125" t="str">
        <f t="shared" si="412"/>
        <v/>
      </c>
      <c r="AR468" s="129" t="str">
        <f t="shared" si="413"/>
        <v/>
      </c>
      <c r="AS468" s="9"/>
      <c r="AT468" s="34"/>
      <c r="AU468" s="34"/>
      <c r="AV468" s="117" t="str">
        <f>IF(_xlfn.XLOOKUP(AT468, AutoFill_classes!$A:$A, AutoFill_classes!$B:$B,"")=0,"",_xlfn.XLOOKUP(AT468, AutoFill_classes!$A:$A, AutoFill_classes!$B:$B,""))</f>
        <v/>
      </c>
      <c r="AW468" s="108"/>
      <c r="AX468" s="9"/>
      <c r="AY468" s="10"/>
      <c r="AZ468" s="9"/>
      <c r="BA468" s="10"/>
      <c r="BB468" s="10"/>
      <c r="BC468" s="64"/>
      <c r="BD468" s="25"/>
      <c r="BE468" s="121" t="str">
        <f t="shared" si="414"/>
        <v/>
      </c>
      <c r="BF468" s="20"/>
      <c r="BG468" s="20"/>
      <c r="BH468" s="24"/>
      <c r="BI468" s="24"/>
      <c r="BJ468" s="125" t="str">
        <f t="shared" si="415"/>
        <v/>
      </c>
      <c r="BK468" s="14"/>
      <c r="BL468" s="125" t="str">
        <f t="shared" si="416"/>
        <v/>
      </c>
      <c r="BM468" s="24"/>
      <c r="BN468" s="24"/>
      <c r="BO468" s="125" t="str">
        <f t="shared" si="417"/>
        <v/>
      </c>
      <c r="BP468" s="14"/>
      <c r="BQ468" s="125" t="str">
        <f t="shared" si="418"/>
        <v/>
      </c>
      <c r="BR468" s="24"/>
      <c r="BS468" s="24"/>
      <c r="BT468" s="125" t="str">
        <f t="shared" si="419"/>
        <v/>
      </c>
      <c r="BU468" s="125" t="str">
        <f t="shared" si="420"/>
        <v/>
      </c>
      <c r="BV468" s="125" t="str">
        <f t="shared" si="421"/>
        <v/>
      </c>
      <c r="BW468" s="129" t="str">
        <f t="shared" si="422"/>
        <v/>
      </c>
      <c r="BX468" s="9"/>
      <c r="BY468" s="9"/>
      <c r="BZ468" s="9"/>
      <c r="CA468" s="117" t="str">
        <f>IF(_xlfn.XLOOKUP(BY468, AutoFill_classes!$A:$A, AutoFill_classes!$B:$B,"")=0,"",_xlfn.XLOOKUP(BY468, AutoFill_classes!$A:$A, AutoFill_classes!$B:$B,""))</f>
        <v/>
      </c>
      <c r="CB468" s="108"/>
      <c r="CC468" s="9"/>
      <c r="CD468" s="9"/>
      <c r="CE468" s="9"/>
      <c r="CF468" s="4"/>
      <c r="CG468" s="25"/>
      <c r="CH468" s="64"/>
      <c r="CI468" s="27"/>
      <c r="CJ468" s="121" t="str">
        <f t="shared" si="423"/>
        <v/>
      </c>
      <c r="CK468" s="20"/>
      <c r="CL468" s="20"/>
      <c r="CM468" s="24"/>
      <c r="CN468" s="24"/>
      <c r="CO468" s="125" t="str">
        <f t="shared" si="424"/>
        <v/>
      </c>
      <c r="CP468" s="14"/>
      <c r="CQ468" s="125" t="str">
        <f t="shared" si="425"/>
        <v/>
      </c>
      <c r="CR468" s="24"/>
      <c r="CS468" s="24"/>
      <c r="CT468" s="125" t="str">
        <f t="shared" si="426"/>
        <v/>
      </c>
      <c r="CU468" s="14"/>
      <c r="CV468" s="125" t="str">
        <f t="shared" si="427"/>
        <v/>
      </c>
      <c r="CW468" s="24"/>
      <c r="CX468" s="24"/>
      <c r="CY468" s="125" t="str">
        <f t="shared" si="428"/>
        <v/>
      </c>
      <c r="CZ468" s="125" t="str">
        <f t="shared" si="429"/>
        <v/>
      </c>
      <c r="DA468" s="125" t="str">
        <f t="shared" si="430"/>
        <v/>
      </c>
      <c r="DB468" s="129" t="str">
        <f t="shared" si="431"/>
        <v/>
      </c>
      <c r="DC468" s="9"/>
      <c r="DD468" s="65"/>
      <c r="DE468" s="105">
        <v>464</v>
      </c>
    </row>
    <row r="469" spans="1:109" outlineLevel="1" x14ac:dyDescent="0.2">
      <c r="A469" s="4"/>
      <c r="B469" s="115" t="str">
        <f>IF(_xlfn.XLOOKUP(A469, AutoFill_names!B:B, AutoFill_names!C:C,"")=0,"",_xlfn.XLOOKUP(A469, AutoFill_names!B:B, AutoFill_names!C:C,""))</f>
        <v/>
      </c>
      <c r="C469" s="115" t="str">
        <f>IF(_xlfn.XLOOKUP(A469, AutoFill_names!B:B, AutoFill_names!D:D,"")=0,"",_xlfn.XLOOKUP(A469, AutoFill_names!B:B, AutoFill_names!D:D,""))</f>
        <v/>
      </c>
      <c r="D469" s="115" t="str">
        <f>IF(_xlfn.XLOOKUP(A469, AutoFill_names!B:B, AutoFill_names!E:E,"")=0,"",_xlfn.XLOOKUP(A469, AutoFill_names!B:B, AutoFill_names!E:E,""))</f>
        <v/>
      </c>
      <c r="E469" s="115" t="str">
        <f>IF(_xlfn.XLOOKUP(A469, AutoFill_names!B:B, AutoFill_names!F:F,"")=0,"",_xlfn.XLOOKUP(A469, AutoFill_names!B:B, AutoFill_names!F:F,""))</f>
        <v/>
      </c>
      <c r="F469" s="92"/>
      <c r="G469" s="1"/>
      <c r="H469" s="1"/>
      <c r="I469" s="1"/>
      <c r="J469" s="115" t="str">
        <f>IF(_xlfn.XLOOKUP(A469, AutoFill_names!B:B, AutoFill_names!K:K,"")=0,"",_xlfn.XLOOKUP(A469, AutoFill_names!B:B, AutoFill_names!K:K,""))</f>
        <v/>
      </c>
      <c r="K469" s="115" t="str">
        <f>IF(_xlfn.XLOOKUP(A469, AutoFill_names!B:B, AutoFill_names!L:L,"")=0,"",_xlfn.XLOOKUP(A469, AutoFill_names!B:B, AutoFill_names!L:L,""))</f>
        <v/>
      </c>
      <c r="L469" s="5"/>
      <c r="M469" s="5"/>
      <c r="N469" s="117" t="str">
        <f>IF(_xlfn.XLOOKUP(L469, AutoFill_classes!A:A, AutoFill_classes!B:B,"")=0,"",_xlfn.XLOOKUP(L469, AutoFill_classes!A:A, AutoFill_classes!B:B,""))</f>
        <v/>
      </c>
      <c r="O469" s="108"/>
      <c r="P469" s="8"/>
      <c r="Q469" s="8"/>
      <c r="R469" s="8"/>
      <c r="S469" s="4"/>
      <c r="T469" s="4"/>
      <c r="U469" s="4"/>
      <c r="V469" s="4"/>
      <c r="W469" s="4"/>
      <c r="X469" s="64"/>
      <c r="Y469" s="25"/>
      <c r="Z469" s="121" t="str">
        <f t="shared" si="405"/>
        <v/>
      </c>
      <c r="AA469" s="26"/>
      <c r="AB469" s="26"/>
      <c r="AC469" s="28"/>
      <c r="AD469" s="28"/>
      <c r="AE469" s="125" t="str">
        <f t="shared" si="406"/>
        <v/>
      </c>
      <c r="AF469" s="9"/>
      <c r="AG469" s="125" t="str">
        <f t="shared" si="407"/>
        <v/>
      </c>
      <c r="AH469" s="28"/>
      <c r="AI469" s="28"/>
      <c r="AJ469" s="125" t="str">
        <f t="shared" si="408"/>
        <v/>
      </c>
      <c r="AK469" s="9"/>
      <c r="AL469" s="125" t="str">
        <f t="shared" si="409"/>
        <v/>
      </c>
      <c r="AM469" s="28"/>
      <c r="AN469" s="28"/>
      <c r="AO469" s="125" t="str">
        <f t="shared" si="410"/>
        <v/>
      </c>
      <c r="AP469" s="125" t="str">
        <f t="shared" si="411"/>
        <v/>
      </c>
      <c r="AQ469" s="125" t="str">
        <f t="shared" si="412"/>
        <v/>
      </c>
      <c r="AR469" s="129" t="str">
        <f t="shared" si="413"/>
        <v/>
      </c>
      <c r="AS469" s="9"/>
      <c r="AT469" s="34"/>
      <c r="AU469" s="34"/>
      <c r="AV469" s="117" t="str">
        <f>IF(_xlfn.XLOOKUP(AT469, AutoFill_classes!$A:$A, AutoFill_classes!$B:$B,"")=0,"",_xlfn.XLOOKUP(AT469, AutoFill_classes!$A:$A, AutoFill_classes!$B:$B,""))</f>
        <v/>
      </c>
      <c r="AW469" s="108"/>
      <c r="AX469" s="9"/>
      <c r="AY469" s="10"/>
      <c r="AZ469" s="9"/>
      <c r="BA469" s="10"/>
      <c r="BB469" s="10"/>
      <c r="BC469" s="64"/>
      <c r="BD469" s="25"/>
      <c r="BE469" s="121" t="str">
        <f t="shared" si="414"/>
        <v/>
      </c>
      <c r="BF469" s="20"/>
      <c r="BG469" s="20"/>
      <c r="BH469" s="24"/>
      <c r="BI469" s="24"/>
      <c r="BJ469" s="125" t="str">
        <f t="shared" si="415"/>
        <v/>
      </c>
      <c r="BK469" s="14"/>
      <c r="BL469" s="125" t="str">
        <f t="shared" si="416"/>
        <v/>
      </c>
      <c r="BM469" s="24"/>
      <c r="BN469" s="24"/>
      <c r="BO469" s="125" t="str">
        <f t="shared" si="417"/>
        <v/>
      </c>
      <c r="BP469" s="14"/>
      <c r="BQ469" s="125" t="str">
        <f t="shared" si="418"/>
        <v/>
      </c>
      <c r="BR469" s="24"/>
      <c r="BS469" s="24"/>
      <c r="BT469" s="125" t="str">
        <f t="shared" si="419"/>
        <v/>
      </c>
      <c r="BU469" s="125" t="str">
        <f t="shared" si="420"/>
        <v/>
      </c>
      <c r="BV469" s="125" t="str">
        <f t="shared" si="421"/>
        <v/>
      </c>
      <c r="BW469" s="129" t="str">
        <f t="shared" si="422"/>
        <v/>
      </c>
      <c r="BX469" s="9"/>
      <c r="BY469" s="9"/>
      <c r="BZ469" s="9"/>
      <c r="CA469" s="117" t="str">
        <f>IF(_xlfn.XLOOKUP(BY469, AutoFill_classes!$A:$A, AutoFill_classes!$B:$B,"")=0,"",_xlfn.XLOOKUP(BY469, AutoFill_classes!$A:$A, AutoFill_classes!$B:$B,""))</f>
        <v/>
      </c>
      <c r="CB469" s="108"/>
      <c r="CC469" s="9"/>
      <c r="CD469" s="9"/>
      <c r="CE469" s="9"/>
      <c r="CF469" s="4"/>
      <c r="CG469" s="25"/>
      <c r="CH469" s="64"/>
      <c r="CI469" s="27"/>
      <c r="CJ469" s="121" t="str">
        <f t="shared" si="423"/>
        <v/>
      </c>
      <c r="CK469" s="20"/>
      <c r="CL469" s="20"/>
      <c r="CM469" s="24"/>
      <c r="CN469" s="24"/>
      <c r="CO469" s="125" t="str">
        <f t="shared" si="424"/>
        <v/>
      </c>
      <c r="CP469" s="14"/>
      <c r="CQ469" s="125" t="str">
        <f t="shared" si="425"/>
        <v/>
      </c>
      <c r="CR469" s="24"/>
      <c r="CS469" s="24"/>
      <c r="CT469" s="125" t="str">
        <f t="shared" si="426"/>
        <v/>
      </c>
      <c r="CU469" s="14"/>
      <c r="CV469" s="125" t="str">
        <f t="shared" si="427"/>
        <v/>
      </c>
      <c r="CW469" s="24"/>
      <c r="CX469" s="24"/>
      <c r="CY469" s="125" t="str">
        <f t="shared" si="428"/>
        <v/>
      </c>
      <c r="CZ469" s="125" t="str">
        <f t="shared" si="429"/>
        <v/>
      </c>
      <c r="DA469" s="125" t="str">
        <f t="shared" si="430"/>
        <v/>
      </c>
      <c r="DB469" s="129" t="str">
        <f t="shared" si="431"/>
        <v/>
      </c>
      <c r="DC469" s="9"/>
      <c r="DD469" s="65"/>
      <c r="DE469" s="105">
        <v>465</v>
      </c>
    </row>
    <row r="470" spans="1:109" outlineLevel="1" x14ac:dyDescent="0.2">
      <c r="A470" s="4"/>
      <c r="B470" s="115" t="str">
        <f>IF(_xlfn.XLOOKUP(A470, AutoFill_names!B:B, AutoFill_names!C:C,"")=0,"",_xlfn.XLOOKUP(A470, AutoFill_names!B:B, AutoFill_names!C:C,""))</f>
        <v/>
      </c>
      <c r="C470" s="115" t="str">
        <f>IF(_xlfn.XLOOKUP(A470, AutoFill_names!B:B, AutoFill_names!D:D,"")=0,"",_xlfn.XLOOKUP(A470, AutoFill_names!B:B, AutoFill_names!D:D,""))</f>
        <v/>
      </c>
      <c r="D470" s="115" t="str">
        <f>IF(_xlfn.XLOOKUP(A470, AutoFill_names!B:B, AutoFill_names!E:E,"")=0,"",_xlfn.XLOOKUP(A470, AutoFill_names!B:B, AutoFill_names!E:E,""))</f>
        <v/>
      </c>
      <c r="E470" s="115" t="str">
        <f>IF(_xlfn.XLOOKUP(A470, AutoFill_names!B:B, AutoFill_names!F:F,"")=0,"",_xlfn.XLOOKUP(A470, AutoFill_names!B:B, AutoFill_names!F:F,""))</f>
        <v/>
      </c>
      <c r="F470" s="92"/>
      <c r="G470" s="1"/>
      <c r="H470" s="1"/>
      <c r="I470" s="1"/>
      <c r="J470" s="115" t="str">
        <f>IF(_xlfn.XLOOKUP(A470, AutoFill_names!B:B, AutoFill_names!K:K,"")=0,"",_xlfn.XLOOKUP(A470, AutoFill_names!B:B, AutoFill_names!K:K,""))</f>
        <v/>
      </c>
      <c r="K470" s="115" t="str">
        <f>IF(_xlfn.XLOOKUP(A470, AutoFill_names!B:B, AutoFill_names!L:L,"")=0,"",_xlfn.XLOOKUP(A470, AutoFill_names!B:B, AutoFill_names!L:L,""))</f>
        <v/>
      </c>
      <c r="L470" s="5"/>
      <c r="M470" s="5"/>
      <c r="N470" s="117" t="str">
        <f>IF(_xlfn.XLOOKUP(L470, AutoFill_classes!A:A, AutoFill_classes!B:B,"")=0,"",_xlfn.XLOOKUP(L470, AutoFill_classes!A:A, AutoFill_classes!B:B,""))</f>
        <v/>
      </c>
      <c r="O470" s="108"/>
      <c r="P470" s="8"/>
      <c r="Q470" s="8"/>
      <c r="R470" s="8"/>
      <c r="S470" s="4"/>
      <c r="T470" s="4"/>
      <c r="U470" s="4"/>
      <c r="V470" s="4"/>
      <c r="W470" s="4"/>
      <c r="X470" s="64"/>
      <c r="Y470" s="25"/>
      <c r="Z470" s="121" t="str">
        <f t="shared" si="405"/>
        <v/>
      </c>
      <c r="AA470" s="26"/>
      <c r="AB470" s="26"/>
      <c r="AC470" s="28"/>
      <c r="AD470" s="28"/>
      <c r="AE470" s="125" t="str">
        <f t="shared" si="406"/>
        <v/>
      </c>
      <c r="AF470" s="9"/>
      <c r="AG470" s="125" t="str">
        <f t="shared" si="407"/>
        <v/>
      </c>
      <c r="AH470" s="28"/>
      <c r="AI470" s="28"/>
      <c r="AJ470" s="125" t="str">
        <f t="shared" si="408"/>
        <v/>
      </c>
      <c r="AK470" s="9"/>
      <c r="AL470" s="125" t="str">
        <f t="shared" si="409"/>
        <v/>
      </c>
      <c r="AM470" s="28"/>
      <c r="AN470" s="28"/>
      <c r="AO470" s="125" t="str">
        <f t="shared" si="410"/>
        <v/>
      </c>
      <c r="AP470" s="125" t="str">
        <f t="shared" si="411"/>
        <v/>
      </c>
      <c r="AQ470" s="125" t="str">
        <f t="shared" si="412"/>
        <v/>
      </c>
      <c r="AR470" s="129" t="str">
        <f t="shared" si="413"/>
        <v/>
      </c>
      <c r="AS470" s="9"/>
      <c r="AT470" s="34"/>
      <c r="AU470" s="34"/>
      <c r="AV470" s="117" t="str">
        <f>IF(_xlfn.XLOOKUP(AT470, AutoFill_classes!$A:$A, AutoFill_classes!$B:$B,"")=0,"",_xlfn.XLOOKUP(AT470, AutoFill_classes!$A:$A, AutoFill_classes!$B:$B,""))</f>
        <v/>
      </c>
      <c r="AW470" s="108"/>
      <c r="AX470" s="9"/>
      <c r="AY470" s="10"/>
      <c r="AZ470" s="9"/>
      <c r="BA470" s="10"/>
      <c r="BB470" s="10"/>
      <c r="BC470" s="64"/>
      <c r="BD470" s="25"/>
      <c r="BE470" s="121" t="str">
        <f t="shared" si="414"/>
        <v/>
      </c>
      <c r="BF470" s="20"/>
      <c r="BG470" s="20"/>
      <c r="BH470" s="24"/>
      <c r="BI470" s="24"/>
      <c r="BJ470" s="125" t="str">
        <f t="shared" si="415"/>
        <v/>
      </c>
      <c r="BK470" s="14"/>
      <c r="BL470" s="125" t="str">
        <f t="shared" si="416"/>
        <v/>
      </c>
      <c r="BM470" s="24"/>
      <c r="BN470" s="24"/>
      <c r="BO470" s="125" t="str">
        <f t="shared" si="417"/>
        <v/>
      </c>
      <c r="BP470" s="14"/>
      <c r="BQ470" s="125" t="str">
        <f t="shared" si="418"/>
        <v/>
      </c>
      <c r="BR470" s="24"/>
      <c r="BS470" s="24"/>
      <c r="BT470" s="125" t="str">
        <f t="shared" si="419"/>
        <v/>
      </c>
      <c r="BU470" s="125" t="str">
        <f t="shared" si="420"/>
        <v/>
      </c>
      <c r="BV470" s="125" t="str">
        <f t="shared" si="421"/>
        <v/>
      </c>
      <c r="BW470" s="129" t="str">
        <f t="shared" si="422"/>
        <v/>
      </c>
      <c r="BX470" s="9"/>
      <c r="BY470" s="9"/>
      <c r="BZ470" s="9"/>
      <c r="CA470" s="117" t="str">
        <f>IF(_xlfn.XLOOKUP(BY470, AutoFill_classes!$A:$A, AutoFill_classes!$B:$B,"")=0,"",_xlfn.XLOOKUP(BY470, AutoFill_classes!$A:$A, AutoFill_classes!$B:$B,""))</f>
        <v/>
      </c>
      <c r="CB470" s="108"/>
      <c r="CC470" s="9"/>
      <c r="CD470" s="9"/>
      <c r="CE470" s="9"/>
      <c r="CF470" s="4"/>
      <c r="CG470" s="25"/>
      <c r="CH470" s="64"/>
      <c r="CI470" s="27"/>
      <c r="CJ470" s="121" t="str">
        <f t="shared" si="423"/>
        <v/>
      </c>
      <c r="CK470" s="20"/>
      <c r="CL470" s="20"/>
      <c r="CM470" s="24"/>
      <c r="CN470" s="24"/>
      <c r="CO470" s="125" t="str">
        <f t="shared" si="424"/>
        <v/>
      </c>
      <c r="CP470" s="14"/>
      <c r="CQ470" s="125" t="str">
        <f t="shared" si="425"/>
        <v/>
      </c>
      <c r="CR470" s="24"/>
      <c r="CS470" s="24"/>
      <c r="CT470" s="125" t="str">
        <f t="shared" si="426"/>
        <v/>
      </c>
      <c r="CU470" s="14"/>
      <c r="CV470" s="125" t="str">
        <f t="shared" si="427"/>
        <v/>
      </c>
      <c r="CW470" s="24"/>
      <c r="CX470" s="24"/>
      <c r="CY470" s="125" t="str">
        <f t="shared" si="428"/>
        <v/>
      </c>
      <c r="CZ470" s="125" t="str">
        <f t="shared" si="429"/>
        <v/>
      </c>
      <c r="DA470" s="125" t="str">
        <f t="shared" si="430"/>
        <v/>
      </c>
      <c r="DB470" s="129" t="str">
        <f t="shared" si="431"/>
        <v/>
      </c>
      <c r="DC470" s="9"/>
      <c r="DD470" s="65"/>
      <c r="DE470" s="105">
        <v>466</v>
      </c>
    </row>
    <row r="471" spans="1:109" outlineLevel="1" x14ac:dyDescent="0.2">
      <c r="A471" s="4"/>
      <c r="B471" s="115" t="str">
        <f>IF(_xlfn.XLOOKUP(A471, AutoFill_names!B:B, AutoFill_names!C:C,"")=0,"",_xlfn.XLOOKUP(A471, AutoFill_names!B:B, AutoFill_names!C:C,""))</f>
        <v/>
      </c>
      <c r="C471" s="115" t="str">
        <f>IF(_xlfn.XLOOKUP(A471, AutoFill_names!B:B, AutoFill_names!D:D,"")=0,"",_xlfn.XLOOKUP(A471, AutoFill_names!B:B, AutoFill_names!D:D,""))</f>
        <v/>
      </c>
      <c r="D471" s="115" t="str">
        <f>IF(_xlfn.XLOOKUP(A471, AutoFill_names!B:B, AutoFill_names!E:E,"")=0,"",_xlfn.XLOOKUP(A471, AutoFill_names!B:B, AutoFill_names!E:E,""))</f>
        <v/>
      </c>
      <c r="E471" s="115" t="str">
        <f>IF(_xlfn.XLOOKUP(A471, AutoFill_names!B:B, AutoFill_names!F:F,"")=0,"",_xlfn.XLOOKUP(A471, AutoFill_names!B:B, AutoFill_names!F:F,""))</f>
        <v/>
      </c>
      <c r="F471" s="92"/>
      <c r="G471" s="1"/>
      <c r="H471" s="1"/>
      <c r="I471" s="1"/>
      <c r="J471" s="115" t="str">
        <f>IF(_xlfn.XLOOKUP(A471, AutoFill_names!B:B, AutoFill_names!K:K,"")=0,"",_xlfn.XLOOKUP(A471, AutoFill_names!B:B, AutoFill_names!K:K,""))</f>
        <v/>
      </c>
      <c r="K471" s="115" t="str">
        <f>IF(_xlfn.XLOOKUP(A471, AutoFill_names!B:B, AutoFill_names!L:L,"")=0,"",_xlfn.XLOOKUP(A471, AutoFill_names!B:B, AutoFill_names!L:L,""))</f>
        <v/>
      </c>
      <c r="L471" s="5"/>
      <c r="M471" s="5"/>
      <c r="N471" s="117" t="str">
        <f>IF(_xlfn.XLOOKUP(L471, AutoFill_classes!A:A, AutoFill_classes!B:B,"")=0,"",_xlfn.XLOOKUP(L471, AutoFill_classes!A:A, AutoFill_classes!B:B,""))</f>
        <v/>
      </c>
      <c r="O471" s="108"/>
      <c r="P471" s="8"/>
      <c r="Q471" s="8"/>
      <c r="R471" s="8"/>
      <c r="S471" s="4"/>
      <c r="T471" s="4"/>
      <c r="U471" s="4"/>
      <c r="V471" s="4"/>
      <c r="W471" s="4"/>
      <c r="X471" s="64"/>
      <c r="Y471" s="25"/>
      <c r="Z471" s="121" t="str">
        <f t="shared" si="405"/>
        <v/>
      </c>
      <c r="AA471" s="26"/>
      <c r="AB471" s="26"/>
      <c r="AC471" s="28"/>
      <c r="AD471" s="28"/>
      <c r="AE471" s="125" t="str">
        <f t="shared" si="406"/>
        <v/>
      </c>
      <c r="AF471" s="9"/>
      <c r="AG471" s="125" t="str">
        <f t="shared" si="407"/>
        <v/>
      </c>
      <c r="AH471" s="28"/>
      <c r="AI471" s="28"/>
      <c r="AJ471" s="125" t="str">
        <f t="shared" si="408"/>
        <v/>
      </c>
      <c r="AK471" s="9"/>
      <c r="AL471" s="125" t="str">
        <f t="shared" si="409"/>
        <v/>
      </c>
      <c r="AM471" s="28"/>
      <c r="AN471" s="28"/>
      <c r="AO471" s="125" t="str">
        <f t="shared" si="410"/>
        <v/>
      </c>
      <c r="AP471" s="125" t="str">
        <f t="shared" si="411"/>
        <v/>
      </c>
      <c r="AQ471" s="125" t="str">
        <f t="shared" si="412"/>
        <v/>
      </c>
      <c r="AR471" s="129" t="str">
        <f t="shared" si="413"/>
        <v/>
      </c>
      <c r="AS471" s="9"/>
      <c r="AT471" s="34"/>
      <c r="AU471" s="34"/>
      <c r="AV471" s="117" t="str">
        <f>IF(_xlfn.XLOOKUP(AT471, AutoFill_classes!$A:$A, AutoFill_classes!$B:$B,"")=0,"",_xlfn.XLOOKUP(AT471, AutoFill_classes!$A:$A, AutoFill_classes!$B:$B,""))</f>
        <v/>
      </c>
      <c r="AW471" s="108"/>
      <c r="AX471" s="9"/>
      <c r="AY471" s="10"/>
      <c r="AZ471" s="9"/>
      <c r="BA471" s="10"/>
      <c r="BB471" s="10"/>
      <c r="BC471" s="64"/>
      <c r="BD471" s="25"/>
      <c r="BE471" s="121" t="str">
        <f t="shared" si="414"/>
        <v/>
      </c>
      <c r="BF471" s="20"/>
      <c r="BG471" s="20"/>
      <c r="BH471" s="24"/>
      <c r="BI471" s="24"/>
      <c r="BJ471" s="125" t="str">
        <f t="shared" si="415"/>
        <v/>
      </c>
      <c r="BK471" s="14"/>
      <c r="BL471" s="125" t="str">
        <f t="shared" si="416"/>
        <v/>
      </c>
      <c r="BM471" s="24"/>
      <c r="BN471" s="24"/>
      <c r="BO471" s="125" t="str">
        <f t="shared" si="417"/>
        <v/>
      </c>
      <c r="BP471" s="14"/>
      <c r="BQ471" s="125" t="str">
        <f t="shared" si="418"/>
        <v/>
      </c>
      <c r="BR471" s="24"/>
      <c r="BS471" s="24"/>
      <c r="BT471" s="125" t="str">
        <f t="shared" si="419"/>
        <v/>
      </c>
      <c r="BU471" s="125" t="str">
        <f t="shared" si="420"/>
        <v/>
      </c>
      <c r="BV471" s="125" t="str">
        <f t="shared" si="421"/>
        <v/>
      </c>
      <c r="BW471" s="129" t="str">
        <f t="shared" si="422"/>
        <v/>
      </c>
      <c r="BX471" s="9"/>
      <c r="BY471" s="9"/>
      <c r="BZ471" s="9"/>
      <c r="CA471" s="117" t="str">
        <f>IF(_xlfn.XLOOKUP(BY471, AutoFill_classes!$A:$A, AutoFill_classes!$B:$B,"")=0,"",_xlfn.XLOOKUP(BY471, AutoFill_classes!$A:$A, AutoFill_classes!$B:$B,""))</f>
        <v/>
      </c>
      <c r="CB471" s="108"/>
      <c r="CC471" s="9"/>
      <c r="CD471" s="9"/>
      <c r="CE471" s="9"/>
      <c r="CF471" s="4"/>
      <c r="CG471" s="25"/>
      <c r="CH471" s="64"/>
      <c r="CI471" s="27"/>
      <c r="CJ471" s="121" t="str">
        <f t="shared" si="423"/>
        <v/>
      </c>
      <c r="CK471" s="20"/>
      <c r="CL471" s="20"/>
      <c r="CM471" s="24"/>
      <c r="CN471" s="24"/>
      <c r="CO471" s="125" t="str">
        <f t="shared" si="424"/>
        <v/>
      </c>
      <c r="CP471" s="14"/>
      <c r="CQ471" s="125" t="str">
        <f t="shared" si="425"/>
        <v/>
      </c>
      <c r="CR471" s="24"/>
      <c r="CS471" s="24"/>
      <c r="CT471" s="125" t="str">
        <f t="shared" si="426"/>
        <v/>
      </c>
      <c r="CU471" s="14"/>
      <c r="CV471" s="125" t="str">
        <f t="shared" si="427"/>
        <v/>
      </c>
      <c r="CW471" s="24"/>
      <c r="CX471" s="24"/>
      <c r="CY471" s="125" t="str">
        <f t="shared" si="428"/>
        <v/>
      </c>
      <c r="CZ471" s="125" t="str">
        <f t="shared" si="429"/>
        <v/>
      </c>
      <c r="DA471" s="125" t="str">
        <f t="shared" si="430"/>
        <v/>
      </c>
      <c r="DB471" s="129" t="str">
        <f t="shared" si="431"/>
        <v/>
      </c>
      <c r="DC471" s="9"/>
      <c r="DD471" s="65"/>
      <c r="DE471" s="105">
        <v>467</v>
      </c>
    </row>
    <row r="472" spans="1:109" outlineLevel="1" x14ac:dyDescent="0.2">
      <c r="A472" s="4"/>
      <c r="B472" s="115" t="str">
        <f>IF(_xlfn.XLOOKUP(A472, AutoFill_names!B:B, AutoFill_names!C:C,"")=0,"",_xlfn.XLOOKUP(A472, AutoFill_names!B:B, AutoFill_names!C:C,""))</f>
        <v/>
      </c>
      <c r="C472" s="115" t="str">
        <f>IF(_xlfn.XLOOKUP(A472, AutoFill_names!B:B, AutoFill_names!D:D,"")=0,"",_xlfn.XLOOKUP(A472, AutoFill_names!B:B, AutoFill_names!D:D,""))</f>
        <v/>
      </c>
      <c r="D472" s="115" t="str">
        <f>IF(_xlfn.XLOOKUP(A472, AutoFill_names!B:B, AutoFill_names!E:E,"")=0,"",_xlfn.XLOOKUP(A472, AutoFill_names!B:B, AutoFill_names!E:E,""))</f>
        <v/>
      </c>
      <c r="E472" s="115" t="str">
        <f>IF(_xlfn.XLOOKUP(A472, AutoFill_names!B:B, AutoFill_names!F:F,"")=0,"",_xlfn.XLOOKUP(A472, AutoFill_names!B:B, AutoFill_names!F:F,""))</f>
        <v/>
      </c>
      <c r="F472" s="92"/>
      <c r="G472" s="1"/>
      <c r="H472" s="1"/>
      <c r="I472" s="1"/>
      <c r="J472" s="115" t="str">
        <f>IF(_xlfn.XLOOKUP(A472, AutoFill_names!B:B, AutoFill_names!K:K,"")=0,"",_xlfn.XLOOKUP(A472, AutoFill_names!B:B, AutoFill_names!K:K,""))</f>
        <v/>
      </c>
      <c r="K472" s="115" t="str">
        <f>IF(_xlfn.XLOOKUP(A472, AutoFill_names!B:B, AutoFill_names!L:L,"")=0,"",_xlfn.XLOOKUP(A472, AutoFill_names!B:B, AutoFill_names!L:L,""))</f>
        <v/>
      </c>
      <c r="L472" s="5"/>
      <c r="M472" s="5"/>
      <c r="N472" s="117" t="str">
        <f>IF(_xlfn.XLOOKUP(L472, AutoFill_classes!A:A, AutoFill_classes!B:B,"")=0,"",_xlfn.XLOOKUP(L472, AutoFill_classes!A:A, AutoFill_classes!B:B,""))</f>
        <v/>
      </c>
      <c r="O472" s="108"/>
      <c r="P472" s="8"/>
      <c r="Q472" s="8"/>
      <c r="R472" s="8"/>
      <c r="S472" s="4"/>
      <c r="T472" s="4"/>
      <c r="U472" s="4"/>
      <c r="V472" s="4"/>
      <c r="W472" s="4"/>
      <c r="X472" s="64"/>
      <c r="Y472" s="25"/>
      <c r="Z472" s="121" t="str">
        <f t="shared" si="405"/>
        <v/>
      </c>
      <c r="AA472" s="26"/>
      <c r="AB472" s="26"/>
      <c r="AC472" s="28"/>
      <c r="AD472" s="28"/>
      <c r="AE472" s="125" t="str">
        <f t="shared" si="406"/>
        <v/>
      </c>
      <c r="AF472" s="9"/>
      <c r="AG472" s="125" t="str">
        <f t="shared" si="407"/>
        <v/>
      </c>
      <c r="AH472" s="28"/>
      <c r="AI472" s="28"/>
      <c r="AJ472" s="125" t="str">
        <f t="shared" si="408"/>
        <v/>
      </c>
      <c r="AK472" s="9"/>
      <c r="AL472" s="125" t="str">
        <f t="shared" si="409"/>
        <v/>
      </c>
      <c r="AM472" s="28"/>
      <c r="AN472" s="28"/>
      <c r="AO472" s="125" t="str">
        <f t="shared" si="410"/>
        <v/>
      </c>
      <c r="AP472" s="125" t="str">
        <f t="shared" si="411"/>
        <v/>
      </c>
      <c r="AQ472" s="125" t="str">
        <f t="shared" si="412"/>
        <v/>
      </c>
      <c r="AR472" s="129" t="str">
        <f t="shared" si="413"/>
        <v/>
      </c>
      <c r="AS472" s="9"/>
      <c r="AT472" s="34"/>
      <c r="AU472" s="34"/>
      <c r="AV472" s="117" t="str">
        <f>IF(_xlfn.XLOOKUP(AT472, AutoFill_classes!$A:$A, AutoFill_classes!$B:$B,"")=0,"",_xlfn.XLOOKUP(AT472, AutoFill_classes!$A:$A, AutoFill_classes!$B:$B,""))</f>
        <v/>
      </c>
      <c r="AW472" s="108"/>
      <c r="AX472" s="9"/>
      <c r="AY472" s="10"/>
      <c r="AZ472" s="9"/>
      <c r="BA472" s="10"/>
      <c r="BB472" s="10"/>
      <c r="BC472" s="64"/>
      <c r="BD472" s="25"/>
      <c r="BE472" s="121" t="str">
        <f t="shared" si="414"/>
        <v/>
      </c>
      <c r="BF472" s="20"/>
      <c r="BG472" s="20"/>
      <c r="BH472" s="24"/>
      <c r="BI472" s="24"/>
      <c r="BJ472" s="125" t="str">
        <f t="shared" si="415"/>
        <v/>
      </c>
      <c r="BK472" s="14"/>
      <c r="BL472" s="125" t="str">
        <f t="shared" si="416"/>
        <v/>
      </c>
      <c r="BM472" s="24"/>
      <c r="BN472" s="24"/>
      <c r="BO472" s="125" t="str">
        <f t="shared" si="417"/>
        <v/>
      </c>
      <c r="BP472" s="14"/>
      <c r="BQ472" s="125" t="str">
        <f t="shared" si="418"/>
        <v/>
      </c>
      <c r="BR472" s="24"/>
      <c r="BS472" s="24"/>
      <c r="BT472" s="125" t="str">
        <f t="shared" si="419"/>
        <v/>
      </c>
      <c r="BU472" s="125" t="str">
        <f t="shared" si="420"/>
        <v/>
      </c>
      <c r="BV472" s="125" t="str">
        <f t="shared" si="421"/>
        <v/>
      </c>
      <c r="BW472" s="129" t="str">
        <f t="shared" si="422"/>
        <v/>
      </c>
      <c r="BX472" s="9"/>
      <c r="BY472" s="9"/>
      <c r="BZ472" s="9"/>
      <c r="CA472" s="117" t="str">
        <f>IF(_xlfn.XLOOKUP(BY472, AutoFill_classes!$A:$A, AutoFill_classes!$B:$B,"")=0,"",_xlfn.XLOOKUP(BY472, AutoFill_classes!$A:$A, AutoFill_classes!$B:$B,""))</f>
        <v/>
      </c>
      <c r="CB472" s="108"/>
      <c r="CC472" s="9"/>
      <c r="CD472" s="9"/>
      <c r="CE472" s="9"/>
      <c r="CF472" s="4"/>
      <c r="CG472" s="25"/>
      <c r="CH472" s="64"/>
      <c r="CI472" s="27"/>
      <c r="CJ472" s="121" t="str">
        <f t="shared" si="423"/>
        <v/>
      </c>
      <c r="CK472" s="20"/>
      <c r="CL472" s="20"/>
      <c r="CM472" s="24"/>
      <c r="CN472" s="24"/>
      <c r="CO472" s="125" t="str">
        <f t="shared" si="424"/>
        <v/>
      </c>
      <c r="CP472" s="14"/>
      <c r="CQ472" s="125" t="str">
        <f t="shared" si="425"/>
        <v/>
      </c>
      <c r="CR472" s="24"/>
      <c r="CS472" s="24"/>
      <c r="CT472" s="125" t="str">
        <f t="shared" si="426"/>
        <v/>
      </c>
      <c r="CU472" s="14"/>
      <c r="CV472" s="125" t="str">
        <f t="shared" si="427"/>
        <v/>
      </c>
      <c r="CW472" s="24"/>
      <c r="CX472" s="24"/>
      <c r="CY472" s="125" t="str">
        <f t="shared" si="428"/>
        <v/>
      </c>
      <c r="CZ472" s="125" t="str">
        <f t="shared" si="429"/>
        <v/>
      </c>
      <c r="DA472" s="125" t="str">
        <f t="shared" si="430"/>
        <v/>
      </c>
      <c r="DB472" s="129" t="str">
        <f t="shared" si="431"/>
        <v/>
      </c>
      <c r="DC472" s="9"/>
      <c r="DD472" s="65"/>
      <c r="DE472" s="105">
        <v>468</v>
      </c>
    </row>
    <row r="473" spans="1:109" outlineLevel="1" x14ac:dyDescent="0.2">
      <c r="A473" s="4"/>
      <c r="B473" s="115" t="str">
        <f>IF(_xlfn.XLOOKUP(A473, AutoFill_names!B:B, AutoFill_names!C:C,"")=0,"",_xlfn.XLOOKUP(A473, AutoFill_names!B:B, AutoFill_names!C:C,""))</f>
        <v/>
      </c>
      <c r="C473" s="115" t="str">
        <f>IF(_xlfn.XLOOKUP(A473, AutoFill_names!B:B, AutoFill_names!D:D,"")=0,"",_xlfn.XLOOKUP(A473, AutoFill_names!B:B, AutoFill_names!D:D,""))</f>
        <v/>
      </c>
      <c r="D473" s="115" t="str">
        <f>IF(_xlfn.XLOOKUP(A473, AutoFill_names!B:B, AutoFill_names!E:E,"")=0,"",_xlfn.XLOOKUP(A473, AutoFill_names!B:B, AutoFill_names!E:E,""))</f>
        <v/>
      </c>
      <c r="E473" s="115" t="str">
        <f>IF(_xlfn.XLOOKUP(A473, AutoFill_names!B:B, AutoFill_names!F:F,"")=0,"",_xlfn.XLOOKUP(A473, AutoFill_names!B:B, AutoFill_names!F:F,""))</f>
        <v/>
      </c>
      <c r="F473" s="92"/>
      <c r="G473" s="1"/>
      <c r="H473" s="1"/>
      <c r="I473" s="1"/>
      <c r="J473" s="115" t="str">
        <f>IF(_xlfn.XLOOKUP(A473, AutoFill_names!B:B, AutoFill_names!K:K,"")=0,"",_xlfn.XLOOKUP(A473, AutoFill_names!B:B, AutoFill_names!K:K,""))</f>
        <v/>
      </c>
      <c r="K473" s="115" t="str">
        <f>IF(_xlfn.XLOOKUP(A473, AutoFill_names!B:B, AutoFill_names!L:L,"")=0,"",_xlfn.XLOOKUP(A473, AutoFill_names!B:B, AutoFill_names!L:L,""))</f>
        <v/>
      </c>
      <c r="L473" s="5"/>
      <c r="M473" s="5"/>
      <c r="N473" s="117" t="str">
        <f>IF(_xlfn.XLOOKUP(L473, AutoFill_classes!A:A, AutoFill_classes!B:B,"")=0,"",_xlfn.XLOOKUP(L473, AutoFill_classes!A:A, AutoFill_classes!B:B,""))</f>
        <v/>
      </c>
      <c r="O473" s="108"/>
      <c r="P473" s="8"/>
      <c r="Q473" s="8"/>
      <c r="R473" s="8"/>
      <c r="S473" s="4"/>
      <c r="T473" s="4"/>
      <c r="U473" s="4"/>
      <c r="V473" s="4"/>
      <c r="W473" s="4"/>
      <c r="X473" s="64"/>
      <c r="Y473" s="25"/>
      <c r="Z473" s="121" t="str">
        <f t="shared" si="405"/>
        <v/>
      </c>
      <c r="AA473" s="26"/>
      <c r="AB473" s="26"/>
      <c r="AC473" s="28"/>
      <c r="AD473" s="28"/>
      <c r="AE473" s="125" t="str">
        <f t="shared" si="406"/>
        <v/>
      </c>
      <c r="AF473" s="9"/>
      <c r="AG473" s="125" t="str">
        <f t="shared" si="407"/>
        <v/>
      </c>
      <c r="AH473" s="28"/>
      <c r="AI473" s="28"/>
      <c r="AJ473" s="125" t="str">
        <f t="shared" si="408"/>
        <v/>
      </c>
      <c r="AK473" s="9"/>
      <c r="AL473" s="125" t="str">
        <f t="shared" si="409"/>
        <v/>
      </c>
      <c r="AM473" s="28"/>
      <c r="AN473" s="28"/>
      <c r="AO473" s="125" t="str">
        <f t="shared" si="410"/>
        <v/>
      </c>
      <c r="AP473" s="125" t="str">
        <f t="shared" si="411"/>
        <v/>
      </c>
      <c r="AQ473" s="125" t="str">
        <f t="shared" si="412"/>
        <v/>
      </c>
      <c r="AR473" s="129" t="str">
        <f t="shared" si="413"/>
        <v/>
      </c>
      <c r="AS473" s="9"/>
      <c r="AT473" s="34"/>
      <c r="AU473" s="34"/>
      <c r="AV473" s="117" t="str">
        <f>IF(_xlfn.XLOOKUP(AT473, AutoFill_classes!$A:$A, AutoFill_classes!$B:$B,"")=0,"",_xlfn.XLOOKUP(AT473, AutoFill_classes!$A:$A, AutoFill_classes!$B:$B,""))</f>
        <v/>
      </c>
      <c r="AW473" s="108"/>
      <c r="AX473" s="9"/>
      <c r="AY473" s="10"/>
      <c r="AZ473" s="9"/>
      <c r="BA473" s="10"/>
      <c r="BB473" s="10"/>
      <c r="BC473" s="64"/>
      <c r="BD473" s="25"/>
      <c r="BE473" s="121" t="str">
        <f t="shared" si="414"/>
        <v/>
      </c>
      <c r="BF473" s="20"/>
      <c r="BG473" s="20"/>
      <c r="BH473" s="24"/>
      <c r="BI473" s="24"/>
      <c r="BJ473" s="125" t="str">
        <f t="shared" si="415"/>
        <v/>
      </c>
      <c r="BK473" s="14"/>
      <c r="BL473" s="125" t="str">
        <f t="shared" si="416"/>
        <v/>
      </c>
      <c r="BM473" s="24"/>
      <c r="BN473" s="24"/>
      <c r="BO473" s="125" t="str">
        <f t="shared" si="417"/>
        <v/>
      </c>
      <c r="BP473" s="14"/>
      <c r="BQ473" s="125" t="str">
        <f t="shared" si="418"/>
        <v/>
      </c>
      <c r="BR473" s="24"/>
      <c r="BS473" s="24"/>
      <c r="BT473" s="125" t="str">
        <f t="shared" si="419"/>
        <v/>
      </c>
      <c r="BU473" s="125" t="str">
        <f t="shared" si="420"/>
        <v/>
      </c>
      <c r="BV473" s="125" t="str">
        <f t="shared" si="421"/>
        <v/>
      </c>
      <c r="BW473" s="129" t="str">
        <f t="shared" si="422"/>
        <v/>
      </c>
      <c r="BX473" s="9"/>
      <c r="BY473" s="9"/>
      <c r="BZ473" s="9"/>
      <c r="CA473" s="117" t="str">
        <f>IF(_xlfn.XLOOKUP(BY473, AutoFill_classes!$A:$A, AutoFill_classes!$B:$B,"")=0,"",_xlfn.XLOOKUP(BY473, AutoFill_classes!$A:$A, AutoFill_classes!$B:$B,""))</f>
        <v/>
      </c>
      <c r="CB473" s="108"/>
      <c r="CC473" s="9"/>
      <c r="CD473" s="9"/>
      <c r="CE473" s="9"/>
      <c r="CF473" s="4"/>
      <c r="CG473" s="25"/>
      <c r="CH473" s="64"/>
      <c r="CI473" s="27"/>
      <c r="CJ473" s="121" t="str">
        <f t="shared" si="423"/>
        <v/>
      </c>
      <c r="CK473" s="20"/>
      <c r="CL473" s="20"/>
      <c r="CM473" s="24"/>
      <c r="CN473" s="24"/>
      <c r="CO473" s="125" t="str">
        <f t="shared" si="424"/>
        <v/>
      </c>
      <c r="CP473" s="14"/>
      <c r="CQ473" s="125" t="str">
        <f t="shared" si="425"/>
        <v/>
      </c>
      <c r="CR473" s="24"/>
      <c r="CS473" s="24"/>
      <c r="CT473" s="125" t="str">
        <f t="shared" si="426"/>
        <v/>
      </c>
      <c r="CU473" s="14"/>
      <c r="CV473" s="125" t="str">
        <f t="shared" si="427"/>
        <v/>
      </c>
      <c r="CW473" s="24"/>
      <c r="CX473" s="24"/>
      <c r="CY473" s="125" t="str">
        <f t="shared" si="428"/>
        <v/>
      </c>
      <c r="CZ473" s="125" t="str">
        <f t="shared" si="429"/>
        <v/>
      </c>
      <c r="DA473" s="125" t="str">
        <f t="shared" si="430"/>
        <v/>
      </c>
      <c r="DB473" s="129" t="str">
        <f t="shared" si="431"/>
        <v/>
      </c>
      <c r="DC473" s="9"/>
      <c r="DD473" s="65"/>
      <c r="DE473" s="105">
        <v>469</v>
      </c>
    </row>
    <row r="474" spans="1:109" outlineLevel="1" x14ac:dyDescent="0.2">
      <c r="A474" s="4"/>
      <c r="B474" s="115" t="str">
        <f>IF(_xlfn.XLOOKUP(A474, AutoFill_names!B:B, AutoFill_names!C:C,"")=0,"",_xlfn.XLOOKUP(A474, AutoFill_names!B:B, AutoFill_names!C:C,""))</f>
        <v/>
      </c>
      <c r="C474" s="115" t="str">
        <f>IF(_xlfn.XLOOKUP(A474, AutoFill_names!B:B, AutoFill_names!D:D,"")=0,"",_xlfn.XLOOKUP(A474, AutoFill_names!B:B, AutoFill_names!D:D,""))</f>
        <v/>
      </c>
      <c r="D474" s="115" t="str">
        <f>IF(_xlfn.XLOOKUP(A474, AutoFill_names!B:B, AutoFill_names!E:E,"")=0,"",_xlfn.XLOOKUP(A474, AutoFill_names!B:B, AutoFill_names!E:E,""))</f>
        <v/>
      </c>
      <c r="E474" s="115" t="str">
        <f>IF(_xlfn.XLOOKUP(A474, AutoFill_names!B:B, AutoFill_names!F:F,"")=0,"",_xlfn.XLOOKUP(A474, AutoFill_names!B:B, AutoFill_names!F:F,""))</f>
        <v/>
      </c>
      <c r="F474" s="92"/>
      <c r="G474" s="1"/>
      <c r="H474" s="1"/>
      <c r="I474" s="1"/>
      <c r="J474" s="115" t="str">
        <f>IF(_xlfn.XLOOKUP(A474, AutoFill_names!B:B, AutoFill_names!K:K,"")=0,"",_xlfn.XLOOKUP(A474, AutoFill_names!B:B, AutoFill_names!K:K,""))</f>
        <v/>
      </c>
      <c r="K474" s="115" t="str">
        <f>IF(_xlfn.XLOOKUP(A474, AutoFill_names!B:B, AutoFill_names!L:L,"")=0,"",_xlfn.XLOOKUP(A474, AutoFill_names!B:B, AutoFill_names!L:L,""))</f>
        <v/>
      </c>
      <c r="L474" s="5"/>
      <c r="M474" s="5"/>
      <c r="N474" s="117" t="str">
        <f>IF(_xlfn.XLOOKUP(L474, AutoFill_classes!A:A, AutoFill_classes!B:B,"")=0,"",_xlfn.XLOOKUP(L474, AutoFill_classes!A:A, AutoFill_classes!B:B,""))</f>
        <v/>
      </c>
      <c r="O474" s="108"/>
      <c r="P474" s="8"/>
      <c r="Q474" s="8"/>
      <c r="R474" s="8"/>
      <c r="S474" s="4"/>
      <c r="T474" s="4"/>
      <c r="U474" s="4"/>
      <c r="V474" s="4"/>
      <c r="W474" s="4"/>
      <c r="X474" s="64"/>
      <c r="Y474" s="25"/>
      <c r="Z474" s="121" t="str">
        <f t="shared" si="405"/>
        <v/>
      </c>
      <c r="AA474" s="26"/>
      <c r="AB474" s="26"/>
      <c r="AC474" s="28"/>
      <c r="AD474" s="28"/>
      <c r="AE474" s="125" t="str">
        <f t="shared" si="406"/>
        <v/>
      </c>
      <c r="AF474" s="9"/>
      <c r="AG474" s="125" t="str">
        <f t="shared" si="407"/>
        <v/>
      </c>
      <c r="AH474" s="28"/>
      <c r="AI474" s="28"/>
      <c r="AJ474" s="125" t="str">
        <f t="shared" si="408"/>
        <v/>
      </c>
      <c r="AK474" s="9"/>
      <c r="AL474" s="125" t="str">
        <f t="shared" si="409"/>
        <v/>
      </c>
      <c r="AM474" s="28"/>
      <c r="AN474" s="28"/>
      <c r="AO474" s="125" t="str">
        <f t="shared" si="410"/>
        <v/>
      </c>
      <c r="AP474" s="125" t="str">
        <f t="shared" si="411"/>
        <v/>
      </c>
      <c r="AQ474" s="125" t="str">
        <f t="shared" si="412"/>
        <v/>
      </c>
      <c r="AR474" s="129" t="str">
        <f t="shared" si="413"/>
        <v/>
      </c>
      <c r="AS474" s="9"/>
      <c r="AT474" s="34"/>
      <c r="AU474" s="34"/>
      <c r="AV474" s="117" t="str">
        <f>IF(_xlfn.XLOOKUP(AT474, AutoFill_classes!$A:$A, AutoFill_classes!$B:$B,"")=0,"",_xlfn.XLOOKUP(AT474, AutoFill_classes!$A:$A, AutoFill_classes!$B:$B,""))</f>
        <v/>
      </c>
      <c r="AW474" s="108"/>
      <c r="AX474" s="9"/>
      <c r="AY474" s="10"/>
      <c r="AZ474" s="9"/>
      <c r="BA474" s="10"/>
      <c r="BB474" s="10"/>
      <c r="BC474" s="64"/>
      <c r="BD474" s="25"/>
      <c r="BE474" s="121" t="str">
        <f t="shared" si="414"/>
        <v/>
      </c>
      <c r="BF474" s="20"/>
      <c r="BG474" s="20"/>
      <c r="BH474" s="24"/>
      <c r="BI474" s="24"/>
      <c r="BJ474" s="125" t="str">
        <f t="shared" si="415"/>
        <v/>
      </c>
      <c r="BK474" s="14"/>
      <c r="BL474" s="125" t="str">
        <f t="shared" si="416"/>
        <v/>
      </c>
      <c r="BM474" s="24"/>
      <c r="BN474" s="24"/>
      <c r="BO474" s="125" t="str">
        <f t="shared" si="417"/>
        <v/>
      </c>
      <c r="BP474" s="14"/>
      <c r="BQ474" s="125" t="str">
        <f t="shared" si="418"/>
        <v/>
      </c>
      <c r="BR474" s="24"/>
      <c r="BS474" s="24"/>
      <c r="BT474" s="125" t="str">
        <f t="shared" si="419"/>
        <v/>
      </c>
      <c r="BU474" s="125" t="str">
        <f t="shared" si="420"/>
        <v/>
      </c>
      <c r="BV474" s="125" t="str">
        <f t="shared" si="421"/>
        <v/>
      </c>
      <c r="BW474" s="129" t="str">
        <f t="shared" si="422"/>
        <v/>
      </c>
      <c r="BX474" s="9"/>
      <c r="BY474" s="9"/>
      <c r="BZ474" s="9"/>
      <c r="CA474" s="117" t="str">
        <f>IF(_xlfn.XLOOKUP(BY474, AutoFill_classes!$A:$A, AutoFill_classes!$B:$B,"")=0,"",_xlfn.XLOOKUP(BY474, AutoFill_classes!$A:$A, AutoFill_classes!$B:$B,""))</f>
        <v/>
      </c>
      <c r="CB474" s="108"/>
      <c r="CC474" s="9"/>
      <c r="CD474" s="9"/>
      <c r="CE474" s="9"/>
      <c r="CF474" s="4"/>
      <c r="CG474" s="25"/>
      <c r="CH474" s="64"/>
      <c r="CI474" s="27"/>
      <c r="CJ474" s="121" t="str">
        <f t="shared" si="423"/>
        <v/>
      </c>
      <c r="CK474" s="20"/>
      <c r="CL474" s="20"/>
      <c r="CM474" s="24"/>
      <c r="CN474" s="24"/>
      <c r="CO474" s="125" t="str">
        <f t="shared" si="424"/>
        <v/>
      </c>
      <c r="CP474" s="14"/>
      <c r="CQ474" s="125" t="str">
        <f t="shared" si="425"/>
        <v/>
      </c>
      <c r="CR474" s="24"/>
      <c r="CS474" s="24"/>
      <c r="CT474" s="125" t="str">
        <f t="shared" si="426"/>
        <v/>
      </c>
      <c r="CU474" s="14"/>
      <c r="CV474" s="125" t="str">
        <f t="shared" si="427"/>
        <v/>
      </c>
      <c r="CW474" s="24"/>
      <c r="CX474" s="24"/>
      <c r="CY474" s="125" t="str">
        <f t="shared" si="428"/>
        <v/>
      </c>
      <c r="CZ474" s="125" t="str">
        <f t="shared" si="429"/>
        <v/>
      </c>
      <c r="DA474" s="125" t="str">
        <f t="shared" si="430"/>
        <v/>
      </c>
      <c r="DB474" s="129" t="str">
        <f t="shared" si="431"/>
        <v/>
      </c>
      <c r="DC474" s="9"/>
      <c r="DD474" s="65"/>
      <c r="DE474" s="105">
        <v>470</v>
      </c>
    </row>
    <row r="475" spans="1:109" outlineLevel="1" x14ac:dyDescent="0.2">
      <c r="A475" s="4"/>
      <c r="B475" s="115" t="str">
        <f>IF(_xlfn.XLOOKUP(A475, AutoFill_names!B:B, AutoFill_names!C:C,"")=0,"",_xlfn.XLOOKUP(A475, AutoFill_names!B:B, AutoFill_names!C:C,""))</f>
        <v/>
      </c>
      <c r="C475" s="115" t="str">
        <f>IF(_xlfn.XLOOKUP(A475, AutoFill_names!B:B, AutoFill_names!D:D,"")=0,"",_xlfn.XLOOKUP(A475, AutoFill_names!B:B, AutoFill_names!D:D,""))</f>
        <v/>
      </c>
      <c r="D475" s="115" t="str">
        <f>IF(_xlfn.XLOOKUP(A475, AutoFill_names!B:B, AutoFill_names!E:E,"")=0,"",_xlfn.XLOOKUP(A475, AutoFill_names!B:B, AutoFill_names!E:E,""))</f>
        <v/>
      </c>
      <c r="E475" s="115" t="str">
        <f>IF(_xlfn.XLOOKUP(A475, AutoFill_names!B:B, AutoFill_names!F:F,"")=0,"",_xlfn.XLOOKUP(A475, AutoFill_names!B:B, AutoFill_names!F:F,""))</f>
        <v/>
      </c>
      <c r="F475" s="92"/>
      <c r="G475" s="1"/>
      <c r="H475" s="1"/>
      <c r="I475" s="1"/>
      <c r="J475" s="115" t="str">
        <f>IF(_xlfn.XLOOKUP(A475, AutoFill_names!B:B, AutoFill_names!K:K,"")=0,"",_xlfn.XLOOKUP(A475, AutoFill_names!B:B, AutoFill_names!K:K,""))</f>
        <v/>
      </c>
      <c r="K475" s="115" t="str">
        <f>IF(_xlfn.XLOOKUP(A475, AutoFill_names!B:B, AutoFill_names!L:L,"")=0,"",_xlfn.XLOOKUP(A475, AutoFill_names!B:B, AutoFill_names!L:L,""))</f>
        <v/>
      </c>
      <c r="L475" s="5"/>
      <c r="M475" s="5"/>
      <c r="N475" s="117" t="str">
        <f>IF(_xlfn.XLOOKUP(L475, AutoFill_classes!A:A, AutoFill_classes!B:B,"")=0,"",_xlfn.XLOOKUP(L475, AutoFill_classes!A:A, AutoFill_classes!B:B,""))</f>
        <v/>
      </c>
      <c r="O475" s="108"/>
      <c r="P475" s="8"/>
      <c r="Q475" s="8"/>
      <c r="R475" s="8"/>
      <c r="S475" s="4"/>
      <c r="T475" s="4"/>
      <c r="U475" s="4"/>
      <c r="V475" s="4"/>
      <c r="W475" s="4"/>
      <c r="X475" s="64"/>
      <c r="Y475" s="25"/>
      <c r="Z475" s="121" t="str">
        <f t="shared" si="405"/>
        <v/>
      </c>
      <c r="AA475" s="26"/>
      <c r="AB475" s="26"/>
      <c r="AC475" s="28"/>
      <c r="AD475" s="28"/>
      <c r="AE475" s="125" t="str">
        <f t="shared" si="406"/>
        <v/>
      </c>
      <c r="AF475" s="9"/>
      <c r="AG475" s="125" t="str">
        <f t="shared" si="407"/>
        <v/>
      </c>
      <c r="AH475" s="28"/>
      <c r="AI475" s="28"/>
      <c r="AJ475" s="125" t="str">
        <f t="shared" si="408"/>
        <v/>
      </c>
      <c r="AK475" s="9"/>
      <c r="AL475" s="125" t="str">
        <f t="shared" si="409"/>
        <v/>
      </c>
      <c r="AM475" s="28"/>
      <c r="AN475" s="28"/>
      <c r="AO475" s="125" t="str">
        <f t="shared" si="410"/>
        <v/>
      </c>
      <c r="AP475" s="125" t="str">
        <f t="shared" si="411"/>
        <v/>
      </c>
      <c r="AQ475" s="125" t="str">
        <f t="shared" si="412"/>
        <v/>
      </c>
      <c r="AR475" s="129" t="str">
        <f t="shared" si="413"/>
        <v/>
      </c>
      <c r="AS475" s="9"/>
      <c r="AT475" s="34"/>
      <c r="AU475" s="34"/>
      <c r="AV475" s="117" t="str">
        <f>IF(_xlfn.XLOOKUP(AT475, AutoFill_classes!$A:$A, AutoFill_classes!$B:$B,"")=0,"",_xlfn.XLOOKUP(AT475, AutoFill_classes!$A:$A, AutoFill_classes!$B:$B,""))</f>
        <v/>
      </c>
      <c r="AW475" s="108"/>
      <c r="AX475" s="9"/>
      <c r="AY475" s="10"/>
      <c r="AZ475" s="9"/>
      <c r="BA475" s="10"/>
      <c r="BB475" s="10"/>
      <c r="BC475" s="64"/>
      <c r="BD475" s="25"/>
      <c r="BE475" s="121" t="str">
        <f t="shared" si="414"/>
        <v/>
      </c>
      <c r="BF475" s="20"/>
      <c r="BG475" s="20"/>
      <c r="BH475" s="24"/>
      <c r="BI475" s="24"/>
      <c r="BJ475" s="125" t="str">
        <f t="shared" si="415"/>
        <v/>
      </c>
      <c r="BK475" s="14"/>
      <c r="BL475" s="125" t="str">
        <f t="shared" si="416"/>
        <v/>
      </c>
      <c r="BM475" s="24"/>
      <c r="BN475" s="24"/>
      <c r="BO475" s="125" t="str">
        <f t="shared" si="417"/>
        <v/>
      </c>
      <c r="BP475" s="14"/>
      <c r="BQ475" s="125" t="str">
        <f t="shared" si="418"/>
        <v/>
      </c>
      <c r="BR475" s="24"/>
      <c r="BS475" s="24"/>
      <c r="BT475" s="125" t="str">
        <f t="shared" si="419"/>
        <v/>
      </c>
      <c r="BU475" s="125" t="str">
        <f t="shared" si="420"/>
        <v/>
      </c>
      <c r="BV475" s="125" t="str">
        <f t="shared" si="421"/>
        <v/>
      </c>
      <c r="BW475" s="129" t="str">
        <f t="shared" si="422"/>
        <v/>
      </c>
      <c r="BX475" s="9"/>
      <c r="BY475" s="9"/>
      <c r="BZ475" s="9"/>
      <c r="CA475" s="117" t="str">
        <f>IF(_xlfn.XLOOKUP(BY475, AutoFill_classes!$A:$A, AutoFill_classes!$B:$B,"")=0,"",_xlfn.XLOOKUP(BY475, AutoFill_classes!$A:$A, AutoFill_classes!$B:$B,""))</f>
        <v/>
      </c>
      <c r="CB475" s="108"/>
      <c r="CC475" s="9"/>
      <c r="CD475" s="9"/>
      <c r="CE475" s="9"/>
      <c r="CF475" s="4"/>
      <c r="CG475" s="25"/>
      <c r="CH475" s="64"/>
      <c r="CI475" s="27"/>
      <c r="CJ475" s="121" t="str">
        <f t="shared" si="423"/>
        <v/>
      </c>
      <c r="CK475" s="20"/>
      <c r="CL475" s="20"/>
      <c r="CM475" s="24"/>
      <c r="CN475" s="24"/>
      <c r="CO475" s="125" t="str">
        <f t="shared" si="424"/>
        <v/>
      </c>
      <c r="CP475" s="14"/>
      <c r="CQ475" s="125" t="str">
        <f t="shared" si="425"/>
        <v/>
      </c>
      <c r="CR475" s="24"/>
      <c r="CS475" s="24"/>
      <c r="CT475" s="125" t="str">
        <f t="shared" si="426"/>
        <v/>
      </c>
      <c r="CU475" s="14"/>
      <c r="CV475" s="125" t="str">
        <f t="shared" si="427"/>
        <v/>
      </c>
      <c r="CW475" s="24"/>
      <c r="CX475" s="24"/>
      <c r="CY475" s="125" t="str">
        <f t="shared" si="428"/>
        <v/>
      </c>
      <c r="CZ475" s="125" t="str">
        <f t="shared" si="429"/>
        <v/>
      </c>
      <c r="DA475" s="125" t="str">
        <f t="shared" si="430"/>
        <v/>
      </c>
      <c r="DB475" s="129" t="str">
        <f t="shared" si="431"/>
        <v/>
      </c>
      <c r="DC475" s="9"/>
      <c r="DD475" s="65"/>
      <c r="DE475" s="105">
        <v>471</v>
      </c>
    </row>
    <row r="476" spans="1:109" outlineLevel="1" x14ac:dyDescent="0.2">
      <c r="A476" s="4"/>
      <c r="B476" s="115" t="str">
        <f>IF(_xlfn.XLOOKUP(A476, AutoFill_names!B:B, AutoFill_names!C:C,"")=0,"",_xlfn.XLOOKUP(A476, AutoFill_names!B:B, AutoFill_names!C:C,""))</f>
        <v/>
      </c>
      <c r="C476" s="115" t="str">
        <f>IF(_xlfn.XLOOKUP(A476, AutoFill_names!B:B, AutoFill_names!D:D,"")=0,"",_xlfn.XLOOKUP(A476, AutoFill_names!B:B, AutoFill_names!D:D,""))</f>
        <v/>
      </c>
      <c r="D476" s="115" t="str">
        <f>IF(_xlfn.XLOOKUP(A476, AutoFill_names!B:B, AutoFill_names!E:E,"")=0,"",_xlfn.XLOOKUP(A476, AutoFill_names!B:B, AutoFill_names!E:E,""))</f>
        <v/>
      </c>
      <c r="E476" s="115" t="str">
        <f>IF(_xlfn.XLOOKUP(A476, AutoFill_names!B:B, AutoFill_names!F:F,"")=0,"",_xlfn.XLOOKUP(A476, AutoFill_names!B:B, AutoFill_names!F:F,""))</f>
        <v/>
      </c>
      <c r="F476" s="92"/>
      <c r="G476" s="1"/>
      <c r="H476" s="1"/>
      <c r="I476" s="1"/>
      <c r="J476" s="115" t="str">
        <f>IF(_xlfn.XLOOKUP(A476, AutoFill_names!B:B, AutoFill_names!K:K,"")=0,"",_xlfn.XLOOKUP(A476, AutoFill_names!B:B, AutoFill_names!K:K,""))</f>
        <v/>
      </c>
      <c r="K476" s="115" t="str">
        <f>IF(_xlfn.XLOOKUP(A476, AutoFill_names!B:B, AutoFill_names!L:L,"")=0,"",_xlfn.XLOOKUP(A476, AutoFill_names!B:B, AutoFill_names!L:L,""))</f>
        <v/>
      </c>
      <c r="L476" s="5"/>
      <c r="M476" s="5"/>
      <c r="N476" s="117" t="str">
        <f>IF(_xlfn.XLOOKUP(L476, AutoFill_classes!A:A, AutoFill_classes!B:B,"")=0,"",_xlfn.XLOOKUP(L476, AutoFill_classes!A:A, AutoFill_classes!B:B,""))</f>
        <v/>
      </c>
      <c r="O476" s="108"/>
      <c r="P476" s="8"/>
      <c r="Q476" s="8"/>
      <c r="R476" s="8"/>
      <c r="S476" s="4"/>
      <c r="T476" s="4"/>
      <c r="U476" s="4"/>
      <c r="V476" s="4"/>
      <c r="W476" s="4"/>
      <c r="X476" s="64"/>
      <c r="Y476" s="25"/>
      <c r="Z476" s="121" t="str">
        <f t="shared" si="405"/>
        <v/>
      </c>
      <c r="AA476" s="26"/>
      <c r="AB476" s="26"/>
      <c r="AC476" s="28"/>
      <c r="AD476" s="28"/>
      <c r="AE476" s="125" t="str">
        <f t="shared" si="406"/>
        <v/>
      </c>
      <c r="AF476" s="9"/>
      <c r="AG476" s="125" t="str">
        <f t="shared" si="407"/>
        <v/>
      </c>
      <c r="AH476" s="28"/>
      <c r="AI476" s="28"/>
      <c r="AJ476" s="125" t="str">
        <f t="shared" si="408"/>
        <v/>
      </c>
      <c r="AK476" s="9"/>
      <c r="AL476" s="125" t="str">
        <f t="shared" si="409"/>
        <v/>
      </c>
      <c r="AM476" s="28"/>
      <c r="AN476" s="28"/>
      <c r="AO476" s="125" t="str">
        <f t="shared" si="410"/>
        <v/>
      </c>
      <c r="AP476" s="125" t="str">
        <f t="shared" si="411"/>
        <v/>
      </c>
      <c r="AQ476" s="125" t="str">
        <f t="shared" si="412"/>
        <v/>
      </c>
      <c r="AR476" s="129" t="str">
        <f t="shared" si="413"/>
        <v/>
      </c>
      <c r="AS476" s="9"/>
      <c r="AT476" s="34"/>
      <c r="AU476" s="34"/>
      <c r="AV476" s="117" t="str">
        <f>IF(_xlfn.XLOOKUP(AT476, AutoFill_classes!$A:$A, AutoFill_classes!$B:$B,"")=0,"",_xlfn.XLOOKUP(AT476, AutoFill_classes!$A:$A, AutoFill_classes!$B:$B,""))</f>
        <v/>
      </c>
      <c r="AW476" s="108"/>
      <c r="AX476" s="9"/>
      <c r="AY476" s="10"/>
      <c r="AZ476" s="9"/>
      <c r="BA476" s="10"/>
      <c r="BB476" s="10"/>
      <c r="BC476" s="64"/>
      <c r="BD476" s="25"/>
      <c r="BE476" s="121" t="str">
        <f t="shared" si="414"/>
        <v/>
      </c>
      <c r="BF476" s="20"/>
      <c r="BG476" s="20"/>
      <c r="BH476" s="24"/>
      <c r="BI476" s="24"/>
      <c r="BJ476" s="125" t="str">
        <f t="shared" si="415"/>
        <v/>
      </c>
      <c r="BK476" s="14"/>
      <c r="BL476" s="125" t="str">
        <f t="shared" si="416"/>
        <v/>
      </c>
      <c r="BM476" s="24"/>
      <c r="BN476" s="24"/>
      <c r="BO476" s="125" t="str">
        <f t="shared" si="417"/>
        <v/>
      </c>
      <c r="BP476" s="14"/>
      <c r="BQ476" s="125" t="str">
        <f t="shared" si="418"/>
        <v/>
      </c>
      <c r="BR476" s="24"/>
      <c r="BS476" s="24"/>
      <c r="BT476" s="125" t="str">
        <f t="shared" si="419"/>
        <v/>
      </c>
      <c r="BU476" s="125" t="str">
        <f t="shared" si="420"/>
        <v/>
      </c>
      <c r="BV476" s="125" t="str">
        <f t="shared" si="421"/>
        <v/>
      </c>
      <c r="BW476" s="129" t="str">
        <f t="shared" si="422"/>
        <v/>
      </c>
      <c r="BX476" s="9"/>
      <c r="BY476" s="9"/>
      <c r="BZ476" s="9"/>
      <c r="CA476" s="117" t="str">
        <f>IF(_xlfn.XLOOKUP(BY476, AutoFill_classes!$A:$A, AutoFill_classes!$B:$B,"")=0,"",_xlfn.XLOOKUP(BY476, AutoFill_classes!$A:$A, AutoFill_classes!$B:$B,""))</f>
        <v/>
      </c>
      <c r="CB476" s="108"/>
      <c r="CC476" s="9"/>
      <c r="CD476" s="9"/>
      <c r="CE476" s="9"/>
      <c r="CF476" s="4"/>
      <c r="CG476" s="25"/>
      <c r="CH476" s="64"/>
      <c r="CI476" s="27"/>
      <c r="CJ476" s="121" t="str">
        <f t="shared" si="423"/>
        <v/>
      </c>
      <c r="CK476" s="20"/>
      <c r="CL476" s="20"/>
      <c r="CM476" s="24"/>
      <c r="CN476" s="24"/>
      <c r="CO476" s="125" t="str">
        <f t="shared" si="424"/>
        <v/>
      </c>
      <c r="CP476" s="14"/>
      <c r="CQ476" s="125" t="str">
        <f t="shared" si="425"/>
        <v/>
      </c>
      <c r="CR476" s="24"/>
      <c r="CS476" s="24"/>
      <c r="CT476" s="125" t="str">
        <f t="shared" si="426"/>
        <v/>
      </c>
      <c r="CU476" s="14"/>
      <c r="CV476" s="125" t="str">
        <f t="shared" si="427"/>
        <v/>
      </c>
      <c r="CW476" s="24"/>
      <c r="CX476" s="24"/>
      <c r="CY476" s="125" t="str">
        <f t="shared" si="428"/>
        <v/>
      </c>
      <c r="CZ476" s="125" t="str">
        <f t="shared" si="429"/>
        <v/>
      </c>
      <c r="DA476" s="125" t="str">
        <f t="shared" si="430"/>
        <v/>
      </c>
      <c r="DB476" s="129" t="str">
        <f t="shared" si="431"/>
        <v/>
      </c>
      <c r="DC476" s="9"/>
      <c r="DD476" s="65"/>
      <c r="DE476" s="105">
        <v>472</v>
      </c>
    </row>
    <row r="477" spans="1:109" outlineLevel="1" x14ac:dyDescent="0.2">
      <c r="A477" s="4"/>
      <c r="B477" s="115" t="str">
        <f>IF(_xlfn.XLOOKUP(A477, AutoFill_names!B:B, AutoFill_names!C:C,"")=0,"",_xlfn.XLOOKUP(A477, AutoFill_names!B:B, AutoFill_names!C:C,""))</f>
        <v/>
      </c>
      <c r="C477" s="115" t="str">
        <f>IF(_xlfn.XLOOKUP(A477, AutoFill_names!B:B, AutoFill_names!D:D,"")=0,"",_xlfn.XLOOKUP(A477, AutoFill_names!B:B, AutoFill_names!D:D,""))</f>
        <v/>
      </c>
      <c r="D477" s="115" t="str">
        <f>IF(_xlfn.XLOOKUP(A477, AutoFill_names!B:B, AutoFill_names!E:E,"")=0,"",_xlfn.XLOOKUP(A477, AutoFill_names!B:B, AutoFill_names!E:E,""))</f>
        <v/>
      </c>
      <c r="E477" s="115" t="str">
        <f>IF(_xlfn.XLOOKUP(A477, AutoFill_names!B:B, AutoFill_names!F:F,"")=0,"",_xlfn.XLOOKUP(A477, AutoFill_names!B:B, AutoFill_names!F:F,""))</f>
        <v/>
      </c>
      <c r="F477" s="92"/>
      <c r="G477" s="1"/>
      <c r="H477" s="1"/>
      <c r="I477" s="1"/>
      <c r="J477" s="115" t="str">
        <f>IF(_xlfn.XLOOKUP(A477, AutoFill_names!B:B, AutoFill_names!K:K,"")=0,"",_xlfn.XLOOKUP(A477, AutoFill_names!B:B, AutoFill_names!K:K,""))</f>
        <v/>
      </c>
      <c r="K477" s="115" t="str">
        <f>IF(_xlfn.XLOOKUP(A477, AutoFill_names!B:B, AutoFill_names!L:L,"")=0,"",_xlfn.XLOOKUP(A477, AutoFill_names!B:B, AutoFill_names!L:L,""))</f>
        <v/>
      </c>
      <c r="L477" s="5"/>
      <c r="M477" s="5"/>
      <c r="N477" s="117" t="str">
        <f>IF(_xlfn.XLOOKUP(L477, AutoFill_classes!A:A, AutoFill_classes!B:B,"")=0,"",_xlfn.XLOOKUP(L477, AutoFill_classes!A:A, AutoFill_classes!B:B,""))</f>
        <v/>
      </c>
      <c r="O477" s="108"/>
      <c r="P477" s="8"/>
      <c r="Q477" s="8"/>
      <c r="R477" s="8"/>
      <c r="S477" s="4"/>
      <c r="T477" s="4"/>
      <c r="U477" s="4"/>
      <c r="V477" s="4"/>
      <c r="W477" s="4"/>
      <c r="X477" s="64"/>
      <c r="Y477" s="25"/>
      <c r="Z477" s="121" t="str">
        <f t="shared" si="405"/>
        <v/>
      </c>
      <c r="AA477" s="26"/>
      <c r="AB477" s="26"/>
      <c r="AC477" s="28"/>
      <c r="AD477" s="28"/>
      <c r="AE477" s="125" t="str">
        <f t="shared" si="406"/>
        <v/>
      </c>
      <c r="AF477" s="9"/>
      <c r="AG477" s="125" t="str">
        <f t="shared" si="407"/>
        <v/>
      </c>
      <c r="AH477" s="28"/>
      <c r="AI477" s="28"/>
      <c r="AJ477" s="125" t="str">
        <f t="shared" si="408"/>
        <v/>
      </c>
      <c r="AK477" s="9"/>
      <c r="AL477" s="125" t="str">
        <f t="shared" si="409"/>
        <v/>
      </c>
      <c r="AM477" s="28"/>
      <c r="AN477" s="28"/>
      <c r="AO477" s="125" t="str">
        <f t="shared" si="410"/>
        <v/>
      </c>
      <c r="AP477" s="125" t="str">
        <f t="shared" si="411"/>
        <v/>
      </c>
      <c r="AQ477" s="125" t="str">
        <f t="shared" si="412"/>
        <v/>
      </c>
      <c r="AR477" s="129" t="str">
        <f t="shared" si="413"/>
        <v/>
      </c>
      <c r="AS477" s="9"/>
      <c r="AT477" s="34"/>
      <c r="AU477" s="34"/>
      <c r="AV477" s="117" t="str">
        <f>IF(_xlfn.XLOOKUP(AT477, AutoFill_classes!$A:$A, AutoFill_classes!$B:$B,"")=0,"",_xlfn.XLOOKUP(AT477, AutoFill_classes!$A:$A, AutoFill_classes!$B:$B,""))</f>
        <v/>
      </c>
      <c r="AW477" s="108"/>
      <c r="AX477" s="9"/>
      <c r="AY477" s="10"/>
      <c r="AZ477" s="9"/>
      <c r="BA477" s="10"/>
      <c r="BB477" s="10"/>
      <c r="BC477" s="64"/>
      <c r="BD477" s="25"/>
      <c r="BE477" s="121" t="str">
        <f t="shared" si="414"/>
        <v/>
      </c>
      <c r="BF477" s="20"/>
      <c r="BG477" s="20"/>
      <c r="BH477" s="24"/>
      <c r="BI477" s="24"/>
      <c r="BJ477" s="125" t="str">
        <f t="shared" si="415"/>
        <v/>
      </c>
      <c r="BK477" s="14"/>
      <c r="BL477" s="125" t="str">
        <f t="shared" si="416"/>
        <v/>
      </c>
      <c r="BM477" s="24"/>
      <c r="BN477" s="24"/>
      <c r="BO477" s="125" t="str">
        <f t="shared" si="417"/>
        <v/>
      </c>
      <c r="BP477" s="14"/>
      <c r="BQ477" s="125" t="str">
        <f t="shared" si="418"/>
        <v/>
      </c>
      <c r="BR477" s="24"/>
      <c r="BS477" s="24"/>
      <c r="BT477" s="125" t="str">
        <f t="shared" si="419"/>
        <v/>
      </c>
      <c r="BU477" s="125" t="str">
        <f t="shared" si="420"/>
        <v/>
      </c>
      <c r="BV477" s="125" t="str">
        <f t="shared" si="421"/>
        <v/>
      </c>
      <c r="BW477" s="129" t="str">
        <f t="shared" si="422"/>
        <v/>
      </c>
      <c r="BX477" s="9"/>
      <c r="BY477" s="9"/>
      <c r="BZ477" s="9"/>
      <c r="CA477" s="117" t="str">
        <f>IF(_xlfn.XLOOKUP(BY477, AutoFill_classes!$A:$A, AutoFill_classes!$B:$B,"")=0,"",_xlfn.XLOOKUP(BY477, AutoFill_classes!$A:$A, AutoFill_classes!$B:$B,""))</f>
        <v/>
      </c>
      <c r="CB477" s="108"/>
      <c r="CC477" s="9"/>
      <c r="CD477" s="9"/>
      <c r="CE477" s="9"/>
      <c r="CF477" s="4"/>
      <c r="CG477" s="25"/>
      <c r="CH477" s="64"/>
      <c r="CI477" s="27"/>
      <c r="CJ477" s="121" t="str">
        <f t="shared" si="423"/>
        <v/>
      </c>
      <c r="CK477" s="20"/>
      <c r="CL477" s="20"/>
      <c r="CM477" s="24"/>
      <c r="CN477" s="24"/>
      <c r="CO477" s="125" t="str">
        <f t="shared" si="424"/>
        <v/>
      </c>
      <c r="CP477" s="14"/>
      <c r="CQ477" s="125" t="str">
        <f t="shared" si="425"/>
        <v/>
      </c>
      <c r="CR477" s="24"/>
      <c r="CS477" s="24"/>
      <c r="CT477" s="125" t="str">
        <f t="shared" si="426"/>
        <v/>
      </c>
      <c r="CU477" s="14"/>
      <c r="CV477" s="125" t="str">
        <f t="shared" si="427"/>
        <v/>
      </c>
      <c r="CW477" s="24"/>
      <c r="CX477" s="24"/>
      <c r="CY477" s="125" t="str">
        <f t="shared" si="428"/>
        <v/>
      </c>
      <c r="CZ477" s="125" t="str">
        <f t="shared" si="429"/>
        <v/>
      </c>
      <c r="DA477" s="125" t="str">
        <f t="shared" si="430"/>
        <v/>
      </c>
      <c r="DB477" s="129" t="str">
        <f t="shared" si="431"/>
        <v/>
      </c>
      <c r="DC477" s="9"/>
      <c r="DD477" s="65"/>
      <c r="DE477" s="105">
        <v>473</v>
      </c>
    </row>
    <row r="478" spans="1:109" outlineLevel="1" x14ac:dyDescent="0.2">
      <c r="A478" s="4"/>
      <c r="B478" s="115" t="str">
        <f>IF(_xlfn.XLOOKUP(A478, AutoFill_names!B:B, AutoFill_names!C:C,"")=0,"",_xlfn.XLOOKUP(A478, AutoFill_names!B:B, AutoFill_names!C:C,""))</f>
        <v/>
      </c>
      <c r="C478" s="115" t="str">
        <f>IF(_xlfn.XLOOKUP(A478, AutoFill_names!B:B, AutoFill_names!D:D,"")=0,"",_xlfn.XLOOKUP(A478, AutoFill_names!B:B, AutoFill_names!D:D,""))</f>
        <v/>
      </c>
      <c r="D478" s="115" t="str">
        <f>IF(_xlfn.XLOOKUP(A478, AutoFill_names!B:B, AutoFill_names!E:E,"")=0,"",_xlfn.XLOOKUP(A478, AutoFill_names!B:B, AutoFill_names!E:E,""))</f>
        <v/>
      </c>
      <c r="E478" s="115" t="str">
        <f>IF(_xlfn.XLOOKUP(A478, AutoFill_names!B:B, AutoFill_names!F:F,"")=0,"",_xlfn.XLOOKUP(A478, AutoFill_names!B:B, AutoFill_names!F:F,""))</f>
        <v/>
      </c>
      <c r="F478" s="92"/>
      <c r="G478" s="1"/>
      <c r="H478" s="1"/>
      <c r="I478" s="1"/>
      <c r="J478" s="115" t="str">
        <f>IF(_xlfn.XLOOKUP(A478, AutoFill_names!B:B, AutoFill_names!K:K,"")=0,"",_xlfn.XLOOKUP(A478, AutoFill_names!B:B, AutoFill_names!K:K,""))</f>
        <v/>
      </c>
      <c r="K478" s="115" t="str">
        <f>IF(_xlfn.XLOOKUP(A478, AutoFill_names!B:B, AutoFill_names!L:L,"")=0,"",_xlfn.XLOOKUP(A478, AutoFill_names!B:B, AutoFill_names!L:L,""))</f>
        <v/>
      </c>
      <c r="L478" s="5"/>
      <c r="M478" s="5"/>
      <c r="N478" s="117" t="str">
        <f>IF(_xlfn.XLOOKUP(L478, AutoFill_classes!A:A, AutoFill_classes!B:B,"")=0,"",_xlfn.XLOOKUP(L478, AutoFill_classes!A:A, AutoFill_classes!B:B,""))</f>
        <v/>
      </c>
      <c r="O478" s="108"/>
      <c r="P478" s="8"/>
      <c r="Q478" s="8"/>
      <c r="R478" s="8"/>
      <c r="S478" s="4"/>
      <c r="T478" s="4"/>
      <c r="U478" s="4"/>
      <c r="V478" s="4"/>
      <c r="W478" s="4"/>
      <c r="X478" s="64"/>
      <c r="Y478" s="25"/>
      <c r="Z478" s="121" t="str">
        <f t="shared" si="405"/>
        <v/>
      </c>
      <c r="AA478" s="26"/>
      <c r="AB478" s="26"/>
      <c r="AC478" s="28"/>
      <c r="AD478" s="28"/>
      <c r="AE478" s="125" t="str">
        <f t="shared" si="406"/>
        <v/>
      </c>
      <c r="AF478" s="9"/>
      <c r="AG478" s="125" t="str">
        <f t="shared" si="407"/>
        <v/>
      </c>
      <c r="AH478" s="28"/>
      <c r="AI478" s="28"/>
      <c r="AJ478" s="125" t="str">
        <f t="shared" si="408"/>
        <v/>
      </c>
      <c r="AK478" s="9"/>
      <c r="AL478" s="125" t="str">
        <f t="shared" si="409"/>
        <v/>
      </c>
      <c r="AM478" s="28"/>
      <c r="AN478" s="28"/>
      <c r="AO478" s="125" t="str">
        <f t="shared" si="410"/>
        <v/>
      </c>
      <c r="AP478" s="125" t="str">
        <f t="shared" si="411"/>
        <v/>
      </c>
      <c r="AQ478" s="125" t="str">
        <f t="shared" si="412"/>
        <v/>
      </c>
      <c r="AR478" s="129" t="str">
        <f t="shared" si="413"/>
        <v/>
      </c>
      <c r="AS478" s="9"/>
      <c r="AT478" s="34"/>
      <c r="AU478" s="34"/>
      <c r="AV478" s="117" t="str">
        <f>IF(_xlfn.XLOOKUP(AT478, AutoFill_classes!$A:$A, AutoFill_classes!$B:$B,"")=0,"",_xlfn.XLOOKUP(AT478, AutoFill_classes!$A:$A, AutoFill_classes!$B:$B,""))</f>
        <v/>
      </c>
      <c r="AW478" s="108"/>
      <c r="AX478" s="9"/>
      <c r="AY478" s="10"/>
      <c r="AZ478" s="9"/>
      <c r="BA478" s="10"/>
      <c r="BB478" s="10"/>
      <c r="BC478" s="64"/>
      <c r="BD478" s="25"/>
      <c r="BE478" s="121" t="str">
        <f t="shared" si="414"/>
        <v/>
      </c>
      <c r="BF478" s="20"/>
      <c r="BG478" s="20"/>
      <c r="BH478" s="24"/>
      <c r="BI478" s="24"/>
      <c r="BJ478" s="125" t="str">
        <f t="shared" si="415"/>
        <v/>
      </c>
      <c r="BK478" s="14"/>
      <c r="BL478" s="125" t="str">
        <f t="shared" si="416"/>
        <v/>
      </c>
      <c r="BM478" s="24"/>
      <c r="BN478" s="24"/>
      <c r="BO478" s="125" t="str">
        <f t="shared" si="417"/>
        <v/>
      </c>
      <c r="BP478" s="14"/>
      <c r="BQ478" s="125" t="str">
        <f t="shared" si="418"/>
        <v/>
      </c>
      <c r="BR478" s="24"/>
      <c r="BS478" s="24"/>
      <c r="BT478" s="125" t="str">
        <f t="shared" si="419"/>
        <v/>
      </c>
      <c r="BU478" s="125" t="str">
        <f t="shared" si="420"/>
        <v/>
      </c>
      <c r="BV478" s="125" t="str">
        <f t="shared" si="421"/>
        <v/>
      </c>
      <c r="BW478" s="129" t="str">
        <f t="shared" si="422"/>
        <v/>
      </c>
      <c r="BX478" s="9"/>
      <c r="BY478" s="9"/>
      <c r="BZ478" s="9"/>
      <c r="CA478" s="117" t="str">
        <f>IF(_xlfn.XLOOKUP(BY478, AutoFill_classes!$A:$A, AutoFill_classes!$B:$B,"")=0,"",_xlfn.XLOOKUP(BY478, AutoFill_classes!$A:$A, AutoFill_classes!$B:$B,""))</f>
        <v/>
      </c>
      <c r="CB478" s="108"/>
      <c r="CC478" s="9"/>
      <c r="CD478" s="9"/>
      <c r="CE478" s="9"/>
      <c r="CF478" s="4"/>
      <c r="CG478" s="25"/>
      <c r="CH478" s="64"/>
      <c r="CI478" s="27"/>
      <c r="CJ478" s="121" t="str">
        <f t="shared" si="423"/>
        <v/>
      </c>
      <c r="CK478" s="20"/>
      <c r="CL478" s="20"/>
      <c r="CM478" s="24"/>
      <c r="CN478" s="24"/>
      <c r="CO478" s="125" t="str">
        <f t="shared" si="424"/>
        <v/>
      </c>
      <c r="CP478" s="14"/>
      <c r="CQ478" s="125" t="str">
        <f t="shared" si="425"/>
        <v/>
      </c>
      <c r="CR478" s="24"/>
      <c r="CS478" s="24"/>
      <c r="CT478" s="125" t="str">
        <f t="shared" si="426"/>
        <v/>
      </c>
      <c r="CU478" s="14"/>
      <c r="CV478" s="125" t="str">
        <f t="shared" si="427"/>
        <v/>
      </c>
      <c r="CW478" s="24"/>
      <c r="CX478" s="24"/>
      <c r="CY478" s="125" t="str">
        <f t="shared" si="428"/>
        <v/>
      </c>
      <c r="CZ478" s="125" t="str">
        <f t="shared" si="429"/>
        <v/>
      </c>
      <c r="DA478" s="125" t="str">
        <f t="shared" si="430"/>
        <v/>
      </c>
      <c r="DB478" s="129" t="str">
        <f t="shared" si="431"/>
        <v/>
      </c>
      <c r="DC478" s="9"/>
      <c r="DD478" s="65"/>
      <c r="DE478" s="105">
        <v>474</v>
      </c>
    </row>
    <row r="479" spans="1:109" outlineLevel="1" x14ac:dyDescent="0.2">
      <c r="A479" s="4"/>
      <c r="B479" s="115" t="str">
        <f>IF(_xlfn.XLOOKUP(A479, AutoFill_names!B:B, AutoFill_names!C:C,"")=0,"",_xlfn.XLOOKUP(A479, AutoFill_names!B:B, AutoFill_names!C:C,""))</f>
        <v/>
      </c>
      <c r="C479" s="115" t="str">
        <f>IF(_xlfn.XLOOKUP(A479, AutoFill_names!B:B, AutoFill_names!D:D,"")=0,"",_xlfn.XLOOKUP(A479, AutoFill_names!B:B, AutoFill_names!D:D,""))</f>
        <v/>
      </c>
      <c r="D479" s="115" t="str">
        <f>IF(_xlfn.XLOOKUP(A479, AutoFill_names!B:B, AutoFill_names!E:E,"")=0,"",_xlfn.XLOOKUP(A479, AutoFill_names!B:B, AutoFill_names!E:E,""))</f>
        <v/>
      </c>
      <c r="E479" s="115" t="str">
        <f>IF(_xlfn.XLOOKUP(A479, AutoFill_names!B:B, AutoFill_names!F:F,"")=0,"",_xlfn.XLOOKUP(A479, AutoFill_names!B:B, AutoFill_names!F:F,""))</f>
        <v/>
      </c>
      <c r="F479" s="92"/>
      <c r="G479" s="1"/>
      <c r="H479" s="1"/>
      <c r="I479" s="1"/>
      <c r="J479" s="115" t="str">
        <f>IF(_xlfn.XLOOKUP(A479, AutoFill_names!B:B, AutoFill_names!K:K,"")=0,"",_xlfn.XLOOKUP(A479, AutoFill_names!B:B, AutoFill_names!K:K,""))</f>
        <v/>
      </c>
      <c r="K479" s="115" t="str">
        <f>IF(_xlfn.XLOOKUP(A479, AutoFill_names!B:B, AutoFill_names!L:L,"")=0,"",_xlfn.XLOOKUP(A479, AutoFill_names!B:B, AutoFill_names!L:L,""))</f>
        <v/>
      </c>
      <c r="L479" s="5"/>
      <c r="M479" s="5"/>
      <c r="N479" s="117" t="str">
        <f>IF(_xlfn.XLOOKUP(L479, AutoFill_classes!A:A, AutoFill_classes!B:B,"")=0,"",_xlfn.XLOOKUP(L479, AutoFill_classes!A:A, AutoFill_classes!B:B,""))</f>
        <v/>
      </c>
      <c r="O479" s="108"/>
      <c r="P479" s="8"/>
      <c r="Q479" s="8"/>
      <c r="R479" s="8"/>
      <c r="S479" s="4"/>
      <c r="T479" s="4"/>
      <c r="U479" s="4"/>
      <c r="V479" s="4"/>
      <c r="W479" s="4"/>
      <c r="X479" s="64"/>
      <c r="Y479" s="25"/>
      <c r="Z479" s="121" t="str">
        <f t="shared" si="405"/>
        <v/>
      </c>
      <c r="AA479" s="26"/>
      <c r="AB479" s="26"/>
      <c r="AC479" s="28"/>
      <c r="AD479" s="28"/>
      <c r="AE479" s="125" t="str">
        <f t="shared" si="406"/>
        <v/>
      </c>
      <c r="AF479" s="9"/>
      <c r="AG479" s="125" t="str">
        <f t="shared" si="407"/>
        <v/>
      </c>
      <c r="AH479" s="28"/>
      <c r="AI479" s="28"/>
      <c r="AJ479" s="125" t="str">
        <f t="shared" si="408"/>
        <v/>
      </c>
      <c r="AK479" s="9"/>
      <c r="AL479" s="125" t="str">
        <f t="shared" si="409"/>
        <v/>
      </c>
      <c r="AM479" s="28"/>
      <c r="AN479" s="28"/>
      <c r="AO479" s="125" t="str">
        <f t="shared" si="410"/>
        <v/>
      </c>
      <c r="AP479" s="125" t="str">
        <f t="shared" si="411"/>
        <v/>
      </c>
      <c r="AQ479" s="125" t="str">
        <f t="shared" si="412"/>
        <v/>
      </c>
      <c r="AR479" s="129" t="str">
        <f t="shared" si="413"/>
        <v/>
      </c>
      <c r="AS479" s="9"/>
      <c r="AT479" s="34"/>
      <c r="AU479" s="34"/>
      <c r="AV479" s="117" t="str">
        <f>IF(_xlfn.XLOOKUP(AT479, AutoFill_classes!$A:$A, AutoFill_classes!$B:$B,"")=0,"",_xlfn.XLOOKUP(AT479, AutoFill_classes!$A:$A, AutoFill_classes!$B:$B,""))</f>
        <v/>
      </c>
      <c r="AW479" s="108"/>
      <c r="AX479" s="9"/>
      <c r="AY479" s="10"/>
      <c r="AZ479" s="9"/>
      <c r="BA479" s="10"/>
      <c r="BB479" s="10"/>
      <c r="BC479" s="64"/>
      <c r="BD479" s="25"/>
      <c r="BE479" s="121" t="str">
        <f t="shared" si="414"/>
        <v/>
      </c>
      <c r="BF479" s="20"/>
      <c r="BG479" s="20"/>
      <c r="BH479" s="24"/>
      <c r="BI479" s="24"/>
      <c r="BJ479" s="125" t="str">
        <f t="shared" si="415"/>
        <v/>
      </c>
      <c r="BK479" s="14"/>
      <c r="BL479" s="125" t="str">
        <f t="shared" si="416"/>
        <v/>
      </c>
      <c r="BM479" s="24"/>
      <c r="BN479" s="24"/>
      <c r="BO479" s="125" t="str">
        <f t="shared" si="417"/>
        <v/>
      </c>
      <c r="BP479" s="14"/>
      <c r="BQ479" s="125" t="str">
        <f t="shared" si="418"/>
        <v/>
      </c>
      <c r="BR479" s="24"/>
      <c r="BS479" s="24"/>
      <c r="BT479" s="125" t="str">
        <f t="shared" si="419"/>
        <v/>
      </c>
      <c r="BU479" s="125" t="str">
        <f t="shared" si="420"/>
        <v/>
      </c>
      <c r="BV479" s="125" t="str">
        <f t="shared" si="421"/>
        <v/>
      </c>
      <c r="BW479" s="129" t="str">
        <f t="shared" si="422"/>
        <v/>
      </c>
      <c r="BX479" s="9"/>
      <c r="BY479" s="9"/>
      <c r="BZ479" s="9"/>
      <c r="CA479" s="117" t="str">
        <f>IF(_xlfn.XLOOKUP(BY479, AutoFill_classes!$A:$A, AutoFill_classes!$B:$B,"")=0,"",_xlfn.XLOOKUP(BY479, AutoFill_classes!$A:$A, AutoFill_classes!$B:$B,""))</f>
        <v/>
      </c>
      <c r="CB479" s="108"/>
      <c r="CC479" s="9"/>
      <c r="CD479" s="9"/>
      <c r="CE479" s="9"/>
      <c r="CF479" s="4"/>
      <c r="CG479" s="25"/>
      <c r="CH479" s="64"/>
      <c r="CI479" s="27"/>
      <c r="CJ479" s="121" t="str">
        <f t="shared" si="423"/>
        <v/>
      </c>
      <c r="CK479" s="20"/>
      <c r="CL479" s="20"/>
      <c r="CM479" s="24"/>
      <c r="CN479" s="24"/>
      <c r="CO479" s="125" t="str">
        <f t="shared" si="424"/>
        <v/>
      </c>
      <c r="CP479" s="14"/>
      <c r="CQ479" s="125" t="str">
        <f t="shared" si="425"/>
        <v/>
      </c>
      <c r="CR479" s="24"/>
      <c r="CS479" s="24"/>
      <c r="CT479" s="125" t="str">
        <f t="shared" si="426"/>
        <v/>
      </c>
      <c r="CU479" s="14"/>
      <c r="CV479" s="125" t="str">
        <f t="shared" si="427"/>
        <v/>
      </c>
      <c r="CW479" s="24"/>
      <c r="CX479" s="24"/>
      <c r="CY479" s="125" t="str">
        <f t="shared" si="428"/>
        <v/>
      </c>
      <c r="CZ479" s="125" t="str">
        <f t="shared" si="429"/>
        <v/>
      </c>
      <c r="DA479" s="125" t="str">
        <f t="shared" si="430"/>
        <v/>
      </c>
      <c r="DB479" s="129" t="str">
        <f t="shared" si="431"/>
        <v/>
      </c>
      <c r="DC479" s="9"/>
      <c r="DD479" s="65"/>
      <c r="DE479" s="105">
        <v>475</v>
      </c>
    </row>
    <row r="480" spans="1:109" outlineLevel="1" x14ac:dyDescent="0.2">
      <c r="A480" s="4"/>
      <c r="B480" s="115" t="str">
        <f>IF(_xlfn.XLOOKUP(A480, AutoFill_names!B:B, AutoFill_names!C:C,"")=0,"",_xlfn.XLOOKUP(A480, AutoFill_names!B:B, AutoFill_names!C:C,""))</f>
        <v/>
      </c>
      <c r="C480" s="115" t="str">
        <f>IF(_xlfn.XLOOKUP(A480, AutoFill_names!B:B, AutoFill_names!D:D,"")=0,"",_xlfn.XLOOKUP(A480, AutoFill_names!B:B, AutoFill_names!D:D,""))</f>
        <v/>
      </c>
      <c r="D480" s="115" t="str">
        <f>IF(_xlfn.XLOOKUP(A480, AutoFill_names!B:B, AutoFill_names!E:E,"")=0,"",_xlfn.XLOOKUP(A480, AutoFill_names!B:B, AutoFill_names!E:E,""))</f>
        <v/>
      </c>
      <c r="E480" s="115" t="str">
        <f>IF(_xlfn.XLOOKUP(A480, AutoFill_names!B:B, AutoFill_names!F:F,"")=0,"",_xlfn.XLOOKUP(A480, AutoFill_names!B:B, AutoFill_names!F:F,""))</f>
        <v/>
      </c>
      <c r="F480" s="92"/>
      <c r="G480" s="1"/>
      <c r="H480" s="1"/>
      <c r="I480" s="1"/>
      <c r="J480" s="115" t="str">
        <f>IF(_xlfn.XLOOKUP(A480, AutoFill_names!B:B, AutoFill_names!K:K,"")=0,"",_xlfn.XLOOKUP(A480, AutoFill_names!B:B, AutoFill_names!K:K,""))</f>
        <v/>
      </c>
      <c r="K480" s="115" t="str">
        <f>IF(_xlfn.XLOOKUP(A480, AutoFill_names!B:B, AutoFill_names!L:L,"")=0,"",_xlfn.XLOOKUP(A480, AutoFill_names!B:B, AutoFill_names!L:L,""))</f>
        <v/>
      </c>
      <c r="L480" s="5"/>
      <c r="M480" s="5"/>
      <c r="N480" s="117" t="str">
        <f>IF(_xlfn.XLOOKUP(L480, AutoFill_classes!A:A, AutoFill_classes!B:B,"")=0,"",_xlfn.XLOOKUP(L480, AutoFill_classes!A:A, AutoFill_classes!B:B,""))</f>
        <v/>
      </c>
      <c r="O480" s="108"/>
      <c r="P480" s="8"/>
      <c r="Q480" s="8"/>
      <c r="R480" s="8"/>
      <c r="S480" s="4"/>
      <c r="T480" s="4"/>
      <c r="U480" s="4"/>
      <c r="V480" s="4"/>
      <c r="W480" s="4"/>
      <c r="X480" s="64"/>
      <c r="Y480" s="25"/>
      <c r="Z480" s="121" t="str">
        <f t="shared" si="405"/>
        <v/>
      </c>
      <c r="AA480" s="26"/>
      <c r="AB480" s="26"/>
      <c r="AC480" s="28"/>
      <c r="AD480" s="28"/>
      <c r="AE480" s="125" t="str">
        <f t="shared" si="406"/>
        <v/>
      </c>
      <c r="AF480" s="9"/>
      <c r="AG480" s="125" t="str">
        <f t="shared" si="407"/>
        <v/>
      </c>
      <c r="AH480" s="28"/>
      <c r="AI480" s="28"/>
      <c r="AJ480" s="125" t="str">
        <f t="shared" si="408"/>
        <v/>
      </c>
      <c r="AK480" s="9"/>
      <c r="AL480" s="125" t="str">
        <f t="shared" si="409"/>
        <v/>
      </c>
      <c r="AM480" s="28"/>
      <c r="AN480" s="28"/>
      <c r="AO480" s="125" t="str">
        <f t="shared" si="410"/>
        <v/>
      </c>
      <c r="AP480" s="125" t="str">
        <f t="shared" si="411"/>
        <v/>
      </c>
      <c r="AQ480" s="125" t="str">
        <f t="shared" si="412"/>
        <v/>
      </c>
      <c r="AR480" s="129" t="str">
        <f t="shared" si="413"/>
        <v/>
      </c>
      <c r="AS480" s="9"/>
      <c r="AT480" s="34"/>
      <c r="AU480" s="34"/>
      <c r="AV480" s="117" t="str">
        <f>IF(_xlfn.XLOOKUP(AT480, AutoFill_classes!$A:$A, AutoFill_classes!$B:$B,"")=0,"",_xlfn.XLOOKUP(AT480, AutoFill_classes!$A:$A, AutoFill_classes!$B:$B,""))</f>
        <v/>
      </c>
      <c r="AW480" s="108"/>
      <c r="AX480" s="9"/>
      <c r="AY480" s="10"/>
      <c r="AZ480" s="9"/>
      <c r="BA480" s="10"/>
      <c r="BB480" s="10"/>
      <c r="BC480" s="64"/>
      <c r="BD480" s="25"/>
      <c r="BE480" s="121" t="str">
        <f t="shared" si="414"/>
        <v/>
      </c>
      <c r="BF480" s="20"/>
      <c r="BG480" s="20"/>
      <c r="BH480" s="24"/>
      <c r="BI480" s="24"/>
      <c r="BJ480" s="125" t="str">
        <f t="shared" si="415"/>
        <v/>
      </c>
      <c r="BK480" s="14"/>
      <c r="BL480" s="125" t="str">
        <f t="shared" si="416"/>
        <v/>
      </c>
      <c r="BM480" s="24"/>
      <c r="BN480" s="24"/>
      <c r="BO480" s="125" t="str">
        <f t="shared" si="417"/>
        <v/>
      </c>
      <c r="BP480" s="14"/>
      <c r="BQ480" s="125" t="str">
        <f t="shared" si="418"/>
        <v/>
      </c>
      <c r="BR480" s="24"/>
      <c r="BS480" s="24"/>
      <c r="BT480" s="125" t="str">
        <f t="shared" si="419"/>
        <v/>
      </c>
      <c r="BU480" s="125" t="str">
        <f t="shared" si="420"/>
        <v/>
      </c>
      <c r="BV480" s="125" t="str">
        <f t="shared" si="421"/>
        <v/>
      </c>
      <c r="BW480" s="129" t="str">
        <f t="shared" si="422"/>
        <v/>
      </c>
      <c r="BX480" s="9"/>
      <c r="BY480" s="9"/>
      <c r="BZ480" s="9"/>
      <c r="CA480" s="117" t="str">
        <f>IF(_xlfn.XLOOKUP(BY480, AutoFill_classes!$A:$A, AutoFill_classes!$B:$B,"")=0,"",_xlfn.XLOOKUP(BY480, AutoFill_classes!$A:$A, AutoFill_classes!$B:$B,""))</f>
        <v/>
      </c>
      <c r="CB480" s="108"/>
      <c r="CC480" s="9"/>
      <c r="CD480" s="9"/>
      <c r="CE480" s="9"/>
      <c r="CF480" s="4"/>
      <c r="CG480" s="25"/>
      <c r="CH480" s="64"/>
      <c r="CI480" s="27"/>
      <c r="CJ480" s="121" t="str">
        <f t="shared" si="423"/>
        <v/>
      </c>
      <c r="CK480" s="20"/>
      <c r="CL480" s="20"/>
      <c r="CM480" s="24"/>
      <c r="CN480" s="24"/>
      <c r="CO480" s="125" t="str">
        <f t="shared" si="424"/>
        <v/>
      </c>
      <c r="CP480" s="14"/>
      <c r="CQ480" s="125" t="str">
        <f t="shared" si="425"/>
        <v/>
      </c>
      <c r="CR480" s="24"/>
      <c r="CS480" s="24"/>
      <c r="CT480" s="125" t="str">
        <f t="shared" si="426"/>
        <v/>
      </c>
      <c r="CU480" s="14"/>
      <c r="CV480" s="125" t="str">
        <f t="shared" si="427"/>
        <v/>
      </c>
      <c r="CW480" s="24"/>
      <c r="CX480" s="24"/>
      <c r="CY480" s="125" t="str">
        <f t="shared" si="428"/>
        <v/>
      </c>
      <c r="CZ480" s="125" t="str">
        <f t="shared" si="429"/>
        <v/>
      </c>
      <c r="DA480" s="125" t="str">
        <f t="shared" si="430"/>
        <v/>
      </c>
      <c r="DB480" s="129" t="str">
        <f t="shared" si="431"/>
        <v/>
      </c>
      <c r="DC480" s="9"/>
      <c r="DD480" s="65"/>
      <c r="DE480" s="105">
        <v>476</v>
      </c>
    </row>
    <row r="481" spans="1:109" outlineLevel="1" x14ac:dyDescent="0.2">
      <c r="A481" s="4"/>
      <c r="B481" s="115" t="str">
        <f>IF(_xlfn.XLOOKUP(A481, AutoFill_names!B:B, AutoFill_names!C:C,"")=0,"",_xlfn.XLOOKUP(A481, AutoFill_names!B:B, AutoFill_names!C:C,""))</f>
        <v/>
      </c>
      <c r="C481" s="115" t="str">
        <f>IF(_xlfn.XLOOKUP(A481, AutoFill_names!B:B, AutoFill_names!D:D,"")=0,"",_xlfn.XLOOKUP(A481, AutoFill_names!B:B, AutoFill_names!D:D,""))</f>
        <v/>
      </c>
      <c r="D481" s="115" t="str">
        <f>IF(_xlfn.XLOOKUP(A481, AutoFill_names!B:B, AutoFill_names!E:E,"")=0,"",_xlfn.XLOOKUP(A481, AutoFill_names!B:B, AutoFill_names!E:E,""))</f>
        <v/>
      </c>
      <c r="E481" s="115" t="str">
        <f>IF(_xlfn.XLOOKUP(A481, AutoFill_names!B:B, AutoFill_names!F:F,"")=0,"",_xlfn.XLOOKUP(A481, AutoFill_names!B:B, AutoFill_names!F:F,""))</f>
        <v/>
      </c>
      <c r="F481" s="92"/>
      <c r="G481" s="1"/>
      <c r="H481" s="1"/>
      <c r="I481" s="1"/>
      <c r="J481" s="115" t="str">
        <f>IF(_xlfn.XLOOKUP(A481, AutoFill_names!B:B, AutoFill_names!K:K,"")=0,"",_xlfn.XLOOKUP(A481, AutoFill_names!B:B, AutoFill_names!K:K,""))</f>
        <v/>
      </c>
      <c r="K481" s="115" t="str">
        <f>IF(_xlfn.XLOOKUP(A481, AutoFill_names!B:B, AutoFill_names!L:L,"")=0,"",_xlfn.XLOOKUP(A481, AutoFill_names!B:B, AutoFill_names!L:L,""))</f>
        <v/>
      </c>
      <c r="L481" s="5"/>
      <c r="M481" s="5"/>
      <c r="N481" s="117" t="str">
        <f>IF(_xlfn.XLOOKUP(L481, AutoFill_classes!A:A, AutoFill_classes!B:B,"")=0,"",_xlfn.XLOOKUP(L481, AutoFill_classes!A:A, AutoFill_classes!B:B,""))</f>
        <v/>
      </c>
      <c r="O481" s="108"/>
      <c r="P481" s="8"/>
      <c r="Q481" s="8"/>
      <c r="R481" s="8"/>
      <c r="S481" s="4"/>
      <c r="T481" s="4"/>
      <c r="U481" s="4"/>
      <c r="V481" s="4"/>
      <c r="W481" s="4"/>
      <c r="X481" s="64"/>
      <c r="Y481" s="25"/>
      <c r="Z481" s="121" t="str">
        <f t="shared" si="405"/>
        <v/>
      </c>
      <c r="AA481" s="26"/>
      <c r="AB481" s="26"/>
      <c r="AC481" s="28"/>
      <c r="AD481" s="28"/>
      <c r="AE481" s="125" t="str">
        <f t="shared" si="406"/>
        <v/>
      </c>
      <c r="AF481" s="9"/>
      <c r="AG481" s="125" t="str">
        <f t="shared" si="407"/>
        <v/>
      </c>
      <c r="AH481" s="28"/>
      <c r="AI481" s="28"/>
      <c r="AJ481" s="125" t="str">
        <f t="shared" si="408"/>
        <v/>
      </c>
      <c r="AK481" s="9"/>
      <c r="AL481" s="125" t="str">
        <f t="shared" si="409"/>
        <v/>
      </c>
      <c r="AM481" s="28"/>
      <c r="AN481" s="28"/>
      <c r="AO481" s="125" t="str">
        <f t="shared" si="410"/>
        <v/>
      </c>
      <c r="AP481" s="125" t="str">
        <f t="shared" si="411"/>
        <v/>
      </c>
      <c r="AQ481" s="125" t="str">
        <f t="shared" si="412"/>
        <v/>
      </c>
      <c r="AR481" s="129" t="str">
        <f t="shared" si="413"/>
        <v/>
      </c>
      <c r="AS481" s="9"/>
      <c r="AT481" s="34"/>
      <c r="AU481" s="34"/>
      <c r="AV481" s="117" t="str">
        <f>IF(_xlfn.XLOOKUP(AT481, AutoFill_classes!$A:$A, AutoFill_classes!$B:$B,"")=0,"",_xlfn.XLOOKUP(AT481, AutoFill_classes!$A:$A, AutoFill_classes!$B:$B,""))</f>
        <v/>
      </c>
      <c r="AW481" s="108"/>
      <c r="AX481" s="9"/>
      <c r="AY481" s="10"/>
      <c r="AZ481" s="9"/>
      <c r="BA481" s="10"/>
      <c r="BB481" s="10"/>
      <c r="BC481" s="64"/>
      <c r="BD481" s="25"/>
      <c r="BE481" s="121" t="str">
        <f t="shared" si="414"/>
        <v/>
      </c>
      <c r="BF481" s="20"/>
      <c r="BG481" s="20"/>
      <c r="BH481" s="24"/>
      <c r="BI481" s="24"/>
      <c r="BJ481" s="125" t="str">
        <f t="shared" si="415"/>
        <v/>
      </c>
      <c r="BK481" s="14"/>
      <c r="BL481" s="125" t="str">
        <f t="shared" si="416"/>
        <v/>
      </c>
      <c r="BM481" s="24"/>
      <c r="BN481" s="24"/>
      <c r="BO481" s="125" t="str">
        <f t="shared" si="417"/>
        <v/>
      </c>
      <c r="BP481" s="14"/>
      <c r="BQ481" s="125" t="str">
        <f t="shared" si="418"/>
        <v/>
      </c>
      <c r="BR481" s="24"/>
      <c r="BS481" s="24"/>
      <c r="BT481" s="125" t="str">
        <f t="shared" si="419"/>
        <v/>
      </c>
      <c r="BU481" s="125" t="str">
        <f t="shared" si="420"/>
        <v/>
      </c>
      <c r="BV481" s="125" t="str">
        <f t="shared" si="421"/>
        <v/>
      </c>
      <c r="BW481" s="129" t="str">
        <f t="shared" si="422"/>
        <v/>
      </c>
      <c r="BX481" s="9"/>
      <c r="BY481" s="9"/>
      <c r="BZ481" s="9"/>
      <c r="CA481" s="117" t="str">
        <f>IF(_xlfn.XLOOKUP(BY481, AutoFill_classes!$A:$A, AutoFill_classes!$B:$B,"")=0,"",_xlfn.XLOOKUP(BY481, AutoFill_classes!$A:$A, AutoFill_classes!$B:$B,""))</f>
        <v/>
      </c>
      <c r="CB481" s="108"/>
      <c r="CC481" s="9"/>
      <c r="CD481" s="9"/>
      <c r="CE481" s="9"/>
      <c r="CF481" s="4"/>
      <c r="CG481" s="25"/>
      <c r="CH481" s="64"/>
      <c r="CI481" s="27"/>
      <c r="CJ481" s="121" t="str">
        <f t="shared" si="423"/>
        <v/>
      </c>
      <c r="CK481" s="20"/>
      <c r="CL481" s="20"/>
      <c r="CM481" s="24"/>
      <c r="CN481" s="24"/>
      <c r="CO481" s="125" t="str">
        <f t="shared" si="424"/>
        <v/>
      </c>
      <c r="CP481" s="14"/>
      <c r="CQ481" s="125" t="str">
        <f t="shared" si="425"/>
        <v/>
      </c>
      <c r="CR481" s="24"/>
      <c r="CS481" s="24"/>
      <c r="CT481" s="125" t="str">
        <f t="shared" si="426"/>
        <v/>
      </c>
      <c r="CU481" s="14"/>
      <c r="CV481" s="125" t="str">
        <f t="shared" si="427"/>
        <v/>
      </c>
      <c r="CW481" s="24"/>
      <c r="CX481" s="24"/>
      <c r="CY481" s="125" t="str">
        <f t="shared" si="428"/>
        <v/>
      </c>
      <c r="CZ481" s="125" t="str">
        <f t="shared" si="429"/>
        <v/>
      </c>
      <c r="DA481" s="125" t="str">
        <f t="shared" si="430"/>
        <v/>
      </c>
      <c r="DB481" s="129" t="str">
        <f t="shared" si="431"/>
        <v/>
      </c>
      <c r="DC481" s="9"/>
      <c r="DD481" s="65"/>
      <c r="DE481" s="105">
        <v>477</v>
      </c>
    </row>
    <row r="482" spans="1:109" outlineLevel="1" x14ac:dyDescent="0.2">
      <c r="A482" s="4"/>
      <c r="B482" s="115" t="str">
        <f>IF(_xlfn.XLOOKUP(A482, AutoFill_names!B:B, AutoFill_names!C:C,"")=0,"",_xlfn.XLOOKUP(A482, AutoFill_names!B:B, AutoFill_names!C:C,""))</f>
        <v/>
      </c>
      <c r="C482" s="115" t="str">
        <f>IF(_xlfn.XLOOKUP(A482, AutoFill_names!B:B, AutoFill_names!D:D,"")=0,"",_xlfn.XLOOKUP(A482, AutoFill_names!B:B, AutoFill_names!D:D,""))</f>
        <v/>
      </c>
      <c r="D482" s="115" t="str">
        <f>IF(_xlfn.XLOOKUP(A482, AutoFill_names!B:B, AutoFill_names!E:E,"")=0,"",_xlfn.XLOOKUP(A482, AutoFill_names!B:B, AutoFill_names!E:E,""))</f>
        <v/>
      </c>
      <c r="E482" s="115" t="str">
        <f>IF(_xlfn.XLOOKUP(A482, AutoFill_names!B:B, AutoFill_names!F:F,"")=0,"",_xlfn.XLOOKUP(A482, AutoFill_names!B:B, AutoFill_names!F:F,""))</f>
        <v/>
      </c>
      <c r="F482" s="92"/>
      <c r="G482" s="1"/>
      <c r="H482" s="1"/>
      <c r="I482" s="1"/>
      <c r="J482" s="115" t="str">
        <f>IF(_xlfn.XLOOKUP(A482, AutoFill_names!B:B, AutoFill_names!K:K,"")=0,"",_xlfn.XLOOKUP(A482, AutoFill_names!B:B, AutoFill_names!K:K,""))</f>
        <v/>
      </c>
      <c r="K482" s="115" t="str">
        <f>IF(_xlfn.XLOOKUP(A482, AutoFill_names!B:B, AutoFill_names!L:L,"")=0,"",_xlfn.XLOOKUP(A482, AutoFill_names!B:B, AutoFill_names!L:L,""))</f>
        <v/>
      </c>
      <c r="L482" s="5"/>
      <c r="M482" s="5"/>
      <c r="N482" s="117" t="str">
        <f>IF(_xlfn.XLOOKUP(L482, AutoFill_classes!A:A, AutoFill_classes!B:B,"")=0,"",_xlfn.XLOOKUP(L482, AutoFill_classes!A:A, AutoFill_classes!B:B,""))</f>
        <v/>
      </c>
      <c r="O482" s="108"/>
      <c r="P482" s="8"/>
      <c r="Q482" s="8"/>
      <c r="R482" s="8"/>
      <c r="S482" s="4"/>
      <c r="T482" s="4"/>
      <c r="U482" s="4"/>
      <c r="V482" s="4"/>
      <c r="W482" s="4"/>
      <c r="X482" s="64"/>
      <c r="Y482" s="25"/>
      <c r="Z482" s="121" t="str">
        <f t="shared" si="405"/>
        <v/>
      </c>
      <c r="AA482" s="26"/>
      <c r="AB482" s="26"/>
      <c r="AC482" s="28"/>
      <c r="AD482" s="28"/>
      <c r="AE482" s="125" t="str">
        <f t="shared" si="406"/>
        <v/>
      </c>
      <c r="AF482" s="9"/>
      <c r="AG482" s="125" t="str">
        <f t="shared" si="407"/>
        <v/>
      </c>
      <c r="AH482" s="28"/>
      <c r="AI482" s="28"/>
      <c r="AJ482" s="125" t="str">
        <f t="shared" si="408"/>
        <v/>
      </c>
      <c r="AK482" s="9"/>
      <c r="AL482" s="125" t="str">
        <f t="shared" si="409"/>
        <v/>
      </c>
      <c r="AM482" s="28"/>
      <c r="AN482" s="28"/>
      <c r="AO482" s="125" t="str">
        <f t="shared" si="410"/>
        <v/>
      </c>
      <c r="AP482" s="125" t="str">
        <f t="shared" si="411"/>
        <v/>
      </c>
      <c r="AQ482" s="125" t="str">
        <f t="shared" si="412"/>
        <v/>
      </c>
      <c r="AR482" s="129" t="str">
        <f t="shared" si="413"/>
        <v/>
      </c>
      <c r="AS482" s="9"/>
      <c r="AT482" s="34"/>
      <c r="AU482" s="34"/>
      <c r="AV482" s="117" t="str">
        <f>IF(_xlfn.XLOOKUP(AT482, AutoFill_classes!$A:$A, AutoFill_classes!$B:$B,"")=0,"",_xlfn.XLOOKUP(AT482, AutoFill_classes!$A:$A, AutoFill_classes!$B:$B,""))</f>
        <v/>
      </c>
      <c r="AW482" s="108"/>
      <c r="AX482" s="9"/>
      <c r="AY482" s="10"/>
      <c r="AZ482" s="9"/>
      <c r="BA482" s="10"/>
      <c r="BB482" s="10"/>
      <c r="BC482" s="64"/>
      <c r="BD482" s="25"/>
      <c r="BE482" s="121" t="str">
        <f t="shared" si="414"/>
        <v/>
      </c>
      <c r="BF482" s="20"/>
      <c r="BG482" s="20"/>
      <c r="BH482" s="24"/>
      <c r="BI482" s="24"/>
      <c r="BJ482" s="125" t="str">
        <f t="shared" si="415"/>
        <v/>
      </c>
      <c r="BK482" s="14"/>
      <c r="BL482" s="125" t="str">
        <f t="shared" si="416"/>
        <v/>
      </c>
      <c r="BM482" s="24"/>
      <c r="BN482" s="24"/>
      <c r="BO482" s="125" t="str">
        <f t="shared" si="417"/>
        <v/>
      </c>
      <c r="BP482" s="14"/>
      <c r="BQ482" s="125" t="str">
        <f t="shared" si="418"/>
        <v/>
      </c>
      <c r="BR482" s="24"/>
      <c r="BS482" s="24"/>
      <c r="BT482" s="125" t="str">
        <f t="shared" si="419"/>
        <v/>
      </c>
      <c r="BU482" s="125" t="str">
        <f t="shared" si="420"/>
        <v/>
      </c>
      <c r="BV482" s="125" t="str">
        <f t="shared" si="421"/>
        <v/>
      </c>
      <c r="BW482" s="129" t="str">
        <f t="shared" si="422"/>
        <v/>
      </c>
      <c r="BX482" s="9"/>
      <c r="BY482" s="9"/>
      <c r="BZ482" s="9"/>
      <c r="CA482" s="117" t="str">
        <f>IF(_xlfn.XLOOKUP(BY482, AutoFill_classes!$A:$A, AutoFill_classes!$B:$B,"")=0,"",_xlfn.XLOOKUP(BY482, AutoFill_classes!$A:$A, AutoFill_classes!$B:$B,""))</f>
        <v/>
      </c>
      <c r="CB482" s="108"/>
      <c r="CC482" s="9"/>
      <c r="CD482" s="9"/>
      <c r="CE482" s="9"/>
      <c r="CF482" s="4"/>
      <c r="CG482" s="25"/>
      <c r="CH482" s="64"/>
      <c r="CI482" s="27"/>
      <c r="CJ482" s="121" t="str">
        <f t="shared" si="423"/>
        <v/>
      </c>
      <c r="CK482" s="20"/>
      <c r="CL482" s="20"/>
      <c r="CM482" s="24"/>
      <c r="CN482" s="24"/>
      <c r="CO482" s="125" t="str">
        <f t="shared" si="424"/>
        <v/>
      </c>
      <c r="CP482" s="14"/>
      <c r="CQ482" s="125" t="str">
        <f t="shared" si="425"/>
        <v/>
      </c>
      <c r="CR482" s="24"/>
      <c r="CS482" s="24"/>
      <c r="CT482" s="125" t="str">
        <f t="shared" si="426"/>
        <v/>
      </c>
      <c r="CU482" s="14"/>
      <c r="CV482" s="125" t="str">
        <f t="shared" si="427"/>
        <v/>
      </c>
      <c r="CW482" s="24"/>
      <c r="CX482" s="24"/>
      <c r="CY482" s="125" t="str">
        <f t="shared" si="428"/>
        <v/>
      </c>
      <c r="CZ482" s="125" t="str">
        <f t="shared" si="429"/>
        <v/>
      </c>
      <c r="DA482" s="125" t="str">
        <f t="shared" si="430"/>
        <v/>
      </c>
      <c r="DB482" s="129" t="str">
        <f t="shared" si="431"/>
        <v/>
      </c>
      <c r="DC482" s="9"/>
      <c r="DD482" s="65"/>
      <c r="DE482" s="105">
        <v>478</v>
      </c>
    </row>
    <row r="483" spans="1:109" outlineLevel="1" x14ac:dyDescent="0.2">
      <c r="A483" s="4"/>
      <c r="B483" s="115" t="str">
        <f>IF(_xlfn.XLOOKUP(A483, AutoFill_names!B:B, AutoFill_names!C:C,"")=0,"",_xlfn.XLOOKUP(A483, AutoFill_names!B:B, AutoFill_names!C:C,""))</f>
        <v/>
      </c>
      <c r="C483" s="115" t="str">
        <f>IF(_xlfn.XLOOKUP(A483, AutoFill_names!B:B, AutoFill_names!D:D,"")=0,"",_xlfn.XLOOKUP(A483, AutoFill_names!B:B, AutoFill_names!D:D,""))</f>
        <v/>
      </c>
      <c r="D483" s="115" t="str">
        <f>IF(_xlfn.XLOOKUP(A483, AutoFill_names!B:B, AutoFill_names!E:E,"")=0,"",_xlfn.XLOOKUP(A483, AutoFill_names!B:B, AutoFill_names!E:E,""))</f>
        <v/>
      </c>
      <c r="E483" s="115" t="str">
        <f>IF(_xlfn.XLOOKUP(A483, AutoFill_names!B:B, AutoFill_names!F:F,"")=0,"",_xlfn.XLOOKUP(A483, AutoFill_names!B:B, AutoFill_names!F:F,""))</f>
        <v/>
      </c>
      <c r="F483" s="92"/>
      <c r="G483" s="1"/>
      <c r="H483" s="1"/>
      <c r="I483" s="1"/>
      <c r="J483" s="115" t="str">
        <f>IF(_xlfn.XLOOKUP(A483, AutoFill_names!B:B, AutoFill_names!K:K,"")=0,"",_xlfn.XLOOKUP(A483, AutoFill_names!B:B, AutoFill_names!K:K,""))</f>
        <v/>
      </c>
      <c r="K483" s="115" t="str">
        <f>IF(_xlfn.XLOOKUP(A483, AutoFill_names!B:B, AutoFill_names!L:L,"")=0,"",_xlfn.XLOOKUP(A483, AutoFill_names!B:B, AutoFill_names!L:L,""))</f>
        <v/>
      </c>
      <c r="L483" s="5"/>
      <c r="M483" s="5"/>
      <c r="N483" s="117" t="str">
        <f>IF(_xlfn.XLOOKUP(L483, AutoFill_classes!A:A, AutoFill_classes!B:B,"")=0,"",_xlfn.XLOOKUP(L483, AutoFill_classes!A:A, AutoFill_classes!B:B,""))</f>
        <v/>
      </c>
      <c r="O483" s="108"/>
      <c r="P483" s="8"/>
      <c r="Q483" s="8"/>
      <c r="R483" s="8"/>
      <c r="S483" s="4"/>
      <c r="T483" s="4"/>
      <c r="U483" s="4"/>
      <c r="V483" s="4"/>
      <c r="W483" s="4"/>
      <c r="X483" s="64"/>
      <c r="Y483" s="25"/>
      <c r="Z483" s="121" t="str">
        <f t="shared" si="405"/>
        <v/>
      </c>
      <c r="AA483" s="26"/>
      <c r="AB483" s="26"/>
      <c r="AC483" s="28"/>
      <c r="AD483" s="28"/>
      <c r="AE483" s="125" t="str">
        <f t="shared" si="406"/>
        <v/>
      </c>
      <c r="AF483" s="9"/>
      <c r="AG483" s="125" t="str">
        <f t="shared" si="407"/>
        <v/>
      </c>
      <c r="AH483" s="28"/>
      <c r="AI483" s="28"/>
      <c r="AJ483" s="125" t="str">
        <f t="shared" si="408"/>
        <v/>
      </c>
      <c r="AK483" s="9"/>
      <c r="AL483" s="125" t="str">
        <f t="shared" si="409"/>
        <v/>
      </c>
      <c r="AM483" s="28"/>
      <c r="AN483" s="28"/>
      <c r="AO483" s="125" t="str">
        <f t="shared" si="410"/>
        <v/>
      </c>
      <c r="AP483" s="125" t="str">
        <f t="shared" si="411"/>
        <v/>
      </c>
      <c r="AQ483" s="125" t="str">
        <f t="shared" si="412"/>
        <v/>
      </c>
      <c r="AR483" s="129" t="str">
        <f t="shared" si="413"/>
        <v/>
      </c>
      <c r="AS483" s="9"/>
      <c r="AT483" s="34"/>
      <c r="AU483" s="34"/>
      <c r="AV483" s="117" t="str">
        <f>IF(_xlfn.XLOOKUP(AT483, AutoFill_classes!$A:$A, AutoFill_classes!$B:$B,"")=0,"",_xlfn.XLOOKUP(AT483, AutoFill_classes!$A:$A, AutoFill_classes!$B:$B,""))</f>
        <v/>
      </c>
      <c r="AW483" s="108"/>
      <c r="AX483" s="9"/>
      <c r="AY483" s="10"/>
      <c r="AZ483" s="9"/>
      <c r="BA483" s="10"/>
      <c r="BB483" s="10"/>
      <c r="BC483" s="64"/>
      <c r="BD483" s="25"/>
      <c r="BE483" s="121" t="str">
        <f t="shared" si="414"/>
        <v/>
      </c>
      <c r="BF483" s="20"/>
      <c r="BG483" s="20"/>
      <c r="BH483" s="24"/>
      <c r="BI483" s="24"/>
      <c r="BJ483" s="125" t="str">
        <f t="shared" si="415"/>
        <v/>
      </c>
      <c r="BK483" s="14"/>
      <c r="BL483" s="125" t="str">
        <f t="shared" si="416"/>
        <v/>
      </c>
      <c r="BM483" s="24"/>
      <c r="BN483" s="24"/>
      <c r="BO483" s="125" t="str">
        <f t="shared" si="417"/>
        <v/>
      </c>
      <c r="BP483" s="14"/>
      <c r="BQ483" s="125" t="str">
        <f t="shared" si="418"/>
        <v/>
      </c>
      <c r="BR483" s="24"/>
      <c r="BS483" s="24"/>
      <c r="BT483" s="125" t="str">
        <f t="shared" si="419"/>
        <v/>
      </c>
      <c r="BU483" s="125" t="str">
        <f t="shared" si="420"/>
        <v/>
      </c>
      <c r="BV483" s="125" t="str">
        <f t="shared" si="421"/>
        <v/>
      </c>
      <c r="BW483" s="129" t="str">
        <f t="shared" si="422"/>
        <v/>
      </c>
      <c r="BX483" s="9"/>
      <c r="BY483" s="9"/>
      <c r="BZ483" s="9"/>
      <c r="CA483" s="117" t="str">
        <f>IF(_xlfn.XLOOKUP(BY483, AutoFill_classes!$A:$A, AutoFill_classes!$B:$B,"")=0,"",_xlfn.XLOOKUP(BY483, AutoFill_classes!$A:$A, AutoFill_classes!$B:$B,""))</f>
        <v/>
      </c>
      <c r="CB483" s="108"/>
      <c r="CC483" s="9"/>
      <c r="CD483" s="9"/>
      <c r="CE483" s="9"/>
      <c r="CF483" s="4"/>
      <c r="CG483" s="25"/>
      <c r="CH483" s="64"/>
      <c r="CI483" s="27"/>
      <c r="CJ483" s="121" t="str">
        <f t="shared" si="423"/>
        <v/>
      </c>
      <c r="CK483" s="20"/>
      <c r="CL483" s="20"/>
      <c r="CM483" s="24"/>
      <c r="CN483" s="24"/>
      <c r="CO483" s="125" t="str">
        <f t="shared" si="424"/>
        <v/>
      </c>
      <c r="CP483" s="14"/>
      <c r="CQ483" s="125" t="str">
        <f t="shared" si="425"/>
        <v/>
      </c>
      <c r="CR483" s="24"/>
      <c r="CS483" s="24"/>
      <c r="CT483" s="125" t="str">
        <f t="shared" si="426"/>
        <v/>
      </c>
      <c r="CU483" s="14"/>
      <c r="CV483" s="125" t="str">
        <f t="shared" si="427"/>
        <v/>
      </c>
      <c r="CW483" s="24"/>
      <c r="CX483" s="24"/>
      <c r="CY483" s="125" t="str">
        <f t="shared" si="428"/>
        <v/>
      </c>
      <c r="CZ483" s="125" t="str">
        <f t="shared" si="429"/>
        <v/>
      </c>
      <c r="DA483" s="125" t="str">
        <f t="shared" si="430"/>
        <v/>
      </c>
      <c r="DB483" s="129" t="str">
        <f t="shared" si="431"/>
        <v/>
      </c>
      <c r="DC483" s="9"/>
      <c r="DD483" s="65"/>
      <c r="DE483" s="105">
        <v>479</v>
      </c>
    </row>
    <row r="484" spans="1:109" outlineLevel="1" x14ac:dyDescent="0.2">
      <c r="A484" s="4"/>
      <c r="B484" s="115" t="str">
        <f>IF(_xlfn.XLOOKUP(A484, AutoFill_names!B:B, AutoFill_names!C:C,"")=0,"",_xlfn.XLOOKUP(A484, AutoFill_names!B:B, AutoFill_names!C:C,""))</f>
        <v/>
      </c>
      <c r="C484" s="115" t="str">
        <f>IF(_xlfn.XLOOKUP(A484, AutoFill_names!B:B, AutoFill_names!D:D,"")=0,"",_xlfn.XLOOKUP(A484, AutoFill_names!B:B, AutoFill_names!D:D,""))</f>
        <v/>
      </c>
      <c r="D484" s="115" t="str">
        <f>IF(_xlfn.XLOOKUP(A484, AutoFill_names!B:B, AutoFill_names!E:E,"")=0,"",_xlfn.XLOOKUP(A484, AutoFill_names!B:B, AutoFill_names!E:E,""))</f>
        <v/>
      </c>
      <c r="E484" s="115" t="str">
        <f>IF(_xlfn.XLOOKUP(A484, AutoFill_names!B:B, AutoFill_names!F:F,"")=0,"",_xlfn.XLOOKUP(A484, AutoFill_names!B:B, AutoFill_names!F:F,""))</f>
        <v/>
      </c>
      <c r="F484" s="92"/>
      <c r="G484" s="1"/>
      <c r="H484" s="1"/>
      <c r="I484" s="1"/>
      <c r="J484" s="115" t="str">
        <f>IF(_xlfn.XLOOKUP(A484, AutoFill_names!B:B, AutoFill_names!K:K,"")=0,"",_xlfn.XLOOKUP(A484, AutoFill_names!B:B, AutoFill_names!K:K,""))</f>
        <v/>
      </c>
      <c r="K484" s="115" t="str">
        <f>IF(_xlfn.XLOOKUP(A484, AutoFill_names!B:B, AutoFill_names!L:L,"")=0,"",_xlfn.XLOOKUP(A484, AutoFill_names!B:B, AutoFill_names!L:L,""))</f>
        <v/>
      </c>
      <c r="L484" s="5"/>
      <c r="M484" s="5"/>
      <c r="N484" s="117" t="str">
        <f>IF(_xlfn.XLOOKUP(L484, AutoFill_classes!A:A, AutoFill_classes!B:B,"")=0,"",_xlfn.XLOOKUP(L484, AutoFill_classes!A:A, AutoFill_classes!B:B,""))</f>
        <v/>
      </c>
      <c r="O484" s="108"/>
      <c r="P484" s="8"/>
      <c r="Q484" s="8"/>
      <c r="R484" s="8"/>
      <c r="S484" s="4"/>
      <c r="T484" s="4"/>
      <c r="U484" s="4"/>
      <c r="V484" s="4"/>
      <c r="W484" s="4"/>
      <c r="X484" s="64"/>
      <c r="Y484" s="25"/>
      <c r="Z484" s="121" t="str">
        <f t="shared" si="405"/>
        <v/>
      </c>
      <c r="AA484" s="26"/>
      <c r="AB484" s="26"/>
      <c r="AC484" s="28"/>
      <c r="AD484" s="28"/>
      <c r="AE484" s="125" t="str">
        <f t="shared" si="406"/>
        <v/>
      </c>
      <c r="AF484" s="9"/>
      <c r="AG484" s="125" t="str">
        <f t="shared" si="407"/>
        <v/>
      </c>
      <c r="AH484" s="28"/>
      <c r="AI484" s="28"/>
      <c r="AJ484" s="125" t="str">
        <f t="shared" si="408"/>
        <v/>
      </c>
      <c r="AK484" s="9"/>
      <c r="AL484" s="125" t="str">
        <f t="shared" si="409"/>
        <v/>
      </c>
      <c r="AM484" s="28"/>
      <c r="AN484" s="28"/>
      <c r="AO484" s="125" t="str">
        <f t="shared" si="410"/>
        <v/>
      </c>
      <c r="AP484" s="125" t="str">
        <f t="shared" si="411"/>
        <v/>
      </c>
      <c r="AQ484" s="125" t="str">
        <f t="shared" si="412"/>
        <v/>
      </c>
      <c r="AR484" s="129" t="str">
        <f t="shared" si="413"/>
        <v/>
      </c>
      <c r="AS484" s="9"/>
      <c r="AT484" s="34"/>
      <c r="AU484" s="34"/>
      <c r="AV484" s="117" t="str">
        <f>IF(_xlfn.XLOOKUP(AT484, AutoFill_classes!$A:$A, AutoFill_classes!$B:$B,"")=0,"",_xlfn.XLOOKUP(AT484, AutoFill_classes!$A:$A, AutoFill_classes!$B:$B,""))</f>
        <v/>
      </c>
      <c r="AW484" s="108"/>
      <c r="AX484" s="9"/>
      <c r="AY484" s="10"/>
      <c r="AZ484" s="9"/>
      <c r="BA484" s="10"/>
      <c r="BB484" s="10"/>
      <c r="BC484" s="64"/>
      <c r="BD484" s="25"/>
      <c r="BE484" s="121" t="str">
        <f t="shared" si="414"/>
        <v/>
      </c>
      <c r="BF484" s="20"/>
      <c r="BG484" s="20"/>
      <c r="BH484" s="24"/>
      <c r="BI484" s="24"/>
      <c r="BJ484" s="125" t="str">
        <f t="shared" si="415"/>
        <v/>
      </c>
      <c r="BK484" s="14"/>
      <c r="BL484" s="125" t="str">
        <f t="shared" si="416"/>
        <v/>
      </c>
      <c r="BM484" s="24"/>
      <c r="BN484" s="24"/>
      <c r="BO484" s="125" t="str">
        <f t="shared" si="417"/>
        <v/>
      </c>
      <c r="BP484" s="14"/>
      <c r="BQ484" s="125" t="str">
        <f t="shared" si="418"/>
        <v/>
      </c>
      <c r="BR484" s="24"/>
      <c r="BS484" s="24"/>
      <c r="BT484" s="125" t="str">
        <f t="shared" si="419"/>
        <v/>
      </c>
      <c r="BU484" s="125" t="str">
        <f t="shared" si="420"/>
        <v/>
      </c>
      <c r="BV484" s="125" t="str">
        <f t="shared" si="421"/>
        <v/>
      </c>
      <c r="BW484" s="129" t="str">
        <f t="shared" si="422"/>
        <v/>
      </c>
      <c r="BX484" s="9"/>
      <c r="BY484" s="9"/>
      <c r="BZ484" s="9"/>
      <c r="CA484" s="117" t="str">
        <f>IF(_xlfn.XLOOKUP(BY484, AutoFill_classes!$A:$A, AutoFill_classes!$B:$B,"")=0,"",_xlfn.XLOOKUP(BY484, AutoFill_classes!$A:$A, AutoFill_classes!$B:$B,""))</f>
        <v/>
      </c>
      <c r="CB484" s="108"/>
      <c r="CC484" s="9"/>
      <c r="CD484" s="9"/>
      <c r="CE484" s="9"/>
      <c r="CF484" s="4"/>
      <c r="CG484" s="25"/>
      <c r="CH484" s="64"/>
      <c r="CI484" s="27"/>
      <c r="CJ484" s="121" t="str">
        <f t="shared" si="423"/>
        <v/>
      </c>
      <c r="CK484" s="20"/>
      <c r="CL484" s="20"/>
      <c r="CM484" s="24"/>
      <c r="CN484" s="24"/>
      <c r="CO484" s="125" t="str">
        <f t="shared" si="424"/>
        <v/>
      </c>
      <c r="CP484" s="14"/>
      <c r="CQ484" s="125" t="str">
        <f t="shared" si="425"/>
        <v/>
      </c>
      <c r="CR484" s="24"/>
      <c r="CS484" s="24"/>
      <c r="CT484" s="125" t="str">
        <f t="shared" si="426"/>
        <v/>
      </c>
      <c r="CU484" s="14"/>
      <c r="CV484" s="125" t="str">
        <f t="shared" si="427"/>
        <v/>
      </c>
      <c r="CW484" s="24"/>
      <c r="CX484" s="24"/>
      <c r="CY484" s="125" t="str">
        <f t="shared" si="428"/>
        <v/>
      </c>
      <c r="CZ484" s="125" t="str">
        <f t="shared" si="429"/>
        <v/>
      </c>
      <c r="DA484" s="125" t="str">
        <f t="shared" si="430"/>
        <v/>
      </c>
      <c r="DB484" s="129" t="str">
        <f t="shared" si="431"/>
        <v/>
      </c>
      <c r="DC484" s="9"/>
      <c r="DD484" s="65"/>
      <c r="DE484" s="105">
        <v>480</v>
      </c>
    </row>
    <row r="485" spans="1:109" outlineLevel="1" x14ac:dyDescent="0.2">
      <c r="A485" s="4"/>
      <c r="B485" s="115" t="str">
        <f>IF(_xlfn.XLOOKUP(A485, AutoFill_names!B:B, AutoFill_names!C:C,"")=0,"",_xlfn.XLOOKUP(A485, AutoFill_names!B:B, AutoFill_names!C:C,""))</f>
        <v/>
      </c>
      <c r="C485" s="115" t="str">
        <f>IF(_xlfn.XLOOKUP(A485, AutoFill_names!B:B, AutoFill_names!D:D,"")=0,"",_xlfn.XLOOKUP(A485, AutoFill_names!B:B, AutoFill_names!D:D,""))</f>
        <v/>
      </c>
      <c r="D485" s="115" t="str">
        <f>IF(_xlfn.XLOOKUP(A485, AutoFill_names!B:B, AutoFill_names!E:E,"")=0,"",_xlfn.XLOOKUP(A485, AutoFill_names!B:B, AutoFill_names!E:E,""))</f>
        <v/>
      </c>
      <c r="E485" s="115" t="str">
        <f>IF(_xlfn.XLOOKUP(A485, AutoFill_names!B:B, AutoFill_names!F:F,"")=0,"",_xlfn.XLOOKUP(A485, AutoFill_names!B:B, AutoFill_names!F:F,""))</f>
        <v/>
      </c>
      <c r="F485" s="92"/>
      <c r="G485" s="1"/>
      <c r="H485" s="1"/>
      <c r="I485" s="1"/>
      <c r="J485" s="115" t="str">
        <f>IF(_xlfn.XLOOKUP(A485, AutoFill_names!B:B, AutoFill_names!K:K,"")=0,"",_xlfn.XLOOKUP(A485, AutoFill_names!B:B, AutoFill_names!K:K,""))</f>
        <v/>
      </c>
      <c r="K485" s="115" t="str">
        <f>IF(_xlfn.XLOOKUP(A485, AutoFill_names!B:B, AutoFill_names!L:L,"")=0,"",_xlfn.XLOOKUP(A485, AutoFill_names!B:B, AutoFill_names!L:L,""))</f>
        <v/>
      </c>
      <c r="L485" s="5"/>
      <c r="M485" s="5"/>
      <c r="N485" s="117" t="str">
        <f>IF(_xlfn.XLOOKUP(L485, AutoFill_classes!A:A, AutoFill_classes!B:B,"")=0,"",_xlfn.XLOOKUP(L485, AutoFill_classes!A:A, AutoFill_classes!B:B,""))</f>
        <v/>
      </c>
      <c r="O485" s="108"/>
      <c r="P485" s="8"/>
      <c r="Q485" s="8"/>
      <c r="R485" s="8"/>
      <c r="S485" s="4"/>
      <c r="T485" s="4"/>
      <c r="U485" s="4"/>
      <c r="V485" s="4"/>
      <c r="W485" s="4"/>
      <c r="X485" s="64"/>
      <c r="Y485" s="25"/>
      <c r="Z485" s="121" t="str">
        <f t="shared" si="405"/>
        <v/>
      </c>
      <c r="AA485" s="26"/>
      <c r="AB485" s="26"/>
      <c r="AC485" s="28"/>
      <c r="AD485" s="28"/>
      <c r="AE485" s="125" t="str">
        <f t="shared" si="406"/>
        <v/>
      </c>
      <c r="AF485" s="9"/>
      <c r="AG485" s="125" t="str">
        <f t="shared" si="407"/>
        <v/>
      </c>
      <c r="AH485" s="28"/>
      <c r="AI485" s="28"/>
      <c r="AJ485" s="125" t="str">
        <f t="shared" si="408"/>
        <v/>
      </c>
      <c r="AK485" s="9"/>
      <c r="AL485" s="125" t="str">
        <f t="shared" si="409"/>
        <v/>
      </c>
      <c r="AM485" s="28"/>
      <c r="AN485" s="28"/>
      <c r="AO485" s="125" t="str">
        <f t="shared" si="410"/>
        <v/>
      </c>
      <c r="AP485" s="125" t="str">
        <f t="shared" si="411"/>
        <v/>
      </c>
      <c r="AQ485" s="125" t="str">
        <f t="shared" si="412"/>
        <v/>
      </c>
      <c r="AR485" s="129" t="str">
        <f t="shared" si="413"/>
        <v/>
      </c>
      <c r="AS485" s="9"/>
      <c r="AT485" s="34"/>
      <c r="AU485" s="34"/>
      <c r="AV485" s="117" t="str">
        <f>IF(_xlfn.XLOOKUP(AT485, AutoFill_classes!$A:$A, AutoFill_classes!$B:$B,"")=0,"",_xlfn.XLOOKUP(AT485, AutoFill_classes!$A:$A, AutoFill_classes!$B:$B,""))</f>
        <v/>
      </c>
      <c r="AW485" s="108"/>
      <c r="AX485" s="9"/>
      <c r="AY485" s="10"/>
      <c r="AZ485" s="9"/>
      <c r="BA485" s="10"/>
      <c r="BB485" s="10"/>
      <c r="BC485" s="64"/>
      <c r="BD485" s="25"/>
      <c r="BE485" s="121" t="str">
        <f t="shared" si="414"/>
        <v/>
      </c>
      <c r="BF485" s="20"/>
      <c r="BG485" s="20"/>
      <c r="BH485" s="24"/>
      <c r="BI485" s="24"/>
      <c r="BJ485" s="125" t="str">
        <f t="shared" si="415"/>
        <v/>
      </c>
      <c r="BK485" s="14"/>
      <c r="BL485" s="125" t="str">
        <f t="shared" si="416"/>
        <v/>
      </c>
      <c r="BM485" s="24"/>
      <c r="BN485" s="24"/>
      <c r="BO485" s="125" t="str">
        <f t="shared" si="417"/>
        <v/>
      </c>
      <c r="BP485" s="14"/>
      <c r="BQ485" s="125" t="str">
        <f t="shared" si="418"/>
        <v/>
      </c>
      <c r="BR485" s="24"/>
      <c r="BS485" s="24"/>
      <c r="BT485" s="125" t="str">
        <f t="shared" si="419"/>
        <v/>
      </c>
      <c r="BU485" s="125" t="str">
        <f t="shared" si="420"/>
        <v/>
      </c>
      <c r="BV485" s="125" t="str">
        <f t="shared" si="421"/>
        <v/>
      </c>
      <c r="BW485" s="129" t="str">
        <f t="shared" si="422"/>
        <v/>
      </c>
      <c r="BX485" s="9"/>
      <c r="BY485" s="9"/>
      <c r="BZ485" s="9"/>
      <c r="CA485" s="117" t="str">
        <f>IF(_xlfn.XLOOKUP(BY485, AutoFill_classes!$A:$A, AutoFill_classes!$B:$B,"")=0,"",_xlfn.XLOOKUP(BY485, AutoFill_classes!$A:$A, AutoFill_classes!$B:$B,""))</f>
        <v/>
      </c>
      <c r="CB485" s="108"/>
      <c r="CC485" s="9"/>
      <c r="CD485" s="9"/>
      <c r="CE485" s="9"/>
      <c r="CF485" s="4"/>
      <c r="CG485" s="25"/>
      <c r="CH485" s="64"/>
      <c r="CI485" s="27"/>
      <c r="CJ485" s="121" t="str">
        <f t="shared" si="423"/>
        <v/>
      </c>
      <c r="CK485" s="20"/>
      <c r="CL485" s="20"/>
      <c r="CM485" s="24"/>
      <c r="CN485" s="24"/>
      <c r="CO485" s="125" t="str">
        <f t="shared" si="424"/>
        <v/>
      </c>
      <c r="CP485" s="14"/>
      <c r="CQ485" s="125" t="str">
        <f t="shared" si="425"/>
        <v/>
      </c>
      <c r="CR485" s="24"/>
      <c r="CS485" s="24"/>
      <c r="CT485" s="125" t="str">
        <f t="shared" si="426"/>
        <v/>
      </c>
      <c r="CU485" s="14"/>
      <c r="CV485" s="125" t="str">
        <f t="shared" si="427"/>
        <v/>
      </c>
      <c r="CW485" s="24"/>
      <c r="CX485" s="24"/>
      <c r="CY485" s="125" t="str">
        <f t="shared" si="428"/>
        <v/>
      </c>
      <c r="CZ485" s="125" t="str">
        <f t="shared" si="429"/>
        <v/>
      </c>
      <c r="DA485" s="125" t="str">
        <f t="shared" si="430"/>
        <v/>
      </c>
      <c r="DB485" s="129" t="str">
        <f t="shared" si="431"/>
        <v/>
      </c>
      <c r="DC485" s="9"/>
      <c r="DD485" s="65"/>
      <c r="DE485" s="105">
        <v>481</v>
      </c>
    </row>
    <row r="486" spans="1:109" outlineLevel="1" x14ac:dyDescent="0.2">
      <c r="A486" s="4"/>
      <c r="B486" s="115" t="str">
        <f>IF(_xlfn.XLOOKUP(A486, AutoFill_names!B:B, AutoFill_names!C:C,"")=0,"",_xlfn.XLOOKUP(A486, AutoFill_names!B:B, AutoFill_names!C:C,""))</f>
        <v/>
      </c>
      <c r="C486" s="115" t="str">
        <f>IF(_xlfn.XLOOKUP(A486, AutoFill_names!B:B, AutoFill_names!D:D,"")=0,"",_xlfn.XLOOKUP(A486, AutoFill_names!B:B, AutoFill_names!D:D,""))</f>
        <v/>
      </c>
      <c r="D486" s="115" t="str">
        <f>IF(_xlfn.XLOOKUP(A486, AutoFill_names!B:B, AutoFill_names!E:E,"")=0,"",_xlfn.XLOOKUP(A486, AutoFill_names!B:B, AutoFill_names!E:E,""))</f>
        <v/>
      </c>
      <c r="E486" s="115" t="str">
        <f>IF(_xlfn.XLOOKUP(A486, AutoFill_names!B:B, AutoFill_names!F:F,"")=0,"",_xlfn.XLOOKUP(A486, AutoFill_names!B:B, AutoFill_names!F:F,""))</f>
        <v/>
      </c>
      <c r="F486" s="92"/>
      <c r="G486" s="1"/>
      <c r="H486" s="1"/>
      <c r="I486" s="1"/>
      <c r="J486" s="115" t="str">
        <f>IF(_xlfn.XLOOKUP(A486, AutoFill_names!B:B, AutoFill_names!K:K,"")=0,"",_xlfn.XLOOKUP(A486, AutoFill_names!B:B, AutoFill_names!K:K,""))</f>
        <v/>
      </c>
      <c r="K486" s="115" t="str">
        <f>IF(_xlfn.XLOOKUP(A486, AutoFill_names!B:B, AutoFill_names!L:L,"")=0,"",_xlfn.XLOOKUP(A486, AutoFill_names!B:B, AutoFill_names!L:L,""))</f>
        <v/>
      </c>
      <c r="L486" s="5"/>
      <c r="M486" s="5"/>
      <c r="N486" s="117" t="str">
        <f>IF(_xlfn.XLOOKUP(L486, AutoFill_classes!A:A, AutoFill_classes!B:B,"")=0,"",_xlfn.XLOOKUP(L486, AutoFill_classes!A:A, AutoFill_classes!B:B,""))</f>
        <v/>
      </c>
      <c r="O486" s="108"/>
      <c r="P486" s="8"/>
      <c r="Q486" s="8"/>
      <c r="R486" s="8"/>
      <c r="S486" s="4"/>
      <c r="T486" s="4"/>
      <c r="U486" s="4"/>
      <c r="V486" s="4"/>
      <c r="W486" s="4"/>
      <c r="X486" s="64"/>
      <c r="Y486" s="25"/>
      <c r="Z486" s="121" t="str">
        <f t="shared" si="405"/>
        <v/>
      </c>
      <c r="AA486" s="26"/>
      <c r="AB486" s="26"/>
      <c r="AC486" s="28"/>
      <c r="AD486" s="28"/>
      <c r="AE486" s="125" t="str">
        <f t="shared" si="406"/>
        <v/>
      </c>
      <c r="AF486" s="9"/>
      <c r="AG486" s="125" t="str">
        <f t="shared" si="407"/>
        <v/>
      </c>
      <c r="AH486" s="28"/>
      <c r="AI486" s="28"/>
      <c r="AJ486" s="125" t="str">
        <f t="shared" si="408"/>
        <v/>
      </c>
      <c r="AK486" s="9"/>
      <c r="AL486" s="125" t="str">
        <f t="shared" si="409"/>
        <v/>
      </c>
      <c r="AM486" s="28"/>
      <c r="AN486" s="28"/>
      <c r="AO486" s="125" t="str">
        <f t="shared" si="410"/>
        <v/>
      </c>
      <c r="AP486" s="125" t="str">
        <f t="shared" si="411"/>
        <v/>
      </c>
      <c r="AQ486" s="125" t="str">
        <f t="shared" si="412"/>
        <v/>
      </c>
      <c r="AR486" s="129" t="str">
        <f t="shared" si="413"/>
        <v/>
      </c>
      <c r="AS486" s="9"/>
      <c r="AT486" s="34"/>
      <c r="AU486" s="34"/>
      <c r="AV486" s="117" t="str">
        <f>IF(_xlfn.XLOOKUP(AT486, AutoFill_classes!$A:$A, AutoFill_classes!$B:$B,"")=0,"",_xlfn.XLOOKUP(AT486, AutoFill_classes!$A:$A, AutoFill_classes!$B:$B,""))</f>
        <v/>
      </c>
      <c r="AW486" s="108"/>
      <c r="AX486" s="9"/>
      <c r="AY486" s="10"/>
      <c r="AZ486" s="9"/>
      <c r="BA486" s="10"/>
      <c r="BB486" s="10"/>
      <c r="BC486" s="64"/>
      <c r="BD486" s="25"/>
      <c r="BE486" s="121" t="str">
        <f t="shared" si="414"/>
        <v/>
      </c>
      <c r="BF486" s="20"/>
      <c r="BG486" s="20"/>
      <c r="BH486" s="24"/>
      <c r="BI486" s="24"/>
      <c r="BJ486" s="125" t="str">
        <f t="shared" si="415"/>
        <v/>
      </c>
      <c r="BK486" s="14"/>
      <c r="BL486" s="125" t="str">
        <f t="shared" si="416"/>
        <v/>
      </c>
      <c r="BM486" s="24"/>
      <c r="BN486" s="24"/>
      <c r="BO486" s="125" t="str">
        <f t="shared" si="417"/>
        <v/>
      </c>
      <c r="BP486" s="14"/>
      <c r="BQ486" s="125" t="str">
        <f t="shared" si="418"/>
        <v/>
      </c>
      <c r="BR486" s="24"/>
      <c r="BS486" s="24"/>
      <c r="BT486" s="125" t="str">
        <f t="shared" si="419"/>
        <v/>
      </c>
      <c r="BU486" s="125" t="str">
        <f t="shared" si="420"/>
        <v/>
      </c>
      <c r="BV486" s="125" t="str">
        <f t="shared" si="421"/>
        <v/>
      </c>
      <c r="BW486" s="129" t="str">
        <f t="shared" si="422"/>
        <v/>
      </c>
      <c r="BX486" s="9"/>
      <c r="BY486" s="9"/>
      <c r="BZ486" s="9"/>
      <c r="CA486" s="117" t="str">
        <f>IF(_xlfn.XLOOKUP(BY486, AutoFill_classes!$A:$A, AutoFill_classes!$B:$B,"")=0,"",_xlfn.XLOOKUP(BY486, AutoFill_classes!$A:$A, AutoFill_classes!$B:$B,""))</f>
        <v/>
      </c>
      <c r="CB486" s="108"/>
      <c r="CC486" s="9"/>
      <c r="CD486" s="9"/>
      <c r="CE486" s="9"/>
      <c r="CF486" s="4"/>
      <c r="CG486" s="25"/>
      <c r="CH486" s="64"/>
      <c r="CI486" s="27"/>
      <c r="CJ486" s="121" t="str">
        <f t="shared" si="423"/>
        <v/>
      </c>
      <c r="CK486" s="20"/>
      <c r="CL486" s="20"/>
      <c r="CM486" s="24"/>
      <c r="CN486" s="24"/>
      <c r="CO486" s="125" t="str">
        <f t="shared" si="424"/>
        <v/>
      </c>
      <c r="CP486" s="14"/>
      <c r="CQ486" s="125" t="str">
        <f t="shared" si="425"/>
        <v/>
      </c>
      <c r="CR486" s="24"/>
      <c r="CS486" s="24"/>
      <c r="CT486" s="125" t="str">
        <f t="shared" si="426"/>
        <v/>
      </c>
      <c r="CU486" s="14"/>
      <c r="CV486" s="125" t="str">
        <f t="shared" si="427"/>
        <v/>
      </c>
      <c r="CW486" s="24"/>
      <c r="CX486" s="24"/>
      <c r="CY486" s="125" t="str">
        <f t="shared" si="428"/>
        <v/>
      </c>
      <c r="CZ486" s="125" t="str">
        <f t="shared" si="429"/>
        <v/>
      </c>
      <c r="DA486" s="125" t="str">
        <f t="shared" si="430"/>
        <v/>
      </c>
      <c r="DB486" s="129" t="str">
        <f t="shared" si="431"/>
        <v/>
      </c>
      <c r="DC486" s="9"/>
      <c r="DD486" s="65"/>
      <c r="DE486" s="105">
        <v>482</v>
      </c>
    </row>
    <row r="487" spans="1:109" outlineLevel="1" x14ac:dyDescent="0.2">
      <c r="A487" s="4"/>
      <c r="B487" s="115" t="str">
        <f>IF(_xlfn.XLOOKUP(A487, AutoFill_names!B:B, AutoFill_names!C:C,"")=0,"",_xlfn.XLOOKUP(A487, AutoFill_names!B:B, AutoFill_names!C:C,""))</f>
        <v/>
      </c>
      <c r="C487" s="115" t="str">
        <f>IF(_xlfn.XLOOKUP(A487, AutoFill_names!B:B, AutoFill_names!D:D,"")=0,"",_xlfn.XLOOKUP(A487, AutoFill_names!B:B, AutoFill_names!D:D,""))</f>
        <v/>
      </c>
      <c r="D487" s="115" t="str">
        <f>IF(_xlfn.XLOOKUP(A487, AutoFill_names!B:B, AutoFill_names!E:E,"")=0,"",_xlfn.XLOOKUP(A487, AutoFill_names!B:B, AutoFill_names!E:E,""))</f>
        <v/>
      </c>
      <c r="E487" s="115" t="str">
        <f>IF(_xlfn.XLOOKUP(A487, AutoFill_names!B:B, AutoFill_names!F:F,"")=0,"",_xlfn.XLOOKUP(A487, AutoFill_names!B:B, AutoFill_names!F:F,""))</f>
        <v/>
      </c>
      <c r="F487" s="92"/>
      <c r="G487" s="1"/>
      <c r="H487" s="1"/>
      <c r="I487" s="1"/>
      <c r="J487" s="115" t="str">
        <f>IF(_xlfn.XLOOKUP(A487, AutoFill_names!B:B, AutoFill_names!K:K,"")=0,"",_xlfn.XLOOKUP(A487, AutoFill_names!B:B, AutoFill_names!K:K,""))</f>
        <v/>
      </c>
      <c r="K487" s="115" t="str">
        <f>IF(_xlfn.XLOOKUP(A487, AutoFill_names!B:B, AutoFill_names!L:L,"")=0,"",_xlfn.XLOOKUP(A487, AutoFill_names!B:B, AutoFill_names!L:L,""))</f>
        <v/>
      </c>
      <c r="L487" s="5"/>
      <c r="M487" s="5"/>
      <c r="N487" s="117" t="str">
        <f>IF(_xlfn.XLOOKUP(L487, AutoFill_classes!A:A, AutoFill_classes!B:B,"")=0,"",_xlfn.XLOOKUP(L487, AutoFill_classes!A:A, AutoFill_classes!B:B,""))</f>
        <v/>
      </c>
      <c r="O487" s="108"/>
      <c r="P487" s="8"/>
      <c r="Q487" s="8"/>
      <c r="R487" s="8"/>
      <c r="S487" s="4"/>
      <c r="T487" s="4"/>
      <c r="U487" s="4"/>
      <c r="V487" s="4"/>
      <c r="W487" s="4"/>
      <c r="X487" s="64"/>
      <c r="Y487" s="25"/>
      <c r="Z487" s="121" t="str">
        <f t="shared" si="405"/>
        <v/>
      </c>
      <c r="AA487" s="26"/>
      <c r="AB487" s="26"/>
      <c r="AC487" s="28"/>
      <c r="AD487" s="28"/>
      <c r="AE487" s="125" t="str">
        <f t="shared" si="406"/>
        <v/>
      </c>
      <c r="AF487" s="9"/>
      <c r="AG487" s="125" t="str">
        <f t="shared" si="407"/>
        <v/>
      </c>
      <c r="AH487" s="28"/>
      <c r="AI487" s="28"/>
      <c r="AJ487" s="125" t="str">
        <f t="shared" si="408"/>
        <v/>
      </c>
      <c r="AK487" s="9"/>
      <c r="AL487" s="125" t="str">
        <f t="shared" si="409"/>
        <v/>
      </c>
      <c r="AM487" s="28"/>
      <c r="AN487" s="28"/>
      <c r="AO487" s="125" t="str">
        <f t="shared" si="410"/>
        <v/>
      </c>
      <c r="AP487" s="125" t="str">
        <f t="shared" si="411"/>
        <v/>
      </c>
      <c r="AQ487" s="125" t="str">
        <f t="shared" si="412"/>
        <v/>
      </c>
      <c r="AR487" s="129" t="str">
        <f t="shared" si="413"/>
        <v/>
      </c>
      <c r="AS487" s="9"/>
      <c r="AT487" s="34"/>
      <c r="AU487" s="34"/>
      <c r="AV487" s="117" t="str">
        <f>IF(_xlfn.XLOOKUP(AT487, AutoFill_classes!$A:$A, AutoFill_classes!$B:$B,"")=0,"",_xlfn.XLOOKUP(AT487, AutoFill_classes!$A:$A, AutoFill_classes!$B:$B,""))</f>
        <v/>
      </c>
      <c r="AW487" s="108"/>
      <c r="AX487" s="9"/>
      <c r="AY487" s="10"/>
      <c r="AZ487" s="9"/>
      <c r="BA487" s="10"/>
      <c r="BB487" s="10"/>
      <c r="BC487" s="64"/>
      <c r="BD487" s="25"/>
      <c r="BE487" s="121" t="str">
        <f t="shared" si="414"/>
        <v/>
      </c>
      <c r="BF487" s="20"/>
      <c r="BG487" s="20"/>
      <c r="BH487" s="24"/>
      <c r="BI487" s="24"/>
      <c r="BJ487" s="125" t="str">
        <f t="shared" si="415"/>
        <v/>
      </c>
      <c r="BK487" s="14"/>
      <c r="BL487" s="125" t="str">
        <f t="shared" si="416"/>
        <v/>
      </c>
      <c r="BM487" s="24"/>
      <c r="BN487" s="24"/>
      <c r="BO487" s="125" t="str">
        <f t="shared" si="417"/>
        <v/>
      </c>
      <c r="BP487" s="14"/>
      <c r="BQ487" s="125" t="str">
        <f t="shared" si="418"/>
        <v/>
      </c>
      <c r="BR487" s="24"/>
      <c r="BS487" s="24"/>
      <c r="BT487" s="125" t="str">
        <f t="shared" si="419"/>
        <v/>
      </c>
      <c r="BU487" s="125" t="str">
        <f t="shared" si="420"/>
        <v/>
      </c>
      <c r="BV487" s="125" t="str">
        <f t="shared" si="421"/>
        <v/>
      </c>
      <c r="BW487" s="129" t="str">
        <f t="shared" si="422"/>
        <v/>
      </c>
      <c r="BX487" s="9"/>
      <c r="BY487" s="9"/>
      <c r="BZ487" s="9"/>
      <c r="CA487" s="117" t="str">
        <f>IF(_xlfn.XLOOKUP(BY487, AutoFill_classes!$A:$A, AutoFill_classes!$B:$B,"")=0,"",_xlfn.XLOOKUP(BY487, AutoFill_classes!$A:$A, AutoFill_classes!$B:$B,""))</f>
        <v/>
      </c>
      <c r="CB487" s="108"/>
      <c r="CC487" s="9"/>
      <c r="CD487" s="9"/>
      <c r="CE487" s="9"/>
      <c r="CF487" s="4"/>
      <c r="CG487" s="25"/>
      <c r="CH487" s="64"/>
      <c r="CI487" s="27"/>
      <c r="CJ487" s="121" t="str">
        <f t="shared" si="423"/>
        <v/>
      </c>
      <c r="CK487" s="20"/>
      <c r="CL487" s="20"/>
      <c r="CM487" s="24"/>
      <c r="CN487" s="24"/>
      <c r="CO487" s="125" t="str">
        <f t="shared" si="424"/>
        <v/>
      </c>
      <c r="CP487" s="14"/>
      <c r="CQ487" s="125" t="str">
        <f t="shared" si="425"/>
        <v/>
      </c>
      <c r="CR487" s="24"/>
      <c r="CS487" s="24"/>
      <c r="CT487" s="125" t="str">
        <f t="shared" si="426"/>
        <v/>
      </c>
      <c r="CU487" s="14"/>
      <c r="CV487" s="125" t="str">
        <f t="shared" si="427"/>
        <v/>
      </c>
      <c r="CW487" s="24"/>
      <c r="CX487" s="24"/>
      <c r="CY487" s="125" t="str">
        <f t="shared" si="428"/>
        <v/>
      </c>
      <c r="CZ487" s="125" t="str">
        <f t="shared" si="429"/>
        <v/>
      </c>
      <c r="DA487" s="125" t="str">
        <f t="shared" si="430"/>
        <v/>
      </c>
      <c r="DB487" s="129" t="str">
        <f t="shared" si="431"/>
        <v/>
      </c>
      <c r="DC487" s="9"/>
      <c r="DD487" s="65"/>
      <c r="DE487" s="105">
        <v>483</v>
      </c>
    </row>
    <row r="488" spans="1:109" outlineLevel="1" x14ac:dyDescent="0.2">
      <c r="A488" s="4"/>
      <c r="B488" s="115" t="str">
        <f>IF(_xlfn.XLOOKUP(A488, AutoFill_names!B:B, AutoFill_names!C:C,"")=0,"",_xlfn.XLOOKUP(A488, AutoFill_names!B:B, AutoFill_names!C:C,""))</f>
        <v/>
      </c>
      <c r="C488" s="115" t="str">
        <f>IF(_xlfn.XLOOKUP(A488, AutoFill_names!B:B, AutoFill_names!D:D,"")=0,"",_xlfn.XLOOKUP(A488, AutoFill_names!B:B, AutoFill_names!D:D,""))</f>
        <v/>
      </c>
      <c r="D488" s="115" t="str">
        <f>IF(_xlfn.XLOOKUP(A488, AutoFill_names!B:B, AutoFill_names!E:E,"")=0,"",_xlfn.XLOOKUP(A488, AutoFill_names!B:B, AutoFill_names!E:E,""))</f>
        <v/>
      </c>
      <c r="E488" s="115" t="str">
        <f>IF(_xlfn.XLOOKUP(A488, AutoFill_names!B:B, AutoFill_names!F:F,"")=0,"",_xlfn.XLOOKUP(A488, AutoFill_names!B:B, AutoFill_names!F:F,""))</f>
        <v/>
      </c>
      <c r="F488" s="92"/>
      <c r="G488" s="1"/>
      <c r="H488" s="1"/>
      <c r="I488" s="1"/>
      <c r="J488" s="115" t="str">
        <f>IF(_xlfn.XLOOKUP(A488, AutoFill_names!B:B, AutoFill_names!K:K,"")=0,"",_xlfn.XLOOKUP(A488, AutoFill_names!B:B, AutoFill_names!K:K,""))</f>
        <v/>
      </c>
      <c r="K488" s="115" t="str">
        <f>IF(_xlfn.XLOOKUP(A488, AutoFill_names!B:B, AutoFill_names!L:L,"")=0,"",_xlfn.XLOOKUP(A488, AutoFill_names!B:B, AutoFill_names!L:L,""))</f>
        <v/>
      </c>
      <c r="L488" s="5"/>
      <c r="M488" s="5"/>
      <c r="N488" s="117" t="str">
        <f>IF(_xlfn.XLOOKUP(L488, AutoFill_classes!A:A, AutoFill_classes!B:B,"")=0,"",_xlfn.XLOOKUP(L488, AutoFill_classes!A:A, AutoFill_classes!B:B,""))</f>
        <v/>
      </c>
      <c r="O488" s="108"/>
      <c r="P488" s="8"/>
      <c r="Q488" s="8"/>
      <c r="R488" s="8"/>
      <c r="S488" s="4"/>
      <c r="T488" s="4"/>
      <c r="U488" s="4"/>
      <c r="V488" s="4"/>
      <c r="W488" s="4"/>
      <c r="X488" s="64"/>
      <c r="Y488" s="25"/>
      <c r="Z488" s="121" t="str">
        <f t="shared" ref="Z488:Z519" si="432">IF(X488*Y488=0,"",X488*Y488)</f>
        <v/>
      </c>
      <c r="AA488" s="26"/>
      <c r="AB488" s="26"/>
      <c r="AC488" s="28"/>
      <c r="AD488" s="28"/>
      <c r="AE488" s="125" t="str">
        <f t="shared" ref="AE488:AE519" si="433">IF(ROUNDUP((AD488-AC488)/7,0)=0,"",ROUNDUP((AD488-AC488)/7,0))</f>
        <v/>
      </c>
      <c r="AF488" s="9"/>
      <c r="AG488" s="125" t="str">
        <f t="shared" ref="AG488:AG519" si="434">IFERROR(IF(AE488*AF488=0,"",AE488*AF488), "")</f>
        <v/>
      </c>
      <c r="AH488" s="28"/>
      <c r="AI488" s="28"/>
      <c r="AJ488" s="125" t="str">
        <f t="shared" ref="AJ488:AJ519" si="435">IF(ROUNDUP((AI488-AH488)/7,0)=0,"",ROUNDUP((AI488-AH488)/7,0))</f>
        <v/>
      </c>
      <c r="AK488" s="9"/>
      <c r="AL488" s="125" t="str">
        <f t="shared" ref="AL488:AL519" si="436">IFERROR(IF(AJ488*AK488=0,"",AJ488*AK488), "")</f>
        <v/>
      </c>
      <c r="AM488" s="28"/>
      <c r="AN488" s="28"/>
      <c r="AO488" s="125" t="str">
        <f t="shared" ref="AO488:AO519" si="437">IF(ROUNDUP((AN488-AM488)/7,0)=0,"",ROUNDUP((AN488-AM488)/7,0))</f>
        <v/>
      </c>
      <c r="AP488" s="125" t="str">
        <f t="shared" ref="AP488:AP519" si="438">IFERROR(IF((AS488-(AF488+AK488))/AO488=0,"",ROUNDUP((AS488-(AF488+AK488))/AO488,0)), "")</f>
        <v/>
      </c>
      <c r="AQ488" s="125" t="str">
        <f t="shared" ref="AQ488:AQ519" si="439">IFERROR(IF((AS488-(AG488+AL488))=0, "", (AS488-(AG488+AL488))), "")</f>
        <v/>
      </c>
      <c r="AR488" s="129" t="str">
        <f t="shared" ref="AR488:AR519" si="440">IFERROR(IF((AE488+AJ488+AO488)=0, "", (AE488+AJ488+AO488)), "")</f>
        <v/>
      </c>
      <c r="AS488" s="9"/>
      <c r="AT488" s="34"/>
      <c r="AU488" s="34"/>
      <c r="AV488" s="117" t="str">
        <f>IF(_xlfn.XLOOKUP(AT488, AutoFill_classes!$A:$A, AutoFill_classes!$B:$B,"")=0,"",_xlfn.XLOOKUP(AT488, AutoFill_classes!$A:$A, AutoFill_classes!$B:$B,""))</f>
        <v/>
      </c>
      <c r="AW488" s="108"/>
      <c r="AX488" s="9"/>
      <c r="AY488" s="10"/>
      <c r="AZ488" s="9"/>
      <c r="BA488" s="10"/>
      <c r="BB488" s="10"/>
      <c r="BC488" s="64"/>
      <c r="BD488" s="25"/>
      <c r="BE488" s="121" t="str">
        <f t="shared" ref="BE488:BE519" si="441">IF(BC488*BD488=0,"",BC488*BD488)</f>
        <v/>
      </c>
      <c r="BF488" s="20"/>
      <c r="BG488" s="20"/>
      <c r="BH488" s="24"/>
      <c r="BI488" s="24"/>
      <c r="BJ488" s="125" t="str">
        <f t="shared" ref="BJ488:BJ519" si="442">IF(ROUNDUP((BI488-BH488)/7,0)=0,"",ROUNDUP((BI488-BH488)/7,0))</f>
        <v/>
      </c>
      <c r="BK488" s="14"/>
      <c r="BL488" s="125" t="str">
        <f t="shared" ref="BL488:BL519" si="443">IFERROR(IF(BJ488*BK488=0,"",BJ488*BK488), "")</f>
        <v/>
      </c>
      <c r="BM488" s="24"/>
      <c r="BN488" s="24"/>
      <c r="BO488" s="125" t="str">
        <f t="shared" ref="BO488:BO519" si="444">IF(ROUNDUP((BN488-BM488)/7,0)=0,"",ROUNDUP((BN488-BM488)/7,0))</f>
        <v/>
      </c>
      <c r="BP488" s="14"/>
      <c r="BQ488" s="125" t="str">
        <f t="shared" ref="BQ488:BQ519" si="445">IFERROR(IF(BO488*BP488=0,"",BO488*BP488), "")</f>
        <v/>
      </c>
      <c r="BR488" s="24"/>
      <c r="BS488" s="24"/>
      <c r="BT488" s="125" t="str">
        <f t="shared" ref="BT488:BT519" si="446">IF(ROUNDUP((BS488-BR488)/7,0)=0,"",ROUNDUP((BS488-BR488)/7,0))</f>
        <v/>
      </c>
      <c r="BU488" s="125" t="str">
        <f t="shared" ref="BU488:BU519" si="447">IFERROR(IF((BX488-(BK488+BP488))/BT488=0,"",ROUNDUP((BX488-(BK488+BP488))/BT488,0)), "")</f>
        <v/>
      </c>
      <c r="BV488" s="125" t="str">
        <f t="shared" ref="BV488:BV519" si="448">IFERROR(IF((BX488-(BL488+BQ488))=0, "", (BX488-(BL488+BQ488))), "")</f>
        <v/>
      </c>
      <c r="BW488" s="129" t="str">
        <f t="shared" ref="BW488:BW519" si="449">IFERROR(IF((BJ488+BO488+BT488)=0, "", (BJ488+BO488+BT488)), "")</f>
        <v/>
      </c>
      <c r="BX488" s="9"/>
      <c r="BY488" s="9"/>
      <c r="BZ488" s="9"/>
      <c r="CA488" s="117" t="str">
        <f>IF(_xlfn.XLOOKUP(BY488, AutoFill_classes!$A:$A, AutoFill_classes!$B:$B,"")=0,"",_xlfn.XLOOKUP(BY488, AutoFill_classes!$A:$A, AutoFill_classes!$B:$B,""))</f>
        <v/>
      </c>
      <c r="CB488" s="108"/>
      <c r="CC488" s="9"/>
      <c r="CD488" s="9"/>
      <c r="CE488" s="9"/>
      <c r="CF488" s="4"/>
      <c r="CG488" s="25"/>
      <c r="CH488" s="64"/>
      <c r="CI488" s="27"/>
      <c r="CJ488" s="121" t="str">
        <f t="shared" ref="CJ488:CJ519" si="450">IF(CH488*CI488=0,"",CH488*CI488)</f>
        <v/>
      </c>
      <c r="CK488" s="20"/>
      <c r="CL488" s="20"/>
      <c r="CM488" s="24"/>
      <c r="CN488" s="24"/>
      <c r="CO488" s="125" t="str">
        <f t="shared" ref="CO488:CO519" si="451">IF(ROUNDUP((CN488-CM488)/7,0)=0,"",ROUNDUP((CN488-CM488)/7,0))</f>
        <v/>
      </c>
      <c r="CP488" s="14"/>
      <c r="CQ488" s="125" t="str">
        <f t="shared" ref="CQ488:CQ519" si="452">IFERROR(IF(CO488*CP488=0,"",CO488*CP488), "")</f>
        <v/>
      </c>
      <c r="CR488" s="24"/>
      <c r="CS488" s="24"/>
      <c r="CT488" s="125" t="str">
        <f t="shared" ref="CT488:CT519" si="453">IF(ROUNDUP((CS488-CR488)/7,0)=0,"",ROUNDUP((CS488-CR488)/7,0))</f>
        <v/>
      </c>
      <c r="CU488" s="14"/>
      <c r="CV488" s="125" t="str">
        <f t="shared" ref="CV488:CV519" si="454">IFERROR(IF(CT488*CU488=0,"",CT488*CU488), "")</f>
        <v/>
      </c>
      <c r="CW488" s="24"/>
      <c r="CX488" s="24"/>
      <c r="CY488" s="125" t="str">
        <f t="shared" ref="CY488:CY519" si="455">IF(ROUNDUP((CX488-CW488)/7,0)=0,"",ROUNDUP((CX488-CW488)/7,0))</f>
        <v/>
      </c>
      <c r="CZ488" s="125" t="str">
        <f t="shared" ref="CZ488:CZ519" si="456">IFERROR(IF((DC488-(CP488+CU488))/CY488=0,"",ROUNDUP((DC488-(CP488+CU488))/CY488,0)), "")</f>
        <v/>
      </c>
      <c r="DA488" s="125" t="str">
        <f t="shared" ref="DA488:DA519" si="457">IFERROR(IF((DC488-(CQ488+CV488))=0, "", (DC488-(CQ488+CV488))), "")</f>
        <v/>
      </c>
      <c r="DB488" s="129" t="str">
        <f t="shared" ref="DB488:DB519" si="458">IFERROR(IF((CO488+CT488+CY488)=0, "", (CO488+CT488+CY488)), "")</f>
        <v/>
      </c>
      <c r="DC488" s="9"/>
      <c r="DD488" s="65"/>
      <c r="DE488" s="105">
        <v>484</v>
      </c>
    </row>
    <row r="489" spans="1:109" outlineLevel="1" x14ac:dyDescent="0.2">
      <c r="A489" s="4"/>
      <c r="B489" s="115" t="str">
        <f>IF(_xlfn.XLOOKUP(A489, AutoFill_names!B:B, AutoFill_names!C:C,"")=0,"",_xlfn.XLOOKUP(A489, AutoFill_names!B:B, AutoFill_names!C:C,""))</f>
        <v/>
      </c>
      <c r="C489" s="115" t="str">
        <f>IF(_xlfn.XLOOKUP(A489, AutoFill_names!B:B, AutoFill_names!D:D,"")=0,"",_xlfn.XLOOKUP(A489, AutoFill_names!B:B, AutoFill_names!D:D,""))</f>
        <v/>
      </c>
      <c r="D489" s="115" t="str">
        <f>IF(_xlfn.XLOOKUP(A489, AutoFill_names!B:B, AutoFill_names!E:E,"")=0,"",_xlfn.XLOOKUP(A489, AutoFill_names!B:B, AutoFill_names!E:E,""))</f>
        <v/>
      </c>
      <c r="E489" s="115" t="str">
        <f>IF(_xlfn.XLOOKUP(A489, AutoFill_names!B:B, AutoFill_names!F:F,"")=0,"",_xlfn.XLOOKUP(A489, AutoFill_names!B:B, AutoFill_names!F:F,""))</f>
        <v/>
      </c>
      <c r="F489" s="92"/>
      <c r="G489" s="1"/>
      <c r="H489" s="1"/>
      <c r="I489" s="1"/>
      <c r="J489" s="115" t="str">
        <f>IF(_xlfn.XLOOKUP(A489, AutoFill_names!B:B, AutoFill_names!K:K,"")=0,"",_xlfn.XLOOKUP(A489, AutoFill_names!B:B, AutoFill_names!K:K,""))</f>
        <v/>
      </c>
      <c r="K489" s="115" t="str">
        <f>IF(_xlfn.XLOOKUP(A489, AutoFill_names!B:B, AutoFill_names!L:L,"")=0,"",_xlfn.XLOOKUP(A489, AutoFill_names!B:B, AutoFill_names!L:L,""))</f>
        <v/>
      </c>
      <c r="L489" s="5"/>
      <c r="M489" s="5"/>
      <c r="N489" s="117" t="str">
        <f>IF(_xlfn.XLOOKUP(L489, AutoFill_classes!A:A, AutoFill_classes!B:B,"")=0,"",_xlfn.XLOOKUP(L489, AutoFill_classes!A:A, AutoFill_classes!B:B,""))</f>
        <v/>
      </c>
      <c r="O489" s="108"/>
      <c r="P489" s="8"/>
      <c r="Q489" s="8"/>
      <c r="R489" s="8"/>
      <c r="S489" s="4"/>
      <c r="T489" s="4"/>
      <c r="U489" s="4"/>
      <c r="V489" s="4"/>
      <c r="W489" s="4"/>
      <c r="X489" s="64"/>
      <c r="Y489" s="25"/>
      <c r="Z489" s="121" t="str">
        <f t="shared" si="432"/>
        <v/>
      </c>
      <c r="AA489" s="26"/>
      <c r="AB489" s="26"/>
      <c r="AC489" s="28"/>
      <c r="AD489" s="28"/>
      <c r="AE489" s="125" t="str">
        <f t="shared" si="433"/>
        <v/>
      </c>
      <c r="AF489" s="9"/>
      <c r="AG489" s="125" t="str">
        <f t="shared" si="434"/>
        <v/>
      </c>
      <c r="AH489" s="28"/>
      <c r="AI489" s="28"/>
      <c r="AJ489" s="125" t="str">
        <f t="shared" si="435"/>
        <v/>
      </c>
      <c r="AK489" s="9"/>
      <c r="AL489" s="125" t="str">
        <f t="shared" si="436"/>
        <v/>
      </c>
      <c r="AM489" s="28"/>
      <c r="AN489" s="28"/>
      <c r="AO489" s="125" t="str">
        <f t="shared" si="437"/>
        <v/>
      </c>
      <c r="AP489" s="125" t="str">
        <f t="shared" si="438"/>
        <v/>
      </c>
      <c r="AQ489" s="125" t="str">
        <f t="shared" si="439"/>
        <v/>
      </c>
      <c r="AR489" s="129" t="str">
        <f t="shared" si="440"/>
        <v/>
      </c>
      <c r="AS489" s="9"/>
      <c r="AT489" s="34"/>
      <c r="AU489" s="34"/>
      <c r="AV489" s="117" t="str">
        <f>IF(_xlfn.XLOOKUP(AT489, AutoFill_classes!$A:$A, AutoFill_classes!$B:$B,"")=0,"",_xlfn.XLOOKUP(AT489, AutoFill_classes!$A:$A, AutoFill_classes!$B:$B,""))</f>
        <v/>
      </c>
      <c r="AW489" s="108"/>
      <c r="AX489" s="9"/>
      <c r="AY489" s="10"/>
      <c r="AZ489" s="9"/>
      <c r="BA489" s="10"/>
      <c r="BB489" s="10"/>
      <c r="BC489" s="64"/>
      <c r="BD489" s="25"/>
      <c r="BE489" s="121" t="str">
        <f t="shared" si="441"/>
        <v/>
      </c>
      <c r="BF489" s="20"/>
      <c r="BG489" s="20"/>
      <c r="BH489" s="24"/>
      <c r="BI489" s="24"/>
      <c r="BJ489" s="125" t="str">
        <f t="shared" si="442"/>
        <v/>
      </c>
      <c r="BK489" s="14"/>
      <c r="BL489" s="125" t="str">
        <f t="shared" si="443"/>
        <v/>
      </c>
      <c r="BM489" s="24"/>
      <c r="BN489" s="24"/>
      <c r="BO489" s="125" t="str">
        <f t="shared" si="444"/>
        <v/>
      </c>
      <c r="BP489" s="14"/>
      <c r="BQ489" s="125" t="str">
        <f t="shared" si="445"/>
        <v/>
      </c>
      <c r="BR489" s="24"/>
      <c r="BS489" s="24"/>
      <c r="BT489" s="125" t="str">
        <f t="shared" si="446"/>
        <v/>
      </c>
      <c r="BU489" s="125" t="str">
        <f t="shared" si="447"/>
        <v/>
      </c>
      <c r="BV489" s="125" t="str">
        <f t="shared" si="448"/>
        <v/>
      </c>
      <c r="BW489" s="129" t="str">
        <f t="shared" si="449"/>
        <v/>
      </c>
      <c r="BX489" s="9"/>
      <c r="BY489" s="9"/>
      <c r="BZ489" s="9"/>
      <c r="CA489" s="117" t="str">
        <f>IF(_xlfn.XLOOKUP(BY489, AutoFill_classes!$A:$A, AutoFill_classes!$B:$B,"")=0,"",_xlfn.XLOOKUP(BY489, AutoFill_classes!$A:$A, AutoFill_classes!$B:$B,""))</f>
        <v/>
      </c>
      <c r="CB489" s="108"/>
      <c r="CC489" s="9"/>
      <c r="CD489" s="9"/>
      <c r="CE489" s="9"/>
      <c r="CF489" s="4"/>
      <c r="CG489" s="25"/>
      <c r="CH489" s="64"/>
      <c r="CI489" s="27"/>
      <c r="CJ489" s="121" t="str">
        <f t="shared" si="450"/>
        <v/>
      </c>
      <c r="CK489" s="20"/>
      <c r="CL489" s="20"/>
      <c r="CM489" s="24"/>
      <c r="CN489" s="24"/>
      <c r="CO489" s="125" t="str">
        <f t="shared" si="451"/>
        <v/>
      </c>
      <c r="CP489" s="14"/>
      <c r="CQ489" s="125" t="str">
        <f t="shared" si="452"/>
        <v/>
      </c>
      <c r="CR489" s="24"/>
      <c r="CS489" s="24"/>
      <c r="CT489" s="125" t="str">
        <f t="shared" si="453"/>
        <v/>
      </c>
      <c r="CU489" s="14"/>
      <c r="CV489" s="125" t="str">
        <f t="shared" si="454"/>
        <v/>
      </c>
      <c r="CW489" s="24"/>
      <c r="CX489" s="24"/>
      <c r="CY489" s="125" t="str">
        <f t="shared" si="455"/>
        <v/>
      </c>
      <c r="CZ489" s="125" t="str">
        <f t="shared" si="456"/>
        <v/>
      </c>
      <c r="DA489" s="125" t="str">
        <f t="shared" si="457"/>
        <v/>
      </c>
      <c r="DB489" s="129" t="str">
        <f t="shared" si="458"/>
        <v/>
      </c>
      <c r="DC489" s="9"/>
      <c r="DD489" s="65"/>
      <c r="DE489" s="105">
        <v>485</v>
      </c>
    </row>
    <row r="490" spans="1:109" outlineLevel="1" x14ac:dyDescent="0.2">
      <c r="A490" s="4"/>
      <c r="B490" s="115" t="str">
        <f>IF(_xlfn.XLOOKUP(A490, AutoFill_names!B:B, AutoFill_names!C:C,"")=0,"",_xlfn.XLOOKUP(A490, AutoFill_names!B:B, AutoFill_names!C:C,""))</f>
        <v/>
      </c>
      <c r="C490" s="115" t="str">
        <f>IF(_xlfn.XLOOKUP(A490, AutoFill_names!B:B, AutoFill_names!D:D,"")=0,"",_xlfn.XLOOKUP(A490, AutoFill_names!B:B, AutoFill_names!D:D,""))</f>
        <v/>
      </c>
      <c r="D490" s="115" t="str">
        <f>IF(_xlfn.XLOOKUP(A490, AutoFill_names!B:B, AutoFill_names!E:E,"")=0,"",_xlfn.XLOOKUP(A490, AutoFill_names!B:B, AutoFill_names!E:E,""))</f>
        <v/>
      </c>
      <c r="E490" s="115" t="str">
        <f>IF(_xlfn.XLOOKUP(A490, AutoFill_names!B:B, AutoFill_names!F:F,"")=0,"",_xlfn.XLOOKUP(A490, AutoFill_names!B:B, AutoFill_names!F:F,""))</f>
        <v/>
      </c>
      <c r="F490" s="92"/>
      <c r="G490" s="1"/>
      <c r="H490" s="1"/>
      <c r="I490" s="1"/>
      <c r="J490" s="115" t="str">
        <f>IF(_xlfn.XLOOKUP(A490, AutoFill_names!B:B, AutoFill_names!K:K,"")=0,"",_xlfn.XLOOKUP(A490, AutoFill_names!B:B, AutoFill_names!K:K,""))</f>
        <v/>
      </c>
      <c r="K490" s="115" t="str">
        <f>IF(_xlfn.XLOOKUP(A490, AutoFill_names!B:B, AutoFill_names!L:L,"")=0,"",_xlfn.XLOOKUP(A490, AutoFill_names!B:B, AutoFill_names!L:L,""))</f>
        <v/>
      </c>
      <c r="L490" s="5"/>
      <c r="M490" s="5"/>
      <c r="N490" s="117" t="str">
        <f>IF(_xlfn.XLOOKUP(L490, AutoFill_classes!A:A, AutoFill_classes!B:B,"")=0,"",_xlfn.XLOOKUP(L490, AutoFill_classes!A:A, AutoFill_classes!B:B,""))</f>
        <v/>
      </c>
      <c r="O490" s="108"/>
      <c r="P490" s="8"/>
      <c r="Q490" s="8"/>
      <c r="R490" s="8"/>
      <c r="S490" s="4"/>
      <c r="T490" s="4"/>
      <c r="U490" s="4"/>
      <c r="V490" s="4"/>
      <c r="W490" s="4"/>
      <c r="X490" s="64"/>
      <c r="Y490" s="25"/>
      <c r="Z490" s="121" t="str">
        <f t="shared" si="432"/>
        <v/>
      </c>
      <c r="AA490" s="26"/>
      <c r="AB490" s="26"/>
      <c r="AC490" s="28"/>
      <c r="AD490" s="28"/>
      <c r="AE490" s="125" t="str">
        <f t="shared" si="433"/>
        <v/>
      </c>
      <c r="AF490" s="9"/>
      <c r="AG490" s="125" t="str">
        <f t="shared" si="434"/>
        <v/>
      </c>
      <c r="AH490" s="28"/>
      <c r="AI490" s="28"/>
      <c r="AJ490" s="125" t="str">
        <f t="shared" si="435"/>
        <v/>
      </c>
      <c r="AK490" s="9"/>
      <c r="AL490" s="125" t="str">
        <f t="shared" si="436"/>
        <v/>
      </c>
      <c r="AM490" s="28"/>
      <c r="AN490" s="28"/>
      <c r="AO490" s="125" t="str">
        <f t="shared" si="437"/>
        <v/>
      </c>
      <c r="AP490" s="125" t="str">
        <f t="shared" si="438"/>
        <v/>
      </c>
      <c r="AQ490" s="125" t="str">
        <f t="shared" si="439"/>
        <v/>
      </c>
      <c r="AR490" s="129" t="str">
        <f t="shared" si="440"/>
        <v/>
      </c>
      <c r="AS490" s="9"/>
      <c r="AT490" s="34"/>
      <c r="AU490" s="34"/>
      <c r="AV490" s="117" t="str">
        <f>IF(_xlfn.XLOOKUP(AT490, AutoFill_classes!$A:$A, AutoFill_classes!$B:$B,"")=0,"",_xlfn.XLOOKUP(AT490, AutoFill_classes!$A:$A, AutoFill_classes!$B:$B,""))</f>
        <v/>
      </c>
      <c r="AW490" s="108"/>
      <c r="AX490" s="9"/>
      <c r="AY490" s="10"/>
      <c r="AZ490" s="9"/>
      <c r="BA490" s="10"/>
      <c r="BB490" s="10"/>
      <c r="BC490" s="64"/>
      <c r="BD490" s="25"/>
      <c r="BE490" s="121" t="str">
        <f t="shared" si="441"/>
        <v/>
      </c>
      <c r="BF490" s="20"/>
      <c r="BG490" s="20"/>
      <c r="BH490" s="24"/>
      <c r="BI490" s="24"/>
      <c r="BJ490" s="125" t="str">
        <f t="shared" si="442"/>
        <v/>
      </c>
      <c r="BK490" s="14"/>
      <c r="BL490" s="125" t="str">
        <f t="shared" si="443"/>
        <v/>
      </c>
      <c r="BM490" s="24"/>
      <c r="BN490" s="24"/>
      <c r="BO490" s="125" t="str">
        <f t="shared" si="444"/>
        <v/>
      </c>
      <c r="BP490" s="14"/>
      <c r="BQ490" s="125" t="str">
        <f t="shared" si="445"/>
        <v/>
      </c>
      <c r="BR490" s="24"/>
      <c r="BS490" s="24"/>
      <c r="BT490" s="125" t="str">
        <f t="shared" si="446"/>
        <v/>
      </c>
      <c r="BU490" s="125" t="str">
        <f t="shared" si="447"/>
        <v/>
      </c>
      <c r="BV490" s="125" t="str">
        <f t="shared" si="448"/>
        <v/>
      </c>
      <c r="BW490" s="129" t="str">
        <f t="shared" si="449"/>
        <v/>
      </c>
      <c r="BX490" s="9"/>
      <c r="BY490" s="9"/>
      <c r="BZ490" s="9"/>
      <c r="CA490" s="117" t="str">
        <f>IF(_xlfn.XLOOKUP(BY490, AutoFill_classes!$A:$A, AutoFill_classes!$B:$B,"")=0,"",_xlfn.XLOOKUP(BY490, AutoFill_classes!$A:$A, AutoFill_classes!$B:$B,""))</f>
        <v/>
      </c>
      <c r="CB490" s="108"/>
      <c r="CC490" s="9"/>
      <c r="CD490" s="9"/>
      <c r="CE490" s="9"/>
      <c r="CF490" s="4"/>
      <c r="CG490" s="25"/>
      <c r="CH490" s="64"/>
      <c r="CI490" s="27"/>
      <c r="CJ490" s="121" t="str">
        <f t="shared" si="450"/>
        <v/>
      </c>
      <c r="CK490" s="20"/>
      <c r="CL490" s="20"/>
      <c r="CM490" s="24"/>
      <c r="CN490" s="24"/>
      <c r="CO490" s="125" t="str">
        <f t="shared" si="451"/>
        <v/>
      </c>
      <c r="CP490" s="14"/>
      <c r="CQ490" s="125" t="str">
        <f t="shared" si="452"/>
        <v/>
      </c>
      <c r="CR490" s="24"/>
      <c r="CS490" s="24"/>
      <c r="CT490" s="125" t="str">
        <f t="shared" si="453"/>
        <v/>
      </c>
      <c r="CU490" s="14"/>
      <c r="CV490" s="125" t="str">
        <f t="shared" si="454"/>
        <v/>
      </c>
      <c r="CW490" s="24"/>
      <c r="CX490" s="24"/>
      <c r="CY490" s="125" t="str">
        <f t="shared" si="455"/>
        <v/>
      </c>
      <c r="CZ490" s="125" t="str">
        <f t="shared" si="456"/>
        <v/>
      </c>
      <c r="DA490" s="125" t="str">
        <f t="shared" si="457"/>
        <v/>
      </c>
      <c r="DB490" s="129" t="str">
        <f t="shared" si="458"/>
        <v/>
      </c>
      <c r="DC490" s="9"/>
      <c r="DD490" s="65"/>
      <c r="DE490" s="105">
        <v>486</v>
      </c>
    </row>
    <row r="491" spans="1:109" outlineLevel="1" x14ac:dyDescent="0.2">
      <c r="A491" s="4"/>
      <c r="B491" s="115" t="str">
        <f>IF(_xlfn.XLOOKUP(A491, AutoFill_names!B:B, AutoFill_names!C:C,"")=0,"",_xlfn.XLOOKUP(A491, AutoFill_names!B:B, AutoFill_names!C:C,""))</f>
        <v/>
      </c>
      <c r="C491" s="115" t="str">
        <f>IF(_xlfn.XLOOKUP(A491, AutoFill_names!B:B, AutoFill_names!D:D,"")=0,"",_xlfn.XLOOKUP(A491, AutoFill_names!B:B, AutoFill_names!D:D,""))</f>
        <v/>
      </c>
      <c r="D491" s="115" t="str">
        <f>IF(_xlfn.XLOOKUP(A491, AutoFill_names!B:B, AutoFill_names!E:E,"")=0,"",_xlfn.XLOOKUP(A491, AutoFill_names!B:B, AutoFill_names!E:E,""))</f>
        <v/>
      </c>
      <c r="E491" s="115" t="str">
        <f>IF(_xlfn.XLOOKUP(A491, AutoFill_names!B:B, AutoFill_names!F:F,"")=0,"",_xlfn.XLOOKUP(A491, AutoFill_names!B:B, AutoFill_names!F:F,""))</f>
        <v/>
      </c>
      <c r="F491" s="92"/>
      <c r="G491" s="1"/>
      <c r="H491" s="1"/>
      <c r="I491" s="1"/>
      <c r="J491" s="115" t="str">
        <f>IF(_xlfn.XLOOKUP(A491, AutoFill_names!B:B, AutoFill_names!K:K,"")=0,"",_xlfn.XLOOKUP(A491, AutoFill_names!B:B, AutoFill_names!K:K,""))</f>
        <v/>
      </c>
      <c r="K491" s="115" t="str">
        <f>IF(_xlfn.XLOOKUP(A491, AutoFill_names!B:B, AutoFill_names!L:L,"")=0,"",_xlfn.XLOOKUP(A491, AutoFill_names!B:B, AutoFill_names!L:L,""))</f>
        <v/>
      </c>
      <c r="L491" s="5"/>
      <c r="M491" s="5"/>
      <c r="N491" s="117" t="str">
        <f>IF(_xlfn.XLOOKUP(L491, AutoFill_classes!A:A, AutoFill_classes!B:B,"")=0,"",_xlfn.XLOOKUP(L491, AutoFill_classes!A:A, AutoFill_classes!B:B,""))</f>
        <v/>
      </c>
      <c r="O491" s="108"/>
      <c r="P491" s="8"/>
      <c r="Q491" s="8"/>
      <c r="R491" s="8"/>
      <c r="S491" s="4"/>
      <c r="T491" s="4"/>
      <c r="U491" s="4"/>
      <c r="V491" s="4"/>
      <c r="W491" s="4"/>
      <c r="X491" s="64"/>
      <c r="Y491" s="25"/>
      <c r="Z491" s="121" t="str">
        <f t="shared" si="432"/>
        <v/>
      </c>
      <c r="AA491" s="26"/>
      <c r="AB491" s="26"/>
      <c r="AC491" s="28"/>
      <c r="AD491" s="28"/>
      <c r="AE491" s="125" t="str">
        <f t="shared" si="433"/>
        <v/>
      </c>
      <c r="AF491" s="9"/>
      <c r="AG491" s="125" t="str">
        <f t="shared" si="434"/>
        <v/>
      </c>
      <c r="AH491" s="28"/>
      <c r="AI491" s="28"/>
      <c r="AJ491" s="125" t="str">
        <f t="shared" si="435"/>
        <v/>
      </c>
      <c r="AK491" s="9"/>
      <c r="AL491" s="125" t="str">
        <f t="shared" si="436"/>
        <v/>
      </c>
      <c r="AM491" s="28"/>
      <c r="AN491" s="28"/>
      <c r="AO491" s="125" t="str">
        <f t="shared" si="437"/>
        <v/>
      </c>
      <c r="AP491" s="125" t="str">
        <f t="shared" si="438"/>
        <v/>
      </c>
      <c r="AQ491" s="125" t="str">
        <f t="shared" si="439"/>
        <v/>
      </c>
      <c r="AR491" s="129" t="str">
        <f t="shared" si="440"/>
        <v/>
      </c>
      <c r="AS491" s="9"/>
      <c r="AT491" s="34"/>
      <c r="AU491" s="34"/>
      <c r="AV491" s="117" t="str">
        <f>IF(_xlfn.XLOOKUP(AT491, AutoFill_classes!$A:$A, AutoFill_classes!$B:$B,"")=0,"",_xlfn.XLOOKUP(AT491, AutoFill_classes!$A:$A, AutoFill_classes!$B:$B,""))</f>
        <v/>
      </c>
      <c r="AW491" s="108"/>
      <c r="AX491" s="9"/>
      <c r="AY491" s="10"/>
      <c r="AZ491" s="9"/>
      <c r="BA491" s="10"/>
      <c r="BB491" s="10"/>
      <c r="BC491" s="64"/>
      <c r="BD491" s="25"/>
      <c r="BE491" s="121" t="str">
        <f t="shared" si="441"/>
        <v/>
      </c>
      <c r="BF491" s="20"/>
      <c r="BG491" s="20"/>
      <c r="BH491" s="24"/>
      <c r="BI491" s="24"/>
      <c r="BJ491" s="125" t="str">
        <f t="shared" si="442"/>
        <v/>
      </c>
      <c r="BK491" s="14"/>
      <c r="BL491" s="125" t="str">
        <f t="shared" si="443"/>
        <v/>
      </c>
      <c r="BM491" s="24"/>
      <c r="BN491" s="24"/>
      <c r="BO491" s="125" t="str">
        <f t="shared" si="444"/>
        <v/>
      </c>
      <c r="BP491" s="14"/>
      <c r="BQ491" s="125" t="str">
        <f t="shared" si="445"/>
        <v/>
      </c>
      <c r="BR491" s="24"/>
      <c r="BS491" s="24"/>
      <c r="BT491" s="125" t="str">
        <f t="shared" si="446"/>
        <v/>
      </c>
      <c r="BU491" s="125" t="str">
        <f t="shared" si="447"/>
        <v/>
      </c>
      <c r="BV491" s="125" t="str">
        <f t="shared" si="448"/>
        <v/>
      </c>
      <c r="BW491" s="129" t="str">
        <f t="shared" si="449"/>
        <v/>
      </c>
      <c r="BX491" s="9"/>
      <c r="BY491" s="9"/>
      <c r="BZ491" s="9"/>
      <c r="CA491" s="117" t="str">
        <f>IF(_xlfn.XLOOKUP(BY491, AutoFill_classes!$A:$A, AutoFill_classes!$B:$B,"")=0,"",_xlfn.XLOOKUP(BY491, AutoFill_classes!$A:$A, AutoFill_classes!$B:$B,""))</f>
        <v/>
      </c>
      <c r="CB491" s="108"/>
      <c r="CC491" s="9"/>
      <c r="CD491" s="9"/>
      <c r="CE491" s="9"/>
      <c r="CF491" s="4"/>
      <c r="CG491" s="25"/>
      <c r="CH491" s="64"/>
      <c r="CI491" s="27"/>
      <c r="CJ491" s="121" t="str">
        <f t="shared" si="450"/>
        <v/>
      </c>
      <c r="CK491" s="20"/>
      <c r="CL491" s="20"/>
      <c r="CM491" s="24"/>
      <c r="CN491" s="24"/>
      <c r="CO491" s="125" t="str">
        <f t="shared" si="451"/>
        <v/>
      </c>
      <c r="CP491" s="14"/>
      <c r="CQ491" s="125" t="str">
        <f t="shared" si="452"/>
        <v/>
      </c>
      <c r="CR491" s="24"/>
      <c r="CS491" s="24"/>
      <c r="CT491" s="125" t="str">
        <f t="shared" si="453"/>
        <v/>
      </c>
      <c r="CU491" s="14"/>
      <c r="CV491" s="125" t="str">
        <f t="shared" si="454"/>
        <v/>
      </c>
      <c r="CW491" s="24"/>
      <c r="CX491" s="24"/>
      <c r="CY491" s="125" t="str">
        <f t="shared" si="455"/>
        <v/>
      </c>
      <c r="CZ491" s="125" t="str">
        <f t="shared" si="456"/>
        <v/>
      </c>
      <c r="DA491" s="125" t="str">
        <f t="shared" si="457"/>
        <v/>
      </c>
      <c r="DB491" s="129" t="str">
        <f t="shared" si="458"/>
        <v/>
      </c>
      <c r="DC491" s="9"/>
      <c r="DD491" s="65"/>
      <c r="DE491" s="105">
        <v>487</v>
      </c>
    </row>
    <row r="492" spans="1:109" outlineLevel="1" x14ac:dyDescent="0.2">
      <c r="A492" s="4"/>
      <c r="B492" s="115" t="str">
        <f>IF(_xlfn.XLOOKUP(A492, AutoFill_names!B:B, AutoFill_names!C:C,"")=0,"",_xlfn.XLOOKUP(A492, AutoFill_names!B:B, AutoFill_names!C:C,""))</f>
        <v/>
      </c>
      <c r="C492" s="115" t="str">
        <f>IF(_xlfn.XLOOKUP(A492, AutoFill_names!B:B, AutoFill_names!D:D,"")=0,"",_xlfn.XLOOKUP(A492, AutoFill_names!B:B, AutoFill_names!D:D,""))</f>
        <v/>
      </c>
      <c r="D492" s="115" t="str">
        <f>IF(_xlfn.XLOOKUP(A492, AutoFill_names!B:B, AutoFill_names!E:E,"")=0,"",_xlfn.XLOOKUP(A492, AutoFill_names!B:B, AutoFill_names!E:E,""))</f>
        <v/>
      </c>
      <c r="E492" s="115" t="str">
        <f>IF(_xlfn.XLOOKUP(A492, AutoFill_names!B:B, AutoFill_names!F:F,"")=0,"",_xlfn.XLOOKUP(A492, AutoFill_names!B:B, AutoFill_names!F:F,""))</f>
        <v/>
      </c>
      <c r="F492" s="92"/>
      <c r="G492" s="1"/>
      <c r="H492" s="1"/>
      <c r="I492" s="1"/>
      <c r="J492" s="115" t="str">
        <f>IF(_xlfn.XLOOKUP(A492, AutoFill_names!B:B, AutoFill_names!K:K,"")=0,"",_xlfn.XLOOKUP(A492, AutoFill_names!B:B, AutoFill_names!K:K,""))</f>
        <v/>
      </c>
      <c r="K492" s="115" t="str">
        <f>IF(_xlfn.XLOOKUP(A492, AutoFill_names!B:B, AutoFill_names!L:L,"")=0,"",_xlfn.XLOOKUP(A492, AutoFill_names!B:B, AutoFill_names!L:L,""))</f>
        <v/>
      </c>
      <c r="L492" s="5"/>
      <c r="M492" s="5"/>
      <c r="N492" s="117" t="str">
        <f>IF(_xlfn.XLOOKUP(L492, AutoFill_classes!A:A, AutoFill_classes!B:B,"")=0,"",_xlfn.XLOOKUP(L492, AutoFill_classes!A:A, AutoFill_classes!B:B,""))</f>
        <v/>
      </c>
      <c r="O492" s="108"/>
      <c r="P492" s="8"/>
      <c r="Q492" s="8"/>
      <c r="R492" s="8"/>
      <c r="S492" s="4"/>
      <c r="T492" s="4"/>
      <c r="U492" s="4"/>
      <c r="V492" s="4"/>
      <c r="W492" s="4"/>
      <c r="X492" s="64"/>
      <c r="Y492" s="25"/>
      <c r="Z492" s="121" t="str">
        <f t="shared" si="432"/>
        <v/>
      </c>
      <c r="AA492" s="26"/>
      <c r="AB492" s="26"/>
      <c r="AC492" s="28"/>
      <c r="AD492" s="28"/>
      <c r="AE492" s="125" t="str">
        <f t="shared" si="433"/>
        <v/>
      </c>
      <c r="AF492" s="9"/>
      <c r="AG492" s="125" t="str">
        <f t="shared" si="434"/>
        <v/>
      </c>
      <c r="AH492" s="28"/>
      <c r="AI492" s="28"/>
      <c r="AJ492" s="125" t="str">
        <f t="shared" si="435"/>
        <v/>
      </c>
      <c r="AK492" s="9"/>
      <c r="AL492" s="125" t="str">
        <f t="shared" si="436"/>
        <v/>
      </c>
      <c r="AM492" s="28"/>
      <c r="AN492" s="28"/>
      <c r="AO492" s="125" t="str">
        <f t="shared" si="437"/>
        <v/>
      </c>
      <c r="AP492" s="125" t="str">
        <f t="shared" si="438"/>
        <v/>
      </c>
      <c r="AQ492" s="125" t="str">
        <f t="shared" si="439"/>
        <v/>
      </c>
      <c r="AR492" s="129" t="str">
        <f t="shared" si="440"/>
        <v/>
      </c>
      <c r="AS492" s="9"/>
      <c r="AT492" s="34"/>
      <c r="AU492" s="34"/>
      <c r="AV492" s="117" t="str">
        <f>IF(_xlfn.XLOOKUP(AT492, AutoFill_classes!$A:$A, AutoFill_classes!$B:$B,"")=0,"",_xlfn.XLOOKUP(AT492, AutoFill_classes!$A:$A, AutoFill_classes!$B:$B,""))</f>
        <v/>
      </c>
      <c r="AW492" s="108"/>
      <c r="AX492" s="9"/>
      <c r="AY492" s="10"/>
      <c r="AZ492" s="9"/>
      <c r="BA492" s="10"/>
      <c r="BB492" s="10"/>
      <c r="BC492" s="64"/>
      <c r="BD492" s="25"/>
      <c r="BE492" s="121" t="str">
        <f t="shared" si="441"/>
        <v/>
      </c>
      <c r="BF492" s="20"/>
      <c r="BG492" s="20"/>
      <c r="BH492" s="24"/>
      <c r="BI492" s="24"/>
      <c r="BJ492" s="125" t="str">
        <f t="shared" si="442"/>
        <v/>
      </c>
      <c r="BK492" s="14"/>
      <c r="BL492" s="125" t="str">
        <f t="shared" si="443"/>
        <v/>
      </c>
      <c r="BM492" s="24"/>
      <c r="BN492" s="24"/>
      <c r="BO492" s="125" t="str">
        <f t="shared" si="444"/>
        <v/>
      </c>
      <c r="BP492" s="14"/>
      <c r="BQ492" s="125" t="str">
        <f t="shared" si="445"/>
        <v/>
      </c>
      <c r="BR492" s="24"/>
      <c r="BS492" s="24"/>
      <c r="BT492" s="125" t="str">
        <f t="shared" si="446"/>
        <v/>
      </c>
      <c r="BU492" s="125" t="str">
        <f t="shared" si="447"/>
        <v/>
      </c>
      <c r="BV492" s="125" t="str">
        <f t="shared" si="448"/>
        <v/>
      </c>
      <c r="BW492" s="129" t="str">
        <f t="shared" si="449"/>
        <v/>
      </c>
      <c r="BX492" s="9"/>
      <c r="BY492" s="9"/>
      <c r="BZ492" s="9"/>
      <c r="CA492" s="117" t="str">
        <f>IF(_xlfn.XLOOKUP(BY492, AutoFill_classes!$A:$A, AutoFill_classes!$B:$B,"")=0,"",_xlfn.XLOOKUP(BY492, AutoFill_classes!$A:$A, AutoFill_classes!$B:$B,""))</f>
        <v/>
      </c>
      <c r="CB492" s="108"/>
      <c r="CC492" s="9"/>
      <c r="CD492" s="9"/>
      <c r="CE492" s="9"/>
      <c r="CF492" s="4"/>
      <c r="CG492" s="25"/>
      <c r="CH492" s="64"/>
      <c r="CI492" s="27"/>
      <c r="CJ492" s="121" t="str">
        <f t="shared" si="450"/>
        <v/>
      </c>
      <c r="CK492" s="20"/>
      <c r="CL492" s="20"/>
      <c r="CM492" s="24"/>
      <c r="CN492" s="24"/>
      <c r="CO492" s="125" t="str">
        <f t="shared" si="451"/>
        <v/>
      </c>
      <c r="CP492" s="14"/>
      <c r="CQ492" s="125" t="str">
        <f t="shared" si="452"/>
        <v/>
      </c>
      <c r="CR492" s="24"/>
      <c r="CS492" s="24"/>
      <c r="CT492" s="125" t="str">
        <f t="shared" si="453"/>
        <v/>
      </c>
      <c r="CU492" s="14"/>
      <c r="CV492" s="125" t="str">
        <f t="shared" si="454"/>
        <v/>
      </c>
      <c r="CW492" s="24"/>
      <c r="CX492" s="24"/>
      <c r="CY492" s="125" t="str">
        <f t="shared" si="455"/>
        <v/>
      </c>
      <c r="CZ492" s="125" t="str">
        <f t="shared" si="456"/>
        <v/>
      </c>
      <c r="DA492" s="125" t="str">
        <f t="shared" si="457"/>
        <v/>
      </c>
      <c r="DB492" s="129" t="str">
        <f t="shared" si="458"/>
        <v/>
      </c>
      <c r="DC492" s="9"/>
      <c r="DD492" s="65"/>
      <c r="DE492" s="105">
        <v>488</v>
      </c>
    </row>
    <row r="493" spans="1:109" outlineLevel="1" x14ac:dyDescent="0.2">
      <c r="A493" s="4"/>
      <c r="B493" s="115" t="str">
        <f>IF(_xlfn.XLOOKUP(A493, AutoFill_names!B:B, AutoFill_names!C:C,"")=0,"",_xlfn.XLOOKUP(A493, AutoFill_names!B:B, AutoFill_names!C:C,""))</f>
        <v/>
      </c>
      <c r="C493" s="115" t="str">
        <f>IF(_xlfn.XLOOKUP(A493, AutoFill_names!B:B, AutoFill_names!D:D,"")=0,"",_xlfn.XLOOKUP(A493, AutoFill_names!B:B, AutoFill_names!D:D,""))</f>
        <v/>
      </c>
      <c r="D493" s="115" t="str">
        <f>IF(_xlfn.XLOOKUP(A493, AutoFill_names!B:B, AutoFill_names!E:E,"")=0,"",_xlfn.XLOOKUP(A493, AutoFill_names!B:B, AutoFill_names!E:E,""))</f>
        <v/>
      </c>
      <c r="E493" s="115" t="str">
        <f>IF(_xlfn.XLOOKUP(A493, AutoFill_names!B:B, AutoFill_names!F:F,"")=0,"",_xlfn.XLOOKUP(A493, AutoFill_names!B:B, AutoFill_names!F:F,""))</f>
        <v/>
      </c>
      <c r="F493" s="92"/>
      <c r="G493" s="1"/>
      <c r="H493" s="1"/>
      <c r="I493" s="1"/>
      <c r="J493" s="115" t="str">
        <f>IF(_xlfn.XLOOKUP(A493, AutoFill_names!B:B, AutoFill_names!K:K,"")=0,"",_xlfn.XLOOKUP(A493, AutoFill_names!B:B, AutoFill_names!K:K,""))</f>
        <v/>
      </c>
      <c r="K493" s="115" t="str">
        <f>IF(_xlfn.XLOOKUP(A493, AutoFill_names!B:B, AutoFill_names!L:L,"")=0,"",_xlfn.XLOOKUP(A493, AutoFill_names!B:B, AutoFill_names!L:L,""))</f>
        <v/>
      </c>
      <c r="L493" s="5"/>
      <c r="M493" s="5"/>
      <c r="N493" s="117" t="str">
        <f>IF(_xlfn.XLOOKUP(L493, AutoFill_classes!A:A, AutoFill_classes!B:B,"")=0,"",_xlfn.XLOOKUP(L493, AutoFill_classes!A:A, AutoFill_classes!B:B,""))</f>
        <v/>
      </c>
      <c r="O493" s="108"/>
      <c r="P493" s="8"/>
      <c r="Q493" s="8"/>
      <c r="R493" s="8"/>
      <c r="S493" s="4"/>
      <c r="T493" s="4"/>
      <c r="U493" s="4"/>
      <c r="V493" s="4"/>
      <c r="W493" s="4"/>
      <c r="X493" s="64"/>
      <c r="Y493" s="25"/>
      <c r="Z493" s="121" t="str">
        <f t="shared" si="432"/>
        <v/>
      </c>
      <c r="AA493" s="26"/>
      <c r="AB493" s="26"/>
      <c r="AC493" s="28"/>
      <c r="AD493" s="28"/>
      <c r="AE493" s="125" t="str">
        <f t="shared" si="433"/>
        <v/>
      </c>
      <c r="AF493" s="9"/>
      <c r="AG493" s="125" t="str">
        <f t="shared" si="434"/>
        <v/>
      </c>
      <c r="AH493" s="28"/>
      <c r="AI493" s="28"/>
      <c r="AJ493" s="125" t="str">
        <f t="shared" si="435"/>
        <v/>
      </c>
      <c r="AK493" s="9"/>
      <c r="AL493" s="125" t="str">
        <f t="shared" si="436"/>
        <v/>
      </c>
      <c r="AM493" s="28"/>
      <c r="AN493" s="28"/>
      <c r="AO493" s="125" t="str">
        <f t="shared" si="437"/>
        <v/>
      </c>
      <c r="AP493" s="125" t="str">
        <f t="shared" si="438"/>
        <v/>
      </c>
      <c r="AQ493" s="125" t="str">
        <f t="shared" si="439"/>
        <v/>
      </c>
      <c r="AR493" s="129" t="str">
        <f t="shared" si="440"/>
        <v/>
      </c>
      <c r="AS493" s="9"/>
      <c r="AT493" s="34"/>
      <c r="AU493" s="34"/>
      <c r="AV493" s="117" t="str">
        <f>IF(_xlfn.XLOOKUP(AT493, AutoFill_classes!$A:$A, AutoFill_classes!$B:$B,"")=0,"",_xlfn.XLOOKUP(AT493, AutoFill_classes!$A:$A, AutoFill_classes!$B:$B,""))</f>
        <v/>
      </c>
      <c r="AW493" s="108"/>
      <c r="AX493" s="9"/>
      <c r="AY493" s="10"/>
      <c r="AZ493" s="9"/>
      <c r="BA493" s="10"/>
      <c r="BB493" s="10"/>
      <c r="BC493" s="64"/>
      <c r="BD493" s="25"/>
      <c r="BE493" s="121" t="str">
        <f t="shared" si="441"/>
        <v/>
      </c>
      <c r="BF493" s="20"/>
      <c r="BG493" s="20"/>
      <c r="BH493" s="24"/>
      <c r="BI493" s="24"/>
      <c r="BJ493" s="125" t="str">
        <f t="shared" si="442"/>
        <v/>
      </c>
      <c r="BK493" s="14"/>
      <c r="BL493" s="125" t="str">
        <f t="shared" si="443"/>
        <v/>
      </c>
      <c r="BM493" s="24"/>
      <c r="BN493" s="24"/>
      <c r="BO493" s="125" t="str">
        <f t="shared" si="444"/>
        <v/>
      </c>
      <c r="BP493" s="14"/>
      <c r="BQ493" s="125" t="str">
        <f t="shared" si="445"/>
        <v/>
      </c>
      <c r="BR493" s="24"/>
      <c r="BS493" s="24"/>
      <c r="BT493" s="125" t="str">
        <f t="shared" si="446"/>
        <v/>
      </c>
      <c r="BU493" s="125" t="str">
        <f t="shared" si="447"/>
        <v/>
      </c>
      <c r="BV493" s="125" t="str">
        <f t="shared" si="448"/>
        <v/>
      </c>
      <c r="BW493" s="129" t="str">
        <f t="shared" si="449"/>
        <v/>
      </c>
      <c r="BX493" s="9"/>
      <c r="BY493" s="9"/>
      <c r="BZ493" s="9"/>
      <c r="CA493" s="117" t="str">
        <f>IF(_xlfn.XLOOKUP(BY493, AutoFill_classes!$A:$A, AutoFill_classes!$B:$B,"")=0,"",_xlfn.XLOOKUP(BY493, AutoFill_classes!$A:$A, AutoFill_classes!$B:$B,""))</f>
        <v/>
      </c>
      <c r="CB493" s="108"/>
      <c r="CC493" s="9"/>
      <c r="CD493" s="9"/>
      <c r="CE493" s="9"/>
      <c r="CF493" s="4"/>
      <c r="CG493" s="25"/>
      <c r="CH493" s="64"/>
      <c r="CI493" s="27"/>
      <c r="CJ493" s="121" t="str">
        <f t="shared" si="450"/>
        <v/>
      </c>
      <c r="CK493" s="20"/>
      <c r="CL493" s="20"/>
      <c r="CM493" s="24"/>
      <c r="CN493" s="24"/>
      <c r="CO493" s="125" t="str">
        <f t="shared" si="451"/>
        <v/>
      </c>
      <c r="CP493" s="14"/>
      <c r="CQ493" s="125" t="str">
        <f t="shared" si="452"/>
        <v/>
      </c>
      <c r="CR493" s="24"/>
      <c r="CS493" s="24"/>
      <c r="CT493" s="125" t="str">
        <f t="shared" si="453"/>
        <v/>
      </c>
      <c r="CU493" s="14"/>
      <c r="CV493" s="125" t="str">
        <f t="shared" si="454"/>
        <v/>
      </c>
      <c r="CW493" s="24"/>
      <c r="CX493" s="24"/>
      <c r="CY493" s="125" t="str">
        <f t="shared" si="455"/>
        <v/>
      </c>
      <c r="CZ493" s="125" t="str">
        <f t="shared" si="456"/>
        <v/>
      </c>
      <c r="DA493" s="125" t="str">
        <f t="shared" si="457"/>
        <v/>
      </c>
      <c r="DB493" s="129" t="str">
        <f t="shared" si="458"/>
        <v/>
      </c>
      <c r="DC493" s="9"/>
      <c r="DD493" s="65"/>
      <c r="DE493" s="105">
        <v>489</v>
      </c>
    </row>
    <row r="494" spans="1:109" outlineLevel="1" x14ac:dyDescent="0.2">
      <c r="A494" s="4"/>
      <c r="B494" s="115" t="str">
        <f>IF(_xlfn.XLOOKUP(A494, AutoFill_names!B:B, AutoFill_names!C:C,"")=0,"",_xlfn.XLOOKUP(A494, AutoFill_names!B:B, AutoFill_names!C:C,""))</f>
        <v/>
      </c>
      <c r="C494" s="115" t="str">
        <f>IF(_xlfn.XLOOKUP(A494, AutoFill_names!B:B, AutoFill_names!D:D,"")=0,"",_xlfn.XLOOKUP(A494, AutoFill_names!B:B, AutoFill_names!D:D,""))</f>
        <v/>
      </c>
      <c r="D494" s="115" t="str">
        <f>IF(_xlfn.XLOOKUP(A494, AutoFill_names!B:B, AutoFill_names!E:E,"")=0,"",_xlfn.XLOOKUP(A494, AutoFill_names!B:B, AutoFill_names!E:E,""))</f>
        <v/>
      </c>
      <c r="E494" s="115" t="str">
        <f>IF(_xlfn.XLOOKUP(A494, AutoFill_names!B:B, AutoFill_names!F:F,"")=0,"",_xlfn.XLOOKUP(A494, AutoFill_names!B:B, AutoFill_names!F:F,""))</f>
        <v/>
      </c>
      <c r="F494" s="92"/>
      <c r="G494" s="1"/>
      <c r="H494" s="1"/>
      <c r="I494" s="1"/>
      <c r="J494" s="115" t="str">
        <f>IF(_xlfn.XLOOKUP(A494, AutoFill_names!B:B, AutoFill_names!K:K,"")=0,"",_xlfn.XLOOKUP(A494, AutoFill_names!B:B, AutoFill_names!K:K,""))</f>
        <v/>
      </c>
      <c r="K494" s="115" t="str">
        <f>IF(_xlfn.XLOOKUP(A494, AutoFill_names!B:B, AutoFill_names!L:L,"")=0,"",_xlfn.XLOOKUP(A494, AutoFill_names!B:B, AutoFill_names!L:L,""))</f>
        <v/>
      </c>
      <c r="L494" s="5"/>
      <c r="M494" s="5"/>
      <c r="N494" s="117" t="str">
        <f>IF(_xlfn.XLOOKUP(L494, AutoFill_classes!A:A, AutoFill_classes!B:B,"")=0,"",_xlfn.XLOOKUP(L494, AutoFill_classes!A:A, AutoFill_classes!B:B,""))</f>
        <v/>
      </c>
      <c r="O494" s="108"/>
      <c r="P494" s="8"/>
      <c r="Q494" s="8"/>
      <c r="R494" s="8"/>
      <c r="S494" s="4"/>
      <c r="T494" s="4"/>
      <c r="U494" s="4"/>
      <c r="V494" s="4"/>
      <c r="W494" s="4"/>
      <c r="X494" s="64"/>
      <c r="Y494" s="25"/>
      <c r="Z494" s="121" t="str">
        <f t="shared" si="432"/>
        <v/>
      </c>
      <c r="AA494" s="26"/>
      <c r="AB494" s="26"/>
      <c r="AC494" s="28"/>
      <c r="AD494" s="28"/>
      <c r="AE494" s="125" t="str">
        <f t="shared" si="433"/>
        <v/>
      </c>
      <c r="AF494" s="9"/>
      <c r="AG494" s="125" t="str">
        <f t="shared" si="434"/>
        <v/>
      </c>
      <c r="AH494" s="28"/>
      <c r="AI494" s="28"/>
      <c r="AJ494" s="125" t="str">
        <f t="shared" si="435"/>
        <v/>
      </c>
      <c r="AK494" s="9"/>
      <c r="AL494" s="125" t="str">
        <f t="shared" si="436"/>
        <v/>
      </c>
      <c r="AM494" s="28"/>
      <c r="AN494" s="28"/>
      <c r="AO494" s="125" t="str">
        <f t="shared" si="437"/>
        <v/>
      </c>
      <c r="AP494" s="125" t="str">
        <f t="shared" si="438"/>
        <v/>
      </c>
      <c r="AQ494" s="125" t="str">
        <f t="shared" si="439"/>
        <v/>
      </c>
      <c r="AR494" s="129" t="str">
        <f t="shared" si="440"/>
        <v/>
      </c>
      <c r="AS494" s="9"/>
      <c r="AT494" s="34"/>
      <c r="AU494" s="34"/>
      <c r="AV494" s="117" t="str">
        <f>IF(_xlfn.XLOOKUP(AT494, AutoFill_classes!$A:$A, AutoFill_classes!$B:$B,"")=0,"",_xlfn.XLOOKUP(AT494, AutoFill_classes!$A:$A, AutoFill_classes!$B:$B,""))</f>
        <v/>
      </c>
      <c r="AW494" s="108"/>
      <c r="AX494" s="9"/>
      <c r="AY494" s="10"/>
      <c r="AZ494" s="9"/>
      <c r="BA494" s="10"/>
      <c r="BB494" s="10"/>
      <c r="BC494" s="64"/>
      <c r="BD494" s="25"/>
      <c r="BE494" s="121" t="str">
        <f t="shared" si="441"/>
        <v/>
      </c>
      <c r="BF494" s="20"/>
      <c r="BG494" s="20"/>
      <c r="BH494" s="24"/>
      <c r="BI494" s="24"/>
      <c r="BJ494" s="125" t="str">
        <f t="shared" si="442"/>
        <v/>
      </c>
      <c r="BK494" s="14"/>
      <c r="BL494" s="125" t="str">
        <f t="shared" si="443"/>
        <v/>
      </c>
      <c r="BM494" s="24"/>
      <c r="BN494" s="24"/>
      <c r="BO494" s="125" t="str">
        <f t="shared" si="444"/>
        <v/>
      </c>
      <c r="BP494" s="14"/>
      <c r="BQ494" s="125" t="str">
        <f t="shared" si="445"/>
        <v/>
      </c>
      <c r="BR494" s="24"/>
      <c r="BS494" s="24"/>
      <c r="BT494" s="125" t="str">
        <f t="shared" si="446"/>
        <v/>
      </c>
      <c r="BU494" s="125" t="str">
        <f t="shared" si="447"/>
        <v/>
      </c>
      <c r="BV494" s="125" t="str">
        <f t="shared" si="448"/>
        <v/>
      </c>
      <c r="BW494" s="129" t="str">
        <f t="shared" si="449"/>
        <v/>
      </c>
      <c r="BX494" s="9"/>
      <c r="BY494" s="9"/>
      <c r="BZ494" s="9"/>
      <c r="CA494" s="117" t="str">
        <f>IF(_xlfn.XLOOKUP(BY494, AutoFill_classes!$A:$A, AutoFill_classes!$B:$B,"")=0,"",_xlfn.XLOOKUP(BY494, AutoFill_classes!$A:$A, AutoFill_classes!$B:$B,""))</f>
        <v/>
      </c>
      <c r="CB494" s="108"/>
      <c r="CC494" s="9"/>
      <c r="CD494" s="9"/>
      <c r="CE494" s="9"/>
      <c r="CF494" s="4"/>
      <c r="CG494" s="25"/>
      <c r="CH494" s="64"/>
      <c r="CI494" s="27"/>
      <c r="CJ494" s="121" t="str">
        <f t="shared" si="450"/>
        <v/>
      </c>
      <c r="CK494" s="20"/>
      <c r="CL494" s="20"/>
      <c r="CM494" s="24"/>
      <c r="CN494" s="24"/>
      <c r="CO494" s="125" t="str">
        <f t="shared" si="451"/>
        <v/>
      </c>
      <c r="CP494" s="14"/>
      <c r="CQ494" s="125" t="str">
        <f t="shared" si="452"/>
        <v/>
      </c>
      <c r="CR494" s="24"/>
      <c r="CS494" s="24"/>
      <c r="CT494" s="125" t="str">
        <f t="shared" si="453"/>
        <v/>
      </c>
      <c r="CU494" s="14"/>
      <c r="CV494" s="125" t="str">
        <f t="shared" si="454"/>
        <v/>
      </c>
      <c r="CW494" s="24"/>
      <c r="CX494" s="24"/>
      <c r="CY494" s="125" t="str">
        <f t="shared" si="455"/>
        <v/>
      </c>
      <c r="CZ494" s="125" t="str">
        <f t="shared" si="456"/>
        <v/>
      </c>
      <c r="DA494" s="125" t="str">
        <f t="shared" si="457"/>
        <v/>
      </c>
      <c r="DB494" s="129" t="str">
        <f t="shared" si="458"/>
        <v/>
      </c>
      <c r="DC494" s="9"/>
      <c r="DD494" s="65"/>
      <c r="DE494" s="105">
        <v>490</v>
      </c>
    </row>
    <row r="495" spans="1:109" outlineLevel="1" x14ac:dyDescent="0.2">
      <c r="A495" s="4"/>
      <c r="B495" s="115" t="str">
        <f>IF(_xlfn.XLOOKUP(A495, AutoFill_names!B:B, AutoFill_names!C:C,"")=0,"",_xlfn.XLOOKUP(A495, AutoFill_names!B:B, AutoFill_names!C:C,""))</f>
        <v/>
      </c>
      <c r="C495" s="115" t="str">
        <f>IF(_xlfn.XLOOKUP(A495, AutoFill_names!B:B, AutoFill_names!D:D,"")=0,"",_xlfn.XLOOKUP(A495, AutoFill_names!B:B, AutoFill_names!D:D,""))</f>
        <v/>
      </c>
      <c r="D495" s="115" t="str">
        <f>IF(_xlfn.XLOOKUP(A495, AutoFill_names!B:B, AutoFill_names!E:E,"")=0,"",_xlfn.XLOOKUP(A495, AutoFill_names!B:B, AutoFill_names!E:E,""))</f>
        <v/>
      </c>
      <c r="E495" s="115" t="str">
        <f>IF(_xlfn.XLOOKUP(A495, AutoFill_names!B:B, AutoFill_names!F:F,"")=0,"",_xlfn.XLOOKUP(A495, AutoFill_names!B:B, AutoFill_names!F:F,""))</f>
        <v/>
      </c>
      <c r="F495" s="92"/>
      <c r="G495" s="1"/>
      <c r="H495" s="1"/>
      <c r="I495" s="1"/>
      <c r="J495" s="115" t="str">
        <f>IF(_xlfn.XLOOKUP(A495, AutoFill_names!B:B, AutoFill_names!K:K,"")=0,"",_xlfn.XLOOKUP(A495, AutoFill_names!B:B, AutoFill_names!K:K,""))</f>
        <v/>
      </c>
      <c r="K495" s="115" t="str">
        <f>IF(_xlfn.XLOOKUP(A495, AutoFill_names!B:B, AutoFill_names!L:L,"")=0,"",_xlfn.XLOOKUP(A495, AutoFill_names!B:B, AutoFill_names!L:L,""))</f>
        <v/>
      </c>
      <c r="L495" s="5"/>
      <c r="M495" s="5"/>
      <c r="N495" s="117" t="str">
        <f>IF(_xlfn.XLOOKUP(L495, AutoFill_classes!A:A, AutoFill_classes!B:B,"")=0,"",_xlfn.XLOOKUP(L495, AutoFill_classes!A:A, AutoFill_classes!B:B,""))</f>
        <v/>
      </c>
      <c r="O495" s="108"/>
      <c r="P495" s="8"/>
      <c r="Q495" s="8"/>
      <c r="R495" s="8"/>
      <c r="S495" s="4"/>
      <c r="T495" s="4"/>
      <c r="U495" s="4"/>
      <c r="V495" s="4"/>
      <c r="W495" s="4"/>
      <c r="X495" s="64"/>
      <c r="Y495" s="25"/>
      <c r="Z495" s="121" t="str">
        <f t="shared" si="432"/>
        <v/>
      </c>
      <c r="AA495" s="26"/>
      <c r="AB495" s="26"/>
      <c r="AC495" s="28"/>
      <c r="AD495" s="28"/>
      <c r="AE495" s="125" t="str">
        <f t="shared" si="433"/>
        <v/>
      </c>
      <c r="AF495" s="9"/>
      <c r="AG495" s="125" t="str">
        <f t="shared" si="434"/>
        <v/>
      </c>
      <c r="AH495" s="28"/>
      <c r="AI495" s="28"/>
      <c r="AJ495" s="125" t="str">
        <f t="shared" si="435"/>
        <v/>
      </c>
      <c r="AK495" s="9"/>
      <c r="AL495" s="125" t="str">
        <f t="shared" si="436"/>
        <v/>
      </c>
      <c r="AM495" s="28"/>
      <c r="AN495" s="28"/>
      <c r="AO495" s="125" t="str">
        <f t="shared" si="437"/>
        <v/>
      </c>
      <c r="AP495" s="125" t="str">
        <f t="shared" si="438"/>
        <v/>
      </c>
      <c r="AQ495" s="125" t="str">
        <f t="shared" si="439"/>
        <v/>
      </c>
      <c r="AR495" s="129" t="str">
        <f t="shared" si="440"/>
        <v/>
      </c>
      <c r="AS495" s="9"/>
      <c r="AT495" s="34"/>
      <c r="AU495" s="34"/>
      <c r="AV495" s="117" t="str">
        <f>IF(_xlfn.XLOOKUP(AT495, AutoFill_classes!$A:$A, AutoFill_classes!$B:$B,"")=0,"",_xlfn.XLOOKUP(AT495, AutoFill_classes!$A:$A, AutoFill_classes!$B:$B,""))</f>
        <v/>
      </c>
      <c r="AW495" s="108"/>
      <c r="AX495" s="9"/>
      <c r="AY495" s="10"/>
      <c r="AZ495" s="9"/>
      <c r="BA495" s="10"/>
      <c r="BB495" s="10"/>
      <c r="BC495" s="64"/>
      <c r="BD495" s="25"/>
      <c r="BE495" s="121" t="str">
        <f t="shared" si="441"/>
        <v/>
      </c>
      <c r="BF495" s="20"/>
      <c r="BG495" s="20"/>
      <c r="BH495" s="24"/>
      <c r="BI495" s="24"/>
      <c r="BJ495" s="125" t="str">
        <f t="shared" si="442"/>
        <v/>
      </c>
      <c r="BK495" s="14"/>
      <c r="BL495" s="125" t="str">
        <f t="shared" si="443"/>
        <v/>
      </c>
      <c r="BM495" s="24"/>
      <c r="BN495" s="24"/>
      <c r="BO495" s="125" t="str">
        <f t="shared" si="444"/>
        <v/>
      </c>
      <c r="BP495" s="14"/>
      <c r="BQ495" s="125" t="str">
        <f t="shared" si="445"/>
        <v/>
      </c>
      <c r="BR495" s="24"/>
      <c r="BS495" s="24"/>
      <c r="BT495" s="125" t="str">
        <f t="shared" si="446"/>
        <v/>
      </c>
      <c r="BU495" s="125" t="str">
        <f t="shared" si="447"/>
        <v/>
      </c>
      <c r="BV495" s="125" t="str">
        <f t="shared" si="448"/>
        <v/>
      </c>
      <c r="BW495" s="129" t="str">
        <f t="shared" si="449"/>
        <v/>
      </c>
      <c r="BX495" s="9"/>
      <c r="BY495" s="9"/>
      <c r="BZ495" s="9"/>
      <c r="CA495" s="117" t="str">
        <f>IF(_xlfn.XLOOKUP(BY495, AutoFill_classes!$A:$A, AutoFill_classes!$B:$B,"")=0,"",_xlfn.XLOOKUP(BY495, AutoFill_classes!$A:$A, AutoFill_classes!$B:$B,""))</f>
        <v/>
      </c>
      <c r="CB495" s="108"/>
      <c r="CC495" s="9"/>
      <c r="CD495" s="9"/>
      <c r="CE495" s="9"/>
      <c r="CF495" s="4"/>
      <c r="CG495" s="25"/>
      <c r="CH495" s="64"/>
      <c r="CI495" s="27"/>
      <c r="CJ495" s="121" t="str">
        <f t="shared" si="450"/>
        <v/>
      </c>
      <c r="CK495" s="20"/>
      <c r="CL495" s="20"/>
      <c r="CM495" s="24"/>
      <c r="CN495" s="24"/>
      <c r="CO495" s="125" t="str">
        <f t="shared" si="451"/>
        <v/>
      </c>
      <c r="CP495" s="14"/>
      <c r="CQ495" s="125" t="str">
        <f t="shared" si="452"/>
        <v/>
      </c>
      <c r="CR495" s="24"/>
      <c r="CS495" s="24"/>
      <c r="CT495" s="125" t="str">
        <f t="shared" si="453"/>
        <v/>
      </c>
      <c r="CU495" s="14"/>
      <c r="CV495" s="125" t="str">
        <f t="shared" si="454"/>
        <v/>
      </c>
      <c r="CW495" s="24"/>
      <c r="CX495" s="24"/>
      <c r="CY495" s="125" t="str">
        <f t="shared" si="455"/>
        <v/>
      </c>
      <c r="CZ495" s="125" t="str">
        <f t="shared" si="456"/>
        <v/>
      </c>
      <c r="DA495" s="125" t="str">
        <f t="shared" si="457"/>
        <v/>
      </c>
      <c r="DB495" s="129" t="str">
        <f t="shared" si="458"/>
        <v/>
      </c>
      <c r="DC495" s="9"/>
      <c r="DD495" s="65"/>
      <c r="DE495" s="105">
        <v>491</v>
      </c>
    </row>
    <row r="496" spans="1:109" outlineLevel="1" x14ac:dyDescent="0.2">
      <c r="A496" s="4"/>
      <c r="B496" s="115" t="str">
        <f>IF(_xlfn.XLOOKUP(A496, AutoFill_names!B:B, AutoFill_names!C:C,"")=0,"",_xlfn.XLOOKUP(A496, AutoFill_names!B:B, AutoFill_names!C:C,""))</f>
        <v/>
      </c>
      <c r="C496" s="115" t="str">
        <f>IF(_xlfn.XLOOKUP(A496, AutoFill_names!B:B, AutoFill_names!D:D,"")=0,"",_xlfn.XLOOKUP(A496, AutoFill_names!B:B, AutoFill_names!D:D,""))</f>
        <v/>
      </c>
      <c r="D496" s="115" t="str">
        <f>IF(_xlfn.XLOOKUP(A496, AutoFill_names!B:B, AutoFill_names!E:E,"")=0,"",_xlfn.XLOOKUP(A496, AutoFill_names!B:B, AutoFill_names!E:E,""))</f>
        <v/>
      </c>
      <c r="E496" s="115" t="str">
        <f>IF(_xlfn.XLOOKUP(A496, AutoFill_names!B:B, AutoFill_names!F:F,"")=0,"",_xlfn.XLOOKUP(A496, AutoFill_names!B:B, AutoFill_names!F:F,""))</f>
        <v/>
      </c>
      <c r="F496" s="92"/>
      <c r="G496" s="1"/>
      <c r="H496" s="1"/>
      <c r="I496" s="1"/>
      <c r="J496" s="115" t="str">
        <f>IF(_xlfn.XLOOKUP(A496, AutoFill_names!B:B, AutoFill_names!K:K,"")=0,"",_xlfn.XLOOKUP(A496, AutoFill_names!B:B, AutoFill_names!K:K,""))</f>
        <v/>
      </c>
      <c r="K496" s="115" t="str">
        <f>IF(_xlfn.XLOOKUP(A496, AutoFill_names!B:B, AutoFill_names!L:L,"")=0,"",_xlfn.XLOOKUP(A496, AutoFill_names!B:B, AutoFill_names!L:L,""))</f>
        <v/>
      </c>
      <c r="L496" s="5"/>
      <c r="M496" s="5"/>
      <c r="N496" s="117" t="str">
        <f>IF(_xlfn.XLOOKUP(L496, AutoFill_classes!A:A, AutoFill_classes!B:B,"")=0,"",_xlfn.XLOOKUP(L496, AutoFill_classes!A:A, AutoFill_classes!B:B,""))</f>
        <v/>
      </c>
      <c r="O496" s="108"/>
      <c r="P496" s="8"/>
      <c r="Q496" s="8"/>
      <c r="R496" s="8"/>
      <c r="S496" s="4"/>
      <c r="T496" s="4"/>
      <c r="U496" s="4"/>
      <c r="V496" s="4"/>
      <c r="W496" s="4"/>
      <c r="X496" s="64"/>
      <c r="Y496" s="25"/>
      <c r="Z496" s="121" t="str">
        <f t="shared" si="432"/>
        <v/>
      </c>
      <c r="AA496" s="26"/>
      <c r="AB496" s="26"/>
      <c r="AC496" s="28"/>
      <c r="AD496" s="28"/>
      <c r="AE496" s="125" t="str">
        <f t="shared" si="433"/>
        <v/>
      </c>
      <c r="AF496" s="9"/>
      <c r="AG496" s="125" t="str">
        <f t="shared" si="434"/>
        <v/>
      </c>
      <c r="AH496" s="28"/>
      <c r="AI496" s="28"/>
      <c r="AJ496" s="125" t="str">
        <f t="shared" si="435"/>
        <v/>
      </c>
      <c r="AK496" s="9"/>
      <c r="AL496" s="125" t="str">
        <f t="shared" si="436"/>
        <v/>
      </c>
      <c r="AM496" s="28"/>
      <c r="AN496" s="28"/>
      <c r="AO496" s="125" t="str">
        <f t="shared" si="437"/>
        <v/>
      </c>
      <c r="AP496" s="125" t="str">
        <f t="shared" si="438"/>
        <v/>
      </c>
      <c r="AQ496" s="125" t="str">
        <f t="shared" si="439"/>
        <v/>
      </c>
      <c r="AR496" s="129" t="str">
        <f t="shared" si="440"/>
        <v/>
      </c>
      <c r="AS496" s="9"/>
      <c r="AT496" s="34"/>
      <c r="AU496" s="34"/>
      <c r="AV496" s="117" t="str">
        <f>IF(_xlfn.XLOOKUP(AT496, AutoFill_classes!$A:$A, AutoFill_classes!$B:$B,"")=0,"",_xlfn.XLOOKUP(AT496, AutoFill_classes!$A:$A, AutoFill_classes!$B:$B,""))</f>
        <v/>
      </c>
      <c r="AW496" s="108"/>
      <c r="AX496" s="9"/>
      <c r="AY496" s="10"/>
      <c r="AZ496" s="9"/>
      <c r="BA496" s="10"/>
      <c r="BB496" s="10"/>
      <c r="BC496" s="64"/>
      <c r="BD496" s="25"/>
      <c r="BE496" s="121" t="str">
        <f t="shared" si="441"/>
        <v/>
      </c>
      <c r="BF496" s="20"/>
      <c r="BG496" s="20"/>
      <c r="BH496" s="24"/>
      <c r="BI496" s="24"/>
      <c r="BJ496" s="125" t="str">
        <f t="shared" si="442"/>
        <v/>
      </c>
      <c r="BK496" s="14"/>
      <c r="BL496" s="125" t="str">
        <f t="shared" si="443"/>
        <v/>
      </c>
      <c r="BM496" s="24"/>
      <c r="BN496" s="24"/>
      <c r="BO496" s="125" t="str">
        <f t="shared" si="444"/>
        <v/>
      </c>
      <c r="BP496" s="14"/>
      <c r="BQ496" s="125" t="str">
        <f t="shared" si="445"/>
        <v/>
      </c>
      <c r="BR496" s="24"/>
      <c r="BS496" s="24"/>
      <c r="BT496" s="125" t="str">
        <f t="shared" si="446"/>
        <v/>
      </c>
      <c r="BU496" s="125" t="str">
        <f t="shared" si="447"/>
        <v/>
      </c>
      <c r="BV496" s="125" t="str">
        <f t="shared" si="448"/>
        <v/>
      </c>
      <c r="BW496" s="129" t="str">
        <f t="shared" si="449"/>
        <v/>
      </c>
      <c r="BX496" s="9"/>
      <c r="BY496" s="9"/>
      <c r="BZ496" s="9"/>
      <c r="CA496" s="117" t="str">
        <f>IF(_xlfn.XLOOKUP(BY496, AutoFill_classes!$A:$A, AutoFill_classes!$B:$B,"")=0,"",_xlfn.XLOOKUP(BY496, AutoFill_classes!$A:$A, AutoFill_classes!$B:$B,""))</f>
        <v/>
      </c>
      <c r="CB496" s="108"/>
      <c r="CC496" s="9"/>
      <c r="CD496" s="9"/>
      <c r="CE496" s="9"/>
      <c r="CF496" s="4"/>
      <c r="CG496" s="25"/>
      <c r="CH496" s="64"/>
      <c r="CI496" s="27"/>
      <c r="CJ496" s="121" t="str">
        <f t="shared" si="450"/>
        <v/>
      </c>
      <c r="CK496" s="20"/>
      <c r="CL496" s="20"/>
      <c r="CM496" s="24"/>
      <c r="CN496" s="24"/>
      <c r="CO496" s="125" t="str">
        <f t="shared" si="451"/>
        <v/>
      </c>
      <c r="CP496" s="14"/>
      <c r="CQ496" s="125" t="str">
        <f t="shared" si="452"/>
        <v/>
      </c>
      <c r="CR496" s="24"/>
      <c r="CS496" s="24"/>
      <c r="CT496" s="125" t="str">
        <f t="shared" si="453"/>
        <v/>
      </c>
      <c r="CU496" s="14"/>
      <c r="CV496" s="125" t="str">
        <f t="shared" si="454"/>
        <v/>
      </c>
      <c r="CW496" s="24"/>
      <c r="CX496" s="24"/>
      <c r="CY496" s="125" t="str">
        <f t="shared" si="455"/>
        <v/>
      </c>
      <c r="CZ496" s="125" t="str">
        <f t="shared" si="456"/>
        <v/>
      </c>
      <c r="DA496" s="125" t="str">
        <f t="shared" si="457"/>
        <v/>
      </c>
      <c r="DB496" s="129" t="str">
        <f t="shared" si="458"/>
        <v/>
      </c>
      <c r="DC496" s="9"/>
      <c r="DD496" s="65"/>
      <c r="DE496" s="105">
        <v>492</v>
      </c>
    </row>
    <row r="497" spans="1:109" outlineLevel="1" x14ac:dyDescent="0.2">
      <c r="A497" s="4"/>
      <c r="B497" s="115" t="str">
        <f>IF(_xlfn.XLOOKUP(A497, AutoFill_names!B:B, AutoFill_names!C:C,"")=0,"",_xlfn.XLOOKUP(A497, AutoFill_names!B:B, AutoFill_names!C:C,""))</f>
        <v/>
      </c>
      <c r="C497" s="115" t="str">
        <f>IF(_xlfn.XLOOKUP(A497, AutoFill_names!B:B, AutoFill_names!D:D,"")=0,"",_xlfn.XLOOKUP(A497, AutoFill_names!B:B, AutoFill_names!D:D,""))</f>
        <v/>
      </c>
      <c r="D497" s="115" t="str">
        <f>IF(_xlfn.XLOOKUP(A497, AutoFill_names!B:B, AutoFill_names!E:E,"")=0,"",_xlfn.XLOOKUP(A497, AutoFill_names!B:B, AutoFill_names!E:E,""))</f>
        <v/>
      </c>
      <c r="E497" s="115" t="str">
        <f>IF(_xlfn.XLOOKUP(A497, AutoFill_names!B:B, AutoFill_names!F:F,"")=0,"",_xlfn.XLOOKUP(A497, AutoFill_names!B:B, AutoFill_names!F:F,""))</f>
        <v/>
      </c>
      <c r="F497" s="92"/>
      <c r="G497" s="1"/>
      <c r="H497" s="1"/>
      <c r="I497" s="1"/>
      <c r="J497" s="115" t="str">
        <f>IF(_xlfn.XLOOKUP(A497, AutoFill_names!B:B, AutoFill_names!K:K,"")=0,"",_xlfn.XLOOKUP(A497, AutoFill_names!B:B, AutoFill_names!K:K,""))</f>
        <v/>
      </c>
      <c r="K497" s="115" t="str">
        <f>IF(_xlfn.XLOOKUP(A497, AutoFill_names!B:B, AutoFill_names!L:L,"")=0,"",_xlfn.XLOOKUP(A497, AutoFill_names!B:B, AutoFill_names!L:L,""))</f>
        <v/>
      </c>
      <c r="L497" s="5"/>
      <c r="M497" s="5"/>
      <c r="N497" s="117" t="str">
        <f>IF(_xlfn.XLOOKUP(L497, AutoFill_classes!A:A, AutoFill_classes!B:B,"")=0,"",_xlfn.XLOOKUP(L497, AutoFill_classes!A:A, AutoFill_classes!B:B,""))</f>
        <v/>
      </c>
      <c r="O497" s="108"/>
      <c r="P497" s="8"/>
      <c r="Q497" s="8"/>
      <c r="R497" s="8"/>
      <c r="S497" s="4"/>
      <c r="T497" s="4"/>
      <c r="U497" s="4"/>
      <c r="V497" s="4"/>
      <c r="W497" s="4"/>
      <c r="X497" s="64"/>
      <c r="Y497" s="25"/>
      <c r="Z497" s="121" t="str">
        <f t="shared" si="432"/>
        <v/>
      </c>
      <c r="AA497" s="26"/>
      <c r="AB497" s="26"/>
      <c r="AC497" s="28"/>
      <c r="AD497" s="28"/>
      <c r="AE497" s="125" t="str">
        <f t="shared" si="433"/>
        <v/>
      </c>
      <c r="AF497" s="9"/>
      <c r="AG497" s="125" t="str">
        <f t="shared" si="434"/>
        <v/>
      </c>
      <c r="AH497" s="28"/>
      <c r="AI497" s="28"/>
      <c r="AJ497" s="125" t="str">
        <f t="shared" si="435"/>
        <v/>
      </c>
      <c r="AK497" s="9"/>
      <c r="AL497" s="125" t="str">
        <f t="shared" si="436"/>
        <v/>
      </c>
      <c r="AM497" s="28"/>
      <c r="AN497" s="28"/>
      <c r="AO497" s="125" t="str">
        <f t="shared" si="437"/>
        <v/>
      </c>
      <c r="AP497" s="125" t="str">
        <f t="shared" si="438"/>
        <v/>
      </c>
      <c r="AQ497" s="125" t="str">
        <f t="shared" si="439"/>
        <v/>
      </c>
      <c r="AR497" s="129" t="str">
        <f t="shared" si="440"/>
        <v/>
      </c>
      <c r="AS497" s="9"/>
      <c r="AT497" s="34"/>
      <c r="AU497" s="34"/>
      <c r="AV497" s="117" t="str">
        <f>IF(_xlfn.XLOOKUP(AT497, AutoFill_classes!$A:$A, AutoFill_classes!$B:$B,"")=0,"",_xlfn.XLOOKUP(AT497, AutoFill_classes!$A:$A, AutoFill_classes!$B:$B,""))</f>
        <v/>
      </c>
      <c r="AW497" s="108"/>
      <c r="AX497" s="9"/>
      <c r="AY497" s="10"/>
      <c r="AZ497" s="9"/>
      <c r="BA497" s="10"/>
      <c r="BB497" s="10"/>
      <c r="BC497" s="64"/>
      <c r="BD497" s="25"/>
      <c r="BE497" s="121" t="str">
        <f t="shared" si="441"/>
        <v/>
      </c>
      <c r="BF497" s="20"/>
      <c r="BG497" s="20"/>
      <c r="BH497" s="24"/>
      <c r="BI497" s="24"/>
      <c r="BJ497" s="125" t="str">
        <f t="shared" si="442"/>
        <v/>
      </c>
      <c r="BK497" s="14"/>
      <c r="BL497" s="125" t="str">
        <f t="shared" si="443"/>
        <v/>
      </c>
      <c r="BM497" s="24"/>
      <c r="BN497" s="24"/>
      <c r="BO497" s="125" t="str">
        <f t="shared" si="444"/>
        <v/>
      </c>
      <c r="BP497" s="14"/>
      <c r="BQ497" s="125" t="str">
        <f t="shared" si="445"/>
        <v/>
      </c>
      <c r="BR497" s="24"/>
      <c r="BS497" s="24"/>
      <c r="BT497" s="125" t="str">
        <f t="shared" si="446"/>
        <v/>
      </c>
      <c r="BU497" s="125" t="str">
        <f t="shared" si="447"/>
        <v/>
      </c>
      <c r="BV497" s="125" t="str">
        <f t="shared" si="448"/>
        <v/>
      </c>
      <c r="BW497" s="129" t="str">
        <f t="shared" si="449"/>
        <v/>
      </c>
      <c r="BX497" s="9"/>
      <c r="BY497" s="9"/>
      <c r="BZ497" s="9"/>
      <c r="CA497" s="117" t="str">
        <f>IF(_xlfn.XLOOKUP(BY497, AutoFill_classes!$A:$A, AutoFill_classes!$B:$B,"")=0,"",_xlfn.XLOOKUP(BY497, AutoFill_classes!$A:$A, AutoFill_classes!$B:$B,""))</f>
        <v/>
      </c>
      <c r="CB497" s="108"/>
      <c r="CC497" s="9"/>
      <c r="CD497" s="9"/>
      <c r="CE497" s="9"/>
      <c r="CF497" s="4"/>
      <c r="CG497" s="25"/>
      <c r="CH497" s="64"/>
      <c r="CI497" s="27"/>
      <c r="CJ497" s="121" t="str">
        <f t="shared" si="450"/>
        <v/>
      </c>
      <c r="CK497" s="20"/>
      <c r="CL497" s="20"/>
      <c r="CM497" s="24"/>
      <c r="CN497" s="24"/>
      <c r="CO497" s="125" t="str">
        <f t="shared" si="451"/>
        <v/>
      </c>
      <c r="CP497" s="14"/>
      <c r="CQ497" s="125" t="str">
        <f t="shared" si="452"/>
        <v/>
      </c>
      <c r="CR497" s="24"/>
      <c r="CS497" s="24"/>
      <c r="CT497" s="125" t="str">
        <f t="shared" si="453"/>
        <v/>
      </c>
      <c r="CU497" s="14"/>
      <c r="CV497" s="125" t="str">
        <f t="shared" si="454"/>
        <v/>
      </c>
      <c r="CW497" s="24"/>
      <c r="CX497" s="24"/>
      <c r="CY497" s="125" t="str">
        <f t="shared" si="455"/>
        <v/>
      </c>
      <c r="CZ497" s="125" t="str">
        <f t="shared" si="456"/>
        <v/>
      </c>
      <c r="DA497" s="125" t="str">
        <f t="shared" si="457"/>
        <v/>
      </c>
      <c r="DB497" s="129" t="str">
        <f t="shared" si="458"/>
        <v/>
      </c>
      <c r="DC497" s="9"/>
      <c r="DD497" s="65"/>
      <c r="DE497" s="105">
        <v>493</v>
      </c>
    </row>
    <row r="498" spans="1:109" outlineLevel="1" x14ac:dyDescent="0.2">
      <c r="A498" s="4"/>
      <c r="B498" s="115" t="str">
        <f>IF(_xlfn.XLOOKUP(A498, AutoFill_names!B:B, AutoFill_names!C:C,"")=0,"",_xlfn.XLOOKUP(A498, AutoFill_names!B:B, AutoFill_names!C:C,""))</f>
        <v/>
      </c>
      <c r="C498" s="115" t="str">
        <f>IF(_xlfn.XLOOKUP(A498, AutoFill_names!B:B, AutoFill_names!D:D,"")=0,"",_xlfn.XLOOKUP(A498, AutoFill_names!B:B, AutoFill_names!D:D,""))</f>
        <v/>
      </c>
      <c r="D498" s="115" t="str">
        <f>IF(_xlfn.XLOOKUP(A498, AutoFill_names!B:B, AutoFill_names!E:E,"")=0,"",_xlfn.XLOOKUP(A498, AutoFill_names!B:B, AutoFill_names!E:E,""))</f>
        <v/>
      </c>
      <c r="E498" s="115" t="str">
        <f>IF(_xlfn.XLOOKUP(A498, AutoFill_names!B:B, AutoFill_names!F:F,"")=0,"",_xlfn.XLOOKUP(A498, AutoFill_names!B:B, AutoFill_names!F:F,""))</f>
        <v/>
      </c>
      <c r="F498" s="92"/>
      <c r="G498" s="1"/>
      <c r="H498" s="1"/>
      <c r="I498" s="1"/>
      <c r="J498" s="115" t="str">
        <f>IF(_xlfn.XLOOKUP(A498, AutoFill_names!B:B, AutoFill_names!K:K,"")=0,"",_xlfn.XLOOKUP(A498, AutoFill_names!B:B, AutoFill_names!K:K,""))</f>
        <v/>
      </c>
      <c r="K498" s="115" t="str">
        <f>IF(_xlfn.XLOOKUP(A498, AutoFill_names!B:B, AutoFill_names!L:L,"")=0,"",_xlfn.XLOOKUP(A498, AutoFill_names!B:B, AutoFill_names!L:L,""))</f>
        <v/>
      </c>
      <c r="L498" s="5"/>
      <c r="M498" s="5"/>
      <c r="N498" s="117" t="str">
        <f>IF(_xlfn.XLOOKUP(L498, AutoFill_classes!A:A, AutoFill_classes!B:B,"")=0,"",_xlfn.XLOOKUP(L498, AutoFill_classes!A:A, AutoFill_classes!B:B,""))</f>
        <v/>
      </c>
      <c r="O498" s="108"/>
      <c r="P498" s="8"/>
      <c r="Q498" s="8"/>
      <c r="R498" s="8"/>
      <c r="S498" s="4"/>
      <c r="T498" s="4"/>
      <c r="U498" s="4"/>
      <c r="V498" s="4"/>
      <c r="W498" s="4"/>
      <c r="X498" s="64"/>
      <c r="Y498" s="25"/>
      <c r="Z498" s="121" t="str">
        <f t="shared" si="432"/>
        <v/>
      </c>
      <c r="AA498" s="26"/>
      <c r="AB498" s="26"/>
      <c r="AC498" s="28"/>
      <c r="AD498" s="28"/>
      <c r="AE498" s="125" t="str">
        <f t="shared" si="433"/>
        <v/>
      </c>
      <c r="AF498" s="9"/>
      <c r="AG498" s="125" t="str">
        <f t="shared" si="434"/>
        <v/>
      </c>
      <c r="AH498" s="28"/>
      <c r="AI498" s="28"/>
      <c r="AJ498" s="125" t="str">
        <f t="shared" si="435"/>
        <v/>
      </c>
      <c r="AK498" s="9"/>
      <c r="AL498" s="125" t="str">
        <f t="shared" si="436"/>
        <v/>
      </c>
      <c r="AM498" s="28"/>
      <c r="AN498" s="28"/>
      <c r="AO498" s="125" t="str">
        <f t="shared" si="437"/>
        <v/>
      </c>
      <c r="AP498" s="125" t="str">
        <f t="shared" si="438"/>
        <v/>
      </c>
      <c r="AQ498" s="125" t="str">
        <f t="shared" si="439"/>
        <v/>
      </c>
      <c r="AR498" s="129" t="str">
        <f t="shared" si="440"/>
        <v/>
      </c>
      <c r="AS498" s="9"/>
      <c r="AT498" s="34"/>
      <c r="AU498" s="34"/>
      <c r="AV498" s="117" t="str">
        <f>IF(_xlfn.XLOOKUP(AT498, AutoFill_classes!$A:$A, AutoFill_classes!$B:$B,"")=0,"",_xlfn.XLOOKUP(AT498, AutoFill_classes!$A:$A, AutoFill_classes!$B:$B,""))</f>
        <v/>
      </c>
      <c r="AW498" s="108"/>
      <c r="AX498" s="9"/>
      <c r="AY498" s="10"/>
      <c r="AZ498" s="9"/>
      <c r="BA498" s="10"/>
      <c r="BB498" s="10"/>
      <c r="BC498" s="64"/>
      <c r="BD498" s="25"/>
      <c r="BE498" s="121" t="str">
        <f t="shared" si="441"/>
        <v/>
      </c>
      <c r="BF498" s="20"/>
      <c r="BG498" s="20"/>
      <c r="BH498" s="24"/>
      <c r="BI498" s="24"/>
      <c r="BJ498" s="125" t="str">
        <f t="shared" si="442"/>
        <v/>
      </c>
      <c r="BK498" s="14"/>
      <c r="BL498" s="125" t="str">
        <f t="shared" si="443"/>
        <v/>
      </c>
      <c r="BM498" s="24"/>
      <c r="BN498" s="24"/>
      <c r="BO498" s="125" t="str">
        <f t="shared" si="444"/>
        <v/>
      </c>
      <c r="BP498" s="14"/>
      <c r="BQ498" s="125" t="str">
        <f t="shared" si="445"/>
        <v/>
      </c>
      <c r="BR498" s="24"/>
      <c r="BS498" s="24"/>
      <c r="BT498" s="125" t="str">
        <f t="shared" si="446"/>
        <v/>
      </c>
      <c r="BU498" s="125" t="str">
        <f t="shared" si="447"/>
        <v/>
      </c>
      <c r="BV498" s="125" t="str">
        <f t="shared" si="448"/>
        <v/>
      </c>
      <c r="BW498" s="129" t="str">
        <f t="shared" si="449"/>
        <v/>
      </c>
      <c r="BX498" s="9"/>
      <c r="BY498" s="9"/>
      <c r="BZ498" s="9"/>
      <c r="CA498" s="117" t="str">
        <f>IF(_xlfn.XLOOKUP(BY498, AutoFill_classes!$A:$A, AutoFill_classes!$B:$B,"")=0,"",_xlfn.XLOOKUP(BY498, AutoFill_classes!$A:$A, AutoFill_classes!$B:$B,""))</f>
        <v/>
      </c>
      <c r="CB498" s="108"/>
      <c r="CC498" s="9"/>
      <c r="CD498" s="9"/>
      <c r="CE498" s="9"/>
      <c r="CF498" s="4"/>
      <c r="CG498" s="25"/>
      <c r="CH498" s="64"/>
      <c r="CI498" s="27"/>
      <c r="CJ498" s="121" t="str">
        <f t="shared" si="450"/>
        <v/>
      </c>
      <c r="CK498" s="20"/>
      <c r="CL498" s="20"/>
      <c r="CM498" s="24"/>
      <c r="CN498" s="24"/>
      <c r="CO498" s="125" t="str">
        <f t="shared" si="451"/>
        <v/>
      </c>
      <c r="CP498" s="14"/>
      <c r="CQ498" s="125" t="str">
        <f t="shared" si="452"/>
        <v/>
      </c>
      <c r="CR498" s="24"/>
      <c r="CS498" s="24"/>
      <c r="CT498" s="125" t="str">
        <f t="shared" si="453"/>
        <v/>
      </c>
      <c r="CU498" s="14"/>
      <c r="CV498" s="125" t="str">
        <f t="shared" si="454"/>
        <v/>
      </c>
      <c r="CW498" s="24"/>
      <c r="CX498" s="24"/>
      <c r="CY498" s="125" t="str">
        <f t="shared" si="455"/>
        <v/>
      </c>
      <c r="CZ498" s="125" t="str">
        <f t="shared" si="456"/>
        <v/>
      </c>
      <c r="DA498" s="125" t="str">
        <f t="shared" si="457"/>
        <v/>
      </c>
      <c r="DB498" s="129" t="str">
        <f t="shared" si="458"/>
        <v/>
      </c>
      <c r="DC498" s="9"/>
      <c r="DD498" s="65"/>
      <c r="DE498" s="105">
        <v>494</v>
      </c>
    </row>
    <row r="499" spans="1:109" outlineLevel="1" x14ac:dyDescent="0.2">
      <c r="A499" s="4"/>
      <c r="B499" s="115" t="str">
        <f>IF(_xlfn.XLOOKUP(A499, AutoFill_names!B:B, AutoFill_names!C:C,"")=0,"",_xlfn.XLOOKUP(A499, AutoFill_names!B:B, AutoFill_names!C:C,""))</f>
        <v/>
      </c>
      <c r="C499" s="115" t="str">
        <f>IF(_xlfn.XLOOKUP(A499, AutoFill_names!B:B, AutoFill_names!D:D,"")=0,"",_xlfn.XLOOKUP(A499, AutoFill_names!B:B, AutoFill_names!D:D,""))</f>
        <v/>
      </c>
      <c r="D499" s="115" t="str">
        <f>IF(_xlfn.XLOOKUP(A499, AutoFill_names!B:B, AutoFill_names!E:E,"")=0,"",_xlfn.XLOOKUP(A499, AutoFill_names!B:B, AutoFill_names!E:E,""))</f>
        <v/>
      </c>
      <c r="E499" s="115" t="str">
        <f>IF(_xlfn.XLOOKUP(A499, AutoFill_names!B:B, AutoFill_names!F:F,"")=0,"",_xlfn.XLOOKUP(A499, AutoFill_names!B:B, AutoFill_names!F:F,""))</f>
        <v/>
      </c>
      <c r="F499" s="92"/>
      <c r="G499" s="1"/>
      <c r="H499" s="1"/>
      <c r="I499" s="1"/>
      <c r="J499" s="115" t="str">
        <f>IF(_xlfn.XLOOKUP(A499, AutoFill_names!B:B, AutoFill_names!K:K,"")=0,"",_xlfn.XLOOKUP(A499, AutoFill_names!B:B, AutoFill_names!K:K,""))</f>
        <v/>
      </c>
      <c r="K499" s="115" t="str">
        <f>IF(_xlfn.XLOOKUP(A499, AutoFill_names!B:B, AutoFill_names!L:L,"")=0,"",_xlfn.XLOOKUP(A499, AutoFill_names!B:B, AutoFill_names!L:L,""))</f>
        <v/>
      </c>
      <c r="L499" s="5"/>
      <c r="M499" s="5"/>
      <c r="N499" s="117" t="str">
        <f>IF(_xlfn.XLOOKUP(L499, AutoFill_classes!A:A, AutoFill_classes!B:B,"")=0,"",_xlfn.XLOOKUP(L499, AutoFill_classes!A:A, AutoFill_classes!B:B,""))</f>
        <v/>
      </c>
      <c r="O499" s="108"/>
      <c r="P499" s="8"/>
      <c r="Q499" s="8"/>
      <c r="R499" s="8"/>
      <c r="S499" s="4"/>
      <c r="T499" s="4"/>
      <c r="U499" s="4"/>
      <c r="V499" s="4"/>
      <c r="W499" s="4"/>
      <c r="X499" s="64"/>
      <c r="Y499" s="25"/>
      <c r="Z499" s="121" t="str">
        <f t="shared" si="432"/>
        <v/>
      </c>
      <c r="AA499" s="26"/>
      <c r="AB499" s="26"/>
      <c r="AC499" s="28"/>
      <c r="AD499" s="28"/>
      <c r="AE499" s="125" t="str">
        <f t="shared" si="433"/>
        <v/>
      </c>
      <c r="AF499" s="9"/>
      <c r="AG499" s="125" t="str">
        <f t="shared" si="434"/>
        <v/>
      </c>
      <c r="AH499" s="28"/>
      <c r="AI499" s="28"/>
      <c r="AJ499" s="125" t="str">
        <f t="shared" si="435"/>
        <v/>
      </c>
      <c r="AK499" s="9"/>
      <c r="AL499" s="125" t="str">
        <f t="shared" si="436"/>
        <v/>
      </c>
      <c r="AM499" s="28"/>
      <c r="AN499" s="28"/>
      <c r="AO499" s="125" t="str">
        <f t="shared" si="437"/>
        <v/>
      </c>
      <c r="AP499" s="125" t="str">
        <f t="shared" si="438"/>
        <v/>
      </c>
      <c r="AQ499" s="125" t="str">
        <f t="shared" si="439"/>
        <v/>
      </c>
      <c r="AR499" s="129" t="str">
        <f t="shared" si="440"/>
        <v/>
      </c>
      <c r="AS499" s="9"/>
      <c r="AT499" s="34"/>
      <c r="AU499" s="34"/>
      <c r="AV499" s="117" t="str">
        <f>IF(_xlfn.XLOOKUP(AT499, AutoFill_classes!$A:$A, AutoFill_classes!$B:$B,"")=0,"",_xlfn.XLOOKUP(AT499, AutoFill_classes!$A:$A, AutoFill_classes!$B:$B,""))</f>
        <v/>
      </c>
      <c r="AW499" s="108"/>
      <c r="AX499" s="9"/>
      <c r="AY499" s="10"/>
      <c r="AZ499" s="9"/>
      <c r="BA499" s="10"/>
      <c r="BB499" s="10"/>
      <c r="BC499" s="64"/>
      <c r="BD499" s="25"/>
      <c r="BE499" s="121" t="str">
        <f t="shared" si="441"/>
        <v/>
      </c>
      <c r="BF499" s="20"/>
      <c r="BG499" s="20"/>
      <c r="BH499" s="24"/>
      <c r="BI499" s="24"/>
      <c r="BJ499" s="125" t="str">
        <f t="shared" si="442"/>
        <v/>
      </c>
      <c r="BK499" s="14"/>
      <c r="BL499" s="125" t="str">
        <f t="shared" si="443"/>
        <v/>
      </c>
      <c r="BM499" s="24"/>
      <c r="BN499" s="24"/>
      <c r="BO499" s="125" t="str">
        <f t="shared" si="444"/>
        <v/>
      </c>
      <c r="BP499" s="14"/>
      <c r="BQ499" s="125" t="str">
        <f t="shared" si="445"/>
        <v/>
      </c>
      <c r="BR499" s="24"/>
      <c r="BS499" s="24"/>
      <c r="BT499" s="125" t="str">
        <f t="shared" si="446"/>
        <v/>
      </c>
      <c r="BU499" s="125" t="str">
        <f t="shared" si="447"/>
        <v/>
      </c>
      <c r="BV499" s="125" t="str">
        <f t="shared" si="448"/>
        <v/>
      </c>
      <c r="BW499" s="129" t="str">
        <f t="shared" si="449"/>
        <v/>
      </c>
      <c r="BX499" s="9"/>
      <c r="BY499" s="9"/>
      <c r="BZ499" s="9"/>
      <c r="CA499" s="117" t="str">
        <f>IF(_xlfn.XLOOKUP(BY499, AutoFill_classes!$A:$A, AutoFill_classes!$B:$B,"")=0,"",_xlfn.XLOOKUP(BY499, AutoFill_classes!$A:$A, AutoFill_classes!$B:$B,""))</f>
        <v/>
      </c>
      <c r="CB499" s="108"/>
      <c r="CC499" s="9"/>
      <c r="CD499" s="9"/>
      <c r="CE499" s="9"/>
      <c r="CF499" s="4"/>
      <c r="CG499" s="25"/>
      <c r="CH499" s="64"/>
      <c r="CI499" s="27"/>
      <c r="CJ499" s="121" t="str">
        <f t="shared" si="450"/>
        <v/>
      </c>
      <c r="CK499" s="20"/>
      <c r="CL499" s="20"/>
      <c r="CM499" s="24"/>
      <c r="CN499" s="24"/>
      <c r="CO499" s="125" t="str">
        <f t="shared" si="451"/>
        <v/>
      </c>
      <c r="CP499" s="14"/>
      <c r="CQ499" s="125" t="str">
        <f t="shared" si="452"/>
        <v/>
      </c>
      <c r="CR499" s="24"/>
      <c r="CS499" s="24"/>
      <c r="CT499" s="125" t="str">
        <f t="shared" si="453"/>
        <v/>
      </c>
      <c r="CU499" s="14"/>
      <c r="CV499" s="125" t="str">
        <f t="shared" si="454"/>
        <v/>
      </c>
      <c r="CW499" s="24"/>
      <c r="CX499" s="24"/>
      <c r="CY499" s="125" t="str">
        <f t="shared" si="455"/>
        <v/>
      </c>
      <c r="CZ499" s="125" t="str">
        <f t="shared" si="456"/>
        <v/>
      </c>
      <c r="DA499" s="125" t="str">
        <f t="shared" si="457"/>
        <v/>
      </c>
      <c r="DB499" s="129" t="str">
        <f t="shared" si="458"/>
        <v/>
      </c>
      <c r="DC499" s="9"/>
      <c r="DD499" s="65"/>
      <c r="DE499" s="105">
        <v>495</v>
      </c>
    </row>
    <row r="500" spans="1:109" outlineLevel="1" x14ac:dyDescent="0.2">
      <c r="A500" s="4"/>
      <c r="B500" s="115" t="str">
        <f>IF(_xlfn.XLOOKUP(A500, AutoFill_names!B:B, AutoFill_names!C:C,"")=0,"",_xlfn.XLOOKUP(A500, AutoFill_names!B:B, AutoFill_names!C:C,""))</f>
        <v/>
      </c>
      <c r="C500" s="115" t="str">
        <f>IF(_xlfn.XLOOKUP(A500, AutoFill_names!B:B, AutoFill_names!D:D,"")=0,"",_xlfn.XLOOKUP(A500, AutoFill_names!B:B, AutoFill_names!D:D,""))</f>
        <v/>
      </c>
      <c r="D500" s="115" t="str">
        <f>IF(_xlfn.XLOOKUP(A500, AutoFill_names!B:B, AutoFill_names!E:E,"")=0,"",_xlfn.XLOOKUP(A500, AutoFill_names!B:B, AutoFill_names!E:E,""))</f>
        <v/>
      </c>
      <c r="E500" s="115" t="str">
        <f>IF(_xlfn.XLOOKUP(A500, AutoFill_names!B:B, AutoFill_names!F:F,"")=0,"",_xlfn.XLOOKUP(A500, AutoFill_names!B:B, AutoFill_names!F:F,""))</f>
        <v/>
      </c>
      <c r="F500" s="92"/>
      <c r="G500" s="1"/>
      <c r="H500" s="1"/>
      <c r="I500" s="1"/>
      <c r="J500" s="115" t="str">
        <f>IF(_xlfn.XLOOKUP(A500, AutoFill_names!B:B, AutoFill_names!K:K,"")=0,"",_xlfn.XLOOKUP(A500, AutoFill_names!B:B, AutoFill_names!K:K,""))</f>
        <v/>
      </c>
      <c r="K500" s="115" t="str">
        <f>IF(_xlfn.XLOOKUP(A500, AutoFill_names!B:B, AutoFill_names!L:L,"")=0,"",_xlfn.XLOOKUP(A500, AutoFill_names!B:B, AutoFill_names!L:L,""))</f>
        <v/>
      </c>
      <c r="L500" s="5"/>
      <c r="M500" s="5"/>
      <c r="N500" s="117" t="str">
        <f>IF(_xlfn.XLOOKUP(L500, AutoFill_classes!A:A, AutoFill_classes!B:B,"")=0,"",_xlfn.XLOOKUP(L500, AutoFill_classes!A:A, AutoFill_classes!B:B,""))</f>
        <v/>
      </c>
      <c r="O500" s="108"/>
      <c r="P500" s="8"/>
      <c r="Q500" s="8"/>
      <c r="R500" s="8"/>
      <c r="S500" s="4"/>
      <c r="T500" s="4"/>
      <c r="U500" s="4"/>
      <c r="V500" s="4"/>
      <c r="W500" s="4"/>
      <c r="X500" s="64"/>
      <c r="Y500" s="25"/>
      <c r="Z500" s="121" t="str">
        <f t="shared" si="432"/>
        <v/>
      </c>
      <c r="AA500" s="26"/>
      <c r="AB500" s="26"/>
      <c r="AC500" s="28"/>
      <c r="AD500" s="28"/>
      <c r="AE500" s="125" t="str">
        <f t="shared" si="433"/>
        <v/>
      </c>
      <c r="AF500" s="9"/>
      <c r="AG500" s="125" t="str">
        <f t="shared" si="434"/>
        <v/>
      </c>
      <c r="AH500" s="28"/>
      <c r="AI500" s="28"/>
      <c r="AJ500" s="125" t="str">
        <f t="shared" si="435"/>
        <v/>
      </c>
      <c r="AK500" s="9"/>
      <c r="AL500" s="125" t="str">
        <f t="shared" si="436"/>
        <v/>
      </c>
      <c r="AM500" s="28"/>
      <c r="AN500" s="28"/>
      <c r="AO500" s="125" t="str">
        <f t="shared" si="437"/>
        <v/>
      </c>
      <c r="AP500" s="125" t="str">
        <f t="shared" si="438"/>
        <v/>
      </c>
      <c r="AQ500" s="125" t="str">
        <f t="shared" si="439"/>
        <v/>
      </c>
      <c r="AR500" s="129" t="str">
        <f t="shared" si="440"/>
        <v/>
      </c>
      <c r="AS500" s="9"/>
      <c r="AT500" s="34"/>
      <c r="AU500" s="34"/>
      <c r="AV500" s="117" t="str">
        <f>IF(_xlfn.XLOOKUP(AT500, AutoFill_classes!$A:$A, AutoFill_classes!$B:$B,"")=0,"",_xlfn.XLOOKUP(AT500, AutoFill_classes!$A:$A, AutoFill_classes!$B:$B,""))</f>
        <v/>
      </c>
      <c r="AW500" s="108"/>
      <c r="AX500" s="9"/>
      <c r="AY500" s="10"/>
      <c r="AZ500" s="9"/>
      <c r="BA500" s="10"/>
      <c r="BB500" s="10"/>
      <c r="BC500" s="64"/>
      <c r="BD500" s="25"/>
      <c r="BE500" s="121" t="str">
        <f t="shared" si="441"/>
        <v/>
      </c>
      <c r="BF500" s="20"/>
      <c r="BG500" s="20"/>
      <c r="BH500" s="24"/>
      <c r="BI500" s="24"/>
      <c r="BJ500" s="125" t="str">
        <f t="shared" si="442"/>
        <v/>
      </c>
      <c r="BK500" s="14"/>
      <c r="BL500" s="125" t="str">
        <f t="shared" si="443"/>
        <v/>
      </c>
      <c r="BM500" s="24"/>
      <c r="BN500" s="24"/>
      <c r="BO500" s="125" t="str">
        <f t="shared" si="444"/>
        <v/>
      </c>
      <c r="BP500" s="14"/>
      <c r="BQ500" s="125" t="str">
        <f t="shared" si="445"/>
        <v/>
      </c>
      <c r="BR500" s="24"/>
      <c r="BS500" s="24"/>
      <c r="BT500" s="125" t="str">
        <f t="shared" si="446"/>
        <v/>
      </c>
      <c r="BU500" s="125" t="str">
        <f t="shared" si="447"/>
        <v/>
      </c>
      <c r="BV500" s="125" t="str">
        <f t="shared" si="448"/>
        <v/>
      </c>
      <c r="BW500" s="129" t="str">
        <f t="shared" si="449"/>
        <v/>
      </c>
      <c r="BX500" s="9"/>
      <c r="BY500" s="9"/>
      <c r="BZ500" s="9"/>
      <c r="CA500" s="117" t="str">
        <f>IF(_xlfn.XLOOKUP(BY500, AutoFill_classes!$A:$A, AutoFill_classes!$B:$B,"")=0,"",_xlfn.XLOOKUP(BY500, AutoFill_classes!$A:$A, AutoFill_classes!$B:$B,""))</f>
        <v/>
      </c>
      <c r="CB500" s="108"/>
      <c r="CC500" s="9"/>
      <c r="CD500" s="9"/>
      <c r="CE500" s="9"/>
      <c r="CF500" s="4"/>
      <c r="CG500" s="25"/>
      <c r="CH500" s="64"/>
      <c r="CI500" s="27"/>
      <c r="CJ500" s="121" t="str">
        <f t="shared" si="450"/>
        <v/>
      </c>
      <c r="CK500" s="20"/>
      <c r="CL500" s="20"/>
      <c r="CM500" s="24"/>
      <c r="CN500" s="24"/>
      <c r="CO500" s="125" t="str">
        <f t="shared" si="451"/>
        <v/>
      </c>
      <c r="CP500" s="14"/>
      <c r="CQ500" s="125" t="str">
        <f t="shared" si="452"/>
        <v/>
      </c>
      <c r="CR500" s="24"/>
      <c r="CS500" s="24"/>
      <c r="CT500" s="125" t="str">
        <f t="shared" si="453"/>
        <v/>
      </c>
      <c r="CU500" s="14"/>
      <c r="CV500" s="125" t="str">
        <f t="shared" si="454"/>
        <v/>
      </c>
      <c r="CW500" s="24"/>
      <c r="CX500" s="24"/>
      <c r="CY500" s="125" t="str">
        <f t="shared" si="455"/>
        <v/>
      </c>
      <c r="CZ500" s="125" t="str">
        <f t="shared" si="456"/>
        <v/>
      </c>
      <c r="DA500" s="125" t="str">
        <f t="shared" si="457"/>
        <v/>
      </c>
      <c r="DB500" s="129" t="str">
        <f t="shared" si="458"/>
        <v/>
      </c>
      <c r="DC500" s="9"/>
      <c r="DD500" s="65"/>
      <c r="DE500" s="105">
        <v>496</v>
      </c>
    </row>
    <row r="501" spans="1:109" outlineLevel="1" x14ac:dyDescent="0.2">
      <c r="A501" s="4"/>
      <c r="B501" s="115" t="str">
        <f>IF(_xlfn.XLOOKUP(A501, AutoFill_names!B:B, AutoFill_names!C:C,"")=0,"",_xlfn.XLOOKUP(A501, AutoFill_names!B:B, AutoFill_names!C:C,""))</f>
        <v/>
      </c>
      <c r="C501" s="115" t="str">
        <f>IF(_xlfn.XLOOKUP(A501, AutoFill_names!B:B, AutoFill_names!D:D,"")=0,"",_xlfn.XLOOKUP(A501, AutoFill_names!B:B, AutoFill_names!D:D,""))</f>
        <v/>
      </c>
      <c r="D501" s="115" t="str">
        <f>IF(_xlfn.XLOOKUP(A501, AutoFill_names!B:B, AutoFill_names!E:E,"")=0,"",_xlfn.XLOOKUP(A501, AutoFill_names!B:B, AutoFill_names!E:E,""))</f>
        <v/>
      </c>
      <c r="E501" s="115" t="str">
        <f>IF(_xlfn.XLOOKUP(A501, AutoFill_names!B:B, AutoFill_names!F:F,"")=0,"",_xlfn.XLOOKUP(A501, AutoFill_names!B:B, AutoFill_names!F:F,""))</f>
        <v/>
      </c>
      <c r="F501" s="92"/>
      <c r="G501" s="1"/>
      <c r="H501" s="1"/>
      <c r="I501" s="1"/>
      <c r="J501" s="115" t="str">
        <f>IF(_xlfn.XLOOKUP(A501, AutoFill_names!B:B, AutoFill_names!K:K,"")=0,"",_xlfn.XLOOKUP(A501, AutoFill_names!B:B, AutoFill_names!K:K,""))</f>
        <v/>
      </c>
      <c r="K501" s="115" t="str">
        <f>IF(_xlfn.XLOOKUP(A501, AutoFill_names!B:B, AutoFill_names!L:L,"")=0,"",_xlfn.XLOOKUP(A501, AutoFill_names!B:B, AutoFill_names!L:L,""))</f>
        <v/>
      </c>
      <c r="L501" s="5"/>
      <c r="M501" s="5"/>
      <c r="N501" s="117" t="str">
        <f>IF(_xlfn.XLOOKUP(L501, AutoFill_classes!A:A, AutoFill_classes!B:B,"")=0,"",_xlfn.XLOOKUP(L501, AutoFill_classes!A:A, AutoFill_classes!B:B,""))</f>
        <v/>
      </c>
      <c r="O501" s="108"/>
      <c r="P501" s="8"/>
      <c r="Q501" s="8"/>
      <c r="R501" s="8"/>
      <c r="S501" s="4"/>
      <c r="T501" s="4"/>
      <c r="U501" s="4"/>
      <c r="V501" s="4"/>
      <c r="W501" s="4"/>
      <c r="X501" s="64"/>
      <c r="Y501" s="25"/>
      <c r="Z501" s="121" t="str">
        <f t="shared" si="432"/>
        <v/>
      </c>
      <c r="AA501" s="26"/>
      <c r="AB501" s="26"/>
      <c r="AC501" s="28"/>
      <c r="AD501" s="28"/>
      <c r="AE501" s="125" t="str">
        <f t="shared" si="433"/>
        <v/>
      </c>
      <c r="AF501" s="9"/>
      <c r="AG501" s="125" t="str">
        <f t="shared" si="434"/>
        <v/>
      </c>
      <c r="AH501" s="28"/>
      <c r="AI501" s="28"/>
      <c r="AJ501" s="125" t="str">
        <f t="shared" si="435"/>
        <v/>
      </c>
      <c r="AK501" s="9"/>
      <c r="AL501" s="125" t="str">
        <f t="shared" si="436"/>
        <v/>
      </c>
      <c r="AM501" s="28"/>
      <c r="AN501" s="28"/>
      <c r="AO501" s="125" t="str">
        <f t="shared" si="437"/>
        <v/>
      </c>
      <c r="AP501" s="125" t="str">
        <f t="shared" si="438"/>
        <v/>
      </c>
      <c r="AQ501" s="125" t="str">
        <f t="shared" si="439"/>
        <v/>
      </c>
      <c r="AR501" s="129" t="str">
        <f t="shared" si="440"/>
        <v/>
      </c>
      <c r="AS501" s="9"/>
      <c r="AT501" s="34"/>
      <c r="AU501" s="34"/>
      <c r="AV501" s="117" t="str">
        <f>IF(_xlfn.XLOOKUP(AT501, AutoFill_classes!$A:$A, AutoFill_classes!$B:$B,"")=0,"",_xlfn.XLOOKUP(AT501, AutoFill_classes!$A:$A, AutoFill_classes!$B:$B,""))</f>
        <v/>
      </c>
      <c r="AW501" s="108"/>
      <c r="AX501" s="9"/>
      <c r="AY501" s="10"/>
      <c r="AZ501" s="9"/>
      <c r="BA501" s="10"/>
      <c r="BB501" s="10"/>
      <c r="BC501" s="64"/>
      <c r="BD501" s="25"/>
      <c r="BE501" s="121" t="str">
        <f t="shared" si="441"/>
        <v/>
      </c>
      <c r="BF501" s="20"/>
      <c r="BG501" s="20"/>
      <c r="BH501" s="24"/>
      <c r="BI501" s="24"/>
      <c r="BJ501" s="125" t="str">
        <f t="shared" si="442"/>
        <v/>
      </c>
      <c r="BK501" s="14"/>
      <c r="BL501" s="125" t="str">
        <f t="shared" si="443"/>
        <v/>
      </c>
      <c r="BM501" s="24"/>
      <c r="BN501" s="24"/>
      <c r="BO501" s="125" t="str">
        <f t="shared" si="444"/>
        <v/>
      </c>
      <c r="BP501" s="14"/>
      <c r="BQ501" s="125" t="str">
        <f t="shared" si="445"/>
        <v/>
      </c>
      <c r="BR501" s="24"/>
      <c r="BS501" s="24"/>
      <c r="BT501" s="125" t="str">
        <f t="shared" si="446"/>
        <v/>
      </c>
      <c r="BU501" s="125" t="str">
        <f t="shared" si="447"/>
        <v/>
      </c>
      <c r="BV501" s="125" t="str">
        <f t="shared" si="448"/>
        <v/>
      </c>
      <c r="BW501" s="129" t="str">
        <f t="shared" si="449"/>
        <v/>
      </c>
      <c r="BX501" s="9"/>
      <c r="BY501" s="9"/>
      <c r="BZ501" s="9"/>
      <c r="CA501" s="117" t="str">
        <f>IF(_xlfn.XLOOKUP(BY501, AutoFill_classes!$A:$A, AutoFill_classes!$B:$B,"")=0,"",_xlfn.XLOOKUP(BY501, AutoFill_classes!$A:$A, AutoFill_classes!$B:$B,""))</f>
        <v/>
      </c>
      <c r="CB501" s="108"/>
      <c r="CC501" s="9"/>
      <c r="CD501" s="9"/>
      <c r="CE501" s="9"/>
      <c r="CF501" s="4"/>
      <c r="CG501" s="25"/>
      <c r="CH501" s="64"/>
      <c r="CI501" s="27"/>
      <c r="CJ501" s="121" t="str">
        <f t="shared" si="450"/>
        <v/>
      </c>
      <c r="CK501" s="20"/>
      <c r="CL501" s="20"/>
      <c r="CM501" s="24"/>
      <c r="CN501" s="24"/>
      <c r="CO501" s="125" t="str">
        <f t="shared" si="451"/>
        <v/>
      </c>
      <c r="CP501" s="14"/>
      <c r="CQ501" s="125" t="str">
        <f t="shared" si="452"/>
        <v/>
      </c>
      <c r="CR501" s="24"/>
      <c r="CS501" s="24"/>
      <c r="CT501" s="125" t="str">
        <f t="shared" si="453"/>
        <v/>
      </c>
      <c r="CU501" s="14"/>
      <c r="CV501" s="125" t="str">
        <f t="shared" si="454"/>
        <v/>
      </c>
      <c r="CW501" s="24"/>
      <c r="CX501" s="24"/>
      <c r="CY501" s="125" t="str">
        <f t="shared" si="455"/>
        <v/>
      </c>
      <c r="CZ501" s="125" t="str">
        <f t="shared" si="456"/>
        <v/>
      </c>
      <c r="DA501" s="125" t="str">
        <f t="shared" si="457"/>
        <v/>
      </c>
      <c r="DB501" s="129" t="str">
        <f t="shared" si="458"/>
        <v/>
      </c>
      <c r="DC501" s="9"/>
      <c r="DD501" s="65"/>
      <c r="DE501" s="105">
        <v>497</v>
      </c>
    </row>
    <row r="502" spans="1:109" outlineLevel="1" x14ac:dyDescent="0.2">
      <c r="A502" s="4"/>
      <c r="B502" s="115" t="str">
        <f>IF(_xlfn.XLOOKUP(A502, AutoFill_names!B:B, AutoFill_names!C:C,"")=0,"",_xlfn.XLOOKUP(A502, AutoFill_names!B:B, AutoFill_names!C:C,""))</f>
        <v/>
      </c>
      <c r="C502" s="115" t="str">
        <f>IF(_xlfn.XLOOKUP(A502, AutoFill_names!B:B, AutoFill_names!D:D,"")=0,"",_xlfn.XLOOKUP(A502, AutoFill_names!B:B, AutoFill_names!D:D,""))</f>
        <v/>
      </c>
      <c r="D502" s="115" t="str">
        <f>IF(_xlfn.XLOOKUP(A502, AutoFill_names!B:B, AutoFill_names!E:E,"")=0,"",_xlfn.XLOOKUP(A502, AutoFill_names!B:B, AutoFill_names!E:E,""))</f>
        <v/>
      </c>
      <c r="E502" s="115" t="str">
        <f>IF(_xlfn.XLOOKUP(A502, AutoFill_names!B:B, AutoFill_names!F:F,"")=0,"",_xlfn.XLOOKUP(A502, AutoFill_names!B:B, AutoFill_names!F:F,""))</f>
        <v/>
      </c>
      <c r="F502" s="92"/>
      <c r="G502" s="1"/>
      <c r="H502" s="1"/>
      <c r="I502" s="1"/>
      <c r="J502" s="115" t="str">
        <f>IF(_xlfn.XLOOKUP(A502, AutoFill_names!B:B, AutoFill_names!K:K,"")=0,"",_xlfn.XLOOKUP(A502, AutoFill_names!B:B, AutoFill_names!K:K,""))</f>
        <v/>
      </c>
      <c r="K502" s="115" t="str">
        <f>IF(_xlfn.XLOOKUP(A502, AutoFill_names!B:B, AutoFill_names!L:L,"")=0,"",_xlfn.XLOOKUP(A502, AutoFill_names!B:B, AutoFill_names!L:L,""))</f>
        <v/>
      </c>
      <c r="L502" s="5"/>
      <c r="M502" s="5"/>
      <c r="N502" s="117" t="str">
        <f>IF(_xlfn.XLOOKUP(L502, AutoFill_classes!A:A, AutoFill_classes!B:B,"")=0,"",_xlfn.XLOOKUP(L502, AutoFill_classes!A:A, AutoFill_classes!B:B,""))</f>
        <v/>
      </c>
      <c r="O502" s="108"/>
      <c r="P502" s="8"/>
      <c r="Q502" s="8"/>
      <c r="R502" s="8"/>
      <c r="S502" s="4"/>
      <c r="T502" s="4"/>
      <c r="U502" s="4"/>
      <c r="V502" s="4"/>
      <c r="W502" s="4"/>
      <c r="X502" s="64"/>
      <c r="Y502" s="25"/>
      <c r="Z502" s="121" t="str">
        <f t="shared" si="432"/>
        <v/>
      </c>
      <c r="AA502" s="26"/>
      <c r="AB502" s="26"/>
      <c r="AC502" s="28"/>
      <c r="AD502" s="28"/>
      <c r="AE502" s="125" t="str">
        <f t="shared" si="433"/>
        <v/>
      </c>
      <c r="AF502" s="9"/>
      <c r="AG502" s="125" t="str">
        <f t="shared" si="434"/>
        <v/>
      </c>
      <c r="AH502" s="28"/>
      <c r="AI502" s="28"/>
      <c r="AJ502" s="125" t="str">
        <f t="shared" si="435"/>
        <v/>
      </c>
      <c r="AK502" s="9"/>
      <c r="AL502" s="125" t="str">
        <f t="shared" si="436"/>
        <v/>
      </c>
      <c r="AM502" s="28"/>
      <c r="AN502" s="28"/>
      <c r="AO502" s="125" t="str">
        <f t="shared" si="437"/>
        <v/>
      </c>
      <c r="AP502" s="125" t="str">
        <f t="shared" si="438"/>
        <v/>
      </c>
      <c r="AQ502" s="125" t="str">
        <f t="shared" si="439"/>
        <v/>
      </c>
      <c r="AR502" s="129" t="str">
        <f t="shared" si="440"/>
        <v/>
      </c>
      <c r="AS502" s="9"/>
      <c r="AT502" s="34"/>
      <c r="AU502" s="34"/>
      <c r="AV502" s="117" t="str">
        <f>IF(_xlfn.XLOOKUP(AT502, AutoFill_classes!$A:$A, AutoFill_classes!$B:$B,"")=0,"",_xlfn.XLOOKUP(AT502, AutoFill_classes!$A:$A, AutoFill_classes!$B:$B,""))</f>
        <v/>
      </c>
      <c r="AW502" s="108"/>
      <c r="AX502" s="9"/>
      <c r="AY502" s="10"/>
      <c r="AZ502" s="9"/>
      <c r="BA502" s="10"/>
      <c r="BB502" s="10"/>
      <c r="BC502" s="64"/>
      <c r="BD502" s="25"/>
      <c r="BE502" s="121" t="str">
        <f t="shared" si="441"/>
        <v/>
      </c>
      <c r="BF502" s="20"/>
      <c r="BG502" s="20"/>
      <c r="BH502" s="24"/>
      <c r="BI502" s="24"/>
      <c r="BJ502" s="125" t="str">
        <f t="shared" si="442"/>
        <v/>
      </c>
      <c r="BK502" s="14"/>
      <c r="BL502" s="125" t="str">
        <f t="shared" si="443"/>
        <v/>
      </c>
      <c r="BM502" s="24"/>
      <c r="BN502" s="24"/>
      <c r="BO502" s="125" t="str">
        <f t="shared" si="444"/>
        <v/>
      </c>
      <c r="BP502" s="14"/>
      <c r="BQ502" s="125" t="str">
        <f t="shared" si="445"/>
        <v/>
      </c>
      <c r="BR502" s="24"/>
      <c r="BS502" s="24"/>
      <c r="BT502" s="125" t="str">
        <f t="shared" si="446"/>
        <v/>
      </c>
      <c r="BU502" s="125" t="str">
        <f t="shared" si="447"/>
        <v/>
      </c>
      <c r="BV502" s="125" t="str">
        <f t="shared" si="448"/>
        <v/>
      </c>
      <c r="BW502" s="129" t="str">
        <f t="shared" si="449"/>
        <v/>
      </c>
      <c r="BX502" s="9"/>
      <c r="BY502" s="9"/>
      <c r="BZ502" s="9"/>
      <c r="CA502" s="117" t="str">
        <f>IF(_xlfn.XLOOKUP(BY502, AutoFill_classes!$A:$A, AutoFill_classes!$B:$B,"")=0,"",_xlfn.XLOOKUP(BY502, AutoFill_classes!$A:$A, AutoFill_classes!$B:$B,""))</f>
        <v/>
      </c>
      <c r="CB502" s="108"/>
      <c r="CC502" s="9"/>
      <c r="CD502" s="9"/>
      <c r="CE502" s="9"/>
      <c r="CF502" s="4"/>
      <c r="CG502" s="25"/>
      <c r="CH502" s="64"/>
      <c r="CI502" s="27"/>
      <c r="CJ502" s="121" t="str">
        <f t="shared" si="450"/>
        <v/>
      </c>
      <c r="CK502" s="20"/>
      <c r="CL502" s="20"/>
      <c r="CM502" s="24"/>
      <c r="CN502" s="24"/>
      <c r="CO502" s="125" t="str">
        <f t="shared" si="451"/>
        <v/>
      </c>
      <c r="CP502" s="14"/>
      <c r="CQ502" s="125" t="str">
        <f t="shared" si="452"/>
        <v/>
      </c>
      <c r="CR502" s="24"/>
      <c r="CS502" s="24"/>
      <c r="CT502" s="125" t="str">
        <f t="shared" si="453"/>
        <v/>
      </c>
      <c r="CU502" s="14"/>
      <c r="CV502" s="125" t="str">
        <f t="shared" si="454"/>
        <v/>
      </c>
      <c r="CW502" s="24"/>
      <c r="CX502" s="24"/>
      <c r="CY502" s="125" t="str">
        <f t="shared" si="455"/>
        <v/>
      </c>
      <c r="CZ502" s="125" t="str">
        <f t="shared" si="456"/>
        <v/>
      </c>
      <c r="DA502" s="125" t="str">
        <f t="shared" si="457"/>
        <v/>
      </c>
      <c r="DB502" s="129" t="str">
        <f t="shared" si="458"/>
        <v/>
      </c>
      <c r="DC502" s="9"/>
      <c r="DD502" s="65"/>
      <c r="DE502" s="105">
        <v>498</v>
      </c>
    </row>
    <row r="503" spans="1:109" outlineLevel="1" x14ac:dyDescent="0.2">
      <c r="A503" s="4"/>
      <c r="B503" s="115" t="str">
        <f>IF(_xlfn.XLOOKUP(A503, AutoFill_names!B:B, AutoFill_names!C:C,"")=0,"",_xlfn.XLOOKUP(A503, AutoFill_names!B:B, AutoFill_names!C:C,""))</f>
        <v/>
      </c>
      <c r="C503" s="115" t="str">
        <f>IF(_xlfn.XLOOKUP(A503, AutoFill_names!B:B, AutoFill_names!D:D,"")=0,"",_xlfn.XLOOKUP(A503, AutoFill_names!B:B, AutoFill_names!D:D,""))</f>
        <v/>
      </c>
      <c r="D503" s="115" t="str">
        <f>IF(_xlfn.XLOOKUP(A503, AutoFill_names!B:B, AutoFill_names!E:E,"")=0,"",_xlfn.XLOOKUP(A503, AutoFill_names!B:B, AutoFill_names!E:E,""))</f>
        <v/>
      </c>
      <c r="E503" s="115" t="str">
        <f>IF(_xlfn.XLOOKUP(A503, AutoFill_names!B:B, AutoFill_names!F:F,"")=0,"",_xlfn.XLOOKUP(A503, AutoFill_names!B:B, AutoFill_names!F:F,""))</f>
        <v/>
      </c>
      <c r="F503" s="92"/>
      <c r="G503" s="1"/>
      <c r="H503" s="1"/>
      <c r="I503" s="1"/>
      <c r="J503" s="115" t="str">
        <f>IF(_xlfn.XLOOKUP(A503, AutoFill_names!B:B, AutoFill_names!K:K,"")=0,"",_xlfn.XLOOKUP(A503, AutoFill_names!B:B, AutoFill_names!K:K,""))</f>
        <v/>
      </c>
      <c r="K503" s="115" t="str">
        <f>IF(_xlfn.XLOOKUP(A503, AutoFill_names!B:B, AutoFill_names!L:L,"")=0,"",_xlfn.XLOOKUP(A503, AutoFill_names!B:B, AutoFill_names!L:L,""))</f>
        <v/>
      </c>
      <c r="L503" s="5"/>
      <c r="M503" s="5"/>
      <c r="N503" s="117" t="str">
        <f>IF(_xlfn.XLOOKUP(L503, AutoFill_classes!A:A, AutoFill_classes!B:B,"")=0,"",_xlfn.XLOOKUP(L503, AutoFill_classes!A:A, AutoFill_classes!B:B,""))</f>
        <v/>
      </c>
      <c r="O503" s="108"/>
      <c r="P503" s="8"/>
      <c r="Q503" s="8"/>
      <c r="R503" s="8"/>
      <c r="S503" s="4"/>
      <c r="T503" s="4"/>
      <c r="U503" s="4"/>
      <c r="V503" s="4"/>
      <c r="W503" s="4"/>
      <c r="X503" s="64"/>
      <c r="Y503" s="25"/>
      <c r="Z503" s="121" t="str">
        <f t="shared" si="432"/>
        <v/>
      </c>
      <c r="AA503" s="26"/>
      <c r="AB503" s="26"/>
      <c r="AC503" s="28"/>
      <c r="AD503" s="28"/>
      <c r="AE503" s="125" t="str">
        <f t="shared" si="433"/>
        <v/>
      </c>
      <c r="AF503" s="9"/>
      <c r="AG503" s="125" t="str">
        <f t="shared" si="434"/>
        <v/>
      </c>
      <c r="AH503" s="28"/>
      <c r="AI503" s="28"/>
      <c r="AJ503" s="125" t="str">
        <f t="shared" si="435"/>
        <v/>
      </c>
      <c r="AK503" s="9"/>
      <c r="AL503" s="125" t="str">
        <f t="shared" si="436"/>
        <v/>
      </c>
      <c r="AM503" s="28"/>
      <c r="AN503" s="28"/>
      <c r="AO503" s="125" t="str">
        <f t="shared" si="437"/>
        <v/>
      </c>
      <c r="AP503" s="125" t="str">
        <f t="shared" si="438"/>
        <v/>
      </c>
      <c r="AQ503" s="125" t="str">
        <f t="shared" si="439"/>
        <v/>
      </c>
      <c r="AR503" s="129" t="str">
        <f t="shared" si="440"/>
        <v/>
      </c>
      <c r="AS503" s="9"/>
      <c r="AT503" s="34"/>
      <c r="AU503" s="34"/>
      <c r="AV503" s="117" t="str">
        <f>IF(_xlfn.XLOOKUP(AT503, AutoFill_classes!$A:$A, AutoFill_classes!$B:$B,"")=0,"",_xlfn.XLOOKUP(AT503, AutoFill_classes!$A:$A, AutoFill_classes!$B:$B,""))</f>
        <v/>
      </c>
      <c r="AW503" s="108"/>
      <c r="AX503" s="9"/>
      <c r="AY503" s="10"/>
      <c r="AZ503" s="9"/>
      <c r="BA503" s="10"/>
      <c r="BB503" s="10"/>
      <c r="BC503" s="64"/>
      <c r="BD503" s="25"/>
      <c r="BE503" s="121" t="str">
        <f t="shared" si="441"/>
        <v/>
      </c>
      <c r="BF503" s="20"/>
      <c r="BG503" s="20"/>
      <c r="BH503" s="24"/>
      <c r="BI503" s="24"/>
      <c r="BJ503" s="125" t="str">
        <f t="shared" si="442"/>
        <v/>
      </c>
      <c r="BK503" s="14"/>
      <c r="BL503" s="125" t="str">
        <f t="shared" si="443"/>
        <v/>
      </c>
      <c r="BM503" s="24"/>
      <c r="BN503" s="24"/>
      <c r="BO503" s="125" t="str">
        <f t="shared" si="444"/>
        <v/>
      </c>
      <c r="BP503" s="14"/>
      <c r="BQ503" s="125" t="str">
        <f t="shared" si="445"/>
        <v/>
      </c>
      <c r="BR503" s="24"/>
      <c r="BS503" s="24"/>
      <c r="BT503" s="125" t="str">
        <f t="shared" si="446"/>
        <v/>
      </c>
      <c r="BU503" s="125" t="str">
        <f t="shared" si="447"/>
        <v/>
      </c>
      <c r="BV503" s="125" t="str">
        <f t="shared" si="448"/>
        <v/>
      </c>
      <c r="BW503" s="129" t="str">
        <f t="shared" si="449"/>
        <v/>
      </c>
      <c r="BX503" s="9"/>
      <c r="BY503" s="9"/>
      <c r="BZ503" s="9"/>
      <c r="CA503" s="117" t="str">
        <f>IF(_xlfn.XLOOKUP(BY503, AutoFill_classes!$A:$A, AutoFill_classes!$B:$B,"")=0,"",_xlfn.XLOOKUP(BY503, AutoFill_classes!$A:$A, AutoFill_classes!$B:$B,""))</f>
        <v/>
      </c>
      <c r="CB503" s="108"/>
      <c r="CC503" s="9"/>
      <c r="CD503" s="9"/>
      <c r="CE503" s="9"/>
      <c r="CF503" s="4"/>
      <c r="CG503" s="25"/>
      <c r="CH503" s="64"/>
      <c r="CI503" s="27"/>
      <c r="CJ503" s="121" t="str">
        <f t="shared" si="450"/>
        <v/>
      </c>
      <c r="CK503" s="20"/>
      <c r="CL503" s="20"/>
      <c r="CM503" s="24"/>
      <c r="CN503" s="24"/>
      <c r="CO503" s="125" t="str">
        <f t="shared" si="451"/>
        <v/>
      </c>
      <c r="CP503" s="14"/>
      <c r="CQ503" s="125" t="str">
        <f t="shared" si="452"/>
        <v/>
      </c>
      <c r="CR503" s="24"/>
      <c r="CS503" s="24"/>
      <c r="CT503" s="125" t="str">
        <f t="shared" si="453"/>
        <v/>
      </c>
      <c r="CU503" s="14"/>
      <c r="CV503" s="125" t="str">
        <f t="shared" si="454"/>
        <v/>
      </c>
      <c r="CW503" s="24"/>
      <c r="CX503" s="24"/>
      <c r="CY503" s="125" t="str">
        <f t="shared" si="455"/>
        <v/>
      </c>
      <c r="CZ503" s="125" t="str">
        <f t="shared" si="456"/>
        <v/>
      </c>
      <c r="DA503" s="125" t="str">
        <f t="shared" si="457"/>
        <v/>
      </c>
      <c r="DB503" s="129" t="str">
        <f t="shared" si="458"/>
        <v/>
      </c>
      <c r="DC503" s="9"/>
      <c r="DD503" s="65"/>
      <c r="DE503" s="105">
        <v>499</v>
      </c>
    </row>
    <row r="504" spans="1:109" outlineLevel="1" x14ac:dyDescent="0.2">
      <c r="A504" s="4"/>
      <c r="B504" s="115" t="str">
        <f>IF(_xlfn.XLOOKUP(A504, AutoFill_names!B:B, AutoFill_names!C:C,"")=0,"",_xlfn.XLOOKUP(A504, AutoFill_names!B:B, AutoFill_names!C:C,""))</f>
        <v/>
      </c>
      <c r="C504" s="115" t="str">
        <f>IF(_xlfn.XLOOKUP(A504, AutoFill_names!B:B, AutoFill_names!D:D,"")=0,"",_xlfn.XLOOKUP(A504, AutoFill_names!B:B, AutoFill_names!D:D,""))</f>
        <v/>
      </c>
      <c r="D504" s="115" t="str">
        <f>IF(_xlfn.XLOOKUP(A504, AutoFill_names!B:B, AutoFill_names!E:E,"")=0,"",_xlfn.XLOOKUP(A504, AutoFill_names!B:B, AutoFill_names!E:E,""))</f>
        <v/>
      </c>
      <c r="E504" s="115" t="str">
        <f>IF(_xlfn.XLOOKUP(A504, AutoFill_names!B:B, AutoFill_names!F:F,"")=0,"",_xlfn.XLOOKUP(A504, AutoFill_names!B:B, AutoFill_names!F:F,""))</f>
        <v/>
      </c>
      <c r="F504" s="92"/>
      <c r="G504" s="1"/>
      <c r="H504" s="1"/>
      <c r="I504" s="1"/>
      <c r="J504" s="115" t="str">
        <f>IF(_xlfn.XLOOKUP(A504, AutoFill_names!B:B, AutoFill_names!K:K,"")=0,"",_xlfn.XLOOKUP(A504, AutoFill_names!B:B, AutoFill_names!K:K,""))</f>
        <v/>
      </c>
      <c r="K504" s="115" t="str">
        <f>IF(_xlfn.XLOOKUP(A504, AutoFill_names!B:B, AutoFill_names!L:L,"")=0,"",_xlfn.XLOOKUP(A504, AutoFill_names!B:B, AutoFill_names!L:L,""))</f>
        <v/>
      </c>
      <c r="L504" s="5"/>
      <c r="M504" s="5"/>
      <c r="N504" s="117" t="str">
        <f>IF(_xlfn.XLOOKUP(L504, AutoFill_classes!A:A, AutoFill_classes!B:B,"")=0,"",_xlfn.XLOOKUP(L504, AutoFill_classes!A:A, AutoFill_classes!B:B,""))</f>
        <v/>
      </c>
      <c r="O504" s="108"/>
      <c r="P504" s="8"/>
      <c r="Q504" s="8"/>
      <c r="R504" s="8"/>
      <c r="S504" s="4"/>
      <c r="T504" s="4"/>
      <c r="U504" s="4"/>
      <c r="V504" s="4"/>
      <c r="W504" s="4"/>
      <c r="X504" s="64"/>
      <c r="Y504" s="25"/>
      <c r="Z504" s="121" t="str">
        <f t="shared" si="432"/>
        <v/>
      </c>
      <c r="AA504" s="26"/>
      <c r="AB504" s="26"/>
      <c r="AC504" s="28"/>
      <c r="AD504" s="28"/>
      <c r="AE504" s="125" t="str">
        <f t="shared" si="433"/>
        <v/>
      </c>
      <c r="AF504" s="9"/>
      <c r="AG504" s="125" t="str">
        <f t="shared" si="434"/>
        <v/>
      </c>
      <c r="AH504" s="28"/>
      <c r="AI504" s="28"/>
      <c r="AJ504" s="125" t="str">
        <f t="shared" si="435"/>
        <v/>
      </c>
      <c r="AK504" s="9"/>
      <c r="AL504" s="125" t="str">
        <f t="shared" si="436"/>
        <v/>
      </c>
      <c r="AM504" s="28"/>
      <c r="AN504" s="28"/>
      <c r="AO504" s="125" t="str">
        <f t="shared" si="437"/>
        <v/>
      </c>
      <c r="AP504" s="125" t="str">
        <f t="shared" si="438"/>
        <v/>
      </c>
      <c r="AQ504" s="125" t="str">
        <f t="shared" si="439"/>
        <v/>
      </c>
      <c r="AR504" s="129" t="str">
        <f t="shared" si="440"/>
        <v/>
      </c>
      <c r="AS504" s="9"/>
      <c r="AT504" s="34"/>
      <c r="AU504" s="34"/>
      <c r="AV504" s="117" t="str">
        <f>IF(_xlfn.XLOOKUP(AT504, AutoFill_classes!$A:$A, AutoFill_classes!$B:$B,"")=0,"",_xlfn.XLOOKUP(AT504, AutoFill_classes!$A:$A, AutoFill_classes!$B:$B,""))</f>
        <v/>
      </c>
      <c r="AW504" s="108"/>
      <c r="AX504" s="9"/>
      <c r="AY504" s="10"/>
      <c r="AZ504" s="9"/>
      <c r="BA504" s="10"/>
      <c r="BB504" s="10"/>
      <c r="BC504" s="64"/>
      <c r="BD504" s="25"/>
      <c r="BE504" s="121" t="str">
        <f t="shared" si="441"/>
        <v/>
      </c>
      <c r="BF504" s="20"/>
      <c r="BG504" s="20"/>
      <c r="BH504" s="24"/>
      <c r="BI504" s="24"/>
      <c r="BJ504" s="125" t="str">
        <f t="shared" si="442"/>
        <v/>
      </c>
      <c r="BK504" s="14"/>
      <c r="BL504" s="125" t="str">
        <f t="shared" si="443"/>
        <v/>
      </c>
      <c r="BM504" s="24"/>
      <c r="BN504" s="24"/>
      <c r="BO504" s="125" t="str">
        <f t="shared" si="444"/>
        <v/>
      </c>
      <c r="BP504" s="14"/>
      <c r="BQ504" s="125" t="str">
        <f t="shared" si="445"/>
        <v/>
      </c>
      <c r="BR504" s="24"/>
      <c r="BS504" s="24"/>
      <c r="BT504" s="125" t="str">
        <f t="shared" si="446"/>
        <v/>
      </c>
      <c r="BU504" s="125" t="str">
        <f t="shared" si="447"/>
        <v/>
      </c>
      <c r="BV504" s="125" t="str">
        <f t="shared" si="448"/>
        <v/>
      </c>
      <c r="BW504" s="129" t="str">
        <f t="shared" si="449"/>
        <v/>
      </c>
      <c r="BX504" s="9"/>
      <c r="BY504" s="9"/>
      <c r="BZ504" s="9"/>
      <c r="CA504" s="117" t="str">
        <f>IF(_xlfn.XLOOKUP(BY504, AutoFill_classes!$A:$A, AutoFill_classes!$B:$B,"")=0,"",_xlfn.XLOOKUP(BY504, AutoFill_classes!$A:$A, AutoFill_classes!$B:$B,""))</f>
        <v/>
      </c>
      <c r="CB504" s="108"/>
      <c r="CC504" s="9"/>
      <c r="CD504" s="9"/>
      <c r="CE504" s="9"/>
      <c r="CF504" s="4"/>
      <c r="CG504" s="25"/>
      <c r="CH504" s="64"/>
      <c r="CI504" s="27"/>
      <c r="CJ504" s="121" t="str">
        <f t="shared" si="450"/>
        <v/>
      </c>
      <c r="CK504" s="20"/>
      <c r="CL504" s="20"/>
      <c r="CM504" s="24"/>
      <c r="CN504" s="24"/>
      <c r="CO504" s="125" t="str">
        <f t="shared" si="451"/>
        <v/>
      </c>
      <c r="CP504" s="14"/>
      <c r="CQ504" s="125" t="str">
        <f t="shared" si="452"/>
        <v/>
      </c>
      <c r="CR504" s="24"/>
      <c r="CS504" s="24"/>
      <c r="CT504" s="125" t="str">
        <f t="shared" si="453"/>
        <v/>
      </c>
      <c r="CU504" s="14"/>
      <c r="CV504" s="125" t="str">
        <f t="shared" si="454"/>
        <v/>
      </c>
      <c r="CW504" s="24"/>
      <c r="CX504" s="24"/>
      <c r="CY504" s="125" t="str">
        <f t="shared" si="455"/>
        <v/>
      </c>
      <c r="CZ504" s="125" t="str">
        <f t="shared" si="456"/>
        <v/>
      </c>
      <c r="DA504" s="125" t="str">
        <f t="shared" si="457"/>
        <v/>
      </c>
      <c r="DB504" s="129" t="str">
        <f t="shared" si="458"/>
        <v/>
      </c>
      <c r="DC504" s="9"/>
      <c r="DD504" s="65"/>
      <c r="DE504" s="105">
        <v>500</v>
      </c>
    </row>
    <row r="505" spans="1:109" outlineLevel="1" x14ac:dyDescent="0.2">
      <c r="A505" s="4"/>
      <c r="B505" s="115" t="str">
        <f>IF(_xlfn.XLOOKUP(A505, AutoFill_names!B:B, AutoFill_names!C:C,"")=0,"",_xlfn.XLOOKUP(A505, AutoFill_names!B:B, AutoFill_names!C:C,""))</f>
        <v/>
      </c>
      <c r="C505" s="115" t="str">
        <f>IF(_xlfn.XLOOKUP(A505, AutoFill_names!B:B, AutoFill_names!D:D,"")=0,"",_xlfn.XLOOKUP(A505, AutoFill_names!B:B, AutoFill_names!D:D,""))</f>
        <v/>
      </c>
      <c r="D505" s="115" t="str">
        <f>IF(_xlfn.XLOOKUP(A505, AutoFill_names!B:B, AutoFill_names!E:E,"")=0,"",_xlfn.XLOOKUP(A505, AutoFill_names!B:B, AutoFill_names!E:E,""))</f>
        <v/>
      </c>
      <c r="E505" s="115" t="str">
        <f>IF(_xlfn.XLOOKUP(A505, AutoFill_names!B:B, AutoFill_names!F:F,"")=0,"",_xlfn.XLOOKUP(A505, AutoFill_names!B:B, AutoFill_names!F:F,""))</f>
        <v/>
      </c>
      <c r="F505" s="92"/>
      <c r="G505" s="1"/>
      <c r="H505" s="1"/>
      <c r="I505" s="1"/>
      <c r="J505" s="115" t="str">
        <f>IF(_xlfn.XLOOKUP(A505, AutoFill_names!B:B, AutoFill_names!K:K,"")=0,"",_xlfn.XLOOKUP(A505, AutoFill_names!B:B, AutoFill_names!K:K,""))</f>
        <v/>
      </c>
      <c r="K505" s="115" t="str">
        <f>IF(_xlfn.XLOOKUP(A505, AutoFill_names!B:B, AutoFill_names!L:L,"")=0,"",_xlfn.XLOOKUP(A505, AutoFill_names!B:B, AutoFill_names!L:L,""))</f>
        <v/>
      </c>
      <c r="L505" s="5"/>
      <c r="M505" s="5"/>
      <c r="N505" s="117" t="str">
        <f>IF(_xlfn.XLOOKUP(L505, AutoFill_classes!A:A, AutoFill_classes!B:B,"")=0,"",_xlfn.XLOOKUP(L505, AutoFill_classes!A:A, AutoFill_classes!B:B,""))</f>
        <v/>
      </c>
      <c r="O505" s="108"/>
      <c r="P505" s="8"/>
      <c r="Q505" s="8"/>
      <c r="R505" s="8"/>
      <c r="S505" s="4"/>
      <c r="T505" s="4"/>
      <c r="U505" s="4"/>
      <c r="V505" s="4"/>
      <c r="W505" s="4"/>
      <c r="X505" s="64"/>
      <c r="Y505" s="25"/>
      <c r="Z505" s="121" t="str">
        <f t="shared" si="432"/>
        <v/>
      </c>
      <c r="AA505" s="26"/>
      <c r="AB505" s="26"/>
      <c r="AC505" s="28"/>
      <c r="AD505" s="28"/>
      <c r="AE505" s="125" t="str">
        <f t="shared" si="433"/>
        <v/>
      </c>
      <c r="AF505" s="9"/>
      <c r="AG505" s="125" t="str">
        <f t="shared" si="434"/>
        <v/>
      </c>
      <c r="AH505" s="28"/>
      <c r="AI505" s="28"/>
      <c r="AJ505" s="125" t="str">
        <f t="shared" si="435"/>
        <v/>
      </c>
      <c r="AK505" s="9"/>
      <c r="AL505" s="125" t="str">
        <f t="shared" si="436"/>
        <v/>
      </c>
      <c r="AM505" s="28"/>
      <c r="AN505" s="28"/>
      <c r="AO505" s="125" t="str">
        <f t="shared" si="437"/>
        <v/>
      </c>
      <c r="AP505" s="125" t="str">
        <f t="shared" si="438"/>
        <v/>
      </c>
      <c r="AQ505" s="125" t="str">
        <f t="shared" si="439"/>
        <v/>
      </c>
      <c r="AR505" s="129" t="str">
        <f t="shared" si="440"/>
        <v/>
      </c>
      <c r="AS505" s="9"/>
      <c r="AT505" s="34"/>
      <c r="AU505" s="34"/>
      <c r="AV505" s="117" t="str">
        <f>IF(_xlfn.XLOOKUP(AT505, AutoFill_classes!$A:$A, AutoFill_classes!$B:$B,"")=0,"",_xlfn.XLOOKUP(AT505, AutoFill_classes!$A:$A, AutoFill_classes!$B:$B,""))</f>
        <v/>
      </c>
      <c r="AW505" s="108"/>
      <c r="AX505" s="9"/>
      <c r="AY505" s="10"/>
      <c r="AZ505" s="9"/>
      <c r="BA505" s="10"/>
      <c r="BB505" s="10"/>
      <c r="BC505" s="64"/>
      <c r="BD505" s="25"/>
      <c r="BE505" s="121" t="str">
        <f t="shared" si="441"/>
        <v/>
      </c>
      <c r="BF505" s="20"/>
      <c r="BG505" s="20"/>
      <c r="BH505" s="24"/>
      <c r="BI505" s="24"/>
      <c r="BJ505" s="125" t="str">
        <f t="shared" si="442"/>
        <v/>
      </c>
      <c r="BK505" s="14"/>
      <c r="BL505" s="125" t="str">
        <f t="shared" si="443"/>
        <v/>
      </c>
      <c r="BM505" s="24"/>
      <c r="BN505" s="24"/>
      <c r="BO505" s="125" t="str">
        <f t="shared" si="444"/>
        <v/>
      </c>
      <c r="BP505" s="14"/>
      <c r="BQ505" s="125" t="str">
        <f t="shared" si="445"/>
        <v/>
      </c>
      <c r="BR505" s="24"/>
      <c r="BS505" s="24"/>
      <c r="BT505" s="125" t="str">
        <f t="shared" si="446"/>
        <v/>
      </c>
      <c r="BU505" s="125" t="str">
        <f t="shared" si="447"/>
        <v/>
      </c>
      <c r="BV505" s="125" t="str">
        <f t="shared" si="448"/>
        <v/>
      </c>
      <c r="BW505" s="129" t="str">
        <f t="shared" si="449"/>
        <v/>
      </c>
      <c r="BX505" s="9"/>
      <c r="BY505" s="9"/>
      <c r="BZ505" s="9"/>
      <c r="CA505" s="117" t="str">
        <f>IF(_xlfn.XLOOKUP(BY505, AutoFill_classes!$A:$A, AutoFill_classes!$B:$B,"")=0,"",_xlfn.XLOOKUP(BY505, AutoFill_classes!$A:$A, AutoFill_classes!$B:$B,""))</f>
        <v/>
      </c>
      <c r="CB505" s="108"/>
      <c r="CC505" s="9"/>
      <c r="CD505" s="9"/>
      <c r="CE505" s="9"/>
      <c r="CF505" s="4"/>
      <c r="CG505" s="25"/>
      <c r="CH505" s="64"/>
      <c r="CI505" s="27"/>
      <c r="CJ505" s="121" t="str">
        <f t="shared" si="450"/>
        <v/>
      </c>
      <c r="CK505" s="20"/>
      <c r="CL505" s="20"/>
      <c r="CM505" s="24"/>
      <c r="CN505" s="24"/>
      <c r="CO505" s="125" t="str">
        <f t="shared" si="451"/>
        <v/>
      </c>
      <c r="CP505" s="14"/>
      <c r="CQ505" s="125" t="str">
        <f t="shared" si="452"/>
        <v/>
      </c>
      <c r="CR505" s="24"/>
      <c r="CS505" s="24"/>
      <c r="CT505" s="125" t="str">
        <f t="shared" si="453"/>
        <v/>
      </c>
      <c r="CU505" s="14"/>
      <c r="CV505" s="125" t="str">
        <f t="shared" si="454"/>
        <v/>
      </c>
      <c r="CW505" s="24"/>
      <c r="CX505" s="24"/>
      <c r="CY505" s="125" t="str">
        <f t="shared" si="455"/>
        <v/>
      </c>
      <c r="CZ505" s="125" t="str">
        <f t="shared" si="456"/>
        <v/>
      </c>
      <c r="DA505" s="125" t="str">
        <f t="shared" si="457"/>
        <v/>
      </c>
      <c r="DB505" s="129" t="str">
        <f t="shared" si="458"/>
        <v/>
      </c>
      <c r="DC505" s="9"/>
      <c r="DD505" s="65"/>
      <c r="DE505" s="105">
        <v>501</v>
      </c>
    </row>
    <row r="506" spans="1:109" outlineLevel="1" x14ac:dyDescent="0.2">
      <c r="A506" s="4"/>
      <c r="B506" s="115" t="str">
        <f>IF(_xlfn.XLOOKUP(A506, AutoFill_names!B:B, AutoFill_names!C:C,"")=0,"",_xlfn.XLOOKUP(A506, AutoFill_names!B:B, AutoFill_names!C:C,""))</f>
        <v/>
      </c>
      <c r="C506" s="115" t="str">
        <f>IF(_xlfn.XLOOKUP(A506, AutoFill_names!B:B, AutoFill_names!D:D,"")=0,"",_xlfn.XLOOKUP(A506, AutoFill_names!B:B, AutoFill_names!D:D,""))</f>
        <v/>
      </c>
      <c r="D506" s="115" t="str">
        <f>IF(_xlfn.XLOOKUP(A506, AutoFill_names!B:B, AutoFill_names!E:E,"")=0,"",_xlfn.XLOOKUP(A506, AutoFill_names!B:B, AutoFill_names!E:E,""))</f>
        <v/>
      </c>
      <c r="E506" s="115" t="str">
        <f>IF(_xlfn.XLOOKUP(A506, AutoFill_names!B:B, AutoFill_names!F:F,"")=0,"",_xlfn.XLOOKUP(A506, AutoFill_names!B:B, AutoFill_names!F:F,""))</f>
        <v/>
      </c>
      <c r="F506" s="92"/>
      <c r="G506" s="1"/>
      <c r="H506" s="1"/>
      <c r="I506" s="1"/>
      <c r="J506" s="115" t="str">
        <f>IF(_xlfn.XLOOKUP(A506, AutoFill_names!B:B, AutoFill_names!K:K,"")=0,"",_xlfn.XLOOKUP(A506, AutoFill_names!B:B, AutoFill_names!K:K,""))</f>
        <v/>
      </c>
      <c r="K506" s="115" t="str">
        <f>IF(_xlfn.XLOOKUP(A506, AutoFill_names!B:B, AutoFill_names!L:L,"")=0,"",_xlfn.XLOOKUP(A506, AutoFill_names!B:B, AutoFill_names!L:L,""))</f>
        <v/>
      </c>
      <c r="L506" s="5"/>
      <c r="M506" s="5"/>
      <c r="N506" s="117" t="str">
        <f>IF(_xlfn.XLOOKUP(L506, AutoFill_classes!A:A, AutoFill_classes!B:B,"")=0,"",_xlfn.XLOOKUP(L506, AutoFill_classes!A:A, AutoFill_classes!B:B,""))</f>
        <v/>
      </c>
      <c r="O506" s="108"/>
      <c r="P506" s="8"/>
      <c r="Q506" s="8"/>
      <c r="R506" s="8"/>
      <c r="S506" s="4"/>
      <c r="T506" s="4"/>
      <c r="U506" s="4"/>
      <c r="V506" s="4"/>
      <c r="W506" s="4"/>
      <c r="X506" s="64"/>
      <c r="Y506" s="25"/>
      <c r="Z506" s="121" t="str">
        <f t="shared" si="432"/>
        <v/>
      </c>
      <c r="AA506" s="26"/>
      <c r="AB506" s="26"/>
      <c r="AC506" s="28"/>
      <c r="AD506" s="28"/>
      <c r="AE506" s="125" t="str">
        <f t="shared" si="433"/>
        <v/>
      </c>
      <c r="AF506" s="9"/>
      <c r="AG506" s="125" t="str">
        <f t="shared" si="434"/>
        <v/>
      </c>
      <c r="AH506" s="28"/>
      <c r="AI506" s="28"/>
      <c r="AJ506" s="125" t="str">
        <f t="shared" si="435"/>
        <v/>
      </c>
      <c r="AK506" s="9"/>
      <c r="AL506" s="125" t="str">
        <f t="shared" si="436"/>
        <v/>
      </c>
      <c r="AM506" s="28"/>
      <c r="AN506" s="28"/>
      <c r="AO506" s="125" t="str">
        <f t="shared" si="437"/>
        <v/>
      </c>
      <c r="AP506" s="125" t="str">
        <f t="shared" si="438"/>
        <v/>
      </c>
      <c r="AQ506" s="125" t="str">
        <f t="shared" si="439"/>
        <v/>
      </c>
      <c r="AR506" s="129" t="str">
        <f t="shared" si="440"/>
        <v/>
      </c>
      <c r="AS506" s="9"/>
      <c r="AT506" s="34"/>
      <c r="AU506" s="34"/>
      <c r="AV506" s="117" t="str">
        <f>IF(_xlfn.XLOOKUP(AT506, AutoFill_classes!$A:$A, AutoFill_classes!$B:$B,"")=0,"",_xlfn.XLOOKUP(AT506, AutoFill_classes!$A:$A, AutoFill_classes!$B:$B,""))</f>
        <v/>
      </c>
      <c r="AW506" s="108"/>
      <c r="AX506" s="9"/>
      <c r="AY506" s="10"/>
      <c r="AZ506" s="9"/>
      <c r="BA506" s="10"/>
      <c r="BB506" s="10"/>
      <c r="BC506" s="64"/>
      <c r="BD506" s="25"/>
      <c r="BE506" s="121" t="str">
        <f t="shared" si="441"/>
        <v/>
      </c>
      <c r="BF506" s="20"/>
      <c r="BG506" s="20"/>
      <c r="BH506" s="24"/>
      <c r="BI506" s="24"/>
      <c r="BJ506" s="125" t="str">
        <f t="shared" si="442"/>
        <v/>
      </c>
      <c r="BK506" s="14"/>
      <c r="BL506" s="125" t="str">
        <f t="shared" si="443"/>
        <v/>
      </c>
      <c r="BM506" s="24"/>
      <c r="BN506" s="24"/>
      <c r="BO506" s="125" t="str">
        <f t="shared" si="444"/>
        <v/>
      </c>
      <c r="BP506" s="14"/>
      <c r="BQ506" s="125" t="str">
        <f t="shared" si="445"/>
        <v/>
      </c>
      <c r="BR506" s="24"/>
      <c r="BS506" s="24"/>
      <c r="BT506" s="125" t="str">
        <f t="shared" si="446"/>
        <v/>
      </c>
      <c r="BU506" s="125" t="str">
        <f t="shared" si="447"/>
        <v/>
      </c>
      <c r="BV506" s="125" t="str">
        <f t="shared" si="448"/>
        <v/>
      </c>
      <c r="BW506" s="129" t="str">
        <f t="shared" si="449"/>
        <v/>
      </c>
      <c r="BX506" s="9"/>
      <c r="BY506" s="9"/>
      <c r="BZ506" s="9"/>
      <c r="CA506" s="117" t="str">
        <f>IF(_xlfn.XLOOKUP(BY506, AutoFill_classes!$A:$A, AutoFill_classes!$B:$B,"")=0,"",_xlfn.XLOOKUP(BY506, AutoFill_classes!$A:$A, AutoFill_classes!$B:$B,""))</f>
        <v/>
      </c>
      <c r="CB506" s="108"/>
      <c r="CC506" s="9"/>
      <c r="CD506" s="9"/>
      <c r="CE506" s="9"/>
      <c r="CF506" s="4"/>
      <c r="CG506" s="25"/>
      <c r="CH506" s="64"/>
      <c r="CI506" s="27"/>
      <c r="CJ506" s="121" t="str">
        <f t="shared" si="450"/>
        <v/>
      </c>
      <c r="CK506" s="20"/>
      <c r="CL506" s="20"/>
      <c r="CM506" s="24"/>
      <c r="CN506" s="24"/>
      <c r="CO506" s="125" t="str">
        <f t="shared" si="451"/>
        <v/>
      </c>
      <c r="CP506" s="14"/>
      <c r="CQ506" s="125" t="str">
        <f t="shared" si="452"/>
        <v/>
      </c>
      <c r="CR506" s="24"/>
      <c r="CS506" s="24"/>
      <c r="CT506" s="125" t="str">
        <f t="shared" si="453"/>
        <v/>
      </c>
      <c r="CU506" s="14"/>
      <c r="CV506" s="125" t="str">
        <f t="shared" si="454"/>
        <v/>
      </c>
      <c r="CW506" s="24"/>
      <c r="CX506" s="24"/>
      <c r="CY506" s="125" t="str">
        <f t="shared" si="455"/>
        <v/>
      </c>
      <c r="CZ506" s="125" t="str">
        <f t="shared" si="456"/>
        <v/>
      </c>
      <c r="DA506" s="125" t="str">
        <f t="shared" si="457"/>
        <v/>
      </c>
      <c r="DB506" s="129" t="str">
        <f t="shared" si="458"/>
        <v/>
      </c>
      <c r="DC506" s="9"/>
      <c r="DD506" s="65"/>
      <c r="DE506" s="105">
        <v>502</v>
      </c>
    </row>
    <row r="507" spans="1:109" outlineLevel="1" x14ac:dyDescent="0.2">
      <c r="A507" s="4"/>
      <c r="B507" s="115" t="str">
        <f>IF(_xlfn.XLOOKUP(A507, AutoFill_names!B:B, AutoFill_names!C:C,"")=0,"",_xlfn.XLOOKUP(A507, AutoFill_names!B:B, AutoFill_names!C:C,""))</f>
        <v/>
      </c>
      <c r="C507" s="115" t="str">
        <f>IF(_xlfn.XLOOKUP(A507, AutoFill_names!B:B, AutoFill_names!D:D,"")=0,"",_xlfn.XLOOKUP(A507, AutoFill_names!B:B, AutoFill_names!D:D,""))</f>
        <v/>
      </c>
      <c r="D507" s="115" t="str">
        <f>IF(_xlfn.XLOOKUP(A507, AutoFill_names!B:B, AutoFill_names!E:E,"")=0,"",_xlfn.XLOOKUP(A507, AutoFill_names!B:B, AutoFill_names!E:E,""))</f>
        <v/>
      </c>
      <c r="E507" s="115" t="str">
        <f>IF(_xlfn.XLOOKUP(A507, AutoFill_names!B:B, AutoFill_names!F:F,"")=0,"",_xlfn.XLOOKUP(A507, AutoFill_names!B:B, AutoFill_names!F:F,""))</f>
        <v/>
      </c>
      <c r="F507" s="92"/>
      <c r="G507" s="1"/>
      <c r="H507" s="1"/>
      <c r="I507" s="1"/>
      <c r="J507" s="115" t="str">
        <f>IF(_xlfn.XLOOKUP(A507, AutoFill_names!B:B, AutoFill_names!K:K,"")=0,"",_xlfn.XLOOKUP(A507, AutoFill_names!B:B, AutoFill_names!K:K,""))</f>
        <v/>
      </c>
      <c r="K507" s="115" t="str">
        <f>IF(_xlfn.XLOOKUP(A507, AutoFill_names!B:B, AutoFill_names!L:L,"")=0,"",_xlfn.XLOOKUP(A507, AutoFill_names!B:B, AutoFill_names!L:L,""))</f>
        <v/>
      </c>
      <c r="L507" s="5"/>
      <c r="M507" s="5"/>
      <c r="N507" s="117" t="str">
        <f>IF(_xlfn.XLOOKUP(L507, AutoFill_classes!A:A, AutoFill_classes!B:B,"")=0,"",_xlfn.XLOOKUP(L507, AutoFill_classes!A:A, AutoFill_classes!B:B,""))</f>
        <v/>
      </c>
      <c r="O507" s="108"/>
      <c r="P507" s="8"/>
      <c r="Q507" s="8"/>
      <c r="R507" s="8"/>
      <c r="S507" s="4"/>
      <c r="T507" s="4"/>
      <c r="U507" s="4"/>
      <c r="V507" s="4"/>
      <c r="W507" s="4"/>
      <c r="X507" s="64"/>
      <c r="Y507" s="25"/>
      <c r="Z507" s="121" t="str">
        <f t="shared" si="432"/>
        <v/>
      </c>
      <c r="AA507" s="26"/>
      <c r="AB507" s="26"/>
      <c r="AC507" s="28"/>
      <c r="AD507" s="28"/>
      <c r="AE507" s="125" t="str">
        <f t="shared" si="433"/>
        <v/>
      </c>
      <c r="AF507" s="9"/>
      <c r="AG507" s="125" t="str">
        <f t="shared" si="434"/>
        <v/>
      </c>
      <c r="AH507" s="28"/>
      <c r="AI507" s="28"/>
      <c r="AJ507" s="125" t="str">
        <f t="shared" si="435"/>
        <v/>
      </c>
      <c r="AK507" s="9"/>
      <c r="AL507" s="125" t="str">
        <f t="shared" si="436"/>
        <v/>
      </c>
      <c r="AM507" s="28"/>
      <c r="AN507" s="28"/>
      <c r="AO507" s="125" t="str">
        <f t="shared" si="437"/>
        <v/>
      </c>
      <c r="AP507" s="125" t="str">
        <f t="shared" si="438"/>
        <v/>
      </c>
      <c r="AQ507" s="125" t="str">
        <f t="shared" si="439"/>
        <v/>
      </c>
      <c r="AR507" s="129" t="str">
        <f t="shared" si="440"/>
        <v/>
      </c>
      <c r="AS507" s="9"/>
      <c r="AT507" s="34"/>
      <c r="AU507" s="34"/>
      <c r="AV507" s="117" t="str">
        <f>IF(_xlfn.XLOOKUP(AT507, AutoFill_classes!$A:$A, AutoFill_classes!$B:$B,"")=0,"",_xlfn.XLOOKUP(AT507, AutoFill_classes!$A:$A, AutoFill_classes!$B:$B,""))</f>
        <v/>
      </c>
      <c r="AW507" s="108"/>
      <c r="AX507" s="9"/>
      <c r="AY507" s="10"/>
      <c r="AZ507" s="9"/>
      <c r="BA507" s="10"/>
      <c r="BB507" s="10"/>
      <c r="BC507" s="64"/>
      <c r="BD507" s="25"/>
      <c r="BE507" s="121" t="str">
        <f t="shared" si="441"/>
        <v/>
      </c>
      <c r="BF507" s="20"/>
      <c r="BG507" s="20"/>
      <c r="BH507" s="24"/>
      <c r="BI507" s="24"/>
      <c r="BJ507" s="125" t="str">
        <f t="shared" si="442"/>
        <v/>
      </c>
      <c r="BK507" s="14"/>
      <c r="BL507" s="125" t="str">
        <f t="shared" si="443"/>
        <v/>
      </c>
      <c r="BM507" s="24"/>
      <c r="BN507" s="24"/>
      <c r="BO507" s="125" t="str">
        <f t="shared" si="444"/>
        <v/>
      </c>
      <c r="BP507" s="14"/>
      <c r="BQ507" s="125" t="str">
        <f t="shared" si="445"/>
        <v/>
      </c>
      <c r="BR507" s="24"/>
      <c r="BS507" s="24"/>
      <c r="BT507" s="125" t="str">
        <f t="shared" si="446"/>
        <v/>
      </c>
      <c r="BU507" s="125" t="str">
        <f t="shared" si="447"/>
        <v/>
      </c>
      <c r="BV507" s="125" t="str">
        <f t="shared" si="448"/>
        <v/>
      </c>
      <c r="BW507" s="129" t="str">
        <f t="shared" si="449"/>
        <v/>
      </c>
      <c r="BX507" s="9"/>
      <c r="BY507" s="9"/>
      <c r="BZ507" s="9"/>
      <c r="CA507" s="117" t="str">
        <f>IF(_xlfn.XLOOKUP(BY507, AutoFill_classes!$A:$A, AutoFill_classes!$B:$B,"")=0,"",_xlfn.XLOOKUP(BY507, AutoFill_classes!$A:$A, AutoFill_classes!$B:$B,""))</f>
        <v/>
      </c>
      <c r="CB507" s="108"/>
      <c r="CC507" s="9"/>
      <c r="CD507" s="9"/>
      <c r="CE507" s="9"/>
      <c r="CF507" s="4"/>
      <c r="CG507" s="25"/>
      <c r="CH507" s="64"/>
      <c r="CI507" s="27"/>
      <c r="CJ507" s="121" t="str">
        <f t="shared" si="450"/>
        <v/>
      </c>
      <c r="CK507" s="20"/>
      <c r="CL507" s="20"/>
      <c r="CM507" s="24"/>
      <c r="CN507" s="24"/>
      <c r="CO507" s="125" t="str">
        <f t="shared" si="451"/>
        <v/>
      </c>
      <c r="CP507" s="14"/>
      <c r="CQ507" s="125" t="str">
        <f t="shared" si="452"/>
        <v/>
      </c>
      <c r="CR507" s="24"/>
      <c r="CS507" s="24"/>
      <c r="CT507" s="125" t="str">
        <f t="shared" si="453"/>
        <v/>
      </c>
      <c r="CU507" s="14"/>
      <c r="CV507" s="125" t="str">
        <f t="shared" si="454"/>
        <v/>
      </c>
      <c r="CW507" s="24"/>
      <c r="CX507" s="24"/>
      <c r="CY507" s="125" t="str">
        <f t="shared" si="455"/>
        <v/>
      </c>
      <c r="CZ507" s="125" t="str">
        <f t="shared" si="456"/>
        <v/>
      </c>
      <c r="DA507" s="125" t="str">
        <f t="shared" si="457"/>
        <v/>
      </c>
      <c r="DB507" s="129" t="str">
        <f t="shared" si="458"/>
        <v/>
      </c>
      <c r="DC507" s="9"/>
      <c r="DD507" s="65"/>
      <c r="DE507" s="105">
        <v>503</v>
      </c>
    </row>
    <row r="508" spans="1:109" outlineLevel="1" x14ac:dyDescent="0.2">
      <c r="A508" s="4"/>
      <c r="B508" s="115" t="str">
        <f>IF(_xlfn.XLOOKUP(A508, AutoFill_names!B:B, AutoFill_names!C:C,"")=0,"",_xlfn.XLOOKUP(A508, AutoFill_names!B:B, AutoFill_names!C:C,""))</f>
        <v/>
      </c>
      <c r="C508" s="115" t="str">
        <f>IF(_xlfn.XLOOKUP(A508, AutoFill_names!B:B, AutoFill_names!D:D,"")=0,"",_xlfn.XLOOKUP(A508, AutoFill_names!B:B, AutoFill_names!D:D,""))</f>
        <v/>
      </c>
      <c r="D508" s="115" t="str">
        <f>IF(_xlfn.XLOOKUP(A508, AutoFill_names!B:B, AutoFill_names!E:E,"")=0,"",_xlfn.XLOOKUP(A508, AutoFill_names!B:B, AutoFill_names!E:E,""))</f>
        <v/>
      </c>
      <c r="E508" s="115" t="str">
        <f>IF(_xlfn.XLOOKUP(A508, AutoFill_names!B:B, AutoFill_names!F:F,"")=0,"",_xlfn.XLOOKUP(A508, AutoFill_names!B:B, AutoFill_names!F:F,""))</f>
        <v/>
      </c>
      <c r="F508" s="92"/>
      <c r="G508" s="1"/>
      <c r="H508" s="1"/>
      <c r="I508" s="1"/>
      <c r="J508" s="115" t="str">
        <f>IF(_xlfn.XLOOKUP(A508, AutoFill_names!B:B, AutoFill_names!K:K,"")=0,"",_xlfn.XLOOKUP(A508, AutoFill_names!B:B, AutoFill_names!K:K,""))</f>
        <v/>
      </c>
      <c r="K508" s="115" t="str">
        <f>IF(_xlfn.XLOOKUP(A508, AutoFill_names!B:B, AutoFill_names!L:L,"")=0,"",_xlfn.XLOOKUP(A508, AutoFill_names!B:B, AutoFill_names!L:L,""))</f>
        <v/>
      </c>
      <c r="L508" s="5"/>
      <c r="M508" s="5"/>
      <c r="N508" s="117" t="str">
        <f>IF(_xlfn.XLOOKUP(L508, AutoFill_classes!A:A, AutoFill_classes!B:B,"")=0,"",_xlfn.XLOOKUP(L508, AutoFill_classes!A:A, AutoFill_classes!B:B,""))</f>
        <v/>
      </c>
      <c r="O508" s="108"/>
      <c r="P508" s="8"/>
      <c r="Q508" s="8"/>
      <c r="R508" s="8"/>
      <c r="S508" s="4"/>
      <c r="T508" s="4"/>
      <c r="U508" s="4"/>
      <c r="V508" s="4"/>
      <c r="W508" s="4"/>
      <c r="X508" s="64"/>
      <c r="Y508" s="25"/>
      <c r="Z508" s="121" t="str">
        <f t="shared" si="432"/>
        <v/>
      </c>
      <c r="AA508" s="26"/>
      <c r="AB508" s="26"/>
      <c r="AC508" s="28"/>
      <c r="AD508" s="28"/>
      <c r="AE508" s="125" t="str">
        <f t="shared" si="433"/>
        <v/>
      </c>
      <c r="AF508" s="9"/>
      <c r="AG508" s="125" t="str">
        <f t="shared" si="434"/>
        <v/>
      </c>
      <c r="AH508" s="28"/>
      <c r="AI508" s="28"/>
      <c r="AJ508" s="125" t="str">
        <f t="shared" si="435"/>
        <v/>
      </c>
      <c r="AK508" s="9"/>
      <c r="AL508" s="125" t="str">
        <f t="shared" si="436"/>
        <v/>
      </c>
      <c r="AM508" s="28"/>
      <c r="AN508" s="28"/>
      <c r="AO508" s="125" t="str">
        <f t="shared" si="437"/>
        <v/>
      </c>
      <c r="AP508" s="125" t="str">
        <f t="shared" si="438"/>
        <v/>
      </c>
      <c r="AQ508" s="125" t="str">
        <f t="shared" si="439"/>
        <v/>
      </c>
      <c r="AR508" s="129" t="str">
        <f t="shared" si="440"/>
        <v/>
      </c>
      <c r="AS508" s="9"/>
      <c r="AT508" s="34"/>
      <c r="AU508" s="34"/>
      <c r="AV508" s="117" t="str">
        <f>IF(_xlfn.XLOOKUP(AT508, AutoFill_classes!$A:$A, AutoFill_classes!$B:$B,"")=0,"",_xlfn.XLOOKUP(AT508, AutoFill_classes!$A:$A, AutoFill_classes!$B:$B,""))</f>
        <v/>
      </c>
      <c r="AW508" s="108"/>
      <c r="AX508" s="9"/>
      <c r="AY508" s="10"/>
      <c r="AZ508" s="9"/>
      <c r="BA508" s="10"/>
      <c r="BB508" s="10"/>
      <c r="BC508" s="64"/>
      <c r="BD508" s="25"/>
      <c r="BE508" s="121" t="str">
        <f t="shared" si="441"/>
        <v/>
      </c>
      <c r="BF508" s="20"/>
      <c r="BG508" s="20"/>
      <c r="BH508" s="24"/>
      <c r="BI508" s="24"/>
      <c r="BJ508" s="125" t="str">
        <f t="shared" si="442"/>
        <v/>
      </c>
      <c r="BK508" s="14"/>
      <c r="BL508" s="125" t="str">
        <f t="shared" si="443"/>
        <v/>
      </c>
      <c r="BM508" s="24"/>
      <c r="BN508" s="24"/>
      <c r="BO508" s="125" t="str">
        <f t="shared" si="444"/>
        <v/>
      </c>
      <c r="BP508" s="14"/>
      <c r="BQ508" s="125" t="str">
        <f t="shared" si="445"/>
        <v/>
      </c>
      <c r="BR508" s="24"/>
      <c r="BS508" s="24"/>
      <c r="BT508" s="125" t="str">
        <f t="shared" si="446"/>
        <v/>
      </c>
      <c r="BU508" s="125" t="str">
        <f t="shared" si="447"/>
        <v/>
      </c>
      <c r="BV508" s="125" t="str">
        <f t="shared" si="448"/>
        <v/>
      </c>
      <c r="BW508" s="129" t="str">
        <f t="shared" si="449"/>
        <v/>
      </c>
      <c r="BX508" s="9"/>
      <c r="BY508" s="9"/>
      <c r="BZ508" s="9"/>
      <c r="CA508" s="117" t="str">
        <f>IF(_xlfn.XLOOKUP(BY508, AutoFill_classes!$A:$A, AutoFill_classes!$B:$B,"")=0,"",_xlfn.XLOOKUP(BY508, AutoFill_classes!$A:$A, AutoFill_classes!$B:$B,""))</f>
        <v/>
      </c>
      <c r="CB508" s="108"/>
      <c r="CC508" s="9"/>
      <c r="CD508" s="9"/>
      <c r="CE508" s="9"/>
      <c r="CF508" s="4"/>
      <c r="CG508" s="25"/>
      <c r="CH508" s="64"/>
      <c r="CI508" s="27"/>
      <c r="CJ508" s="121" t="str">
        <f t="shared" si="450"/>
        <v/>
      </c>
      <c r="CK508" s="20"/>
      <c r="CL508" s="20"/>
      <c r="CM508" s="24"/>
      <c r="CN508" s="24"/>
      <c r="CO508" s="125" t="str">
        <f t="shared" si="451"/>
        <v/>
      </c>
      <c r="CP508" s="14"/>
      <c r="CQ508" s="125" t="str">
        <f t="shared" si="452"/>
        <v/>
      </c>
      <c r="CR508" s="24"/>
      <c r="CS508" s="24"/>
      <c r="CT508" s="125" t="str">
        <f t="shared" si="453"/>
        <v/>
      </c>
      <c r="CU508" s="14"/>
      <c r="CV508" s="125" t="str">
        <f t="shared" si="454"/>
        <v/>
      </c>
      <c r="CW508" s="24"/>
      <c r="CX508" s="24"/>
      <c r="CY508" s="125" t="str">
        <f t="shared" si="455"/>
        <v/>
      </c>
      <c r="CZ508" s="125" t="str">
        <f t="shared" si="456"/>
        <v/>
      </c>
      <c r="DA508" s="125" t="str">
        <f t="shared" si="457"/>
        <v/>
      </c>
      <c r="DB508" s="129" t="str">
        <f t="shared" si="458"/>
        <v/>
      </c>
      <c r="DC508" s="9"/>
      <c r="DD508" s="65"/>
      <c r="DE508" s="105">
        <v>504</v>
      </c>
    </row>
    <row r="509" spans="1:109" outlineLevel="1" x14ac:dyDescent="0.2">
      <c r="A509" s="4"/>
      <c r="B509" s="115" t="str">
        <f>IF(_xlfn.XLOOKUP(A509, AutoFill_names!B:B, AutoFill_names!C:C,"")=0,"",_xlfn.XLOOKUP(A509, AutoFill_names!B:B, AutoFill_names!C:C,""))</f>
        <v/>
      </c>
      <c r="C509" s="115" t="str">
        <f>IF(_xlfn.XLOOKUP(A509, AutoFill_names!B:B, AutoFill_names!D:D,"")=0,"",_xlfn.XLOOKUP(A509, AutoFill_names!B:B, AutoFill_names!D:D,""))</f>
        <v/>
      </c>
      <c r="D509" s="115" t="str">
        <f>IF(_xlfn.XLOOKUP(A509, AutoFill_names!B:B, AutoFill_names!E:E,"")=0,"",_xlfn.XLOOKUP(A509, AutoFill_names!B:B, AutoFill_names!E:E,""))</f>
        <v/>
      </c>
      <c r="E509" s="115" t="str">
        <f>IF(_xlfn.XLOOKUP(A509, AutoFill_names!B:B, AutoFill_names!F:F,"")=0,"",_xlfn.XLOOKUP(A509, AutoFill_names!B:B, AutoFill_names!F:F,""))</f>
        <v/>
      </c>
      <c r="F509" s="92"/>
      <c r="G509" s="1"/>
      <c r="H509" s="1"/>
      <c r="I509" s="1"/>
      <c r="J509" s="115" t="str">
        <f>IF(_xlfn.XLOOKUP(A509, AutoFill_names!B:B, AutoFill_names!K:K,"")=0,"",_xlfn.XLOOKUP(A509, AutoFill_names!B:B, AutoFill_names!K:K,""))</f>
        <v/>
      </c>
      <c r="K509" s="115" t="str">
        <f>IF(_xlfn.XLOOKUP(A509, AutoFill_names!B:B, AutoFill_names!L:L,"")=0,"",_xlfn.XLOOKUP(A509, AutoFill_names!B:B, AutoFill_names!L:L,""))</f>
        <v/>
      </c>
      <c r="L509" s="5"/>
      <c r="M509" s="5"/>
      <c r="N509" s="117" t="str">
        <f>IF(_xlfn.XLOOKUP(L509, AutoFill_classes!A:A, AutoFill_classes!B:B,"")=0,"",_xlfn.XLOOKUP(L509, AutoFill_classes!A:A, AutoFill_classes!B:B,""))</f>
        <v/>
      </c>
      <c r="O509" s="108"/>
      <c r="P509" s="8"/>
      <c r="Q509" s="8"/>
      <c r="R509" s="8"/>
      <c r="S509" s="4"/>
      <c r="T509" s="4"/>
      <c r="U509" s="4"/>
      <c r="V509" s="4"/>
      <c r="W509" s="4"/>
      <c r="X509" s="64"/>
      <c r="Y509" s="25"/>
      <c r="Z509" s="121" t="str">
        <f t="shared" si="432"/>
        <v/>
      </c>
      <c r="AA509" s="26"/>
      <c r="AB509" s="26"/>
      <c r="AC509" s="28"/>
      <c r="AD509" s="28"/>
      <c r="AE509" s="125" t="str">
        <f t="shared" si="433"/>
        <v/>
      </c>
      <c r="AF509" s="9"/>
      <c r="AG509" s="125" t="str">
        <f t="shared" si="434"/>
        <v/>
      </c>
      <c r="AH509" s="28"/>
      <c r="AI509" s="28"/>
      <c r="AJ509" s="125" t="str">
        <f t="shared" si="435"/>
        <v/>
      </c>
      <c r="AK509" s="9"/>
      <c r="AL509" s="125" t="str">
        <f t="shared" si="436"/>
        <v/>
      </c>
      <c r="AM509" s="28"/>
      <c r="AN509" s="28"/>
      <c r="AO509" s="125" t="str">
        <f t="shared" si="437"/>
        <v/>
      </c>
      <c r="AP509" s="125" t="str">
        <f t="shared" si="438"/>
        <v/>
      </c>
      <c r="AQ509" s="125" t="str">
        <f t="shared" si="439"/>
        <v/>
      </c>
      <c r="AR509" s="129" t="str">
        <f t="shared" si="440"/>
        <v/>
      </c>
      <c r="AS509" s="9"/>
      <c r="AT509" s="34"/>
      <c r="AU509" s="34"/>
      <c r="AV509" s="117" t="str">
        <f>IF(_xlfn.XLOOKUP(AT509, AutoFill_classes!$A:$A, AutoFill_classes!$B:$B,"")=0,"",_xlfn.XLOOKUP(AT509, AutoFill_classes!$A:$A, AutoFill_classes!$B:$B,""))</f>
        <v/>
      </c>
      <c r="AW509" s="108"/>
      <c r="AX509" s="9"/>
      <c r="AY509" s="10"/>
      <c r="AZ509" s="9"/>
      <c r="BA509" s="10"/>
      <c r="BB509" s="10"/>
      <c r="BC509" s="64"/>
      <c r="BD509" s="25"/>
      <c r="BE509" s="121" t="str">
        <f t="shared" si="441"/>
        <v/>
      </c>
      <c r="BF509" s="20"/>
      <c r="BG509" s="20"/>
      <c r="BH509" s="24"/>
      <c r="BI509" s="24"/>
      <c r="BJ509" s="125" t="str">
        <f t="shared" si="442"/>
        <v/>
      </c>
      <c r="BK509" s="14"/>
      <c r="BL509" s="125" t="str">
        <f t="shared" si="443"/>
        <v/>
      </c>
      <c r="BM509" s="24"/>
      <c r="BN509" s="24"/>
      <c r="BO509" s="125" t="str">
        <f t="shared" si="444"/>
        <v/>
      </c>
      <c r="BP509" s="14"/>
      <c r="BQ509" s="125" t="str">
        <f t="shared" si="445"/>
        <v/>
      </c>
      <c r="BR509" s="24"/>
      <c r="BS509" s="24"/>
      <c r="BT509" s="125" t="str">
        <f t="shared" si="446"/>
        <v/>
      </c>
      <c r="BU509" s="125" t="str">
        <f t="shared" si="447"/>
        <v/>
      </c>
      <c r="BV509" s="125" t="str">
        <f t="shared" si="448"/>
        <v/>
      </c>
      <c r="BW509" s="129" t="str">
        <f t="shared" si="449"/>
        <v/>
      </c>
      <c r="BX509" s="9"/>
      <c r="BY509" s="9"/>
      <c r="BZ509" s="9"/>
      <c r="CA509" s="117" t="str">
        <f>IF(_xlfn.XLOOKUP(BY509, AutoFill_classes!$A:$A, AutoFill_classes!$B:$B,"")=0,"",_xlfn.XLOOKUP(BY509, AutoFill_classes!$A:$A, AutoFill_classes!$B:$B,""))</f>
        <v/>
      </c>
      <c r="CB509" s="108"/>
      <c r="CC509" s="9"/>
      <c r="CD509" s="9"/>
      <c r="CE509" s="9"/>
      <c r="CF509" s="4"/>
      <c r="CG509" s="25"/>
      <c r="CH509" s="64"/>
      <c r="CI509" s="27"/>
      <c r="CJ509" s="121" t="str">
        <f t="shared" si="450"/>
        <v/>
      </c>
      <c r="CK509" s="20"/>
      <c r="CL509" s="20"/>
      <c r="CM509" s="24"/>
      <c r="CN509" s="24"/>
      <c r="CO509" s="125" t="str">
        <f t="shared" si="451"/>
        <v/>
      </c>
      <c r="CP509" s="14"/>
      <c r="CQ509" s="125" t="str">
        <f t="shared" si="452"/>
        <v/>
      </c>
      <c r="CR509" s="24"/>
      <c r="CS509" s="24"/>
      <c r="CT509" s="125" t="str">
        <f t="shared" si="453"/>
        <v/>
      </c>
      <c r="CU509" s="14"/>
      <c r="CV509" s="125" t="str">
        <f t="shared" si="454"/>
        <v/>
      </c>
      <c r="CW509" s="24"/>
      <c r="CX509" s="24"/>
      <c r="CY509" s="125" t="str">
        <f t="shared" si="455"/>
        <v/>
      </c>
      <c r="CZ509" s="125" t="str">
        <f t="shared" si="456"/>
        <v/>
      </c>
      <c r="DA509" s="125" t="str">
        <f t="shared" si="457"/>
        <v/>
      </c>
      <c r="DB509" s="129" t="str">
        <f t="shared" si="458"/>
        <v/>
      </c>
      <c r="DC509" s="9"/>
      <c r="DD509" s="65"/>
      <c r="DE509" s="105">
        <v>505</v>
      </c>
    </row>
    <row r="510" spans="1:109" outlineLevel="1" x14ac:dyDescent="0.2">
      <c r="A510" s="4"/>
      <c r="B510" s="115" t="str">
        <f>IF(_xlfn.XLOOKUP(A510, AutoFill_names!B:B, AutoFill_names!C:C,"")=0,"",_xlfn.XLOOKUP(A510, AutoFill_names!B:B, AutoFill_names!C:C,""))</f>
        <v/>
      </c>
      <c r="C510" s="115" t="str">
        <f>IF(_xlfn.XLOOKUP(A510, AutoFill_names!B:B, AutoFill_names!D:D,"")=0,"",_xlfn.XLOOKUP(A510, AutoFill_names!B:B, AutoFill_names!D:D,""))</f>
        <v/>
      </c>
      <c r="D510" s="115" t="str">
        <f>IF(_xlfn.XLOOKUP(A510, AutoFill_names!B:B, AutoFill_names!E:E,"")=0,"",_xlfn.XLOOKUP(A510, AutoFill_names!B:B, AutoFill_names!E:E,""))</f>
        <v/>
      </c>
      <c r="E510" s="115" t="str">
        <f>IF(_xlfn.XLOOKUP(A510, AutoFill_names!B:B, AutoFill_names!F:F,"")=0,"",_xlfn.XLOOKUP(A510, AutoFill_names!B:B, AutoFill_names!F:F,""))</f>
        <v/>
      </c>
      <c r="F510" s="92"/>
      <c r="G510" s="1"/>
      <c r="H510" s="1"/>
      <c r="I510" s="1"/>
      <c r="J510" s="115" t="str">
        <f>IF(_xlfn.XLOOKUP(A510, AutoFill_names!B:B, AutoFill_names!K:K,"")=0,"",_xlfn.XLOOKUP(A510, AutoFill_names!B:B, AutoFill_names!K:K,""))</f>
        <v/>
      </c>
      <c r="K510" s="115" t="str">
        <f>IF(_xlfn.XLOOKUP(A510, AutoFill_names!B:B, AutoFill_names!L:L,"")=0,"",_xlfn.XLOOKUP(A510, AutoFill_names!B:B, AutoFill_names!L:L,""))</f>
        <v/>
      </c>
      <c r="L510" s="5"/>
      <c r="M510" s="5"/>
      <c r="N510" s="117" t="str">
        <f>IF(_xlfn.XLOOKUP(L510, AutoFill_classes!A:A, AutoFill_classes!B:B,"")=0,"",_xlfn.XLOOKUP(L510, AutoFill_classes!A:A, AutoFill_classes!B:B,""))</f>
        <v/>
      </c>
      <c r="O510" s="108"/>
      <c r="P510" s="8"/>
      <c r="Q510" s="8"/>
      <c r="R510" s="8"/>
      <c r="S510" s="4"/>
      <c r="T510" s="4"/>
      <c r="U510" s="4"/>
      <c r="V510" s="4"/>
      <c r="W510" s="4"/>
      <c r="X510" s="64"/>
      <c r="Y510" s="25"/>
      <c r="Z510" s="121" t="str">
        <f t="shared" si="432"/>
        <v/>
      </c>
      <c r="AA510" s="26"/>
      <c r="AB510" s="26"/>
      <c r="AC510" s="28"/>
      <c r="AD510" s="28"/>
      <c r="AE510" s="125" t="str">
        <f t="shared" si="433"/>
        <v/>
      </c>
      <c r="AF510" s="9"/>
      <c r="AG510" s="125" t="str">
        <f t="shared" si="434"/>
        <v/>
      </c>
      <c r="AH510" s="28"/>
      <c r="AI510" s="28"/>
      <c r="AJ510" s="125" t="str">
        <f t="shared" si="435"/>
        <v/>
      </c>
      <c r="AK510" s="9"/>
      <c r="AL510" s="125" t="str">
        <f t="shared" si="436"/>
        <v/>
      </c>
      <c r="AM510" s="28"/>
      <c r="AN510" s="28"/>
      <c r="AO510" s="125" t="str">
        <f t="shared" si="437"/>
        <v/>
      </c>
      <c r="AP510" s="125" t="str">
        <f t="shared" si="438"/>
        <v/>
      </c>
      <c r="AQ510" s="125" t="str">
        <f t="shared" si="439"/>
        <v/>
      </c>
      <c r="AR510" s="129" t="str">
        <f t="shared" si="440"/>
        <v/>
      </c>
      <c r="AS510" s="9"/>
      <c r="AT510" s="34"/>
      <c r="AU510" s="34"/>
      <c r="AV510" s="117" t="str">
        <f>IF(_xlfn.XLOOKUP(AT510, AutoFill_classes!$A:$A, AutoFill_classes!$B:$B,"")=0,"",_xlfn.XLOOKUP(AT510, AutoFill_classes!$A:$A, AutoFill_classes!$B:$B,""))</f>
        <v/>
      </c>
      <c r="AW510" s="108"/>
      <c r="AX510" s="9"/>
      <c r="AY510" s="10"/>
      <c r="AZ510" s="9"/>
      <c r="BA510" s="10"/>
      <c r="BB510" s="10"/>
      <c r="BC510" s="64"/>
      <c r="BD510" s="25"/>
      <c r="BE510" s="121" t="str">
        <f t="shared" si="441"/>
        <v/>
      </c>
      <c r="BF510" s="20"/>
      <c r="BG510" s="20"/>
      <c r="BH510" s="24"/>
      <c r="BI510" s="24"/>
      <c r="BJ510" s="125" t="str">
        <f t="shared" si="442"/>
        <v/>
      </c>
      <c r="BK510" s="14"/>
      <c r="BL510" s="125" t="str">
        <f t="shared" si="443"/>
        <v/>
      </c>
      <c r="BM510" s="24"/>
      <c r="BN510" s="24"/>
      <c r="BO510" s="125" t="str">
        <f t="shared" si="444"/>
        <v/>
      </c>
      <c r="BP510" s="14"/>
      <c r="BQ510" s="125" t="str">
        <f t="shared" si="445"/>
        <v/>
      </c>
      <c r="BR510" s="24"/>
      <c r="BS510" s="24"/>
      <c r="BT510" s="125" t="str">
        <f t="shared" si="446"/>
        <v/>
      </c>
      <c r="BU510" s="125" t="str">
        <f t="shared" si="447"/>
        <v/>
      </c>
      <c r="BV510" s="125" t="str">
        <f t="shared" si="448"/>
        <v/>
      </c>
      <c r="BW510" s="129" t="str">
        <f t="shared" si="449"/>
        <v/>
      </c>
      <c r="BX510" s="9"/>
      <c r="BY510" s="9"/>
      <c r="BZ510" s="9"/>
      <c r="CA510" s="117" t="str">
        <f>IF(_xlfn.XLOOKUP(BY510, AutoFill_classes!$A:$A, AutoFill_classes!$B:$B,"")=0,"",_xlfn.XLOOKUP(BY510, AutoFill_classes!$A:$A, AutoFill_classes!$B:$B,""))</f>
        <v/>
      </c>
      <c r="CB510" s="108"/>
      <c r="CC510" s="9"/>
      <c r="CD510" s="9"/>
      <c r="CE510" s="9"/>
      <c r="CF510" s="4"/>
      <c r="CG510" s="25"/>
      <c r="CH510" s="64"/>
      <c r="CI510" s="27"/>
      <c r="CJ510" s="121" t="str">
        <f t="shared" si="450"/>
        <v/>
      </c>
      <c r="CK510" s="20"/>
      <c r="CL510" s="20"/>
      <c r="CM510" s="24"/>
      <c r="CN510" s="24"/>
      <c r="CO510" s="125" t="str">
        <f t="shared" si="451"/>
        <v/>
      </c>
      <c r="CP510" s="14"/>
      <c r="CQ510" s="125" t="str">
        <f t="shared" si="452"/>
        <v/>
      </c>
      <c r="CR510" s="24"/>
      <c r="CS510" s="24"/>
      <c r="CT510" s="125" t="str">
        <f t="shared" si="453"/>
        <v/>
      </c>
      <c r="CU510" s="14"/>
      <c r="CV510" s="125" t="str">
        <f t="shared" si="454"/>
        <v/>
      </c>
      <c r="CW510" s="24"/>
      <c r="CX510" s="24"/>
      <c r="CY510" s="125" t="str">
        <f t="shared" si="455"/>
        <v/>
      </c>
      <c r="CZ510" s="125" t="str">
        <f t="shared" si="456"/>
        <v/>
      </c>
      <c r="DA510" s="125" t="str">
        <f t="shared" si="457"/>
        <v/>
      </c>
      <c r="DB510" s="129" t="str">
        <f t="shared" si="458"/>
        <v/>
      </c>
      <c r="DC510" s="9"/>
      <c r="DD510" s="65"/>
      <c r="DE510" s="105">
        <v>506</v>
      </c>
    </row>
    <row r="511" spans="1:109" outlineLevel="1" x14ac:dyDescent="0.2">
      <c r="A511" s="4"/>
      <c r="B511" s="115" t="str">
        <f>IF(_xlfn.XLOOKUP(A511, AutoFill_names!B:B, AutoFill_names!C:C,"")=0,"",_xlfn.XLOOKUP(A511, AutoFill_names!B:B, AutoFill_names!C:C,""))</f>
        <v/>
      </c>
      <c r="C511" s="115" t="str">
        <f>IF(_xlfn.XLOOKUP(A511, AutoFill_names!B:B, AutoFill_names!D:D,"")=0,"",_xlfn.XLOOKUP(A511, AutoFill_names!B:B, AutoFill_names!D:D,""))</f>
        <v/>
      </c>
      <c r="D511" s="115" t="str">
        <f>IF(_xlfn.XLOOKUP(A511, AutoFill_names!B:B, AutoFill_names!E:E,"")=0,"",_xlfn.XLOOKUP(A511, AutoFill_names!B:B, AutoFill_names!E:E,""))</f>
        <v/>
      </c>
      <c r="E511" s="115" t="str">
        <f>IF(_xlfn.XLOOKUP(A511, AutoFill_names!B:B, AutoFill_names!F:F,"")=0,"",_xlfn.XLOOKUP(A511, AutoFill_names!B:B, AutoFill_names!F:F,""))</f>
        <v/>
      </c>
      <c r="F511" s="92"/>
      <c r="G511" s="1"/>
      <c r="H511" s="1"/>
      <c r="I511" s="1"/>
      <c r="J511" s="115" t="str">
        <f>IF(_xlfn.XLOOKUP(A511, AutoFill_names!B:B, AutoFill_names!K:K,"")=0,"",_xlfn.XLOOKUP(A511, AutoFill_names!B:B, AutoFill_names!K:K,""))</f>
        <v/>
      </c>
      <c r="K511" s="115" t="str">
        <f>IF(_xlfn.XLOOKUP(A511, AutoFill_names!B:B, AutoFill_names!L:L,"")=0,"",_xlfn.XLOOKUP(A511, AutoFill_names!B:B, AutoFill_names!L:L,""))</f>
        <v/>
      </c>
      <c r="L511" s="5"/>
      <c r="M511" s="5"/>
      <c r="N511" s="117" t="str">
        <f>IF(_xlfn.XLOOKUP(L511, AutoFill_classes!A:A, AutoFill_classes!B:B,"")=0,"",_xlfn.XLOOKUP(L511, AutoFill_classes!A:A, AutoFill_classes!B:B,""))</f>
        <v/>
      </c>
      <c r="O511" s="108"/>
      <c r="P511" s="8"/>
      <c r="Q511" s="8"/>
      <c r="R511" s="8"/>
      <c r="S511" s="4"/>
      <c r="T511" s="4"/>
      <c r="U511" s="4"/>
      <c r="V511" s="4"/>
      <c r="W511" s="4"/>
      <c r="X511" s="64"/>
      <c r="Y511" s="25"/>
      <c r="Z511" s="121" t="str">
        <f t="shared" si="432"/>
        <v/>
      </c>
      <c r="AA511" s="26"/>
      <c r="AB511" s="26"/>
      <c r="AC511" s="28"/>
      <c r="AD511" s="28"/>
      <c r="AE511" s="125" t="str">
        <f t="shared" si="433"/>
        <v/>
      </c>
      <c r="AF511" s="9"/>
      <c r="AG511" s="125" t="str">
        <f t="shared" si="434"/>
        <v/>
      </c>
      <c r="AH511" s="28"/>
      <c r="AI511" s="28"/>
      <c r="AJ511" s="125" t="str">
        <f t="shared" si="435"/>
        <v/>
      </c>
      <c r="AK511" s="9"/>
      <c r="AL511" s="125" t="str">
        <f t="shared" si="436"/>
        <v/>
      </c>
      <c r="AM511" s="28"/>
      <c r="AN511" s="28"/>
      <c r="AO511" s="125" t="str">
        <f t="shared" si="437"/>
        <v/>
      </c>
      <c r="AP511" s="125" t="str">
        <f t="shared" si="438"/>
        <v/>
      </c>
      <c r="AQ511" s="125" t="str">
        <f t="shared" si="439"/>
        <v/>
      </c>
      <c r="AR511" s="129" t="str">
        <f t="shared" si="440"/>
        <v/>
      </c>
      <c r="AS511" s="9"/>
      <c r="AT511" s="34"/>
      <c r="AU511" s="34"/>
      <c r="AV511" s="117" t="str">
        <f>IF(_xlfn.XLOOKUP(AT511, AutoFill_classes!$A:$A, AutoFill_classes!$B:$B,"")=0,"",_xlfn.XLOOKUP(AT511, AutoFill_classes!$A:$A, AutoFill_classes!$B:$B,""))</f>
        <v/>
      </c>
      <c r="AW511" s="108"/>
      <c r="AX511" s="9"/>
      <c r="AY511" s="10"/>
      <c r="AZ511" s="9"/>
      <c r="BA511" s="10"/>
      <c r="BB511" s="10"/>
      <c r="BC511" s="64"/>
      <c r="BD511" s="25"/>
      <c r="BE511" s="121" t="str">
        <f t="shared" si="441"/>
        <v/>
      </c>
      <c r="BF511" s="20"/>
      <c r="BG511" s="20"/>
      <c r="BH511" s="24"/>
      <c r="BI511" s="24"/>
      <c r="BJ511" s="125" t="str">
        <f t="shared" si="442"/>
        <v/>
      </c>
      <c r="BK511" s="14"/>
      <c r="BL511" s="125" t="str">
        <f t="shared" si="443"/>
        <v/>
      </c>
      <c r="BM511" s="24"/>
      <c r="BN511" s="24"/>
      <c r="BO511" s="125" t="str">
        <f t="shared" si="444"/>
        <v/>
      </c>
      <c r="BP511" s="14"/>
      <c r="BQ511" s="125" t="str">
        <f t="shared" si="445"/>
        <v/>
      </c>
      <c r="BR511" s="24"/>
      <c r="BS511" s="24"/>
      <c r="BT511" s="125" t="str">
        <f t="shared" si="446"/>
        <v/>
      </c>
      <c r="BU511" s="125" t="str">
        <f t="shared" si="447"/>
        <v/>
      </c>
      <c r="BV511" s="125" t="str">
        <f t="shared" si="448"/>
        <v/>
      </c>
      <c r="BW511" s="129" t="str">
        <f t="shared" si="449"/>
        <v/>
      </c>
      <c r="BX511" s="9"/>
      <c r="BY511" s="9"/>
      <c r="BZ511" s="9"/>
      <c r="CA511" s="117" t="str">
        <f>IF(_xlfn.XLOOKUP(BY511, AutoFill_classes!$A:$A, AutoFill_classes!$B:$B,"")=0,"",_xlfn.XLOOKUP(BY511, AutoFill_classes!$A:$A, AutoFill_classes!$B:$B,""))</f>
        <v/>
      </c>
      <c r="CB511" s="108"/>
      <c r="CC511" s="9"/>
      <c r="CD511" s="9"/>
      <c r="CE511" s="9"/>
      <c r="CF511" s="4"/>
      <c r="CG511" s="25"/>
      <c r="CH511" s="64"/>
      <c r="CI511" s="27"/>
      <c r="CJ511" s="121" t="str">
        <f t="shared" si="450"/>
        <v/>
      </c>
      <c r="CK511" s="20"/>
      <c r="CL511" s="20"/>
      <c r="CM511" s="24"/>
      <c r="CN511" s="24"/>
      <c r="CO511" s="125" t="str">
        <f t="shared" si="451"/>
        <v/>
      </c>
      <c r="CP511" s="14"/>
      <c r="CQ511" s="125" t="str">
        <f t="shared" si="452"/>
        <v/>
      </c>
      <c r="CR511" s="24"/>
      <c r="CS511" s="24"/>
      <c r="CT511" s="125" t="str">
        <f t="shared" si="453"/>
        <v/>
      </c>
      <c r="CU511" s="14"/>
      <c r="CV511" s="125" t="str">
        <f t="shared" si="454"/>
        <v/>
      </c>
      <c r="CW511" s="24"/>
      <c r="CX511" s="24"/>
      <c r="CY511" s="125" t="str">
        <f t="shared" si="455"/>
        <v/>
      </c>
      <c r="CZ511" s="125" t="str">
        <f t="shared" si="456"/>
        <v/>
      </c>
      <c r="DA511" s="125" t="str">
        <f t="shared" si="457"/>
        <v/>
      </c>
      <c r="DB511" s="129" t="str">
        <f t="shared" si="458"/>
        <v/>
      </c>
      <c r="DC511" s="9"/>
      <c r="DD511" s="65"/>
      <c r="DE511" s="105">
        <v>507</v>
      </c>
    </row>
    <row r="512" spans="1:109" outlineLevel="1" x14ac:dyDescent="0.2">
      <c r="A512" s="4"/>
      <c r="B512" s="115" t="str">
        <f>IF(_xlfn.XLOOKUP(A512, AutoFill_names!B:B, AutoFill_names!C:C,"")=0,"",_xlfn.XLOOKUP(A512, AutoFill_names!B:B, AutoFill_names!C:C,""))</f>
        <v/>
      </c>
      <c r="C512" s="115" t="str">
        <f>IF(_xlfn.XLOOKUP(A512, AutoFill_names!B:B, AutoFill_names!D:D,"")=0,"",_xlfn.XLOOKUP(A512, AutoFill_names!B:B, AutoFill_names!D:D,""))</f>
        <v/>
      </c>
      <c r="D512" s="115" t="str">
        <f>IF(_xlfn.XLOOKUP(A512, AutoFill_names!B:B, AutoFill_names!E:E,"")=0,"",_xlfn.XLOOKUP(A512, AutoFill_names!B:B, AutoFill_names!E:E,""))</f>
        <v/>
      </c>
      <c r="E512" s="115" t="str">
        <f>IF(_xlfn.XLOOKUP(A512, AutoFill_names!B:B, AutoFill_names!F:F,"")=0,"",_xlfn.XLOOKUP(A512, AutoFill_names!B:B, AutoFill_names!F:F,""))</f>
        <v/>
      </c>
      <c r="F512" s="92"/>
      <c r="G512" s="1"/>
      <c r="H512" s="1"/>
      <c r="I512" s="1"/>
      <c r="J512" s="115" t="str">
        <f>IF(_xlfn.XLOOKUP(A512, AutoFill_names!B:B, AutoFill_names!K:K,"")=0,"",_xlfn.XLOOKUP(A512, AutoFill_names!B:B, AutoFill_names!K:K,""))</f>
        <v/>
      </c>
      <c r="K512" s="115" t="str">
        <f>IF(_xlfn.XLOOKUP(A512, AutoFill_names!B:B, AutoFill_names!L:L,"")=0,"",_xlfn.XLOOKUP(A512, AutoFill_names!B:B, AutoFill_names!L:L,""))</f>
        <v/>
      </c>
      <c r="L512" s="5"/>
      <c r="M512" s="5"/>
      <c r="N512" s="117" t="str">
        <f>IF(_xlfn.XLOOKUP(L512, AutoFill_classes!A:A, AutoFill_classes!B:B,"")=0,"",_xlfn.XLOOKUP(L512, AutoFill_classes!A:A, AutoFill_classes!B:B,""))</f>
        <v/>
      </c>
      <c r="O512" s="108"/>
      <c r="P512" s="8"/>
      <c r="Q512" s="8"/>
      <c r="R512" s="8"/>
      <c r="S512" s="4"/>
      <c r="T512" s="4"/>
      <c r="U512" s="4"/>
      <c r="V512" s="4"/>
      <c r="W512" s="4"/>
      <c r="X512" s="64"/>
      <c r="Y512" s="25"/>
      <c r="Z512" s="121" t="str">
        <f t="shared" si="432"/>
        <v/>
      </c>
      <c r="AA512" s="26"/>
      <c r="AB512" s="26"/>
      <c r="AC512" s="28"/>
      <c r="AD512" s="28"/>
      <c r="AE512" s="125" t="str">
        <f t="shared" si="433"/>
        <v/>
      </c>
      <c r="AF512" s="9"/>
      <c r="AG512" s="125" t="str">
        <f t="shared" si="434"/>
        <v/>
      </c>
      <c r="AH512" s="28"/>
      <c r="AI512" s="28"/>
      <c r="AJ512" s="125" t="str">
        <f t="shared" si="435"/>
        <v/>
      </c>
      <c r="AK512" s="9"/>
      <c r="AL512" s="125" t="str">
        <f t="shared" si="436"/>
        <v/>
      </c>
      <c r="AM512" s="28"/>
      <c r="AN512" s="28"/>
      <c r="AO512" s="125" t="str">
        <f t="shared" si="437"/>
        <v/>
      </c>
      <c r="AP512" s="125" t="str">
        <f t="shared" si="438"/>
        <v/>
      </c>
      <c r="AQ512" s="125" t="str">
        <f t="shared" si="439"/>
        <v/>
      </c>
      <c r="AR512" s="129" t="str">
        <f t="shared" si="440"/>
        <v/>
      </c>
      <c r="AS512" s="9"/>
      <c r="AT512" s="34"/>
      <c r="AU512" s="34"/>
      <c r="AV512" s="117" t="str">
        <f>IF(_xlfn.XLOOKUP(AT512, AutoFill_classes!$A:$A, AutoFill_classes!$B:$B,"")=0,"",_xlfn.XLOOKUP(AT512, AutoFill_classes!$A:$A, AutoFill_classes!$B:$B,""))</f>
        <v/>
      </c>
      <c r="AW512" s="108"/>
      <c r="AX512" s="9"/>
      <c r="AY512" s="10"/>
      <c r="AZ512" s="9"/>
      <c r="BA512" s="10"/>
      <c r="BB512" s="10"/>
      <c r="BC512" s="64"/>
      <c r="BD512" s="25"/>
      <c r="BE512" s="121" t="str">
        <f t="shared" si="441"/>
        <v/>
      </c>
      <c r="BF512" s="20"/>
      <c r="BG512" s="20"/>
      <c r="BH512" s="24"/>
      <c r="BI512" s="24"/>
      <c r="BJ512" s="125" t="str">
        <f t="shared" si="442"/>
        <v/>
      </c>
      <c r="BK512" s="14"/>
      <c r="BL512" s="125" t="str">
        <f t="shared" si="443"/>
        <v/>
      </c>
      <c r="BM512" s="24"/>
      <c r="BN512" s="24"/>
      <c r="BO512" s="125" t="str">
        <f t="shared" si="444"/>
        <v/>
      </c>
      <c r="BP512" s="14"/>
      <c r="BQ512" s="125" t="str">
        <f t="shared" si="445"/>
        <v/>
      </c>
      <c r="BR512" s="24"/>
      <c r="BS512" s="24"/>
      <c r="BT512" s="125" t="str">
        <f t="shared" si="446"/>
        <v/>
      </c>
      <c r="BU512" s="125" t="str">
        <f t="shared" si="447"/>
        <v/>
      </c>
      <c r="BV512" s="125" t="str">
        <f t="shared" si="448"/>
        <v/>
      </c>
      <c r="BW512" s="129" t="str">
        <f t="shared" si="449"/>
        <v/>
      </c>
      <c r="BX512" s="9"/>
      <c r="BY512" s="9"/>
      <c r="BZ512" s="9"/>
      <c r="CA512" s="117" t="str">
        <f>IF(_xlfn.XLOOKUP(BY512, AutoFill_classes!$A:$A, AutoFill_classes!$B:$B,"")=0,"",_xlfn.XLOOKUP(BY512, AutoFill_classes!$A:$A, AutoFill_classes!$B:$B,""))</f>
        <v/>
      </c>
      <c r="CB512" s="108"/>
      <c r="CC512" s="9"/>
      <c r="CD512" s="9"/>
      <c r="CE512" s="9"/>
      <c r="CF512" s="4"/>
      <c r="CG512" s="25"/>
      <c r="CH512" s="64"/>
      <c r="CI512" s="27"/>
      <c r="CJ512" s="121" t="str">
        <f t="shared" si="450"/>
        <v/>
      </c>
      <c r="CK512" s="20"/>
      <c r="CL512" s="20"/>
      <c r="CM512" s="24"/>
      <c r="CN512" s="24"/>
      <c r="CO512" s="125" t="str">
        <f t="shared" si="451"/>
        <v/>
      </c>
      <c r="CP512" s="14"/>
      <c r="CQ512" s="125" t="str">
        <f t="shared" si="452"/>
        <v/>
      </c>
      <c r="CR512" s="24"/>
      <c r="CS512" s="24"/>
      <c r="CT512" s="125" t="str">
        <f t="shared" si="453"/>
        <v/>
      </c>
      <c r="CU512" s="14"/>
      <c r="CV512" s="125" t="str">
        <f t="shared" si="454"/>
        <v/>
      </c>
      <c r="CW512" s="24"/>
      <c r="CX512" s="24"/>
      <c r="CY512" s="125" t="str">
        <f t="shared" si="455"/>
        <v/>
      </c>
      <c r="CZ512" s="125" t="str">
        <f t="shared" si="456"/>
        <v/>
      </c>
      <c r="DA512" s="125" t="str">
        <f t="shared" si="457"/>
        <v/>
      </c>
      <c r="DB512" s="129" t="str">
        <f t="shared" si="458"/>
        <v/>
      </c>
      <c r="DC512" s="9"/>
      <c r="DD512" s="65"/>
      <c r="DE512" s="105">
        <v>508</v>
      </c>
    </row>
    <row r="513" spans="1:109" outlineLevel="1" x14ac:dyDescent="0.2">
      <c r="A513" s="4"/>
      <c r="B513" s="115" t="str">
        <f>IF(_xlfn.XLOOKUP(A513, AutoFill_names!B:B, AutoFill_names!C:C,"")=0,"",_xlfn.XLOOKUP(A513, AutoFill_names!B:B, AutoFill_names!C:C,""))</f>
        <v/>
      </c>
      <c r="C513" s="115" t="str">
        <f>IF(_xlfn.XLOOKUP(A513, AutoFill_names!B:B, AutoFill_names!D:D,"")=0,"",_xlfn.XLOOKUP(A513, AutoFill_names!B:B, AutoFill_names!D:D,""))</f>
        <v/>
      </c>
      <c r="D513" s="115" t="str">
        <f>IF(_xlfn.XLOOKUP(A513, AutoFill_names!B:B, AutoFill_names!E:E,"")=0,"",_xlfn.XLOOKUP(A513, AutoFill_names!B:B, AutoFill_names!E:E,""))</f>
        <v/>
      </c>
      <c r="E513" s="115" t="str">
        <f>IF(_xlfn.XLOOKUP(A513, AutoFill_names!B:B, AutoFill_names!F:F,"")=0,"",_xlfn.XLOOKUP(A513, AutoFill_names!B:B, AutoFill_names!F:F,""))</f>
        <v/>
      </c>
      <c r="F513" s="92"/>
      <c r="G513" s="1"/>
      <c r="H513" s="1"/>
      <c r="I513" s="1"/>
      <c r="J513" s="115" t="str">
        <f>IF(_xlfn.XLOOKUP(A513, AutoFill_names!B:B, AutoFill_names!K:K,"")=0,"",_xlfn.XLOOKUP(A513, AutoFill_names!B:B, AutoFill_names!K:K,""))</f>
        <v/>
      </c>
      <c r="K513" s="115" t="str">
        <f>IF(_xlfn.XLOOKUP(A513, AutoFill_names!B:B, AutoFill_names!L:L,"")=0,"",_xlfn.XLOOKUP(A513, AutoFill_names!B:B, AutoFill_names!L:L,""))</f>
        <v/>
      </c>
      <c r="L513" s="5"/>
      <c r="M513" s="5"/>
      <c r="N513" s="117" t="str">
        <f>IF(_xlfn.XLOOKUP(L513, AutoFill_classes!A:A, AutoFill_classes!B:B,"")=0,"",_xlfn.XLOOKUP(L513, AutoFill_classes!A:A, AutoFill_classes!B:B,""))</f>
        <v/>
      </c>
      <c r="O513" s="108"/>
      <c r="P513" s="8"/>
      <c r="Q513" s="8"/>
      <c r="R513" s="8"/>
      <c r="S513" s="4"/>
      <c r="T513" s="4"/>
      <c r="U513" s="4"/>
      <c r="V513" s="4"/>
      <c r="W513" s="4"/>
      <c r="X513" s="64"/>
      <c r="Y513" s="25"/>
      <c r="Z513" s="121" t="str">
        <f t="shared" si="432"/>
        <v/>
      </c>
      <c r="AA513" s="26"/>
      <c r="AB513" s="26"/>
      <c r="AC513" s="28"/>
      <c r="AD513" s="28"/>
      <c r="AE513" s="125" t="str">
        <f t="shared" si="433"/>
        <v/>
      </c>
      <c r="AF513" s="9"/>
      <c r="AG513" s="125" t="str">
        <f t="shared" si="434"/>
        <v/>
      </c>
      <c r="AH513" s="28"/>
      <c r="AI513" s="28"/>
      <c r="AJ513" s="125" t="str">
        <f t="shared" si="435"/>
        <v/>
      </c>
      <c r="AK513" s="9"/>
      <c r="AL513" s="125" t="str">
        <f t="shared" si="436"/>
        <v/>
      </c>
      <c r="AM513" s="28"/>
      <c r="AN513" s="28"/>
      <c r="AO513" s="125" t="str">
        <f t="shared" si="437"/>
        <v/>
      </c>
      <c r="AP513" s="125" t="str">
        <f t="shared" si="438"/>
        <v/>
      </c>
      <c r="AQ513" s="125" t="str">
        <f t="shared" si="439"/>
        <v/>
      </c>
      <c r="AR513" s="129" t="str">
        <f t="shared" si="440"/>
        <v/>
      </c>
      <c r="AS513" s="9"/>
      <c r="AT513" s="34"/>
      <c r="AU513" s="34"/>
      <c r="AV513" s="117" t="str">
        <f>IF(_xlfn.XLOOKUP(AT513, AutoFill_classes!$A:$A, AutoFill_classes!$B:$B,"")=0,"",_xlfn.XLOOKUP(AT513, AutoFill_classes!$A:$A, AutoFill_classes!$B:$B,""))</f>
        <v/>
      </c>
      <c r="AW513" s="108"/>
      <c r="AX513" s="9"/>
      <c r="AY513" s="10"/>
      <c r="AZ513" s="9"/>
      <c r="BA513" s="10"/>
      <c r="BB513" s="10"/>
      <c r="BC513" s="64"/>
      <c r="BD513" s="25"/>
      <c r="BE513" s="121" t="str">
        <f t="shared" si="441"/>
        <v/>
      </c>
      <c r="BF513" s="20"/>
      <c r="BG513" s="20"/>
      <c r="BH513" s="24"/>
      <c r="BI513" s="24"/>
      <c r="BJ513" s="125" t="str">
        <f t="shared" si="442"/>
        <v/>
      </c>
      <c r="BK513" s="14"/>
      <c r="BL513" s="125" t="str">
        <f t="shared" si="443"/>
        <v/>
      </c>
      <c r="BM513" s="24"/>
      <c r="BN513" s="24"/>
      <c r="BO513" s="125" t="str">
        <f t="shared" si="444"/>
        <v/>
      </c>
      <c r="BP513" s="14"/>
      <c r="BQ513" s="125" t="str">
        <f t="shared" si="445"/>
        <v/>
      </c>
      <c r="BR513" s="24"/>
      <c r="BS513" s="24"/>
      <c r="BT513" s="125" t="str">
        <f t="shared" si="446"/>
        <v/>
      </c>
      <c r="BU513" s="125" t="str">
        <f t="shared" si="447"/>
        <v/>
      </c>
      <c r="BV513" s="125" t="str">
        <f t="shared" si="448"/>
        <v/>
      </c>
      <c r="BW513" s="129" t="str">
        <f t="shared" si="449"/>
        <v/>
      </c>
      <c r="BX513" s="9"/>
      <c r="BY513" s="9"/>
      <c r="BZ513" s="9"/>
      <c r="CA513" s="117" t="str">
        <f>IF(_xlfn.XLOOKUP(BY513, AutoFill_classes!$A:$A, AutoFill_classes!$B:$B,"")=0,"",_xlfn.XLOOKUP(BY513, AutoFill_classes!$A:$A, AutoFill_classes!$B:$B,""))</f>
        <v/>
      </c>
      <c r="CB513" s="108"/>
      <c r="CC513" s="9"/>
      <c r="CD513" s="9"/>
      <c r="CE513" s="9"/>
      <c r="CF513" s="4"/>
      <c r="CG513" s="25"/>
      <c r="CH513" s="64"/>
      <c r="CI513" s="27"/>
      <c r="CJ513" s="121" t="str">
        <f t="shared" si="450"/>
        <v/>
      </c>
      <c r="CK513" s="20"/>
      <c r="CL513" s="20"/>
      <c r="CM513" s="24"/>
      <c r="CN513" s="24"/>
      <c r="CO513" s="125" t="str">
        <f t="shared" si="451"/>
        <v/>
      </c>
      <c r="CP513" s="14"/>
      <c r="CQ513" s="125" t="str">
        <f t="shared" si="452"/>
        <v/>
      </c>
      <c r="CR513" s="24"/>
      <c r="CS513" s="24"/>
      <c r="CT513" s="125" t="str">
        <f t="shared" si="453"/>
        <v/>
      </c>
      <c r="CU513" s="14"/>
      <c r="CV513" s="125" t="str">
        <f t="shared" si="454"/>
        <v/>
      </c>
      <c r="CW513" s="24"/>
      <c r="CX513" s="24"/>
      <c r="CY513" s="125" t="str">
        <f t="shared" si="455"/>
        <v/>
      </c>
      <c r="CZ513" s="125" t="str">
        <f t="shared" si="456"/>
        <v/>
      </c>
      <c r="DA513" s="125" t="str">
        <f t="shared" si="457"/>
        <v/>
      </c>
      <c r="DB513" s="129" t="str">
        <f t="shared" si="458"/>
        <v/>
      </c>
      <c r="DC513" s="9"/>
      <c r="DD513" s="65"/>
      <c r="DE513" s="105">
        <v>509</v>
      </c>
    </row>
    <row r="514" spans="1:109" outlineLevel="1" x14ac:dyDescent="0.2">
      <c r="A514" s="4"/>
      <c r="B514" s="115" t="str">
        <f>IF(_xlfn.XLOOKUP(A514, AutoFill_names!B:B, AutoFill_names!C:C,"")=0,"",_xlfn.XLOOKUP(A514, AutoFill_names!B:B, AutoFill_names!C:C,""))</f>
        <v/>
      </c>
      <c r="C514" s="115" t="str">
        <f>IF(_xlfn.XLOOKUP(A514, AutoFill_names!B:B, AutoFill_names!D:D,"")=0,"",_xlfn.XLOOKUP(A514, AutoFill_names!B:B, AutoFill_names!D:D,""))</f>
        <v/>
      </c>
      <c r="D514" s="115" t="str">
        <f>IF(_xlfn.XLOOKUP(A514, AutoFill_names!B:B, AutoFill_names!E:E,"")=0,"",_xlfn.XLOOKUP(A514, AutoFill_names!B:B, AutoFill_names!E:E,""))</f>
        <v/>
      </c>
      <c r="E514" s="115" t="str">
        <f>IF(_xlfn.XLOOKUP(A514, AutoFill_names!B:B, AutoFill_names!F:F,"")=0,"",_xlfn.XLOOKUP(A514, AutoFill_names!B:B, AutoFill_names!F:F,""))</f>
        <v/>
      </c>
      <c r="F514" s="92"/>
      <c r="G514" s="1"/>
      <c r="H514" s="1"/>
      <c r="I514" s="1"/>
      <c r="J514" s="115" t="str">
        <f>IF(_xlfn.XLOOKUP(A514, AutoFill_names!B:B, AutoFill_names!K:K,"")=0,"",_xlfn.XLOOKUP(A514, AutoFill_names!B:B, AutoFill_names!K:K,""))</f>
        <v/>
      </c>
      <c r="K514" s="115" t="str">
        <f>IF(_xlfn.XLOOKUP(A514, AutoFill_names!B:B, AutoFill_names!L:L,"")=0,"",_xlfn.XLOOKUP(A514, AutoFill_names!B:B, AutoFill_names!L:L,""))</f>
        <v/>
      </c>
      <c r="L514" s="5"/>
      <c r="M514" s="5"/>
      <c r="N514" s="117" t="str">
        <f>IF(_xlfn.XLOOKUP(L514, AutoFill_classes!A:A, AutoFill_classes!B:B,"")=0,"",_xlfn.XLOOKUP(L514, AutoFill_classes!A:A, AutoFill_classes!B:B,""))</f>
        <v/>
      </c>
      <c r="O514" s="108"/>
      <c r="P514" s="8"/>
      <c r="Q514" s="8"/>
      <c r="R514" s="8"/>
      <c r="S514" s="4"/>
      <c r="T514" s="4"/>
      <c r="U514" s="4"/>
      <c r="V514" s="4"/>
      <c r="W514" s="4"/>
      <c r="X514" s="64"/>
      <c r="Y514" s="25"/>
      <c r="Z514" s="121" t="str">
        <f t="shared" si="432"/>
        <v/>
      </c>
      <c r="AA514" s="26"/>
      <c r="AB514" s="26"/>
      <c r="AC514" s="28"/>
      <c r="AD514" s="28"/>
      <c r="AE514" s="125" t="str">
        <f t="shared" si="433"/>
        <v/>
      </c>
      <c r="AF514" s="9"/>
      <c r="AG514" s="125" t="str">
        <f t="shared" si="434"/>
        <v/>
      </c>
      <c r="AH514" s="28"/>
      <c r="AI514" s="28"/>
      <c r="AJ514" s="125" t="str">
        <f t="shared" si="435"/>
        <v/>
      </c>
      <c r="AK514" s="9"/>
      <c r="AL514" s="125" t="str">
        <f t="shared" si="436"/>
        <v/>
      </c>
      <c r="AM514" s="28"/>
      <c r="AN514" s="28"/>
      <c r="AO514" s="125" t="str">
        <f t="shared" si="437"/>
        <v/>
      </c>
      <c r="AP514" s="125" t="str">
        <f t="shared" si="438"/>
        <v/>
      </c>
      <c r="AQ514" s="125" t="str">
        <f t="shared" si="439"/>
        <v/>
      </c>
      <c r="AR514" s="129" t="str">
        <f t="shared" si="440"/>
        <v/>
      </c>
      <c r="AS514" s="9"/>
      <c r="AT514" s="34"/>
      <c r="AU514" s="34"/>
      <c r="AV514" s="117" t="str">
        <f>IF(_xlfn.XLOOKUP(AT514, AutoFill_classes!$A:$A, AutoFill_classes!$B:$B,"")=0,"",_xlfn.XLOOKUP(AT514, AutoFill_classes!$A:$A, AutoFill_classes!$B:$B,""))</f>
        <v/>
      </c>
      <c r="AW514" s="108"/>
      <c r="AX514" s="9"/>
      <c r="AY514" s="10"/>
      <c r="AZ514" s="9"/>
      <c r="BA514" s="10"/>
      <c r="BB514" s="10"/>
      <c r="BC514" s="64"/>
      <c r="BD514" s="25"/>
      <c r="BE514" s="121" t="str">
        <f t="shared" si="441"/>
        <v/>
      </c>
      <c r="BF514" s="20"/>
      <c r="BG514" s="20"/>
      <c r="BH514" s="24"/>
      <c r="BI514" s="24"/>
      <c r="BJ514" s="125" t="str">
        <f t="shared" si="442"/>
        <v/>
      </c>
      <c r="BK514" s="14"/>
      <c r="BL514" s="125" t="str">
        <f t="shared" si="443"/>
        <v/>
      </c>
      <c r="BM514" s="24"/>
      <c r="BN514" s="24"/>
      <c r="BO514" s="125" t="str">
        <f t="shared" si="444"/>
        <v/>
      </c>
      <c r="BP514" s="14"/>
      <c r="BQ514" s="125" t="str">
        <f t="shared" si="445"/>
        <v/>
      </c>
      <c r="BR514" s="24"/>
      <c r="BS514" s="24"/>
      <c r="BT514" s="125" t="str">
        <f t="shared" si="446"/>
        <v/>
      </c>
      <c r="BU514" s="125" t="str">
        <f t="shared" si="447"/>
        <v/>
      </c>
      <c r="BV514" s="125" t="str">
        <f t="shared" si="448"/>
        <v/>
      </c>
      <c r="BW514" s="129" t="str">
        <f t="shared" si="449"/>
        <v/>
      </c>
      <c r="BX514" s="9"/>
      <c r="BY514" s="9"/>
      <c r="BZ514" s="9"/>
      <c r="CA514" s="117" t="str">
        <f>IF(_xlfn.XLOOKUP(BY514, AutoFill_classes!$A:$A, AutoFill_classes!$B:$B,"")=0,"",_xlfn.XLOOKUP(BY514, AutoFill_classes!$A:$A, AutoFill_classes!$B:$B,""))</f>
        <v/>
      </c>
      <c r="CB514" s="108"/>
      <c r="CC514" s="9"/>
      <c r="CD514" s="9"/>
      <c r="CE514" s="9"/>
      <c r="CF514" s="4"/>
      <c r="CG514" s="25"/>
      <c r="CH514" s="64"/>
      <c r="CI514" s="27"/>
      <c r="CJ514" s="121" t="str">
        <f t="shared" si="450"/>
        <v/>
      </c>
      <c r="CK514" s="20"/>
      <c r="CL514" s="20"/>
      <c r="CM514" s="24"/>
      <c r="CN514" s="24"/>
      <c r="CO514" s="125" t="str">
        <f t="shared" si="451"/>
        <v/>
      </c>
      <c r="CP514" s="14"/>
      <c r="CQ514" s="125" t="str">
        <f t="shared" si="452"/>
        <v/>
      </c>
      <c r="CR514" s="24"/>
      <c r="CS514" s="24"/>
      <c r="CT514" s="125" t="str">
        <f t="shared" si="453"/>
        <v/>
      </c>
      <c r="CU514" s="14"/>
      <c r="CV514" s="125" t="str">
        <f t="shared" si="454"/>
        <v/>
      </c>
      <c r="CW514" s="24"/>
      <c r="CX514" s="24"/>
      <c r="CY514" s="125" t="str">
        <f t="shared" si="455"/>
        <v/>
      </c>
      <c r="CZ514" s="125" t="str">
        <f t="shared" si="456"/>
        <v/>
      </c>
      <c r="DA514" s="125" t="str">
        <f t="shared" si="457"/>
        <v/>
      </c>
      <c r="DB514" s="129" t="str">
        <f t="shared" si="458"/>
        <v/>
      </c>
      <c r="DC514" s="9"/>
      <c r="DD514" s="65"/>
      <c r="DE514" s="105">
        <v>510</v>
      </c>
    </row>
    <row r="515" spans="1:109" outlineLevel="1" x14ac:dyDescent="0.2">
      <c r="A515" s="4"/>
      <c r="B515" s="115" t="str">
        <f>IF(_xlfn.XLOOKUP(A515, AutoFill_names!B:B, AutoFill_names!C:C,"")=0,"",_xlfn.XLOOKUP(A515, AutoFill_names!B:B, AutoFill_names!C:C,""))</f>
        <v/>
      </c>
      <c r="C515" s="115" t="str">
        <f>IF(_xlfn.XLOOKUP(A515, AutoFill_names!B:B, AutoFill_names!D:D,"")=0,"",_xlfn.XLOOKUP(A515, AutoFill_names!B:B, AutoFill_names!D:D,""))</f>
        <v/>
      </c>
      <c r="D515" s="115" t="str">
        <f>IF(_xlfn.XLOOKUP(A515, AutoFill_names!B:B, AutoFill_names!E:E,"")=0,"",_xlfn.XLOOKUP(A515, AutoFill_names!B:B, AutoFill_names!E:E,""))</f>
        <v/>
      </c>
      <c r="E515" s="115" t="str">
        <f>IF(_xlfn.XLOOKUP(A515, AutoFill_names!B:B, AutoFill_names!F:F,"")=0,"",_xlfn.XLOOKUP(A515, AutoFill_names!B:B, AutoFill_names!F:F,""))</f>
        <v/>
      </c>
      <c r="F515" s="92"/>
      <c r="G515" s="1"/>
      <c r="H515" s="1"/>
      <c r="I515" s="1"/>
      <c r="J515" s="115" t="str">
        <f>IF(_xlfn.XLOOKUP(A515, AutoFill_names!B:B, AutoFill_names!K:K,"")=0,"",_xlfn.XLOOKUP(A515, AutoFill_names!B:B, AutoFill_names!K:K,""))</f>
        <v/>
      </c>
      <c r="K515" s="115" t="str">
        <f>IF(_xlfn.XLOOKUP(A515, AutoFill_names!B:B, AutoFill_names!L:L,"")=0,"",_xlfn.XLOOKUP(A515, AutoFill_names!B:B, AutoFill_names!L:L,""))</f>
        <v/>
      </c>
      <c r="L515" s="5"/>
      <c r="M515" s="5"/>
      <c r="N515" s="117" t="str">
        <f>IF(_xlfn.XLOOKUP(L515, AutoFill_classes!A:A, AutoFill_classes!B:B,"")=0,"",_xlfn.XLOOKUP(L515, AutoFill_classes!A:A, AutoFill_classes!B:B,""))</f>
        <v/>
      </c>
      <c r="O515" s="108"/>
      <c r="P515" s="8"/>
      <c r="Q515" s="8"/>
      <c r="R515" s="8"/>
      <c r="S515" s="4"/>
      <c r="T515" s="4"/>
      <c r="U515" s="4"/>
      <c r="V515" s="4"/>
      <c r="W515" s="4"/>
      <c r="X515" s="64"/>
      <c r="Y515" s="25"/>
      <c r="Z515" s="121" t="str">
        <f t="shared" si="432"/>
        <v/>
      </c>
      <c r="AA515" s="26"/>
      <c r="AB515" s="26"/>
      <c r="AC515" s="28"/>
      <c r="AD515" s="28"/>
      <c r="AE515" s="125" t="str">
        <f t="shared" si="433"/>
        <v/>
      </c>
      <c r="AF515" s="9"/>
      <c r="AG515" s="125" t="str">
        <f t="shared" si="434"/>
        <v/>
      </c>
      <c r="AH515" s="28"/>
      <c r="AI515" s="28"/>
      <c r="AJ515" s="125" t="str">
        <f t="shared" si="435"/>
        <v/>
      </c>
      <c r="AK515" s="9"/>
      <c r="AL515" s="125" t="str">
        <f t="shared" si="436"/>
        <v/>
      </c>
      <c r="AM515" s="28"/>
      <c r="AN515" s="28"/>
      <c r="AO515" s="125" t="str">
        <f t="shared" si="437"/>
        <v/>
      </c>
      <c r="AP515" s="125" t="str">
        <f t="shared" si="438"/>
        <v/>
      </c>
      <c r="AQ515" s="125" t="str">
        <f t="shared" si="439"/>
        <v/>
      </c>
      <c r="AR515" s="129" t="str">
        <f t="shared" si="440"/>
        <v/>
      </c>
      <c r="AS515" s="9"/>
      <c r="AT515" s="34"/>
      <c r="AU515" s="34"/>
      <c r="AV515" s="117" t="str">
        <f>IF(_xlfn.XLOOKUP(AT515, AutoFill_classes!$A:$A, AutoFill_classes!$B:$B,"")=0,"",_xlfn.XLOOKUP(AT515, AutoFill_classes!$A:$A, AutoFill_classes!$B:$B,""))</f>
        <v/>
      </c>
      <c r="AW515" s="108"/>
      <c r="AX515" s="9"/>
      <c r="AY515" s="10"/>
      <c r="AZ515" s="9"/>
      <c r="BA515" s="10"/>
      <c r="BB515" s="10"/>
      <c r="BC515" s="64"/>
      <c r="BD515" s="25"/>
      <c r="BE515" s="121" t="str">
        <f t="shared" si="441"/>
        <v/>
      </c>
      <c r="BF515" s="20"/>
      <c r="BG515" s="20"/>
      <c r="BH515" s="24"/>
      <c r="BI515" s="24"/>
      <c r="BJ515" s="125" t="str">
        <f t="shared" si="442"/>
        <v/>
      </c>
      <c r="BK515" s="14"/>
      <c r="BL515" s="125" t="str">
        <f t="shared" si="443"/>
        <v/>
      </c>
      <c r="BM515" s="24"/>
      <c r="BN515" s="24"/>
      <c r="BO515" s="125" t="str">
        <f t="shared" si="444"/>
        <v/>
      </c>
      <c r="BP515" s="14"/>
      <c r="BQ515" s="125" t="str">
        <f t="shared" si="445"/>
        <v/>
      </c>
      <c r="BR515" s="24"/>
      <c r="BS515" s="24"/>
      <c r="BT515" s="125" t="str">
        <f t="shared" si="446"/>
        <v/>
      </c>
      <c r="BU515" s="125" t="str">
        <f t="shared" si="447"/>
        <v/>
      </c>
      <c r="BV515" s="125" t="str">
        <f t="shared" si="448"/>
        <v/>
      </c>
      <c r="BW515" s="129" t="str">
        <f t="shared" si="449"/>
        <v/>
      </c>
      <c r="BX515" s="9"/>
      <c r="BY515" s="9"/>
      <c r="BZ515" s="9"/>
      <c r="CA515" s="117" t="str">
        <f>IF(_xlfn.XLOOKUP(BY515, AutoFill_classes!$A:$A, AutoFill_classes!$B:$B,"")=0,"",_xlfn.XLOOKUP(BY515, AutoFill_classes!$A:$A, AutoFill_classes!$B:$B,""))</f>
        <v/>
      </c>
      <c r="CB515" s="108"/>
      <c r="CC515" s="9"/>
      <c r="CD515" s="9"/>
      <c r="CE515" s="9"/>
      <c r="CF515" s="4"/>
      <c r="CG515" s="25"/>
      <c r="CH515" s="64"/>
      <c r="CI515" s="27"/>
      <c r="CJ515" s="121" t="str">
        <f t="shared" si="450"/>
        <v/>
      </c>
      <c r="CK515" s="20"/>
      <c r="CL515" s="20"/>
      <c r="CM515" s="24"/>
      <c r="CN515" s="24"/>
      <c r="CO515" s="125" t="str">
        <f t="shared" si="451"/>
        <v/>
      </c>
      <c r="CP515" s="14"/>
      <c r="CQ515" s="125" t="str">
        <f t="shared" si="452"/>
        <v/>
      </c>
      <c r="CR515" s="24"/>
      <c r="CS515" s="24"/>
      <c r="CT515" s="125" t="str">
        <f t="shared" si="453"/>
        <v/>
      </c>
      <c r="CU515" s="14"/>
      <c r="CV515" s="125" t="str">
        <f t="shared" si="454"/>
        <v/>
      </c>
      <c r="CW515" s="24"/>
      <c r="CX515" s="24"/>
      <c r="CY515" s="125" t="str">
        <f t="shared" si="455"/>
        <v/>
      </c>
      <c r="CZ515" s="125" t="str">
        <f t="shared" si="456"/>
        <v/>
      </c>
      <c r="DA515" s="125" t="str">
        <f t="shared" si="457"/>
        <v/>
      </c>
      <c r="DB515" s="129" t="str">
        <f t="shared" si="458"/>
        <v/>
      </c>
      <c r="DC515" s="9"/>
      <c r="DD515" s="65"/>
      <c r="DE515" s="105">
        <v>511</v>
      </c>
    </row>
    <row r="516" spans="1:109" outlineLevel="1" x14ac:dyDescent="0.2">
      <c r="A516" s="4"/>
      <c r="B516" s="115" t="str">
        <f>IF(_xlfn.XLOOKUP(A516, AutoFill_names!B:B, AutoFill_names!C:C,"")=0,"",_xlfn.XLOOKUP(A516, AutoFill_names!B:B, AutoFill_names!C:C,""))</f>
        <v/>
      </c>
      <c r="C516" s="115" t="str">
        <f>IF(_xlfn.XLOOKUP(A516, AutoFill_names!B:B, AutoFill_names!D:D,"")=0,"",_xlfn.XLOOKUP(A516, AutoFill_names!B:B, AutoFill_names!D:D,""))</f>
        <v/>
      </c>
      <c r="D516" s="115" t="str">
        <f>IF(_xlfn.XLOOKUP(A516, AutoFill_names!B:B, AutoFill_names!E:E,"")=0,"",_xlfn.XLOOKUP(A516, AutoFill_names!B:B, AutoFill_names!E:E,""))</f>
        <v/>
      </c>
      <c r="E516" s="115" t="str">
        <f>IF(_xlfn.XLOOKUP(A516, AutoFill_names!B:B, AutoFill_names!F:F,"")=0,"",_xlfn.XLOOKUP(A516, AutoFill_names!B:B, AutoFill_names!F:F,""))</f>
        <v/>
      </c>
      <c r="F516" s="92"/>
      <c r="G516" s="1"/>
      <c r="H516" s="1"/>
      <c r="I516" s="1"/>
      <c r="J516" s="115" t="str">
        <f>IF(_xlfn.XLOOKUP(A516, AutoFill_names!B:B, AutoFill_names!K:K,"")=0,"",_xlfn.XLOOKUP(A516, AutoFill_names!B:B, AutoFill_names!K:K,""))</f>
        <v/>
      </c>
      <c r="K516" s="115" t="str">
        <f>IF(_xlfn.XLOOKUP(A516, AutoFill_names!B:B, AutoFill_names!L:L,"")=0,"",_xlfn.XLOOKUP(A516, AutoFill_names!B:B, AutoFill_names!L:L,""))</f>
        <v/>
      </c>
      <c r="L516" s="5"/>
      <c r="M516" s="5"/>
      <c r="N516" s="117" t="str">
        <f>IF(_xlfn.XLOOKUP(L516, AutoFill_classes!A:A, AutoFill_classes!B:B,"")=0,"",_xlfn.XLOOKUP(L516, AutoFill_classes!A:A, AutoFill_classes!B:B,""))</f>
        <v/>
      </c>
      <c r="O516" s="108"/>
      <c r="P516" s="8"/>
      <c r="Q516" s="8"/>
      <c r="R516" s="8"/>
      <c r="S516" s="4"/>
      <c r="T516" s="4"/>
      <c r="U516" s="4"/>
      <c r="V516" s="4"/>
      <c r="W516" s="4"/>
      <c r="X516" s="64"/>
      <c r="Y516" s="25"/>
      <c r="Z516" s="121" t="str">
        <f t="shared" si="432"/>
        <v/>
      </c>
      <c r="AA516" s="26"/>
      <c r="AB516" s="26"/>
      <c r="AC516" s="28"/>
      <c r="AD516" s="28"/>
      <c r="AE516" s="125" t="str">
        <f t="shared" si="433"/>
        <v/>
      </c>
      <c r="AF516" s="9"/>
      <c r="AG516" s="125" t="str">
        <f t="shared" si="434"/>
        <v/>
      </c>
      <c r="AH516" s="28"/>
      <c r="AI516" s="28"/>
      <c r="AJ516" s="125" t="str">
        <f t="shared" si="435"/>
        <v/>
      </c>
      <c r="AK516" s="9"/>
      <c r="AL516" s="125" t="str">
        <f t="shared" si="436"/>
        <v/>
      </c>
      <c r="AM516" s="28"/>
      <c r="AN516" s="28"/>
      <c r="AO516" s="125" t="str">
        <f t="shared" si="437"/>
        <v/>
      </c>
      <c r="AP516" s="125" t="str">
        <f t="shared" si="438"/>
        <v/>
      </c>
      <c r="AQ516" s="125" t="str">
        <f t="shared" si="439"/>
        <v/>
      </c>
      <c r="AR516" s="129" t="str">
        <f t="shared" si="440"/>
        <v/>
      </c>
      <c r="AS516" s="9"/>
      <c r="AT516" s="34"/>
      <c r="AU516" s="34"/>
      <c r="AV516" s="117" t="str">
        <f>IF(_xlfn.XLOOKUP(AT516, AutoFill_classes!$A:$A, AutoFill_classes!$B:$B,"")=0,"",_xlfn.XLOOKUP(AT516, AutoFill_classes!$A:$A, AutoFill_classes!$B:$B,""))</f>
        <v/>
      </c>
      <c r="AW516" s="108"/>
      <c r="AX516" s="9"/>
      <c r="AY516" s="10"/>
      <c r="AZ516" s="9"/>
      <c r="BA516" s="10"/>
      <c r="BB516" s="10"/>
      <c r="BC516" s="64"/>
      <c r="BD516" s="25"/>
      <c r="BE516" s="121" t="str">
        <f t="shared" si="441"/>
        <v/>
      </c>
      <c r="BF516" s="20"/>
      <c r="BG516" s="20"/>
      <c r="BH516" s="24"/>
      <c r="BI516" s="24"/>
      <c r="BJ516" s="125" t="str">
        <f t="shared" si="442"/>
        <v/>
      </c>
      <c r="BK516" s="14"/>
      <c r="BL516" s="125" t="str">
        <f t="shared" si="443"/>
        <v/>
      </c>
      <c r="BM516" s="24"/>
      <c r="BN516" s="24"/>
      <c r="BO516" s="125" t="str">
        <f t="shared" si="444"/>
        <v/>
      </c>
      <c r="BP516" s="14"/>
      <c r="BQ516" s="125" t="str">
        <f t="shared" si="445"/>
        <v/>
      </c>
      <c r="BR516" s="24"/>
      <c r="BS516" s="24"/>
      <c r="BT516" s="125" t="str">
        <f t="shared" si="446"/>
        <v/>
      </c>
      <c r="BU516" s="125" t="str">
        <f t="shared" si="447"/>
        <v/>
      </c>
      <c r="BV516" s="125" t="str">
        <f t="shared" si="448"/>
        <v/>
      </c>
      <c r="BW516" s="129" t="str">
        <f t="shared" si="449"/>
        <v/>
      </c>
      <c r="BX516" s="9"/>
      <c r="BY516" s="9"/>
      <c r="BZ516" s="9"/>
      <c r="CA516" s="117" t="str">
        <f>IF(_xlfn.XLOOKUP(BY516, AutoFill_classes!$A:$A, AutoFill_classes!$B:$B,"")=0,"",_xlfn.XLOOKUP(BY516, AutoFill_classes!$A:$A, AutoFill_classes!$B:$B,""))</f>
        <v/>
      </c>
      <c r="CB516" s="108"/>
      <c r="CC516" s="9"/>
      <c r="CD516" s="9"/>
      <c r="CE516" s="9"/>
      <c r="CF516" s="4"/>
      <c r="CG516" s="25"/>
      <c r="CH516" s="64"/>
      <c r="CI516" s="27"/>
      <c r="CJ516" s="121" t="str">
        <f t="shared" si="450"/>
        <v/>
      </c>
      <c r="CK516" s="20"/>
      <c r="CL516" s="20"/>
      <c r="CM516" s="24"/>
      <c r="CN516" s="24"/>
      <c r="CO516" s="125" t="str">
        <f t="shared" si="451"/>
        <v/>
      </c>
      <c r="CP516" s="14"/>
      <c r="CQ516" s="125" t="str">
        <f t="shared" si="452"/>
        <v/>
      </c>
      <c r="CR516" s="24"/>
      <c r="CS516" s="24"/>
      <c r="CT516" s="125" t="str">
        <f t="shared" si="453"/>
        <v/>
      </c>
      <c r="CU516" s="14"/>
      <c r="CV516" s="125" t="str">
        <f t="shared" si="454"/>
        <v/>
      </c>
      <c r="CW516" s="24"/>
      <c r="CX516" s="24"/>
      <c r="CY516" s="125" t="str">
        <f t="shared" si="455"/>
        <v/>
      </c>
      <c r="CZ516" s="125" t="str">
        <f t="shared" si="456"/>
        <v/>
      </c>
      <c r="DA516" s="125" t="str">
        <f t="shared" si="457"/>
        <v/>
      </c>
      <c r="DB516" s="129" t="str">
        <f t="shared" si="458"/>
        <v/>
      </c>
      <c r="DC516" s="9"/>
      <c r="DD516" s="65"/>
      <c r="DE516" s="105">
        <v>512</v>
      </c>
    </row>
    <row r="517" spans="1:109" outlineLevel="1" x14ac:dyDescent="0.2">
      <c r="A517" s="4"/>
      <c r="B517" s="115" t="str">
        <f>IF(_xlfn.XLOOKUP(A517, AutoFill_names!B:B, AutoFill_names!C:C,"")=0,"",_xlfn.XLOOKUP(A517, AutoFill_names!B:B, AutoFill_names!C:C,""))</f>
        <v/>
      </c>
      <c r="C517" s="115" t="str">
        <f>IF(_xlfn.XLOOKUP(A517, AutoFill_names!B:B, AutoFill_names!D:D,"")=0,"",_xlfn.XLOOKUP(A517, AutoFill_names!B:B, AutoFill_names!D:D,""))</f>
        <v/>
      </c>
      <c r="D517" s="115" t="str">
        <f>IF(_xlfn.XLOOKUP(A517, AutoFill_names!B:B, AutoFill_names!E:E,"")=0,"",_xlfn.XLOOKUP(A517, AutoFill_names!B:B, AutoFill_names!E:E,""))</f>
        <v/>
      </c>
      <c r="E517" s="115" t="str">
        <f>IF(_xlfn.XLOOKUP(A517, AutoFill_names!B:B, AutoFill_names!F:F,"")=0,"",_xlfn.XLOOKUP(A517, AutoFill_names!B:B, AutoFill_names!F:F,""))</f>
        <v/>
      </c>
      <c r="F517" s="92"/>
      <c r="G517" s="1"/>
      <c r="H517" s="1"/>
      <c r="I517" s="1"/>
      <c r="J517" s="115" t="str">
        <f>IF(_xlfn.XLOOKUP(A517, AutoFill_names!B:B, AutoFill_names!K:K,"")=0,"",_xlfn.XLOOKUP(A517, AutoFill_names!B:B, AutoFill_names!K:K,""))</f>
        <v/>
      </c>
      <c r="K517" s="115" t="str">
        <f>IF(_xlfn.XLOOKUP(A517, AutoFill_names!B:B, AutoFill_names!L:L,"")=0,"",_xlfn.XLOOKUP(A517, AutoFill_names!B:B, AutoFill_names!L:L,""))</f>
        <v/>
      </c>
      <c r="L517" s="5"/>
      <c r="M517" s="5"/>
      <c r="N517" s="117" t="str">
        <f>IF(_xlfn.XLOOKUP(L517, AutoFill_classes!A:A, AutoFill_classes!B:B,"")=0,"",_xlfn.XLOOKUP(L517, AutoFill_classes!A:A, AutoFill_classes!B:B,""))</f>
        <v/>
      </c>
      <c r="O517" s="108"/>
      <c r="P517" s="8"/>
      <c r="Q517" s="8"/>
      <c r="R517" s="8"/>
      <c r="S517" s="4"/>
      <c r="T517" s="4"/>
      <c r="U517" s="4"/>
      <c r="V517" s="4"/>
      <c r="W517" s="4"/>
      <c r="X517" s="64"/>
      <c r="Y517" s="25"/>
      <c r="Z517" s="121" t="str">
        <f t="shared" si="432"/>
        <v/>
      </c>
      <c r="AA517" s="26"/>
      <c r="AB517" s="26"/>
      <c r="AC517" s="28"/>
      <c r="AD517" s="28"/>
      <c r="AE517" s="125" t="str">
        <f t="shared" si="433"/>
        <v/>
      </c>
      <c r="AF517" s="9"/>
      <c r="AG517" s="125" t="str">
        <f t="shared" si="434"/>
        <v/>
      </c>
      <c r="AH517" s="28"/>
      <c r="AI517" s="28"/>
      <c r="AJ517" s="125" t="str">
        <f t="shared" si="435"/>
        <v/>
      </c>
      <c r="AK517" s="9"/>
      <c r="AL517" s="125" t="str">
        <f t="shared" si="436"/>
        <v/>
      </c>
      <c r="AM517" s="28"/>
      <c r="AN517" s="28"/>
      <c r="AO517" s="125" t="str">
        <f t="shared" si="437"/>
        <v/>
      </c>
      <c r="AP517" s="125" t="str">
        <f t="shared" si="438"/>
        <v/>
      </c>
      <c r="AQ517" s="125" t="str">
        <f t="shared" si="439"/>
        <v/>
      </c>
      <c r="AR517" s="129" t="str">
        <f t="shared" si="440"/>
        <v/>
      </c>
      <c r="AS517" s="9"/>
      <c r="AT517" s="34"/>
      <c r="AU517" s="34"/>
      <c r="AV517" s="117" t="str">
        <f>IF(_xlfn.XLOOKUP(AT517, AutoFill_classes!$A:$A, AutoFill_classes!$B:$B,"")=0,"",_xlfn.XLOOKUP(AT517, AutoFill_classes!$A:$A, AutoFill_classes!$B:$B,""))</f>
        <v/>
      </c>
      <c r="AW517" s="108"/>
      <c r="AX517" s="9"/>
      <c r="AY517" s="10"/>
      <c r="AZ517" s="9"/>
      <c r="BA517" s="10"/>
      <c r="BB517" s="10"/>
      <c r="BC517" s="64"/>
      <c r="BD517" s="25"/>
      <c r="BE517" s="121" t="str">
        <f t="shared" si="441"/>
        <v/>
      </c>
      <c r="BF517" s="20"/>
      <c r="BG517" s="20"/>
      <c r="BH517" s="24"/>
      <c r="BI517" s="24"/>
      <c r="BJ517" s="125" t="str">
        <f t="shared" si="442"/>
        <v/>
      </c>
      <c r="BK517" s="14"/>
      <c r="BL517" s="125" t="str">
        <f t="shared" si="443"/>
        <v/>
      </c>
      <c r="BM517" s="24"/>
      <c r="BN517" s="24"/>
      <c r="BO517" s="125" t="str">
        <f t="shared" si="444"/>
        <v/>
      </c>
      <c r="BP517" s="14"/>
      <c r="BQ517" s="125" t="str">
        <f t="shared" si="445"/>
        <v/>
      </c>
      <c r="BR517" s="24"/>
      <c r="BS517" s="24"/>
      <c r="BT517" s="125" t="str">
        <f t="shared" si="446"/>
        <v/>
      </c>
      <c r="BU517" s="125" t="str">
        <f t="shared" si="447"/>
        <v/>
      </c>
      <c r="BV517" s="125" t="str">
        <f t="shared" si="448"/>
        <v/>
      </c>
      <c r="BW517" s="129" t="str">
        <f t="shared" si="449"/>
        <v/>
      </c>
      <c r="BX517" s="9"/>
      <c r="BY517" s="9"/>
      <c r="BZ517" s="9"/>
      <c r="CA517" s="117" t="str">
        <f>IF(_xlfn.XLOOKUP(BY517, AutoFill_classes!$A:$A, AutoFill_classes!$B:$B,"")=0,"",_xlfn.XLOOKUP(BY517, AutoFill_classes!$A:$A, AutoFill_classes!$B:$B,""))</f>
        <v/>
      </c>
      <c r="CB517" s="108"/>
      <c r="CC517" s="9"/>
      <c r="CD517" s="9"/>
      <c r="CE517" s="9"/>
      <c r="CF517" s="4"/>
      <c r="CG517" s="25"/>
      <c r="CH517" s="64"/>
      <c r="CI517" s="27"/>
      <c r="CJ517" s="121" t="str">
        <f t="shared" si="450"/>
        <v/>
      </c>
      <c r="CK517" s="20"/>
      <c r="CL517" s="20"/>
      <c r="CM517" s="24"/>
      <c r="CN517" s="24"/>
      <c r="CO517" s="125" t="str">
        <f t="shared" si="451"/>
        <v/>
      </c>
      <c r="CP517" s="14"/>
      <c r="CQ517" s="125" t="str">
        <f t="shared" si="452"/>
        <v/>
      </c>
      <c r="CR517" s="24"/>
      <c r="CS517" s="24"/>
      <c r="CT517" s="125" t="str">
        <f t="shared" si="453"/>
        <v/>
      </c>
      <c r="CU517" s="14"/>
      <c r="CV517" s="125" t="str">
        <f t="shared" si="454"/>
        <v/>
      </c>
      <c r="CW517" s="24"/>
      <c r="CX517" s="24"/>
      <c r="CY517" s="125" t="str">
        <f t="shared" si="455"/>
        <v/>
      </c>
      <c r="CZ517" s="125" t="str">
        <f t="shared" si="456"/>
        <v/>
      </c>
      <c r="DA517" s="125" t="str">
        <f t="shared" si="457"/>
        <v/>
      </c>
      <c r="DB517" s="129" t="str">
        <f t="shared" si="458"/>
        <v/>
      </c>
      <c r="DC517" s="9"/>
      <c r="DD517" s="65"/>
      <c r="DE517" s="105">
        <v>513</v>
      </c>
    </row>
    <row r="518" spans="1:109" outlineLevel="1" x14ac:dyDescent="0.2">
      <c r="A518" s="4"/>
      <c r="B518" s="115" t="str">
        <f>IF(_xlfn.XLOOKUP(A518, AutoFill_names!B:B, AutoFill_names!C:C,"")=0,"",_xlfn.XLOOKUP(A518, AutoFill_names!B:B, AutoFill_names!C:C,""))</f>
        <v/>
      </c>
      <c r="C518" s="115" t="str">
        <f>IF(_xlfn.XLOOKUP(A518, AutoFill_names!B:B, AutoFill_names!D:D,"")=0,"",_xlfn.XLOOKUP(A518, AutoFill_names!B:B, AutoFill_names!D:D,""))</f>
        <v/>
      </c>
      <c r="D518" s="115" t="str">
        <f>IF(_xlfn.XLOOKUP(A518, AutoFill_names!B:B, AutoFill_names!E:E,"")=0,"",_xlfn.XLOOKUP(A518, AutoFill_names!B:B, AutoFill_names!E:E,""))</f>
        <v/>
      </c>
      <c r="E518" s="115" t="str">
        <f>IF(_xlfn.XLOOKUP(A518, AutoFill_names!B:B, AutoFill_names!F:F,"")=0,"",_xlfn.XLOOKUP(A518, AutoFill_names!B:B, AutoFill_names!F:F,""))</f>
        <v/>
      </c>
      <c r="F518" s="92"/>
      <c r="G518" s="1"/>
      <c r="H518" s="1"/>
      <c r="I518" s="1"/>
      <c r="J518" s="115" t="str">
        <f>IF(_xlfn.XLOOKUP(A518, AutoFill_names!B:B, AutoFill_names!K:K,"")=0,"",_xlfn.XLOOKUP(A518, AutoFill_names!B:B, AutoFill_names!K:K,""))</f>
        <v/>
      </c>
      <c r="K518" s="115" t="str">
        <f>IF(_xlfn.XLOOKUP(A518, AutoFill_names!B:B, AutoFill_names!L:L,"")=0,"",_xlfn.XLOOKUP(A518, AutoFill_names!B:B, AutoFill_names!L:L,""))</f>
        <v/>
      </c>
      <c r="L518" s="5"/>
      <c r="M518" s="5"/>
      <c r="N518" s="117" t="str">
        <f>IF(_xlfn.XLOOKUP(L518, AutoFill_classes!A:A, AutoFill_classes!B:B,"")=0,"",_xlfn.XLOOKUP(L518, AutoFill_classes!A:A, AutoFill_classes!B:B,""))</f>
        <v/>
      </c>
      <c r="O518" s="108"/>
      <c r="P518" s="8"/>
      <c r="Q518" s="8"/>
      <c r="R518" s="8"/>
      <c r="S518" s="4"/>
      <c r="T518" s="4"/>
      <c r="U518" s="4"/>
      <c r="V518" s="4"/>
      <c r="W518" s="4"/>
      <c r="X518" s="64"/>
      <c r="Y518" s="25"/>
      <c r="Z518" s="121" t="str">
        <f t="shared" si="432"/>
        <v/>
      </c>
      <c r="AA518" s="26"/>
      <c r="AB518" s="26"/>
      <c r="AC518" s="28"/>
      <c r="AD518" s="28"/>
      <c r="AE518" s="125" t="str">
        <f t="shared" si="433"/>
        <v/>
      </c>
      <c r="AF518" s="9"/>
      <c r="AG518" s="125" t="str">
        <f t="shared" si="434"/>
        <v/>
      </c>
      <c r="AH518" s="28"/>
      <c r="AI518" s="28"/>
      <c r="AJ518" s="125" t="str">
        <f t="shared" si="435"/>
        <v/>
      </c>
      <c r="AK518" s="9"/>
      <c r="AL518" s="125" t="str">
        <f t="shared" si="436"/>
        <v/>
      </c>
      <c r="AM518" s="28"/>
      <c r="AN518" s="28"/>
      <c r="AO518" s="125" t="str">
        <f t="shared" si="437"/>
        <v/>
      </c>
      <c r="AP518" s="125" t="str">
        <f t="shared" si="438"/>
        <v/>
      </c>
      <c r="AQ518" s="125" t="str">
        <f t="shared" si="439"/>
        <v/>
      </c>
      <c r="AR518" s="129" t="str">
        <f t="shared" si="440"/>
        <v/>
      </c>
      <c r="AS518" s="9"/>
      <c r="AT518" s="34"/>
      <c r="AU518" s="34"/>
      <c r="AV518" s="117" t="str">
        <f>IF(_xlfn.XLOOKUP(AT518, AutoFill_classes!$A:$A, AutoFill_classes!$B:$B,"")=0,"",_xlfn.XLOOKUP(AT518, AutoFill_classes!$A:$A, AutoFill_classes!$B:$B,""))</f>
        <v/>
      </c>
      <c r="AW518" s="108"/>
      <c r="AX518" s="9"/>
      <c r="AY518" s="10"/>
      <c r="AZ518" s="9"/>
      <c r="BA518" s="10"/>
      <c r="BB518" s="10"/>
      <c r="BC518" s="64"/>
      <c r="BD518" s="25"/>
      <c r="BE518" s="121" t="str">
        <f t="shared" si="441"/>
        <v/>
      </c>
      <c r="BF518" s="20"/>
      <c r="BG518" s="20"/>
      <c r="BH518" s="24"/>
      <c r="BI518" s="24"/>
      <c r="BJ518" s="125" t="str">
        <f t="shared" si="442"/>
        <v/>
      </c>
      <c r="BK518" s="14"/>
      <c r="BL518" s="125" t="str">
        <f t="shared" si="443"/>
        <v/>
      </c>
      <c r="BM518" s="24"/>
      <c r="BN518" s="24"/>
      <c r="BO518" s="125" t="str">
        <f t="shared" si="444"/>
        <v/>
      </c>
      <c r="BP518" s="14"/>
      <c r="BQ518" s="125" t="str">
        <f t="shared" si="445"/>
        <v/>
      </c>
      <c r="BR518" s="24"/>
      <c r="BS518" s="24"/>
      <c r="BT518" s="125" t="str">
        <f t="shared" si="446"/>
        <v/>
      </c>
      <c r="BU518" s="125" t="str">
        <f t="shared" si="447"/>
        <v/>
      </c>
      <c r="BV518" s="125" t="str">
        <f t="shared" si="448"/>
        <v/>
      </c>
      <c r="BW518" s="129" t="str">
        <f t="shared" si="449"/>
        <v/>
      </c>
      <c r="BX518" s="9"/>
      <c r="BY518" s="9"/>
      <c r="BZ518" s="9"/>
      <c r="CA518" s="117" t="str">
        <f>IF(_xlfn.XLOOKUP(BY518, AutoFill_classes!$A:$A, AutoFill_classes!$B:$B,"")=0,"",_xlfn.XLOOKUP(BY518, AutoFill_classes!$A:$A, AutoFill_classes!$B:$B,""))</f>
        <v/>
      </c>
      <c r="CB518" s="108"/>
      <c r="CC518" s="9"/>
      <c r="CD518" s="9"/>
      <c r="CE518" s="9"/>
      <c r="CF518" s="4"/>
      <c r="CG518" s="25"/>
      <c r="CH518" s="64"/>
      <c r="CI518" s="27"/>
      <c r="CJ518" s="121" t="str">
        <f t="shared" si="450"/>
        <v/>
      </c>
      <c r="CK518" s="20"/>
      <c r="CL518" s="20"/>
      <c r="CM518" s="24"/>
      <c r="CN518" s="24"/>
      <c r="CO518" s="125" t="str">
        <f t="shared" si="451"/>
        <v/>
      </c>
      <c r="CP518" s="14"/>
      <c r="CQ518" s="125" t="str">
        <f t="shared" si="452"/>
        <v/>
      </c>
      <c r="CR518" s="24"/>
      <c r="CS518" s="24"/>
      <c r="CT518" s="125" t="str">
        <f t="shared" si="453"/>
        <v/>
      </c>
      <c r="CU518" s="14"/>
      <c r="CV518" s="125" t="str">
        <f t="shared" si="454"/>
        <v/>
      </c>
      <c r="CW518" s="24"/>
      <c r="CX518" s="24"/>
      <c r="CY518" s="125" t="str">
        <f t="shared" si="455"/>
        <v/>
      </c>
      <c r="CZ518" s="125" t="str">
        <f t="shared" si="456"/>
        <v/>
      </c>
      <c r="DA518" s="125" t="str">
        <f t="shared" si="457"/>
        <v/>
      </c>
      <c r="DB518" s="129" t="str">
        <f t="shared" si="458"/>
        <v/>
      </c>
      <c r="DC518" s="9"/>
      <c r="DD518" s="65"/>
      <c r="DE518" s="105">
        <v>514</v>
      </c>
    </row>
    <row r="519" spans="1:109" outlineLevel="1" x14ac:dyDescent="0.2">
      <c r="A519" s="4"/>
      <c r="B519" s="115" t="str">
        <f>IF(_xlfn.XLOOKUP(A519, AutoFill_names!B:B, AutoFill_names!C:C,"")=0,"",_xlfn.XLOOKUP(A519, AutoFill_names!B:B, AutoFill_names!C:C,""))</f>
        <v/>
      </c>
      <c r="C519" s="115" t="str">
        <f>IF(_xlfn.XLOOKUP(A519, AutoFill_names!B:B, AutoFill_names!D:D,"")=0,"",_xlfn.XLOOKUP(A519, AutoFill_names!B:B, AutoFill_names!D:D,""))</f>
        <v/>
      </c>
      <c r="D519" s="115" t="str">
        <f>IF(_xlfn.XLOOKUP(A519, AutoFill_names!B:B, AutoFill_names!E:E,"")=0,"",_xlfn.XLOOKUP(A519, AutoFill_names!B:B, AutoFill_names!E:E,""))</f>
        <v/>
      </c>
      <c r="E519" s="115" t="str">
        <f>IF(_xlfn.XLOOKUP(A519, AutoFill_names!B:B, AutoFill_names!F:F,"")=0,"",_xlfn.XLOOKUP(A519, AutoFill_names!B:B, AutoFill_names!F:F,""))</f>
        <v/>
      </c>
      <c r="F519" s="92"/>
      <c r="G519" s="1"/>
      <c r="H519" s="1"/>
      <c r="I519" s="1"/>
      <c r="J519" s="115" t="str">
        <f>IF(_xlfn.XLOOKUP(A519, AutoFill_names!B:B, AutoFill_names!K:K,"")=0,"",_xlfn.XLOOKUP(A519, AutoFill_names!B:B, AutoFill_names!K:K,""))</f>
        <v/>
      </c>
      <c r="K519" s="115" t="str">
        <f>IF(_xlfn.XLOOKUP(A519, AutoFill_names!B:B, AutoFill_names!L:L,"")=0,"",_xlfn.XLOOKUP(A519, AutoFill_names!B:B, AutoFill_names!L:L,""))</f>
        <v/>
      </c>
      <c r="L519" s="5"/>
      <c r="M519" s="5"/>
      <c r="N519" s="117" t="str">
        <f>IF(_xlfn.XLOOKUP(L519, AutoFill_classes!A:A, AutoFill_classes!B:B,"")=0,"",_xlfn.XLOOKUP(L519, AutoFill_classes!A:A, AutoFill_classes!B:B,""))</f>
        <v/>
      </c>
      <c r="O519" s="108"/>
      <c r="P519" s="8"/>
      <c r="Q519" s="8"/>
      <c r="R519" s="8"/>
      <c r="S519" s="4"/>
      <c r="T519" s="4"/>
      <c r="U519" s="4"/>
      <c r="V519" s="4"/>
      <c r="W519" s="4"/>
      <c r="X519" s="64"/>
      <c r="Y519" s="25"/>
      <c r="Z519" s="121" t="str">
        <f t="shared" si="432"/>
        <v/>
      </c>
      <c r="AA519" s="26"/>
      <c r="AB519" s="26"/>
      <c r="AC519" s="28"/>
      <c r="AD519" s="28"/>
      <c r="AE519" s="125" t="str">
        <f t="shared" si="433"/>
        <v/>
      </c>
      <c r="AF519" s="9"/>
      <c r="AG519" s="125" t="str">
        <f t="shared" si="434"/>
        <v/>
      </c>
      <c r="AH519" s="28"/>
      <c r="AI519" s="28"/>
      <c r="AJ519" s="125" t="str">
        <f t="shared" si="435"/>
        <v/>
      </c>
      <c r="AK519" s="9"/>
      <c r="AL519" s="125" t="str">
        <f t="shared" si="436"/>
        <v/>
      </c>
      <c r="AM519" s="28"/>
      <c r="AN519" s="28"/>
      <c r="AO519" s="125" t="str">
        <f t="shared" si="437"/>
        <v/>
      </c>
      <c r="AP519" s="125" t="str">
        <f t="shared" si="438"/>
        <v/>
      </c>
      <c r="AQ519" s="125" t="str">
        <f t="shared" si="439"/>
        <v/>
      </c>
      <c r="AR519" s="129" t="str">
        <f t="shared" si="440"/>
        <v/>
      </c>
      <c r="AS519" s="9"/>
      <c r="AT519" s="34"/>
      <c r="AU519" s="34"/>
      <c r="AV519" s="117" t="str">
        <f>IF(_xlfn.XLOOKUP(AT519, AutoFill_classes!$A:$A, AutoFill_classes!$B:$B,"")=0,"",_xlfn.XLOOKUP(AT519, AutoFill_classes!$A:$A, AutoFill_classes!$B:$B,""))</f>
        <v/>
      </c>
      <c r="AW519" s="108"/>
      <c r="AX519" s="9"/>
      <c r="AY519" s="10"/>
      <c r="AZ519" s="9"/>
      <c r="BA519" s="10"/>
      <c r="BB519" s="10"/>
      <c r="BC519" s="64"/>
      <c r="BD519" s="25"/>
      <c r="BE519" s="121" t="str">
        <f t="shared" si="441"/>
        <v/>
      </c>
      <c r="BF519" s="20"/>
      <c r="BG519" s="20"/>
      <c r="BH519" s="24"/>
      <c r="BI519" s="24"/>
      <c r="BJ519" s="125" t="str">
        <f t="shared" si="442"/>
        <v/>
      </c>
      <c r="BK519" s="14"/>
      <c r="BL519" s="125" t="str">
        <f t="shared" si="443"/>
        <v/>
      </c>
      <c r="BM519" s="24"/>
      <c r="BN519" s="24"/>
      <c r="BO519" s="125" t="str">
        <f t="shared" si="444"/>
        <v/>
      </c>
      <c r="BP519" s="14"/>
      <c r="BQ519" s="125" t="str">
        <f t="shared" si="445"/>
        <v/>
      </c>
      <c r="BR519" s="24"/>
      <c r="BS519" s="24"/>
      <c r="BT519" s="125" t="str">
        <f t="shared" si="446"/>
        <v/>
      </c>
      <c r="BU519" s="125" t="str">
        <f t="shared" si="447"/>
        <v/>
      </c>
      <c r="BV519" s="125" t="str">
        <f t="shared" si="448"/>
        <v/>
      </c>
      <c r="BW519" s="129" t="str">
        <f t="shared" si="449"/>
        <v/>
      </c>
      <c r="BX519" s="9"/>
      <c r="BY519" s="9"/>
      <c r="BZ519" s="9"/>
      <c r="CA519" s="117" t="str">
        <f>IF(_xlfn.XLOOKUP(BY519, AutoFill_classes!$A:$A, AutoFill_classes!$B:$B,"")=0,"",_xlfn.XLOOKUP(BY519, AutoFill_classes!$A:$A, AutoFill_classes!$B:$B,""))</f>
        <v/>
      </c>
      <c r="CB519" s="108"/>
      <c r="CC519" s="9"/>
      <c r="CD519" s="9"/>
      <c r="CE519" s="9"/>
      <c r="CF519" s="4"/>
      <c r="CG519" s="25"/>
      <c r="CH519" s="64"/>
      <c r="CI519" s="27"/>
      <c r="CJ519" s="121" t="str">
        <f t="shared" si="450"/>
        <v/>
      </c>
      <c r="CK519" s="20"/>
      <c r="CL519" s="20"/>
      <c r="CM519" s="24"/>
      <c r="CN519" s="24"/>
      <c r="CO519" s="125" t="str">
        <f t="shared" si="451"/>
        <v/>
      </c>
      <c r="CP519" s="14"/>
      <c r="CQ519" s="125" t="str">
        <f t="shared" si="452"/>
        <v/>
      </c>
      <c r="CR519" s="24"/>
      <c r="CS519" s="24"/>
      <c r="CT519" s="125" t="str">
        <f t="shared" si="453"/>
        <v/>
      </c>
      <c r="CU519" s="14"/>
      <c r="CV519" s="125" t="str">
        <f t="shared" si="454"/>
        <v/>
      </c>
      <c r="CW519" s="24"/>
      <c r="CX519" s="24"/>
      <c r="CY519" s="125" t="str">
        <f t="shared" si="455"/>
        <v/>
      </c>
      <c r="CZ519" s="125" t="str">
        <f t="shared" si="456"/>
        <v/>
      </c>
      <c r="DA519" s="125" t="str">
        <f t="shared" si="457"/>
        <v/>
      </c>
      <c r="DB519" s="129" t="str">
        <f t="shared" si="458"/>
        <v/>
      </c>
      <c r="DC519" s="9"/>
      <c r="DD519" s="65"/>
      <c r="DE519" s="105">
        <v>515</v>
      </c>
    </row>
    <row r="520" spans="1:109" outlineLevel="1" x14ac:dyDescent="0.2">
      <c r="A520" s="4"/>
      <c r="B520" s="115" t="str">
        <f>IF(_xlfn.XLOOKUP(A520, AutoFill_names!B:B, AutoFill_names!C:C,"")=0,"",_xlfn.XLOOKUP(A520, AutoFill_names!B:B, AutoFill_names!C:C,""))</f>
        <v/>
      </c>
      <c r="C520" s="115" t="str">
        <f>IF(_xlfn.XLOOKUP(A520, AutoFill_names!B:B, AutoFill_names!D:D,"")=0,"",_xlfn.XLOOKUP(A520, AutoFill_names!B:B, AutoFill_names!D:D,""))</f>
        <v/>
      </c>
      <c r="D520" s="115" t="str">
        <f>IF(_xlfn.XLOOKUP(A520, AutoFill_names!B:B, AutoFill_names!E:E,"")=0,"",_xlfn.XLOOKUP(A520, AutoFill_names!B:B, AutoFill_names!E:E,""))</f>
        <v/>
      </c>
      <c r="E520" s="115" t="str">
        <f>IF(_xlfn.XLOOKUP(A520, AutoFill_names!B:B, AutoFill_names!F:F,"")=0,"",_xlfn.XLOOKUP(A520, AutoFill_names!B:B, AutoFill_names!F:F,""))</f>
        <v/>
      </c>
      <c r="F520" s="92"/>
      <c r="G520" s="1"/>
      <c r="H520" s="1"/>
      <c r="I520" s="1"/>
      <c r="J520" s="115" t="str">
        <f>IF(_xlfn.XLOOKUP(A520, AutoFill_names!B:B, AutoFill_names!K:K,"")=0,"",_xlfn.XLOOKUP(A520, AutoFill_names!B:B, AutoFill_names!K:K,""))</f>
        <v/>
      </c>
      <c r="K520" s="115" t="str">
        <f>IF(_xlfn.XLOOKUP(A520, AutoFill_names!B:B, AutoFill_names!L:L,"")=0,"",_xlfn.XLOOKUP(A520, AutoFill_names!B:B, AutoFill_names!L:L,""))</f>
        <v/>
      </c>
      <c r="L520" s="5"/>
      <c r="M520" s="5"/>
      <c r="N520" s="117" t="str">
        <f>IF(_xlfn.XLOOKUP(L520, AutoFill_classes!A:A, AutoFill_classes!B:B,"")=0,"",_xlfn.XLOOKUP(L520, AutoFill_classes!A:A, AutoFill_classes!B:B,""))</f>
        <v/>
      </c>
      <c r="O520" s="108"/>
      <c r="P520" s="8"/>
      <c r="Q520" s="8"/>
      <c r="R520" s="8"/>
      <c r="S520" s="4"/>
      <c r="T520" s="4"/>
      <c r="U520" s="4"/>
      <c r="V520" s="4"/>
      <c r="W520" s="4"/>
      <c r="X520" s="64"/>
      <c r="Y520" s="25"/>
      <c r="Z520" s="121" t="str">
        <f t="shared" ref="Z520:Z551" si="459">IF(X520*Y520=0,"",X520*Y520)</f>
        <v/>
      </c>
      <c r="AA520" s="26"/>
      <c r="AB520" s="26"/>
      <c r="AC520" s="28"/>
      <c r="AD520" s="28"/>
      <c r="AE520" s="125" t="str">
        <f t="shared" ref="AE520:AE551" si="460">IF(ROUNDUP((AD520-AC520)/7,0)=0,"",ROUNDUP((AD520-AC520)/7,0))</f>
        <v/>
      </c>
      <c r="AF520" s="9"/>
      <c r="AG520" s="125" t="str">
        <f t="shared" ref="AG520:AG551" si="461">IFERROR(IF(AE520*AF520=0,"",AE520*AF520), "")</f>
        <v/>
      </c>
      <c r="AH520" s="28"/>
      <c r="AI520" s="28"/>
      <c r="AJ520" s="125" t="str">
        <f t="shared" ref="AJ520:AJ551" si="462">IF(ROUNDUP((AI520-AH520)/7,0)=0,"",ROUNDUP((AI520-AH520)/7,0))</f>
        <v/>
      </c>
      <c r="AK520" s="9"/>
      <c r="AL520" s="125" t="str">
        <f t="shared" ref="AL520:AL551" si="463">IFERROR(IF(AJ520*AK520=0,"",AJ520*AK520), "")</f>
        <v/>
      </c>
      <c r="AM520" s="28"/>
      <c r="AN520" s="28"/>
      <c r="AO520" s="125" t="str">
        <f t="shared" ref="AO520:AO551" si="464">IF(ROUNDUP((AN520-AM520)/7,0)=0,"",ROUNDUP((AN520-AM520)/7,0))</f>
        <v/>
      </c>
      <c r="AP520" s="125" t="str">
        <f t="shared" ref="AP520:AP551" si="465">IFERROR(IF((AS520-(AF520+AK520))/AO520=0,"",ROUNDUP((AS520-(AF520+AK520))/AO520,0)), "")</f>
        <v/>
      </c>
      <c r="AQ520" s="125" t="str">
        <f t="shared" ref="AQ520:AQ551" si="466">IFERROR(IF((AS520-(AG520+AL520))=0, "", (AS520-(AG520+AL520))), "")</f>
        <v/>
      </c>
      <c r="AR520" s="129" t="str">
        <f t="shared" ref="AR520:AR551" si="467">IFERROR(IF((AE520+AJ520+AO520)=0, "", (AE520+AJ520+AO520)), "")</f>
        <v/>
      </c>
      <c r="AS520" s="9"/>
      <c r="AT520" s="34"/>
      <c r="AU520" s="34"/>
      <c r="AV520" s="117" t="str">
        <f>IF(_xlfn.XLOOKUP(AT520, AutoFill_classes!$A:$A, AutoFill_classes!$B:$B,"")=0,"",_xlfn.XLOOKUP(AT520, AutoFill_classes!$A:$A, AutoFill_classes!$B:$B,""))</f>
        <v/>
      </c>
      <c r="AW520" s="108"/>
      <c r="AX520" s="9"/>
      <c r="AY520" s="10"/>
      <c r="AZ520" s="9"/>
      <c r="BA520" s="10"/>
      <c r="BB520" s="10"/>
      <c r="BC520" s="64"/>
      <c r="BD520" s="25"/>
      <c r="BE520" s="121" t="str">
        <f t="shared" ref="BE520:BE551" si="468">IF(BC520*BD520=0,"",BC520*BD520)</f>
        <v/>
      </c>
      <c r="BF520" s="20"/>
      <c r="BG520" s="20"/>
      <c r="BH520" s="24"/>
      <c r="BI520" s="24"/>
      <c r="BJ520" s="125" t="str">
        <f t="shared" ref="BJ520:BJ551" si="469">IF(ROUNDUP((BI520-BH520)/7,0)=0,"",ROUNDUP((BI520-BH520)/7,0))</f>
        <v/>
      </c>
      <c r="BK520" s="14"/>
      <c r="BL520" s="125" t="str">
        <f t="shared" ref="BL520:BL551" si="470">IFERROR(IF(BJ520*BK520=0,"",BJ520*BK520), "")</f>
        <v/>
      </c>
      <c r="BM520" s="24"/>
      <c r="BN520" s="24"/>
      <c r="BO520" s="125" t="str">
        <f t="shared" ref="BO520:BO551" si="471">IF(ROUNDUP((BN520-BM520)/7,0)=0,"",ROUNDUP((BN520-BM520)/7,0))</f>
        <v/>
      </c>
      <c r="BP520" s="14"/>
      <c r="BQ520" s="125" t="str">
        <f t="shared" ref="BQ520:BQ551" si="472">IFERROR(IF(BO520*BP520=0,"",BO520*BP520), "")</f>
        <v/>
      </c>
      <c r="BR520" s="24"/>
      <c r="BS520" s="24"/>
      <c r="BT520" s="125" t="str">
        <f t="shared" ref="BT520:BT551" si="473">IF(ROUNDUP((BS520-BR520)/7,0)=0,"",ROUNDUP((BS520-BR520)/7,0))</f>
        <v/>
      </c>
      <c r="BU520" s="125" t="str">
        <f t="shared" ref="BU520:BU551" si="474">IFERROR(IF((BX520-(BK520+BP520))/BT520=0,"",ROUNDUP((BX520-(BK520+BP520))/BT520,0)), "")</f>
        <v/>
      </c>
      <c r="BV520" s="125" t="str">
        <f t="shared" ref="BV520:BV551" si="475">IFERROR(IF((BX520-(BL520+BQ520))=0, "", (BX520-(BL520+BQ520))), "")</f>
        <v/>
      </c>
      <c r="BW520" s="129" t="str">
        <f t="shared" ref="BW520:BW551" si="476">IFERROR(IF((BJ520+BO520+BT520)=0, "", (BJ520+BO520+BT520)), "")</f>
        <v/>
      </c>
      <c r="BX520" s="9"/>
      <c r="BY520" s="9"/>
      <c r="BZ520" s="9"/>
      <c r="CA520" s="117" t="str">
        <f>IF(_xlfn.XLOOKUP(BY520, AutoFill_classes!$A:$A, AutoFill_classes!$B:$B,"")=0,"",_xlfn.XLOOKUP(BY520, AutoFill_classes!$A:$A, AutoFill_classes!$B:$B,""))</f>
        <v/>
      </c>
      <c r="CB520" s="108"/>
      <c r="CC520" s="9"/>
      <c r="CD520" s="9"/>
      <c r="CE520" s="9"/>
      <c r="CF520" s="4"/>
      <c r="CG520" s="25"/>
      <c r="CH520" s="64"/>
      <c r="CI520" s="27"/>
      <c r="CJ520" s="121" t="str">
        <f t="shared" ref="CJ520:CJ551" si="477">IF(CH520*CI520=0,"",CH520*CI520)</f>
        <v/>
      </c>
      <c r="CK520" s="20"/>
      <c r="CL520" s="20"/>
      <c r="CM520" s="24"/>
      <c r="CN520" s="24"/>
      <c r="CO520" s="125" t="str">
        <f t="shared" ref="CO520:CO551" si="478">IF(ROUNDUP((CN520-CM520)/7,0)=0,"",ROUNDUP((CN520-CM520)/7,0))</f>
        <v/>
      </c>
      <c r="CP520" s="14"/>
      <c r="CQ520" s="125" t="str">
        <f t="shared" ref="CQ520:CQ551" si="479">IFERROR(IF(CO520*CP520=0,"",CO520*CP520), "")</f>
        <v/>
      </c>
      <c r="CR520" s="24"/>
      <c r="CS520" s="24"/>
      <c r="CT520" s="125" t="str">
        <f t="shared" ref="CT520:CT551" si="480">IF(ROUNDUP((CS520-CR520)/7,0)=0,"",ROUNDUP((CS520-CR520)/7,0))</f>
        <v/>
      </c>
      <c r="CU520" s="14"/>
      <c r="CV520" s="125" t="str">
        <f t="shared" ref="CV520:CV551" si="481">IFERROR(IF(CT520*CU520=0,"",CT520*CU520), "")</f>
        <v/>
      </c>
      <c r="CW520" s="24"/>
      <c r="CX520" s="24"/>
      <c r="CY520" s="125" t="str">
        <f t="shared" ref="CY520:CY551" si="482">IF(ROUNDUP((CX520-CW520)/7,0)=0,"",ROUNDUP((CX520-CW520)/7,0))</f>
        <v/>
      </c>
      <c r="CZ520" s="125" t="str">
        <f t="shared" ref="CZ520:CZ551" si="483">IFERROR(IF((DC520-(CP520+CU520))/CY520=0,"",ROUNDUP((DC520-(CP520+CU520))/CY520,0)), "")</f>
        <v/>
      </c>
      <c r="DA520" s="125" t="str">
        <f t="shared" ref="DA520:DA551" si="484">IFERROR(IF((DC520-(CQ520+CV520))=0, "", (DC520-(CQ520+CV520))), "")</f>
        <v/>
      </c>
      <c r="DB520" s="129" t="str">
        <f t="shared" ref="DB520:DB551" si="485">IFERROR(IF((CO520+CT520+CY520)=0, "", (CO520+CT520+CY520)), "")</f>
        <v/>
      </c>
      <c r="DC520" s="9"/>
      <c r="DD520" s="65"/>
      <c r="DE520" s="105">
        <v>516</v>
      </c>
    </row>
    <row r="521" spans="1:109" outlineLevel="1" x14ac:dyDescent="0.2">
      <c r="A521" s="4"/>
      <c r="B521" s="115" t="str">
        <f>IF(_xlfn.XLOOKUP(A521, AutoFill_names!B:B, AutoFill_names!C:C,"")=0,"",_xlfn.XLOOKUP(A521, AutoFill_names!B:B, AutoFill_names!C:C,""))</f>
        <v/>
      </c>
      <c r="C521" s="115" t="str">
        <f>IF(_xlfn.XLOOKUP(A521, AutoFill_names!B:B, AutoFill_names!D:D,"")=0,"",_xlfn.XLOOKUP(A521, AutoFill_names!B:B, AutoFill_names!D:D,""))</f>
        <v/>
      </c>
      <c r="D521" s="115" t="str">
        <f>IF(_xlfn.XLOOKUP(A521, AutoFill_names!B:B, AutoFill_names!E:E,"")=0,"",_xlfn.XLOOKUP(A521, AutoFill_names!B:B, AutoFill_names!E:E,""))</f>
        <v/>
      </c>
      <c r="E521" s="115" t="str">
        <f>IF(_xlfn.XLOOKUP(A521, AutoFill_names!B:B, AutoFill_names!F:F,"")=0,"",_xlfn.XLOOKUP(A521, AutoFill_names!B:B, AutoFill_names!F:F,""))</f>
        <v/>
      </c>
      <c r="F521" s="92"/>
      <c r="G521" s="1"/>
      <c r="H521" s="1"/>
      <c r="I521" s="1"/>
      <c r="J521" s="115" t="str">
        <f>IF(_xlfn.XLOOKUP(A521, AutoFill_names!B:B, AutoFill_names!K:K,"")=0,"",_xlfn.XLOOKUP(A521, AutoFill_names!B:B, AutoFill_names!K:K,""))</f>
        <v/>
      </c>
      <c r="K521" s="115" t="str">
        <f>IF(_xlfn.XLOOKUP(A521, AutoFill_names!B:B, AutoFill_names!L:L,"")=0,"",_xlfn.XLOOKUP(A521, AutoFill_names!B:B, AutoFill_names!L:L,""))</f>
        <v/>
      </c>
      <c r="L521" s="5"/>
      <c r="M521" s="5"/>
      <c r="N521" s="117" t="str">
        <f>IF(_xlfn.XLOOKUP(L521, AutoFill_classes!A:A, AutoFill_classes!B:B,"")=0,"",_xlfn.XLOOKUP(L521, AutoFill_classes!A:A, AutoFill_classes!B:B,""))</f>
        <v/>
      </c>
      <c r="O521" s="108"/>
      <c r="P521" s="8"/>
      <c r="Q521" s="8"/>
      <c r="R521" s="8"/>
      <c r="S521" s="4"/>
      <c r="T521" s="4"/>
      <c r="U521" s="4"/>
      <c r="V521" s="4"/>
      <c r="W521" s="4"/>
      <c r="X521" s="64"/>
      <c r="Y521" s="25"/>
      <c r="Z521" s="121" t="str">
        <f t="shared" si="459"/>
        <v/>
      </c>
      <c r="AA521" s="26"/>
      <c r="AB521" s="26"/>
      <c r="AC521" s="28"/>
      <c r="AD521" s="28"/>
      <c r="AE521" s="125" t="str">
        <f t="shared" si="460"/>
        <v/>
      </c>
      <c r="AF521" s="9"/>
      <c r="AG521" s="125" t="str">
        <f t="shared" si="461"/>
        <v/>
      </c>
      <c r="AH521" s="28"/>
      <c r="AI521" s="28"/>
      <c r="AJ521" s="125" t="str">
        <f t="shared" si="462"/>
        <v/>
      </c>
      <c r="AK521" s="9"/>
      <c r="AL521" s="125" t="str">
        <f t="shared" si="463"/>
        <v/>
      </c>
      <c r="AM521" s="28"/>
      <c r="AN521" s="28"/>
      <c r="AO521" s="125" t="str">
        <f t="shared" si="464"/>
        <v/>
      </c>
      <c r="AP521" s="125" t="str">
        <f t="shared" si="465"/>
        <v/>
      </c>
      <c r="AQ521" s="125" t="str">
        <f t="shared" si="466"/>
        <v/>
      </c>
      <c r="AR521" s="129" t="str">
        <f t="shared" si="467"/>
        <v/>
      </c>
      <c r="AS521" s="9"/>
      <c r="AT521" s="34"/>
      <c r="AU521" s="34"/>
      <c r="AV521" s="117" t="str">
        <f>IF(_xlfn.XLOOKUP(AT521, AutoFill_classes!$A:$A, AutoFill_classes!$B:$B,"")=0,"",_xlfn.XLOOKUP(AT521, AutoFill_classes!$A:$A, AutoFill_classes!$B:$B,""))</f>
        <v/>
      </c>
      <c r="AW521" s="108"/>
      <c r="AX521" s="9"/>
      <c r="AY521" s="10"/>
      <c r="AZ521" s="9"/>
      <c r="BA521" s="10"/>
      <c r="BB521" s="10"/>
      <c r="BC521" s="64"/>
      <c r="BD521" s="25"/>
      <c r="BE521" s="121" t="str">
        <f t="shared" si="468"/>
        <v/>
      </c>
      <c r="BF521" s="20"/>
      <c r="BG521" s="20"/>
      <c r="BH521" s="24"/>
      <c r="BI521" s="24"/>
      <c r="BJ521" s="125" t="str">
        <f t="shared" si="469"/>
        <v/>
      </c>
      <c r="BK521" s="14"/>
      <c r="BL521" s="125" t="str">
        <f t="shared" si="470"/>
        <v/>
      </c>
      <c r="BM521" s="24"/>
      <c r="BN521" s="24"/>
      <c r="BO521" s="125" t="str">
        <f t="shared" si="471"/>
        <v/>
      </c>
      <c r="BP521" s="14"/>
      <c r="BQ521" s="125" t="str">
        <f t="shared" si="472"/>
        <v/>
      </c>
      <c r="BR521" s="24"/>
      <c r="BS521" s="24"/>
      <c r="BT521" s="125" t="str">
        <f t="shared" si="473"/>
        <v/>
      </c>
      <c r="BU521" s="125" t="str">
        <f t="shared" si="474"/>
        <v/>
      </c>
      <c r="BV521" s="125" t="str">
        <f t="shared" si="475"/>
        <v/>
      </c>
      <c r="BW521" s="129" t="str">
        <f t="shared" si="476"/>
        <v/>
      </c>
      <c r="BX521" s="9"/>
      <c r="BY521" s="9"/>
      <c r="BZ521" s="9"/>
      <c r="CA521" s="117" t="str">
        <f>IF(_xlfn.XLOOKUP(BY521, AutoFill_classes!$A:$A, AutoFill_classes!$B:$B,"")=0,"",_xlfn.XLOOKUP(BY521, AutoFill_classes!$A:$A, AutoFill_classes!$B:$B,""))</f>
        <v/>
      </c>
      <c r="CB521" s="108"/>
      <c r="CC521" s="9"/>
      <c r="CD521" s="9"/>
      <c r="CE521" s="9"/>
      <c r="CF521" s="4"/>
      <c r="CG521" s="25"/>
      <c r="CH521" s="64"/>
      <c r="CI521" s="27"/>
      <c r="CJ521" s="121" t="str">
        <f t="shared" si="477"/>
        <v/>
      </c>
      <c r="CK521" s="20"/>
      <c r="CL521" s="20"/>
      <c r="CM521" s="24"/>
      <c r="CN521" s="24"/>
      <c r="CO521" s="125" t="str">
        <f t="shared" si="478"/>
        <v/>
      </c>
      <c r="CP521" s="14"/>
      <c r="CQ521" s="125" t="str">
        <f t="shared" si="479"/>
        <v/>
      </c>
      <c r="CR521" s="24"/>
      <c r="CS521" s="24"/>
      <c r="CT521" s="125" t="str">
        <f t="shared" si="480"/>
        <v/>
      </c>
      <c r="CU521" s="14"/>
      <c r="CV521" s="125" t="str">
        <f t="shared" si="481"/>
        <v/>
      </c>
      <c r="CW521" s="24"/>
      <c r="CX521" s="24"/>
      <c r="CY521" s="125" t="str">
        <f t="shared" si="482"/>
        <v/>
      </c>
      <c r="CZ521" s="125" t="str">
        <f t="shared" si="483"/>
        <v/>
      </c>
      <c r="DA521" s="125" t="str">
        <f t="shared" si="484"/>
        <v/>
      </c>
      <c r="DB521" s="129" t="str">
        <f t="shared" si="485"/>
        <v/>
      </c>
      <c r="DC521" s="9"/>
      <c r="DD521" s="65"/>
      <c r="DE521" s="105">
        <v>517</v>
      </c>
    </row>
    <row r="522" spans="1:109" outlineLevel="1" x14ac:dyDescent="0.2">
      <c r="A522" s="4"/>
      <c r="B522" s="115" t="str">
        <f>IF(_xlfn.XLOOKUP(A522, AutoFill_names!B:B, AutoFill_names!C:C,"")=0,"",_xlfn.XLOOKUP(A522, AutoFill_names!B:B, AutoFill_names!C:C,""))</f>
        <v/>
      </c>
      <c r="C522" s="115" t="str">
        <f>IF(_xlfn.XLOOKUP(A522, AutoFill_names!B:B, AutoFill_names!D:D,"")=0,"",_xlfn.XLOOKUP(A522, AutoFill_names!B:B, AutoFill_names!D:D,""))</f>
        <v/>
      </c>
      <c r="D522" s="115" t="str">
        <f>IF(_xlfn.XLOOKUP(A522, AutoFill_names!B:B, AutoFill_names!E:E,"")=0,"",_xlfn.XLOOKUP(A522, AutoFill_names!B:B, AutoFill_names!E:E,""))</f>
        <v/>
      </c>
      <c r="E522" s="115" t="str">
        <f>IF(_xlfn.XLOOKUP(A522, AutoFill_names!B:B, AutoFill_names!F:F,"")=0,"",_xlfn.XLOOKUP(A522, AutoFill_names!B:B, AutoFill_names!F:F,""))</f>
        <v/>
      </c>
      <c r="F522" s="92"/>
      <c r="G522" s="1"/>
      <c r="H522" s="1"/>
      <c r="I522" s="1"/>
      <c r="J522" s="115" t="str">
        <f>IF(_xlfn.XLOOKUP(A522, AutoFill_names!B:B, AutoFill_names!K:K,"")=0,"",_xlfn.XLOOKUP(A522, AutoFill_names!B:B, AutoFill_names!K:K,""))</f>
        <v/>
      </c>
      <c r="K522" s="115" t="str">
        <f>IF(_xlfn.XLOOKUP(A522, AutoFill_names!B:B, AutoFill_names!L:L,"")=0,"",_xlfn.XLOOKUP(A522, AutoFill_names!B:B, AutoFill_names!L:L,""))</f>
        <v/>
      </c>
      <c r="L522" s="5"/>
      <c r="M522" s="5"/>
      <c r="N522" s="117" t="str">
        <f>IF(_xlfn.XLOOKUP(L522, AutoFill_classes!A:A, AutoFill_classes!B:B,"")=0,"",_xlfn.XLOOKUP(L522, AutoFill_classes!A:A, AutoFill_classes!B:B,""))</f>
        <v/>
      </c>
      <c r="O522" s="108"/>
      <c r="P522" s="8"/>
      <c r="Q522" s="8"/>
      <c r="R522" s="8"/>
      <c r="S522" s="4"/>
      <c r="T522" s="4"/>
      <c r="U522" s="4"/>
      <c r="V522" s="4"/>
      <c r="W522" s="4"/>
      <c r="X522" s="64"/>
      <c r="Y522" s="25"/>
      <c r="Z522" s="121" t="str">
        <f t="shared" si="459"/>
        <v/>
      </c>
      <c r="AA522" s="26"/>
      <c r="AB522" s="26"/>
      <c r="AC522" s="28"/>
      <c r="AD522" s="28"/>
      <c r="AE522" s="125" t="str">
        <f t="shared" si="460"/>
        <v/>
      </c>
      <c r="AF522" s="9"/>
      <c r="AG522" s="125" t="str">
        <f t="shared" si="461"/>
        <v/>
      </c>
      <c r="AH522" s="28"/>
      <c r="AI522" s="28"/>
      <c r="AJ522" s="125" t="str">
        <f t="shared" si="462"/>
        <v/>
      </c>
      <c r="AK522" s="9"/>
      <c r="AL522" s="125" t="str">
        <f t="shared" si="463"/>
        <v/>
      </c>
      <c r="AM522" s="28"/>
      <c r="AN522" s="28"/>
      <c r="AO522" s="125" t="str">
        <f t="shared" si="464"/>
        <v/>
      </c>
      <c r="AP522" s="125" t="str">
        <f t="shared" si="465"/>
        <v/>
      </c>
      <c r="AQ522" s="125" t="str">
        <f t="shared" si="466"/>
        <v/>
      </c>
      <c r="AR522" s="129" t="str">
        <f t="shared" si="467"/>
        <v/>
      </c>
      <c r="AS522" s="9"/>
      <c r="AT522" s="34"/>
      <c r="AU522" s="34"/>
      <c r="AV522" s="117" t="str">
        <f>IF(_xlfn.XLOOKUP(AT522, AutoFill_classes!$A:$A, AutoFill_classes!$B:$B,"")=0,"",_xlfn.XLOOKUP(AT522, AutoFill_classes!$A:$A, AutoFill_classes!$B:$B,""))</f>
        <v/>
      </c>
      <c r="AW522" s="108"/>
      <c r="AX522" s="9"/>
      <c r="AY522" s="10"/>
      <c r="AZ522" s="9"/>
      <c r="BA522" s="10"/>
      <c r="BB522" s="10"/>
      <c r="BC522" s="64"/>
      <c r="BD522" s="25"/>
      <c r="BE522" s="121" t="str">
        <f t="shared" si="468"/>
        <v/>
      </c>
      <c r="BF522" s="20"/>
      <c r="BG522" s="20"/>
      <c r="BH522" s="24"/>
      <c r="BI522" s="24"/>
      <c r="BJ522" s="125" t="str">
        <f t="shared" si="469"/>
        <v/>
      </c>
      <c r="BK522" s="14"/>
      <c r="BL522" s="125" t="str">
        <f t="shared" si="470"/>
        <v/>
      </c>
      <c r="BM522" s="24"/>
      <c r="BN522" s="24"/>
      <c r="BO522" s="125" t="str">
        <f t="shared" si="471"/>
        <v/>
      </c>
      <c r="BP522" s="14"/>
      <c r="BQ522" s="125" t="str">
        <f t="shared" si="472"/>
        <v/>
      </c>
      <c r="BR522" s="24"/>
      <c r="BS522" s="24"/>
      <c r="BT522" s="125" t="str">
        <f t="shared" si="473"/>
        <v/>
      </c>
      <c r="BU522" s="125" t="str">
        <f t="shared" si="474"/>
        <v/>
      </c>
      <c r="BV522" s="125" t="str">
        <f t="shared" si="475"/>
        <v/>
      </c>
      <c r="BW522" s="129" t="str">
        <f t="shared" si="476"/>
        <v/>
      </c>
      <c r="BX522" s="9"/>
      <c r="BY522" s="9"/>
      <c r="BZ522" s="9"/>
      <c r="CA522" s="117" t="str">
        <f>IF(_xlfn.XLOOKUP(BY522, AutoFill_classes!$A:$A, AutoFill_classes!$B:$B,"")=0,"",_xlfn.XLOOKUP(BY522, AutoFill_classes!$A:$A, AutoFill_classes!$B:$B,""))</f>
        <v/>
      </c>
      <c r="CB522" s="108"/>
      <c r="CC522" s="9"/>
      <c r="CD522" s="9"/>
      <c r="CE522" s="9"/>
      <c r="CF522" s="4"/>
      <c r="CG522" s="25"/>
      <c r="CH522" s="64"/>
      <c r="CI522" s="27"/>
      <c r="CJ522" s="121" t="str">
        <f t="shared" si="477"/>
        <v/>
      </c>
      <c r="CK522" s="20"/>
      <c r="CL522" s="20"/>
      <c r="CM522" s="24"/>
      <c r="CN522" s="24"/>
      <c r="CO522" s="125" t="str">
        <f t="shared" si="478"/>
        <v/>
      </c>
      <c r="CP522" s="14"/>
      <c r="CQ522" s="125" t="str">
        <f t="shared" si="479"/>
        <v/>
      </c>
      <c r="CR522" s="24"/>
      <c r="CS522" s="24"/>
      <c r="CT522" s="125" t="str">
        <f t="shared" si="480"/>
        <v/>
      </c>
      <c r="CU522" s="14"/>
      <c r="CV522" s="125" t="str">
        <f t="shared" si="481"/>
        <v/>
      </c>
      <c r="CW522" s="24"/>
      <c r="CX522" s="24"/>
      <c r="CY522" s="125" t="str">
        <f t="shared" si="482"/>
        <v/>
      </c>
      <c r="CZ522" s="125" t="str">
        <f t="shared" si="483"/>
        <v/>
      </c>
      <c r="DA522" s="125" t="str">
        <f t="shared" si="484"/>
        <v/>
      </c>
      <c r="DB522" s="129" t="str">
        <f t="shared" si="485"/>
        <v/>
      </c>
      <c r="DC522" s="9"/>
      <c r="DD522" s="65"/>
      <c r="DE522" s="105">
        <v>518</v>
      </c>
    </row>
    <row r="523" spans="1:109" outlineLevel="1" x14ac:dyDescent="0.2">
      <c r="A523" s="4"/>
      <c r="B523" s="115" t="str">
        <f>IF(_xlfn.XLOOKUP(A523, AutoFill_names!B:B, AutoFill_names!C:C,"")=0,"",_xlfn.XLOOKUP(A523, AutoFill_names!B:B, AutoFill_names!C:C,""))</f>
        <v/>
      </c>
      <c r="C523" s="115" t="str">
        <f>IF(_xlfn.XLOOKUP(A523, AutoFill_names!B:B, AutoFill_names!D:D,"")=0,"",_xlfn.XLOOKUP(A523, AutoFill_names!B:B, AutoFill_names!D:D,""))</f>
        <v/>
      </c>
      <c r="D523" s="115" t="str">
        <f>IF(_xlfn.XLOOKUP(A523, AutoFill_names!B:B, AutoFill_names!E:E,"")=0,"",_xlfn.XLOOKUP(A523, AutoFill_names!B:B, AutoFill_names!E:E,""))</f>
        <v/>
      </c>
      <c r="E523" s="115" t="str">
        <f>IF(_xlfn.XLOOKUP(A523, AutoFill_names!B:B, AutoFill_names!F:F,"")=0,"",_xlfn.XLOOKUP(A523, AutoFill_names!B:B, AutoFill_names!F:F,""))</f>
        <v/>
      </c>
      <c r="F523" s="92"/>
      <c r="G523" s="1"/>
      <c r="H523" s="1"/>
      <c r="I523" s="1"/>
      <c r="J523" s="115" t="str">
        <f>IF(_xlfn.XLOOKUP(A523, AutoFill_names!B:B, AutoFill_names!K:K,"")=0,"",_xlfn.XLOOKUP(A523, AutoFill_names!B:B, AutoFill_names!K:K,""))</f>
        <v/>
      </c>
      <c r="K523" s="115" t="str">
        <f>IF(_xlfn.XLOOKUP(A523, AutoFill_names!B:B, AutoFill_names!L:L,"")=0,"",_xlfn.XLOOKUP(A523, AutoFill_names!B:B, AutoFill_names!L:L,""))</f>
        <v/>
      </c>
      <c r="L523" s="5"/>
      <c r="M523" s="5"/>
      <c r="N523" s="117" t="str">
        <f>IF(_xlfn.XLOOKUP(L523, AutoFill_classes!A:A, AutoFill_classes!B:B,"")=0,"",_xlfn.XLOOKUP(L523, AutoFill_classes!A:A, AutoFill_classes!B:B,""))</f>
        <v/>
      </c>
      <c r="O523" s="108"/>
      <c r="P523" s="8"/>
      <c r="Q523" s="8"/>
      <c r="R523" s="8"/>
      <c r="S523" s="4"/>
      <c r="T523" s="4"/>
      <c r="U523" s="4"/>
      <c r="V523" s="4"/>
      <c r="W523" s="4"/>
      <c r="X523" s="64"/>
      <c r="Y523" s="25"/>
      <c r="Z523" s="121" t="str">
        <f t="shared" si="459"/>
        <v/>
      </c>
      <c r="AA523" s="26"/>
      <c r="AB523" s="26"/>
      <c r="AC523" s="28"/>
      <c r="AD523" s="28"/>
      <c r="AE523" s="125" t="str">
        <f t="shared" si="460"/>
        <v/>
      </c>
      <c r="AF523" s="9"/>
      <c r="AG523" s="125" t="str">
        <f t="shared" si="461"/>
        <v/>
      </c>
      <c r="AH523" s="28"/>
      <c r="AI523" s="28"/>
      <c r="AJ523" s="125" t="str">
        <f t="shared" si="462"/>
        <v/>
      </c>
      <c r="AK523" s="9"/>
      <c r="AL523" s="125" t="str">
        <f t="shared" si="463"/>
        <v/>
      </c>
      <c r="AM523" s="28"/>
      <c r="AN523" s="28"/>
      <c r="AO523" s="125" t="str">
        <f t="shared" si="464"/>
        <v/>
      </c>
      <c r="AP523" s="125" t="str">
        <f t="shared" si="465"/>
        <v/>
      </c>
      <c r="AQ523" s="125" t="str">
        <f t="shared" si="466"/>
        <v/>
      </c>
      <c r="AR523" s="129" t="str">
        <f t="shared" si="467"/>
        <v/>
      </c>
      <c r="AS523" s="9"/>
      <c r="AT523" s="34"/>
      <c r="AU523" s="34"/>
      <c r="AV523" s="117" t="str">
        <f>IF(_xlfn.XLOOKUP(AT523, AutoFill_classes!$A:$A, AutoFill_classes!$B:$B,"")=0,"",_xlfn.XLOOKUP(AT523, AutoFill_classes!$A:$A, AutoFill_classes!$B:$B,""))</f>
        <v/>
      </c>
      <c r="AW523" s="108"/>
      <c r="AX523" s="9"/>
      <c r="AY523" s="10"/>
      <c r="AZ523" s="9"/>
      <c r="BA523" s="10"/>
      <c r="BB523" s="10"/>
      <c r="BC523" s="64"/>
      <c r="BD523" s="25"/>
      <c r="BE523" s="121" t="str">
        <f t="shared" si="468"/>
        <v/>
      </c>
      <c r="BF523" s="20"/>
      <c r="BG523" s="20"/>
      <c r="BH523" s="24"/>
      <c r="BI523" s="24"/>
      <c r="BJ523" s="125" t="str">
        <f t="shared" si="469"/>
        <v/>
      </c>
      <c r="BK523" s="14"/>
      <c r="BL523" s="125" t="str">
        <f t="shared" si="470"/>
        <v/>
      </c>
      <c r="BM523" s="24"/>
      <c r="BN523" s="24"/>
      <c r="BO523" s="125" t="str">
        <f t="shared" si="471"/>
        <v/>
      </c>
      <c r="BP523" s="14"/>
      <c r="BQ523" s="125" t="str">
        <f t="shared" si="472"/>
        <v/>
      </c>
      <c r="BR523" s="24"/>
      <c r="BS523" s="24"/>
      <c r="BT523" s="125" t="str">
        <f t="shared" si="473"/>
        <v/>
      </c>
      <c r="BU523" s="125" t="str">
        <f t="shared" si="474"/>
        <v/>
      </c>
      <c r="BV523" s="125" t="str">
        <f t="shared" si="475"/>
        <v/>
      </c>
      <c r="BW523" s="129" t="str">
        <f t="shared" si="476"/>
        <v/>
      </c>
      <c r="BX523" s="9"/>
      <c r="BY523" s="9"/>
      <c r="BZ523" s="9"/>
      <c r="CA523" s="117" t="str">
        <f>IF(_xlfn.XLOOKUP(BY523, AutoFill_classes!$A:$A, AutoFill_classes!$B:$B,"")=0,"",_xlfn.XLOOKUP(BY523, AutoFill_classes!$A:$A, AutoFill_classes!$B:$B,""))</f>
        <v/>
      </c>
      <c r="CB523" s="108"/>
      <c r="CC523" s="9"/>
      <c r="CD523" s="9"/>
      <c r="CE523" s="9"/>
      <c r="CF523" s="4"/>
      <c r="CG523" s="25"/>
      <c r="CH523" s="64"/>
      <c r="CI523" s="27"/>
      <c r="CJ523" s="121" t="str">
        <f t="shared" si="477"/>
        <v/>
      </c>
      <c r="CK523" s="20"/>
      <c r="CL523" s="20"/>
      <c r="CM523" s="24"/>
      <c r="CN523" s="24"/>
      <c r="CO523" s="125" t="str">
        <f t="shared" si="478"/>
        <v/>
      </c>
      <c r="CP523" s="14"/>
      <c r="CQ523" s="125" t="str">
        <f t="shared" si="479"/>
        <v/>
      </c>
      <c r="CR523" s="24"/>
      <c r="CS523" s="24"/>
      <c r="CT523" s="125" t="str">
        <f t="shared" si="480"/>
        <v/>
      </c>
      <c r="CU523" s="14"/>
      <c r="CV523" s="125" t="str">
        <f t="shared" si="481"/>
        <v/>
      </c>
      <c r="CW523" s="24"/>
      <c r="CX523" s="24"/>
      <c r="CY523" s="125" t="str">
        <f t="shared" si="482"/>
        <v/>
      </c>
      <c r="CZ523" s="125" t="str">
        <f t="shared" si="483"/>
        <v/>
      </c>
      <c r="DA523" s="125" t="str">
        <f t="shared" si="484"/>
        <v/>
      </c>
      <c r="DB523" s="129" t="str">
        <f t="shared" si="485"/>
        <v/>
      </c>
      <c r="DC523" s="9"/>
      <c r="DD523" s="65"/>
      <c r="DE523" s="105">
        <v>519</v>
      </c>
    </row>
    <row r="524" spans="1:109" outlineLevel="1" x14ac:dyDescent="0.2">
      <c r="A524" s="4"/>
      <c r="B524" s="115" t="str">
        <f>IF(_xlfn.XLOOKUP(A524, AutoFill_names!B:B, AutoFill_names!C:C,"")=0,"",_xlfn.XLOOKUP(A524, AutoFill_names!B:B, AutoFill_names!C:C,""))</f>
        <v/>
      </c>
      <c r="C524" s="115" t="str">
        <f>IF(_xlfn.XLOOKUP(A524, AutoFill_names!B:B, AutoFill_names!D:D,"")=0,"",_xlfn.XLOOKUP(A524, AutoFill_names!B:B, AutoFill_names!D:D,""))</f>
        <v/>
      </c>
      <c r="D524" s="115" t="str">
        <f>IF(_xlfn.XLOOKUP(A524, AutoFill_names!B:B, AutoFill_names!E:E,"")=0,"",_xlfn.XLOOKUP(A524, AutoFill_names!B:B, AutoFill_names!E:E,""))</f>
        <v/>
      </c>
      <c r="E524" s="115" t="str">
        <f>IF(_xlfn.XLOOKUP(A524, AutoFill_names!B:B, AutoFill_names!F:F,"")=0,"",_xlfn.XLOOKUP(A524, AutoFill_names!B:B, AutoFill_names!F:F,""))</f>
        <v/>
      </c>
      <c r="F524" s="92"/>
      <c r="G524" s="1"/>
      <c r="H524" s="1"/>
      <c r="I524" s="1"/>
      <c r="J524" s="115" t="str">
        <f>IF(_xlfn.XLOOKUP(A524, AutoFill_names!B:B, AutoFill_names!K:K,"")=0,"",_xlfn.XLOOKUP(A524, AutoFill_names!B:B, AutoFill_names!K:K,""))</f>
        <v/>
      </c>
      <c r="K524" s="115" t="str">
        <f>IF(_xlfn.XLOOKUP(A524, AutoFill_names!B:B, AutoFill_names!L:L,"")=0,"",_xlfn.XLOOKUP(A524, AutoFill_names!B:B, AutoFill_names!L:L,""))</f>
        <v/>
      </c>
      <c r="L524" s="5"/>
      <c r="M524" s="5"/>
      <c r="N524" s="117" t="str">
        <f>IF(_xlfn.XLOOKUP(L524, AutoFill_classes!A:A, AutoFill_classes!B:B,"")=0,"",_xlfn.XLOOKUP(L524, AutoFill_classes!A:A, AutoFill_classes!B:B,""))</f>
        <v/>
      </c>
      <c r="O524" s="108"/>
      <c r="P524" s="8"/>
      <c r="Q524" s="8"/>
      <c r="R524" s="8"/>
      <c r="S524" s="4"/>
      <c r="T524" s="4"/>
      <c r="U524" s="4"/>
      <c r="V524" s="4"/>
      <c r="W524" s="4"/>
      <c r="X524" s="64"/>
      <c r="Y524" s="25"/>
      <c r="Z524" s="121" t="str">
        <f t="shared" si="459"/>
        <v/>
      </c>
      <c r="AA524" s="26"/>
      <c r="AB524" s="26"/>
      <c r="AC524" s="28"/>
      <c r="AD524" s="28"/>
      <c r="AE524" s="125" t="str">
        <f t="shared" si="460"/>
        <v/>
      </c>
      <c r="AF524" s="9"/>
      <c r="AG524" s="125" t="str">
        <f t="shared" si="461"/>
        <v/>
      </c>
      <c r="AH524" s="28"/>
      <c r="AI524" s="28"/>
      <c r="AJ524" s="125" t="str">
        <f t="shared" si="462"/>
        <v/>
      </c>
      <c r="AK524" s="9"/>
      <c r="AL524" s="125" t="str">
        <f t="shared" si="463"/>
        <v/>
      </c>
      <c r="AM524" s="28"/>
      <c r="AN524" s="28"/>
      <c r="AO524" s="125" t="str">
        <f t="shared" si="464"/>
        <v/>
      </c>
      <c r="AP524" s="125" t="str">
        <f t="shared" si="465"/>
        <v/>
      </c>
      <c r="AQ524" s="125" t="str">
        <f t="shared" si="466"/>
        <v/>
      </c>
      <c r="AR524" s="129" t="str">
        <f t="shared" si="467"/>
        <v/>
      </c>
      <c r="AS524" s="9"/>
      <c r="AT524" s="34"/>
      <c r="AU524" s="34"/>
      <c r="AV524" s="117" t="str">
        <f>IF(_xlfn.XLOOKUP(AT524, AutoFill_classes!$A:$A, AutoFill_classes!$B:$B,"")=0,"",_xlfn.XLOOKUP(AT524, AutoFill_classes!$A:$A, AutoFill_classes!$B:$B,""))</f>
        <v/>
      </c>
      <c r="AW524" s="108"/>
      <c r="AX524" s="9"/>
      <c r="AY524" s="10"/>
      <c r="AZ524" s="9"/>
      <c r="BA524" s="10"/>
      <c r="BB524" s="10"/>
      <c r="BC524" s="64"/>
      <c r="BD524" s="25"/>
      <c r="BE524" s="121" t="str">
        <f t="shared" si="468"/>
        <v/>
      </c>
      <c r="BF524" s="20"/>
      <c r="BG524" s="20"/>
      <c r="BH524" s="24"/>
      <c r="BI524" s="24"/>
      <c r="BJ524" s="125" t="str">
        <f t="shared" si="469"/>
        <v/>
      </c>
      <c r="BK524" s="14"/>
      <c r="BL524" s="125" t="str">
        <f t="shared" si="470"/>
        <v/>
      </c>
      <c r="BM524" s="24"/>
      <c r="BN524" s="24"/>
      <c r="BO524" s="125" t="str">
        <f t="shared" si="471"/>
        <v/>
      </c>
      <c r="BP524" s="14"/>
      <c r="BQ524" s="125" t="str">
        <f t="shared" si="472"/>
        <v/>
      </c>
      <c r="BR524" s="24"/>
      <c r="BS524" s="24"/>
      <c r="BT524" s="125" t="str">
        <f t="shared" si="473"/>
        <v/>
      </c>
      <c r="BU524" s="125" t="str">
        <f t="shared" si="474"/>
        <v/>
      </c>
      <c r="BV524" s="125" t="str">
        <f t="shared" si="475"/>
        <v/>
      </c>
      <c r="BW524" s="129" t="str">
        <f t="shared" si="476"/>
        <v/>
      </c>
      <c r="BX524" s="9"/>
      <c r="BY524" s="9"/>
      <c r="BZ524" s="9"/>
      <c r="CA524" s="117" t="str">
        <f>IF(_xlfn.XLOOKUP(BY524, AutoFill_classes!$A:$A, AutoFill_classes!$B:$B,"")=0,"",_xlfn.XLOOKUP(BY524, AutoFill_classes!$A:$A, AutoFill_classes!$B:$B,""))</f>
        <v/>
      </c>
      <c r="CB524" s="108"/>
      <c r="CC524" s="9"/>
      <c r="CD524" s="9"/>
      <c r="CE524" s="9"/>
      <c r="CF524" s="4"/>
      <c r="CG524" s="25"/>
      <c r="CH524" s="64"/>
      <c r="CI524" s="27"/>
      <c r="CJ524" s="121" t="str">
        <f t="shared" si="477"/>
        <v/>
      </c>
      <c r="CK524" s="20"/>
      <c r="CL524" s="20"/>
      <c r="CM524" s="24"/>
      <c r="CN524" s="24"/>
      <c r="CO524" s="125" t="str">
        <f t="shared" si="478"/>
        <v/>
      </c>
      <c r="CP524" s="14"/>
      <c r="CQ524" s="125" t="str">
        <f t="shared" si="479"/>
        <v/>
      </c>
      <c r="CR524" s="24"/>
      <c r="CS524" s="24"/>
      <c r="CT524" s="125" t="str">
        <f t="shared" si="480"/>
        <v/>
      </c>
      <c r="CU524" s="14"/>
      <c r="CV524" s="125" t="str">
        <f t="shared" si="481"/>
        <v/>
      </c>
      <c r="CW524" s="24"/>
      <c r="CX524" s="24"/>
      <c r="CY524" s="125" t="str">
        <f t="shared" si="482"/>
        <v/>
      </c>
      <c r="CZ524" s="125" t="str">
        <f t="shared" si="483"/>
        <v/>
      </c>
      <c r="DA524" s="125" t="str">
        <f t="shared" si="484"/>
        <v/>
      </c>
      <c r="DB524" s="129" t="str">
        <f t="shared" si="485"/>
        <v/>
      </c>
      <c r="DC524" s="9"/>
      <c r="DD524" s="65"/>
      <c r="DE524" s="105">
        <v>520</v>
      </c>
    </row>
    <row r="525" spans="1:109" outlineLevel="1" x14ac:dyDescent="0.2">
      <c r="A525" s="4"/>
      <c r="B525" s="115" t="str">
        <f>IF(_xlfn.XLOOKUP(A525, AutoFill_names!B:B, AutoFill_names!C:C,"")=0,"",_xlfn.XLOOKUP(A525, AutoFill_names!B:B, AutoFill_names!C:C,""))</f>
        <v/>
      </c>
      <c r="C525" s="115" t="str">
        <f>IF(_xlfn.XLOOKUP(A525, AutoFill_names!B:B, AutoFill_names!D:D,"")=0,"",_xlfn.XLOOKUP(A525, AutoFill_names!B:B, AutoFill_names!D:D,""))</f>
        <v/>
      </c>
      <c r="D525" s="115" t="str">
        <f>IF(_xlfn.XLOOKUP(A525, AutoFill_names!B:B, AutoFill_names!E:E,"")=0,"",_xlfn.XLOOKUP(A525, AutoFill_names!B:B, AutoFill_names!E:E,""))</f>
        <v/>
      </c>
      <c r="E525" s="115" t="str">
        <f>IF(_xlfn.XLOOKUP(A525, AutoFill_names!B:B, AutoFill_names!F:F,"")=0,"",_xlfn.XLOOKUP(A525, AutoFill_names!B:B, AutoFill_names!F:F,""))</f>
        <v/>
      </c>
      <c r="F525" s="92"/>
      <c r="G525" s="1"/>
      <c r="H525" s="1"/>
      <c r="I525" s="1"/>
      <c r="J525" s="115" t="str">
        <f>IF(_xlfn.XLOOKUP(A525, AutoFill_names!B:B, AutoFill_names!K:K,"")=0,"",_xlfn.XLOOKUP(A525, AutoFill_names!B:B, AutoFill_names!K:K,""))</f>
        <v/>
      </c>
      <c r="K525" s="115" t="str">
        <f>IF(_xlfn.XLOOKUP(A525, AutoFill_names!B:B, AutoFill_names!L:L,"")=0,"",_xlfn.XLOOKUP(A525, AutoFill_names!B:B, AutoFill_names!L:L,""))</f>
        <v/>
      </c>
      <c r="L525" s="5"/>
      <c r="M525" s="5"/>
      <c r="N525" s="117" t="str">
        <f>IF(_xlfn.XLOOKUP(L525, AutoFill_classes!A:A, AutoFill_classes!B:B,"")=0,"",_xlfn.XLOOKUP(L525, AutoFill_classes!A:A, AutoFill_classes!B:B,""))</f>
        <v/>
      </c>
      <c r="O525" s="108"/>
      <c r="P525" s="8"/>
      <c r="Q525" s="8"/>
      <c r="R525" s="8"/>
      <c r="S525" s="4"/>
      <c r="T525" s="4"/>
      <c r="U525" s="4"/>
      <c r="V525" s="4"/>
      <c r="W525" s="4"/>
      <c r="X525" s="64"/>
      <c r="Y525" s="25"/>
      <c r="Z525" s="121" t="str">
        <f t="shared" si="459"/>
        <v/>
      </c>
      <c r="AA525" s="26"/>
      <c r="AB525" s="26"/>
      <c r="AC525" s="28"/>
      <c r="AD525" s="28"/>
      <c r="AE525" s="125" t="str">
        <f t="shared" si="460"/>
        <v/>
      </c>
      <c r="AF525" s="9"/>
      <c r="AG525" s="125" t="str">
        <f t="shared" si="461"/>
        <v/>
      </c>
      <c r="AH525" s="28"/>
      <c r="AI525" s="28"/>
      <c r="AJ525" s="125" t="str">
        <f t="shared" si="462"/>
        <v/>
      </c>
      <c r="AK525" s="9"/>
      <c r="AL525" s="125" t="str">
        <f t="shared" si="463"/>
        <v/>
      </c>
      <c r="AM525" s="28"/>
      <c r="AN525" s="28"/>
      <c r="AO525" s="125" t="str">
        <f t="shared" si="464"/>
        <v/>
      </c>
      <c r="AP525" s="125" t="str">
        <f t="shared" si="465"/>
        <v/>
      </c>
      <c r="AQ525" s="125" t="str">
        <f t="shared" si="466"/>
        <v/>
      </c>
      <c r="AR525" s="129" t="str">
        <f t="shared" si="467"/>
        <v/>
      </c>
      <c r="AS525" s="9"/>
      <c r="AT525" s="34"/>
      <c r="AU525" s="34"/>
      <c r="AV525" s="117" t="str">
        <f>IF(_xlfn.XLOOKUP(AT525, AutoFill_classes!$A:$A, AutoFill_classes!$B:$B,"")=0,"",_xlfn.XLOOKUP(AT525, AutoFill_classes!$A:$A, AutoFill_classes!$B:$B,""))</f>
        <v/>
      </c>
      <c r="AW525" s="108"/>
      <c r="AX525" s="9"/>
      <c r="AY525" s="10"/>
      <c r="AZ525" s="9"/>
      <c r="BA525" s="10"/>
      <c r="BB525" s="10"/>
      <c r="BC525" s="64"/>
      <c r="BD525" s="25"/>
      <c r="BE525" s="121" t="str">
        <f t="shared" si="468"/>
        <v/>
      </c>
      <c r="BF525" s="20"/>
      <c r="BG525" s="20"/>
      <c r="BH525" s="24"/>
      <c r="BI525" s="24"/>
      <c r="BJ525" s="125" t="str">
        <f t="shared" si="469"/>
        <v/>
      </c>
      <c r="BK525" s="14"/>
      <c r="BL525" s="125" t="str">
        <f t="shared" si="470"/>
        <v/>
      </c>
      <c r="BM525" s="24"/>
      <c r="BN525" s="24"/>
      <c r="BO525" s="125" t="str">
        <f t="shared" si="471"/>
        <v/>
      </c>
      <c r="BP525" s="14"/>
      <c r="BQ525" s="125" t="str">
        <f t="shared" si="472"/>
        <v/>
      </c>
      <c r="BR525" s="24"/>
      <c r="BS525" s="24"/>
      <c r="BT525" s="125" t="str">
        <f t="shared" si="473"/>
        <v/>
      </c>
      <c r="BU525" s="125" t="str">
        <f t="shared" si="474"/>
        <v/>
      </c>
      <c r="BV525" s="125" t="str">
        <f t="shared" si="475"/>
        <v/>
      </c>
      <c r="BW525" s="129" t="str">
        <f t="shared" si="476"/>
        <v/>
      </c>
      <c r="BX525" s="9"/>
      <c r="BY525" s="9"/>
      <c r="BZ525" s="9"/>
      <c r="CA525" s="117" t="str">
        <f>IF(_xlfn.XLOOKUP(BY525, AutoFill_classes!$A:$A, AutoFill_classes!$B:$B,"")=0,"",_xlfn.XLOOKUP(BY525, AutoFill_classes!$A:$A, AutoFill_classes!$B:$B,""))</f>
        <v/>
      </c>
      <c r="CB525" s="108"/>
      <c r="CC525" s="9"/>
      <c r="CD525" s="9"/>
      <c r="CE525" s="9"/>
      <c r="CF525" s="4"/>
      <c r="CG525" s="25"/>
      <c r="CH525" s="64"/>
      <c r="CI525" s="27"/>
      <c r="CJ525" s="121" t="str">
        <f t="shared" si="477"/>
        <v/>
      </c>
      <c r="CK525" s="20"/>
      <c r="CL525" s="20"/>
      <c r="CM525" s="24"/>
      <c r="CN525" s="24"/>
      <c r="CO525" s="125" t="str">
        <f t="shared" si="478"/>
        <v/>
      </c>
      <c r="CP525" s="14"/>
      <c r="CQ525" s="125" t="str">
        <f t="shared" si="479"/>
        <v/>
      </c>
      <c r="CR525" s="24"/>
      <c r="CS525" s="24"/>
      <c r="CT525" s="125" t="str">
        <f t="shared" si="480"/>
        <v/>
      </c>
      <c r="CU525" s="14"/>
      <c r="CV525" s="125" t="str">
        <f t="shared" si="481"/>
        <v/>
      </c>
      <c r="CW525" s="24"/>
      <c r="CX525" s="24"/>
      <c r="CY525" s="125" t="str">
        <f t="shared" si="482"/>
        <v/>
      </c>
      <c r="CZ525" s="125" t="str">
        <f t="shared" si="483"/>
        <v/>
      </c>
      <c r="DA525" s="125" t="str">
        <f t="shared" si="484"/>
        <v/>
      </c>
      <c r="DB525" s="129" t="str">
        <f t="shared" si="485"/>
        <v/>
      </c>
      <c r="DC525" s="9"/>
      <c r="DD525" s="65"/>
      <c r="DE525" s="105">
        <v>521</v>
      </c>
    </row>
    <row r="526" spans="1:109" outlineLevel="1" x14ac:dyDescent="0.2">
      <c r="A526" s="4"/>
      <c r="B526" s="115" t="str">
        <f>IF(_xlfn.XLOOKUP(A526, AutoFill_names!B:B, AutoFill_names!C:C,"")=0,"",_xlfn.XLOOKUP(A526, AutoFill_names!B:B, AutoFill_names!C:C,""))</f>
        <v/>
      </c>
      <c r="C526" s="115" t="str">
        <f>IF(_xlfn.XLOOKUP(A526, AutoFill_names!B:B, AutoFill_names!D:D,"")=0,"",_xlfn.XLOOKUP(A526, AutoFill_names!B:B, AutoFill_names!D:D,""))</f>
        <v/>
      </c>
      <c r="D526" s="115" t="str">
        <f>IF(_xlfn.XLOOKUP(A526, AutoFill_names!B:B, AutoFill_names!E:E,"")=0,"",_xlfn.XLOOKUP(A526, AutoFill_names!B:B, AutoFill_names!E:E,""))</f>
        <v/>
      </c>
      <c r="E526" s="115" t="str">
        <f>IF(_xlfn.XLOOKUP(A526, AutoFill_names!B:B, AutoFill_names!F:F,"")=0,"",_xlfn.XLOOKUP(A526, AutoFill_names!B:B, AutoFill_names!F:F,""))</f>
        <v/>
      </c>
      <c r="F526" s="92"/>
      <c r="G526" s="1"/>
      <c r="H526" s="1"/>
      <c r="I526" s="1"/>
      <c r="J526" s="115" t="str">
        <f>IF(_xlfn.XLOOKUP(A526, AutoFill_names!B:B, AutoFill_names!K:K,"")=0,"",_xlfn.XLOOKUP(A526, AutoFill_names!B:B, AutoFill_names!K:K,""))</f>
        <v/>
      </c>
      <c r="K526" s="115" t="str">
        <f>IF(_xlfn.XLOOKUP(A526, AutoFill_names!B:B, AutoFill_names!L:L,"")=0,"",_xlfn.XLOOKUP(A526, AutoFill_names!B:B, AutoFill_names!L:L,""))</f>
        <v/>
      </c>
      <c r="L526" s="5"/>
      <c r="M526" s="5"/>
      <c r="N526" s="117" t="str">
        <f>IF(_xlfn.XLOOKUP(L526, AutoFill_classes!A:A, AutoFill_classes!B:B,"")=0,"",_xlfn.XLOOKUP(L526, AutoFill_classes!A:A, AutoFill_classes!B:B,""))</f>
        <v/>
      </c>
      <c r="O526" s="108"/>
      <c r="P526" s="8"/>
      <c r="Q526" s="8"/>
      <c r="R526" s="8"/>
      <c r="S526" s="4"/>
      <c r="T526" s="4"/>
      <c r="U526" s="4"/>
      <c r="V526" s="4"/>
      <c r="W526" s="4"/>
      <c r="X526" s="64"/>
      <c r="Y526" s="25"/>
      <c r="Z526" s="121" t="str">
        <f t="shared" si="459"/>
        <v/>
      </c>
      <c r="AA526" s="26"/>
      <c r="AB526" s="26"/>
      <c r="AC526" s="28"/>
      <c r="AD526" s="28"/>
      <c r="AE526" s="125" t="str">
        <f t="shared" si="460"/>
        <v/>
      </c>
      <c r="AF526" s="9"/>
      <c r="AG526" s="125" t="str">
        <f t="shared" si="461"/>
        <v/>
      </c>
      <c r="AH526" s="28"/>
      <c r="AI526" s="28"/>
      <c r="AJ526" s="125" t="str">
        <f t="shared" si="462"/>
        <v/>
      </c>
      <c r="AK526" s="9"/>
      <c r="AL526" s="125" t="str">
        <f t="shared" si="463"/>
        <v/>
      </c>
      <c r="AM526" s="28"/>
      <c r="AN526" s="28"/>
      <c r="AO526" s="125" t="str">
        <f t="shared" si="464"/>
        <v/>
      </c>
      <c r="AP526" s="125" t="str">
        <f t="shared" si="465"/>
        <v/>
      </c>
      <c r="AQ526" s="125" t="str">
        <f t="shared" si="466"/>
        <v/>
      </c>
      <c r="AR526" s="129" t="str">
        <f t="shared" si="467"/>
        <v/>
      </c>
      <c r="AS526" s="9"/>
      <c r="AT526" s="34"/>
      <c r="AU526" s="34"/>
      <c r="AV526" s="117" t="str">
        <f>IF(_xlfn.XLOOKUP(AT526, AutoFill_classes!$A:$A, AutoFill_classes!$B:$B,"")=0,"",_xlfn.XLOOKUP(AT526, AutoFill_classes!$A:$A, AutoFill_classes!$B:$B,""))</f>
        <v/>
      </c>
      <c r="AW526" s="108"/>
      <c r="AX526" s="9"/>
      <c r="AY526" s="10"/>
      <c r="AZ526" s="9"/>
      <c r="BA526" s="10"/>
      <c r="BB526" s="10"/>
      <c r="BC526" s="64"/>
      <c r="BD526" s="25"/>
      <c r="BE526" s="121" t="str">
        <f t="shared" si="468"/>
        <v/>
      </c>
      <c r="BF526" s="20"/>
      <c r="BG526" s="20"/>
      <c r="BH526" s="24"/>
      <c r="BI526" s="24"/>
      <c r="BJ526" s="125" t="str">
        <f t="shared" si="469"/>
        <v/>
      </c>
      <c r="BK526" s="14"/>
      <c r="BL526" s="125" t="str">
        <f t="shared" si="470"/>
        <v/>
      </c>
      <c r="BM526" s="24"/>
      <c r="BN526" s="24"/>
      <c r="BO526" s="125" t="str">
        <f t="shared" si="471"/>
        <v/>
      </c>
      <c r="BP526" s="14"/>
      <c r="BQ526" s="125" t="str">
        <f t="shared" si="472"/>
        <v/>
      </c>
      <c r="BR526" s="24"/>
      <c r="BS526" s="24"/>
      <c r="BT526" s="125" t="str">
        <f t="shared" si="473"/>
        <v/>
      </c>
      <c r="BU526" s="125" t="str">
        <f t="shared" si="474"/>
        <v/>
      </c>
      <c r="BV526" s="125" t="str">
        <f t="shared" si="475"/>
        <v/>
      </c>
      <c r="BW526" s="129" t="str">
        <f t="shared" si="476"/>
        <v/>
      </c>
      <c r="BX526" s="9"/>
      <c r="BY526" s="9"/>
      <c r="BZ526" s="9"/>
      <c r="CA526" s="117" t="str">
        <f>IF(_xlfn.XLOOKUP(BY526, AutoFill_classes!$A:$A, AutoFill_classes!$B:$B,"")=0,"",_xlfn.XLOOKUP(BY526, AutoFill_classes!$A:$A, AutoFill_classes!$B:$B,""))</f>
        <v/>
      </c>
      <c r="CB526" s="108"/>
      <c r="CC526" s="9"/>
      <c r="CD526" s="9"/>
      <c r="CE526" s="9"/>
      <c r="CF526" s="4"/>
      <c r="CG526" s="25"/>
      <c r="CH526" s="64"/>
      <c r="CI526" s="27"/>
      <c r="CJ526" s="121" t="str">
        <f t="shared" si="477"/>
        <v/>
      </c>
      <c r="CK526" s="20"/>
      <c r="CL526" s="20"/>
      <c r="CM526" s="24"/>
      <c r="CN526" s="24"/>
      <c r="CO526" s="125" t="str">
        <f t="shared" si="478"/>
        <v/>
      </c>
      <c r="CP526" s="14"/>
      <c r="CQ526" s="125" t="str">
        <f t="shared" si="479"/>
        <v/>
      </c>
      <c r="CR526" s="24"/>
      <c r="CS526" s="24"/>
      <c r="CT526" s="125" t="str">
        <f t="shared" si="480"/>
        <v/>
      </c>
      <c r="CU526" s="14"/>
      <c r="CV526" s="125" t="str">
        <f t="shared" si="481"/>
        <v/>
      </c>
      <c r="CW526" s="24"/>
      <c r="CX526" s="24"/>
      <c r="CY526" s="125" t="str">
        <f t="shared" si="482"/>
        <v/>
      </c>
      <c r="CZ526" s="125" t="str">
        <f t="shared" si="483"/>
        <v/>
      </c>
      <c r="DA526" s="125" t="str">
        <f t="shared" si="484"/>
        <v/>
      </c>
      <c r="DB526" s="129" t="str">
        <f t="shared" si="485"/>
        <v/>
      </c>
      <c r="DC526" s="9"/>
      <c r="DD526" s="65"/>
      <c r="DE526" s="105">
        <v>522</v>
      </c>
    </row>
    <row r="527" spans="1:109" outlineLevel="1" x14ac:dyDescent="0.2">
      <c r="A527" s="4"/>
      <c r="B527" s="115" t="str">
        <f>IF(_xlfn.XLOOKUP(A527, AutoFill_names!B:B, AutoFill_names!C:C,"")=0,"",_xlfn.XLOOKUP(A527, AutoFill_names!B:B, AutoFill_names!C:C,""))</f>
        <v/>
      </c>
      <c r="C527" s="115" t="str">
        <f>IF(_xlfn.XLOOKUP(A527, AutoFill_names!B:B, AutoFill_names!D:D,"")=0,"",_xlfn.XLOOKUP(A527, AutoFill_names!B:B, AutoFill_names!D:D,""))</f>
        <v/>
      </c>
      <c r="D527" s="115" t="str">
        <f>IF(_xlfn.XLOOKUP(A527, AutoFill_names!B:B, AutoFill_names!E:E,"")=0,"",_xlfn.XLOOKUP(A527, AutoFill_names!B:B, AutoFill_names!E:E,""))</f>
        <v/>
      </c>
      <c r="E527" s="115" t="str">
        <f>IF(_xlfn.XLOOKUP(A527, AutoFill_names!B:B, AutoFill_names!F:F,"")=0,"",_xlfn.XLOOKUP(A527, AutoFill_names!B:B, AutoFill_names!F:F,""))</f>
        <v/>
      </c>
      <c r="F527" s="92"/>
      <c r="G527" s="1"/>
      <c r="H527" s="1"/>
      <c r="I527" s="1"/>
      <c r="J527" s="115" t="str">
        <f>IF(_xlfn.XLOOKUP(A527, AutoFill_names!B:B, AutoFill_names!K:K,"")=0,"",_xlfn.XLOOKUP(A527, AutoFill_names!B:B, AutoFill_names!K:K,""))</f>
        <v/>
      </c>
      <c r="K527" s="115" t="str">
        <f>IF(_xlfn.XLOOKUP(A527, AutoFill_names!B:B, AutoFill_names!L:L,"")=0,"",_xlfn.XLOOKUP(A527, AutoFill_names!B:B, AutoFill_names!L:L,""))</f>
        <v/>
      </c>
      <c r="L527" s="5"/>
      <c r="M527" s="5"/>
      <c r="N527" s="117" t="str">
        <f>IF(_xlfn.XLOOKUP(L527, AutoFill_classes!A:A, AutoFill_classes!B:B,"")=0,"",_xlfn.XLOOKUP(L527, AutoFill_classes!A:A, AutoFill_classes!B:B,""))</f>
        <v/>
      </c>
      <c r="O527" s="108"/>
      <c r="P527" s="8"/>
      <c r="Q527" s="8"/>
      <c r="R527" s="8"/>
      <c r="S527" s="4"/>
      <c r="T527" s="4"/>
      <c r="U527" s="4"/>
      <c r="V527" s="4"/>
      <c r="W527" s="4"/>
      <c r="X527" s="64"/>
      <c r="Y527" s="25"/>
      <c r="Z527" s="121" t="str">
        <f t="shared" si="459"/>
        <v/>
      </c>
      <c r="AA527" s="26"/>
      <c r="AB527" s="26"/>
      <c r="AC527" s="28"/>
      <c r="AD527" s="28"/>
      <c r="AE527" s="125" t="str">
        <f t="shared" si="460"/>
        <v/>
      </c>
      <c r="AF527" s="9"/>
      <c r="AG527" s="125" t="str">
        <f t="shared" si="461"/>
        <v/>
      </c>
      <c r="AH527" s="28"/>
      <c r="AI527" s="28"/>
      <c r="AJ527" s="125" t="str">
        <f t="shared" si="462"/>
        <v/>
      </c>
      <c r="AK527" s="9"/>
      <c r="AL527" s="125" t="str">
        <f t="shared" si="463"/>
        <v/>
      </c>
      <c r="AM527" s="28"/>
      <c r="AN527" s="28"/>
      <c r="AO527" s="125" t="str">
        <f t="shared" si="464"/>
        <v/>
      </c>
      <c r="AP527" s="125" t="str">
        <f t="shared" si="465"/>
        <v/>
      </c>
      <c r="AQ527" s="125" t="str">
        <f t="shared" si="466"/>
        <v/>
      </c>
      <c r="AR527" s="129" t="str">
        <f t="shared" si="467"/>
        <v/>
      </c>
      <c r="AS527" s="9"/>
      <c r="AT527" s="34"/>
      <c r="AU527" s="34"/>
      <c r="AV527" s="117" t="str">
        <f>IF(_xlfn.XLOOKUP(AT527, AutoFill_classes!$A:$A, AutoFill_classes!$B:$B,"")=0,"",_xlfn.XLOOKUP(AT527, AutoFill_classes!$A:$A, AutoFill_classes!$B:$B,""))</f>
        <v/>
      </c>
      <c r="AW527" s="108"/>
      <c r="AX527" s="9"/>
      <c r="AY527" s="10"/>
      <c r="AZ527" s="9"/>
      <c r="BA527" s="10"/>
      <c r="BB527" s="10"/>
      <c r="BC527" s="64"/>
      <c r="BD527" s="25"/>
      <c r="BE527" s="121" t="str">
        <f t="shared" si="468"/>
        <v/>
      </c>
      <c r="BF527" s="20"/>
      <c r="BG527" s="20"/>
      <c r="BH527" s="24"/>
      <c r="BI527" s="24"/>
      <c r="BJ527" s="125" t="str">
        <f t="shared" si="469"/>
        <v/>
      </c>
      <c r="BK527" s="14"/>
      <c r="BL527" s="125" t="str">
        <f t="shared" si="470"/>
        <v/>
      </c>
      <c r="BM527" s="24"/>
      <c r="BN527" s="24"/>
      <c r="BO527" s="125" t="str">
        <f t="shared" si="471"/>
        <v/>
      </c>
      <c r="BP527" s="14"/>
      <c r="BQ527" s="125" t="str">
        <f t="shared" si="472"/>
        <v/>
      </c>
      <c r="BR527" s="24"/>
      <c r="BS527" s="24"/>
      <c r="BT527" s="125" t="str">
        <f t="shared" si="473"/>
        <v/>
      </c>
      <c r="BU527" s="125" t="str">
        <f t="shared" si="474"/>
        <v/>
      </c>
      <c r="BV527" s="125" t="str">
        <f t="shared" si="475"/>
        <v/>
      </c>
      <c r="BW527" s="129" t="str">
        <f t="shared" si="476"/>
        <v/>
      </c>
      <c r="BX527" s="9"/>
      <c r="BY527" s="9"/>
      <c r="BZ527" s="9"/>
      <c r="CA527" s="117" t="str">
        <f>IF(_xlfn.XLOOKUP(BY527, AutoFill_classes!$A:$A, AutoFill_classes!$B:$B,"")=0,"",_xlfn.XLOOKUP(BY527, AutoFill_classes!$A:$A, AutoFill_classes!$B:$B,""))</f>
        <v/>
      </c>
      <c r="CB527" s="108"/>
      <c r="CC527" s="9"/>
      <c r="CD527" s="9"/>
      <c r="CE527" s="9"/>
      <c r="CF527" s="4"/>
      <c r="CG527" s="25"/>
      <c r="CH527" s="64"/>
      <c r="CI527" s="27"/>
      <c r="CJ527" s="121" t="str">
        <f t="shared" si="477"/>
        <v/>
      </c>
      <c r="CK527" s="20"/>
      <c r="CL527" s="20"/>
      <c r="CM527" s="24"/>
      <c r="CN527" s="24"/>
      <c r="CO527" s="125" t="str">
        <f t="shared" si="478"/>
        <v/>
      </c>
      <c r="CP527" s="14"/>
      <c r="CQ527" s="125" t="str">
        <f t="shared" si="479"/>
        <v/>
      </c>
      <c r="CR527" s="24"/>
      <c r="CS527" s="24"/>
      <c r="CT527" s="125" t="str">
        <f t="shared" si="480"/>
        <v/>
      </c>
      <c r="CU527" s="14"/>
      <c r="CV527" s="125" t="str">
        <f t="shared" si="481"/>
        <v/>
      </c>
      <c r="CW527" s="24"/>
      <c r="CX527" s="24"/>
      <c r="CY527" s="125" t="str">
        <f t="shared" si="482"/>
        <v/>
      </c>
      <c r="CZ527" s="125" t="str">
        <f t="shared" si="483"/>
        <v/>
      </c>
      <c r="DA527" s="125" t="str">
        <f t="shared" si="484"/>
        <v/>
      </c>
      <c r="DB527" s="129" t="str">
        <f t="shared" si="485"/>
        <v/>
      </c>
      <c r="DC527" s="9"/>
      <c r="DD527" s="65"/>
      <c r="DE527" s="105">
        <v>523</v>
      </c>
    </row>
    <row r="528" spans="1:109" outlineLevel="1" x14ac:dyDescent="0.2">
      <c r="A528" s="4"/>
      <c r="B528" s="115" t="str">
        <f>IF(_xlfn.XLOOKUP(A528, AutoFill_names!B:B, AutoFill_names!C:C,"")=0,"",_xlfn.XLOOKUP(A528, AutoFill_names!B:B, AutoFill_names!C:C,""))</f>
        <v/>
      </c>
      <c r="C528" s="115" t="str">
        <f>IF(_xlfn.XLOOKUP(A528, AutoFill_names!B:B, AutoFill_names!D:D,"")=0,"",_xlfn.XLOOKUP(A528, AutoFill_names!B:B, AutoFill_names!D:D,""))</f>
        <v/>
      </c>
      <c r="D528" s="115" t="str">
        <f>IF(_xlfn.XLOOKUP(A528, AutoFill_names!B:B, AutoFill_names!E:E,"")=0,"",_xlfn.XLOOKUP(A528, AutoFill_names!B:B, AutoFill_names!E:E,""))</f>
        <v/>
      </c>
      <c r="E528" s="115" t="str">
        <f>IF(_xlfn.XLOOKUP(A528, AutoFill_names!B:B, AutoFill_names!F:F,"")=0,"",_xlfn.XLOOKUP(A528, AutoFill_names!B:B, AutoFill_names!F:F,""))</f>
        <v/>
      </c>
      <c r="F528" s="92"/>
      <c r="G528" s="1"/>
      <c r="H528" s="1"/>
      <c r="I528" s="1"/>
      <c r="J528" s="115" t="str">
        <f>IF(_xlfn.XLOOKUP(A528, AutoFill_names!B:B, AutoFill_names!K:K,"")=0,"",_xlfn.XLOOKUP(A528, AutoFill_names!B:B, AutoFill_names!K:K,""))</f>
        <v/>
      </c>
      <c r="K528" s="115" t="str">
        <f>IF(_xlfn.XLOOKUP(A528, AutoFill_names!B:B, AutoFill_names!L:L,"")=0,"",_xlfn.XLOOKUP(A528, AutoFill_names!B:B, AutoFill_names!L:L,""))</f>
        <v/>
      </c>
      <c r="L528" s="5"/>
      <c r="M528" s="5"/>
      <c r="N528" s="117" t="str">
        <f>IF(_xlfn.XLOOKUP(L528, AutoFill_classes!A:A, AutoFill_classes!B:B,"")=0,"",_xlfn.XLOOKUP(L528, AutoFill_classes!A:A, AutoFill_classes!B:B,""))</f>
        <v/>
      </c>
      <c r="O528" s="108"/>
      <c r="P528" s="8"/>
      <c r="Q528" s="8"/>
      <c r="R528" s="8"/>
      <c r="S528" s="4"/>
      <c r="T528" s="4"/>
      <c r="U528" s="4"/>
      <c r="V528" s="4"/>
      <c r="W528" s="4"/>
      <c r="X528" s="64"/>
      <c r="Y528" s="25"/>
      <c r="Z528" s="121" t="str">
        <f t="shared" si="459"/>
        <v/>
      </c>
      <c r="AA528" s="26"/>
      <c r="AB528" s="26"/>
      <c r="AC528" s="28"/>
      <c r="AD528" s="28"/>
      <c r="AE528" s="125" t="str">
        <f t="shared" si="460"/>
        <v/>
      </c>
      <c r="AF528" s="9"/>
      <c r="AG528" s="125" t="str">
        <f t="shared" si="461"/>
        <v/>
      </c>
      <c r="AH528" s="28"/>
      <c r="AI528" s="28"/>
      <c r="AJ528" s="125" t="str">
        <f t="shared" si="462"/>
        <v/>
      </c>
      <c r="AK528" s="9"/>
      <c r="AL528" s="125" t="str">
        <f t="shared" si="463"/>
        <v/>
      </c>
      <c r="AM528" s="28"/>
      <c r="AN528" s="28"/>
      <c r="AO528" s="125" t="str">
        <f t="shared" si="464"/>
        <v/>
      </c>
      <c r="AP528" s="125" t="str">
        <f t="shared" si="465"/>
        <v/>
      </c>
      <c r="AQ528" s="125" t="str">
        <f t="shared" si="466"/>
        <v/>
      </c>
      <c r="AR528" s="129" t="str">
        <f t="shared" si="467"/>
        <v/>
      </c>
      <c r="AS528" s="9"/>
      <c r="AT528" s="34"/>
      <c r="AU528" s="34"/>
      <c r="AV528" s="117" t="str">
        <f>IF(_xlfn.XLOOKUP(AT528, AutoFill_classes!$A:$A, AutoFill_classes!$B:$B,"")=0,"",_xlfn.XLOOKUP(AT528, AutoFill_classes!$A:$A, AutoFill_classes!$B:$B,""))</f>
        <v/>
      </c>
      <c r="AW528" s="108"/>
      <c r="AX528" s="9"/>
      <c r="AY528" s="10"/>
      <c r="AZ528" s="9"/>
      <c r="BA528" s="10"/>
      <c r="BB528" s="10"/>
      <c r="BC528" s="64"/>
      <c r="BD528" s="25"/>
      <c r="BE528" s="121" t="str">
        <f t="shared" si="468"/>
        <v/>
      </c>
      <c r="BF528" s="20"/>
      <c r="BG528" s="20"/>
      <c r="BH528" s="24"/>
      <c r="BI528" s="24"/>
      <c r="BJ528" s="125" t="str">
        <f t="shared" si="469"/>
        <v/>
      </c>
      <c r="BK528" s="14"/>
      <c r="BL528" s="125" t="str">
        <f t="shared" si="470"/>
        <v/>
      </c>
      <c r="BM528" s="24"/>
      <c r="BN528" s="24"/>
      <c r="BO528" s="125" t="str">
        <f t="shared" si="471"/>
        <v/>
      </c>
      <c r="BP528" s="14"/>
      <c r="BQ528" s="125" t="str">
        <f t="shared" si="472"/>
        <v/>
      </c>
      <c r="BR528" s="24"/>
      <c r="BS528" s="24"/>
      <c r="BT528" s="125" t="str">
        <f t="shared" si="473"/>
        <v/>
      </c>
      <c r="BU528" s="125" t="str">
        <f t="shared" si="474"/>
        <v/>
      </c>
      <c r="BV528" s="125" t="str">
        <f t="shared" si="475"/>
        <v/>
      </c>
      <c r="BW528" s="129" t="str">
        <f t="shared" si="476"/>
        <v/>
      </c>
      <c r="BX528" s="9"/>
      <c r="BY528" s="9"/>
      <c r="BZ528" s="9"/>
      <c r="CA528" s="117" t="str">
        <f>IF(_xlfn.XLOOKUP(BY528, AutoFill_classes!$A:$A, AutoFill_classes!$B:$B,"")=0,"",_xlfn.XLOOKUP(BY528, AutoFill_classes!$A:$A, AutoFill_classes!$B:$B,""))</f>
        <v/>
      </c>
      <c r="CB528" s="108"/>
      <c r="CC528" s="9"/>
      <c r="CD528" s="9"/>
      <c r="CE528" s="9"/>
      <c r="CF528" s="4"/>
      <c r="CG528" s="25"/>
      <c r="CH528" s="64"/>
      <c r="CI528" s="27"/>
      <c r="CJ528" s="121" t="str">
        <f t="shared" si="477"/>
        <v/>
      </c>
      <c r="CK528" s="20"/>
      <c r="CL528" s="20"/>
      <c r="CM528" s="24"/>
      <c r="CN528" s="24"/>
      <c r="CO528" s="125" t="str">
        <f t="shared" si="478"/>
        <v/>
      </c>
      <c r="CP528" s="14"/>
      <c r="CQ528" s="125" t="str">
        <f t="shared" si="479"/>
        <v/>
      </c>
      <c r="CR528" s="24"/>
      <c r="CS528" s="24"/>
      <c r="CT528" s="125" t="str">
        <f t="shared" si="480"/>
        <v/>
      </c>
      <c r="CU528" s="14"/>
      <c r="CV528" s="125" t="str">
        <f t="shared" si="481"/>
        <v/>
      </c>
      <c r="CW528" s="24"/>
      <c r="CX528" s="24"/>
      <c r="CY528" s="125" t="str">
        <f t="shared" si="482"/>
        <v/>
      </c>
      <c r="CZ528" s="125" t="str">
        <f t="shared" si="483"/>
        <v/>
      </c>
      <c r="DA528" s="125" t="str">
        <f t="shared" si="484"/>
        <v/>
      </c>
      <c r="DB528" s="129" t="str">
        <f t="shared" si="485"/>
        <v/>
      </c>
      <c r="DC528" s="9"/>
      <c r="DD528" s="65"/>
      <c r="DE528" s="105">
        <v>524</v>
      </c>
    </row>
    <row r="529" spans="1:109" outlineLevel="1" x14ac:dyDescent="0.2">
      <c r="A529" s="4"/>
      <c r="B529" s="115" t="str">
        <f>IF(_xlfn.XLOOKUP(A529, AutoFill_names!B:B, AutoFill_names!C:C,"")=0,"",_xlfn.XLOOKUP(A529, AutoFill_names!B:B, AutoFill_names!C:C,""))</f>
        <v/>
      </c>
      <c r="C529" s="115" t="str">
        <f>IF(_xlfn.XLOOKUP(A529, AutoFill_names!B:B, AutoFill_names!D:D,"")=0,"",_xlfn.XLOOKUP(A529, AutoFill_names!B:B, AutoFill_names!D:D,""))</f>
        <v/>
      </c>
      <c r="D529" s="115" t="str">
        <f>IF(_xlfn.XLOOKUP(A529, AutoFill_names!B:B, AutoFill_names!E:E,"")=0,"",_xlfn.XLOOKUP(A529, AutoFill_names!B:B, AutoFill_names!E:E,""))</f>
        <v/>
      </c>
      <c r="E529" s="115" t="str">
        <f>IF(_xlfn.XLOOKUP(A529, AutoFill_names!B:B, AutoFill_names!F:F,"")=0,"",_xlfn.XLOOKUP(A529, AutoFill_names!B:B, AutoFill_names!F:F,""))</f>
        <v/>
      </c>
      <c r="F529" s="92"/>
      <c r="G529" s="1"/>
      <c r="H529" s="1"/>
      <c r="I529" s="1"/>
      <c r="J529" s="115" t="str">
        <f>IF(_xlfn.XLOOKUP(A529, AutoFill_names!B:B, AutoFill_names!K:K,"")=0,"",_xlfn.XLOOKUP(A529, AutoFill_names!B:B, AutoFill_names!K:K,""))</f>
        <v/>
      </c>
      <c r="K529" s="115" t="str">
        <f>IF(_xlfn.XLOOKUP(A529, AutoFill_names!B:B, AutoFill_names!L:L,"")=0,"",_xlfn.XLOOKUP(A529, AutoFill_names!B:B, AutoFill_names!L:L,""))</f>
        <v/>
      </c>
      <c r="L529" s="5"/>
      <c r="M529" s="5"/>
      <c r="N529" s="117" t="str">
        <f>IF(_xlfn.XLOOKUP(L529, AutoFill_classes!A:A, AutoFill_classes!B:B,"")=0,"",_xlfn.XLOOKUP(L529, AutoFill_classes!A:A, AutoFill_classes!B:B,""))</f>
        <v/>
      </c>
      <c r="O529" s="108"/>
      <c r="P529" s="8"/>
      <c r="Q529" s="8"/>
      <c r="R529" s="8"/>
      <c r="S529" s="4"/>
      <c r="T529" s="4"/>
      <c r="U529" s="4"/>
      <c r="V529" s="4"/>
      <c r="W529" s="4"/>
      <c r="X529" s="64"/>
      <c r="Y529" s="25"/>
      <c r="Z529" s="121" t="str">
        <f t="shared" si="459"/>
        <v/>
      </c>
      <c r="AA529" s="26"/>
      <c r="AB529" s="26"/>
      <c r="AC529" s="28"/>
      <c r="AD529" s="28"/>
      <c r="AE529" s="125" t="str">
        <f t="shared" si="460"/>
        <v/>
      </c>
      <c r="AF529" s="9"/>
      <c r="AG529" s="125" t="str">
        <f t="shared" si="461"/>
        <v/>
      </c>
      <c r="AH529" s="28"/>
      <c r="AI529" s="28"/>
      <c r="AJ529" s="125" t="str">
        <f t="shared" si="462"/>
        <v/>
      </c>
      <c r="AK529" s="9"/>
      <c r="AL529" s="125" t="str">
        <f t="shared" si="463"/>
        <v/>
      </c>
      <c r="AM529" s="28"/>
      <c r="AN529" s="28"/>
      <c r="AO529" s="125" t="str">
        <f t="shared" si="464"/>
        <v/>
      </c>
      <c r="AP529" s="125" t="str">
        <f t="shared" si="465"/>
        <v/>
      </c>
      <c r="AQ529" s="125" t="str">
        <f t="shared" si="466"/>
        <v/>
      </c>
      <c r="AR529" s="129" t="str">
        <f t="shared" si="467"/>
        <v/>
      </c>
      <c r="AS529" s="9"/>
      <c r="AT529" s="34"/>
      <c r="AU529" s="34"/>
      <c r="AV529" s="117" t="str">
        <f>IF(_xlfn.XLOOKUP(AT529, AutoFill_classes!$A:$A, AutoFill_classes!$B:$B,"")=0,"",_xlfn.XLOOKUP(AT529, AutoFill_classes!$A:$A, AutoFill_classes!$B:$B,""))</f>
        <v/>
      </c>
      <c r="AW529" s="108"/>
      <c r="AX529" s="9"/>
      <c r="AY529" s="10"/>
      <c r="AZ529" s="9"/>
      <c r="BA529" s="10"/>
      <c r="BB529" s="10"/>
      <c r="BC529" s="64"/>
      <c r="BD529" s="25"/>
      <c r="BE529" s="121" t="str">
        <f t="shared" si="468"/>
        <v/>
      </c>
      <c r="BF529" s="20"/>
      <c r="BG529" s="20"/>
      <c r="BH529" s="24"/>
      <c r="BI529" s="24"/>
      <c r="BJ529" s="125" t="str">
        <f t="shared" si="469"/>
        <v/>
      </c>
      <c r="BK529" s="14"/>
      <c r="BL529" s="125" t="str">
        <f t="shared" si="470"/>
        <v/>
      </c>
      <c r="BM529" s="24"/>
      <c r="BN529" s="24"/>
      <c r="BO529" s="125" t="str">
        <f t="shared" si="471"/>
        <v/>
      </c>
      <c r="BP529" s="14"/>
      <c r="BQ529" s="125" t="str">
        <f t="shared" si="472"/>
        <v/>
      </c>
      <c r="BR529" s="24"/>
      <c r="BS529" s="24"/>
      <c r="BT529" s="125" t="str">
        <f t="shared" si="473"/>
        <v/>
      </c>
      <c r="BU529" s="125" t="str">
        <f t="shared" si="474"/>
        <v/>
      </c>
      <c r="BV529" s="125" t="str">
        <f t="shared" si="475"/>
        <v/>
      </c>
      <c r="BW529" s="129" t="str">
        <f t="shared" si="476"/>
        <v/>
      </c>
      <c r="BX529" s="9"/>
      <c r="BY529" s="9"/>
      <c r="BZ529" s="9"/>
      <c r="CA529" s="117" t="str">
        <f>IF(_xlfn.XLOOKUP(BY529, AutoFill_classes!$A:$A, AutoFill_classes!$B:$B,"")=0,"",_xlfn.XLOOKUP(BY529, AutoFill_classes!$A:$A, AutoFill_classes!$B:$B,""))</f>
        <v/>
      </c>
      <c r="CB529" s="108"/>
      <c r="CC529" s="9"/>
      <c r="CD529" s="9"/>
      <c r="CE529" s="9"/>
      <c r="CF529" s="4"/>
      <c r="CG529" s="25"/>
      <c r="CH529" s="64"/>
      <c r="CI529" s="27"/>
      <c r="CJ529" s="121" t="str">
        <f t="shared" si="477"/>
        <v/>
      </c>
      <c r="CK529" s="20"/>
      <c r="CL529" s="20"/>
      <c r="CM529" s="24"/>
      <c r="CN529" s="24"/>
      <c r="CO529" s="125" t="str">
        <f t="shared" si="478"/>
        <v/>
      </c>
      <c r="CP529" s="14"/>
      <c r="CQ529" s="125" t="str">
        <f t="shared" si="479"/>
        <v/>
      </c>
      <c r="CR529" s="24"/>
      <c r="CS529" s="24"/>
      <c r="CT529" s="125" t="str">
        <f t="shared" si="480"/>
        <v/>
      </c>
      <c r="CU529" s="14"/>
      <c r="CV529" s="125" t="str">
        <f t="shared" si="481"/>
        <v/>
      </c>
      <c r="CW529" s="24"/>
      <c r="CX529" s="24"/>
      <c r="CY529" s="125" t="str">
        <f t="shared" si="482"/>
        <v/>
      </c>
      <c r="CZ529" s="125" t="str">
        <f t="shared" si="483"/>
        <v/>
      </c>
      <c r="DA529" s="125" t="str">
        <f t="shared" si="484"/>
        <v/>
      </c>
      <c r="DB529" s="129" t="str">
        <f t="shared" si="485"/>
        <v/>
      </c>
      <c r="DC529" s="9"/>
      <c r="DD529" s="65"/>
      <c r="DE529" s="105">
        <v>525</v>
      </c>
    </row>
    <row r="530" spans="1:109" outlineLevel="1" x14ac:dyDescent="0.2">
      <c r="A530" s="4"/>
      <c r="B530" s="115" t="str">
        <f>IF(_xlfn.XLOOKUP(A530, AutoFill_names!B:B, AutoFill_names!C:C,"")=0,"",_xlfn.XLOOKUP(A530, AutoFill_names!B:B, AutoFill_names!C:C,""))</f>
        <v/>
      </c>
      <c r="C530" s="115" t="str">
        <f>IF(_xlfn.XLOOKUP(A530, AutoFill_names!B:B, AutoFill_names!D:D,"")=0,"",_xlfn.XLOOKUP(A530, AutoFill_names!B:B, AutoFill_names!D:D,""))</f>
        <v/>
      </c>
      <c r="D530" s="115" t="str">
        <f>IF(_xlfn.XLOOKUP(A530, AutoFill_names!B:B, AutoFill_names!E:E,"")=0,"",_xlfn.XLOOKUP(A530, AutoFill_names!B:B, AutoFill_names!E:E,""))</f>
        <v/>
      </c>
      <c r="E530" s="115" t="str">
        <f>IF(_xlfn.XLOOKUP(A530, AutoFill_names!B:B, AutoFill_names!F:F,"")=0,"",_xlfn.XLOOKUP(A530, AutoFill_names!B:B, AutoFill_names!F:F,""))</f>
        <v/>
      </c>
      <c r="F530" s="92"/>
      <c r="G530" s="1"/>
      <c r="H530" s="1"/>
      <c r="I530" s="1"/>
      <c r="J530" s="115" t="str">
        <f>IF(_xlfn.XLOOKUP(A530, AutoFill_names!B:B, AutoFill_names!K:K,"")=0,"",_xlfn.XLOOKUP(A530, AutoFill_names!B:B, AutoFill_names!K:K,""))</f>
        <v/>
      </c>
      <c r="K530" s="115" t="str">
        <f>IF(_xlfn.XLOOKUP(A530, AutoFill_names!B:B, AutoFill_names!L:L,"")=0,"",_xlfn.XLOOKUP(A530, AutoFill_names!B:B, AutoFill_names!L:L,""))</f>
        <v/>
      </c>
      <c r="L530" s="5"/>
      <c r="M530" s="5"/>
      <c r="N530" s="117" t="str">
        <f>IF(_xlfn.XLOOKUP(L530, AutoFill_classes!A:A, AutoFill_classes!B:B,"")=0,"",_xlfn.XLOOKUP(L530, AutoFill_classes!A:A, AutoFill_classes!B:B,""))</f>
        <v/>
      </c>
      <c r="O530" s="108"/>
      <c r="P530" s="8"/>
      <c r="Q530" s="8"/>
      <c r="R530" s="8"/>
      <c r="S530" s="4"/>
      <c r="T530" s="4"/>
      <c r="U530" s="4"/>
      <c r="V530" s="4"/>
      <c r="W530" s="4"/>
      <c r="X530" s="64"/>
      <c r="Y530" s="25"/>
      <c r="Z530" s="121" t="str">
        <f t="shared" si="459"/>
        <v/>
      </c>
      <c r="AA530" s="26"/>
      <c r="AB530" s="26"/>
      <c r="AC530" s="28"/>
      <c r="AD530" s="28"/>
      <c r="AE530" s="125" t="str">
        <f t="shared" si="460"/>
        <v/>
      </c>
      <c r="AF530" s="9"/>
      <c r="AG530" s="125" t="str">
        <f t="shared" si="461"/>
        <v/>
      </c>
      <c r="AH530" s="28"/>
      <c r="AI530" s="28"/>
      <c r="AJ530" s="125" t="str">
        <f t="shared" si="462"/>
        <v/>
      </c>
      <c r="AK530" s="9"/>
      <c r="AL530" s="125" t="str">
        <f t="shared" si="463"/>
        <v/>
      </c>
      <c r="AM530" s="28"/>
      <c r="AN530" s="28"/>
      <c r="AO530" s="125" t="str">
        <f t="shared" si="464"/>
        <v/>
      </c>
      <c r="AP530" s="125" t="str">
        <f t="shared" si="465"/>
        <v/>
      </c>
      <c r="AQ530" s="125" t="str">
        <f t="shared" si="466"/>
        <v/>
      </c>
      <c r="AR530" s="129" t="str">
        <f t="shared" si="467"/>
        <v/>
      </c>
      <c r="AS530" s="9"/>
      <c r="AT530" s="34"/>
      <c r="AU530" s="34"/>
      <c r="AV530" s="117" t="str">
        <f>IF(_xlfn.XLOOKUP(AT530, AutoFill_classes!$A:$A, AutoFill_classes!$B:$B,"")=0,"",_xlfn.XLOOKUP(AT530, AutoFill_classes!$A:$A, AutoFill_classes!$B:$B,""))</f>
        <v/>
      </c>
      <c r="AW530" s="108"/>
      <c r="AX530" s="9"/>
      <c r="AY530" s="10"/>
      <c r="AZ530" s="9"/>
      <c r="BA530" s="10"/>
      <c r="BB530" s="10"/>
      <c r="BC530" s="64"/>
      <c r="BD530" s="25"/>
      <c r="BE530" s="121" t="str">
        <f t="shared" si="468"/>
        <v/>
      </c>
      <c r="BF530" s="20"/>
      <c r="BG530" s="20"/>
      <c r="BH530" s="24"/>
      <c r="BI530" s="24"/>
      <c r="BJ530" s="125" t="str">
        <f t="shared" si="469"/>
        <v/>
      </c>
      <c r="BK530" s="14"/>
      <c r="BL530" s="125" t="str">
        <f t="shared" si="470"/>
        <v/>
      </c>
      <c r="BM530" s="24"/>
      <c r="BN530" s="24"/>
      <c r="BO530" s="125" t="str">
        <f t="shared" si="471"/>
        <v/>
      </c>
      <c r="BP530" s="14"/>
      <c r="BQ530" s="125" t="str">
        <f t="shared" si="472"/>
        <v/>
      </c>
      <c r="BR530" s="24"/>
      <c r="BS530" s="24"/>
      <c r="BT530" s="125" t="str">
        <f t="shared" si="473"/>
        <v/>
      </c>
      <c r="BU530" s="125" t="str">
        <f t="shared" si="474"/>
        <v/>
      </c>
      <c r="BV530" s="125" t="str">
        <f t="shared" si="475"/>
        <v/>
      </c>
      <c r="BW530" s="129" t="str">
        <f t="shared" si="476"/>
        <v/>
      </c>
      <c r="BX530" s="9"/>
      <c r="BY530" s="9"/>
      <c r="BZ530" s="9"/>
      <c r="CA530" s="117" t="str">
        <f>IF(_xlfn.XLOOKUP(BY530, AutoFill_classes!$A:$A, AutoFill_classes!$B:$B,"")=0,"",_xlfn.XLOOKUP(BY530, AutoFill_classes!$A:$A, AutoFill_classes!$B:$B,""))</f>
        <v/>
      </c>
      <c r="CB530" s="108"/>
      <c r="CC530" s="9"/>
      <c r="CD530" s="9"/>
      <c r="CE530" s="9"/>
      <c r="CF530" s="4"/>
      <c r="CG530" s="25"/>
      <c r="CH530" s="64"/>
      <c r="CI530" s="27"/>
      <c r="CJ530" s="121" t="str">
        <f t="shared" si="477"/>
        <v/>
      </c>
      <c r="CK530" s="20"/>
      <c r="CL530" s="20"/>
      <c r="CM530" s="24"/>
      <c r="CN530" s="24"/>
      <c r="CO530" s="125" t="str">
        <f t="shared" si="478"/>
        <v/>
      </c>
      <c r="CP530" s="14"/>
      <c r="CQ530" s="125" t="str">
        <f t="shared" si="479"/>
        <v/>
      </c>
      <c r="CR530" s="24"/>
      <c r="CS530" s="24"/>
      <c r="CT530" s="125" t="str">
        <f t="shared" si="480"/>
        <v/>
      </c>
      <c r="CU530" s="14"/>
      <c r="CV530" s="125" t="str">
        <f t="shared" si="481"/>
        <v/>
      </c>
      <c r="CW530" s="24"/>
      <c r="CX530" s="24"/>
      <c r="CY530" s="125" t="str">
        <f t="shared" si="482"/>
        <v/>
      </c>
      <c r="CZ530" s="125" t="str">
        <f t="shared" si="483"/>
        <v/>
      </c>
      <c r="DA530" s="125" t="str">
        <f t="shared" si="484"/>
        <v/>
      </c>
      <c r="DB530" s="129" t="str">
        <f t="shared" si="485"/>
        <v/>
      </c>
      <c r="DC530" s="9"/>
      <c r="DD530" s="65"/>
      <c r="DE530" s="105">
        <v>526</v>
      </c>
    </row>
    <row r="531" spans="1:109" outlineLevel="1" x14ac:dyDescent="0.2">
      <c r="A531" s="4"/>
      <c r="B531" s="115" t="str">
        <f>IF(_xlfn.XLOOKUP(A531, AutoFill_names!B:B, AutoFill_names!C:C,"")=0,"",_xlfn.XLOOKUP(A531, AutoFill_names!B:B, AutoFill_names!C:C,""))</f>
        <v/>
      </c>
      <c r="C531" s="115" t="str">
        <f>IF(_xlfn.XLOOKUP(A531, AutoFill_names!B:B, AutoFill_names!D:D,"")=0,"",_xlfn.XLOOKUP(A531, AutoFill_names!B:B, AutoFill_names!D:D,""))</f>
        <v/>
      </c>
      <c r="D531" s="115" t="str">
        <f>IF(_xlfn.XLOOKUP(A531, AutoFill_names!B:B, AutoFill_names!E:E,"")=0,"",_xlfn.XLOOKUP(A531, AutoFill_names!B:B, AutoFill_names!E:E,""))</f>
        <v/>
      </c>
      <c r="E531" s="115" t="str">
        <f>IF(_xlfn.XLOOKUP(A531, AutoFill_names!B:B, AutoFill_names!F:F,"")=0,"",_xlfn.XLOOKUP(A531, AutoFill_names!B:B, AutoFill_names!F:F,""))</f>
        <v/>
      </c>
      <c r="F531" s="92"/>
      <c r="G531" s="1"/>
      <c r="H531" s="1"/>
      <c r="I531" s="1"/>
      <c r="J531" s="115" t="str">
        <f>IF(_xlfn.XLOOKUP(A531, AutoFill_names!B:B, AutoFill_names!K:K,"")=0,"",_xlfn.XLOOKUP(A531, AutoFill_names!B:B, AutoFill_names!K:K,""))</f>
        <v/>
      </c>
      <c r="K531" s="115" t="str">
        <f>IF(_xlfn.XLOOKUP(A531, AutoFill_names!B:B, AutoFill_names!L:L,"")=0,"",_xlfn.XLOOKUP(A531, AutoFill_names!B:B, AutoFill_names!L:L,""))</f>
        <v/>
      </c>
      <c r="L531" s="5"/>
      <c r="M531" s="5"/>
      <c r="N531" s="117" t="str">
        <f>IF(_xlfn.XLOOKUP(L531, AutoFill_classes!A:A, AutoFill_classes!B:B,"")=0,"",_xlfn.XLOOKUP(L531, AutoFill_classes!A:A, AutoFill_classes!B:B,""))</f>
        <v/>
      </c>
      <c r="O531" s="108"/>
      <c r="P531" s="8"/>
      <c r="Q531" s="8"/>
      <c r="R531" s="8"/>
      <c r="S531" s="4"/>
      <c r="T531" s="4"/>
      <c r="U531" s="4"/>
      <c r="V531" s="4"/>
      <c r="W531" s="4"/>
      <c r="X531" s="64"/>
      <c r="Y531" s="25"/>
      <c r="Z531" s="121" t="str">
        <f t="shared" si="459"/>
        <v/>
      </c>
      <c r="AA531" s="26"/>
      <c r="AB531" s="26"/>
      <c r="AC531" s="28"/>
      <c r="AD531" s="28"/>
      <c r="AE531" s="125" t="str">
        <f t="shared" si="460"/>
        <v/>
      </c>
      <c r="AF531" s="9"/>
      <c r="AG531" s="125" t="str">
        <f t="shared" si="461"/>
        <v/>
      </c>
      <c r="AH531" s="28"/>
      <c r="AI531" s="28"/>
      <c r="AJ531" s="125" t="str">
        <f t="shared" si="462"/>
        <v/>
      </c>
      <c r="AK531" s="9"/>
      <c r="AL531" s="125" t="str">
        <f t="shared" si="463"/>
        <v/>
      </c>
      <c r="AM531" s="28"/>
      <c r="AN531" s="28"/>
      <c r="AO531" s="125" t="str">
        <f t="shared" si="464"/>
        <v/>
      </c>
      <c r="AP531" s="125" t="str">
        <f t="shared" si="465"/>
        <v/>
      </c>
      <c r="AQ531" s="125" t="str">
        <f t="shared" si="466"/>
        <v/>
      </c>
      <c r="AR531" s="129" t="str">
        <f t="shared" si="467"/>
        <v/>
      </c>
      <c r="AS531" s="9"/>
      <c r="AT531" s="34"/>
      <c r="AU531" s="34"/>
      <c r="AV531" s="117" t="str">
        <f>IF(_xlfn.XLOOKUP(AT531, AutoFill_classes!$A:$A, AutoFill_classes!$B:$B,"")=0,"",_xlfn.XLOOKUP(AT531, AutoFill_classes!$A:$A, AutoFill_classes!$B:$B,""))</f>
        <v/>
      </c>
      <c r="AW531" s="108"/>
      <c r="AX531" s="9"/>
      <c r="AY531" s="10"/>
      <c r="AZ531" s="9"/>
      <c r="BA531" s="10"/>
      <c r="BB531" s="10"/>
      <c r="BC531" s="64"/>
      <c r="BD531" s="25"/>
      <c r="BE531" s="121" t="str">
        <f t="shared" si="468"/>
        <v/>
      </c>
      <c r="BF531" s="20"/>
      <c r="BG531" s="20"/>
      <c r="BH531" s="24"/>
      <c r="BI531" s="24"/>
      <c r="BJ531" s="125" t="str">
        <f t="shared" si="469"/>
        <v/>
      </c>
      <c r="BK531" s="14"/>
      <c r="BL531" s="125" t="str">
        <f t="shared" si="470"/>
        <v/>
      </c>
      <c r="BM531" s="24"/>
      <c r="BN531" s="24"/>
      <c r="BO531" s="125" t="str">
        <f t="shared" si="471"/>
        <v/>
      </c>
      <c r="BP531" s="14"/>
      <c r="BQ531" s="125" t="str">
        <f t="shared" si="472"/>
        <v/>
      </c>
      <c r="BR531" s="24"/>
      <c r="BS531" s="24"/>
      <c r="BT531" s="125" t="str">
        <f t="shared" si="473"/>
        <v/>
      </c>
      <c r="BU531" s="125" t="str">
        <f t="shared" si="474"/>
        <v/>
      </c>
      <c r="BV531" s="125" t="str">
        <f t="shared" si="475"/>
        <v/>
      </c>
      <c r="BW531" s="129" t="str">
        <f t="shared" si="476"/>
        <v/>
      </c>
      <c r="BX531" s="9"/>
      <c r="BY531" s="9"/>
      <c r="BZ531" s="9"/>
      <c r="CA531" s="117" t="str">
        <f>IF(_xlfn.XLOOKUP(BY531, AutoFill_classes!$A:$A, AutoFill_classes!$B:$B,"")=0,"",_xlfn.XLOOKUP(BY531, AutoFill_classes!$A:$A, AutoFill_classes!$B:$B,""))</f>
        <v/>
      </c>
      <c r="CB531" s="108"/>
      <c r="CC531" s="9"/>
      <c r="CD531" s="9"/>
      <c r="CE531" s="9"/>
      <c r="CF531" s="4"/>
      <c r="CG531" s="25"/>
      <c r="CH531" s="64"/>
      <c r="CI531" s="27"/>
      <c r="CJ531" s="121" t="str">
        <f t="shared" si="477"/>
        <v/>
      </c>
      <c r="CK531" s="20"/>
      <c r="CL531" s="20"/>
      <c r="CM531" s="24"/>
      <c r="CN531" s="24"/>
      <c r="CO531" s="125" t="str">
        <f t="shared" si="478"/>
        <v/>
      </c>
      <c r="CP531" s="14"/>
      <c r="CQ531" s="125" t="str">
        <f t="shared" si="479"/>
        <v/>
      </c>
      <c r="CR531" s="24"/>
      <c r="CS531" s="24"/>
      <c r="CT531" s="125" t="str">
        <f t="shared" si="480"/>
        <v/>
      </c>
      <c r="CU531" s="14"/>
      <c r="CV531" s="125" t="str">
        <f t="shared" si="481"/>
        <v/>
      </c>
      <c r="CW531" s="24"/>
      <c r="CX531" s="24"/>
      <c r="CY531" s="125" t="str">
        <f t="shared" si="482"/>
        <v/>
      </c>
      <c r="CZ531" s="125" t="str">
        <f t="shared" si="483"/>
        <v/>
      </c>
      <c r="DA531" s="125" t="str">
        <f t="shared" si="484"/>
        <v/>
      </c>
      <c r="DB531" s="129" t="str">
        <f t="shared" si="485"/>
        <v/>
      </c>
      <c r="DC531" s="9"/>
      <c r="DD531" s="65"/>
      <c r="DE531" s="105">
        <v>527</v>
      </c>
    </row>
    <row r="532" spans="1:109" outlineLevel="1" x14ac:dyDescent="0.2">
      <c r="A532" s="4"/>
      <c r="B532" s="115" t="str">
        <f>IF(_xlfn.XLOOKUP(A532, AutoFill_names!B:B, AutoFill_names!C:C,"")=0,"",_xlfn.XLOOKUP(A532, AutoFill_names!B:B, AutoFill_names!C:C,""))</f>
        <v/>
      </c>
      <c r="C532" s="115" t="str">
        <f>IF(_xlfn.XLOOKUP(A532, AutoFill_names!B:B, AutoFill_names!D:D,"")=0,"",_xlfn.XLOOKUP(A532, AutoFill_names!B:B, AutoFill_names!D:D,""))</f>
        <v/>
      </c>
      <c r="D532" s="115" t="str">
        <f>IF(_xlfn.XLOOKUP(A532, AutoFill_names!B:B, AutoFill_names!E:E,"")=0,"",_xlfn.XLOOKUP(A532, AutoFill_names!B:B, AutoFill_names!E:E,""))</f>
        <v/>
      </c>
      <c r="E532" s="115" t="str">
        <f>IF(_xlfn.XLOOKUP(A532, AutoFill_names!B:B, AutoFill_names!F:F,"")=0,"",_xlfn.XLOOKUP(A532, AutoFill_names!B:B, AutoFill_names!F:F,""))</f>
        <v/>
      </c>
      <c r="F532" s="92"/>
      <c r="G532" s="1"/>
      <c r="H532" s="1"/>
      <c r="I532" s="1"/>
      <c r="J532" s="115" t="str">
        <f>IF(_xlfn.XLOOKUP(A532, AutoFill_names!B:B, AutoFill_names!K:K,"")=0,"",_xlfn.XLOOKUP(A532, AutoFill_names!B:B, AutoFill_names!K:K,""))</f>
        <v/>
      </c>
      <c r="K532" s="115" t="str">
        <f>IF(_xlfn.XLOOKUP(A532, AutoFill_names!B:B, AutoFill_names!L:L,"")=0,"",_xlfn.XLOOKUP(A532, AutoFill_names!B:B, AutoFill_names!L:L,""))</f>
        <v/>
      </c>
      <c r="L532" s="5"/>
      <c r="M532" s="5"/>
      <c r="N532" s="117" t="str">
        <f>IF(_xlfn.XLOOKUP(L532, AutoFill_classes!A:A, AutoFill_classes!B:B,"")=0,"",_xlfn.XLOOKUP(L532, AutoFill_classes!A:A, AutoFill_classes!B:B,""))</f>
        <v/>
      </c>
      <c r="O532" s="108"/>
      <c r="P532" s="8"/>
      <c r="Q532" s="8"/>
      <c r="R532" s="8"/>
      <c r="S532" s="4"/>
      <c r="T532" s="4"/>
      <c r="U532" s="4"/>
      <c r="V532" s="4"/>
      <c r="W532" s="4"/>
      <c r="X532" s="64"/>
      <c r="Y532" s="25"/>
      <c r="Z532" s="121" t="str">
        <f t="shared" si="459"/>
        <v/>
      </c>
      <c r="AA532" s="26"/>
      <c r="AB532" s="26"/>
      <c r="AC532" s="28"/>
      <c r="AD532" s="28"/>
      <c r="AE532" s="125" t="str">
        <f t="shared" si="460"/>
        <v/>
      </c>
      <c r="AF532" s="9"/>
      <c r="AG532" s="125" t="str">
        <f t="shared" si="461"/>
        <v/>
      </c>
      <c r="AH532" s="28"/>
      <c r="AI532" s="28"/>
      <c r="AJ532" s="125" t="str">
        <f t="shared" si="462"/>
        <v/>
      </c>
      <c r="AK532" s="9"/>
      <c r="AL532" s="125" t="str">
        <f t="shared" si="463"/>
        <v/>
      </c>
      <c r="AM532" s="28"/>
      <c r="AN532" s="28"/>
      <c r="AO532" s="125" t="str">
        <f t="shared" si="464"/>
        <v/>
      </c>
      <c r="AP532" s="125" t="str">
        <f t="shared" si="465"/>
        <v/>
      </c>
      <c r="AQ532" s="125" t="str">
        <f t="shared" si="466"/>
        <v/>
      </c>
      <c r="AR532" s="129" t="str">
        <f t="shared" si="467"/>
        <v/>
      </c>
      <c r="AS532" s="9"/>
      <c r="AT532" s="34"/>
      <c r="AU532" s="34"/>
      <c r="AV532" s="117" t="str">
        <f>IF(_xlfn.XLOOKUP(AT532, AutoFill_classes!$A:$A, AutoFill_classes!$B:$B,"")=0,"",_xlfn.XLOOKUP(AT532, AutoFill_classes!$A:$A, AutoFill_classes!$B:$B,""))</f>
        <v/>
      </c>
      <c r="AW532" s="108"/>
      <c r="AX532" s="9"/>
      <c r="AY532" s="10"/>
      <c r="AZ532" s="9"/>
      <c r="BA532" s="10"/>
      <c r="BB532" s="10"/>
      <c r="BC532" s="64"/>
      <c r="BD532" s="25"/>
      <c r="BE532" s="121" t="str">
        <f t="shared" si="468"/>
        <v/>
      </c>
      <c r="BF532" s="20"/>
      <c r="BG532" s="20"/>
      <c r="BH532" s="24"/>
      <c r="BI532" s="24"/>
      <c r="BJ532" s="125" t="str">
        <f t="shared" si="469"/>
        <v/>
      </c>
      <c r="BK532" s="14"/>
      <c r="BL532" s="125" t="str">
        <f t="shared" si="470"/>
        <v/>
      </c>
      <c r="BM532" s="24"/>
      <c r="BN532" s="24"/>
      <c r="BO532" s="125" t="str">
        <f t="shared" si="471"/>
        <v/>
      </c>
      <c r="BP532" s="14"/>
      <c r="BQ532" s="125" t="str">
        <f t="shared" si="472"/>
        <v/>
      </c>
      <c r="BR532" s="24"/>
      <c r="BS532" s="24"/>
      <c r="BT532" s="125" t="str">
        <f t="shared" si="473"/>
        <v/>
      </c>
      <c r="BU532" s="125" t="str">
        <f t="shared" si="474"/>
        <v/>
      </c>
      <c r="BV532" s="125" t="str">
        <f t="shared" si="475"/>
        <v/>
      </c>
      <c r="BW532" s="129" t="str">
        <f t="shared" si="476"/>
        <v/>
      </c>
      <c r="BX532" s="9"/>
      <c r="BY532" s="9"/>
      <c r="BZ532" s="9"/>
      <c r="CA532" s="117" t="str">
        <f>IF(_xlfn.XLOOKUP(BY532, AutoFill_classes!$A:$A, AutoFill_classes!$B:$B,"")=0,"",_xlfn.XLOOKUP(BY532, AutoFill_classes!$A:$A, AutoFill_classes!$B:$B,""))</f>
        <v/>
      </c>
      <c r="CB532" s="108"/>
      <c r="CC532" s="9"/>
      <c r="CD532" s="9"/>
      <c r="CE532" s="9"/>
      <c r="CF532" s="4"/>
      <c r="CG532" s="25"/>
      <c r="CH532" s="64"/>
      <c r="CI532" s="27"/>
      <c r="CJ532" s="121" t="str">
        <f t="shared" si="477"/>
        <v/>
      </c>
      <c r="CK532" s="20"/>
      <c r="CL532" s="20"/>
      <c r="CM532" s="24"/>
      <c r="CN532" s="24"/>
      <c r="CO532" s="125" t="str">
        <f t="shared" si="478"/>
        <v/>
      </c>
      <c r="CP532" s="14"/>
      <c r="CQ532" s="125" t="str">
        <f t="shared" si="479"/>
        <v/>
      </c>
      <c r="CR532" s="24"/>
      <c r="CS532" s="24"/>
      <c r="CT532" s="125" t="str">
        <f t="shared" si="480"/>
        <v/>
      </c>
      <c r="CU532" s="14"/>
      <c r="CV532" s="125" t="str">
        <f t="shared" si="481"/>
        <v/>
      </c>
      <c r="CW532" s="24"/>
      <c r="CX532" s="24"/>
      <c r="CY532" s="125" t="str">
        <f t="shared" si="482"/>
        <v/>
      </c>
      <c r="CZ532" s="125" t="str">
        <f t="shared" si="483"/>
        <v/>
      </c>
      <c r="DA532" s="125" t="str">
        <f t="shared" si="484"/>
        <v/>
      </c>
      <c r="DB532" s="129" t="str">
        <f t="shared" si="485"/>
        <v/>
      </c>
      <c r="DC532" s="9"/>
      <c r="DD532" s="65"/>
      <c r="DE532" s="105">
        <v>528</v>
      </c>
    </row>
    <row r="533" spans="1:109" outlineLevel="1" x14ac:dyDescent="0.2">
      <c r="A533" s="4"/>
      <c r="B533" s="115" t="str">
        <f>IF(_xlfn.XLOOKUP(A533, AutoFill_names!B:B, AutoFill_names!C:C,"")=0,"",_xlfn.XLOOKUP(A533, AutoFill_names!B:B, AutoFill_names!C:C,""))</f>
        <v/>
      </c>
      <c r="C533" s="115" t="str">
        <f>IF(_xlfn.XLOOKUP(A533, AutoFill_names!B:B, AutoFill_names!D:D,"")=0,"",_xlfn.XLOOKUP(A533, AutoFill_names!B:B, AutoFill_names!D:D,""))</f>
        <v/>
      </c>
      <c r="D533" s="115" t="str">
        <f>IF(_xlfn.XLOOKUP(A533, AutoFill_names!B:B, AutoFill_names!E:E,"")=0,"",_xlfn.XLOOKUP(A533, AutoFill_names!B:B, AutoFill_names!E:E,""))</f>
        <v/>
      </c>
      <c r="E533" s="115" t="str">
        <f>IF(_xlfn.XLOOKUP(A533, AutoFill_names!B:B, AutoFill_names!F:F,"")=0,"",_xlfn.XLOOKUP(A533, AutoFill_names!B:B, AutoFill_names!F:F,""))</f>
        <v/>
      </c>
      <c r="F533" s="92"/>
      <c r="G533" s="1"/>
      <c r="H533" s="1"/>
      <c r="I533" s="1"/>
      <c r="J533" s="115" t="str">
        <f>IF(_xlfn.XLOOKUP(A533, AutoFill_names!B:B, AutoFill_names!K:K,"")=0,"",_xlfn.XLOOKUP(A533, AutoFill_names!B:B, AutoFill_names!K:K,""))</f>
        <v/>
      </c>
      <c r="K533" s="115" t="str">
        <f>IF(_xlfn.XLOOKUP(A533, AutoFill_names!B:B, AutoFill_names!L:L,"")=0,"",_xlfn.XLOOKUP(A533, AutoFill_names!B:B, AutoFill_names!L:L,""))</f>
        <v/>
      </c>
      <c r="L533" s="5"/>
      <c r="M533" s="5"/>
      <c r="N533" s="117" t="str">
        <f>IF(_xlfn.XLOOKUP(L533, AutoFill_classes!A:A, AutoFill_classes!B:B,"")=0,"",_xlfn.XLOOKUP(L533, AutoFill_classes!A:A, AutoFill_classes!B:B,""))</f>
        <v/>
      </c>
      <c r="O533" s="108"/>
      <c r="P533" s="8"/>
      <c r="Q533" s="8"/>
      <c r="R533" s="8"/>
      <c r="S533" s="4"/>
      <c r="T533" s="4"/>
      <c r="U533" s="4"/>
      <c r="V533" s="4"/>
      <c r="W533" s="4"/>
      <c r="X533" s="64"/>
      <c r="Y533" s="25"/>
      <c r="Z533" s="121" t="str">
        <f t="shared" si="459"/>
        <v/>
      </c>
      <c r="AA533" s="26"/>
      <c r="AB533" s="26"/>
      <c r="AC533" s="28"/>
      <c r="AD533" s="28"/>
      <c r="AE533" s="125" t="str">
        <f t="shared" si="460"/>
        <v/>
      </c>
      <c r="AF533" s="9"/>
      <c r="AG533" s="125" t="str">
        <f t="shared" si="461"/>
        <v/>
      </c>
      <c r="AH533" s="28"/>
      <c r="AI533" s="28"/>
      <c r="AJ533" s="125" t="str">
        <f t="shared" si="462"/>
        <v/>
      </c>
      <c r="AK533" s="9"/>
      <c r="AL533" s="125" t="str">
        <f t="shared" si="463"/>
        <v/>
      </c>
      <c r="AM533" s="28"/>
      <c r="AN533" s="28"/>
      <c r="AO533" s="125" t="str">
        <f t="shared" si="464"/>
        <v/>
      </c>
      <c r="AP533" s="125" t="str">
        <f t="shared" si="465"/>
        <v/>
      </c>
      <c r="AQ533" s="125" t="str">
        <f t="shared" si="466"/>
        <v/>
      </c>
      <c r="AR533" s="129" t="str">
        <f t="shared" si="467"/>
        <v/>
      </c>
      <c r="AS533" s="9"/>
      <c r="AT533" s="34"/>
      <c r="AU533" s="34"/>
      <c r="AV533" s="117" t="str">
        <f>IF(_xlfn.XLOOKUP(AT533, AutoFill_classes!$A:$A, AutoFill_classes!$B:$B,"")=0,"",_xlfn.XLOOKUP(AT533, AutoFill_classes!$A:$A, AutoFill_classes!$B:$B,""))</f>
        <v/>
      </c>
      <c r="AW533" s="108"/>
      <c r="AX533" s="9"/>
      <c r="AY533" s="10"/>
      <c r="AZ533" s="9"/>
      <c r="BA533" s="10"/>
      <c r="BB533" s="10"/>
      <c r="BC533" s="64"/>
      <c r="BD533" s="25"/>
      <c r="BE533" s="121" t="str">
        <f t="shared" si="468"/>
        <v/>
      </c>
      <c r="BF533" s="20"/>
      <c r="BG533" s="20"/>
      <c r="BH533" s="24"/>
      <c r="BI533" s="24"/>
      <c r="BJ533" s="125" t="str">
        <f t="shared" si="469"/>
        <v/>
      </c>
      <c r="BK533" s="14"/>
      <c r="BL533" s="125" t="str">
        <f t="shared" si="470"/>
        <v/>
      </c>
      <c r="BM533" s="24"/>
      <c r="BN533" s="24"/>
      <c r="BO533" s="125" t="str">
        <f t="shared" si="471"/>
        <v/>
      </c>
      <c r="BP533" s="14"/>
      <c r="BQ533" s="125" t="str">
        <f t="shared" si="472"/>
        <v/>
      </c>
      <c r="BR533" s="24"/>
      <c r="BS533" s="24"/>
      <c r="BT533" s="125" t="str">
        <f t="shared" si="473"/>
        <v/>
      </c>
      <c r="BU533" s="125" t="str">
        <f t="shared" si="474"/>
        <v/>
      </c>
      <c r="BV533" s="125" t="str">
        <f t="shared" si="475"/>
        <v/>
      </c>
      <c r="BW533" s="129" t="str">
        <f t="shared" si="476"/>
        <v/>
      </c>
      <c r="BX533" s="9"/>
      <c r="BY533" s="9"/>
      <c r="BZ533" s="9"/>
      <c r="CA533" s="117" t="str">
        <f>IF(_xlfn.XLOOKUP(BY533, AutoFill_classes!$A:$A, AutoFill_classes!$B:$B,"")=0,"",_xlfn.XLOOKUP(BY533, AutoFill_classes!$A:$A, AutoFill_classes!$B:$B,""))</f>
        <v/>
      </c>
      <c r="CB533" s="108"/>
      <c r="CC533" s="9"/>
      <c r="CD533" s="9"/>
      <c r="CE533" s="9"/>
      <c r="CF533" s="4"/>
      <c r="CG533" s="25"/>
      <c r="CH533" s="64"/>
      <c r="CI533" s="27"/>
      <c r="CJ533" s="121" t="str">
        <f t="shared" si="477"/>
        <v/>
      </c>
      <c r="CK533" s="20"/>
      <c r="CL533" s="20"/>
      <c r="CM533" s="24"/>
      <c r="CN533" s="24"/>
      <c r="CO533" s="125" t="str">
        <f t="shared" si="478"/>
        <v/>
      </c>
      <c r="CP533" s="14"/>
      <c r="CQ533" s="125" t="str">
        <f t="shared" si="479"/>
        <v/>
      </c>
      <c r="CR533" s="24"/>
      <c r="CS533" s="24"/>
      <c r="CT533" s="125" t="str">
        <f t="shared" si="480"/>
        <v/>
      </c>
      <c r="CU533" s="14"/>
      <c r="CV533" s="125" t="str">
        <f t="shared" si="481"/>
        <v/>
      </c>
      <c r="CW533" s="24"/>
      <c r="CX533" s="24"/>
      <c r="CY533" s="125" t="str">
        <f t="shared" si="482"/>
        <v/>
      </c>
      <c r="CZ533" s="125" t="str">
        <f t="shared" si="483"/>
        <v/>
      </c>
      <c r="DA533" s="125" t="str">
        <f t="shared" si="484"/>
        <v/>
      </c>
      <c r="DB533" s="129" t="str">
        <f t="shared" si="485"/>
        <v/>
      </c>
      <c r="DC533" s="9"/>
      <c r="DD533" s="65"/>
      <c r="DE533" s="105">
        <v>529</v>
      </c>
    </row>
    <row r="534" spans="1:109" outlineLevel="1" x14ac:dyDescent="0.2">
      <c r="A534" s="4"/>
      <c r="B534" s="115" t="str">
        <f>IF(_xlfn.XLOOKUP(A534, AutoFill_names!B:B, AutoFill_names!C:C,"")=0,"",_xlfn.XLOOKUP(A534, AutoFill_names!B:B, AutoFill_names!C:C,""))</f>
        <v/>
      </c>
      <c r="C534" s="115" t="str">
        <f>IF(_xlfn.XLOOKUP(A534, AutoFill_names!B:B, AutoFill_names!D:D,"")=0,"",_xlfn.XLOOKUP(A534, AutoFill_names!B:B, AutoFill_names!D:D,""))</f>
        <v/>
      </c>
      <c r="D534" s="115" t="str">
        <f>IF(_xlfn.XLOOKUP(A534, AutoFill_names!B:B, AutoFill_names!E:E,"")=0,"",_xlfn.XLOOKUP(A534, AutoFill_names!B:B, AutoFill_names!E:E,""))</f>
        <v/>
      </c>
      <c r="E534" s="115" t="str">
        <f>IF(_xlfn.XLOOKUP(A534, AutoFill_names!B:B, AutoFill_names!F:F,"")=0,"",_xlfn.XLOOKUP(A534, AutoFill_names!B:B, AutoFill_names!F:F,""))</f>
        <v/>
      </c>
      <c r="F534" s="92"/>
      <c r="G534" s="1"/>
      <c r="H534" s="1"/>
      <c r="I534" s="1"/>
      <c r="J534" s="115" t="str">
        <f>IF(_xlfn.XLOOKUP(A534, AutoFill_names!B:B, AutoFill_names!K:K,"")=0,"",_xlfn.XLOOKUP(A534, AutoFill_names!B:B, AutoFill_names!K:K,""))</f>
        <v/>
      </c>
      <c r="K534" s="115" t="str">
        <f>IF(_xlfn.XLOOKUP(A534, AutoFill_names!B:B, AutoFill_names!L:L,"")=0,"",_xlfn.XLOOKUP(A534, AutoFill_names!B:B, AutoFill_names!L:L,""))</f>
        <v/>
      </c>
      <c r="L534" s="5"/>
      <c r="M534" s="5"/>
      <c r="N534" s="117" t="str">
        <f>IF(_xlfn.XLOOKUP(L534, AutoFill_classes!A:A, AutoFill_classes!B:B,"")=0,"",_xlfn.XLOOKUP(L534, AutoFill_classes!A:A, AutoFill_classes!B:B,""))</f>
        <v/>
      </c>
      <c r="O534" s="108"/>
      <c r="P534" s="8"/>
      <c r="Q534" s="8"/>
      <c r="R534" s="8"/>
      <c r="S534" s="4"/>
      <c r="T534" s="4"/>
      <c r="U534" s="4"/>
      <c r="V534" s="4"/>
      <c r="W534" s="4"/>
      <c r="X534" s="64"/>
      <c r="Y534" s="25"/>
      <c r="Z534" s="121" t="str">
        <f t="shared" si="459"/>
        <v/>
      </c>
      <c r="AA534" s="26"/>
      <c r="AB534" s="26"/>
      <c r="AC534" s="28"/>
      <c r="AD534" s="28"/>
      <c r="AE534" s="125" t="str">
        <f t="shared" si="460"/>
        <v/>
      </c>
      <c r="AF534" s="9"/>
      <c r="AG534" s="125" t="str">
        <f t="shared" si="461"/>
        <v/>
      </c>
      <c r="AH534" s="28"/>
      <c r="AI534" s="28"/>
      <c r="AJ534" s="125" t="str">
        <f t="shared" si="462"/>
        <v/>
      </c>
      <c r="AK534" s="9"/>
      <c r="AL534" s="125" t="str">
        <f t="shared" si="463"/>
        <v/>
      </c>
      <c r="AM534" s="28"/>
      <c r="AN534" s="28"/>
      <c r="AO534" s="125" t="str">
        <f t="shared" si="464"/>
        <v/>
      </c>
      <c r="AP534" s="125" t="str">
        <f t="shared" si="465"/>
        <v/>
      </c>
      <c r="AQ534" s="125" t="str">
        <f t="shared" si="466"/>
        <v/>
      </c>
      <c r="AR534" s="129" t="str">
        <f t="shared" si="467"/>
        <v/>
      </c>
      <c r="AS534" s="9"/>
      <c r="AT534" s="34"/>
      <c r="AU534" s="34"/>
      <c r="AV534" s="117" t="str">
        <f>IF(_xlfn.XLOOKUP(AT534, AutoFill_classes!$A:$A, AutoFill_classes!$B:$B,"")=0,"",_xlfn.XLOOKUP(AT534, AutoFill_classes!$A:$A, AutoFill_classes!$B:$B,""))</f>
        <v/>
      </c>
      <c r="AW534" s="108"/>
      <c r="AX534" s="9"/>
      <c r="AY534" s="10"/>
      <c r="AZ534" s="9"/>
      <c r="BA534" s="10"/>
      <c r="BB534" s="10"/>
      <c r="BC534" s="64"/>
      <c r="BD534" s="25"/>
      <c r="BE534" s="121" t="str">
        <f t="shared" si="468"/>
        <v/>
      </c>
      <c r="BF534" s="20"/>
      <c r="BG534" s="20"/>
      <c r="BH534" s="24"/>
      <c r="BI534" s="24"/>
      <c r="BJ534" s="125" t="str">
        <f t="shared" si="469"/>
        <v/>
      </c>
      <c r="BK534" s="14"/>
      <c r="BL534" s="125" t="str">
        <f t="shared" si="470"/>
        <v/>
      </c>
      <c r="BM534" s="24"/>
      <c r="BN534" s="24"/>
      <c r="BO534" s="125" t="str">
        <f t="shared" si="471"/>
        <v/>
      </c>
      <c r="BP534" s="14"/>
      <c r="BQ534" s="125" t="str">
        <f t="shared" si="472"/>
        <v/>
      </c>
      <c r="BR534" s="24"/>
      <c r="BS534" s="24"/>
      <c r="BT534" s="125" t="str">
        <f t="shared" si="473"/>
        <v/>
      </c>
      <c r="BU534" s="125" t="str">
        <f t="shared" si="474"/>
        <v/>
      </c>
      <c r="BV534" s="125" t="str">
        <f t="shared" si="475"/>
        <v/>
      </c>
      <c r="BW534" s="129" t="str">
        <f t="shared" si="476"/>
        <v/>
      </c>
      <c r="BX534" s="9"/>
      <c r="BY534" s="9"/>
      <c r="BZ534" s="9"/>
      <c r="CA534" s="117" t="str">
        <f>IF(_xlfn.XLOOKUP(BY534, AutoFill_classes!$A:$A, AutoFill_classes!$B:$B,"")=0,"",_xlfn.XLOOKUP(BY534, AutoFill_classes!$A:$A, AutoFill_classes!$B:$B,""))</f>
        <v/>
      </c>
      <c r="CB534" s="108"/>
      <c r="CC534" s="9"/>
      <c r="CD534" s="9"/>
      <c r="CE534" s="9"/>
      <c r="CF534" s="4"/>
      <c r="CG534" s="25"/>
      <c r="CH534" s="64"/>
      <c r="CI534" s="27"/>
      <c r="CJ534" s="121" t="str">
        <f t="shared" si="477"/>
        <v/>
      </c>
      <c r="CK534" s="20"/>
      <c r="CL534" s="20"/>
      <c r="CM534" s="24"/>
      <c r="CN534" s="24"/>
      <c r="CO534" s="125" t="str">
        <f t="shared" si="478"/>
        <v/>
      </c>
      <c r="CP534" s="14"/>
      <c r="CQ534" s="125" t="str">
        <f t="shared" si="479"/>
        <v/>
      </c>
      <c r="CR534" s="24"/>
      <c r="CS534" s="24"/>
      <c r="CT534" s="125" t="str">
        <f t="shared" si="480"/>
        <v/>
      </c>
      <c r="CU534" s="14"/>
      <c r="CV534" s="125" t="str">
        <f t="shared" si="481"/>
        <v/>
      </c>
      <c r="CW534" s="24"/>
      <c r="CX534" s="24"/>
      <c r="CY534" s="125" t="str">
        <f t="shared" si="482"/>
        <v/>
      </c>
      <c r="CZ534" s="125" t="str">
        <f t="shared" si="483"/>
        <v/>
      </c>
      <c r="DA534" s="125" t="str">
        <f t="shared" si="484"/>
        <v/>
      </c>
      <c r="DB534" s="129" t="str">
        <f t="shared" si="485"/>
        <v/>
      </c>
      <c r="DC534" s="9"/>
      <c r="DD534" s="65"/>
      <c r="DE534" s="105">
        <v>530</v>
      </c>
    </row>
    <row r="535" spans="1:109" outlineLevel="1" x14ac:dyDescent="0.2">
      <c r="A535" s="4"/>
      <c r="B535" s="115" t="str">
        <f>IF(_xlfn.XLOOKUP(A535, AutoFill_names!B:B, AutoFill_names!C:C,"")=0,"",_xlfn.XLOOKUP(A535, AutoFill_names!B:B, AutoFill_names!C:C,""))</f>
        <v/>
      </c>
      <c r="C535" s="115" t="str">
        <f>IF(_xlfn.XLOOKUP(A535, AutoFill_names!B:B, AutoFill_names!D:D,"")=0,"",_xlfn.XLOOKUP(A535, AutoFill_names!B:B, AutoFill_names!D:D,""))</f>
        <v/>
      </c>
      <c r="D535" s="115" t="str">
        <f>IF(_xlfn.XLOOKUP(A535, AutoFill_names!B:B, AutoFill_names!E:E,"")=0,"",_xlfn.XLOOKUP(A535, AutoFill_names!B:B, AutoFill_names!E:E,""))</f>
        <v/>
      </c>
      <c r="E535" s="115" t="str">
        <f>IF(_xlfn.XLOOKUP(A535, AutoFill_names!B:B, AutoFill_names!F:F,"")=0,"",_xlfn.XLOOKUP(A535, AutoFill_names!B:B, AutoFill_names!F:F,""))</f>
        <v/>
      </c>
      <c r="F535" s="92"/>
      <c r="G535" s="1"/>
      <c r="H535" s="1"/>
      <c r="I535" s="1"/>
      <c r="J535" s="115" t="str">
        <f>IF(_xlfn.XLOOKUP(A535, AutoFill_names!B:B, AutoFill_names!K:K,"")=0,"",_xlfn.XLOOKUP(A535, AutoFill_names!B:B, AutoFill_names!K:K,""))</f>
        <v/>
      </c>
      <c r="K535" s="115" t="str">
        <f>IF(_xlfn.XLOOKUP(A535, AutoFill_names!B:B, AutoFill_names!L:L,"")=0,"",_xlfn.XLOOKUP(A535, AutoFill_names!B:B, AutoFill_names!L:L,""))</f>
        <v/>
      </c>
      <c r="L535" s="5"/>
      <c r="M535" s="5"/>
      <c r="N535" s="117" t="str">
        <f>IF(_xlfn.XLOOKUP(L535, AutoFill_classes!A:A, AutoFill_classes!B:B,"")=0,"",_xlfn.XLOOKUP(L535, AutoFill_classes!A:A, AutoFill_classes!B:B,""))</f>
        <v/>
      </c>
      <c r="O535" s="108"/>
      <c r="P535" s="8"/>
      <c r="Q535" s="8"/>
      <c r="R535" s="8"/>
      <c r="S535" s="4"/>
      <c r="T535" s="4"/>
      <c r="U535" s="4"/>
      <c r="V535" s="4"/>
      <c r="W535" s="4"/>
      <c r="X535" s="64"/>
      <c r="Y535" s="25"/>
      <c r="Z535" s="121" t="str">
        <f t="shared" si="459"/>
        <v/>
      </c>
      <c r="AA535" s="26"/>
      <c r="AB535" s="26"/>
      <c r="AC535" s="28"/>
      <c r="AD535" s="28"/>
      <c r="AE535" s="125" t="str">
        <f t="shared" si="460"/>
        <v/>
      </c>
      <c r="AF535" s="9"/>
      <c r="AG535" s="125" t="str">
        <f t="shared" si="461"/>
        <v/>
      </c>
      <c r="AH535" s="28"/>
      <c r="AI535" s="28"/>
      <c r="AJ535" s="125" t="str">
        <f t="shared" si="462"/>
        <v/>
      </c>
      <c r="AK535" s="9"/>
      <c r="AL535" s="125" t="str">
        <f t="shared" si="463"/>
        <v/>
      </c>
      <c r="AM535" s="28"/>
      <c r="AN535" s="28"/>
      <c r="AO535" s="125" t="str">
        <f t="shared" si="464"/>
        <v/>
      </c>
      <c r="AP535" s="125" t="str">
        <f t="shared" si="465"/>
        <v/>
      </c>
      <c r="AQ535" s="125" t="str">
        <f t="shared" si="466"/>
        <v/>
      </c>
      <c r="AR535" s="129" t="str">
        <f t="shared" si="467"/>
        <v/>
      </c>
      <c r="AS535" s="9"/>
      <c r="AT535" s="34"/>
      <c r="AU535" s="34"/>
      <c r="AV535" s="117" t="str">
        <f>IF(_xlfn.XLOOKUP(AT535, AutoFill_classes!$A:$A, AutoFill_classes!$B:$B,"")=0,"",_xlfn.XLOOKUP(AT535, AutoFill_classes!$A:$A, AutoFill_classes!$B:$B,""))</f>
        <v/>
      </c>
      <c r="AW535" s="108"/>
      <c r="AX535" s="9"/>
      <c r="AY535" s="10"/>
      <c r="AZ535" s="9"/>
      <c r="BA535" s="10"/>
      <c r="BB535" s="10"/>
      <c r="BC535" s="64"/>
      <c r="BD535" s="25"/>
      <c r="BE535" s="121" t="str">
        <f t="shared" si="468"/>
        <v/>
      </c>
      <c r="BF535" s="20"/>
      <c r="BG535" s="20"/>
      <c r="BH535" s="24"/>
      <c r="BI535" s="24"/>
      <c r="BJ535" s="125" t="str">
        <f t="shared" si="469"/>
        <v/>
      </c>
      <c r="BK535" s="14"/>
      <c r="BL535" s="125" t="str">
        <f t="shared" si="470"/>
        <v/>
      </c>
      <c r="BM535" s="24"/>
      <c r="BN535" s="24"/>
      <c r="BO535" s="125" t="str">
        <f t="shared" si="471"/>
        <v/>
      </c>
      <c r="BP535" s="14"/>
      <c r="BQ535" s="125" t="str">
        <f t="shared" si="472"/>
        <v/>
      </c>
      <c r="BR535" s="24"/>
      <c r="BS535" s="24"/>
      <c r="BT535" s="125" t="str">
        <f t="shared" si="473"/>
        <v/>
      </c>
      <c r="BU535" s="125" t="str">
        <f t="shared" si="474"/>
        <v/>
      </c>
      <c r="BV535" s="125" t="str">
        <f t="shared" si="475"/>
        <v/>
      </c>
      <c r="BW535" s="129" t="str">
        <f t="shared" si="476"/>
        <v/>
      </c>
      <c r="BX535" s="9"/>
      <c r="BY535" s="9"/>
      <c r="BZ535" s="9"/>
      <c r="CA535" s="117" t="str">
        <f>IF(_xlfn.XLOOKUP(BY535, AutoFill_classes!$A:$A, AutoFill_classes!$B:$B,"")=0,"",_xlfn.XLOOKUP(BY535, AutoFill_classes!$A:$A, AutoFill_classes!$B:$B,""))</f>
        <v/>
      </c>
      <c r="CB535" s="108"/>
      <c r="CC535" s="9"/>
      <c r="CD535" s="9"/>
      <c r="CE535" s="9"/>
      <c r="CF535" s="4"/>
      <c r="CG535" s="25"/>
      <c r="CH535" s="64"/>
      <c r="CI535" s="27"/>
      <c r="CJ535" s="121" t="str">
        <f t="shared" si="477"/>
        <v/>
      </c>
      <c r="CK535" s="20"/>
      <c r="CL535" s="20"/>
      <c r="CM535" s="24"/>
      <c r="CN535" s="24"/>
      <c r="CO535" s="125" t="str">
        <f t="shared" si="478"/>
        <v/>
      </c>
      <c r="CP535" s="14"/>
      <c r="CQ535" s="125" t="str">
        <f t="shared" si="479"/>
        <v/>
      </c>
      <c r="CR535" s="24"/>
      <c r="CS535" s="24"/>
      <c r="CT535" s="125" t="str">
        <f t="shared" si="480"/>
        <v/>
      </c>
      <c r="CU535" s="14"/>
      <c r="CV535" s="125" t="str">
        <f t="shared" si="481"/>
        <v/>
      </c>
      <c r="CW535" s="24"/>
      <c r="CX535" s="24"/>
      <c r="CY535" s="125" t="str">
        <f t="shared" si="482"/>
        <v/>
      </c>
      <c r="CZ535" s="125" t="str">
        <f t="shared" si="483"/>
        <v/>
      </c>
      <c r="DA535" s="125" t="str">
        <f t="shared" si="484"/>
        <v/>
      </c>
      <c r="DB535" s="129" t="str">
        <f t="shared" si="485"/>
        <v/>
      </c>
      <c r="DC535" s="9"/>
      <c r="DD535" s="65"/>
      <c r="DE535" s="105">
        <v>531</v>
      </c>
    </row>
    <row r="536" spans="1:109" outlineLevel="1" x14ac:dyDescent="0.2">
      <c r="A536" s="4"/>
      <c r="B536" s="115" t="str">
        <f>IF(_xlfn.XLOOKUP(A536, AutoFill_names!B:B, AutoFill_names!C:C,"")=0,"",_xlfn.XLOOKUP(A536, AutoFill_names!B:B, AutoFill_names!C:C,""))</f>
        <v/>
      </c>
      <c r="C536" s="115" t="str">
        <f>IF(_xlfn.XLOOKUP(A536, AutoFill_names!B:B, AutoFill_names!D:D,"")=0,"",_xlfn.XLOOKUP(A536, AutoFill_names!B:B, AutoFill_names!D:D,""))</f>
        <v/>
      </c>
      <c r="D536" s="115" t="str">
        <f>IF(_xlfn.XLOOKUP(A536, AutoFill_names!B:B, AutoFill_names!E:E,"")=0,"",_xlfn.XLOOKUP(A536, AutoFill_names!B:B, AutoFill_names!E:E,""))</f>
        <v/>
      </c>
      <c r="E536" s="115" t="str">
        <f>IF(_xlfn.XLOOKUP(A536, AutoFill_names!B:B, AutoFill_names!F:F,"")=0,"",_xlfn.XLOOKUP(A536, AutoFill_names!B:B, AutoFill_names!F:F,""))</f>
        <v/>
      </c>
      <c r="F536" s="92"/>
      <c r="G536" s="1"/>
      <c r="H536" s="1"/>
      <c r="I536" s="1"/>
      <c r="J536" s="115" t="str">
        <f>IF(_xlfn.XLOOKUP(A536, AutoFill_names!B:B, AutoFill_names!K:K,"")=0,"",_xlfn.XLOOKUP(A536, AutoFill_names!B:B, AutoFill_names!K:K,""))</f>
        <v/>
      </c>
      <c r="K536" s="115" t="str">
        <f>IF(_xlfn.XLOOKUP(A536, AutoFill_names!B:B, AutoFill_names!L:L,"")=0,"",_xlfn.XLOOKUP(A536, AutoFill_names!B:B, AutoFill_names!L:L,""))</f>
        <v/>
      </c>
      <c r="L536" s="5"/>
      <c r="M536" s="5"/>
      <c r="N536" s="117" t="str">
        <f>IF(_xlfn.XLOOKUP(L536, AutoFill_classes!A:A, AutoFill_classes!B:B,"")=0,"",_xlfn.XLOOKUP(L536, AutoFill_classes!A:A, AutoFill_classes!B:B,""))</f>
        <v/>
      </c>
      <c r="O536" s="108"/>
      <c r="P536" s="8"/>
      <c r="Q536" s="8"/>
      <c r="R536" s="8"/>
      <c r="S536" s="4"/>
      <c r="T536" s="4"/>
      <c r="U536" s="4"/>
      <c r="V536" s="4"/>
      <c r="W536" s="4"/>
      <c r="X536" s="64"/>
      <c r="Y536" s="25"/>
      <c r="Z536" s="121" t="str">
        <f t="shared" si="459"/>
        <v/>
      </c>
      <c r="AA536" s="26"/>
      <c r="AB536" s="26"/>
      <c r="AC536" s="28"/>
      <c r="AD536" s="28"/>
      <c r="AE536" s="125" t="str">
        <f t="shared" si="460"/>
        <v/>
      </c>
      <c r="AF536" s="9"/>
      <c r="AG536" s="125" t="str">
        <f t="shared" si="461"/>
        <v/>
      </c>
      <c r="AH536" s="28"/>
      <c r="AI536" s="28"/>
      <c r="AJ536" s="125" t="str">
        <f t="shared" si="462"/>
        <v/>
      </c>
      <c r="AK536" s="9"/>
      <c r="AL536" s="125" t="str">
        <f t="shared" si="463"/>
        <v/>
      </c>
      <c r="AM536" s="28"/>
      <c r="AN536" s="28"/>
      <c r="AO536" s="125" t="str">
        <f t="shared" si="464"/>
        <v/>
      </c>
      <c r="AP536" s="125" t="str">
        <f t="shared" si="465"/>
        <v/>
      </c>
      <c r="AQ536" s="125" t="str">
        <f t="shared" si="466"/>
        <v/>
      </c>
      <c r="AR536" s="129" t="str">
        <f t="shared" si="467"/>
        <v/>
      </c>
      <c r="AS536" s="9"/>
      <c r="AT536" s="34"/>
      <c r="AU536" s="34"/>
      <c r="AV536" s="117" t="str">
        <f>IF(_xlfn.XLOOKUP(AT536, AutoFill_classes!$A:$A, AutoFill_classes!$B:$B,"")=0,"",_xlfn.XLOOKUP(AT536, AutoFill_classes!$A:$A, AutoFill_classes!$B:$B,""))</f>
        <v/>
      </c>
      <c r="AW536" s="108"/>
      <c r="AX536" s="9"/>
      <c r="AY536" s="10"/>
      <c r="AZ536" s="9"/>
      <c r="BA536" s="10"/>
      <c r="BB536" s="10"/>
      <c r="BC536" s="64"/>
      <c r="BD536" s="25"/>
      <c r="BE536" s="121" t="str">
        <f t="shared" si="468"/>
        <v/>
      </c>
      <c r="BF536" s="20"/>
      <c r="BG536" s="20"/>
      <c r="BH536" s="24"/>
      <c r="BI536" s="24"/>
      <c r="BJ536" s="125" t="str">
        <f t="shared" si="469"/>
        <v/>
      </c>
      <c r="BK536" s="14"/>
      <c r="BL536" s="125" t="str">
        <f t="shared" si="470"/>
        <v/>
      </c>
      <c r="BM536" s="24"/>
      <c r="BN536" s="24"/>
      <c r="BO536" s="125" t="str">
        <f t="shared" si="471"/>
        <v/>
      </c>
      <c r="BP536" s="14"/>
      <c r="BQ536" s="125" t="str">
        <f t="shared" si="472"/>
        <v/>
      </c>
      <c r="BR536" s="24"/>
      <c r="BS536" s="24"/>
      <c r="BT536" s="125" t="str">
        <f t="shared" si="473"/>
        <v/>
      </c>
      <c r="BU536" s="125" t="str">
        <f t="shared" si="474"/>
        <v/>
      </c>
      <c r="BV536" s="125" t="str">
        <f t="shared" si="475"/>
        <v/>
      </c>
      <c r="BW536" s="129" t="str">
        <f t="shared" si="476"/>
        <v/>
      </c>
      <c r="BX536" s="9"/>
      <c r="BY536" s="9"/>
      <c r="BZ536" s="9"/>
      <c r="CA536" s="117" t="str">
        <f>IF(_xlfn.XLOOKUP(BY536, AutoFill_classes!$A:$A, AutoFill_classes!$B:$B,"")=0,"",_xlfn.XLOOKUP(BY536, AutoFill_classes!$A:$A, AutoFill_classes!$B:$B,""))</f>
        <v/>
      </c>
      <c r="CB536" s="108"/>
      <c r="CC536" s="9"/>
      <c r="CD536" s="9"/>
      <c r="CE536" s="9"/>
      <c r="CF536" s="4"/>
      <c r="CG536" s="25"/>
      <c r="CH536" s="64"/>
      <c r="CI536" s="27"/>
      <c r="CJ536" s="121" t="str">
        <f t="shared" si="477"/>
        <v/>
      </c>
      <c r="CK536" s="20"/>
      <c r="CL536" s="20"/>
      <c r="CM536" s="24"/>
      <c r="CN536" s="24"/>
      <c r="CO536" s="125" t="str">
        <f t="shared" si="478"/>
        <v/>
      </c>
      <c r="CP536" s="14"/>
      <c r="CQ536" s="125" t="str">
        <f t="shared" si="479"/>
        <v/>
      </c>
      <c r="CR536" s="24"/>
      <c r="CS536" s="24"/>
      <c r="CT536" s="125" t="str">
        <f t="shared" si="480"/>
        <v/>
      </c>
      <c r="CU536" s="14"/>
      <c r="CV536" s="125" t="str">
        <f t="shared" si="481"/>
        <v/>
      </c>
      <c r="CW536" s="24"/>
      <c r="CX536" s="24"/>
      <c r="CY536" s="125" t="str">
        <f t="shared" si="482"/>
        <v/>
      </c>
      <c r="CZ536" s="125" t="str">
        <f t="shared" si="483"/>
        <v/>
      </c>
      <c r="DA536" s="125" t="str">
        <f t="shared" si="484"/>
        <v/>
      </c>
      <c r="DB536" s="129" t="str">
        <f t="shared" si="485"/>
        <v/>
      </c>
      <c r="DC536" s="9"/>
      <c r="DD536" s="65"/>
      <c r="DE536" s="105">
        <v>532</v>
      </c>
    </row>
    <row r="537" spans="1:109" outlineLevel="1" x14ac:dyDescent="0.2">
      <c r="A537" s="4"/>
      <c r="B537" s="115" t="str">
        <f>IF(_xlfn.XLOOKUP(A537, AutoFill_names!B:B, AutoFill_names!C:C,"")=0,"",_xlfn.XLOOKUP(A537, AutoFill_names!B:B, AutoFill_names!C:C,""))</f>
        <v/>
      </c>
      <c r="C537" s="115" t="str">
        <f>IF(_xlfn.XLOOKUP(A537, AutoFill_names!B:B, AutoFill_names!D:D,"")=0,"",_xlfn.XLOOKUP(A537, AutoFill_names!B:B, AutoFill_names!D:D,""))</f>
        <v/>
      </c>
      <c r="D537" s="115" t="str">
        <f>IF(_xlfn.XLOOKUP(A537, AutoFill_names!B:B, AutoFill_names!E:E,"")=0,"",_xlfn.XLOOKUP(A537, AutoFill_names!B:B, AutoFill_names!E:E,""))</f>
        <v/>
      </c>
      <c r="E537" s="115" t="str">
        <f>IF(_xlfn.XLOOKUP(A537, AutoFill_names!B:B, AutoFill_names!F:F,"")=0,"",_xlfn.XLOOKUP(A537, AutoFill_names!B:B, AutoFill_names!F:F,""))</f>
        <v/>
      </c>
      <c r="F537" s="92"/>
      <c r="G537" s="1"/>
      <c r="H537" s="1"/>
      <c r="I537" s="1"/>
      <c r="J537" s="115" t="str">
        <f>IF(_xlfn.XLOOKUP(A537, AutoFill_names!B:B, AutoFill_names!K:K,"")=0,"",_xlfn.XLOOKUP(A537, AutoFill_names!B:B, AutoFill_names!K:K,""))</f>
        <v/>
      </c>
      <c r="K537" s="115" t="str">
        <f>IF(_xlfn.XLOOKUP(A537, AutoFill_names!B:B, AutoFill_names!L:L,"")=0,"",_xlfn.XLOOKUP(A537, AutoFill_names!B:B, AutoFill_names!L:L,""))</f>
        <v/>
      </c>
      <c r="L537" s="5"/>
      <c r="M537" s="5"/>
      <c r="N537" s="117" t="str">
        <f>IF(_xlfn.XLOOKUP(L537, AutoFill_classes!A:A, AutoFill_classes!B:B,"")=0,"",_xlfn.XLOOKUP(L537, AutoFill_classes!A:A, AutoFill_classes!B:B,""))</f>
        <v/>
      </c>
      <c r="O537" s="108"/>
      <c r="P537" s="8"/>
      <c r="Q537" s="8"/>
      <c r="R537" s="8"/>
      <c r="S537" s="4"/>
      <c r="T537" s="4"/>
      <c r="U537" s="4"/>
      <c r="V537" s="4"/>
      <c r="W537" s="4"/>
      <c r="X537" s="64"/>
      <c r="Y537" s="25"/>
      <c r="Z537" s="121" t="str">
        <f t="shared" si="459"/>
        <v/>
      </c>
      <c r="AA537" s="26"/>
      <c r="AB537" s="26"/>
      <c r="AC537" s="28"/>
      <c r="AD537" s="28"/>
      <c r="AE537" s="125" t="str">
        <f t="shared" si="460"/>
        <v/>
      </c>
      <c r="AF537" s="9"/>
      <c r="AG537" s="125" t="str">
        <f t="shared" si="461"/>
        <v/>
      </c>
      <c r="AH537" s="28"/>
      <c r="AI537" s="28"/>
      <c r="AJ537" s="125" t="str">
        <f t="shared" si="462"/>
        <v/>
      </c>
      <c r="AK537" s="9"/>
      <c r="AL537" s="125" t="str">
        <f t="shared" si="463"/>
        <v/>
      </c>
      <c r="AM537" s="28"/>
      <c r="AN537" s="28"/>
      <c r="AO537" s="125" t="str">
        <f t="shared" si="464"/>
        <v/>
      </c>
      <c r="AP537" s="125" t="str">
        <f t="shared" si="465"/>
        <v/>
      </c>
      <c r="AQ537" s="125" t="str">
        <f t="shared" si="466"/>
        <v/>
      </c>
      <c r="AR537" s="129" t="str">
        <f t="shared" si="467"/>
        <v/>
      </c>
      <c r="AS537" s="9"/>
      <c r="AT537" s="34"/>
      <c r="AU537" s="34"/>
      <c r="AV537" s="117" t="str">
        <f>IF(_xlfn.XLOOKUP(AT537, AutoFill_classes!$A:$A, AutoFill_classes!$B:$B,"")=0,"",_xlfn.XLOOKUP(AT537, AutoFill_classes!$A:$A, AutoFill_classes!$B:$B,""))</f>
        <v/>
      </c>
      <c r="AW537" s="108"/>
      <c r="AX537" s="9"/>
      <c r="AY537" s="10"/>
      <c r="AZ537" s="9"/>
      <c r="BA537" s="10"/>
      <c r="BB537" s="10"/>
      <c r="BC537" s="64"/>
      <c r="BD537" s="25"/>
      <c r="BE537" s="121" t="str">
        <f t="shared" si="468"/>
        <v/>
      </c>
      <c r="BF537" s="20"/>
      <c r="BG537" s="20"/>
      <c r="BH537" s="24"/>
      <c r="BI537" s="24"/>
      <c r="BJ537" s="125" t="str">
        <f t="shared" si="469"/>
        <v/>
      </c>
      <c r="BK537" s="14"/>
      <c r="BL537" s="125" t="str">
        <f t="shared" si="470"/>
        <v/>
      </c>
      <c r="BM537" s="24"/>
      <c r="BN537" s="24"/>
      <c r="BO537" s="125" t="str">
        <f t="shared" si="471"/>
        <v/>
      </c>
      <c r="BP537" s="14"/>
      <c r="BQ537" s="125" t="str">
        <f t="shared" si="472"/>
        <v/>
      </c>
      <c r="BR537" s="24"/>
      <c r="BS537" s="24"/>
      <c r="BT537" s="125" t="str">
        <f t="shared" si="473"/>
        <v/>
      </c>
      <c r="BU537" s="125" t="str">
        <f t="shared" si="474"/>
        <v/>
      </c>
      <c r="BV537" s="125" t="str">
        <f t="shared" si="475"/>
        <v/>
      </c>
      <c r="BW537" s="129" t="str">
        <f t="shared" si="476"/>
        <v/>
      </c>
      <c r="BX537" s="9"/>
      <c r="BY537" s="9"/>
      <c r="BZ537" s="9"/>
      <c r="CA537" s="117" t="str">
        <f>IF(_xlfn.XLOOKUP(BY537, AutoFill_classes!$A:$A, AutoFill_classes!$B:$B,"")=0,"",_xlfn.XLOOKUP(BY537, AutoFill_classes!$A:$A, AutoFill_classes!$B:$B,""))</f>
        <v/>
      </c>
      <c r="CB537" s="108"/>
      <c r="CC537" s="9"/>
      <c r="CD537" s="9"/>
      <c r="CE537" s="9"/>
      <c r="CF537" s="4"/>
      <c r="CG537" s="25"/>
      <c r="CH537" s="64"/>
      <c r="CI537" s="27"/>
      <c r="CJ537" s="121" t="str">
        <f t="shared" si="477"/>
        <v/>
      </c>
      <c r="CK537" s="20"/>
      <c r="CL537" s="20"/>
      <c r="CM537" s="24"/>
      <c r="CN537" s="24"/>
      <c r="CO537" s="125" t="str">
        <f t="shared" si="478"/>
        <v/>
      </c>
      <c r="CP537" s="14"/>
      <c r="CQ537" s="125" t="str">
        <f t="shared" si="479"/>
        <v/>
      </c>
      <c r="CR537" s="24"/>
      <c r="CS537" s="24"/>
      <c r="CT537" s="125" t="str">
        <f t="shared" si="480"/>
        <v/>
      </c>
      <c r="CU537" s="14"/>
      <c r="CV537" s="125" t="str">
        <f t="shared" si="481"/>
        <v/>
      </c>
      <c r="CW537" s="24"/>
      <c r="CX537" s="24"/>
      <c r="CY537" s="125" t="str">
        <f t="shared" si="482"/>
        <v/>
      </c>
      <c r="CZ537" s="125" t="str">
        <f t="shared" si="483"/>
        <v/>
      </c>
      <c r="DA537" s="125" t="str">
        <f t="shared" si="484"/>
        <v/>
      </c>
      <c r="DB537" s="129" t="str">
        <f t="shared" si="485"/>
        <v/>
      </c>
      <c r="DC537" s="9"/>
      <c r="DD537" s="65"/>
      <c r="DE537" s="105">
        <v>533</v>
      </c>
    </row>
    <row r="538" spans="1:109" outlineLevel="1" x14ac:dyDescent="0.2">
      <c r="A538" s="4"/>
      <c r="B538" s="115" t="str">
        <f>IF(_xlfn.XLOOKUP(A538, AutoFill_names!B:B, AutoFill_names!C:C,"")=0,"",_xlfn.XLOOKUP(A538, AutoFill_names!B:B, AutoFill_names!C:C,""))</f>
        <v/>
      </c>
      <c r="C538" s="115" t="str">
        <f>IF(_xlfn.XLOOKUP(A538, AutoFill_names!B:B, AutoFill_names!D:D,"")=0,"",_xlfn.XLOOKUP(A538, AutoFill_names!B:B, AutoFill_names!D:D,""))</f>
        <v/>
      </c>
      <c r="D538" s="115" t="str">
        <f>IF(_xlfn.XLOOKUP(A538, AutoFill_names!B:B, AutoFill_names!E:E,"")=0,"",_xlfn.XLOOKUP(A538, AutoFill_names!B:B, AutoFill_names!E:E,""))</f>
        <v/>
      </c>
      <c r="E538" s="115" t="str">
        <f>IF(_xlfn.XLOOKUP(A538, AutoFill_names!B:B, AutoFill_names!F:F,"")=0,"",_xlfn.XLOOKUP(A538, AutoFill_names!B:B, AutoFill_names!F:F,""))</f>
        <v/>
      </c>
      <c r="F538" s="92"/>
      <c r="G538" s="1"/>
      <c r="H538" s="1"/>
      <c r="I538" s="1"/>
      <c r="J538" s="115" t="str">
        <f>IF(_xlfn.XLOOKUP(A538, AutoFill_names!B:B, AutoFill_names!K:K,"")=0,"",_xlfn.XLOOKUP(A538, AutoFill_names!B:B, AutoFill_names!K:K,""))</f>
        <v/>
      </c>
      <c r="K538" s="115" t="str">
        <f>IF(_xlfn.XLOOKUP(A538, AutoFill_names!B:B, AutoFill_names!L:L,"")=0,"",_xlfn.XLOOKUP(A538, AutoFill_names!B:B, AutoFill_names!L:L,""))</f>
        <v/>
      </c>
      <c r="L538" s="5"/>
      <c r="M538" s="5"/>
      <c r="N538" s="117" t="str">
        <f>IF(_xlfn.XLOOKUP(L538, AutoFill_classes!A:A, AutoFill_classes!B:B,"")=0,"",_xlfn.XLOOKUP(L538, AutoFill_classes!A:A, AutoFill_classes!B:B,""))</f>
        <v/>
      </c>
      <c r="O538" s="108"/>
      <c r="P538" s="8"/>
      <c r="Q538" s="8"/>
      <c r="R538" s="8"/>
      <c r="S538" s="4"/>
      <c r="T538" s="4"/>
      <c r="U538" s="4"/>
      <c r="V538" s="4"/>
      <c r="W538" s="4"/>
      <c r="X538" s="64"/>
      <c r="Y538" s="25"/>
      <c r="Z538" s="121" t="str">
        <f t="shared" si="459"/>
        <v/>
      </c>
      <c r="AA538" s="26"/>
      <c r="AB538" s="26"/>
      <c r="AC538" s="28"/>
      <c r="AD538" s="28"/>
      <c r="AE538" s="125" t="str">
        <f t="shared" si="460"/>
        <v/>
      </c>
      <c r="AF538" s="9"/>
      <c r="AG538" s="125" t="str">
        <f t="shared" si="461"/>
        <v/>
      </c>
      <c r="AH538" s="28"/>
      <c r="AI538" s="28"/>
      <c r="AJ538" s="125" t="str">
        <f t="shared" si="462"/>
        <v/>
      </c>
      <c r="AK538" s="9"/>
      <c r="AL538" s="125" t="str">
        <f t="shared" si="463"/>
        <v/>
      </c>
      <c r="AM538" s="28"/>
      <c r="AN538" s="28"/>
      <c r="AO538" s="125" t="str">
        <f t="shared" si="464"/>
        <v/>
      </c>
      <c r="AP538" s="125" t="str">
        <f t="shared" si="465"/>
        <v/>
      </c>
      <c r="AQ538" s="125" t="str">
        <f t="shared" si="466"/>
        <v/>
      </c>
      <c r="AR538" s="129" t="str">
        <f t="shared" si="467"/>
        <v/>
      </c>
      <c r="AS538" s="9"/>
      <c r="AT538" s="34"/>
      <c r="AU538" s="34"/>
      <c r="AV538" s="117" t="str">
        <f>IF(_xlfn.XLOOKUP(AT538, AutoFill_classes!$A:$A, AutoFill_classes!$B:$B,"")=0,"",_xlfn.XLOOKUP(AT538, AutoFill_classes!$A:$A, AutoFill_classes!$B:$B,""))</f>
        <v/>
      </c>
      <c r="AW538" s="108"/>
      <c r="AX538" s="9"/>
      <c r="AY538" s="10"/>
      <c r="AZ538" s="9"/>
      <c r="BA538" s="10"/>
      <c r="BB538" s="10"/>
      <c r="BC538" s="64"/>
      <c r="BD538" s="25"/>
      <c r="BE538" s="121" t="str">
        <f t="shared" si="468"/>
        <v/>
      </c>
      <c r="BF538" s="20"/>
      <c r="BG538" s="20"/>
      <c r="BH538" s="24"/>
      <c r="BI538" s="24"/>
      <c r="BJ538" s="125" t="str">
        <f t="shared" si="469"/>
        <v/>
      </c>
      <c r="BK538" s="14"/>
      <c r="BL538" s="125" t="str">
        <f t="shared" si="470"/>
        <v/>
      </c>
      <c r="BM538" s="24"/>
      <c r="BN538" s="24"/>
      <c r="BO538" s="125" t="str">
        <f t="shared" si="471"/>
        <v/>
      </c>
      <c r="BP538" s="14"/>
      <c r="BQ538" s="125" t="str">
        <f t="shared" si="472"/>
        <v/>
      </c>
      <c r="BR538" s="24"/>
      <c r="BS538" s="24"/>
      <c r="BT538" s="125" t="str">
        <f t="shared" si="473"/>
        <v/>
      </c>
      <c r="BU538" s="125" t="str">
        <f t="shared" si="474"/>
        <v/>
      </c>
      <c r="BV538" s="125" t="str">
        <f t="shared" si="475"/>
        <v/>
      </c>
      <c r="BW538" s="129" t="str">
        <f t="shared" si="476"/>
        <v/>
      </c>
      <c r="BX538" s="9"/>
      <c r="BY538" s="9"/>
      <c r="BZ538" s="9"/>
      <c r="CA538" s="117" t="str">
        <f>IF(_xlfn.XLOOKUP(BY538, AutoFill_classes!$A:$A, AutoFill_classes!$B:$B,"")=0,"",_xlfn.XLOOKUP(BY538, AutoFill_classes!$A:$A, AutoFill_classes!$B:$B,""))</f>
        <v/>
      </c>
      <c r="CB538" s="108"/>
      <c r="CC538" s="9"/>
      <c r="CD538" s="9"/>
      <c r="CE538" s="9"/>
      <c r="CF538" s="4"/>
      <c r="CG538" s="25"/>
      <c r="CH538" s="64"/>
      <c r="CI538" s="27"/>
      <c r="CJ538" s="121" t="str">
        <f t="shared" si="477"/>
        <v/>
      </c>
      <c r="CK538" s="20"/>
      <c r="CL538" s="20"/>
      <c r="CM538" s="24"/>
      <c r="CN538" s="24"/>
      <c r="CO538" s="125" t="str">
        <f t="shared" si="478"/>
        <v/>
      </c>
      <c r="CP538" s="14"/>
      <c r="CQ538" s="125" t="str">
        <f t="shared" si="479"/>
        <v/>
      </c>
      <c r="CR538" s="24"/>
      <c r="CS538" s="24"/>
      <c r="CT538" s="125" t="str">
        <f t="shared" si="480"/>
        <v/>
      </c>
      <c r="CU538" s="14"/>
      <c r="CV538" s="125" t="str">
        <f t="shared" si="481"/>
        <v/>
      </c>
      <c r="CW538" s="24"/>
      <c r="CX538" s="24"/>
      <c r="CY538" s="125" t="str">
        <f t="shared" si="482"/>
        <v/>
      </c>
      <c r="CZ538" s="125" t="str">
        <f t="shared" si="483"/>
        <v/>
      </c>
      <c r="DA538" s="125" t="str">
        <f t="shared" si="484"/>
        <v/>
      </c>
      <c r="DB538" s="129" t="str">
        <f t="shared" si="485"/>
        <v/>
      </c>
      <c r="DC538" s="9"/>
      <c r="DD538" s="65"/>
      <c r="DE538" s="105">
        <v>534</v>
      </c>
    </row>
    <row r="539" spans="1:109" outlineLevel="1" x14ac:dyDescent="0.2">
      <c r="A539" s="4"/>
      <c r="B539" s="115" t="str">
        <f>IF(_xlfn.XLOOKUP(A539, AutoFill_names!B:B, AutoFill_names!C:C,"")=0,"",_xlfn.XLOOKUP(A539, AutoFill_names!B:B, AutoFill_names!C:C,""))</f>
        <v/>
      </c>
      <c r="C539" s="115" t="str">
        <f>IF(_xlfn.XLOOKUP(A539, AutoFill_names!B:B, AutoFill_names!D:D,"")=0,"",_xlfn.XLOOKUP(A539, AutoFill_names!B:B, AutoFill_names!D:D,""))</f>
        <v/>
      </c>
      <c r="D539" s="115" t="str">
        <f>IF(_xlfn.XLOOKUP(A539, AutoFill_names!B:B, AutoFill_names!E:E,"")=0,"",_xlfn.XLOOKUP(A539, AutoFill_names!B:B, AutoFill_names!E:E,""))</f>
        <v/>
      </c>
      <c r="E539" s="115" t="str">
        <f>IF(_xlfn.XLOOKUP(A539, AutoFill_names!B:B, AutoFill_names!F:F,"")=0,"",_xlfn.XLOOKUP(A539, AutoFill_names!B:B, AutoFill_names!F:F,""))</f>
        <v/>
      </c>
      <c r="F539" s="92"/>
      <c r="G539" s="1"/>
      <c r="H539" s="1"/>
      <c r="I539" s="1"/>
      <c r="J539" s="115" t="str">
        <f>IF(_xlfn.XLOOKUP(A539, AutoFill_names!B:B, AutoFill_names!K:K,"")=0,"",_xlfn.XLOOKUP(A539, AutoFill_names!B:B, AutoFill_names!K:K,""))</f>
        <v/>
      </c>
      <c r="K539" s="115" t="str">
        <f>IF(_xlfn.XLOOKUP(A539, AutoFill_names!B:B, AutoFill_names!L:L,"")=0,"",_xlfn.XLOOKUP(A539, AutoFill_names!B:B, AutoFill_names!L:L,""))</f>
        <v/>
      </c>
      <c r="L539" s="5"/>
      <c r="M539" s="5"/>
      <c r="N539" s="117" t="str">
        <f>IF(_xlfn.XLOOKUP(L539, AutoFill_classes!A:A, AutoFill_classes!B:B,"")=0,"",_xlfn.XLOOKUP(L539, AutoFill_classes!A:A, AutoFill_classes!B:B,""))</f>
        <v/>
      </c>
      <c r="O539" s="108"/>
      <c r="P539" s="8"/>
      <c r="Q539" s="8"/>
      <c r="R539" s="8"/>
      <c r="S539" s="4"/>
      <c r="T539" s="4"/>
      <c r="U539" s="4"/>
      <c r="V539" s="4"/>
      <c r="W539" s="4"/>
      <c r="X539" s="64"/>
      <c r="Y539" s="25"/>
      <c r="Z539" s="121" t="str">
        <f t="shared" si="459"/>
        <v/>
      </c>
      <c r="AA539" s="26"/>
      <c r="AB539" s="26"/>
      <c r="AC539" s="28"/>
      <c r="AD539" s="28"/>
      <c r="AE539" s="125" t="str">
        <f t="shared" si="460"/>
        <v/>
      </c>
      <c r="AF539" s="9"/>
      <c r="AG539" s="125" t="str">
        <f t="shared" si="461"/>
        <v/>
      </c>
      <c r="AH539" s="28"/>
      <c r="AI539" s="28"/>
      <c r="AJ539" s="125" t="str">
        <f t="shared" si="462"/>
        <v/>
      </c>
      <c r="AK539" s="9"/>
      <c r="AL539" s="125" t="str">
        <f t="shared" si="463"/>
        <v/>
      </c>
      <c r="AM539" s="28"/>
      <c r="AN539" s="28"/>
      <c r="AO539" s="125" t="str">
        <f t="shared" si="464"/>
        <v/>
      </c>
      <c r="AP539" s="125" t="str">
        <f t="shared" si="465"/>
        <v/>
      </c>
      <c r="AQ539" s="125" t="str">
        <f t="shared" si="466"/>
        <v/>
      </c>
      <c r="AR539" s="129" t="str">
        <f t="shared" si="467"/>
        <v/>
      </c>
      <c r="AS539" s="9"/>
      <c r="AT539" s="34"/>
      <c r="AU539" s="34"/>
      <c r="AV539" s="117" t="str">
        <f>IF(_xlfn.XLOOKUP(AT539, AutoFill_classes!$A:$A, AutoFill_classes!$B:$B,"")=0,"",_xlfn.XLOOKUP(AT539, AutoFill_classes!$A:$A, AutoFill_classes!$B:$B,""))</f>
        <v/>
      </c>
      <c r="AW539" s="108"/>
      <c r="AX539" s="9"/>
      <c r="AY539" s="10"/>
      <c r="AZ539" s="9"/>
      <c r="BA539" s="10"/>
      <c r="BB539" s="10"/>
      <c r="BC539" s="64"/>
      <c r="BD539" s="25"/>
      <c r="BE539" s="121" t="str">
        <f t="shared" si="468"/>
        <v/>
      </c>
      <c r="BF539" s="20"/>
      <c r="BG539" s="20"/>
      <c r="BH539" s="24"/>
      <c r="BI539" s="24"/>
      <c r="BJ539" s="125" t="str">
        <f t="shared" si="469"/>
        <v/>
      </c>
      <c r="BK539" s="14"/>
      <c r="BL539" s="125" t="str">
        <f t="shared" si="470"/>
        <v/>
      </c>
      <c r="BM539" s="24"/>
      <c r="BN539" s="24"/>
      <c r="BO539" s="125" t="str">
        <f t="shared" si="471"/>
        <v/>
      </c>
      <c r="BP539" s="14"/>
      <c r="BQ539" s="125" t="str">
        <f t="shared" si="472"/>
        <v/>
      </c>
      <c r="BR539" s="24"/>
      <c r="BS539" s="24"/>
      <c r="BT539" s="125" t="str">
        <f t="shared" si="473"/>
        <v/>
      </c>
      <c r="BU539" s="125" t="str">
        <f t="shared" si="474"/>
        <v/>
      </c>
      <c r="BV539" s="125" t="str">
        <f t="shared" si="475"/>
        <v/>
      </c>
      <c r="BW539" s="129" t="str">
        <f t="shared" si="476"/>
        <v/>
      </c>
      <c r="BX539" s="9"/>
      <c r="BY539" s="9"/>
      <c r="BZ539" s="9"/>
      <c r="CA539" s="117" t="str">
        <f>IF(_xlfn.XLOOKUP(BY539, AutoFill_classes!$A:$A, AutoFill_classes!$B:$B,"")=0,"",_xlfn.XLOOKUP(BY539, AutoFill_classes!$A:$A, AutoFill_classes!$B:$B,""))</f>
        <v/>
      </c>
      <c r="CB539" s="108"/>
      <c r="CC539" s="9"/>
      <c r="CD539" s="9"/>
      <c r="CE539" s="9"/>
      <c r="CF539" s="4"/>
      <c r="CG539" s="25"/>
      <c r="CH539" s="64"/>
      <c r="CI539" s="27"/>
      <c r="CJ539" s="121" t="str">
        <f t="shared" si="477"/>
        <v/>
      </c>
      <c r="CK539" s="20"/>
      <c r="CL539" s="20"/>
      <c r="CM539" s="24"/>
      <c r="CN539" s="24"/>
      <c r="CO539" s="125" t="str">
        <f t="shared" si="478"/>
        <v/>
      </c>
      <c r="CP539" s="14"/>
      <c r="CQ539" s="125" t="str">
        <f t="shared" si="479"/>
        <v/>
      </c>
      <c r="CR539" s="24"/>
      <c r="CS539" s="24"/>
      <c r="CT539" s="125" t="str">
        <f t="shared" si="480"/>
        <v/>
      </c>
      <c r="CU539" s="14"/>
      <c r="CV539" s="125" t="str">
        <f t="shared" si="481"/>
        <v/>
      </c>
      <c r="CW539" s="24"/>
      <c r="CX539" s="24"/>
      <c r="CY539" s="125" t="str">
        <f t="shared" si="482"/>
        <v/>
      </c>
      <c r="CZ539" s="125" t="str">
        <f t="shared" si="483"/>
        <v/>
      </c>
      <c r="DA539" s="125" t="str">
        <f t="shared" si="484"/>
        <v/>
      </c>
      <c r="DB539" s="129" t="str">
        <f t="shared" si="485"/>
        <v/>
      </c>
      <c r="DC539" s="9"/>
      <c r="DD539" s="65"/>
      <c r="DE539" s="105">
        <v>535</v>
      </c>
    </row>
    <row r="540" spans="1:109" outlineLevel="1" x14ac:dyDescent="0.2">
      <c r="A540" s="4"/>
      <c r="B540" s="115" t="str">
        <f>IF(_xlfn.XLOOKUP(A540, AutoFill_names!B:B, AutoFill_names!C:C,"")=0,"",_xlfn.XLOOKUP(A540, AutoFill_names!B:B, AutoFill_names!C:C,""))</f>
        <v/>
      </c>
      <c r="C540" s="115" t="str">
        <f>IF(_xlfn.XLOOKUP(A540, AutoFill_names!B:B, AutoFill_names!D:D,"")=0,"",_xlfn.XLOOKUP(A540, AutoFill_names!B:B, AutoFill_names!D:D,""))</f>
        <v/>
      </c>
      <c r="D540" s="115" t="str">
        <f>IF(_xlfn.XLOOKUP(A540, AutoFill_names!B:B, AutoFill_names!E:E,"")=0,"",_xlfn.XLOOKUP(A540, AutoFill_names!B:B, AutoFill_names!E:E,""))</f>
        <v/>
      </c>
      <c r="E540" s="115" t="str">
        <f>IF(_xlfn.XLOOKUP(A540, AutoFill_names!B:B, AutoFill_names!F:F,"")=0,"",_xlfn.XLOOKUP(A540, AutoFill_names!B:B, AutoFill_names!F:F,""))</f>
        <v/>
      </c>
      <c r="F540" s="92"/>
      <c r="G540" s="1"/>
      <c r="H540" s="1"/>
      <c r="I540" s="1"/>
      <c r="J540" s="115" t="str">
        <f>IF(_xlfn.XLOOKUP(A540, AutoFill_names!B:B, AutoFill_names!K:K,"")=0,"",_xlfn.XLOOKUP(A540, AutoFill_names!B:B, AutoFill_names!K:K,""))</f>
        <v/>
      </c>
      <c r="K540" s="115" t="str">
        <f>IF(_xlfn.XLOOKUP(A540, AutoFill_names!B:B, AutoFill_names!L:L,"")=0,"",_xlfn.XLOOKUP(A540, AutoFill_names!B:B, AutoFill_names!L:L,""))</f>
        <v/>
      </c>
      <c r="L540" s="5"/>
      <c r="M540" s="5"/>
      <c r="N540" s="117" t="str">
        <f>IF(_xlfn.XLOOKUP(L540, AutoFill_classes!A:A, AutoFill_classes!B:B,"")=0,"",_xlfn.XLOOKUP(L540, AutoFill_classes!A:A, AutoFill_classes!B:B,""))</f>
        <v/>
      </c>
      <c r="O540" s="108"/>
      <c r="P540" s="8"/>
      <c r="Q540" s="8"/>
      <c r="R540" s="8"/>
      <c r="S540" s="4"/>
      <c r="T540" s="4"/>
      <c r="U540" s="4"/>
      <c r="V540" s="4"/>
      <c r="W540" s="4"/>
      <c r="X540" s="64"/>
      <c r="Y540" s="25"/>
      <c r="Z540" s="121" t="str">
        <f t="shared" si="459"/>
        <v/>
      </c>
      <c r="AA540" s="26"/>
      <c r="AB540" s="26"/>
      <c r="AC540" s="28"/>
      <c r="AD540" s="28"/>
      <c r="AE540" s="125" t="str">
        <f t="shared" si="460"/>
        <v/>
      </c>
      <c r="AF540" s="9"/>
      <c r="AG540" s="125" t="str">
        <f t="shared" si="461"/>
        <v/>
      </c>
      <c r="AH540" s="28"/>
      <c r="AI540" s="28"/>
      <c r="AJ540" s="125" t="str">
        <f t="shared" si="462"/>
        <v/>
      </c>
      <c r="AK540" s="9"/>
      <c r="AL540" s="125" t="str">
        <f t="shared" si="463"/>
        <v/>
      </c>
      <c r="AM540" s="28"/>
      <c r="AN540" s="28"/>
      <c r="AO540" s="125" t="str">
        <f t="shared" si="464"/>
        <v/>
      </c>
      <c r="AP540" s="125" t="str">
        <f t="shared" si="465"/>
        <v/>
      </c>
      <c r="AQ540" s="125" t="str">
        <f t="shared" si="466"/>
        <v/>
      </c>
      <c r="AR540" s="129" t="str">
        <f t="shared" si="467"/>
        <v/>
      </c>
      <c r="AS540" s="9"/>
      <c r="AT540" s="34"/>
      <c r="AU540" s="34"/>
      <c r="AV540" s="117" t="str">
        <f>IF(_xlfn.XLOOKUP(AT540, AutoFill_classes!$A:$A, AutoFill_classes!$B:$B,"")=0,"",_xlfn.XLOOKUP(AT540, AutoFill_classes!$A:$A, AutoFill_classes!$B:$B,""))</f>
        <v/>
      </c>
      <c r="AW540" s="108"/>
      <c r="AX540" s="9"/>
      <c r="AY540" s="10"/>
      <c r="AZ540" s="9"/>
      <c r="BA540" s="10"/>
      <c r="BB540" s="10"/>
      <c r="BC540" s="64"/>
      <c r="BD540" s="25"/>
      <c r="BE540" s="121" t="str">
        <f t="shared" si="468"/>
        <v/>
      </c>
      <c r="BF540" s="20"/>
      <c r="BG540" s="20"/>
      <c r="BH540" s="24"/>
      <c r="BI540" s="24"/>
      <c r="BJ540" s="125" t="str">
        <f t="shared" si="469"/>
        <v/>
      </c>
      <c r="BK540" s="14"/>
      <c r="BL540" s="125" t="str">
        <f t="shared" si="470"/>
        <v/>
      </c>
      <c r="BM540" s="24"/>
      <c r="BN540" s="24"/>
      <c r="BO540" s="125" t="str">
        <f t="shared" si="471"/>
        <v/>
      </c>
      <c r="BP540" s="14"/>
      <c r="BQ540" s="125" t="str">
        <f t="shared" si="472"/>
        <v/>
      </c>
      <c r="BR540" s="24"/>
      <c r="BS540" s="24"/>
      <c r="BT540" s="125" t="str">
        <f t="shared" si="473"/>
        <v/>
      </c>
      <c r="BU540" s="125" t="str">
        <f t="shared" si="474"/>
        <v/>
      </c>
      <c r="BV540" s="125" t="str">
        <f t="shared" si="475"/>
        <v/>
      </c>
      <c r="BW540" s="129" t="str">
        <f t="shared" si="476"/>
        <v/>
      </c>
      <c r="BX540" s="9"/>
      <c r="BY540" s="9"/>
      <c r="BZ540" s="9"/>
      <c r="CA540" s="117" t="str">
        <f>IF(_xlfn.XLOOKUP(BY540, AutoFill_classes!$A:$A, AutoFill_classes!$B:$B,"")=0,"",_xlfn.XLOOKUP(BY540, AutoFill_classes!$A:$A, AutoFill_classes!$B:$B,""))</f>
        <v/>
      </c>
      <c r="CB540" s="108"/>
      <c r="CC540" s="9"/>
      <c r="CD540" s="9"/>
      <c r="CE540" s="9"/>
      <c r="CF540" s="4"/>
      <c r="CG540" s="25"/>
      <c r="CH540" s="64"/>
      <c r="CI540" s="27"/>
      <c r="CJ540" s="121" t="str">
        <f t="shared" si="477"/>
        <v/>
      </c>
      <c r="CK540" s="20"/>
      <c r="CL540" s="20"/>
      <c r="CM540" s="24"/>
      <c r="CN540" s="24"/>
      <c r="CO540" s="125" t="str">
        <f t="shared" si="478"/>
        <v/>
      </c>
      <c r="CP540" s="14"/>
      <c r="CQ540" s="125" t="str">
        <f t="shared" si="479"/>
        <v/>
      </c>
      <c r="CR540" s="24"/>
      <c r="CS540" s="24"/>
      <c r="CT540" s="125" t="str">
        <f t="shared" si="480"/>
        <v/>
      </c>
      <c r="CU540" s="14"/>
      <c r="CV540" s="125" t="str">
        <f t="shared" si="481"/>
        <v/>
      </c>
      <c r="CW540" s="24"/>
      <c r="CX540" s="24"/>
      <c r="CY540" s="125" t="str">
        <f t="shared" si="482"/>
        <v/>
      </c>
      <c r="CZ540" s="125" t="str">
        <f t="shared" si="483"/>
        <v/>
      </c>
      <c r="DA540" s="125" t="str">
        <f t="shared" si="484"/>
        <v/>
      </c>
      <c r="DB540" s="129" t="str">
        <f t="shared" si="485"/>
        <v/>
      </c>
      <c r="DC540" s="9"/>
      <c r="DD540" s="65"/>
      <c r="DE540" s="105">
        <v>536</v>
      </c>
    </row>
    <row r="541" spans="1:109" outlineLevel="1" x14ac:dyDescent="0.2">
      <c r="A541" s="4"/>
      <c r="B541" s="115" t="str">
        <f>IF(_xlfn.XLOOKUP(A541, AutoFill_names!B:B, AutoFill_names!C:C,"")=0,"",_xlfn.XLOOKUP(A541, AutoFill_names!B:B, AutoFill_names!C:C,""))</f>
        <v/>
      </c>
      <c r="C541" s="115" t="str">
        <f>IF(_xlfn.XLOOKUP(A541, AutoFill_names!B:B, AutoFill_names!D:D,"")=0,"",_xlfn.XLOOKUP(A541, AutoFill_names!B:B, AutoFill_names!D:D,""))</f>
        <v/>
      </c>
      <c r="D541" s="115" t="str">
        <f>IF(_xlfn.XLOOKUP(A541, AutoFill_names!B:B, AutoFill_names!E:E,"")=0,"",_xlfn.XLOOKUP(A541, AutoFill_names!B:B, AutoFill_names!E:E,""))</f>
        <v/>
      </c>
      <c r="E541" s="115" t="str">
        <f>IF(_xlfn.XLOOKUP(A541, AutoFill_names!B:B, AutoFill_names!F:F,"")=0,"",_xlfn.XLOOKUP(A541, AutoFill_names!B:B, AutoFill_names!F:F,""))</f>
        <v/>
      </c>
      <c r="F541" s="92"/>
      <c r="G541" s="1"/>
      <c r="H541" s="1"/>
      <c r="I541" s="1"/>
      <c r="J541" s="115" t="str">
        <f>IF(_xlfn.XLOOKUP(A541, AutoFill_names!B:B, AutoFill_names!K:K,"")=0,"",_xlfn.XLOOKUP(A541, AutoFill_names!B:B, AutoFill_names!K:K,""))</f>
        <v/>
      </c>
      <c r="K541" s="115" t="str">
        <f>IF(_xlfn.XLOOKUP(A541, AutoFill_names!B:B, AutoFill_names!L:L,"")=0,"",_xlfn.XLOOKUP(A541, AutoFill_names!B:B, AutoFill_names!L:L,""))</f>
        <v/>
      </c>
      <c r="L541" s="5"/>
      <c r="M541" s="5"/>
      <c r="N541" s="117" t="str">
        <f>IF(_xlfn.XLOOKUP(L541, AutoFill_classes!A:A, AutoFill_classes!B:B,"")=0,"",_xlfn.XLOOKUP(L541, AutoFill_classes!A:A, AutoFill_classes!B:B,""))</f>
        <v/>
      </c>
      <c r="O541" s="108"/>
      <c r="P541" s="8"/>
      <c r="Q541" s="8"/>
      <c r="R541" s="8"/>
      <c r="S541" s="4"/>
      <c r="T541" s="4"/>
      <c r="U541" s="4"/>
      <c r="V541" s="4"/>
      <c r="W541" s="4"/>
      <c r="X541" s="64"/>
      <c r="Y541" s="25"/>
      <c r="Z541" s="121" t="str">
        <f t="shared" si="459"/>
        <v/>
      </c>
      <c r="AA541" s="26"/>
      <c r="AB541" s="26"/>
      <c r="AC541" s="28"/>
      <c r="AD541" s="28"/>
      <c r="AE541" s="125" t="str">
        <f t="shared" si="460"/>
        <v/>
      </c>
      <c r="AF541" s="9"/>
      <c r="AG541" s="125" t="str">
        <f t="shared" si="461"/>
        <v/>
      </c>
      <c r="AH541" s="28"/>
      <c r="AI541" s="28"/>
      <c r="AJ541" s="125" t="str">
        <f t="shared" si="462"/>
        <v/>
      </c>
      <c r="AK541" s="9"/>
      <c r="AL541" s="125" t="str">
        <f t="shared" si="463"/>
        <v/>
      </c>
      <c r="AM541" s="28"/>
      <c r="AN541" s="28"/>
      <c r="AO541" s="125" t="str">
        <f t="shared" si="464"/>
        <v/>
      </c>
      <c r="AP541" s="125" t="str">
        <f t="shared" si="465"/>
        <v/>
      </c>
      <c r="AQ541" s="125" t="str">
        <f t="shared" si="466"/>
        <v/>
      </c>
      <c r="AR541" s="129" t="str">
        <f t="shared" si="467"/>
        <v/>
      </c>
      <c r="AS541" s="9"/>
      <c r="AT541" s="34"/>
      <c r="AU541" s="34"/>
      <c r="AV541" s="117" t="str">
        <f>IF(_xlfn.XLOOKUP(AT541, AutoFill_classes!$A:$A, AutoFill_classes!$B:$B,"")=0,"",_xlfn.XLOOKUP(AT541, AutoFill_classes!$A:$A, AutoFill_classes!$B:$B,""))</f>
        <v/>
      </c>
      <c r="AW541" s="108"/>
      <c r="AX541" s="9"/>
      <c r="AY541" s="10"/>
      <c r="AZ541" s="9"/>
      <c r="BA541" s="10"/>
      <c r="BB541" s="10"/>
      <c r="BC541" s="64"/>
      <c r="BD541" s="25"/>
      <c r="BE541" s="121" t="str">
        <f t="shared" si="468"/>
        <v/>
      </c>
      <c r="BF541" s="20"/>
      <c r="BG541" s="20"/>
      <c r="BH541" s="24"/>
      <c r="BI541" s="24"/>
      <c r="BJ541" s="125" t="str">
        <f t="shared" si="469"/>
        <v/>
      </c>
      <c r="BK541" s="14"/>
      <c r="BL541" s="125" t="str">
        <f t="shared" si="470"/>
        <v/>
      </c>
      <c r="BM541" s="24"/>
      <c r="BN541" s="24"/>
      <c r="BO541" s="125" t="str">
        <f t="shared" si="471"/>
        <v/>
      </c>
      <c r="BP541" s="14"/>
      <c r="BQ541" s="125" t="str">
        <f t="shared" si="472"/>
        <v/>
      </c>
      <c r="BR541" s="24"/>
      <c r="BS541" s="24"/>
      <c r="BT541" s="125" t="str">
        <f t="shared" si="473"/>
        <v/>
      </c>
      <c r="BU541" s="125" t="str">
        <f t="shared" si="474"/>
        <v/>
      </c>
      <c r="BV541" s="125" t="str">
        <f t="shared" si="475"/>
        <v/>
      </c>
      <c r="BW541" s="129" t="str">
        <f t="shared" si="476"/>
        <v/>
      </c>
      <c r="BX541" s="9"/>
      <c r="BY541" s="9"/>
      <c r="BZ541" s="9"/>
      <c r="CA541" s="117" t="str">
        <f>IF(_xlfn.XLOOKUP(BY541, AutoFill_classes!$A:$A, AutoFill_classes!$B:$B,"")=0,"",_xlfn.XLOOKUP(BY541, AutoFill_classes!$A:$A, AutoFill_classes!$B:$B,""))</f>
        <v/>
      </c>
      <c r="CB541" s="108"/>
      <c r="CC541" s="9"/>
      <c r="CD541" s="9"/>
      <c r="CE541" s="9"/>
      <c r="CF541" s="4"/>
      <c r="CG541" s="25"/>
      <c r="CH541" s="64"/>
      <c r="CI541" s="27"/>
      <c r="CJ541" s="121" t="str">
        <f t="shared" si="477"/>
        <v/>
      </c>
      <c r="CK541" s="20"/>
      <c r="CL541" s="20"/>
      <c r="CM541" s="24"/>
      <c r="CN541" s="24"/>
      <c r="CO541" s="125" t="str">
        <f t="shared" si="478"/>
        <v/>
      </c>
      <c r="CP541" s="14"/>
      <c r="CQ541" s="125" t="str">
        <f t="shared" si="479"/>
        <v/>
      </c>
      <c r="CR541" s="24"/>
      <c r="CS541" s="24"/>
      <c r="CT541" s="125" t="str">
        <f t="shared" si="480"/>
        <v/>
      </c>
      <c r="CU541" s="14"/>
      <c r="CV541" s="125" t="str">
        <f t="shared" si="481"/>
        <v/>
      </c>
      <c r="CW541" s="24"/>
      <c r="CX541" s="24"/>
      <c r="CY541" s="125" t="str">
        <f t="shared" si="482"/>
        <v/>
      </c>
      <c r="CZ541" s="125" t="str">
        <f t="shared" si="483"/>
        <v/>
      </c>
      <c r="DA541" s="125" t="str">
        <f t="shared" si="484"/>
        <v/>
      </c>
      <c r="DB541" s="129" t="str">
        <f t="shared" si="485"/>
        <v/>
      </c>
      <c r="DC541" s="9"/>
      <c r="DD541" s="65"/>
      <c r="DE541" s="105">
        <v>537</v>
      </c>
    </row>
    <row r="542" spans="1:109" outlineLevel="1" x14ac:dyDescent="0.2">
      <c r="A542" s="4"/>
      <c r="B542" s="115" t="str">
        <f>IF(_xlfn.XLOOKUP(A542, AutoFill_names!B:B, AutoFill_names!C:C,"")=0,"",_xlfn.XLOOKUP(A542, AutoFill_names!B:B, AutoFill_names!C:C,""))</f>
        <v/>
      </c>
      <c r="C542" s="115" t="str">
        <f>IF(_xlfn.XLOOKUP(A542, AutoFill_names!B:B, AutoFill_names!D:D,"")=0,"",_xlfn.XLOOKUP(A542, AutoFill_names!B:B, AutoFill_names!D:D,""))</f>
        <v/>
      </c>
      <c r="D542" s="115" t="str">
        <f>IF(_xlfn.XLOOKUP(A542, AutoFill_names!B:B, AutoFill_names!E:E,"")=0,"",_xlfn.XLOOKUP(A542, AutoFill_names!B:B, AutoFill_names!E:E,""))</f>
        <v/>
      </c>
      <c r="E542" s="115" t="str">
        <f>IF(_xlfn.XLOOKUP(A542, AutoFill_names!B:B, AutoFill_names!F:F,"")=0,"",_xlfn.XLOOKUP(A542, AutoFill_names!B:B, AutoFill_names!F:F,""))</f>
        <v/>
      </c>
      <c r="F542" s="92"/>
      <c r="G542" s="1"/>
      <c r="H542" s="1"/>
      <c r="I542" s="1"/>
      <c r="J542" s="115" t="str">
        <f>IF(_xlfn.XLOOKUP(A542, AutoFill_names!B:B, AutoFill_names!K:K,"")=0,"",_xlfn.XLOOKUP(A542, AutoFill_names!B:B, AutoFill_names!K:K,""))</f>
        <v/>
      </c>
      <c r="K542" s="115" t="str">
        <f>IF(_xlfn.XLOOKUP(A542, AutoFill_names!B:B, AutoFill_names!L:L,"")=0,"",_xlfn.XLOOKUP(A542, AutoFill_names!B:B, AutoFill_names!L:L,""))</f>
        <v/>
      </c>
      <c r="L542" s="5"/>
      <c r="M542" s="5"/>
      <c r="N542" s="117" t="str">
        <f>IF(_xlfn.XLOOKUP(L542, AutoFill_classes!A:A, AutoFill_classes!B:B,"")=0,"",_xlfn.XLOOKUP(L542, AutoFill_classes!A:A, AutoFill_classes!B:B,""))</f>
        <v/>
      </c>
      <c r="O542" s="108"/>
      <c r="P542" s="8"/>
      <c r="Q542" s="8"/>
      <c r="R542" s="8"/>
      <c r="S542" s="4"/>
      <c r="T542" s="4"/>
      <c r="U542" s="4"/>
      <c r="V542" s="4"/>
      <c r="W542" s="4"/>
      <c r="X542" s="64"/>
      <c r="Y542" s="25"/>
      <c r="Z542" s="121" t="str">
        <f t="shared" si="459"/>
        <v/>
      </c>
      <c r="AA542" s="26"/>
      <c r="AB542" s="26"/>
      <c r="AC542" s="28"/>
      <c r="AD542" s="28"/>
      <c r="AE542" s="125" t="str">
        <f t="shared" si="460"/>
        <v/>
      </c>
      <c r="AF542" s="9"/>
      <c r="AG542" s="125" t="str">
        <f t="shared" si="461"/>
        <v/>
      </c>
      <c r="AH542" s="28"/>
      <c r="AI542" s="28"/>
      <c r="AJ542" s="125" t="str">
        <f t="shared" si="462"/>
        <v/>
      </c>
      <c r="AK542" s="9"/>
      <c r="AL542" s="125" t="str">
        <f t="shared" si="463"/>
        <v/>
      </c>
      <c r="AM542" s="28"/>
      <c r="AN542" s="28"/>
      <c r="AO542" s="125" t="str">
        <f t="shared" si="464"/>
        <v/>
      </c>
      <c r="AP542" s="125" t="str">
        <f t="shared" si="465"/>
        <v/>
      </c>
      <c r="AQ542" s="125" t="str">
        <f t="shared" si="466"/>
        <v/>
      </c>
      <c r="AR542" s="129" t="str">
        <f t="shared" si="467"/>
        <v/>
      </c>
      <c r="AS542" s="9"/>
      <c r="AT542" s="34"/>
      <c r="AU542" s="34"/>
      <c r="AV542" s="117" t="str">
        <f>IF(_xlfn.XLOOKUP(AT542, AutoFill_classes!$A:$A, AutoFill_classes!$B:$B,"")=0,"",_xlfn.XLOOKUP(AT542, AutoFill_classes!$A:$A, AutoFill_classes!$B:$B,""))</f>
        <v/>
      </c>
      <c r="AW542" s="108"/>
      <c r="AX542" s="9"/>
      <c r="AY542" s="10"/>
      <c r="AZ542" s="9"/>
      <c r="BA542" s="10"/>
      <c r="BB542" s="10"/>
      <c r="BC542" s="64"/>
      <c r="BD542" s="25"/>
      <c r="BE542" s="121" t="str">
        <f t="shared" si="468"/>
        <v/>
      </c>
      <c r="BF542" s="20"/>
      <c r="BG542" s="20"/>
      <c r="BH542" s="24"/>
      <c r="BI542" s="24"/>
      <c r="BJ542" s="125" t="str">
        <f t="shared" si="469"/>
        <v/>
      </c>
      <c r="BK542" s="14"/>
      <c r="BL542" s="125" t="str">
        <f t="shared" si="470"/>
        <v/>
      </c>
      <c r="BM542" s="24"/>
      <c r="BN542" s="24"/>
      <c r="BO542" s="125" t="str">
        <f t="shared" si="471"/>
        <v/>
      </c>
      <c r="BP542" s="14"/>
      <c r="BQ542" s="125" t="str">
        <f t="shared" si="472"/>
        <v/>
      </c>
      <c r="BR542" s="24"/>
      <c r="BS542" s="24"/>
      <c r="BT542" s="125" t="str">
        <f t="shared" si="473"/>
        <v/>
      </c>
      <c r="BU542" s="125" t="str">
        <f t="shared" si="474"/>
        <v/>
      </c>
      <c r="BV542" s="125" t="str">
        <f t="shared" si="475"/>
        <v/>
      </c>
      <c r="BW542" s="129" t="str">
        <f t="shared" si="476"/>
        <v/>
      </c>
      <c r="BX542" s="9"/>
      <c r="BY542" s="9"/>
      <c r="BZ542" s="9"/>
      <c r="CA542" s="117" t="str">
        <f>IF(_xlfn.XLOOKUP(BY542, AutoFill_classes!$A:$A, AutoFill_classes!$B:$B,"")=0,"",_xlfn.XLOOKUP(BY542, AutoFill_classes!$A:$A, AutoFill_classes!$B:$B,""))</f>
        <v/>
      </c>
      <c r="CB542" s="108"/>
      <c r="CC542" s="9"/>
      <c r="CD542" s="9"/>
      <c r="CE542" s="9"/>
      <c r="CF542" s="4"/>
      <c r="CG542" s="25"/>
      <c r="CH542" s="64"/>
      <c r="CI542" s="27"/>
      <c r="CJ542" s="121" t="str">
        <f t="shared" si="477"/>
        <v/>
      </c>
      <c r="CK542" s="20"/>
      <c r="CL542" s="20"/>
      <c r="CM542" s="24"/>
      <c r="CN542" s="24"/>
      <c r="CO542" s="125" t="str">
        <f t="shared" si="478"/>
        <v/>
      </c>
      <c r="CP542" s="14"/>
      <c r="CQ542" s="125" t="str">
        <f t="shared" si="479"/>
        <v/>
      </c>
      <c r="CR542" s="24"/>
      <c r="CS542" s="24"/>
      <c r="CT542" s="125" t="str">
        <f t="shared" si="480"/>
        <v/>
      </c>
      <c r="CU542" s="14"/>
      <c r="CV542" s="125" t="str">
        <f t="shared" si="481"/>
        <v/>
      </c>
      <c r="CW542" s="24"/>
      <c r="CX542" s="24"/>
      <c r="CY542" s="125" t="str">
        <f t="shared" si="482"/>
        <v/>
      </c>
      <c r="CZ542" s="125" t="str">
        <f t="shared" si="483"/>
        <v/>
      </c>
      <c r="DA542" s="125" t="str">
        <f t="shared" si="484"/>
        <v/>
      </c>
      <c r="DB542" s="129" t="str">
        <f t="shared" si="485"/>
        <v/>
      </c>
      <c r="DC542" s="9"/>
      <c r="DD542" s="65"/>
      <c r="DE542" s="105">
        <v>538</v>
      </c>
    </row>
    <row r="543" spans="1:109" outlineLevel="1" x14ac:dyDescent="0.2">
      <c r="A543" s="4"/>
      <c r="B543" s="115" t="str">
        <f>IF(_xlfn.XLOOKUP(A543, AutoFill_names!B:B, AutoFill_names!C:C,"")=0,"",_xlfn.XLOOKUP(A543, AutoFill_names!B:B, AutoFill_names!C:C,""))</f>
        <v/>
      </c>
      <c r="C543" s="115" t="str">
        <f>IF(_xlfn.XLOOKUP(A543, AutoFill_names!B:B, AutoFill_names!D:D,"")=0,"",_xlfn.XLOOKUP(A543, AutoFill_names!B:B, AutoFill_names!D:D,""))</f>
        <v/>
      </c>
      <c r="D543" s="115" t="str">
        <f>IF(_xlfn.XLOOKUP(A543, AutoFill_names!B:B, AutoFill_names!E:E,"")=0,"",_xlfn.XLOOKUP(A543, AutoFill_names!B:B, AutoFill_names!E:E,""))</f>
        <v/>
      </c>
      <c r="E543" s="115" t="str">
        <f>IF(_xlfn.XLOOKUP(A543, AutoFill_names!B:B, AutoFill_names!F:F,"")=0,"",_xlfn.XLOOKUP(A543, AutoFill_names!B:B, AutoFill_names!F:F,""))</f>
        <v/>
      </c>
      <c r="F543" s="92"/>
      <c r="G543" s="1"/>
      <c r="H543" s="1"/>
      <c r="I543" s="1"/>
      <c r="J543" s="115" t="str">
        <f>IF(_xlfn.XLOOKUP(A543, AutoFill_names!B:B, AutoFill_names!K:K,"")=0,"",_xlfn.XLOOKUP(A543, AutoFill_names!B:B, AutoFill_names!K:K,""))</f>
        <v/>
      </c>
      <c r="K543" s="115" t="str">
        <f>IF(_xlfn.XLOOKUP(A543, AutoFill_names!B:B, AutoFill_names!L:L,"")=0,"",_xlfn.XLOOKUP(A543, AutoFill_names!B:B, AutoFill_names!L:L,""))</f>
        <v/>
      </c>
      <c r="L543" s="5"/>
      <c r="M543" s="5"/>
      <c r="N543" s="117" t="str">
        <f>IF(_xlfn.XLOOKUP(L543, AutoFill_classes!A:A, AutoFill_classes!B:B,"")=0,"",_xlfn.XLOOKUP(L543, AutoFill_classes!A:A, AutoFill_classes!B:B,""))</f>
        <v/>
      </c>
      <c r="O543" s="108"/>
      <c r="P543" s="8"/>
      <c r="Q543" s="8"/>
      <c r="R543" s="8"/>
      <c r="S543" s="4"/>
      <c r="T543" s="4"/>
      <c r="U543" s="4"/>
      <c r="V543" s="4"/>
      <c r="W543" s="4"/>
      <c r="X543" s="64"/>
      <c r="Y543" s="25"/>
      <c r="Z543" s="121" t="str">
        <f t="shared" si="459"/>
        <v/>
      </c>
      <c r="AA543" s="26"/>
      <c r="AB543" s="26"/>
      <c r="AC543" s="28"/>
      <c r="AD543" s="28"/>
      <c r="AE543" s="125" t="str">
        <f t="shared" si="460"/>
        <v/>
      </c>
      <c r="AF543" s="9"/>
      <c r="AG543" s="125" t="str">
        <f t="shared" si="461"/>
        <v/>
      </c>
      <c r="AH543" s="28"/>
      <c r="AI543" s="28"/>
      <c r="AJ543" s="125" t="str">
        <f t="shared" si="462"/>
        <v/>
      </c>
      <c r="AK543" s="9"/>
      <c r="AL543" s="125" t="str">
        <f t="shared" si="463"/>
        <v/>
      </c>
      <c r="AM543" s="28"/>
      <c r="AN543" s="28"/>
      <c r="AO543" s="125" t="str">
        <f t="shared" si="464"/>
        <v/>
      </c>
      <c r="AP543" s="125" t="str">
        <f t="shared" si="465"/>
        <v/>
      </c>
      <c r="AQ543" s="125" t="str">
        <f t="shared" si="466"/>
        <v/>
      </c>
      <c r="AR543" s="129" t="str">
        <f t="shared" si="467"/>
        <v/>
      </c>
      <c r="AS543" s="9"/>
      <c r="AT543" s="34"/>
      <c r="AU543" s="34"/>
      <c r="AV543" s="117" t="str">
        <f>IF(_xlfn.XLOOKUP(AT543, AutoFill_classes!$A:$A, AutoFill_classes!$B:$B,"")=0,"",_xlfn.XLOOKUP(AT543, AutoFill_classes!$A:$A, AutoFill_classes!$B:$B,""))</f>
        <v/>
      </c>
      <c r="AW543" s="108"/>
      <c r="AX543" s="9"/>
      <c r="AY543" s="10"/>
      <c r="AZ543" s="9"/>
      <c r="BA543" s="10"/>
      <c r="BB543" s="10"/>
      <c r="BC543" s="64"/>
      <c r="BD543" s="25"/>
      <c r="BE543" s="121" t="str">
        <f t="shared" si="468"/>
        <v/>
      </c>
      <c r="BF543" s="20"/>
      <c r="BG543" s="20"/>
      <c r="BH543" s="24"/>
      <c r="BI543" s="24"/>
      <c r="BJ543" s="125" t="str">
        <f t="shared" si="469"/>
        <v/>
      </c>
      <c r="BK543" s="14"/>
      <c r="BL543" s="125" t="str">
        <f t="shared" si="470"/>
        <v/>
      </c>
      <c r="BM543" s="24"/>
      <c r="BN543" s="24"/>
      <c r="BO543" s="125" t="str">
        <f t="shared" si="471"/>
        <v/>
      </c>
      <c r="BP543" s="14"/>
      <c r="BQ543" s="125" t="str">
        <f t="shared" si="472"/>
        <v/>
      </c>
      <c r="BR543" s="24"/>
      <c r="BS543" s="24"/>
      <c r="BT543" s="125" t="str">
        <f t="shared" si="473"/>
        <v/>
      </c>
      <c r="BU543" s="125" t="str">
        <f t="shared" si="474"/>
        <v/>
      </c>
      <c r="BV543" s="125" t="str">
        <f t="shared" si="475"/>
        <v/>
      </c>
      <c r="BW543" s="129" t="str">
        <f t="shared" si="476"/>
        <v/>
      </c>
      <c r="BX543" s="9"/>
      <c r="BY543" s="9"/>
      <c r="BZ543" s="9"/>
      <c r="CA543" s="117" t="str">
        <f>IF(_xlfn.XLOOKUP(BY543, AutoFill_classes!$A:$A, AutoFill_classes!$B:$B,"")=0,"",_xlfn.XLOOKUP(BY543, AutoFill_classes!$A:$A, AutoFill_classes!$B:$B,""))</f>
        <v/>
      </c>
      <c r="CB543" s="108"/>
      <c r="CC543" s="9"/>
      <c r="CD543" s="9"/>
      <c r="CE543" s="9"/>
      <c r="CF543" s="4"/>
      <c r="CG543" s="25"/>
      <c r="CH543" s="64"/>
      <c r="CI543" s="27"/>
      <c r="CJ543" s="121" t="str">
        <f t="shared" si="477"/>
        <v/>
      </c>
      <c r="CK543" s="20"/>
      <c r="CL543" s="20"/>
      <c r="CM543" s="24"/>
      <c r="CN543" s="24"/>
      <c r="CO543" s="125" t="str">
        <f t="shared" si="478"/>
        <v/>
      </c>
      <c r="CP543" s="14"/>
      <c r="CQ543" s="125" t="str">
        <f t="shared" si="479"/>
        <v/>
      </c>
      <c r="CR543" s="24"/>
      <c r="CS543" s="24"/>
      <c r="CT543" s="125" t="str">
        <f t="shared" si="480"/>
        <v/>
      </c>
      <c r="CU543" s="14"/>
      <c r="CV543" s="125" t="str">
        <f t="shared" si="481"/>
        <v/>
      </c>
      <c r="CW543" s="24"/>
      <c r="CX543" s="24"/>
      <c r="CY543" s="125" t="str">
        <f t="shared" si="482"/>
        <v/>
      </c>
      <c r="CZ543" s="125" t="str">
        <f t="shared" si="483"/>
        <v/>
      </c>
      <c r="DA543" s="125" t="str">
        <f t="shared" si="484"/>
        <v/>
      </c>
      <c r="DB543" s="129" t="str">
        <f t="shared" si="485"/>
        <v/>
      </c>
      <c r="DC543" s="9"/>
      <c r="DD543" s="65"/>
      <c r="DE543" s="105">
        <v>539</v>
      </c>
    </row>
    <row r="544" spans="1:109" outlineLevel="1" x14ac:dyDescent="0.2">
      <c r="A544" s="4"/>
      <c r="B544" s="115" t="str">
        <f>IF(_xlfn.XLOOKUP(A544, AutoFill_names!B:B, AutoFill_names!C:C,"")=0,"",_xlfn.XLOOKUP(A544, AutoFill_names!B:B, AutoFill_names!C:C,""))</f>
        <v/>
      </c>
      <c r="C544" s="115" t="str">
        <f>IF(_xlfn.XLOOKUP(A544, AutoFill_names!B:B, AutoFill_names!D:D,"")=0,"",_xlfn.XLOOKUP(A544, AutoFill_names!B:B, AutoFill_names!D:D,""))</f>
        <v/>
      </c>
      <c r="D544" s="115" t="str">
        <f>IF(_xlfn.XLOOKUP(A544, AutoFill_names!B:B, AutoFill_names!E:E,"")=0,"",_xlfn.XLOOKUP(A544, AutoFill_names!B:B, AutoFill_names!E:E,""))</f>
        <v/>
      </c>
      <c r="E544" s="115" t="str">
        <f>IF(_xlfn.XLOOKUP(A544, AutoFill_names!B:B, AutoFill_names!F:F,"")=0,"",_xlfn.XLOOKUP(A544, AutoFill_names!B:B, AutoFill_names!F:F,""))</f>
        <v/>
      </c>
      <c r="F544" s="92"/>
      <c r="G544" s="1"/>
      <c r="H544" s="1"/>
      <c r="I544" s="1"/>
      <c r="J544" s="115" t="str">
        <f>IF(_xlfn.XLOOKUP(A544, AutoFill_names!B:B, AutoFill_names!K:K,"")=0,"",_xlfn.XLOOKUP(A544, AutoFill_names!B:B, AutoFill_names!K:K,""))</f>
        <v/>
      </c>
      <c r="K544" s="115" t="str">
        <f>IF(_xlfn.XLOOKUP(A544, AutoFill_names!B:B, AutoFill_names!L:L,"")=0,"",_xlfn.XLOOKUP(A544, AutoFill_names!B:B, AutoFill_names!L:L,""))</f>
        <v/>
      </c>
      <c r="L544" s="5"/>
      <c r="M544" s="5"/>
      <c r="N544" s="117" t="str">
        <f>IF(_xlfn.XLOOKUP(L544, AutoFill_classes!A:A, AutoFill_classes!B:B,"")=0,"",_xlfn.XLOOKUP(L544, AutoFill_classes!A:A, AutoFill_classes!B:B,""))</f>
        <v/>
      </c>
      <c r="O544" s="108"/>
      <c r="P544" s="8"/>
      <c r="Q544" s="8"/>
      <c r="R544" s="8"/>
      <c r="S544" s="4"/>
      <c r="T544" s="4"/>
      <c r="U544" s="4"/>
      <c r="V544" s="4"/>
      <c r="W544" s="4"/>
      <c r="X544" s="64"/>
      <c r="Y544" s="25"/>
      <c r="Z544" s="121" t="str">
        <f t="shared" si="459"/>
        <v/>
      </c>
      <c r="AA544" s="26"/>
      <c r="AB544" s="26"/>
      <c r="AC544" s="28"/>
      <c r="AD544" s="28"/>
      <c r="AE544" s="125" t="str">
        <f t="shared" si="460"/>
        <v/>
      </c>
      <c r="AF544" s="9"/>
      <c r="AG544" s="125" t="str">
        <f t="shared" si="461"/>
        <v/>
      </c>
      <c r="AH544" s="28"/>
      <c r="AI544" s="28"/>
      <c r="AJ544" s="125" t="str">
        <f t="shared" si="462"/>
        <v/>
      </c>
      <c r="AK544" s="9"/>
      <c r="AL544" s="125" t="str">
        <f t="shared" si="463"/>
        <v/>
      </c>
      <c r="AM544" s="28"/>
      <c r="AN544" s="28"/>
      <c r="AO544" s="125" t="str">
        <f t="shared" si="464"/>
        <v/>
      </c>
      <c r="AP544" s="125" t="str">
        <f t="shared" si="465"/>
        <v/>
      </c>
      <c r="AQ544" s="125" t="str">
        <f t="shared" si="466"/>
        <v/>
      </c>
      <c r="AR544" s="129" t="str">
        <f t="shared" si="467"/>
        <v/>
      </c>
      <c r="AS544" s="9"/>
      <c r="AT544" s="34"/>
      <c r="AU544" s="34"/>
      <c r="AV544" s="117" t="str">
        <f>IF(_xlfn.XLOOKUP(AT544, AutoFill_classes!$A:$A, AutoFill_classes!$B:$B,"")=0,"",_xlfn.XLOOKUP(AT544, AutoFill_classes!$A:$A, AutoFill_classes!$B:$B,""))</f>
        <v/>
      </c>
      <c r="AW544" s="108"/>
      <c r="AX544" s="9"/>
      <c r="AY544" s="10"/>
      <c r="AZ544" s="9"/>
      <c r="BA544" s="10"/>
      <c r="BB544" s="10"/>
      <c r="BC544" s="64"/>
      <c r="BD544" s="25"/>
      <c r="BE544" s="121" t="str">
        <f t="shared" si="468"/>
        <v/>
      </c>
      <c r="BF544" s="20"/>
      <c r="BG544" s="20"/>
      <c r="BH544" s="24"/>
      <c r="BI544" s="24"/>
      <c r="BJ544" s="125" t="str">
        <f t="shared" si="469"/>
        <v/>
      </c>
      <c r="BK544" s="14"/>
      <c r="BL544" s="125" t="str">
        <f t="shared" si="470"/>
        <v/>
      </c>
      <c r="BM544" s="24"/>
      <c r="BN544" s="24"/>
      <c r="BO544" s="125" t="str">
        <f t="shared" si="471"/>
        <v/>
      </c>
      <c r="BP544" s="14"/>
      <c r="BQ544" s="125" t="str">
        <f t="shared" si="472"/>
        <v/>
      </c>
      <c r="BR544" s="24"/>
      <c r="BS544" s="24"/>
      <c r="BT544" s="125" t="str">
        <f t="shared" si="473"/>
        <v/>
      </c>
      <c r="BU544" s="125" t="str">
        <f t="shared" si="474"/>
        <v/>
      </c>
      <c r="BV544" s="125" t="str">
        <f t="shared" si="475"/>
        <v/>
      </c>
      <c r="BW544" s="129" t="str">
        <f t="shared" si="476"/>
        <v/>
      </c>
      <c r="BX544" s="9"/>
      <c r="BY544" s="9"/>
      <c r="BZ544" s="9"/>
      <c r="CA544" s="117" t="str">
        <f>IF(_xlfn.XLOOKUP(BY544, AutoFill_classes!$A:$A, AutoFill_classes!$B:$B,"")=0,"",_xlfn.XLOOKUP(BY544, AutoFill_classes!$A:$A, AutoFill_classes!$B:$B,""))</f>
        <v/>
      </c>
      <c r="CB544" s="108"/>
      <c r="CC544" s="9"/>
      <c r="CD544" s="9"/>
      <c r="CE544" s="9"/>
      <c r="CF544" s="4"/>
      <c r="CG544" s="25"/>
      <c r="CH544" s="64"/>
      <c r="CI544" s="27"/>
      <c r="CJ544" s="121" t="str">
        <f t="shared" si="477"/>
        <v/>
      </c>
      <c r="CK544" s="20"/>
      <c r="CL544" s="20"/>
      <c r="CM544" s="24"/>
      <c r="CN544" s="24"/>
      <c r="CO544" s="125" t="str">
        <f t="shared" si="478"/>
        <v/>
      </c>
      <c r="CP544" s="14"/>
      <c r="CQ544" s="125" t="str">
        <f t="shared" si="479"/>
        <v/>
      </c>
      <c r="CR544" s="24"/>
      <c r="CS544" s="24"/>
      <c r="CT544" s="125" t="str">
        <f t="shared" si="480"/>
        <v/>
      </c>
      <c r="CU544" s="14"/>
      <c r="CV544" s="125" t="str">
        <f t="shared" si="481"/>
        <v/>
      </c>
      <c r="CW544" s="24"/>
      <c r="CX544" s="24"/>
      <c r="CY544" s="125" t="str">
        <f t="shared" si="482"/>
        <v/>
      </c>
      <c r="CZ544" s="125" t="str">
        <f t="shared" si="483"/>
        <v/>
      </c>
      <c r="DA544" s="125" t="str">
        <f t="shared" si="484"/>
        <v/>
      </c>
      <c r="DB544" s="129" t="str">
        <f t="shared" si="485"/>
        <v/>
      </c>
      <c r="DC544" s="9"/>
      <c r="DD544" s="65"/>
      <c r="DE544" s="105">
        <v>540</v>
      </c>
    </row>
    <row r="545" spans="1:109" outlineLevel="1" x14ac:dyDescent="0.2">
      <c r="A545" s="4"/>
      <c r="B545" s="115" t="str">
        <f>IF(_xlfn.XLOOKUP(A545, AutoFill_names!B:B, AutoFill_names!C:C,"")=0,"",_xlfn.XLOOKUP(A545, AutoFill_names!B:B, AutoFill_names!C:C,""))</f>
        <v/>
      </c>
      <c r="C545" s="115" t="str">
        <f>IF(_xlfn.XLOOKUP(A545, AutoFill_names!B:B, AutoFill_names!D:D,"")=0,"",_xlfn.XLOOKUP(A545, AutoFill_names!B:B, AutoFill_names!D:D,""))</f>
        <v/>
      </c>
      <c r="D545" s="115" t="str">
        <f>IF(_xlfn.XLOOKUP(A545, AutoFill_names!B:B, AutoFill_names!E:E,"")=0,"",_xlfn.XLOOKUP(A545, AutoFill_names!B:B, AutoFill_names!E:E,""))</f>
        <v/>
      </c>
      <c r="E545" s="115" t="str">
        <f>IF(_xlfn.XLOOKUP(A545, AutoFill_names!B:B, AutoFill_names!F:F,"")=0,"",_xlfn.XLOOKUP(A545, AutoFill_names!B:B, AutoFill_names!F:F,""))</f>
        <v/>
      </c>
      <c r="F545" s="92"/>
      <c r="G545" s="1"/>
      <c r="H545" s="1"/>
      <c r="I545" s="1"/>
      <c r="J545" s="115" t="str">
        <f>IF(_xlfn.XLOOKUP(A545, AutoFill_names!B:B, AutoFill_names!K:K,"")=0,"",_xlfn.XLOOKUP(A545, AutoFill_names!B:B, AutoFill_names!K:K,""))</f>
        <v/>
      </c>
      <c r="K545" s="115" t="str">
        <f>IF(_xlfn.XLOOKUP(A545, AutoFill_names!B:B, AutoFill_names!L:L,"")=0,"",_xlfn.XLOOKUP(A545, AutoFill_names!B:B, AutoFill_names!L:L,""))</f>
        <v/>
      </c>
      <c r="L545" s="5"/>
      <c r="M545" s="5"/>
      <c r="N545" s="117" t="str">
        <f>IF(_xlfn.XLOOKUP(L545, AutoFill_classes!A:A, AutoFill_classes!B:B,"")=0,"",_xlfn.XLOOKUP(L545, AutoFill_classes!A:A, AutoFill_classes!B:B,""))</f>
        <v/>
      </c>
      <c r="O545" s="108"/>
      <c r="P545" s="8"/>
      <c r="Q545" s="8"/>
      <c r="R545" s="8"/>
      <c r="S545" s="4"/>
      <c r="T545" s="4"/>
      <c r="U545" s="4"/>
      <c r="V545" s="4"/>
      <c r="W545" s="4"/>
      <c r="X545" s="64"/>
      <c r="Y545" s="25"/>
      <c r="Z545" s="121" t="str">
        <f t="shared" si="459"/>
        <v/>
      </c>
      <c r="AA545" s="26"/>
      <c r="AB545" s="26"/>
      <c r="AC545" s="28"/>
      <c r="AD545" s="28"/>
      <c r="AE545" s="125" t="str">
        <f t="shared" si="460"/>
        <v/>
      </c>
      <c r="AF545" s="9"/>
      <c r="AG545" s="125" t="str">
        <f t="shared" si="461"/>
        <v/>
      </c>
      <c r="AH545" s="28"/>
      <c r="AI545" s="28"/>
      <c r="AJ545" s="125" t="str">
        <f t="shared" si="462"/>
        <v/>
      </c>
      <c r="AK545" s="9"/>
      <c r="AL545" s="125" t="str">
        <f t="shared" si="463"/>
        <v/>
      </c>
      <c r="AM545" s="28"/>
      <c r="AN545" s="28"/>
      <c r="AO545" s="125" t="str">
        <f t="shared" si="464"/>
        <v/>
      </c>
      <c r="AP545" s="125" t="str">
        <f t="shared" si="465"/>
        <v/>
      </c>
      <c r="AQ545" s="125" t="str">
        <f t="shared" si="466"/>
        <v/>
      </c>
      <c r="AR545" s="129" t="str">
        <f t="shared" si="467"/>
        <v/>
      </c>
      <c r="AS545" s="9"/>
      <c r="AT545" s="34"/>
      <c r="AU545" s="34"/>
      <c r="AV545" s="117" t="str">
        <f>IF(_xlfn.XLOOKUP(AT545, AutoFill_classes!$A:$A, AutoFill_classes!$B:$B,"")=0,"",_xlfn.XLOOKUP(AT545, AutoFill_classes!$A:$A, AutoFill_classes!$B:$B,""))</f>
        <v/>
      </c>
      <c r="AW545" s="108"/>
      <c r="AX545" s="9"/>
      <c r="AY545" s="10"/>
      <c r="AZ545" s="9"/>
      <c r="BA545" s="10"/>
      <c r="BB545" s="10"/>
      <c r="BC545" s="64"/>
      <c r="BD545" s="25"/>
      <c r="BE545" s="121" t="str">
        <f t="shared" si="468"/>
        <v/>
      </c>
      <c r="BF545" s="20"/>
      <c r="BG545" s="20"/>
      <c r="BH545" s="24"/>
      <c r="BI545" s="24"/>
      <c r="BJ545" s="125" t="str">
        <f t="shared" si="469"/>
        <v/>
      </c>
      <c r="BK545" s="14"/>
      <c r="BL545" s="125" t="str">
        <f t="shared" si="470"/>
        <v/>
      </c>
      <c r="BM545" s="24"/>
      <c r="BN545" s="24"/>
      <c r="BO545" s="125" t="str">
        <f t="shared" si="471"/>
        <v/>
      </c>
      <c r="BP545" s="14"/>
      <c r="BQ545" s="125" t="str">
        <f t="shared" si="472"/>
        <v/>
      </c>
      <c r="BR545" s="24"/>
      <c r="BS545" s="24"/>
      <c r="BT545" s="125" t="str">
        <f t="shared" si="473"/>
        <v/>
      </c>
      <c r="BU545" s="125" t="str">
        <f t="shared" si="474"/>
        <v/>
      </c>
      <c r="BV545" s="125" t="str">
        <f t="shared" si="475"/>
        <v/>
      </c>
      <c r="BW545" s="129" t="str">
        <f t="shared" si="476"/>
        <v/>
      </c>
      <c r="BX545" s="9"/>
      <c r="BY545" s="9"/>
      <c r="BZ545" s="9"/>
      <c r="CA545" s="117" t="str">
        <f>IF(_xlfn.XLOOKUP(BY545, AutoFill_classes!$A:$A, AutoFill_classes!$B:$B,"")=0,"",_xlfn.XLOOKUP(BY545, AutoFill_classes!$A:$A, AutoFill_classes!$B:$B,""))</f>
        <v/>
      </c>
      <c r="CB545" s="108"/>
      <c r="CC545" s="9"/>
      <c r="CD545" s="9"/>
      <c r="CE545" s="9"/>
      <c r="CF545" s="4"/>
      <c r="CG545" s="25"/>
      <c r="CH545" s="64"/>
      <c r="CI545" s="27"/>
      <c r="CJ545" s="121" t="str">
        <f t="shared" si="477"/>
        <v/>
      </c>
      <c r="CK545" s="20"/>
      <c r="CL545" s="20"/>
      <c r="CM545" s="24"/>
      <c r="CN545" s="24"/>
      <c r="CO545" s="125" t="str">
        <f t="shared" si="478"/>
        <v/>
      </c>
      <c r="CP545" s="14"/>
      <c r="CQ545" s="125" t="str">
        <f t="shared" si="479"/>
        <v/>
      </c>
      <c r="CR545" s="24"/>
      <c r="CS545" s="24"/>
      <c r="CT545" s="125" t="str">
        <f t="shared" si="480"/>
        <v/>
      </c>
      <c r="CU545" s="14"/>
      <c r="CV545" s="125" t="str">
        <f t="shared" si="481"/>
        <v/>
      </c>
      <c r="CW545" s="24"/>
      <c r="CX545" s="24"/>
      <c r="CY545" s="125" t="str">
        <f t="shared" si="482"/>
        <v/>
      </c>
      <c r="CZ545" s="125" t="str">
        <f t="shared" si="483"/>
        <v/>
      </c>
      <c r="DA545" s="125" t="str">
        <f t="shared" si="484"/>
        <v/>
      </c>
      <c r="DB545" s="129" t="str">
        <f t="shared" si="485"/>
        <v/>
      </c>
      <c r="DC545" s="9"/>
      <c r="DD545" s="65"/>
      <c r="DE545" s="105">
        <v>541</v>
      </c>
    </row>
    <row r="546" spans="1:109" outlineLevel="1" x14ac:dyDescent="0.2">
      <c r="A546" s="4"/>
      <c r="B546" s="115" t="str">
        <f>IF(_xlfn.XLOOKUP(A546, AutoFill_names!B:B, AutoFill_names!C:C,"")=0,"",_xlfn.XLOOKUP(A546, AutoFill_names!B:B, AutoFill_names!C:C,""))</f>
        <v/>
      </c>
      <c r="C546" s="115" t="str">
        <f>IF(_xlfn.XLOOKUP(A546, AutoFill_names!B:B, AutoFill_names!D:D,"")=0,"",_xlfn.XLOOKUP(A546, AutoFill_names!B:B, AutoFill_names!D:D,""))</f>
        <v/>
      </c>
      <c r="D546" s="115" t="str">
        <f>IF(_xlfn.XLOOKUP(A546, AutoFill_names!B:B, AutoFill_names!E:E,"")=0,"",_xlfn.XLOOKUP(A546, AutoFill_names!B:B, AutoFill_names!E:E,""))</f>
        <v/>
      </c>
      <c r="E546" s="115" t="str">
        <f>IF(_xlfn.XLOOKUP(A546, AutoFill_names!B:B, AutoFill_names!F:F,"")=0,"",_xlfn.XLOOKUP(A546, AutoFill_names!B:B, AutoFill_names!F:F,""))</f>
        <v/>
      </c>
      <c r="F546" s="92"/>
      <c r="G546" s="1"/>
      <c r="H546" s="1"/>
      <c r="I546" s="1"/>
      <c r="J546" s="115" t="str">
        <f>IF(_xlfn.XLOOKUP(A546, AutoFill_names!B:B, AutoFill_names!K:K,"")=0,"",_xlfn.XLOOKUP(A546, AutoFill_names!B:B, AutoFill_names!K:K,""))</f>
        <v/>
      </c>
      <c r="K546" s="115" t="str">
        <f>IF(_xlfn.XLOOKUP(A546, AutoFill_names!B:B, AutoFill_names!L:L,"")=0,"",_xlfn.XLOOKUP(A546, AutoFill_names!B:B, AutoFill_names!L:L,""))</f>
        <v/>
      </c>
      <c r="L546" s="5"/>
      <c r="M546" s="5"/>
      <c r="N546" s="117" t="str">
        <f>IF(_xlfn.XLOOKUP(L546, AutoFill_classes!A:A, AutoFill_classes!B:B,"")=0,"",_xlfn.XLOOKUP(L546, AutoFill_classes!A:A, AutoFill_classes!B:B,""))</f>
        <v/>
      </c>
      <c r="O546" s="108"/>
      <c r="P546" s="8"/>
      <c r="Q546" s="8"/>
      <c r="R546" s="8"/>
      <c r="S546" s="4"/>
      <c r="T546" s="4"/>
      <c r="U546" s="4"/>
      <c r="V546" s="4"/>
      <c r="W546" s="4"/>
      <c r="X546" s="64"/>
      <c r="Y546" s="25"/>
      <c r="Z546" s="121" t="str">
        <f t="shared" si="459"/>
        <v/>
      </c>
      <c r="AA546" s="26"/>
      <c r="AB546" s="26"/>
      <c r="AC546" s="28"/>
      <c r="AD546" s="28"/>
      <c r="AE546" s="125" t="str">
        <f t="shared" si="460"/>
        <v/>
      </c>
      <c r="AF546" s="9"/>
      <c r="AG546" s="125" t="str">
        <f t="shared" si="461"/>
        <v/>
      </c>
      <c r="AH546" s="28"/>
      <c r="AI546" s="28"/>
      <c r="AJ546" s="125" t="str">
        <f t="shared" si="462"/>
        <v/>
      </c>
      <c r="AK546" s="9"/>
      <c r="AL546" s="125" t="str">
        <f t="shared" si="463"/>
        <v/>
      </c>
      <c r="AM546" s="28"/>
      <c r="AN546" s="28"/>
      <c r="AO546" s="125" t="str">
        <f t="shared" si="464"/>
        <v/>
      </c>
      <c r="AP546" s="125" t="str">
        <f t="shared" si="465"/>
        <v/>
      </c>
      <c r="AQ546" s="125" t="str">
        <f t="shared" si="466"/>
        <v/>
      </c>
      <c r="AR546" s="129" t="str">
        <f t="shared" si="467"/>
        <v/>
      </c>
      <c r="AS546" s="9"/>
      <c r="AT546" s="34"/>
      <c r="AU546" s="34"/>
      <c r="AV546" s="117" t="str">
        <f>IF(_xlfn.XLOOKUP(AT546, AutoFill_classes!$A:$A, AutoFill_classes!$B:$B,"")=0,"",_xlfn.XLOOKUP(AT546, AutoFill_classes!$A:$A, AutoFill_classes!$B:$B,""))</f>
        <v/>
      </c>
      <c r="AW546" s="108"/>
      <c r="AX546" s="9"/>
      <c r="AY546" s="10"/>
      <c r="AZ546" s="9"/>
      <c r="BA546" s="10"/>
      <c r="BB546" s="10"/>
      <c r="BC546" s="64"/>
      <c r="BD546" s="25"/>
      <c r="BE546" s="121" t="str">
        <f t="shared" si="468"/>
        <v/>
      </c>
      <c r="BF546" s="20"/>
      <c r="BG546" s="20"/>
      <c r="BH546" s="24"/>
      <c r="BI546" s="24"/>
      <c r="BJ546" s="125" t="str">
        <f t="shared" si="469"/>
        <v/>
      </c>
      <c r="BK546" s="14"/>
      <c r="BL546" s="125" t="str">
        <f t="shared" si="470"/>
        <v/>
      </c>
      <c r="BM546" s="24"/>
      <c r="BN546" s="24"/>
      <c r="BO546" s="125" t="str">
        <f t="shared" si="471"/>
        <v/>
      </c>
      <c r="BP546" s="14"/>
      <c r="BQ546" s="125" t="str">
        <f t="shared" si="472"/>
        <v/>
      </c>
      <c r="BR546" s="24"/>
      <c r="BS546" s="24"/>
      <c r="BT546" s="125" t="str">
        <f t="shared" si="473"/>
        <v/>
      </c>
      <c r="BU546" s="125" t="str">
        <f t="shared" si="474"/>
        <v/>
      </c>
      <c r="BV546" s="125" t="str">
        <f t="shared" si="475"/>
        <v/>
      </c>
      <c r="BW546" s="129" t="str">
        <f t="shared" si="476"/>
        <v/>
      </c>
      <c r="BX546" s="9"/>
      <c r="BY546" s="9"/>
      <c r="BZ546" s="9"/>
      <c r="CA546" s="117" t="str">
        <f>IF(_xlfn.XLOOKUP(BY546, AutoFill_classes!$A:$A, AutoFill_classes!$B:$B,"")=0,"",_xlfn.XLOOKUP(BY546, AutoFill_classes!$A:$A, AutoFill_classes!$B:$B,""))</f>
        <v/>
      </c>
      <c r="CB546" s="108"/>
      <c r="CC546" s="9"/>
      <c r="CD546" s="9"/>
      <c r="CE546" s="9"/>
      <c r="CF546" s="4"/>
      <c r="CG546" s="25"/>
      <c r="CH546" s="64"/>
      <c r="CI546" s="27"/>
      <c r="CJ546" s="121" t="str">
        <f t="shared" si="477"/>
        <v/>
      </c>
      <c r="CK546" s="20"/>
      <c r="CL546" s="20"/>
      <c r="CM546" s="24"/>
      <c r="CN546" s="24"/>
      <c r="CO546" s="125" t="str">
        <f t="shared" si="478"/>
        <v/>
      </c>
      <c r="CP546" s="14"/>
      <c r="CQ546" s="125" t="str">
        <f t="shared" si="479"/>
        <v/>
      </c>
      <c r="CR546" s="24"/>
      <c r="CS546" s="24"/>
      <c r="CT546" s="125" t="str">
        <f t="shared" si="480"/>
        <v/>
      </c>
      <c r="CU546" s="14"/>
      <c r="CV546" s="125" t="str">
        <f t="shared" si="481"/>
        <v/>
      </c>
      <c r="CW546" s="24"/>
      <c r="CX546" s="24"/>
      <c r="CY546" s="125" t="str">
        <f t="shared" si="482"/>
        <v/>
      </c>
      <c r="CZ546" s="125" t="str">
        <f t="shared" si="483"/>
        <v/>
      </c>
      <c r="DA546" s="125" t="str">
        <f t="shared" si="484"/>
        <v/>
      </c>
      <c r="DB546" s="129" t="str">
        <f t="shared" si="485"/>
        <v/>
      </c>
      <c r="DC546" s="9"/>
      <c r="DD546" s="65"/>
      <c r="DE546" s="105">
        <v>542</v>
      </c>
    </row>
    <row r="547" spans="1:109" outlineLevel="1" x14ac:dyDescent="0.2">
      <c r="A547" s="4"/>
      <c r="B547" s="115" t="str">
        <f>IF(_xlfn.XLOOKUP(A547, AutoFill_names!B:B, AutoFill_names!C:C,"")=0,"",_xlfn.XLOOKUP(A547, AutoFill_names!B:B, AutoFill_names!C:C,""))</f>
        <v/>
      </c>
      <c r="C547" s="115" t="str">
        <f>IF(_xlfn.XLOOKUP(A547, AutoFill_names!B:B, AutoFill_names!D:D,"")=0,"",_xlfn.XLOOKUP(A547, AutoFill_names!B:B, AutoFill_names!D:D,""))</f>
        <v/>
      </c>
      <c r="D547" s="115" t="str">
        <f>IF(_xlfn.XLOOKUP(A547, AutoFill_names!B:B, AutoFill_names!E:E,"")=0,"",_xlfn.XLOOKUP(A547, AutoFill_names!B:B, AutoFill_names!E:E,""))</f>
        <v/>
      </c>
      <c r="E547" s="115" t="str">
        <f>IF(_xlfn.XLOOKUP(A547, AutoFill_names!B:B, AutoFill_names!F:F,"")=0,"",_xlfn.XLOOKUP(A547, AutoFill_names!B:B, AutoFill_names!F:F,""))</f>
        <v/>
      </c>
      <c r="F547" s="92"/>
      <c r="G547" s="1"/>
      <c r="H547" s="1"/>
      <c r="I547" s="1"/>
      <c r="J547" s="115" t="str">
        <f>IF(_xlfn.XLOOKUP(A547, AutoFill_names!B:B, AutoFill_names!K:K,"")=0,"",_xlfn.XLOOKUP(A547, AutoFill_names!B:B, AutoFill_names!K:K,""))</f>
        <v/>
      </c>
      <c r="K547" s="115" t="str">
        <f>IF(_xlfn.XLOOKUP(A547, AutoFill_names!B:B, AutoFill_names!L:L,"")=0,"",_xlfn.XLOOKUP(A547, AutoFill_names!B:B, AutoFill_names!L:L,""))</f>
        <v/>
      </c>
      <c r="L547" s="5"/>
      <c r="M547" s="5"/>
      <c r="N547" s="117" t="str">
        <f>IF(_xlfn.XLOOKUP(L547, AutoFill_classes!A:A, AutoFill_classes!B:B,"")=0,"",_xlfn.XLOOKUP(L547, AutoFill_classes!A:A, AutoFill_classes!B:B,""))</f>
        <v/>
      </c>
      <c r="O547" s="108"/>
      <c r="P547" s="8"/>
      <c r="Q547" s="8"/>
      <c r="R547" s="8"/>
      <c r="S547" s="4"/>
      <c r="T547" s="4"/>
      <c r="U547" s="4"/>
      <c r="V547" s="4"/>
      <c r="W547" s="4"/>
      <c r="X547" s="64"/>
      <c r="Y547" s="25"/>
      <c r="Z547" s="121" t="str">
        <f t="shared" si="459"/>
        <v/>
      </c>
      <c r="AA547" s="26"/>
      <c r="AB547" s="26"/>
      <c r="AC547" s="28"/>
      <c r="AD547" s="28"/>
      <c r="AE547" s="125" t="str">
        <f t="shared" si="460"/>
        <v/>
      </c>
      <c r="AF547" s="9"/>
      <c r="AG547" s="125" t="str">
        <f t="shared" si="461"/>
        <v/>
      </c>
      <c r="AH547" s="28"/>
      <c r="AI547" s="28"/>
      <c r="AJ547" s="125" t="str">
        <f t="shared" si="462"/>
        <v/>
      </c>
      <c r="AK547" s="9"/>
      <c r="AL547" s="125" t="str">
        <f t="shared" si="463"/>
        <v/>
      </c>
      <c r="AM547" s="28"/>
      <c r="AN547" s="28"/>
      <c r="AO547" s="125" t="str">
        <f t="shared" si="464"/>
        <v/>
      </c>
      <c r="AP547" s="125" t="str">
        <f t="shared" si="465"/>
        <v/>
      </c>
      <c r="AQ547" s="125" t="str">
        <f t="shared" si="466"/>
        <v/>
      </c>
      <c r="AR547" s="129" t="str">
        <f t="shared" si="467"/>
        <v/>
      </c>
      <c r="AS547" s="9"/>
      <c r="AT547" s="34"/>
      <c r="AU547" s="34"/>
      <c r="AV547" s="117" t="str">
        <f>IF(_xlfn.XLOOKUP(AT547, AutoFill_classes!$A:$A, AutoFill_classes!$B:$B,"")=0,"",_xlfn.XLOOKUP(AT547, AutoFill_classes!$A:$A, AutoFill_classes!$B:$B,""))</f>
        <v/>
      </c>
      <c r="AW547" s="108"/>
      <c r="AX547" s="9"/>
      <c r="AY547" s="10"/>
      <c r="AZ547" s="9"/>
      <c r="BA547" s="10"/>
      <c r="BB547" s="10"/>
      <c r="BC547" s="64"/>
      <c r="BD547" s="25"/>
      <c r="BE547" s="121" t="str">
        <f t="shared" si="468"/>
        <v/>
      </c>
      <c r="BF547" s="20"/>
      <c r="BG547" s="20"/>
      <c r="BH547" s="24"/>
      <c r="BI547" s="24"/>
      <c r="BJ547" s="125" t="str">
        <f t="shared" si="469"/>
        <v/>
      </c>
      <c r="BK547" s="14"/>
      <c r="BL547" s="125" t="str">
        <f t="shared" si="470"/>
        <v/>
      </c>
      <c r="BM547" s="24"/>
      <c r="BN547" s="24"/>
      <c r="BO547" s="125" t="str">
        <f t="shared" si="471"/>
        <v/>
      </c>
      <c r="BP547" s="14"/>
      <c r="BQ547" s="125" t="str">
        <f t="shared" si="472"/>
        <v/>
      </c>
      <c r="BR547" s="24"/>
      <c r="BS547" s="24"/>
      <c r="BT547" s="125" t="str">
        <f t="shared" si="473"/>
        <v/>
      </c>
      <c r="BU547" s="125" t="str">
        <f t="shared" si="474"/>
        <v/>
      </c>
      <c r="BV547" s="125" t="str">
        <f t="shared" si="475"/>
        <v/>
      </c>
      <c r="BW547" s="129" t="str">
        <f t="shared" si="476"/>
        <v/>
      </c>
      <c r="BX547" s="9"/>
      <c r="BY547" s="9"/>
      <c r="BZ547" s="9"/>
      <c r="CA547" s="117" t="str">
        <f>IF(_xlfn.XLOOKUP(BY547, AutoFill_classes!$A:$A, AutoFill_classes!$B:$B,"")=0,"",_xlfn.XLOOKUP(BY547, AutoFill_classes!$A:$A, AutoFill_classes!$B:$B,""))</f>
        <v/>
      </c>
      <c r="CB547" s="108"/>
      <c r="CC547" s="9"/>
      <c r="CD547" s="9"/>
      <c r="CE547" s="9"/>
      <c r="CF547" s="4"/>
      <c r="CG547" s="25"/>
      <c r="CH547" s="64"/>
      <c r="CI547" s="27"/>
      <c r="CJ547" s="121" t="str">
        <f t="shared" si="477"/>
        <v/>
      </c>
      <c r="CK547" s="20"/>
      <c r="CL547" s="20"/>
      <c r="CM547" s="24"/>
      <c r="CN547" s="24"/>
      <c r="CO547" s="125" t="str">
        <f t="shared" si="478"/>
        <v/>
      </c>
      <c r="CP547" s="14"/>
      <c r="CQ547" s="125" t="str">
        <f t="shared" si="479"/>
        <v/>
      </c>
      <c r="CR547" s="24"/>
      <c r="CS547" s="24"/>
      <c r="CT547" s="125" t="str">
        <f t="shared" si="480"/>
        <v/>
      </c>
      <c r="CU547" s="14"/>
      <c r="CV547" s="125" t="str">
        <f t="shared" si="481"/>
        <v/>
      </c>
      <c r="CW547" s="24"/>
      <c r="CX547" s="24"/>
      <c r="CY547" s="125" t="str">
        <f t="shared" si="482"/>
        <v/>
      </c>
      <c r="CZ547" s="125" t="str">
        <f t="shared" si="483"/>
        <v/>
      </c>
      <c r="DA547" s="125" t="str">
        <f t="shared" si="484"/>
        <v/>
      </c>
      <c r="DB547" s="129" t="str">
        <f t="shared" si="485"/>
        <v/>
      </c>
      <c r="DC547" s="9"/>
      <c r="DD547" s="65"/>
      <c r="DE547" s="105">
        <v>543</v>
      </c>
    </row>
    <row r="548" spans="1:109" outlineLevel="1" x14ac:dyDescent="0.2">
      <c r="A548" s="4"/>
      <c r="B548" s="115" t="str">
        <f>IF(_xlfn.XLOOKUP(A548, AutoFill_names!B:B, AutoFill_names!C:C,"")=0,"",_xlfn.XLOOKUP(A548, AutoFill_names!B:B, AutoFill_names!C:C,""))</f>
        <v/>
      </c>
      <c r="C548" s="115" t="str">
        <f>IF(_xlfn.XLOOKUP(A548, AutoFill_names!B:B, AutoFill_names!D:D,"")=0,"",_xlfn.XLOOKUP(A548, AutoFill_names!B:B, AutoFill_names!D:D,""))</f>
        <v/>
      </c>
      <c r="D548" s="115" t="str">
        <f>IF(_xlfn.XLOOKUP(A548, AutoFill_names!B:B, AutoFill_names!E:E,"")=0,"",_xlfn.XLOOKUP(A548, AutoFill_names!B:B, AutoFill_names!E:E,""))</f>
        <v/>
      </c>
      <c r="E548" s="115" t="str">
        <f>IF(_xlfn.XLOOKUP(A548, AutoFill_names!B:B, AutoFill_names!F:F,"")=0,"",_xlfn.XLOOKUP(A548, AutoFill_names!B:B, AutoFill_names!F:F,""))</f>
        <v/>
      </c>
      <c r="F548" s="92"/>
      <c r="G548" s="1"/>
      <c r="H548" s="1"/>
      <c r="I548" s="1"/>
      <c r="J548" s="115" t="str">
        <f>IF(_xlfn.XLOOKUP(A548, AutoFill_names!B:B, AutoFill_names!K:K,"")=0,"",_xlfn.XLOOKUP(A548, AutoFill_names!B:B, AutoFill_names!K:K,""))</f>
        <v/>
      </c>
      <c r="K548" s="115" t="str">
        <f>IF(_xlfn.XLOOKUP(A548, AutoFill_names!B:B, AutoFill_names!L:L,"")=0,"",_xlfn.XLOOKUP(A548, AutoFill_names!B:B, AutoFill_names!L:L,""))</f>
        <v/>
      </c>
      <c r="L548" s="5"/>
      <c r="M548" s="5"/>
      <c r="N548" s="117" t="str">
        <f>IF(_xlfn.XLOOKUP(L548, AutoFill_classes!A:A, AutoFill_classes!B:B,"")=0,"",_xlfn.XLOOKUP(L548, AutoFill_classes!A:A, AutoFill_classes!B:B,""))</f>
        <v/>
      </c>
      <c r="O548" s="108"/>
      <c r="P548" s="8"/>
      <c r="Q548" s="8"/>
      <c r="R548" s="8"/>
      <c r="S548" s="4"/>
      <c r="T548" s="4"/>
      <c r="U548" s="4"/>
      <c r="V548" s="4"/>
      <c r="W548" s="4"/>
      <c r="X548" s="64"/>
      <c r="Y548" s="25"/>
      <c r="Z548" s="121" t="str">
        <f t="shared" si="459"/>
        <v/>
      </c>
      <c r="AA548" s="26"/>
      <c r="AB548" s="26"/>
      <c r="AC548" s="28"/>
      <c r="AD548" s="28"/>
      <c r="AE548" s="125" t="str">
        <f t="shared" si="460"/>
        <v/>
      </c>
      <c r="AF548" s="9"/>
      <c r="AG548" s="125" t="str">
        <f t="shared" si="461"/>
        <v/>
      </c>
      <c r="AH548" s="28"/>
      <c r="AI548" s="28"/>
      <c r="AJ548" s="125" t="str">
        <f t="shared" si="462"/>
        <v/>
      </c>
      <c r="AK548" s="9"/>
      <c r="AL548" s="125" t="str">
        <f t="shared" si="463"/>
        <v/>
      </c>
      <c r="AM548" s="28"/>
      <c r="AN548" s="28"/>
      <c r="AO548" s="125" t="str">
        <f t="shared" si="464"/>
        <v/>
      </c>
      <c r="AP548" s="125" t="str">
        <f t="shared" si="465"/>
        <v/>
      </c>
      <c r="AQ548" s="125" t="str">
        <f t="shared" si="466"/>
        <v/>
      </c>
      <c r="AR548" s="129" t="str">
        <f t="shared" si="467"/>
        <v/>
      </c>
      <c r="AS548" s="9"/>
      <c r="AT548" s="34"/>
      <c r="AU548" s="34"/>
      <c r="AV548" s="117" t="str">
        <f>IF(_xlfn.XLOOKUP(AT548, AutoFill_classes!$A:$A, AutoFill_classes!$B:$B,"")=0,"",_xlfn.XLOOKUP(AT548, AutoFill_classes!$A:$A, AutoFill_classes!$B:$B,""))</f>
        <v/>
      </c>
      <c r="AW548" s="108"/>
      <c r="AX548" s="9"/>
      <c r="AY548" s="10"/>
      <c r="AZ548" s="9"/>
      <c r="BA548" s="10"/>
      <c r="BB548" s="10"/>
      <c r="BC548" s="64"/>
      <c r="BD548" s="25"/>
      <c r="BE548" s="121" t="str">
        <f t="shared" si="468"/>
        <v/>
      </c>
      <c r="BF548" s="20"/>
      <c r="BG548" s="20"/>
      <c r="BH548" s="24"/>
      <c r="BI548" s="24"/>
      <c r="BJ548" s="125" t="str">
        <f t="shared" si="469"/>
        <v/>
      </c>
      <c r="BK548" s="14"/>
      <c r="BL548" s="125" t="str">
        <f t="shared" si="470"/>
        <v/>
      </c>
      <c r="BM548" s="24"/>
      <c r="BN548" s="24"/>
      <c r="BO548" s="125" t="str">
        <f t="shared" si="471"/>
        <v/>
      </c>
      <c r="BP548" s="14"/>
      <c r="BQ548" s="125" t="str">
        <f t="shared" si="472"/>
        <v/>
      </c>
      <c r="BR548" s="24"/>
      <c r="BS548" s="24"/>
      <c r="BT548" s="125" t="str">
        <f t="shared" si="473"/>
        <v/>
      </c>
      <c r="BU548" s="125" t="str">
        <f t="shared" si="474"/>
        <v/>
      </c>
      <c r="BV548" s="125" t="str">
        <f t="shared" si="475"/>
        <v/>
      </c>
      <c r="BW548" s="129" t="str">
        <f t="shared" si="476"/>
        <v/>
      </c>
      <c r="BX548" s="9"/>
      <c r="BY548" s="9"/>
      <c r="BZ548" s="9"/>
      <c r="CA548" s="117" t="str">
        <f>IF(_xlfn.XLOOKUP(BY548, AutoFill_classes!$A:$A, AutoFill_classes!$B:$B,"")=0,"",_xlfn.XLOOKUP(BY548, AutoFill_classes!$A:$A, AutoFill_classes!$B:$B,""))</f>
        <v/>
      </c>
      <c r="CB548" s="108"/>
      <c r="CC548" s="9"/>
      <c r="CD548" s="9"/>
      <c r="CE548" s="9"/>
      <c r="CF548" s="4"/>
      <c r="CG548" s="25"/>
      <c r="CH548" s="64"/>
      <c r="CI548" s="27"/>
      <c r="CJ548" s="121" t="str">
        <f t="shared" si="477"/>
        <v/>
      </c>
      <c r="CK548" s="20"/>
      <c r="CL548" s="20"/>
      <c r="CM548" s="24"/>
      <c r="CN548" s="24"/>
      <c r="CO548" s="125" t="str">
        <f t="shared" si="478"/>
        <v/>
      </c>
      <c r="CP548" s="14"/>
      <c r="CQ548" s="125" t="str">
        <f t="shared" si="479"/>
        <v/>
      </c>
      <c r="CR548" s="24"/>
      <c r="CS548" s="24"/>
      <c r="CT548" s="125" t="str">
        <f t="shared" si="480"/>
        <v/>
      </c>
      <c r="CU548" s="14"/>
      <c r="CV548" s="125" t="str">
        <f t="shared" si="481"/>
        <v/>
      </c>
      <c r="CW548" s="24"/>
      <c r="CX548" s="24"/>
      <c r="CY548" s="125" t="str">
        <f t="shared" si="482"/>
        <v/>
      </c>
      <c r="CZ548" s="125" t="str">
        <f t="shared" si="483"/>
        <v/>
      </c>
      <c r="DA548" s="125" t="str">
        <f t="shared" si="484"/>
        <v/>
      </c>
      <c r="DB548" s="129" t="str">
        <f t="shared" si="485"/>
        <v/>
      </c>
      <c r="DC548" s="9"/>
      <c r="DD548" s="65"/>
      <c r="DE548" s="105">
        <v>544</v>
      </c>
    </row>
    <row r="549" spans="1:109" outlineLevel="1" x14ac:dyDescent="0.2">
      <c r="A549" s="4"/>
      <c r="B549" s="115" t="str">
        <f>IF(_xlfn.XLOOKUP(A549, AutoFill_names!B:B, AutoFill_names!C:C,"")=0,"",_xlfn.XLOOKUP(A549, AutoFill_names!B:B, AutoFill_names!C:C,""))</f>
        <v/>
      </c>
      <c r="C549" s="115" t="str">
        <f>IF(_xlfn.XLOOKUP(A549, AutoFill_names!B:B, AutoFill_names!D:D,"")=0,"",_xlfn.XLOOKUP(A549, AutoFill_names!B:B, AutoFill_names!D:D,""))</f>
        <v/>
      </c>
      <c r="D549" s="115" t="str">
        <f>IF(_xlfn.XLOOKUP(A549, AutoFill_names!B:B, AutoFill_names!E:E,"")=0,"",_xlfn.XLOOKUP(A549, AutoFill_names!B:B, AutoFill_names!E:E,""))</f>
        <v/>
      </c>
      <c r="E549" s="115" t="str">
        <f>IF(_xlfn.XLOOKUP(A549, AutoFill_names!B:B, AutoFill_names!F:F,"")=0,"",_xlfn.XLOOKUP(A549, AutoFill_names!B:B, AutoFill_names!F:F,""))</f>
        <v/>
      </c>
      <c r="F549" s="92"/>
      <c r="G549" s="1"/>
      <c r="H549" s="1"/>
      <c r="I549" s="1"/>
      <c r="J549" s="115" t="str">
        <f>IF(_xlfn.XLOOKUP(A549, AutoFill_names!B:B, AutoFill_names!K:K,"")=0,"",_xlfn.XLOOKUP(A549, AutoFill_names!B:B, AutoFill_names!K:K,""))</f>
        <v/>
      </c>
      <c r="K549" s="115" t="str">
        <f>IF(_xlfn.XLOOKUP(A549, AutoFill_names!B:B, AutoFill_names!L:L,"")=0,"",_xlfn.XLOOKUP(A549, AutoFill_names!B:B, AutoFill_names!L:L,""))</f>
        <v/>
      </c>
      <c r="L549" s="5"/>
      <c r="M549" s="5"/>
      <c r="N549" s="117" t="str">
        <f>IF(_xlfn.XLOOKUP(L549, AutoFill_classes!A:A, AutoFill_classes!B:B,"")=0,"",_xlfn.XLOOKUP(L549, AutoFill_classes!A:A, AutoFill_classes!B:B,""))</f>
        <v/>
      </c>
      <c r="O549" s="108"/>
      <c r="P549" s="8"/>
      <c r="Q549" s="8"/>
      <c r="R549" s="8"/>
      <c r="S549" s="4"/>
      <c r="T549" s="4"/>
      <c r="U549" s="4"/>
      <c r="V549" s="4"/>
      <c r="W549" s="4"/>
      <c r="X549" s="64"/>
      <c r="Y549" s="25"/>
      <c r="Z549" s="121" t="str">
        <f t="shared" si="459"/>
        <v/>
      </c>
      <c r="AA549" s="26"/>
      <c r="AB549" s="26"/>
      <c r="AC549" s="28"/>
      <c r="AD549" s="28"/>
      <c r="AE549" s="125" t="str">
        <f t="shared" si="460"/>
        <v/>
      </c>
      <c r="AF549" s="9"/>
      <c r="AG549" s="125" t="str">
        <f t="shared" si="461"/>
        <v/>
      </c>
      <c r="AH549" s="28"/>
      <c r="AI549" s="28"/>
      <c r="AJ549" s="125" t="str">
        <f t="shared" si="462"/>
        <v/>
      </c>
      <c r="AK549" s="9"/>
      <c r="AL549" s="125" t="str">
        <f t="shared" si="463"/>
        <v/>
      </c>
      <c r="AM549" s="28"/>
      <c r="AN549" s="28"/>
      <c r="AO549" s="125" t="str">
        <f t="shared" si="464"/>
        <v/>
      </c>
      <c r="AP549" s="125" t="str">
        <f t="shared" si="465"/>
        <v/>
      </c>
      <c r="AQ549" s="125" t="str">
        <f t="shared" si="466"/>
        <v/>
      </c>
      <c r="AR549" s="129" t="str">
        <f t="shared" si="467"/>
        <v/>
      </c>
      <c r="AS549" s="9"/>
      <c r="AT549" s="34"/>
      <c r="AU549" s="34"/>
      <c r="AV549" s="117" t="str">
        <f>IF(_xlfn.XLOOKUP(AT549, AutoFill_classes!$A:$A, AutoFill_classes!$B:$B,"")=0,"",_xlfn.XLOOKUP(AT549, AutoFill_classes!$A:$A, AutoFill_classes!$B:$B,""))</f>
        <v/>
      </c>
      <c r="AW549" s="108"/>
      <c r="AX549" s="9"/>
      <c r="AY549" s="10"/>
      <c r="AZ549" s="9"/>
      <c r="BA549" s="10"/>
      <c r="BB549" s="10"/>
      <c r="BC549" s="64"/>
      <c r="BD549" s="25"/>
      <c r="BE549" s="121" t="str">
        <f t="shared" si="468"/>
        <v/>
      </c>
      <c r="BF549" s="20"/>
      <c r="BG549" s="20"/>
      <c r="BH549" s="24"/>
      <c r="BI549" s="24"/>
      <c r="BJ549" s="125" t="str">
        <f t="shared" si="469"/>
        <v/>
      </c>
      <c r="BK549" s="14"/>
      <c r="BL549" s="125" t="str">
        <f t="shared" si="470"/>
        <v/>
      </c>
      <c r="BM549" s="24"/>
      <c r="BN549" s="24"/>
      <c r="BO549" s="125" t="str">
        <f t="shared" si="471"/>
        <v/>
      </c>
      <c r="BP549" s="14"/>
      <c r="BQ549" s="125" t="str">
        <f t="shared" si="472"/>
        <v/>
      </c>
      <c r="BR549" s="24"/>
      <c r="BS549" s="24"/>
      <c r="BT549" s="125" t="str">
        <f t="shared" si="473"/>
        <v/>
      </c>
      <c r="BU549" s="125" t="str">
        <f t="shared" si="474"/>
        <v/>
      </c>
      <c r="BV549" s="125" t="str">
        <f t="shared" si="475"/>
        <v/>
      </c>
      <c r="BW549" s="129" t="str">
        <f t="shared" si="476"/>
        <v/>
      </c>
      <c r="BX549" s="9"/>
      <c r="BY549" s="9"/>
      <c r="BZ549" s="9"/>
      <c r="CA549" s="117" t="str">
        <f>IF(_xlfn.XLOOKUP(BY549, AutoFill_classes!$A:$A, AutoFill_classes!$B:$B,"")=0,"",_xlfn.XLOOKUP(BY549, AutoFill_classes!$A:$A, AutoFill_classes!$B:$B,""))</f>
        <v/>
      </c>
      <c r="CB549" s="108"/>
      <c r="CC549" s="9"/>
      <c r="CD549" s="9"/>
      <c r="CE549" s="9"/>
      <c r="CF549" s="4"/>
      <c r="CG549" s="25"/>
      <c r="CH549" s="64"/>
      <c r="CI549" s="27"/>
      <c r="CJ549" s="121" t="str">
        <f t="shared" si="477"/>
        <v/>
      </c>
      <c r="CK549" s="20"/>
      <c r="CL549" s="20"/>
      <c r="CM549" s="24"/>
      <c r="CN549" s="24"/>
      <c r="CO549" s="125" t="str">
        <f t="shared" si="478"/>
        <v/>
      </c>
      <c r="CP549" s="14"/>
      <c r="CQ549" s="125" t="str">
        <f t="shared" si="479"/>
        <v/>
      </c>
      <c r="CR549" s="24"/>
      <c r="CS549" s="24"/>
      <c r="CT549" s="125" t="str">
        <f t="shared" si="480"/>
        <v/>
      </c>
      <c r="CU549" s="14"/>
      <c r="CV549" s="125" t="str">
        <f t="shared" si="481"/>
        <v/>
      </c>
      <c r="CW549" s="24"/>
      <c r="CX549" s="24"/>
      <c r="CY549" s="125" t="str">
        <f t="shared" si="482"/>
        <v/>
      </c>
      <c r="CZ549" s="125" t="str">
        <f t="shared" si="483"/>
        <v/>
      </c>
      <c r="DA549" s="125" t="str">
        <f t="shared" si="484"/>
        <v/>
      </c>
      <c r="DB549" s="129" t="str">
        <f t="shared" si="485"/>
        <v/>
      </c>
      <c r="DC549" s="9"/>
      <c r="DD549" s="65"/>
      <c r="DE549" s="105">
        <v>545</v>
      </c>
    </row>
    <row r="550" spans="1:109" outlineLevel="1" x14ac:dyDescent="0.2">
      <c r="A550" s="4"/>
      <c r="B550" s="115" t="str">
        <f>IF(_xlfn.XLOOKUP(A550, AutoFill_names!B:B, AutoFill_names!C:C,"")=0,"",_xlfn.XLOOKUP(A550, AutoFill_names!B:B, AutoFill_names!C:C,""))</f>
        <v/>
      </c>
      <c r="C550" s="115" t="str">
        <f>IF(_xlfn.XLOOKUP(A550, AutoFill_names!B:B, AutoFill_names!D:D,"")=0,"",_xlfn.XLOOKUP(A550, AutoFill_names!B:B, AutoFill_names!D:D,""))</f>
        <v/>
      </c>
      <c r="D550" s="115" t="str">
        <f>IF(_xlfn.XLOOKUP(A550, AutoFill_names!B:B, AutoFill_names!E:E,"")=0,"",_xlfn.XLOOKUP(A550, AutoFill_names!B:B, AutoFill_names!E:E,""))</f>
        <v/>
      </c>
      <c r="E550" s="115" t="str">
        <f>IF(_xlfn.XLOOKUP(A550, AutoFill_names!B:B, AutoFill_names!F:F,"")=0,"",_xlfn.XLOOKUP(A550, AutoFill_names!B:B, AutoFill_names!F:F,""))</f>
        <v/>
      </c>
      <c r="F550" s="92"/>
      <c r="G550" s="1"/>
      <c r="H550" s="1"/>
      <c r="I550" s="1"/>
      <c r="J550" s="115" t="str">
        <f>IF(_xlfn.XLOOKUP(A550, AutoFill_names!B:B, AutoFill_names!K:K,"")=0,"",_xlfn.XLOOKUP(A550, AutoFill_names!B:B, AutoFill_names!K:K,""))</f>
        <v/>
      </c>
      <c r="K550" s="115" t="str">
        <f>IF(_xlfn.XLOOKUP(A550, AutoFill_names!B:B, AutoFill_names!L:L,"")=0,"",_xlfn.XLOOKUP(A550, AutoFill_names!B:B, AutoFill_names!L:L,""))</f>
        <v/>
      </c>
      <c r="L550" s="5"/>
      <c r="M550" s="5"/>
      <c r="N550" s="117" t="str">
        <f>IF(_xlfn.XLOOKUP(L550, AutoFill_classes!A:A, AutoFill_classes!B:B,"")=0,"",_xlfn.XLOOKUP(L550, AutoFill_classes!A:A, AutoFill_classes!B:B,""))</f>
        <v/>
      </c>
      <c r="O550" s="108"/>
      <c r="P550" s="8"/>
      <c r="Q550" s="8"/>
      <c r="R550" s="8"/>
      <c r="S550" s="4"/>
      <c r="T550" s="4"/>
      <c r="U550" s="4"/>
      <c r="V550" s="4"/>
      <c r="W550" s="4"/>
      <c r="X550" s="64"/>
      <c r="Y550" s="25"/>
      <c r="Z550" s="121" t="str">
        <f t="shared" si="459"/>
        <v/>
      </c>
      <c r="AA550" s="26"/>
      <c r="AB550" s="26"/>
      <c r="AC550" s="28"/>
      <c r="AD550" s="28"/>
      <c r="AE550" s="125" t="str">
        <f t="shared" si="460"/>
        <v/>
      </c>
      <c r="AF550" s="9"/>
      <c r="AG550" s="125" t="str">
        <f t="shared" si="461"/>
        <v/>
      </c>
      <c r="AH550" s="28"/>
      <c r="AI550" s="28"/>
      <c r="AJ550" s="125" t="str">
        <f t="shared" si="462"/>
        <v/>
      </c>
      <c r="AK550" s="9"/>
      <c r="AL550" s="125" t="str">
        <f t="shared" si="463"/>
        <v/>
      </c>
      <c r="AM550" s="28"/>
      <c r="AN550" s="28"/>
      <c r="AO550" s="125" t="str">
        <f t="shared" si="464"/>
        <v/>
      </c>
      <c r="AP550" s="125" t="str">
        <f t="shared" si="465"/>
        <v/>
      </c>
      <c r="AQ550" s="125" t="str">
        <f t="shared" si="466"/>
        <v/>
      </c>
      <c r="AR550" s="129" t="str">
        <f t="shared" si="467"/>
        <v/>
      </c>
      <c r="AS550" s="9"/>
      <c r="AT550" s="34"/>
      <c r="AU550" s="34"/>
      <c r="AV550" s="117" t="str">
        <f>IF(_xlfn.XLOOKUP(AT550, AutoFill_classes!$A:$A, AutoFill_classes!$B:$B,"")=0,"",_xlfn.XLOOKUP(AT550, AutoFill_classes!$A:$A, AutoFill_classes!$B:$B,""))</f>
        <v/>
      </c>
      <c r="AW550" s="108"/>
      <c r="AX550" s="9"/>
      <c r="AY550" s="10"/>
      <c r="AZ550" s="9"/>
      <c r="BA550" s="10"/>
      <c r="BB550" s="10"/>
      <c r="BC550" s="64"/>
      <c r="BD550" s="25"/>
      <c r="BE550" s="121" t="str">
        <f t="shared" si="468"/>
        <v/>
      </c>
      <c r="BF550" s="20"/>
      <c r="BG550" s="20"/>
      <c r="BH550" s="24"/>
      <c r="BI550" s="24"/>
      <c r="BJ550" s="125" t="str">
        <f t="shared" si="469"/>
        <v/>
      </c>
      <c r="BK550" s="14"/>
      <c r="BL550" s="125" t="str">
        <f t="shared" si="470"/>
        <v/>
      </c>
      <c r="BM550" s="24"/>
      <c r="BN550" s="24"/>
      <c r="BO550" s="125" t="str">
        <f t="shared" si="471"/>
        <v/>
      </c>
      <c r="BP550" s="14"/>
      <c r="BQ550" s="125" t="str">
        <f t="shared" si="472"/>
        <v/>
      </c>
      <c r="BR550" s="24"/>
      <c r="BS550" s="24"/>
      <c r="BT550" s="125" t="str">
        <f t="shared" si="473"/>
        <v/>
      </c>
      <c r="BU550" s="125" t="str">
        <f t="shared" si="474"/>
        <v/>
      </c>
      <c r="BV550" s="125" t="str">
        <f t="shared" si="475"/>
        <v/>
      </c>
      <c r="BW550" s="129" t="str">
        <f t="shared" si="476"/>
        <v/>
      </c>
      <c r="BX550" s="9"/>
      <c r="BY550" s="9"/>
      <c r="BZ550" s="9"/>
      <c r="CA550" s="117" t="str">
        <f>IF(_xlfn.XLOOKUP(BY550, AutoFill_classes!$A:$A, AutoFill_classes!$B:$B,"")=0,"",_xlfn.XLOOKUP(BY550, AutoFill_classes!$A:$A, AutoFill_classes!$B:$B,""))</f>
        <v/>
      </c>
      <c r="CB550" s="108"/>
      <c r="CC550" s="9"/>
      <c r="CD550" s="9"/>
      <c r="CE550" s="9"/>
      <c r="CF550" s="4"/>
      <c r="CG550" s="25"/>
      <c r="CH550" s="64"/>
      <c r="CI550" s="27"/>
      <c r="CJ550" s="121" t="str">
        <f t="shared" si="477"/>
        <v/>
      </c>
      <c r="CK550" s="20"/>
      <c r="CL550" s="20"/>
      <c r="CM550" s="24"/>
      <c r="CN550" s="24"/>
      <c r="CO550" s="125" t="str">
        <f t="shared" si="478"/>
        <v/>
      </c>
      <c r="CP550" s="14"/>
      <c r="CQ550" s="125" t="str">
        <f t="shared" si="479"/>
        <v/>
      </c>
      <c r="CR550" s="24"/>
      <c r="CS550" s="24"/>
      <c r="CT550" s="125" t="str">
        <f t="shared" si="480"/>
        <v/>
      </c>
      <c r="CU550" s="14"/>
      <c r="CV550" s="125" t="str">
        <f t="shared" si="481"/>
        <v/>
      </c>
      <c r="CW550" s="24"/>
      <c r="CX550" s="24"/>
      <c r="CY550" s="125" t="str">
        <f t="shared" si="482"/>
        <v/>
      </c>
      <c r="CZ550" s="125" t="str">
        <f t="shared" si="483"/>
        <v/>
      </c>
      <c r="DA550" s="125" t="str">
        <f t="shared" si="484"/>
        <v/>
      </c>
      <c r="DB550" s="129" t="str">
        <f t="shared" si="485"/>
        <v/>
      </c>
      <c r="DC550" s="9"/>
      <c r="DD550" s="65"/>
      <c r="DE550" s="105">
        <v>546</v>
      </c>
    </row>
    <row r="551" spans="1:109" outlineLevel="1" x14ac:dyDescent="0.2">
      <c r="A551" s="4"/>
      <c r="B551" s="115" t="str">
        <f>IF(_xlfn.XLOOKUP(A551, AutoFill_names!B:B, AutoFill_names!C:C,"")=0,"",_xlfn.XLOOKUP(A551, AutoFill_names!B:B, AutoFill_names!C:C,""))</f>
        <v/>
      </c>
      <c r="C551" s="115" t="str">
        <f>IF(_xlfn.XLOOKUP(A551, AutoFill_names!B:B, AutoFill_names!D:D,"")=0,"",_xlfn.XLOOKUP(A551, AutoFill_names!B:B, AutoFill_names!D:D,""))</f>
        <v/>
      </c>
      <c r="D551" s="115" t="str">
        <f>IF(_xlfn.XLOOKUP(A551, AutoFill_names!B:B, AutoFill_names!E:E,"")=0,"",_xlfn.XLOOKUP(A551, AutoFill_names!B:B, AutoFill_names!E:E,""))</f>
        <v/>
      </c>
      <c r="E551" s="115" t="str">
        <f>IF(_xlfn.XLOOKUP(A551, AutoFill_names!B:B, AutoFill_names!F:F,"")=0,"",_xlfn.XLOOKUP(A551, AutoFill_names!B:B, AutoFill_names!F:F,""))</f>
        <v/>
      </c>
      <c r="F551" s="92"/>
      <c r="G551" s="1"/>
      <c r="H551" s="1"/>
      <c r="I551" s="1"/>
      <c r="J551" s="115" t="str">
        <f>IF(_xlfn.XLOOKUP(A551, AutoFill_names!B:B, AutoFill_names!K:K,"")=0,"",_xlfn.XLOOKUP(A551, AutoFill_names!B:B, AutoFill_names!K:K,""))</f>
        <v/>
      </c>
      <c r="K551" s="115" t="str">
        <f>IF(_xlfn.XLOOKUP(A551, AutoFill_names!B:B, AutoFill_names!L:L,"")=0,"",_xlfn.XLOOKUP(A551, AutoFill_names!B:B, AutoFill_names!L:L,""))</f>
        <v/>
      </c>
      <c r="L551" s="5"/>
      <c r="M551" s="5"/>
      <c r="N551" s="117" t="str">
        <f>IF(_xlfn.XLOOKUP(L551, AutoFill_classes!A:A, AutoFill_classes!B:B,"")=0,"",_xlfn.XLOOKUP(L551, AutoFill_classes!A:A, AutoFill_classes!B:B,""))</f>
        <v/>
      </c>
      <c r="O551" s="108"/>
      <c r="P551" s="8"/>
      <c r="Q551" s="8"/>
      <c r="R551" s="8"/>
      <c r="S551" s="4"/>
      <c r="T551" s="4"/>
      <c r="U551" s="4"/>
      <c r="V551" s="4"/>
      <c r="W551" s="4"/>
      <c r="X551" s="64"/>
      <c r="Y551" s="25"/>
      <c r="Z551" s="121" t="str">
        <f t="shared" si="459"/>
        <v/>
      </c>
      <c r="AA551" s="26"/>
      <c r="AB551" s="26"/>
      <c r="AC551" s="28"/>
      <c r="AD551" s="28"/>
      <c r="AE551" s="125" t="str">
        <f t="shared" si="460"/>
        <v/>
      </c>
      <c r="AF551" s="9"/>
      <c r="AG551" s="125" t="str">
        <f t="shared" si="461"/>
        <v/>
      </c>
      <c r="AH551" s="28"/>
      <c r="AI551" s="28"/>
      <c r="AJ551" s="125" t="str">
        <f t="shared" si="462"/>
        <v/>
      </c>
      <c r="AK551" s="9"/>
      <c r="AL551" s="125" t="str">
        <f t="shared" si="463"/>
        <v/>
      </c>
      <c r="AM551" s="28"/>
      <c r="AN551" s="28"/>
      <c r="AO551" s="125" t="str">
        <f t="shared" si="464"/>
        <v/>
      </c>
      <c r="AP551" s="125" t="str">
        <f t="shared" si="465"/>
        <v/>
      </c>
      <c r="AQ551" s="125" t="str">
        <f t="shared" si="466"/>
        <v/>
      </c>
      <c r="AR551" s="129" t="str">
        <f t="shared" si="467"/>
        <v/>
      </c>
      <c r="AS551" s="9"/>
      <c r="AT551" s="34"/>
      <c r="AU551" s="34"/>
      <c r="AV551" s="117" t="str">
        <f>IF(_xlfn.XLOOKUP(AT551, AutoFill_classes!$A:$A, AutoFill_classes!$B:$B,"")=0,"",_xlfn.XLOOKUP(AT551, AutoFill_classes!$A:$A, AutoFill_classes!$B:$B,""))</f>
        <v/>
      </c>
      <c r="AW551" s="108"/>
      <c r="AX551" s="9"/>
      <c r="AY551" s="10"/>
      <c r="AZ551" s="9"/>
      <c r="BA551" s="10"/>
      <c r="BB551" s="10"/>
      <c r="BC551" s="64"/>
      <c r="BD551" s="25"/>
      <c r="BE551" s="121" t="str">
        <f t="shared" si="468"/>
        <v/>
      </c>
      <c r="BF551" s="20"/>
      <c r="BG551" s="20"/>
      <c r="BH551" s="24"/>
      <c r="BI551" s="24"/>
      <c r="BJ551" s="125" t="str">
        <f t="shared" si="469"/>
        <v/>
      </c>
      <c r="BK551" s="14"/>
      <c r="BL551" s="125" t="str">
        <f t="shared" si="470"/>
        <v/>
      </c>
      <c r="BM551" s="24"/>
      <c r="BN551" s="24"/>
      <c r="BO551" s="125" t="str">
        <f t="shared" si="471"/>
        <v/>
      </c>
      <c r="BP551" s="14"/>
      <c r="BQ551" s="125" t="str">
        <f t="shared" si="472"/>
        <v/>
      </c>
      <c r="BR551" s="24"/>
      <c r="BS551" s="24"/>
      <c r="BT551" s="125" t="str">
        <f t="shared" si="473"/>
        <v/>
      </c>
      <c r="BU551" s="125" t="str">
        <f t="shared" si="474"/>
        <v/>
      </c>
      <c r="BV551" s="125" t="str">
        <f t="shared" si="475"/>
        <v/>
      </c>
      <c r="BW551" s="129" t="str">
        <f t="shared" si="476"/>
        <v/>
      </c>
      <c r="BX551" s="9"/>
      <c r="BY551" s="9"/>
      <c r="BZ551" s="9"/>
      <c r="CA551" s="117" t="str">
        <f>IF(_xlfn.XLOOKUP(BY551, AutoFill_classes!$A:$A, AutoFill_classes!$B:$B,"")=0,"",_xlfn.XLOOKUP(BY551, AutoFill_classes!$A:$A, AutoFill_classes!$B:$B,""))</f>
        <v/>
      </c>
      <c r="CB551" s="108"/>
      <c r="CC551" s="9"/>
      <c r="CD551" s="9"/>
      <c r="CE551" s="9"/>
      <c r="CF551" s="4"/>
      <c r="CG551" s="25"/>
      <c r="CH551" s="64"/>
      <c r="CI551" s="27"/>
      <c r="CJ551" s="121" t="str">
        <f t="shared" si="477"/>
        <v/>
      </c>
      <c r="CK551" s="20"/>
      <c r="CL551" s="20"/>
      <c r="CM551" s="24"/>
      <c r="CN551" s="24"/>
      <c r="CO551" s="125" t="str">
        <f t="shared" si="478"/>
        <v/>
      </c>
      <c r="CP551" s="14"/>
      <c r="CQ551" s="125" t="str">
        <f t="shared" si="479"/>
        <v/>
      </c>
      <c r="CR551" s="24"/>
      <c r="CS551" s="24"/>
      <c r="CT551" s="125" t="str">
        <f t="shared" si="480"/>
        <v/>
      </c>
      <c r="CU551" s="14"/>
      <c r="CV551" s="125" t="str">
        <f t="shared" si="481"/>
        <v/>
      </c>
      <c r="CW551" s="24"/>
      <c r="CX551" s="24"/>
      <c r="CY551" s="125" t="str">
        <f t="shared" si="482"/>
        <v/>
      </c>
      <c r="CZ551" s="125" t="str">
        <f t="shared" si="483"/>
        <v/>
      </c>
      <c r="DA551" s="125" t="str">
        <f t="shared" si="484"/>
        <v/>
      </c>
      <c r="DB551" s="129" t="str">
        <f t="shared" si="485"/>
        <v/>
      </c>
      <c r="DC551" s="9"/>
      <c r="DD551" s="65"/>
      <c r="DE551" s="105">
        <v>547</v>
      </c>
    </row>
    <row r="552" spans="1:109" outlineLevel="1" x14ac:dyDescent="0.2">
      <c r="A552" s="4"/>
      <c r="B552" s="115" t="str">
        <f>IF(_xlfn.XLOOKUP(A552, AutoFill_names!B:B, AutoFill_names!C:C,"")=0,"",_xlfn.XLOOKUP(A552, AutoFill_names!B:B, AutoFill_names!C:C,""))</f>
        <v/>
      </c>
      <c r="C552" s="115" t="str">
        <f>IF(_xlfn.XLOOKUP(A552, AutoFill_names!B:B, AutoFill_names!D:D,"")=0,"",_xlfn.XLOOKUP(A552, AutoFill_names!B:B, AutoFill_names!D:D,""))</f>
        <v/>
      </c>
      <c r="D552" s="115" t="str">
        <f>IF(_xlfn.XLOOKUP(A552, AutoFill_names!B:B, AutoFill_names!E:E,"")=0,"",_xlfn.XLOOKUP(A552, AutoFill_names!B:B, AutoFill_names!E:E,""))</f>
        <v/>
      </c>
      <c r="E552" s="115" t="str">
        <f>IF(_xlfn.XLOOKUP(A552, AutoFill_names!B:B, AutoFill_names!F:F,"")=0,"",_xlfn.XLOOKUP(A552, AutoFill_names!B:B, AutoFill_names!F:F,""))</f>
        <v/>
      </c>
      <c r="F552" s="92"/>
      <c r="G552" s="1"/>
      <c r="H552" s="1"/>
      <c r="I552" s="1"/>
      <c r="J552" s="115" t="str">
        <f>IF(_xlfn.XLOOKUP(A552, AutoFill_names!B:B, AutoFill_names!K:K,"")=0,"",_xlfn.XLOOKUP(A552, AutoFill_names!B:B, AutoFill_names!K:K,""))</f>
        <v/>
      </c>
      <c r="K552" s="115" t="str">
        <f>IF(_xlfn.XLOOKUP(A552, AutoFill_names!B:B, AutoFill_names!L:L,"")=0,"",_xlfn.XLOOKUP(A552, AutoFill_names!B:B, AutoFill_names!L:L,""))</f>
        <v/>
      </c>
      <c r="L552" s="5"/>
      <c r="M552" s="5"/>
      <c r="N552" s="117" t="str">
        <f>IF(_xlfn.XLOOKUP(L552, AutoFill_classes!A:A, AutoFill_classes!B:B,"")=0,"",_xlfn.XLOOKUP(L552, AutoFill_classes!A:A, AutoFill_classes!B:B,""))</f>
        <v/>
      </c>
      <c r="O552" s="108"/>
      <c r="P552" s="8"/>
      <c r="Q552" s="8"/>
      <c r="R552" s="8"/>
      <c r="S552" s="4"/>
      <c r="T552" s="4"/>
      <c r="U552" s="4"/>
      <c r="V552" s="4"/>
      <c r="W552" s="4"/>
      <c r="X552" s="64"/>
      <c r="Y552" s="25"/>
      <c r="Z552" s="121" t="str">
        <f t="shared" ref="Z552:Z583" si="486">IF(X552*Y552=0,"",X552*Y552)</f>
        <v/>
      </c>
      <c r="AA552" s="26"/>
      <c r="AB552" s="26"/>
      <c r="AC552" s="28"/>
      <c r="AD552" s="28"/>
      <c r="AE552" s="125" t="str">
        <f t="shared" ref="AE552:AE583" si="487">IF(ROUNDUP((AD552-AC552)/7,0)=0,"",ROUNDUP((AD552-AC552)/7,0))</f>
        <v/>
      </c>
      <c r="AF552" s="9"/>
      <c r="AG552" s="125" t="str">
        <f t="shared" ref="AG552:AG583" si="488">IFERROR(IF(AE552*AF552=0,"",AE552*AF552), "")</f>
        <v/>
      </c>
      <c r="AH552" s="28"/>
      <c r="AI552" s="28"/>
      <c r="AJ552" s="125" t="str">
        <f t="shared" ref="AJ552:AJ583" si="489">IF(ROUNDUP((AI552-AH552)/7,0)=0,"",ROUNDUP((AI552-AH552)/7,0))</f>
        <v/>
      </c>
      <c r="AK552" s="9"/>
      <c r="AL552" s="125" t="str">
        <f t="shared" ref="AL552:AL583" si="490">IFERROR(IF(AJ552*AK552=0,"",AJ552*AK552), "")</f>
        <v/>
      </c>
      <c r="AM552" s="28"/>
      <c r="AN552" s="28"/>
      <c r="AO552" s="125" t="str">
        <f t="shared" ref="AO552:AO583" si="491">IF(ROUNDUP((AN552-AM552)/7,0)=0,"",ROUNDUP((AN552-AM552)/7,0))</f>
        <v/>
      </c>
      <c r="AP552" s="125" t="str">
        <f t="shared" ref="AP552:AP583" si="492">IFERROR(IF((AS552-(AF552+AK552))/AO552=0,"",ROUNDUP((AS552-(AF552+AK552))/AO552,0)), "")</f>
        <v/>
      </c>
      <c r="AQ552" s="125" t="str">
        <f t="shared" ref="AQ552:AQ583" si="493">IFERROR(IF((AS552-(AG552+AL552))=0, "", (AS552-(AG552+AL552))), "")</f>
        <v/>
      </c>
      <c r="AR552" s="129" t="str">
        <f t="shared" ref="AR552:AR583" si="494">IFERROR(IF((AE552+AJ552+AO552)=0, "", (AE552+AJ552+AO552)), "")</f>
        <v/>
      </c>
      <c r="AS552" s="9"/>
      <c r="AT552" s="34"/>
      <c r="AU552" s="34"/>
      <c r="AV552" s="117" t="str">
        <f>IF(_xlfn.XLOOKUP(AT552, AutoFill_classes!$A:$A, AutoFill_classes!$B:$B,"")=0,"",_xlfn.XLOOKUP(AT552, AutoFill_classes!$A:$A, AutoFill_classes!$B:$B,""))</f>
        <v/>
      </c>
      <c r="AW552" s="108"/>
      <c r="AX552" s="9"/>
      <c r="AY552" s="10"/>
      <c r="AZ552" s="9"/>
      <c r="BA552" s="10"/>
      <c r="BB552" s="10"/>
      <c r="BC552" s="64"/>
      <c r="BD552" s="25"/>
      <c r="BE552" s="121" t="str">
        <f t="shared" ref="BE552:BE583" si="495">IF(BC552*BD552=0,"",BC552*BD552)</f>
        <v/>
      </c>
      <c r="BF552" s="20"/>
      <c r="BG552" s="20"/>
      <c r="BH552" s="24"/>
      <c r="BI552" s="24"/>
      <c r="BJ552" s="125" t="str">
        <f t="shared" ref="BJ552:BJ583" si="496">IF(ROUNDUP((BI552-BH552)/7,0)=0,"",ROUNDUP((BI552-BH552)/7,0))</f>
        <v/>
      </c>
      <c r="BK552" s="14"/>
      <c r="BL552" s="125" t="str">
        <f t="shared" ref="BL552:BL583" si="497">IFERROR(IF(BJ552*BK552=0,"",BJ552*BK552), "")</f>
        <v/>
      </c>
      <c r="BM552" s="24"/>
      <c r="BN552" s="24"/>
      <c r="BO552" s="125" t="str">
        <f t="shared" ref="BO552:BO583" si="498">IF(ROUNDUP((BN552-BM552)/7,0)=0,"",ROUNDUP((BN552-BM552)/7,0))</f>
        <v/>
      </c>
      <c r="BP552" s="14"/>
      <c r="BQ552" s="125" t="str">
        <f t="shared" ref="BQ552:BQ583" si="499">IFERROR(IF(BO552*BP552=0,"",BO552*BP552), "")</f>
        <v/>
      </c>
      <c r="BR552" s="24"/>
      <c r="BS552" s="24"/>
      <c r="BT552" s="125" t="str">
        <f t="shared" ref="BT552:BT583" si="500">IF(ROUNDUP((BS552-BR552)/7,0)=0,"",ROUNDUP((BS552-BR552)/7,0))</f>
        <v/>
      </c>
      <c r="BU552" s="125" t="str">
        <f t="shared" ref="BU552:BU583" si="501">IFERROR(IF((BX552-(BK552+BP552))/BT552=0,"",ROUNDUP((BX552-(BK552+BP552))/BT552,0)), "")</f>
        <v/>
      </c>
      <c r="BV552" s="125" t="str">
        <f t="shared" ref="BV552:BV583" si="502">IFERROR(IF((BX552-(BL552+BQ552))=0, "", (BX552-(BL552+BQ552))), "")</f>
        <v/>
      </c>
      <c r="BW552" s="129" t="str">
        <f t="shared" ref="BW552:BW583" si="503">IFERROR(IF((BJ552+BO552+BT552)=0, "", (BJ552+BO552+BT552)), "")</f>
        <v/>
      </c>
      <c r="BX552" s="9"/>
      <c r="BY552" s="9"/>
      <c r="BZ552" s="9"/>
      <c r="CA552" s="117" t="str">
        <f>IF(_xlfn.XLOOKUP(BY552, AutoFill_classes!$A:$A, AutoFill_classes!$B:$B,"")=0,"",_xlfn.XLOOKUP(BY552, AutoFill_classes!$A:$A, AutoFill_classes!$B:$B,""))</f>
        <v/>
      </c>
      <c r="CB552" s="108"/>
      <c r="CC552" s="9"/>
      <c r="CD552" s="9"/>
      <c r="CE552" s="9"/>
      <c r="CF552" s="4"/>
      <c r="CG552" s="25"/>
      <c r="CH552" s="64"/>
      <c r="CI552" s="27"/>
      <c r="CJ552" s="121" t="str">
        <f t="shared" ref="CJ552:CJ583" si="504">IF(CH552*CI552=0,"",CH552*CI552)</f>
        <v/>
      </c>
      <c r="CK552" s="20"/>
      <c r="CL552" s="20"/>
      <c r="CM552" s="24"/>
      <c r="CN552" s="24"/>
      <c r="CO552" s="125" t="str">
        <f t="shared" ref="CO552:CO583" si="505">IF(ROUNDUP((CN552-CM552)/7,0)=0,"",ROUNDUP((CN552-CM552)/7,0))</f>
        <v/>
      </c>
      <c r="CP552" s="14"/>
      <c r="CQ552" s="125" t="str">
        <f t="shared" ref="CQ552:CQ583" si="506">IFERROR(IF(CO552*CP552=0,"",CO552*CP552), "")</f>
        <v/>
      </c>
      <c r="CR552" s="24"/>
      <c r="CS552" s="24"/>
      <c r="CT552" s="125" t="str">
        <f t="shared" ref="CT552:CT583" si="507">IF(ROUNDUP((CS552-CR552)/7,0)=0,"",ROUNDUP((CS552-CR552)/7,0))</f>
        <v/>
      </c>
      <c r="CU552" s="14"/>
      <c r="CV552" s="125" t="str">
        <f t="shared" ref="CV552:CV583" si="508">IFERROR(IF(CT552*CU552=0,"",CT552*CU552), "")</f>
        <v/>
      </c>
      <c r="CW552" s="24"/>
      <c r="CX552" s="24"/>
      <c r="CY552" s="125" t="str">
        <f t="shared" ref="CY552:CY583" si="509">IF(ROUNDUP((CX552-CW552)/7,0)=0,"",ROUNDUP((CX552-CW552)/7,0))</f>
        <v/>
      </c>
      <c r="CZ552" s="125" t="str">
        <f t="shared" ref="CZ552:CZ583" si="510">IFERROR(IF((DC552-(CP552+CU552))/CY552=0,"",ROUNDUP((DC552-(CP552+CU552))/CY552,0)), "")</f>
        <v/>
      </c>
      <c r="DA552" s="125" t="str">
        <f t="shared" ref="DA552:DA583" si="511">IFERROR(IF((DC552-(CQ552+CV552))=0, "", (DC552-(CQ552+CV552))), "")</f>
        <v/>
      </c>
      <c r="DB552" s="129" t="str">
        <f t="shared" ref="DB552:DB583" si="512">IFERROR(IF((CO552+CT552+CY552)=0, "", (CO552+CT552+CY552)), "")</f>
        <v/>
      </c>
      <c r="DC552" s="9"/>
      <c r="DD552" s="65"/>
      <c r="DE552" s="105">
        <v>548</v>
      </c>
    </row>
    <row r="553" spans="1:109" outlineLevel="1" x14ac:dyDescent="0.2">
      <c r="A553" s="4"/>
      <c r="B553" s="115" t="str">
        <f>IF(_xlfn.XLOOKUP(A553, AutoFill_names!B:B, AutoFill_names!C:C,"")=0,"",_xlfn.XLOOKUP(A553, AutoFill_names!B:B, AutoFill_names!C:C,""))</f>
        <v/>
      </c>
      <c r="C553" s="115" t="str">
        <f>IF(_xlfn.XLOOKUP(A553, AutoFill_names!B:B, AutoFill_names!D:D,"")=0,"",_xlfn.XLOOKUP(A553, AutoFill_names!B:B, AutoFill_names!D:D,""))</f>
        <v/>
      </c>
      <c r="D553" s="115" t="str">
        <f>IF(_xlfn.XLOOKUP(A553, AutoFill_names!B:B, AutoFill_names!E:E,"")=0,"",_xlfn.XLOOKUP(A553, AutoFill_names!B:B, AutoFill_names!E:E,""))</f>
        <v/>
      </c>
      <c r="E553" s="115" t="str">
        <f>IF(_xlfn.XLOOKUP(A553, AutoFill_names!B:B, AutoFill_names!F:F,"")=0,"",_xlfn.XLOOKUP(A553, AutoFill_names!B:B, AutoFill_names!F:F,""))</f>
        <v/>
      </c>
      <c r="F553" s="92"/>
      <c r="G553" s="1"/>
      <c r="H553" s="1"/>
      <c r="I553" s="1"/>
      <c r="J553" s="115" t="str">
        <f>IF(_xlfn.XLOOKUP(A553, AutoFill_names!B:B, AutoFill_names!K:K,"")=0,"",_xlfn.XLOOKUP(A553, AutoFill_names!B:B, AutoFill_names!K:K,""))</f>
        <v/>
      </c>
      <c r="K553" s="115" t="str">
        <f>IF(_xlfn.XLOOKUP(A553, AutoFill_names!B:B, AutoFill_names!L:L,"")=0,"",_xlfn.XLOOKUP(A553, AutoFill_names!B:B, AutoFill_names!L:L,""))</f>
        <v/>
      </c>
      <c r="L553" s="5"/>
      <c r="M553" s="5"/>
      <c r="N553" s="117" t="str">
        <f>IF(_xlfn.XLOOKUP(L553, AutoFill_classes!A:A, AutoFill_classes!B:B,"")=0,"",_xlfn.XLOOKUP(L553, AutoFill_classes!A:A, AutoFill_classes!B:B,""))</f>
        <v/>
      </c>
      <c r="O553" s="108"/>
      <c r="P553" s="8"/>
      <c r="Q553" s="8"/>
      <c r="R553" s="8"/>
      <c r="S553" s="4"/>
      <c r="T553" s="4"/>
      <c r="U553" s="4"/>
      <c r="V553" s="4"/>
      <c r="W553" s="4"/>
      <c r="X553" s="64"/>
      <c r="Y553" s="25"/>
      <c r="Z553" s="121" t="str">
        <f t="shared" si="486"/>
        <v/>
      </c>
      <c r="AA553" s="26"/>
      <c r="AB553" s="26"/>
      <c r="AC553" s="28"/>
      <c r="AD553" s="28"/>
      <c r="AE553" s="125" t="str">
        <f t="shared" si="487"/>
        <v/>
      </c>
      <c r="AF553" s="9"/>
      <c r="AG553" s="125" t="str">
        <f t="shared" si="488"/>
        <v/>
      </c>
      <c r="AH553" s="28"/>
      <c r="AI553" s="28"/>
      <c r="AJ553" s="125" t="str">
        <f t="shared" si="489"/>
        <v/>
      </c>
      <c r="AK553" s="9"/>
      <c r="AL553" s="125" t="str">
        <f t="shared" si="490"/>
        <v/>
      </c>
      <c r="AM553" s="28"/>
      <c r="AN553" s="28"/>
      <c r="AO553" s="125" t="str">
        <f t="shared" si="491"/>
        <v/>
      </c>
      <c r="AP553" s="125" t="str">
        <f t="shared" si="492"/>
        <v/>
      </c>
      <c r="AQ553" s="125" t="str">
        <f t="shared" si="493"/>
        <v/>
      </c>
      <c r="AR553" s="129" t="str">
        <f t="shared" si="494"/>
        <v/>
      </c>
      <c r="AS553" s="9"/>
      <c r="AT553" s="34"/>
      <c r="AU553" s="34"/>
      <c r="AV553" s="117" t="str">
        <f>IF(_xlfn.XLOOKUP(AT553, AutoFill_classes!$A:$A, AutoFill_classes!$B:$B,"")=0,"",_xlfn.XLOOKUP(AT553, AutoFill_classes!$A:$A, AutoFill_classes!$B:$B,""))</f>
        <v/>
      </c>
      <c r="AW553" s="108"/>
      <c r="AX553" s="9"/>
      <c r="AY553" s="10"/>
      <c r="AZ553" s="9"/>
      <c r="BA553" s="10"/>
      <c r="BB553" s="10"/>
      <c r="BC553" s="64"/>
      <c r="BD553" s="25"/>
      <c r="BE553" s="121" t="str">
        <f t="shared" si="495"/>
        <v/>
      </c>
      <c r="BF553" s="20"/>
      <c r="BG553" s="20"/>
      <c r="BH553" s="24"/>
      <c r="BI553" s="24"/>
      <c r="BJ553" s="125" t="str">
        <f t="shared" si="496"/>
        <v/>
      </c>
      <c r="BK553" s="14"/>
      <c r="BL553" s="125" t="str">
        <f t="shared" si="497"/>
        <v/>
      </c>
      <c r="BM553" s="24"/>
      <c r="BN553" s="24"/>
      <c r="BO553" s="125" t="str">
        <f t="shared" si="498"/>
        <v/>
      </c>
      <c r="BP553" s="14"/>
      <c r="BQ553" s="125" t="str">
        <f t="shared" si="499"/>
        <v/>
      </c>
      <c r="BR553" s="24"/>
      <c r="BS553" s="24"/>
      <c r="BT553" s="125" t="str">
        <f t="shared" si="500"/>
        <v/>
      </c>
      <c r="BU553" s="125" t="str">
        <f t="shared" si="501"/>
        <v/>
      </c>
      <c r="BV553" s="125" t="str">
        <f t="shared" si="502"/>
        <v/>
      </c>
      <c r="BW553" s="129" t="str">
        <f t="shared" si="503"/>
        <v/>
      </c>
      <c r="BX553" s="9"/>
      <c r="BY553" s="9"/>
      <c r="BZ553" s="9"/>
      <c r="CA553" s="117" t="str">
        <f>IF(_xlfn.XLOOKUP(BY553, AutoFill_classes!$A:$A, AutoFill_classes!$B:$B,"")=0,"",_xlfn.XLOOKUP(BY553, AutoFill_classes!$A:$A, AutoFill_classes!$B:$B,""))</f>
        <v/>
      </c>
      <c r="CB553" s="108"/>
      <c r="CC553" s="9"/>
      <c r="CD553" s="9"/>
      <c r="CE553" s="9"/>
      <c r="CF553" s="4"/>
      <c r="CG553" s="25"/>
      <c r="CH553" s="64"/>
      <c r="CI553" s="27"/>
      <c r="CJ553" s="121" t="str">
        <f t="shared" si="504"/>
        <v/>
      </c>
      <c r="CK553" s="20"/>
      <c r="CL553" s="20"/>
      <c r="CM553" s="24"/>
      <c r="CN553" s="24"/>
      <c r="CO553" s="125" t="str">
        <f t="shared" si="505"/>
        <v/>
      </c>
      <c r="CP553" s="14"/>
      <c r="CQ553" s="125" t="str">
        <f t="shared" si="506"/>
        <v/>
      </c>
      <c r="CR553" s="24"/>
      <c r="CS553" s="24"/>
      <c r="CT553" s="125" t="str">
        <f t="shared" si="507"/>
        <v/>
      </c>
      <c r="CU553" s="14"/>
      <c r="CV553" s="125" t="str">
        <f t="shared" si="508"/>
        <v/>
      </c>
      <c r="CW553" s="24"/>
      <c r="CX553" s="24"/>
      <c r="CY553" s="125" t="str">
        <f t="shared" si="509"/>
        <v/>
      </c>
      <c r="CZ553" s="125" t="str">
        <f t="shared" si="510"/>
        <v/>
      </c>
      <c r="DA553" s="125" t="str">
        <f t="shared" si="511"/>
        <v/>
      </c>
      <c r="DB553" s="129" t="str">
        <f t="shared" si="512"/>
        <v/>
      </c>
      <c r="DC553" s="9"/>
      <c r="DD553" s="65"/>
      <c r="DE553" s="105">
        <v>549</v>
      </c>
    </row>
    <row r="554" spans="1:109" outlineLevel="1" x14ac:dyDescent="0.2">
      <c r="A554" s="4"/>
      <c r="B554" s="115" t="str">
        <f>IF(_xlfn.XLOOKUP(A554, AutoFill_names!B:B, AutoFill_names!C:C,"")=0,"",_xlfn.XLOOKUP(A554, AutoFill_names!B:B, AutoFill_names!C:C,""))</f>
        <v/>
      </c>
      <c r="C554" s="115" t="str">
        <f>IF(_xlfn.XLOOKUP(A554, AutoFill_names!B:B, AutoFill_names!D:D,"")=0,"",_xlfn.XLOOKUP(A554, AutoFill_names!B:B, AutoFill_names!D:D,""))</f>
        <v/>
      </c>
      <c r="D554" s="115" t="str">
        <f>IF(_xlfn.XLOOKUP(A554, AutoFill_names!B:B, AutoFill_names!E:E,"")=0,"",_xlfn.XLOOKUP(A554, AutoFill_names!B:B, AutoFill_names!E:E,""))</f>
        <v/>
      </c>
      <c r="E554" s="115" t="str">
        <f>IF(_xlfn.XLOOKUP(A554, AutoFill_names!B:B, AutoFill_names!F:F,"")=0,"",_xlfn.XLOOKUP(A554, AutoFill_names!B:B, AutoFill_names!F:F,""))</f>
        <v/>
      </c>
      <c r="F554" s="92"/>
      <c r="G554" s="1"/>
      <c r="H554" s="1"/>
      <c r="I554" s="1"/>
      <c r="J554" s="115" t="str">
        <f>IF(_xlfn.XLOOKUP(A554, AutoFill_names!B:B, AutoFill_names!K:K,"")=0,"",_xlfn.XLOOKUP(A554, AutoFill_names!B:B, AutoFill_names!K:K,""))</f>
        <v/>
      </c>
      <c r="K554" s="115" t="str">
        <f>IF(_xlfn.XLOOKUP(A554, AutoFill_names!B:B, AutoFill_names!L:L,"")=0,"",_xlfn.XLOOKUP(A554, AutoFill_names!B:B, AutoFill_names!L:L,""))</f>
        <v/>
      </c>
      <c r="L554" s="5"/>
      <c r="M554" s="5"/>
      <c r="N554" s="117" t="str">
        <f>IF(_xlfn.XLOOKUP(L554, AutoFill_classes!A:A, AutoFill_classes!B:B,"")=0,"",_xlfn.XLOOKUP(L554, AutoFill_classes!A:A, AutoFill_classes!B:B,""))</f>
        <v/>
      </c>
      <c r="O554" s="108"/>
      <c r="P554" s="8"/>
      <c r="Q554" s="8"/>
      <c r="R554" s="8"/>
      <c r="S554" s="4"/>
      <c r="T554" s="4"/>
      <c r="U554" s="4"/>
      <c r="V554" s="4"/>
      <c r="W554" s="4"/>
      <c r="X554" s="64"/>
      <c r="Y554" s="25"/>
      <c r="Z554" s="121" t="str">
        <f t="shared" si="486"/>
        <v/>
      </c>
      <c r="AA554" s="26"/>
      <c r="AB554" s="26"/>
      <c r="AC554" s="28"/>
      <c r="AD554" s="28"/>
      <c r="AE554" s="125" t="str">
        <f t="shared" si="487"/>
        <v/>
      </c>
      <c r="AF554" s="9"/>
      <c r="AG554" s="125" t="str">
        <f t="shared" si="488"/>
        <v/>
      </c>
      <c r="AH554" s="28"/>
      <c r="AI554" s="28"/>
      <c r="AJ554" s="125" t="str">
        <f t="shared" si="489"/>
        <v/>
      </c>
      <c r="AK554" s="9"/>
      <c r="AL554" s="125" t="str">
        <f t="shared" si="490"/>
        <v/>
      </c>
      <c r="AM554" s="28"/>
      <c r="AN554" s="28"/>
      <c r="AO554" s="125" t="str">
        <f t="shared" si="491"/>
        <v/>
      </c>
      <c r="AP554" s="125" t="str">
        <f t="shared" si="492"/>
        <v/>
      </c>
      <c r="AQ554" s="125" t="str">
        <f t="shared" si="493"/>
        <v/>
      </c>
      <c r="AR554" s="129" t="str">
        <f t="shared" si="494"/>
        <v/>
      </c>
      <c r="AS554" s="9"/>
      <c r="AT554" s="34"/>
      <c r="AU554" s="34"/>
      <c r="AV554" s="117" t="str">
        <f>IF(_xlfn.XLOOKUP(AT554, AutoFill_classes!$A:$A, AutoFill_classes!$B:$B,"")=0,"",_xlfn.XLOOKUP(AT554, AutoFill_classes!$A:$A, AutoFill_classes!$B:$B,""))</f>
        <v/>
      </c>
      <c r="AW554" s="108"/>
      <c r="AX554" s="9"/>
      <c r="AY554" s="10"/>
      <c r="AZ554" s="9"/>
      <c r="BA554" s="10"/>
      <c r="BB554" s="10"/>
      <c r="BC554" s="64"/>
      <c r="BD554" s="25"/>
      <c r="BE554" s="121" t="str">
        <f t="shared" si="495"/>
        <v/>
      </c>
      <c r="BF554" s="20"/>
      <c r="BG554" s="20"/>
      <c r="BH554" s="24"/>
      <c r="BI554" s="24"/>
      <c r="BJ554" s="125" t="str">
        <f t="shared" si="496"/>
        <v/>
      </c>
      <c r="BK554" s="14"/>
      <c r="BL554" s="125" t="str">
        <f t="shared" si="497"/>
        <v/>
      </c>
      <c r="BM554" s="24"/>
      <c r="BN554" s="24"/>
      <c r="BO554" s="125" t="str">
        <f t="shared" si="498"/>
        <v/>
      </c>
      <c r="BP554" s="14"/>
      <c r="BQ554" s="125" t="str">
        <f t="shared" si="499"/>
        <v/>
      </c>
      <c r="BR554" s="24"/>
      <c r="BS554" s="24"/>
      <c r="BT554" s="125" t="str">
        <f t="shared" si="500"/>
        <v/>
      </c>
      <c r="BU554" s="125" t="str">
        <f t="shared" si="501"/>
        <v/>
      </c>
      <c r="BV554" s="125" t="str">
        <f t="shared" si="502"/>
        <v/>
      </c>
      <c r="BW554" s="129" t="str">
        <f t="shared" si="503"/>
        <v/>
      </c>
      <c r="BX554" s="9"/>
      <c r="BY554" s="9"/>
      <c r="BZ554" s="9"/>
      <c r="CA554" s="117" t="str">
        <f>IF(_xlfn.XLOOKUP(BY554, AutoFill_classes!$A:$A, AutoFill_classes!$B:$B,"")=0,"",_xlfn.XLOOKUP(BY554, AutoFill_classes!$A:$A, AutoFill_classes!$B:$B,""))</f>
        <v/>
      </c>
      <c r="CB554" s="108"/>
      <c r="CC554" s="9"/>
      <c r="CD554" s="9"/>
      <c r="CE554" s="9"/>
      <c r="CF554" s="4"/>
      <c r="CG554" s="25"/>
      <c r="CH554" s="64"/>
      <c r="CI554" s="27"/>
      <c r="CJ554" s="121" t="str">
        <f t="shared" si="504"/>
        <v/>
      </c>
      <c r="CK554" s="20"/>
      <c r="CL554" s="20"/>
      <c r="CM554" s="24"/>
      <c r="CN554" s="24"/>
      <c r="CO554" s="125" t="str">
        <f t="shared" si="505"/>
        <v/>
      </c>
      <c r="CP554" s="14"/>
      <c r="CQ554" s="125" t="str">
        <f t="shared" si="506"/>
        <v/>
      </c>
      <c r="CR554" s="24"/>
      <c r="CS554" s="24"/>
      <c r="CT554" s="125" t="str">
        <f t="shared" si="507"/>
        <v/>
      </c>
      <c r="CU554" s="14"/>
      <c r="CV554" s="125" t="str">
        <f t="shared" si="508"/>
        <v/>
      </c>
      <c r="CW554" s="24"/>
      <c r="CX554" s="24"/>
      <c r="CY554" s="125" t="str">
        <f t="shared" si="509"/>
        <v/>
      </c>
      <c r="CZ554" s="125" t="str">
        <f t="shared" si="510"/>
        <v/>
      </c>
      <c r="DA554" s="125" t="str">
        <f t="shared" si="511"/>
        <v/>
      </c>
      <c r="DB554" s="129" t="str">
        <f t="shared" si="512"/>
        <v/>
      </c>
      <c r="DC554" s="9"/>
      <c r="DD554" s="65"/>
      <c r="DE554" s="105">
        <v>550</v>
      </c>
    </row>
    <row r="555" spans="1:109" outlineLevel="1" x14ac:dyDescent="0.2">
      <c r="A555" s="4"/>
      <c r="B555" s="115" t="str">
        <f>IF(_xlfn.XLOOKUP(A555, AutoFill_names!B:B, AutoFill_names!C:C,"")=0,"",_xlfn.XLOOKUP(A555, AutoFill_names!B:B, AutoFill_names!C:C,""))</f>
        <v/>
      </c>
      <c r="C555" s="115" t="str">
        <f>IF(_xlfn.XLOOKUP(A555, AutoFill_names!B:B, AutoFill_names!D:D,"")=0,"",_xlfn.XLOOKUP(A555, AutoFill_names!B:B, AutoFill_names!D:D,""))</f>
        <v/>
      </c>
      <c r="D555" s="115" t="str">
        <f>IF(_xlfn.XLOOKUP(A555, AutoFill_names!B:B, AutoFill_names!E:E,"")=0,"",_xlfn.XLOOKUP(A555, AutoFill_names!B:B, AutoFill_names!E:E,""))</f>
        <v/>
      </c>
      <c r="E555" s="115" t="str">
        <f>IF(_xlfn.XLOOKUP(A555, AutoFill_names!B:B, AutoFill_names!F:F,"")=0,"",_xlfn.XLOOKUP(A555, AutoFill_names!B:B, AutoFill_names!F:F,""))</f>
        <v/>
      </c>
      <c r="F555" s="92"/>
      <c r="G555" s="1"/>
      <c r="H555" s="1"/>
      <c r="I555" s="1"/>
      <c r="J555" s="115" t="str">
        <f>IF(_xlfn.XLOOKUP(A555, AutoFill_names!B:B, AutoFill_names!K:K,"")=0,"",_xlfn.XLOOKUP(A555, AutoFill_names!B:B, AutoFill_names!K:K,""))</f>
        <v/>
      </c>
      <c r="K555" s="115" t="str">
        <f>IF(_xlfn.XLOOKUP(A555, AutoFill_names!B:B, AutoFill_names!L:L,"")=0,"",_xlfn.XLOOKUP(A555, AutoFill_names!B:B, AutoFill_names!L:L,""))</f>
        <v/>
      </c>
      <c r="L555" s="5"/>
      <c r="M555" s="5"/>
      <c r="N555" s="117" t="str">
        <f>IF(_xlfn.XLOOKUP(L555, AutoFill_classes!A:A, AutoFill_classes!B:B,"")=0,"",_xlfn.XLOOKUP(L555, AutoFill_classes!A:A, AutoFill_classes!B:B,""))</f>
        <v/>
      </c>
      <c r="O555" s="108"/>
      <c r="P555" s="8"/>
      <c r="Q555" s="8"/>
      <c r="R555" s="8"/>
      <c r="S555" s="4"/>
      <c r="T555" s="4"/>
      <c r="U555" s="4"/>
      <c r="V555" s="4"/>
      <c r="W555" s="4"/>
      <c r="X555" s="64"/>
      <c r="Y555" s="25"/>
      <c r="Z555" s="121" t="str">
        <f t="shared" si="486"/>
        <v/>
      </c>
      <c r="AA555" s="26"/>
      <c r="AB555" s="26"/>
      <c r="AC555" s="28"/>
      <c r="AD555" s="28"/>
      <c r="AE555" s="125" t="str">
        <f t="shared" si="487"/>
        <v/>
      </c>
      <c r="AF555" s="9"/>
      <c r="AG555" s="125" t="str">
        <f t="shared" si="488"/>
        <v/>
      </c>
      <c r="AH555" s="28"/>
      <c r="AI555" s="28"/>
      <c r="AJ555" s="125" t="str">
        <f t="shared" si="489"/>
        <v/>
      </c>
      <c r="AK555" s="9"/>
      <c r="AL555" s="125" t="str">
        <f t="shared" si="490"/>
        <v/>
      </c>
      <c r="AM555" s="28"/>
      <c r="AN555" s="28"/>
      <c r="AO555" s="125" t="str">
        <f t="shared" si="491"/>
        <v/>
      </c>
      <c r="AP555" s="125" t="str">
        <f t="shared" si="492"/>
        <v/>
      </c>
      <c r="AQ555" s="125" t="str">
        <f t="shared" si="493"/>
        <v/>
      </c>
      <c r="AR555" s="129" t="str">
        <f t="shared" si="494"/>
        <v/>
      </c>
      <c r="AS555" s="9"/>
      <c r="AT555" s="34"/>
      <c r="AU555" s="34"/>
      <c r="AV555" s="117" t="str">
        <f>IF(_xlfn.XLOOKUP(AT555, AutoFill_classes!$A:$A, AutoFill_classes!$B:$B,"")=0,"",_xlfn.XLOOKUP(AT555, AutoFill_classes!$A:$A, AutoFill_classes!$B:$B,""))</f>
        <v/>
      </c>
      <c r="AW555" s="108"/>
      <c r="AX555" s="9"/>
      <c r="AY555" s="10"/>
      <c r="AZ555" s="9"/>
      <c r="BA555" s="10"/>
      <c r="BB555" s="10"/>
      <c r="BC555" s="64"/>
      <c r="BD555" s="25"/>
      <c r="BE555" s="121" t="str">
        <f t="shared" si="495"/>
        <v/>
      </c>
      <c r="BF555" s="20"/>
      <c r="BG555" s="20"/>
      <c r="BH555" s="24"/>
      <c r="BI555" s="24"/>
      <c r="BJ555" s="125" t="str">
        <f t="shared" si="496"/>
        <v/>
      </c>
      <c r="BK555" s="14"/>
      <c r="BL555" s="125" t="str">
        <f t="shared" si="497"/>
        <v/>
      </c>
      <c r="BM555" s="24"/>
      <c r="BN555" s="24"/>
      <c r="BO555" s="125" t="str">
        <f t="shared" si="498"/>
        <v/>
      </c>
      <c r="BP555" s="14"/>
      <c r="BQ555" s="125" t="str">
        <f t="shared" si="499"/>
        <v/>
      </c>
      <c r="BR555" s="24"/>
      <c r="BS555" s="24"/>
      <c r="BT555" s="125" t="str">
        <f t="shared" si="500"/>
        <v/>
      </c>
      <c r="BU555" s="125" t="str">
        <f t="shared" si="501"/>
        <v/>
      </c>
      <c r="BV555" s="125" t="str">
        <f t="shared" si="502"/>
        <v/>
      </c>
      <c r="BW555" s="129" t="str">
        <f t="shared" si="503"/>
        <v/>
      </c>
      <c r="BX555" s="9"/>
      <c r="BY555" s="9"/>
      <c r="BZ555" s="9"/>
      <c r="CA555" s="117" t="str">
        <f>IF(_xlfn.XLOOKUP(BY555, AutoFill_classes!$A:$A, AutoFill_classes!$B:$B,"")=0,"",_xlfn.XLOOKUP(BY555, AutoFill_classes!$A:$A, AutoFill_classes!$B:$B,""))</f>
        <v/>
      </c>
      <c r="CB555" s="108"/>
      <c r="CC555" s="9"/>
      <c r="CD555" s="9"/>
      <c r="CE555" s="9"/>
      <c r="CF555" s="4"/>
      <c r="CG555" s="25"/>
      <c r="CH555" s="64"/>
      <c r="CI555" s="27"/>
      <c r="CJ555" s="121" t="str">
        <f t="shared" si="504"/>
        <v/>
      </c>
      <c r="CK555" s="20"/>
      <c r="CL555" s="20"/>
      <c r="CM555" s="24"/>
      <c r="CN555" s="24"/>
      <c r="CO555" s="125" t="str">
        <f t="shared" si="505"/>
        <v/>
      </c>
      <c r="CP555" s="14"/>
      <c r="CQ555" s="125" t="str">
        <f t="shared" si="506"/>
        <v/>
      </c>
      <c r="CR555" s="24"/>
      <c r="CS555" s="24"/>
      <c r="CT555" s="125" t="str">
        <f t="shared" si="507"/>
        <v/>
      </c>
      <c r="CU555" s="14"/>
      <c r="CV555" s="125" t="str">
        <f t="shared" si="508"/>
        <v/>
      </c>
      <c r="CW555" s="24"/>
      <c r="CX555" s="24"/>
      <c r="CY555" s="125" t="str">
        <f t="shared" si="509"/>
        <v/>
      </c>
      <c r="CZ555" s="125" t="str">
        <f t="shared" si="510"/>
        <v/>
      </c>
      <c r="DA555" s="125" t="str">
        <f t="shared" si="511"/>
        <v/>
      </c>
      <c r="DB555" s="129" t="str">
        <f t="shared" si="512"/>
        <v/>
      </c>
      <c r="DC555" s="9"/>
      <c r="DD555" s="65"/>
      <c r="DE555" s="105">
        <v>551</v>
      </c>
    </row>
    <row r="556" spans="1:109" outlineLevel="1" x14ac:dyDescent="0.2">
      <c r="A556" s="4"/>
      <c r="B556" s="115" t="str">
        <f>IF(_xlfn.XLOOKUP(A556, AutoFill_names!B:B, AutoFill_names!C:C,"")=0,"",_xlfn.XLOOKUP(A556, AutoFill_names!B:B, AutoFill_names!C:C,""))</f>
        <v/>
      </c>
      <c r="C556" s="115" t="str">
        <f>IF(_xlfn.XLOOKUP(A556, AutoFill_names!B:B, AutoFill_names!D:D,"")=0,"",_xlfn.XLOOKUP(A556, AutoFill_names!B:B, AutoFill_names!D:D,""))</f>
        <v/>
      </c>
      <c r="D556" s="115" t="str">
        <f>IF(_xlfn.XLOOKUP(A556, AutoFill_names!B:B, AutoFill_names!E:E,"")=0,"",_xlfn.XLOOKUP(A556, AutoFill_names!B:B, AutoFill_names!E:E,""))</f>
        <v/>
      </c>
      <c r="E556" s="115" t="str">
        <f>IF(_xlfn.XLOOKUP(A556, AutoFill_names!B:B, AutoFill_names!F:F,"")=0,"",_xlfn.XLOOKUP(A556, AutoFill_names!B:B, AutoFill_names!F:F,""))</f>
        <v/>
      </c>
      <c r="F556" s="92"/>
      <c r="G556" s="1"/>
      <c r="H556" s="1"/>
      <c r="I556" s="1"/>
      <c r="J556" s="115" t="str">
        <f>IF(_xlfn.XLOOKUP(A556, AutoFill_names!B:B, AutoFill_names!K:K,"")=0,"",_xlfn.XLOOKUP(A556, AutoFill_names!B:B, AutoFill_names!K:K,""))</f>
        <v/>
      </c>
      <c r="K556" s="115" t="str">
        <f>IF(_xlfn.XLOOKUP(A556, AutoFill_names!B:B, AutoFill_names!L:L,"")=0,"",_xlfn.XLOOKUP(A556, AutoFill_names!B:B, AutoFill_names!L:L,""))</f>
        <v/>
      </c>
      <c r="L556" s="5"/>
      <c r="M556" s="5"/>
      <c r="N556" s="117" t="str">
        <f>IF(_xlfn.XLOOKUP(L556, AutoFill_classes!A:A, AutoFill_classes!B:B,"")=0,"",_xlfn.XLOOKUP(L556, AutoFill_classes!A:A, AutoFill_classes!B:B,""))</f>
        <v/>
      </c>
      <c r="O556" s="108"/>
      <c r="P556" s="8"/>
      <c r="Q556" s="8"/>
      <c r="R556" s="8"/>
      <c r="S556" s="4"/>
      <c r="T556" s="4"/>
      <c r="U556" s="4"/>
      <c r="V556" s="4"/>
      <c r="W556" s="4"/>
      <c r="X556" s="64"/>
      <c r="Y556" s="25"/>
      <c r="Z556" s="121" t="str">
        <f t="shared" si="486"/>
        <v/>
      </c>
      <c r="AA556" s="26"/>
      <c r="AB556" s="26"/>
      <c r="AC556" s="28"/>
      <c r="AD556" s="28"/>
      <c r="AE556" s="125" t="str">
        <f t="shared" si="487"/>
        <v/>
      </c>
      <c r="AF556" s="9"/>
      <c r="AG556" s="125" t="str">
        <f t="shared" si="488"/>
        <v/>
      </c>
      <c r="AH556" s="28"/>
      <c r="AI556" s="28"/>
      <c r="AJ556" s="125" t="str">
        <f t="shared" si="489"/>
        <v/>
      </c>
      <c r="AK556" s="9"/>
      <c r="AL556" s="125" t="str">
        <f t="shared" si="490"/>
        <v/>
      </c>
      <c r="AM556" s="28"/>
      <c r="AN556" s="28"/>
      <c r="AO556" s="125" t="str">
        <f t="shared" si="491"/>
        <v/>
      </c>
      <c r="AP556" s="125" t="str">
        <f t="shared" si="492"/>
        <v/>
      </c>
      <c r="AQ556" s="125" t="str">
        <f t="shared" si="493"/>
        <v/>
      </c>
      <c r="AR556" s="129" t="str">
        <f t="shared" si="494"/>
        <v/>
      </c>
      <c r="AS556" s="9"/>
      <c r="AT556" s="34"/>
      <c r="AU556" s="34"/>
      <c r="AV556" s="117" t="str">
        <f>IF(_xlfn.XLOOKUP(AT556, AutoFill_classes!$A:$A, AutoFill_classes!$B:$B,"")=0,"",_xlfn.XLOOKUP(AT556, AutoFill_classes!$A:$A, AutoFill_classes!$B:$B,""))</f>
        <v/>
      </c>
      <c r="AW556" s="108"/>
      <c r="AX556" s="9"/>
      <c r="AY556" s="10"/>
      <c r="AZ556" s="9"/>
      <c r="BA556" s="10"/>
      <c r="BB556" s="10"/>
      <c r="BC556" s="64"/>
      <c r="BD556" s="25"/>
      <c r="BE556" s="121" t="str">
        <f t="shared" si="495"/>
        <v/>
      </c>
      <c r="BF556" s="20"/>
      <c r="BG556" s="20"/>
      <c r="BH556" s="24"/>
      <c r="BI556" s="24"/>
      <c r="BJ556" s="125" t="str">
        <f t="shared" si="496"/>
        <v/>
      </c>
      <c r="BK556" s="14"/>
      <c r="BL556" s="125" t="str">
        <f t="shared" si="497"/>
        <v/>
      </c>
      <c r="BM556" s="24"/>
      <c r="BN556" s="24"/>
      <c r="BO556" s="125" t="str">
        <f t="shared" si="498"/>
        <v/>
      </c>
      <c r="BP556" s="14"/>
      <c r="BQ556" s="125" t="str">
        <f t="shared" si="499"/>
        <v/>
      </c>
      <c r="BR556" s="24"/>
      <c r="BS556" s="24"/>
      <c r="BT556" s="125" t="str">
        <f t="shared" si="500"/>
        <v/>
      </c>
      <c r="BU556" s="125" t="str">
        <f t="shared" si="501"/>
        <v/>
      </c>
      <c r="BV556" s="125" t="str">
        <f t="shared" si="502"/>
        <v/>
      </c>
      <c r="BW556" s="129" t="str">
        <f t="shared" si="503"/>
        <v/>
      </c>
      <c r="BX556" s="9"/>
      <c r="BY556" s="9"/>
      <c r="BZ556" s="9"/>
      <c r="CA556" s="117" t="str">
        <f>IF(_xlfn.XLOOKUP(BY556, AutoFill_classes!$A:$A, AutoFill_classes!$B:$B,"")=0,"",_xlfn.XLOOKUP(BY556, AutoFill_classes!$A:$A, AutoFill_classes!$B:$B,""))</f>
        <v/>
      </c>
      <c r="CB556" s="108"/>
      <c r="CC556" s="9"/>
      <c r="CD556" s="9"/>
      <c r="CE556" s="9"/>
      <c r="CF556" s="4"/>
      <c r="CG556" s="25"/>
      <c r="CH556" s="64"/>
      <c r="CI556" s="27"/>
      <c r="CJ556" s="121" t="str">
        <f t="shared" si="504"/>
        <v/>
      </c>
      <c r="CK556" s="20"/>
      <c r="CL556" s="20"/>
      <c r="CM556" s="24"/>
      <c r="CN556" s="24"/>
      <c r="CO556" s="125" t="str">
        <f t="shared" si="505"/>
        <v/>
      </c>
      <c r="CP556" s="14"/>
      <c r="CQ556" s="125" t="str">
        <f t="shared" si="506"/>
        <v/>
      </c>
      <c r="CR556" s="24"/>
      <c r="CS556" s="24"/>
      <c r="CT556" s="125" t="str">
        <f t="shared" si="507"/>
        <v/>
      </c>
      <c r="CU556" s="14"/>
      <c r="CV556" s="125" t="str">
        <f t="shared" si="508"/>
        <v/>
      </c>
      <c r="CW556" s="24"/>
      <c r="CX556" s="24"/>
      <c r="CY556" s="125" t="str">
        <f t="shared" si="509"/>
        <v/>
      </c>
      <c r="CZ556" s="125" t="str">
        <f t="shared" si="510"/>
        <v/>
      </c>
      <c r="DA556" s="125" t="str">
        <f t="shared" si="511"/>
        <v/>
      </c>
      <c r="DB556" s="129" t="str">
        <f t="shared" si="512"/>
        <v/>
      </c>
      <c r="DC556" s="9"/>
      <c r="DD556" s="65"/>
      <c r="DE556" s="105">
        <v>552</v>
      </c>
    </row>
    <row r="557" spans="1:109" outlineLevel="1" x14ac:dyDescent="0.2">
      <c r="A557" s="4"/>
      <c r="B557" s="115" t="str">
        <f>IF(_xlfn.XLOOKUP(A557, AutoFill_names!B:B, AutoFill_names!C:C,"")=0,"",_xlfn.XLOOKUP(A557, AutoFill_names!B:B, AutoFill_names!C:C,""))</f>
        <v/>
      </c>
      <c r="C557" s="115" t="str">
        <f>IF(_xlfn.XLOOKUP(A557, AutoFill_names!B:B, AutoFill_names!D:D,"")=0,"",_xlfn.XLOOKUP(A557, AutoFill_names!B:B, AutoFill_names!D:D,""))</f>
        <v/>
      </c>
      <c r="D557" s="115" t="str">
        <f>IF(_xlfn.XLOOKUP(A557, AutoFill_names!B:B, AutoFill_names!E:E,"")=0,"",_xlfn.XLOOKUP(A557, AutoFill_names!B:B, AutoFill_names!E:E,""))</f>
        <v/>
      </c>
      <c r="E557" s="115" t="str">
        <f>IF(_xlfn.XLOOKUP(A557, AutoFill_names!B:B, AutoFill_names!F:F,"")=0,"",_xlfn.XLOOKUP(A557, AutoFill_names!B:B, AutoFill_names!F:F,""))</f>
        <v/>
      </c>
      <c r="F557" s="92"/>
      <c r="G557" s="1"/>
      <c r="H557" s="1"/>
      <c r="I557" s="1"/>
      <c r="J557" s="115" t="str">
        <f>IF(_xlfn.XLOOKUP(A557, AutoFill_names!B:B, AutoFill_names!K:K,"")=0,"",_xlfn.XLOOKUP(A557, AutoFill_names!B:B, AutoFill_names!K:K,""))</f>
        <v/>
      </c>
      <c r="K557" s="115" t="str">
        <f>IF(_xlfn.XLOOKUP(A557, AutoFill_names!B:B, AutoFill_names!L:L,"")=0,"",_xlfn.XLOOKUP(A557, AutoFill_names!B:B, AutoFill_names!L:L,""))</f>
        <v/>
      </c>
      <c r="L557" s="5"/>
      <c r="M557" s="5"/>
      <c r="N557" s="117" t="str">
        <f>IF(_xlfn.XLOOKUP(L557, AutoFill_classes!A:A, AutoFill_classes!B:B,"")=0,"",_xlfn.XLOOKUP(L557, AutoFill_classes!A:A, AutoFill_classes!B:B,""))</f>
        <v/>
      </c>
      <c r="O557" s="108"/>
      <c r="P557" s="8"/>
      <c r="Q557" s="8"/>
      <c r="R557" s="8"/>
      <c r="S557" s="4"/>
      <c r="T557" s="4"/>
      <c r="U557" s="4"/>
      <c r="V557" s="4"/>
      <c r="W557" s="4"/>
      <c r="X557" s="64"/>
      <c r="Y557" s="25"/>
      <c r="Z557" s="121" t="str">
        <f t="shared" si="486"/>
        <v/>
      </c>
      <c r="AA557" s="26"/>
      <c r="AB557" s="26"/>
      <c r="AC557" s="28"/>
      <c r="AD557" s="28"/>
      <c r="AE557" s="125" t="str">
        <f t="shared" si="487"/>
        <v/>
      </c>
      <c r="AF557" s="9"/>
      <c r="AG557" s="125" t="str">
        <f t="shared" si="488"/>
        <v/>
      </c>
      <c r="AH557" s="28"/>
      <c r="AI557" s="28"/>
      <c r="AJ557" s="125" t="str">
        <f t="shared" si="489"/>
        <v/>
      </c>
      <c r="AK557" s="9"/>
      <c r="AL557" s="125" t="str">
        <f t="shared" si="490"/>
        <v/>
      </c>
      <c r="AM557" s="28"/>
      <c r="AN557" s="28"/>
      <c r="AO557" s="125" t="str">
        <f t="shared" si="491"/>
        <v/>
      </c>
      <c r="AP557" s="125" t="str">
        <f t="shared" si="492"/>
        <v/>
      </c>
      <c r="AQ557" s="125" t="str">
        <f t="shared" si="493"/>
        <v/>
      </c>
      <c r="AR557" s="129" t="str">
        <f t="shared" si="494"/>
        <v/>
      </c>
      <c r="AS557" s="9"/>
      <c r="AT557" s="34"/>
      <c r="AU557" s="34"/>
      <c r="AV557" s="117" t="str">
        <f>IF(_xlfn.XLOOKUP(AT557, AutoFill_classes!$A:$A, AutoFill_classes!$B:$B,"")=0,"",_xlfn.XLOOKUP(AT557, AutoFill_classes!$A:$A, AutoFill_classes!$B:$B,""))</f>
        <v/>
      </c>
      <c r="AW557" s="108"/>
      <c r="AX557" s="9"/>
      <c r="AY557" s="10"/>
      <c r="AZ557" s="9"/>
      <c r="BA557" s="10"/>
      <c r="BB557" s="10"/>
      <c r="BC557" s="64"/>
      <c r="BD557" s="25"/>
      <c r="BE557" s="121" t="str">
        <f t="shared" si="495"/>
        <v/>
      </c>
      <c r="BF557" s="20"/>
      <c r="BG557" s="20"/>
      <c r="BH557" s="24"/>
      <c r="BI557" s="24"/>
      <c r="BJ557" s="125" t="str">
        <f t="shared" si="496"/>
        <v/>
      </c>
      <c r="BK557" s="14"/>
      <c r="BL557" s="125" t="str">
        <f t="shared" si="497"/>
        <v/>
      </c>
      <c r="BM557" s="24"/>
      <c r="BN557" s="24"/>
      <c r="BO557" s="125" t="str">
        <f t="shared" si="498"/>
        <v/>
      </c>
      <c r="BP557" s="14"/>
      <c r="BQ557" s="125" t="str">
        <f t="shared" si="499"/>
        <v/>
      </c>
      <c r="BR557" s="24"/>
      <c r="BS557" s="24"/>
      <c r="BT557" s="125" t="str">
        <f t="shared" si="500"/>
        <v/>
      </c>
      <c r="BU557" s="125" t="str">
        <f t="shared" si="501"/>
        <v/>
      </c>
      <c r="BV557" s="125" t="str">
        <f t="shared" si="502"/>
        <v/>
      </c>
      <c r="BW557" s="129" t="str">
        <f t="shared" si="503"/>
        <v/>
      </c>
      <c r="BX557" s="9"/>
      <c r="BY557" s="9"/>
      <c r="BZ557" s="9"/>
      <c r="CA557" s="117" t="str">
        <f>IF(_xlfn.XLOOKUP(BY557, AutoFill_classes!$A:$A, AutoFill_classes!$B:$B,"")=0,"",_xlfn.XLOOKUP(BY557, AutoFill_classes!$A:$A, AutoFill_classes!$B:$B,""))</f>
        <v/>
      </c>
      <c r="CB557" s="108"/>
      <c r="CC557" s="9"/>
      <c r="CD557" s="9"/>
      <c r="CE557" s="9"/>
      <c r="CF557" s="4"/>
      <c r="CG557" s="25"/>
      <c r="CH557" s="64"/>
      <c r="CI557" s="27"/>
      <c r="CJ557" s="121" t="str">
        <f t="shared" si="504"/>
        <v/>
      </c>
      <c r="CK557" s="20"/>
      <c r="CL557" s="20"/>
      <c r="CM557" s="24"/>
      <c r="CN557" s="24"/>
      <c r="CO557" s="125" t="str">
        <f t="shared" si="505"/>
        <v/>
      </c>
      <c r="CP557" s="14"/>
      <c r="CQ557" s="125" t="str">
        <f t="shared" si="506"/>
        <v/>
      </c>
      <c r="CR557" s="24"/>
      <c r="CS557" s="24"/>
      <c r="CT557" s="125" t="str">
        <f t="shared" si="507"/>
        <v/>
      </c>
      <c r="CU557" s="14"/>
      <c r="CV557" s="125" t="str">
        <f t="shared" si="508"/>
        <v/>
      </c>
      <c r="CW557" s="24"/>
      <c r="CX557" s="24"/>
      <c r="CY557" s="125" t="str">
        <f t="shared" si="509"/>
        <v/>
      </c>
      <c r="CZ557" s="125" t="str">
        <f t="shared" si="510"/>
        <v/>
      </c>
      <c r="DA557" s="125" t="str">
        <f t="shared" si="511"/>
        <v/>
      </c>
      <c r="DB557" s="129" t="str">
        <f t="shared" si="512"/>
        <v/>
      </c>
      <c r="DC557" s="9"/>
      <c r="DD557" s="65"/>
      <c r="DE557" s="105">
        <v>553</v>
      </c>
    </row>
    <row r="558" spans="1:109" outlineLevel="1" x14ac:dyDescent="0.2">
      <c r="A558" s="4"/>
      <c r="B558" s="115" t="str">
        <f>IF(_xlfn.XLOOKUP(A558, AutoFill_names!B:B, AutoFill_names!C:C,"")=0,"",_xlfn.XLOOKUP(A558, AutoFill_names!B:B, AutoFill_names!C:C,""))</f>
        <v/>
      </c>
      <c r="C558" s="115" t="str">
        <f>IF(_xlfn.XLOOKUP(A558, AutoFill_names!B:B, AutoFill_names!D:D,"")=0,"",_xlfn.XLOOKUP(A558, AutoFill_names!B:B, AutoFill_names!D:D,""))</f>
        <v/>
      </c>
      <c r="D558" s="115" t="str">
        <f>IF(_xlfn.XLOOKUP(A558, AutoFill_names!B:B, AutoFill_names!E:E,"")=0,"",_xlfn.XLOOKUP(A558, AutoFill_names!B:B, AutoFill_names!E:E,""))</f>
        <v/>
      </c>
      <c r="E558" s="115" t="str">
        <f>IF(_xlfn.XLOOKUP(A558, AutoFill_names!B:B, AutoFill_names!F:F,"")=0,"",_xlfn.XLOOKUP(A558, AutoFill_names!B:B, AutoFill_names!F:F,""))</f>
        <v/>
      </c>
      <c r="F558" s="92"/>
      <c r="G558" s="1"/>
      <c r="H558" s="1"/>
      <c r="I558" s="1"/>
      <c r="J558" s="115" t="str">
        <f>IF(_xlfn.XLOOKUP(A558, AutoFill_names!B:B, AutoFill_names!K:K,"")=0,"",_xlfn.XLOOKUP(A558, AutoFill_names!B:B, AutoFill_names!K:K,""))</f>
        <v/>
      </c>
      <c r="K558" s="115" t="str">
        <f>IF(_xlfn.XLOOKUP(A558, AutoFill_names!B:B, AutoFill_names!L:L,"")=0,"",_xlfn.XLOOKUP(A558, AutoFill_names!B:B, AutoFill_names!L:L,""))</f>
        <v/>
      </c>
      <c r="L558" s="5"/>
      <c r="M558" s="5"/>
      <c r="N558" s="117" t="str">
        <f>IF(_xlfn.XLOOKUP(L558, AutoFill_classes!A:A, AutoFill_classes!B:B,"")=0,"",_xlfn.XLOOKUP(L558, AutoFill_classes!A:A, AutoFill_classes!B:B,""))</f>
        <v/>
      </c>
      <c r="O558" s="108"/>
      <c r="P558" s="8"/>
      <c r="Q558" s="8"/>
      <c r="R558" s="8"/>
      <c r="S558" s="4"/>
      <c r="T558" s="4"/>
      <c r="U558" s="4"/>
      <c r="V558" s="4"/>
      <c r="W558" s="4"/>
      <c r="X558" s="64"/>
      <c r="Y558" s="25"/>
      <c r="Z558" s="121" t="str">
        <f t="shared" si="486"/>
        <v/>
      </c>
      <c r="AA558" s="26"/>
      <c r="AB558" s="26"/>
      <c r="AC558" s="28"/>
      <c r="AD558" s="28"/>
      <c r="AE558" s="125" t="str">
        <f t="shared" si="487"/>
        <v/>
      </c>
      <c r="AF558" s="9"/>
      <c r="AG558" s="125" t="str">
        <f t="shared" si="488"/>
        <v/>
      </c>
      <c r="AH558" s="28"/>
      <c r="AI558" s="28"/>
      <c r="AJ558" s="125" t="str">
        <f t="shared" si="489"/>
        <v/>
      </c>
      <c r="AK558" s="9"/>
      <c r="AL558" s="125" t="str">
        <f t="shared" si="490"/>
        <v/>
      </c>
      <c r="AM558" s="28"/>
      <c r="AN558" s="28"/>
      <c r="AO558" s="125" t="str">
        <f t="shared" si="491"/>
        <v/>
      </c>
      <c r="AP558" s="125" t="str">
        <f t="shared" si="492"/>
        <v/>
      </c>
      <c r="AQ558" s="125" t="str">
        <f t="shared" si="493"/>
        <v/>
      </c>
      <c r="AR558" s="129" t="str">
        <f t="shared" si="494"/>
        <v/>
      </c>
      <c r="AS558" s="9"/>
      <c r="AT558" s="34"/>
      <c r="AU558" s="34"/>
      <c r="AV558" s="117" t="str">
        <f>IF(_xlfn.XLOOKUP(AT558, AutoFill_classes!$A:$A, AutoFill_classes!$B:$B,"")=0,"",_xlfn.XLOOKUP(AT558, AutoFill_classes!$A:$A, AutoFill_classes!$B:$B,""))</f>
        <v/>
      </c>
      <c r="AW558" s="108"/>
      <c r="AX558" s="9"/>
      <c r="AY558" s="10"/>
      <c r="AZ558" s="9"/>
      <c r="BA558" s="10"/>
      <c r="BB558" s="10"/>
      <c r="BC558" s="64"/>
      <c r="BD558" s="25"/>
      <c r="BE558" s="121" t="str">
        <f t="shared" si="495"/>
        <v/>
      </c>
      <c r="BF558" s="20"/>
      <c r="BG558" s="20"/>
      <c r="BH558" s="24"/>
      <c r="BI558" s="24"/>
      <c r="BJ558" s="125" t="str">
        <f t="shared" si="496"/>
        <v/>
      </c>
      <c r="BK558" s="14"/>
      <c r="BL558" s="125" t="str">
        <f t="shared" si="497"/>
        <v/>
      </c>
      <c r="BM558" s="24"/>
      <c r="BN558" s="24"/>
      <c r="BO558" s="125" t="str">
        <f t="shared" si="498"/>
        <v/>
      </c>
      <c r="BP558" s="14"/>
      <c r="BQ558" s="125" t="str">
        <f t="shared" si="499"/>
        <v/>
      </c>
      <c r="BR558" s="24"/>
      <c r="BS558" s="24"/>
      <c r="BT558" s="125" t="str">
        <f t="shared" si="500"/>
        <v/>
      </c>
      <c r="BU558" s="125" t="str">
        <f t="shared" si="501"/>
        <v/>
      </c>
      <c r="BV558" s="125" t="str">
        <f t="shared" si="502"/>
        <v/>
      </c>
      <c r="BW558" s="129" t="str">
        <f t="shared" si="503"/>
        <v/>
      </c>
      <c r="BX558" s="9"/>
      <c r="BY558" s="9"/>
      <c r="BZ558" s="9"/>
      <c r="CA558" s="117" t="str">
        <f>IF(_xlfn.XLOOKUP(BY558, AutoFill_classes!$A:$A, AutoFill_classes!$B:$B,"")=0,"",_xlfn.XLOOKUP(BY558, AutoFill_classes!$A:$A, AutoFill_classes!$B:$B,""))</f>
        <v/>
      </c>
      <c r="CB558" s="108"/>
      <c r="CC558" s="9"/>
      <c r="CD558" s="9"/>
      <c r="CE558" s="9"/>
      <c r="CF558" s="4"/>
      <c r="CG558" s="25"/>
      <c r="CH558" s="64"/>
      <c r="CI558" s="27"/>
      <c r="CJ558" s="121" t="str">
        <f t="shared" si="504"/>
        <v/>
      </c>
      <c r="CK558" s="20"/>
      <c r="CL558" s="20"/>
      <c r="CM558" s="24"/>
      <c r="CN558" s="24"/>
      <c r="CO558" s="125" t="str">
        <f t="shared" si="505"/>
        <v/>
      </c>
      <c r="CP558" s="14"/>
      <c r="CQ558" s="125" t="str">
        <f t="shared" si="506"/>
        <v/>
      </c>
      <c r="CR558" s="24"/>
      <c r="CS558" s="24"/>
      <c r="CT558" s="125" t="str">
        <f t="shared" si="507"/>
        <v/>
      </c>
      <c r="CU558" s="14"/>
      <c r="CV558" s="125" t="str">
        <f t="shared" si="508"/>
        <v/>
      </c>
      <c r="CW558" s="24"/>
      <c r="CX558" s="24"/>
      <c r="CY558" s="125" t="str">
        <f t="shared" si="509"/>
        <v/>
      </c>
      <c r="CZ558" s="125" t="str">
        <f t="shared" si="510"/>
        <v/>
      </c>
      <c r="DA558" s="125" t="str">
        <f t="shared" si="511"/>
        <v/>
      </c>
      <c r="DB558" s="129" t="str">
        <f t="shared" si="512"/>
        <v/>
      </c>
      <c r="DC558" s="9"/>
      <c r="DD558" s="65"/>
      <c r="DE558" s="105">
        <v>554</v>
      </c>
    </row>
    <row r="559" spans="1:109" outlineLevel="1" x14ac:dyDescent="0.2">
      <c r="A559" s="4"/>
      <c r="B559" s="115" t="str">
        <f>IF(_xlfn.XLOOKUP(A559, AutoFill_names!B:B, AutoFill_names!C:C,"")=0,"",_xlfn.XLOOKUP(A559, AutoFill_names!B:B, AutoFill_names!C:C,""))</f>
        <v/>
      </c>
      <c r="C559" s="115" t="str">
        <f>IF(_xlfn.XLOOKUP(A559, AutoFill_names!B:B, AutoFill_names!D:D,"")=0,"",_xlfn.XLOOKUP(A559, AutoFill_names!B:B, AutoFill_names!D:D,""))</f>
        <v/>
      </c>
      <c r="D559" s="115" t="str">
        <f>IF(_xlfn.XLOOKUP(A559, AutoFill_names!B:B, AutoFill_names!E:E,"")=0,"",_xlfn.XLOOKUP(A559, AutoFill_names!B:B, AutoFill_names!E:E,""))</f>
        <v/>
      </c>
      <c r="E559" s="115" t="str">
        <f>IF(_xlfn.XLOOKUP(A559, AutoFill_names!B:B, AutoFill_names!F:F,"")=0,"",_xlfn.XLOOKUP(A559, AutoFill_names!B:B, AutoFill_names!F:F,""))</f>
        <v/>
      </c>
      <c r="F559" s="92"/>
      <c r="G559" s="1"/>
      <c r="H559" s="1"/>
      <c r="I559" s="1"/>
      <c r="J559" s="115" t="str">
        <f>IF(_xlfn.XLOOKUP(A559, AutoFill_names!B:B, AutoFill_names!K:K,"")=0,"",_xlfn.XLOOKUP(A559, AutoFill_names!B:B, AutoFill_names!K:K,""))</f>
        <v/>
      </c>
      <c r="K559" s="115" t="str">
        <f>IF(_xlfn.XLOOKUP(A559, AutoFill_names!B:B, AutoFill_names!L:L,"")=0,"",_xlfn.XLOOKUP(A559, AutoFill_names!B:B, AutoFill_names!L:L,""))</f>
        <v/>
      </c>
      <c r="L559" s="5"/>
      <c r="M559" s="5"/>
      <c r="N559" s="117" t="str">
        <f>IF(_xlfn.XLOOKUP(L559, AutoFill_classes!A:A, AutoFill_classes!B:B,"")=0,"",_xlfn.XLOOKUP(L559, AutoFill_classes!A:A, AutoFill_classes!B:B,""))</f>
        <v/>
      </c>
      <c r="O559" s="108"/>
      <c r="P559" s="8"/>
      <c r="Q559" s="8"/>
      <c r="R559" s="8"/>
      <c r="S559" s="4"/>
      <c r="T559" s="4"/>
      <c r="U559" s="4"/>
      <c r="V559" s="4"/>
      <c r="W559" s="4"/>
      <c r="X559" s="64"/>
      <c r="Y559" s="25"/>
      <c r="Z559" s="121" t="str">
        <f t="shared" si="486"/>
        <v/>
      </c>
      <c r="AA559" s="26"/>
      <c r="AB559" s="26"/>
      <c r="AC559" s="28"/>
      <c r="AD559" s="28"/>
      <c r="AE559" s="125" t="str">
        <f t="shared" si="487"/>
        <v/>
      </c>
      <c r="AF559" s="9"/>
      <c r="AG559" s="125" t="str">
        <f t="shared" si="488"/>
        <v/>
      </c>
      <c r="AH559" s="28"/>
      <c r="AI559" s="28"/>
      <c r="AJ559" s="125" t="str">
        <f t="shared" si="489"/>
        <v/>
      </c>
      <c r="AK559" s="9"/>
      <c r="AL559" s="125" t="str">
        <f t="shared" si="490"/>
        <v/>
      </c>
      <c r="AM559" s="28"/>
      <c r="AN559" s="28"/>
      <c r="AO559" s="125" t="str">
        <f t="shared" si="491"/>
        <v/>
      </c>
      <c r="AP559" s="125" t="str">
        <f t="shared" si="492"/>
        <v/>
      </c>
      <c r="AQ559" s="125" t="str">
        <f t="shared" si="493"/>
        <v/>
      </c>
      <c r="AR559" s="129" t="str">
        <f t="shared" si="494"/>
        <v/>
      </c>
      <c r="AS559" s="9"/>
      <c r="AT559" s="34"/>
      <c r="AU559" s="34"/>
      <c r="AV559" s="117" t="str">
        <f>IF(_xlfn.XLOOKUP(AT559, AutoFill_classes!$A:$A, AutoFill_classes!$B:$B,"")=0,"",_xlfn.XLOOKUP(AT559, AutoFill_classes!$A:$A, AutoFill_classes!$B:$B,""))</f>
        <v/>
      </c>
      <c r="AW559" s="108"/>
      <c r="AX559" s="9"/>
      <c r="AY559" s="10"/>
      <c r="AZ559" s="9"/>
      <c r="BA559" s="10"/>
      <c r="BB559" s="10"/>
      <c r="BC559" s="64"/>
      <c r="BD559" s="25"/>
      <c r="BE559" s="121" t="str">
        <f t="shared" si="495"/>
        <v/>
      </c>
      <c r="BF559" s="20"/>
      <c r="BG559" s="20"/>
      <c r="BH559" s="24"/>
      <c r="BI559" s="24"/>
      <c r="BJ559" s="125" t="str">
        <f t="shared" si="496"/>
        <v/>
      </c>
      <c r="BK559" s="14"/>
      <c r="BL559" s="125" t="str">
        <f t="shared" si="497"/>
        <v/>
      </c>
      <c r="BM559" s="24"/>
      <c r="BN559" s="24"/>
      <c r="BO559" s="125" t="str">
        <f t="shared" si="498"/>
        <v/>
      </c>
      <c r="BP559" s="14"/>
      <c r="BQ559" s="125" t="str">
        <f t="shared" si="499"/>
        <v/>
      </c>
      <c r="BR559" s="24"/>
      <c r="BS559" s="24"/>
      <c r="BT559" s="125" t="str">
        <f t="shared" si="500"/>
        <v/>
      </c>
      <c r="BU559" s="125" t="str">
        <f t="shared" si="501"/>
        <v/>
      </c>
      <c r="BV559" s="125" t="str">
        <f t="shared" si="502"/>
        <v/>
      </c>
      <c r="BW559" s="129" t="str">
        <f t="shared" si="503"/>
        <v/>
      </c>
      <c r="BX559" s="9"/>
      <c r="BY559" s="9"/>
      <c r="BZ559" s="9"/>
      <c r="CA559" s="117" t="str">
        <f>IF(_xlfn.XLOOKUP(BY559, AutoFill_classes!$A:$A, AutoFill_classes!$B:$B,"")=0,"",_xlfn.XLOOKUP(BY559, AutoFill_classes!$A:$A, AutoFill_classes!$B:$B,""))</f>
        <v/>
      </c>
      <c r="CB559" s="108"/>
      <c r="CC559" s="9"/>
      <c r="CD559" s="9"/>
      <c r="CE559" s="9"/>
      <c r="CF559" s="4"/>
      <c r="CG559" s="25"/>
      <c r="CH559" s="64"/>
      <c r="CI559" s="27"/>
      <c r="CJ559" s="121" t="str">
        <f t="shared" si="504"/>
        <v/>
      </c>
      <c r="CK559" s="20"/>
      <c r="CL559" s="20"/>
      <c r="CM559" s="24"/>
      <c r="CN559" s="24"/>
      <c r="CO559" s="125" t="str">
        <f t="shared" si="505"/>
        <v/>
      </c>
      <c r="CP559" s="14"/>
      <c r="CQ559" s="125" t="str">
        <f t="shared" si="506"/>
        <v/>
      </c>
      <c r="CR559" s="24"/>
      <c r="CS559" s="24"/>
      <c r="CT559" s="125" t="str">
        <f t="shared" si="507"/>
        <v/>
      </c>
      <c r="CU559" s="14"/>
      <c r="CV559" s="125" t="str">
        <f t="shared" si="508"/>
        <v/>
      </c>
      <c r="CW559" s="24"/>
      <c r="CX559" s="24"/>
      <c r="CY559" s="125" t="str">
        <f t="shared" si="509"/>
        <v/>
      </c>
      <c r="CZ559" s="125" t="str">
        <f t="shared" si="510"/>
        <v/>
      </c>
      <c r="DA559" s="125" t="str">
        <f t="shared" si="511"/>
        <v/>
      </c>
      <c r="DB559" s="129" t="str">
        <f t="shared" si="512"/>
        <v/>
      </c>
      <c r="DC559" s="9"/>
      <c r="DD559" s="65"/>
      <c r="DE559" s="105">
        <v>555</v>
      </c>
    </row>
    <row r="560" spans="1:109" outlineLevel="1" x14ac:dyDescent="0.2">
      <c r="A560" s="4"/>
      <c r="B560" s="115" t="str">
        <f>IF(_xlfn.XLOOKUP(A560, AutoFill_names!B:B, AutoFill_names!C:C,"")=0,"",_xlfn.XLOOKUP(A560, AutoFill_names!B:B, AutoFill_names!C:C,""))</f>
        <v/>
      </c>
      <c r="C560" s="115" t="str">
        <f>IF(_xlfn.XLOOKUP(A560, AutoFill_names!B:B, AutoFill_names!D:D,"")=0,"",_xlfn.XLOOKUP(A560, AutoFill_names!B:B, AutoFill_names!D:D,""))</f>
        <v/>
      </c>
      <c r="D560" s="115" t="str">
        <f>IF(_xlfn.XLOOKUP(A560, AutoFill_names!B:B, AutoFill_names!E:E,"")=0,"",_xlfn.XLOOKUP(A560, AutoFill_names!B:B, AutoFill_names!E:E,""))</f>
        <v/>
      </c>
      <c r="E560" s="115" t="str">
        <f>IF(_xlfn.XLOOKUP(A560, AutoFill_names!B:B, AutoFill_names!F:F,"")=0,"",_xlfn.XLOOKUP(A560, AutoFill_names!B:B, AutoFill_names!F:F,""))</f>
        <v/>
      </c>
      <c r="F560" s="92"/>
      <c r="G560" s="1"/>
      <c r="H560" s="1"/>
      <c r="I560" s="1"/>
      <c r="J560" s="115" t="str">
        <f>IF(_xlfn.XLOOKUP(A560, AutoFill_names!B:B, AutoFill_names!K:K,"")=0,"",_xlfn.XLOOKUP(A560, AutoFill_names!B:B, AutoFill_names!K:K,""))</f>
        <v/>
      </c>
      <c r="K560" s="115" t="str">
        <f>IF(_xlfn.XLOOKUP(A560, AutoFill_names!B:B, AutoFill_names!L:L,"")=0,"",_xlfn.XLOOKUP(A560, AutoFill_names!B:B, AutoFill_names!L:L,""))</f>
        <v/>
      </c>
      <c r="L560" s="5"/>
      <c r="M560" s="5"/>
      <c r="N560" s="117" t="str">
        <f>IF(_xlfn.XLOOKUP(L560, AutoFill_classes!A:A, AutoFill_classes!B:B,"")=0,"",_xlfn.XLOOKUP(L560, AutoFill_classes!A:A, AutoFill_classes!B:B,""))</f>
        <v/>
      </c>
      <c r="O560" s="108"/>
      <c r="P560" s="8"/>
      <c r="Q560" s="8"/>
      <c r="R560" s="8"/>
      <c r="S560" s="4"/>
      <c r="T560" s="4"/>
      <c r="U560" s="4"/>
      <c r="V560" s="4"/>
      <c r="W560" s="4"/>
      <c r="X560" s="64"/>
      <c r="Y560" s="25"/>
      <c r="Z560" s="121" t="str">
        <f t="shared" si="486"/>
        <v/>
      </c>
      <c r="AA560" s="26"/>
      <c r="AB560" s="26"/>
      <c r="AC560" s="28"/>
      <c r="AD560" s="28"/>
      <c r="AE560" s="125" t="str">
        <f t="shared" si="487"/>
        <v/>
      </c>
      <c r="AF560" s="9"/>
      <c r="AG560" s="125" t="str">
        <f t="shared" si="488"/>
        <v/>
      </c>
      <c r="AH560" s="28"/>
      <c r="AI560" s="28"/>
      <c r="AJ560" s="125" t="str">
        <f t="shared" si="489"/>
        <v/>
      </c>
      <c r="AK560" s="9"/>
      <c r="AL560" s="125" t="str">
        <f t="shared" si="490"/>
        <v/>
      </c>
      <c r="AM560" s="28"/>
      <c r="AN560" s="28"/>
      <c r="AO560" s="125" t="str">
        <f t="shared" si="491"/>
        <v/>
      </c>
      <c r="AP560" s="125" t="str">
        <f t="shared" si="492"/>
        <v/>
      </c>
      <c r="AQ560" s="125" t="str">
        <f t="shared" si="493"/>
        <v/>
      </c>
      <c r="AR560" s="129" t="str">
        <f t="shared" si="494"/>
        <v/>
      </c>
      <c r="AS560" s="9"/>
      <c r="AT560" s="34"/>
      <c r="AU560" s="34"/>
      <c r="AV560" s="117" t="str">
        <f>IF(_xlfn.XLOOKUP(AT560, AutoFill_classes!$A:$A, AutoFill_classes!$B:$B,"")=0,"",_xlfn.XLOOKUP(AT560, AutoFill_classes!$A:$A, AutoFill_classes!$B:$B,""))</f>
        <v/>
      </c>
      <c r="AW560" s="108"/>
      <c r="AX560" s="9"/>
      <c r="AY560" s="10"/>
      <c r="AZ560" s="9"/>
      <c r="BA560" s="10"/>
      <c r="BB560" s="10"/>
      <c r="BC560" s="64"/>
      <c r="BD560" s="25"/>
      <c r="BE560" s="121" t="str">
        <f t="shared" si="495"/>
        <v/>
      </c>
      <c r="BF560" s="20"/>
      <c r="BG560" s="20"/>
      <c r="BH560" s="24"/>
      <c r="BI560" s="24"/>
      <c r="BJ560" s="125" t="str">
        <f t="shared" si="496"/>
        <v/>
      </c>
      <c r="BK560" s="14"/>
      <c r="BL560" s="125" t="str">
        <f t="shared" si="497"/>
        <v/>
      </c>
      <c r="BM560" s="24"/>
      <c r="BN560" s="24"/>
      <c r="BO560" s="125" t="str">
        <f t="shared" si="498"/>
        <v/>
      </c>
      <c r="BP560" s="14"/>
      <c r="BQ560" s="125" t="str">
        <f t="shared" si="499"/>
        <v/>
      </c>
      <c r="BR560" s="24"/>
      <c r="BS560" s="24"/>
      <c r="BT560" s="125" t="str">
        <f t="shared" si="500"/>
        <v/>
      </c>
      <c r="BU560" s="125" t="str">
        <f t="shared" si="501"/>
        <v/>
      </c>
      <c r="BV560" s="125" t="str">
        <f t="shared" si="502"/>
        <v/>
      </c>
      <c r="BW560" s="129" t="str">
        <f t="shared" si="503"/>
        <v/>
      </c>
      <c r="BX560" s="9"/>
      <c r="BY560" s="9"/>
      <c r="BZ560" s="9"/>
      <c r="CA560" s="117" t="str">
        <f>IF(_xlfn.XLOOKUP(BY560, AutoFill_classes!$A:$A, AutoFill_classes!$B:$B,"")=0,"",_xlfn.XLOOKUP(BY560, AutoFill_classes!$A:$A, AutoFill_classes!$B:$B,""))</f>
        <v/>
      </c>
      <c r="CB560" s="108"/>
      <c r="CC560" s="9"/>
      <c r="CD560" s="9"/>
      <c r="CE560" s="9"/>
      <c r="CF560" s="4"/>
      <c r="CG560" s="25"/>
      <c r="CH560" s="64"/>
      <c r="CI560" s="27"/>
      <c r="CJ560" s="121" t="str">
        <f t="shared" si="504"/>
        <v/>
      </c>
      <c r="CK560" s="20"/>
      <c r="CL560" s="20"/>
      <c r="CM560" s="24"/>
      <c r="CN560" s="24"/>
      <c r="CO560" s="125" t="str">
        <f t="shared" si="505"/>
        <v/>
      </c>
      <c r="CP560" s="14"/>
      <c r="CQ560" s="125" t="str">
        <f t="shared" si="506"/>
        <v/>
      </c>
      <c r="CR560" s="24"/>
      <c r="CS560" s="24"/>
      <c r="CT560" s="125" t="str">
        <f t="shared" si="507"/>
        <v/>
      </c>
      <c r="CU560" s="14"/>
      <c r="CV560" s="125" t="str">
        <f t="shared" si="508"/>
        <v/>
      </c>
      <c r="CW560" s="24"/>
      <c r="CX560" s="24"/>
      <c r="CY560" s="125" t="str">
        <f t="shared" si="509"/>
        <v/>
      </c>
      <c r="CZ560" s="125" t="str">
        <f t="shared" si="510"/>
        <v/>
      </c>
      <c r="DA560" s="125" t="str">
        <f t="shared" si="511"/>
        <v/>
      </c>
      <c r="DB560" s="129" t="str">
        <f t="shared" si="512"/>
        <v/>
      </c>
      <c r="DC560" s="9"/>
      <c r="DD560" s="65"/>
      <c r="DE560" s="105">
        <v>556</v>
      </c>
    </row>
    <row r="561" spans="1:109" outlineLevel="1" x14ac:dyDescent="0.2">
      <c r="A561" s="4"/>
      <c r="B561" s="115" t="str">
        <f>IF(_xlfn.XLOOKUP(A561, AutoFill_names!B:B, AutoFill_names!C:C,"")=0,"",_xlfn.XLOOKUP(A561, AutoFill_names!B:B, AutoFill_names!C:C,""))</f>
        <v/>
      </c>
      <c r="C561" s="115" t="str">
        <f>IF(_xlfn.XLOOKUP(A561, AutoFill_names!B:B, AutoFill_names!D:D,"")=0,"",_xlfn.XLOOKUP(A561, AutoFill_names!B:B, AutoFill_names!D:D,""))</f>
        <v/>
      </c>
      <c r="D561" s="115" t="str">
        <f>IF(_xlfn.XLOOKUP(A561, AutoFill_names!B:B, AutoFill_names!E:E,"")=0,"",_xlfn.XLOOKUP(A561, AutoFill_names!B:B, AutoFill_names!E:E,""))</f>
        <v/>
      </c>
      <c r="E561" s="115" t="str">
        <f>IF(_xlfn.XLOOKUP(A561, AutoFill_names!B:B, AutoFill_names!F:F,"")=0,"",_xlfn.XLOOKUP(A561, AutoFill_names!B:B, AutoFill_names!F:F,""))</f>
        <v/>
      </c>
      <c r="F561" s="92"/>
      <c r="G561" s="1"/>
      <c r="H561" s="1"/>
      <c r="I561" s="1"/>
      <c r="J561" s="115" t="str">
        <f>IF(_xlfn.XLOOKUP(A561, AutoFill_names!B:B, AutoFill_names!K:K,"")=0,"",_xlfn.XLOOKUP(A561, AutoFill_names!B:B, AutoFill_names!K:K,""))</f>
        <v/>
      </c>
      <c r="K561" s="115" t="str">
        <f>IF(_xlfn.XLOOKUP(A561, AutoFill_names!B:B, AutoFill_names!L:L,"")=0,"",_xlfn.XLOOKUP(A561, AutoFill_names!B:B, AutoFill_names!L:L,""))</f>
        <v/>
      </c>
      <c r="L561" s="5"/>
      <c r="M561" s="5"/>
      <c r="N561" s="117" t="str">
        <f>IF(_xlfn.XLOOKUP(L561, AutoFill_classes!A:A, AutoFill_classes!B:B,"")=0,"",_xlfn.XLOOKUP(L561, AutoFill_classes!A:A, AutoFill_classes!B:B,""))</f>
        <v/>
      </c>
      <c r="O561" s="108"/>
      <c r="P561" s="8"/>
      <c r="Q561" s="8"/>
      <c r="R561" s="8"/>
      <c r="S561" s="4"/>
      <c r="T561" s="4"/>
      <c r="U561" s="4"/>
      <c r="V561" s="4"/>
      <c r="W561" s="4"/>
      <c r="X561" s="64"/>
      <c r="Y561" s="25"/>
      <c r="Z561" s="121" t="str">
        <f t="shared" si="486"/>
        <v/>
      </c>
      <c r="AA561" s="26"/>
      <c r="AB561" s="26"/>
      <c r="AC561" s="28"/>
      <c r="AD561" s="28"/>
      <c r="AE561" s="125" t="str">
        <f t="shared" si="487"/>
        <v/>
      </c>
      <c r="AF561" s="9"/>
      <c r="AG561" s="125" t="str">
        <f t="shared" si="488"/>
        <v/>
      </c>
      <c r="AH561" s="28"/>
      <c r="AI561" s="28"/>
      <c r="AJ561" s="125" t="str">
        <f t="shared" si="489"/>
        <v/>
      </c>
      <c r="AK561" s="9"/>
      <c r="AL561" s="125" t="str">
        <f t="shared" si="490"/>
        <v/>
      </c>
      <c r="AM561" s="28"/>
      <c r="AN561" s="28"/>
      <c r="AO561" s="125" t="str">
        <f t="shared" si="491"/>
        <v/>
      </c>
      <c r="AP561" s="125" t="str">
        <f t="shared" si="492"/>
        <v/>
      </c>
      <c r="AQ561" s="125" t="str">
        <f t="shared" si="493"/>
        <v/>
      </c>
      <c r="AR561" s="129" t="str">
        <f t="shared" si="494"/>
        <v/>
      </c>
      <c r="AS561" s="9"/>
      <c r="AT561" s="34"/>
      <c r="AU561" s="34"/>
      <c r="AV561" s="117" t="str">
        <f>IF(_xlfn.XLOOKUP(AT561, AutoFill_classes!$A:$A, AutoFill_classes!$B:$B,"")=0,"",_xlfn.XLOOKUP(AT561, AutoFill_classes!$A:$A, AutoFill_classes!$B:$B,""))</f>
        <v/>
      </c>
      <c r="AW561" s="108"/>
      <c r="AX561" s="9"/>
      <c r="AY561" s="10"/>
      <c r="AZ561" s="9"/>
      <c r="BA561" s="10"/>
      <c r="BB561" s="10"/>
      <c r="BC561" s="64"/>
      <c r="BD561" s="25"/>
      <c r="BE561" s="121" t="str">
        <f t="shared" si="495"/>
        <v/>
      </c>
      <c r="BF561" s="20"/>
      <c r="BG561" s="20"/>
      <c r="BH561" s="24"/>
      <c r="BI561" s="24"/>
      <c r="BJ561" s="125" t="str">
        <f t="shared" si="496"/>
        <v/>
      </c>
      <c r="BK561" s="14"/>
      <c r="BL561" s="125" t="str">
        <f t="shared" si="497"/>
        <v/>
      </c>
      <c r="BM561" s="24"/>
      <c r="BN561" s="24"/>
      <c r="BO561" s="125" t="str">
        <f t="shared" si="498"/>
        <v/>
      </c>
      <c r="BP561" s="14"/>
      <c r="BQ561" s="125" t="str">
        <f t="shared" si="499"/>
        <v/>
      </c>
      <c r="BR561" s="24"/>
      <c r="BS561" s="24"/>
      <c r="BT561" s="125" t="str">
        <f t="shared" si="500"/>
        <v/>
      </c>
      <c r="BU561" s="125" t="str">
        <f t="shared" si="501"/>
        <v/>
      </c>
      <c r="BV561" s="125" t="str">
        <f t="shared" si="502"/>
        <v/>
      </c>
      <c r="BW561" s="129" t="str">
        <f t="shared" si="503"/>
        <v/>
      </c>
      <c r="BX561" s="9"/>
      <c r="BY561" s="9"/>
      <c r="BZ561" s="9"/>
      <c r="CA561" s="117" t="str">
        <f>IF(_xlfn.XLOOKUP(BY561, AutoFill_classes!$A:$A, AutoFill_classes!$B:$B,"")=0,"",_xlfn.XLOOKUP(BY561, AutoFill_classes!$A:$A, AutoFill_classes!$B:$B,""))</f>
        <v/>
      </c>
      <c r="CB561" s="108"/>
      <c r="CC561" s="9"/>
      <c r="CD561" s="9"/>
      <c r="CE561" s="9"/>
      <c r="CF561" s="4"/>
      <c r="CG561" s="25"/>
      <c r="CH561" s="64"/>
      <c r="CI561" s="27"/>
      <c r="CJ561" s="121" t="str">
        <f t="shared" si="504"/>
        <v/>
      </c>
      <c r="CK561" s="20"/>
      <c r="CL561" s="20"/>
      <c r="CM561" s="24"/>
      <c r="CN561" s="24"/>
      <c r="CO561" s="125" t="str">
        <f t="shared" si="505"/>
        <v/>
      </c>
      <c r="CP561" s="14"/>
      <c r="CQ561" s="125" t="str">
        <f t="shared" si="506"/>
        <v/>
      </c>
      <c r="CR561" s="24"/>
      <c r="CS561" s="24"/>
      <c r="CT561" s="125" t="str">
        <f t="shared" si="507"/>
        <v/>
      </c>
      <c r="CU561" s="14"/>
      <c r="CV561" s="125" t="str">
        <f t="shared" si="508"/>
        <v/>
      </c>
      <c r="CW561" s="24"/>
      <c r="CX561" s="24"/>
      <c r="CY561" s="125" t="str">
        <f t="shared" si="509"/>
        <v/>
      </c>
      <c r="CZ561" s="125" t="str">
        <f t="shared" si="510"/>
        <v/>
      </c>
      <c r="DA561" s="125" t="str">
        <f t="shared" si="511"/>
        <v/>
      </c>
      <c r="DB561" s="129" t="str">
        <f t="shared" si="512"/>
        <v/>
      </c>
      <c r="DC561" s="9"/>
      <c r="DD561" s="65"/>
      <c r="DE561" s="105">
        <v>557</v>
      </c>
    </row>
    <row r="562" spans="1:109" outlineLevel="1" x14ac:dyDescent="0.2">
      <c r="A562" s="4"/>
      <c r="B562" s="115" t="str">
        <f>IF(_xlfn.XLOOKUP(A562, AutoFill_names!B:B, AutoFill_names!C:C,"")=0,"",_xlfn.XLOOKUP(A562, AutoFill_names!B:B, AutoFill_names!C:C,""))</f>
        <v/>
      </c>
      <c r="C562" s="115" t="str">
        <f>IF(_xlfn.XLOOKUP(A562, AutoFill_names!B:B, AutoFill_names!D:D,"")=0,"",_xlfn.XLOOKUP(A562, AutoFill_names!B:B, AutoFill_names!D:D,""))</f>
        <v/>
      </c>
      <c r="D562" s="115" t="str">
        <f>IF(_xlfn.XLOOKUP(A562, AutoFill_names!B:B, AutoFill_names!E:E,"")=0,"",_xlfn.XLOOKUP(A562, AutoFill_names!B:B, AutoFill_names!E:E,""))</f>
        <v/>
      </c>
      <c r="E562" s="115" t="str">
        <f>IF(_xlfn.XLOOKUP(A562, AutoFill_names!B:B, AutoFill_names!F:F,"")=0,"",_xlfn.XLOOKUP(A562, AutoFill_names!B:B, AutoFill_names!F:F,""))</f>
        <v/>
      </c>
      <c r="F562" s="92"/>
      <c r="G562" s="1"/>
      <c r="H562" s="1"/>
      <c r="I562" s="1"/>
      <c r="J562" s="115" t="str">
        <f>IF(_xlfn.XLOOKUP(A562, AutoFill_names!B:B, AutoFill_names!K:K,"")=0,"",_xlfn.XLOOKUP(A562, AutoFill_names!B:B, AutoFill_names!K:K,""))</f>
        <v/>
      </c>
      <c r="K562" s="115" t="str">
        <f>IF(_xlfn.XLOOKUP(A562, AutoFill_names!B:B, AutoFill_names!L:L,"")=0,"",_xlfn.XLOOKUP(A562, AutoFill_names!B:B, AutoFill_names!L:L,""))</f>
        <v/>
      </c>
      <c r="L562" s="5"/>
      <c r="M562" s="5"/>
      <c r="N562" s="117" t="str">
        <f>IF(_xlfn.XLOOKUP(L562, AutoFill_classes!A:A, AutoFill_classes!B:B,"")=0,"",_xlfn.XLOOKUP(L562, AutoFill_classes!A:A, AutoFill_classes!B:B,""))</f>
        <v/>
      </c>
      <c r="O562" s="108"/>
      <c r="P562" s="8"/>
      <c r="Q562" s="8"/>
      <c r="R562" s="8"/>
      <c r="S562" s="4"/>
      <c r="T562" s="4"/>
      <c r="U562" s="4"/>
      <c r="V562" s="4"/>
      <c r="W562" s="4"/>
      <c r="X562" s="64"/>
      <c r="Y562" s="25"/>
      <c r="Z562" s="121" t="str">
        <f t="shared" si="486"/>
        <v/>
      </c>
      <c r="AA562" s="26"/>
      <c r="AB562" s="26"/>
      <c r="AC562" s="28"/>
      <c r="AD562" s="28"/>
      <c r="AE562" s="125" t="str">
        <f t="shared" si="487"/>
        <v/>
      </c>
      <c r="AF562" s="9"/>
      <c r="AG562" s="125" t="str">
        <f t="shared" si="488"/>
        <v/>
      </c>
      <c r="AH562" s="28"/>
      <c r="AI562" s="28"/>
      <c r="AJ562" s="125" t="str">
        <f t="shared" si="489"/>
        <v/>
      </c>
      <c r="AK562" s="9"/>
      <c r="AL562" s="125" t="str">
        <f t="shared" si="490"/>
        <v/>
      </c>
      <c r="AM562" s="28"/>
      <c r="AN562" s="28"/>
      <c r="AO562" s="125" t="str">
        <f t="shared" si="491"/>
        <v/>
      </c>
      <c r="AP562" s="125" t="str">
        <f t="shared" si="492"/>
        <v/>
      </c>
      <c r="AQ562" s="125" t="str">
        <f t="shared" si="493"/>
        <v/>
      </c>
      <c r="AR562" s="129" t="str">
        <f t="shared" si="494"/>
        <v/>
      </c>
      <c r="AS562" s="9"/>
      <c r="AT562" s="34"/>
      <c r="AU562" s="34"/>
      <c r="AV562" s="117" t="str">
        <f>IF(_xlfn.XLOOKUP(AT562, AutoFill_classes!$A:$A, AutoFill_classes!$B:$B,"")=0,"",_xlfn.XLOOKUP(AT562, AutoFill_classes!$A:$A, AutoFill_classes!$B:$B,""))</f>
        <v/>
      </c>
      <c r="AW562" s="108"/>
      <c r="AX562" s="9"/>
      <c r="AY562" s="10"/>
      <c r="AZ562" s="9"/>
      <c r="BA562" s="10"/>
      <c r="BB562" s="10"/>
      <c r="BC562" s="64"/>
      <c r="BD562" s="25"/>
      <c r="BE562" s="121" t="str">
        <f t="shared" si="495"/>
        <v/>
      </c>
      <c r="BF562" s="20"/>
      <c r="BG562" s="20"/>
      <c r="BH562" s="24"/>
      <c r="BI562" s="24"/>
      <c r="BJ562" s="125" t="str">
        <f t="shared" si="496"/>
        <v/>
      </c>
      <c r="BK562" s="14"/>
      <c r="BL562" s="125" t="str">
        <f t="shared" si="497"/>
        <v/>
      </c>
      <c r="BM562" s="24"/>
      <c r="BN562" s="24"/>
      <c r="BO562" s="125" t="str">
        <f t="shared" si="498"/>
        <v/>
      </c>
      <c r="BP562" s="14"/>
      <c r="BQ562" s="125" t="str">
        <f t="shared" si="499"/>
        <v/>
      </c>
      <c r="BR562" s="24"/>
      <c r="BS562" s="24"/>
      <c r="BT562" s="125" t="str">
        <f t="shared" si="500"/>
        <v/>
      </c>
      <c r="BU562" s="125" t="str">
        <f t="shared" si="501"/>
        <v/>
      </c>
      <c r="BV562" s="125" t="str">
        <f t="shared" si="502"/>
        <v/>
      </c>
      <c r="BW562" s="129" t="str">
        <f t="shared" si="503"/>
        <v/>
      </c>
      <c r="BX562" s="9"/>
      <c r="BY562" s="9"/>
      <c r="BZ562" s="9"/>
      <c r="CA562" s="117" t="str">
        <f>IF(_xlfn.XLOOKUP(BY562, AutoFill_classes!$A:$A, AutoFill_classes!$B:$B,"")=0,"",_xlfn.XLOOKUP(BY562, AutoFill_classes!$A:$A, AutoFill_classes!$B:$B,""))</f>
        <v/>
      </c>
      <c r="CB562" s="108"/>
      <c r="CC562" s="9"/>
      <c r="CD562" s="9"/>
      <c r="CE562" s="9"/>
      <c r="CF562" s="4"/>
      <c r="CG562" s="25"/>
      <c r="CH562" s="64"/>
      <c r="CI562" s="27"/>
      <c r="CJ562" s="121" t="str">
        <f t="shared" si="504"/>
        <v/>
      </c>
      <c r="CK562" s="20"/>
      <c r="CL562" s="20"/>
      <c r="CM562" s="24"/>
      <c r="CN562" s="24"/>
      <c r="CO562" s="125" t="str">
        <f t="shared" si="505"/>
        <v/>
      </c>
      <c r="CP562" s="14"/>
      <c r="CQ562" s="125" t="str">
        <f t="shared" si="506"/>
        <v/>
      </c>
      <c r="CR562" s="24"/>
      <c r="CS562" s="24"/>
      <c r="CT562" s="125" t="str">
        <f t="shared" si="507"/>
        <v/>
      </c>
      <c r="CU562" s="14"/>
      <c r="CV562" s="125" t="str">
        <f t="shared" si="508"/>
        <v/>
      </c>
      <c r="CW562" s="24"/>
      <c r="CX562" s="24"/>
      <c r="CY562" s="125" t="str">
        <f t="shared" si="509"/>
        <v/>
      </c>
      <c r="CZ562" s="125" t="str">
        <f t="shared" si="510"/>
        <v/>
      </c>
      <c r="DA562" s="125" t="str">
        <f t="shared" si="511"/>
        <v/>
      </c>
      <c r="DB562" s="129" t="str">
        <f t="shared" si="512"/>
        <v/>
      </c>
      <c r="DC562" s="9"/>
      <c r="DD562" s="65"/>
      <c r="DE562" s="105">
        <v>558</v>
      </c>
    </row>
    <row r="563" spans="1:109" outlineLevel="1" x14ac:dyDescent="0.2">
      <c r="A563" s="4"/>
      <c r="B563" s="115" t="str">
        <f>IF(_xlfn.XLOOKUP(A563, AutoFill_names!B:B, AutoFill_names!C:C,"")=0,"",_xlfn.XLOOKUP(A563, AutoFill_names!B:B, AutoFill_names!C:C,""))</f>
        <v/>
      </c>
      <c r="C563" s="115" t="str">
        <f>IF(_xlfn.XLOOKUP(A563, AutoFill_names!B:B, AutoFill_names!D:D,"")=0,"",_xlfn.XLOOKUP(A563, AutoFill_names!B:B, AutoFill_names!D:D,""))</f>
        <v/>
      </c>
      <c r="D563" s="115" t="str">
        <f>IF(_xlfn.XLOOKUP(A563, AutoFill_names!B:B, AutoFill_names!E:E,"")=0,"",_xlfn.XLOOKUP(A563, AutoFill_names!B:B, AutoFill_names!E:E,""))</f>
        <v/>
      </c>
      <c r="E563" s="115" t="str">
        <f>IF(_xlfn.XLOOKUP(A563, AutoFill_names!B:B, AutoFill_names!F:F,"")=0,"",_xlfn.XLOOKUP(A563, AutoFill_names!B:B, AutoFill_names!F:F,""))</f>
        <v/>
      </c>
      <c r="F563" s="92"/>
      <c r="G563" s="1"/>
      <c r="H563" s="1"/>
      <c r="I563" s="1"/>
      <c r="J563" s="115" t="str">
        <f>IF(_xlfn.XLOOKUP(A563, AutoFill_names!B:B, AutoFill_names!K:K,"")=0,"",_xlfn.XLOOKUP(A563, AutoFill_names!B:B, AutoFill_names!K:K,""))</f>
        <v/>
      </c>
      <c r="K563" s="115" t="str">
        <f>IF(_xlfn.XLOOKUP(A563, AutoFill_names!B:B, AutoFill_names!L:L,"")=0,"",_xlfn.XLOOKUP(A563, AutoFill_names!B:B, AutoFill_names!L:L,""))</f>
        <v/>
      </c>
      <c r="L563" s="5"/>
      <c r="M563" s="5"/>
      <c r="N563" s="117" t="str">
        <f>IF(_xlfn.XLOOKUP(L563, AutoFill_classes!A:A, AutoFill_classes!B:B,"")=0,"",_xlfn.XLOOKUP(L563, AutoFill_classes!A:A, AutoFill_classes!B:B,""))</f>
        <v/>
      </c>
      <c r="O563" s="108"/>
      <c r="P563" s="8"/>
      <c r="Q563" s="8"/>
      <c r="R563" s="8"/>
      <c r="S563" s="4"/>
      <c r="T563" s="4"/>
      <c r="U563" s="4"/>
      <c r="V563" s="4"/>
      <c r="W563" s="4"/>
      <c r="X563" s="64"/>
      <c r="Y563" s="25"/>
      <c r="Z563" s="121" t="str">
        <f t="shared" si="486"/>
        <v/>
      </c>
      <c r="AA563" s="26"/>
      <c r="AB563" s="26"/>
      <c r="AC563" s="28"/>
      <c r="AD563" s="28"/>
      <c r="AE563" s="125" t="str">
        <f t="shared" si="487"/>
        <v/>
      </c>
      <c r="AF563" s="9"/>
      <c r="AG563" s="125" t="str">
        <f t="shared" si="488"/>
        <v/>
      </c>
      <c r="AH563" s="28"/>
      <c r="AI563" s="28"/>
      <c r="AJ563" s="125" t="str">
        <f t="shared" si="489"/>
        <v/>
      </c>
      <c r="AK563" s="9"/>
      <c r="AL563" s="125" t="str">
        <f t="shared" si="490"/>
        <v/>
      </c>
      <c r="AM563" s="28"/>
      <c r="AN563" s="28"/>
      <c r="AO563" s="125" t="str">
        <f t="shared" si="491"/>
        <v/>
      </c>
      <c r="AP563" s="125" t="str">
        <f t="shared" si="492"/>
        <v/>
      </c>
      <c r="AQ563" s="125" t="str">
        <f t="shared" si="493"/>
        <v/>
      </c>
      <c r="AR563" s="129" t="str">
        <f t="shared" si="494"/>
        <v/>
      </c>
      <c r="AS563" s="9"/>
      <c r="AT563" s="34"/>
      <c r="AU563" s="34"/>
      <c r="AV563" s="117" t="str">
        <f>IF(_xlfn.XLOOKUP(AT563, AutoFill_classes!$A:$A, AutoFill_classes!$B:$B,"")=0,"",_xlfn.XLOOKUP(AT563, AutoFill_classes!$A:$A, AutoFill_classes!$B:$B,""))</f>
        <v/>
      </c>
      <c r="AW563" s="108"/>
      <c r="AX563" s="9"/>
      <c r="AY563" s="10"/>
      <c r="AZ563" s="9"/>
      <c r="BA563" s="10"/>
      <c r="BB563" s="10"/>
      <c r="BC563" s="64"/>
      <c r="BD563" s="25"/>
      <c r="BE563" s="121" t="str">
        <f t="shared" si="495"/>
        <v/>
      </c>
      <c r="BF563" s="20"/>
      <c r="BG563" s="20"/>
      <c r="BH563" s="24"/>
      <c r="BI563" s="24"/>
      <c r="BJ563" s="125" t="str">
        <f t="shared" si="496"/>
        <v/>
      </c>
      <c r="BK563" s="14"/>
      <c r="BL563" s="125" t="str">
        <f t="shared" si="497"/>
        <v/>
      </c>
      <c r="BM563" s="24"/>
      <c r="BN563" s="24"/>
      <c r="BO563" s="125" t="str">
        <f t="shared" si="498"/>
        <v/>
      </c>
      <c r="BP563" s="14"/>
      <c r="BQ563" s="125" t="str">
        <f t="shared" si="499"/>
        <v/>
      </c>
      <c r="BR563" s="24"/>
      <c r="BS563" s="24"/>
      <c r="BT563" s="125" t="str">
        <f t="shared" si="500"/>
        <v/>
      </c>
      <c r="BU563" s="125" t="str">
        <f t="shared" si="501"/>
        <v/>
      </c>
      <c r="BV563" s="125" t="str">
        <f t="shared" si="502"/>
        <v/>
      </c>
      <c r="BW563" s="129" t="str">
        <f t="shared" si="503"/>
        <v/>
      </c>
      <c r="BX563" s="9"/>
      <c r="BY563" s="9"/>
      <c r="BZ563" s="9"/>
      <c r="CA563" s="117" t="str">
        <f>IF(_xlfn.XLOOKUP(BY563, AutoFill_classes!$A:$A, AutoFill_classes!$B:$B,"")=0,"",_xlfn.XLOOKUP(BY563, AutoFill_classes!$A:$A, AutoFill_classes!$B:$B,""))</f>
        <v/>
      </c>
      <c r="CB563" s="108"/>
      <c r="CC563" s="9"/>
      <c r="CD563" s="9"/>
      <c r="CE563" s="9"/>
      <c r="CF563" s="4"/>
      <c r="CG563" s="25"/>
      <c r="CH563" s="64"/>
      <c r="CI563" s="27"/>
      <c r="CJ563" s="121" t="str">
        <f t="shared" si="504"/>
        <v/>
      </c>
      <c r="CK563" s="20"/>
      <c r="CL563" s="20"/>
      <c r="CM563" s="24"/>
      <c r="CN563" s="24"/>
      <c r="CO563" s="125" t="str">
        <f t="shared" si="505"/>
        <v/>
      </c>
      <c r="CP563" s="14"/>
      <c r="CQ563" s="125" t="str">
        <f t="shared" si="506"/>
        <v/>
      </c>
      <c r="CR563" s="24"/>
      <c r="CS563" s="24"/>
      <c r="CT563" s="125" t="str">
        <f t="shared" si="507"/>
        <v/>
      </c>
      <c r="CU563" s="14"/>
      <c r="CV563" s="125" t="str">
        <f t="shared" si="508"/>
        <v/>
      </c>
      <c r="CW563" s="24"/>
      <c r="CX563" s="24"/>
      <c r="CY563" s="125" t="str">
        <f t="shared" si="509"/>
        <v/>
      </c>
      <c r="CZ563" s="125" t="str">
        <f t="shared" si="510"/>
        <v/>
      </c>
      <c r="DA563" s="125" t="str">
        <f t="shared" si="511"/>
        <v/>
      </c>
      <c r="DB563" s="129" t="str">
        <f t="shared" si="512"/>
        <v/>
      </c>
      <c r="DC563" s="9"/>
      <c r="DD563" s="65"/>
      <c r="DE563" s="105">
        <v>559</v>
      </c>
    </row>
    <row r="564" spans="1:109" outlineLevel="1" x14ac:dyDescent="0.2">
      <c r="A564" s="4"/>
      <c r="B564" s="115" t="str">
        <f>IF(_xlfn.XLOOKUP(A564, AutoFill_names!B:B, AutoFill_names!C:C,"")=0,"",_xlfn.XLOOKUP(A564, AutoFill_names!B:B, AutoFill_names!C:C,""))</f>
        <v/>
      </c>
      <c r="C564" s="115" t="str">
        <f>IF(_xlfn.XLOOKUP(A564, AutoFill_names!B:B, AutoFill_names!D:D,"")=0,"",_xlfn.XLOOKUP(A564, AutoFill_names!B:B, AutoFill_names!D:D,""))</f>
        <v/>
      </c>
      <c r="D564" s="115" t="str">
        <f>IF(_xlfn.XLOOKUP(A564, AutoFill_names!B:B, AutoFill_names!E:E,"")=0,"",_xlfn.XLOOKUP(A564, AutoFill_names!B:B, AutoFill_names!E:E,""))</f>
        <v/>
      </c>
      <c r="E564" s="115" t="str">
        <f>IF(_xlfn.XLOOKUP(A564, AutoFill_names!B:B, AutoFill_names!F:F,"")=0,"",_xlfn.XLOOKUP(A564, AutoFill_names!B:B, AutoFill_names!F:F,""))</f>
        <v/>
      </c>
      <c r="F564" s="92"/>
      <c r="G564" s="1"/>
      <c r="H564" s="1"/>
      <c r="I564" s="1"/>
      <c r="J564" s="115" t="str">
        <f>IF(_xlfn.XLOOKUP(A564, AutoFill_names!B:B, AutoFill_names!K:K,"")=0,"",_xlfn.XLOOKUP(A564, AutoFill_names!B:B, AutoFill_names!K:K,""))</f>
        <v/>
      </c>
      <c r="K564" s="115" t="str">
        <f>IF(_xlfn.XLOOKUP(A564, AutoFill_names!B:B, AutoFill_names!L:L,"")=0,"",_xlfn.XLOOKUP(A564, AutoFill_names!B:B, AutoFill_names!L:L,""))</f>
        <v/>
      </c>
      <c r="L564" s="5"/>
      <c r="M564" s="5"/>
      <c r="N564" s="117" t="str">
        <f>IF(_xlfn.XLOOKUP(L564, AutoFill_classes!A:A, AutoFill_classes!B:B,"")=0,"",_xlfn.XLOOKUP(L564, AutoFill_classes!A:A, AutoFill_classes!B:B,""))</f>
        <v/>
      </c>
      <c r="O564" s="108"/>
      <c r="P564" s="8"/>
      <c r="Q564" s="8"/>
      <c r="R564" s="8"/>
      <c r="S564" s="4"/>
      <c r="T564" s="4"/>
      <c r="U564" s="4"/>
      <c r="V564" s="4"/>
      <c r="W564" s="4"/>
      <c r="X564" s="64"/>
      <c r="Y564" s="25"/>
      <c r="Z564" s="121" t="str">
        <f t="shared" si="486"/>
        <v/>
      </c>
      <c r="AA564" s="26"/>
      <c r="AB564" s="26"/>
      <c r="AC564" s="28"/>
      <c r="AD564" s="28"/>
      <c r="AE564" s="125" t="str">
        <f t="shared" si="487"/>
        <v/>
      </c>
      <c r="AF564" s="9"/>
      <c r="AG564" s="125" t="str">
        <f t="shared" si="488"/>
        <v/>
      </c>
      <c r="AH564" s="28"/>
      <c r="AI564" s="28"/>
      <c r="AJ564" s="125" t="str">
        <f t="shared" si="489"/>
        <v/>
      </c>
      <c r="AK564" s="9"/>
      <c r="AL564" s="125" t="str">
        <f t="shared" si="490"/>
        <v/>
      </c>
      <c r="AM564" s="28"/>
      <c r="AN564" s="28"/>
      <c r="AO564" s="125" t="str">
        <f t="shared" si="491"/>
        <v/>
      </c>
      <c r="AP564" s="125" t="str">
        <f t="shared" si="492"/>
        <v/>
      </c>
      <c r="AQ564" s="125" t="str">
        <f t="shared" si="493"/>
        <v/>
      </c>
      <c r="AR564" s="129" t="str">
        <f t="shared" si="494"/>
        <v/>
      </c>
      <c r="AS564" s="9"/>
      <c r="AT564" s="34"/>
      <c r="AU564" s="34"/>
      <c r="AV564" s="117" t="str">
        <f>IF(_xlfn.XLOOKUP(AT564, AutoFill_classes!$A:$A, AutoFill_classes!$B:$B,"")=0,"",_xlfn.XLOOKUP(AT564, AutoFill_classes!$A:$A, AutoFill_classes!$B:$B,""))</f>
        <v/>
      </c>
      <c r="AW564" s="108"/>
      <c r="AX564" s="9"/>
      <c r="AY564" s="10"/>
      <c r="AZ564" s="9"/>
      <c r="BA564" s="10"/>
      <c r="BB564" s="10"/>
      <c r="BC564" s="64"/>
      <c r="BD564" s="25"/>
      <c r="BE564" s="121" t="str">
        <f t="shared" si="495"/>
        <v/>
      </c>
      <c r="BF564" s="20"/>
      <c r="BG564" s="20"/>
      <c r="BH564" s="24"/>
      <c r="BI564" s="24"/>
      <c r="BJ564" s="125" t="str">
        <f t="shared" si="496"/>
        <v/>
      </c>
      <c r="BK564" s="14"/>
      <c r="BL564" s="125" t="str">
        <f t="shared" si="497"/>
        <v/>
      </c>
      <c r="BM564" s="24"/>
      <c r="BN564" s="24"/>
      <c r="BO564" s="125" t="str">
        <f t="shared" si="498"/>
        <v/>
      </c>
      <c r="BP564" s="14"/>
      <c r="BQ564" s="125" t="str">
        <f t="shared" si="499"/>
        <v/>
      </c>
      <c r="BR564" s="24"/>
      <c r="BS564" s="24"/>
      <c r="BT564" s="125" t="str">
        <f t="shared" si="500"/>
        <v/>
      </c>
      <c r="BU564" s="125" t="str">
        <f t="shared" si="501"/>
        <v/>
      </c>
      <c r="BV564" s="125" t="str">
        <f t="shared" si="502"/>
        <v/>
      </c>
      <c r="BW564" s="129" t="str">
        <f t="shared" si="503"/>
        <v/>
      </c>
      <c r="BX564" s="9"/>
      <c r="BY564" s="9"/>
      <c r="BZ564" s="9"/>
      <c r="CA564" s="117" t="str">
        <f>IF(_xlfn.XLOOKUP(BY564, AutoFill_classes!$A:$A, AutoFill_classes!$B:$B,"")=0,"",_xlfn.XLOOKUP(BY564, AutoFill_classes!$A:$A, AutoFill_classes!$B:$B,""))</f>
        <v/>
      </c>
      <c r="CB564" s="108"/>
      <c r="CC564" s="9"/>
      <c r="CD564" s="9"/>
      <c r="CE564" s="9"/>
      <c r="CF564" s="4"/>
      <c r="CG564" s="25"/>
      <c r="CH564" s="64"/>
      <c r="CI564" s="27"/>
      <c r="CJ564" s="121" t="str">
        <f t="shared" si="504"/>
        <v/>
      </c>
      <c r="CK564" s="20"/>
      <c r="CL564" s="20"/>
      <c r="CM564" s="24"/>
      <c r="CN564" s="24"/>
      <c r="CO564" s="125" t="str">
        <f t="shared" si="505"/>
        <v/>
      </c>
      <c r="CP564" s="14"/>
      <c r="CQ564" s="125" t="str">
        <f t="shared" si="506"/>
        <v/>
      </c>
      <c r="CR564" s="24"/>
      <c r="CS564" s="24"/>
      <c r="CT564" s="125" t="str">
        <f t="shared" si="507"/>
        <v/>
      </c>
      <c r="CU564" s="14"/>
      <c r="CV564" s="125" t="str">
        <f t="shared" si="508"/>
        <v/>
      </c>
      <c r="CW564" s="24"/>
      <c r="CX564" s="24"/>
      <c r="CY564" s="125" t="str">
        <f t="shared" si="509"/>
        <v/>
      </c>
      <c r="CZ564" s="125" t="str">
        <f t="shared" si="510"/>
        <v/>
      </c>
      <c r="DA564" s="125" t="str">
        <f t="shared" si="511"/>
        <v/>
      </c>
      <c r="DB564" s="129" t="str">
        <f t="shared" si="512"/>
        <v/>
      </c>
      <c r="DC564" s="9"/>
      <c r="DD564" s="65"/>
      <c r="DE564" s="105">
        <v>560</v>
      </c>
    </row>
    <row r="565" spans="1:109" outlineLevel="1" x14ac:dyDescent="0.2">
      <c r="A565" s="4"/>
      <c r="B565" s="115" t="str">
        <f>IF(_xlfn.XLOOKUP(A565, AutoFill_names!B:B, AutoFill_names!C:C,"")=0,"",_xlfn.XLOOKUP(A565, AutoFill_names!B:B, AutoFill_names!C:C,""))</f>
        <v/>
      </c>
      <c r="C565" s="115" t="str">
        <f>IF(_xlfn.XLOOKUP(A565, AutoFill_names!B:B, AutoFill_names!D:D,"")=0,"",_xlfn.XLOOKUP(A565, AutoFill_names!B:B, AutoFill_names!D:D,""))</f>
        <v/>
      </c>
      <c r="D565" s="115" t="str">
        <f>IF(_xlfn.XLOOKUP(A565, AutoFill_names!B:B, AutoFill_names!E:E,"")=0,"",_xlfn.XLOOKUP(A565, AutoFill_names!B:B, AutoFill_names!E:E,""))</f>
        <v/>
      </c>
      <c r="E565" s="115" t="str">
        <f>IF(_xlfn.XLOOKUP(A565, AutoFill_names!B:B, AutoFill_names!F:F,"")=0,"",_xlfn.XLOOKUP(A565, AutoFill_names!B:B, AutoFill_names!F:F,""))</f>
        <v/>
      </c>
      <c r="F565" s="92"/>
      <c r="G565" s="1"/>
      <c r="H565" s="1"/>
      <c r="I565" s="1"/>
      <c r="J565" s="115" t="str">
        <f>IF(_xlfn.XLOOKUP(A565, AutoFill_names!B:B, AutoFill_names!K:K,"")=0,"",_xlfn.XLOOKUP(A565, AutoFill_names!B:B, AutoFill_names!K:K,""))</f>
        <v/>
      </c>
      <c r="K565" s="115" t="str">
        <f>IF(_xlfn.XLOOKUP(A565, AutoFill_names!B:B, AutoFill_names!L:L,"")=0,"",_xlfn.XLOOKUP(A565, AutoFill_names!B:B, AutoFill_names!L:L,""))</f>
        <v/>
      </c>
      <c r="L565" s="5"/>
      <c r="M565" s="5"/>
      <c r="N565" s="117" t="str">
        <f>IF(_xlfn.XLOOKUP(L565, AutoFill_classes!A:A, AutoFill_classes!B:B,"")=0,"",_xlfn.XLOOKUP(L565, AutoFill_classes!A:A, AutoFill_classes!B:B,""))</f>
        <v/>
      </c>
      <c r="O565" s="108"/>
      <c r="P565" s="8"/>
      <c r="Q565" s="8"/>
      <c r="R565" s="8"/>
      <c r="S565" s="4"/>
      <c r="T565" s="4"/>
      <c r="U565" s="4"/>
      <c r="V565" s="4"/>
      <c r="W565" s="4"/>
      <c r="X565" s="64"/>
      <c r="Y565" s="25"/>
      <c r="Z565" s="121" t="str">
        <f t="shared" si="486"/>
        <v/>
      </c>
      <c r="AA565" s="26"/>
      <c r="AB565" s="26"/>
      <c r="AC565" s="28"/>
      <c r="AD565" s="28"/>
      <c r="AE565" s="125" t="str">
        <f t="shared" si="487"/>
        <v/>
      </c>
      <c r="AF565" s="9"/>
      <c r="AG565" s="125" t="str">
        <f t="shared" si="488"/>
        <v/>
      </c>
      <c r="AH565" s="28"/>
      <c r="AI565" s="28"/>
      <c r="AJ565" s="125" t="str">
        <f t="shared" si="489"/>
        <v/>
      </c>
      <c r="AK565" s="9"/>
      <c r="AL565" s="125" t="str">
        <f t="shared" si="490"/>
        <v/>
      </c>
      <c r="AM565" s="28"/>
      <c r="AN565" s="28"/>
      <c r="AO565" s="125" t="str">
        <f t="shared" si="491"/>
        <v/>
      </c>
      <c r="AP565" s="125" t="str">
        <f t="shared" si="492"/>
        <v/>
      </c>
      <c r="AQ565" s="125" t="str">
        <f t="shared" si="493"/>
        <v/>
      </c>
      <c r="AR565" s="129" t="str">
        <f t="shared" si="494"/>
        <v/>
      </c>
      <c r="AS565" s="9"/>
      <c r="AT565" s="34"/>
      <c r="AU565" s="34"/>
      <c r="AV565" s="117" t="str">
        <f>IF(_xlfn.XLOOKUP(AT565, AutoFill_classes!$A:$A, AutoFill_classes!$B:$B,"")=0,"",_xlfn.XLOOKUP(AT565, AutoFill_classes!$A:$A, AutoFill_classes!$B:$B,""))</f>
        <v/>
      </c>
      <c r="AW565" s="108"/>
      <c r="AX565" s="9"/>
      <c r="AY565" s="10"/>
      <c r="AZ565" s="9"/>
      <c r="BA565" s="10"/>
      <c r="BB565" s="10"/>
      <c r="BC565" s="64"/>
      <c r="BD565" s="25"/>
      <c r="BE565" s="121" t="str">
        <f t="shared" si="495"/>
        <v/>
      </c>
      <c r="BF565" s="20"/>
      <c r="BG565" s="20"/>
      <c r="BH565" s="24"/>
      <c r="BI565" s="24"/>
      <c r="BJ565" s="125" t="str">
        <f t="shared" si="496"/>
        <v/>
      </c>
      <c r="BK565" s="14"/>
      <c r="BL565" s="125" t="str">
        <f t="shared" si="497"/>
        <v/>
      </c>
      <c r="BM565" s="24"/>
      <c r="BN565" s="24"/>
      <c r="BO565" s="125" t="str">
        <f t="shared" si="498"/>
        <v/>
      </c>
      <c r="BP565" s="14"/>
      <c r="BQ565" s="125" t="str">
        <f t="shared" si="499"/>
        <v/>
      </c>
      <c r="BR565" s="24"/>
      <c r="BS565" s="24"/>
      <c r="BT565" s="125" t="str">
        <f t="shared" si="500"/>
        <v/>
      </c>
      <c r="BU565" s="125" t="str">
        <f t="shared" si="501"/>
        <v/>
      </c>
      <c r="BV565" s="125" t="str">
        <f t="shared" si="502"/>
        <v/>
      </c>
      <c r="BW565" s="129" t="str">
        <f t="shared" si="503"/>
        <v/>
      </c>
      <c r="BX565" s="9"/>
      <c r="BY565" s="9"/>
      <c r="BZ565" s="9"/>
      <c r="CA565" s="117" t="str">
        <f>IF(_xlfn.XLOOKUP(BY565, AutoFill_classes!$A:$A, AutoFill_classes!$B:$B,"")=0,"",_xlfn.XLOOKUP(BY565, AutoFill_classes!$A:$A, AutoFill_classes!$B:$B,""))</f>
        <v/>
      </c>
      <c r="CB565" s="108"/>
      <c r="CC565" s="9"/>
      <c r="CD565" s="9"/>
      <c r="CE565" s="9"/>
      <c r="CF565" s="4"/>
      <c r="CG565" s="25"/>
      <c r="CH565" s="64"/>
      <c r="CI565" s="27"/>
      <c r="CJ565" s="121" t="str">
        <f t="shared" si="504"/>
        <v/>
      </c>
      <c r="CK565" s="20"/>
      <c r="CL565" s="20"/>
      <c r="CM565" s="24"/>
      <c r="CN565" s="24"/>
      <c r="CO565" s="125" t="str">
        <f t="shared" si="505"/>
        <v/>
      </c>
      <c r="CP565" s="14"/>
      <c r="CQ565" s="125" t="str">
        <f t="shared" si="506"/>
        <v/>
      </c>
      <c r="CR565" s="24"/>
      <c r="CS565" s="24"/>
      <c r="CT565" s="125" t="str">
        <f t="shared" si="507"/>
        <v/>
      </c>
      <c r="CU565" s="14"/>
      <c r="CV565" s="125" t="str">
        <f t="shared" si="508"/>
        <v/>
      </c>
      <c r="CW565" s="24"/>
      <c r="CX565" s="24"/>
      <c r="CY565" s="125" t="str">
        <f t="shared" si="509"/>
        <v/>
      </c>
      <c r="CZ565" s="125" t="str">
        <f t="shared" si="510"/>
        <v/>
      </c>
      <c r="DA565" s="125" t="str">
        <f t="shared" si="511"/>
        <v/>
      </c>
      <c r="DB565" s="129" t="str">
        <f t="shared" si="512"/>
        <v/>
      </c>
      <c r="DC565" s="9"/>
      <c r="DD565" s="65"/>
      <c r="DE565" s="105">
        <v>561</v>
      </c>
    </row>
    <row r="566" spans="1:109" outlineLevel="1" x14ac:dyDescent="0.2">
      <c r="A566" s="4"/>
      <c r="B566" s="115" t="str">
        <f>IF(_xlfn.XLOOKUP(A566, AutoFill_names!B:B, AutoFill_names!C:C,"")=0,"",_xlfn.XLOOKUP(A566, AutoFill_names!B:B, AutoFill_names!C:C,""))</f>
        <v/>
      </c>
      <c r="C566" s="115" t="str">
        <f>IF(_xlfn.XLOOKUP(A566, AutoFill_names!B:B, AutoFill_names!D:D,"")=0,"",_xlfn.XLOOKUP(A566, AutoFill_names!B:B, AutoFill_names!D:D,""))</f>
        <v/>
      </c>
      <c r="D566" s="115" t="str">
        <f>IF(_xlfn.XLOOKUP(A566, AutoFill_names!B:B, AutoFill_names!E:E,"")=0,"",_xlfn.XLOOKUP(A566, AutoFill_names!B:B, AutoFill_names!E:E,""))</f>
        <v/>
      </c>
      <c r="E566" s="115" t="str">
        <f>IF(_xlfn.XLOOKUP(A566, AutoFill_names!B:B, AutoFill_names!F:F,"")=0,"",_xlfn.XLOOKUP(A566, AutoFill_names!B:B, AutoFill_names!F:F,""))</f>
        <v/>
      </c>
      <c r="F566" s="92"/>
      <c r="G566" s="1"/>
      <c r="H566" s="1"/>
      <c r="I566" s="1"/>
      <c r="J566" s="115" t="str">
        <f>IF(_xlfn.XLOOKUP(A566, AutoFill_names!B:B, AutoFill_names!K:K,"")=0,"",_xlfn.XLOOKUP(A566, AutoFill_names!B:B, AutoFill_names!K:K,""))</f>
        <v/>
      </c>
      <c r="K566" s="115" t="str">
        <f>IF(_xlfn.XLOOKUP(A566, AutoFill_names!B:B, AutoFill_names!L:L,"")=0,"",_xlfn.XLOOKUP(A566, AutoFill_names!B:B, AutoFill_names!L:L,""))</f>
        <v/>
      </c>
      <c r="L566" s="5"/>
      <c r="M566" s="5"/>
      <c r="N566" s="117" t="str">
        <f>IF(_xlfn.XLOOKUP(L566, AutoFill_classes!A:A, AutoFill_classes!B:B,"")=0,"",_xlfn.XLOOKUP(L566, AutoFill_classes!A:A, AutoFill_classes!B:B,""))</f>
        <v/>
      </c>
      <c r="O566" s="108"/>
      <c r="P566" s="8"/>
      <c r="Q566" s="8"/>
      <c r="R566" s="8"/>
      <c r="S566" s="4"/>
      <c r="T566" s="4"/>
      <c r="U566" s="4"/>
      <c r="V566" s="4"/>
      <c r="W566" s="4"/>
      <c r="X566" s="64"/>
      <c r="Y566" s="25"/>
      <c r="Z566" s="121" t="str">
        <f t="shared" si="486"/>
        <v/>
      </c>
      <c r="AA566" s="26"/>
      <c r="AB566" s="26"/>
      <c r="AC566" s="28"/>
      <c r="AD566" s="28"/>
      <c r="AE566" s="125" t="str">
        <f t="shared" si="487"/>
        <v/>
      </c>
      <c r="AF566" s="9"/>
      <c r="AG566" s="125" t="str">
        <f t="shared" si="488"/>
        <v/>
      </c>
      <c r="AH566" s="28"/>
      <c r="AI566" s="28"/>
      <c r="AJ566" s="125" t="str">
        <f t="shared" si="489"/>
        <v/>
      </c>
      <c r="AK566" s="9"/>
      <c r="AL566" s="125" t="str">
        <f t="shared" si="490"/>
        <v/>
      </c>
      <c r="AM566" s="28"/>
      <c r="AN566" s="28"/>
      <c r="AO566" s="125" t="str">
        <f t="shared" si="491"/>
        <v/>
      </c>
      <c r="AP566" s="125" t="str">
        <f t="shared" si="492"/>
        <v/>
      </c>
      <c r="AQ566" s="125" t="str">
        <f t="shared" si="493"/>
        <v/>
      </c>
      <c r="AR566" s="129" t="str">
        <f t="shared" si="494"/>
        <v/>
      </c>
      <c r="AS566" s="9"/>
      <c r="AT566" s="34"/>
      <c r="AU566" s="34"/>
      <c r="AV566" s="117" t="str">
        <f>IF(_xlfn.XLOOKUP(AT566, AutoFill_classes!$A:$A, AutoFill_classes!$B:$B,"")=0,"",_xlfn.XLOOKUP(AT566, AutoFill_classes!$A:$A, AutoFill_classes!$B:$B,""))</f>
        <v/>
      </c>
      <c r="AW566" s="108"/>
      <c r="AX566" s="9"/>
      <c r="AY566" s="10"/>
      <c r="AZ566" s="9"/>
      <c r="BA566" s="10"/>
      <c r="BB566" s="10"/>
      <c r="BC566" s="64"/>
      <c r="BD566" s="25"/>
      <c r="BE566" s="121" t="str">
        <f t="shared" si="495"/>
        <v/>
      </c>
      <c r="BF566" s="20"/>
      <c r="BG566" s="20"/>
      <c r="BH566" s="24"/>
      <c r="BI566" s="24"/>
      <c r="BJ566" s="125" t="str">
        <f t="shared" si="496"/>
        <v/>
      </c>
      <c r="BK566" s="14"/>
      <c r="BL566" s="125" t="str">
        <f t="shared" si="497"/>
        <v/>
      </c>
      <c r="BM566" s="24"/>
      <c r="BN566" s="24"/>
      <c r="BO566" s="125" t="str">
        <f t="shared" si="498"/>
        <v/>
      </c>
      <c r="BP566" s="14"/>
      <c r="BQ566" s="125" t="str">
        <f t="shared" si="499"/>
        <v/>
      </c>
      <c r="BR566" s="24"/>
      <c r="BS566" s="24"/>
      <c r="BT566" s="125" t="str">
        <f t="shared" si="500"/>
        <v/>
      </c>
      <c r="BU566" s="125" t="str">
        <f t="shared" si="501"/>
        <v/>
      </c>
      <c r="BV566" s="125" t="str">
        <f t="shared" si="502"/>
        <v/>
      </c>
      <c r="BW566" s="129" t="str">
        <f t="shared" si="503"/>
        <v/>
      </c>
      <c r="BX566" s="9"/>
      <c r="BY566" s="9"/>
      <c r="BZ566" s="9"/>
      <c r="CA566" s="117" t="str">
        <f>IF(_xlfn.XLOOKUP(BY566, AutoFill_classes!$A:$A, AutoFill_classes!$B:$B,"")=0,"",_xlfn.XLOOKUP(BY566, AutoFill_classes!$A:$A, AutoFill_classes!$B:$B,""))</f>
        <v/>
      </c>
      <c r="CB566" s="108"/>
      <c r="CC566" s="9"/>
      <c r="CD566" s="9"/>
      <c r="CE566" s="9"/>
      <c r="CF566" s="4"/>
      <c r="CG566" s="25"/>
      <c r="CH566" s="64"/>
      <c r="CI566" s="27"/>
      <c r="CJ566" s="121" t="str">
        <f t="shared" si="504"/>
        <v/>
      </c>
      <c r="CK566" s="20"/>
      <c r="CL566" s="20"/>
      <c r="CM566" s="24"/>
      <c r="CN566" s="24"/>
      <c r="CO566" s="125" t="str">
        <f t="shared" si="505"/>
        <v/>
      </c>
      <c r="CP566" s="14"/>
      <c r="CQ566" s="125" t="str">
        <f t="shared" si="506"/>
        <v/>
      </c>
      <c r="CR566" s="24"/>
      <c r="CS566" s="24"/>
      <c r="CT566" s="125" t="str">
        <f t="shared" si="507"/>
        <v/>
      </c>
      <c r="CU566" s="14"/>
      <c r="CV566" s="125" t="str">
        <f t="shared" si="508"/>
        <v/>
      </c>
      <c r="CW566" s="24"/>
      <c r="CX566" s="24"/>
      <c r="CY566" s="125" t="str">
        <f t="shared" si="509"/>
        <v/>
      </c>
      <c r="CZ566" s="125" t="str">
        <f t="shared" si="510"/>
        <v/>
      </c>
      <c r="DA566" s="125" t="str">
        <f t="shared" si="511"/>
        <v/>
      </c>
      <c r="DB566" s="129" t="str">
        <f t="shared" si="512"/>
        <v/>
      </c>
      <c r="DC566" s="9"/>
      <c r="DD566" s="65"/>
      <c r="DE566" s="105">
        <v>562</v>
      </c>
    </row>
    <row r="567" spans="1:109" outlineLevel="1" x14ac:dyDescent="0.2">
      <c r="A567" s="4"/>
      <c r="B567" s="115" t="str">
        <f>IF(_xlfn.XLOOKUP(A567, AutoFill_names!B:B, AutoFill_names!C:C,"")=0,"",_xlfn.XLOOKUP(A567, AutoFill_names!B:B, AutoFill_names!C:C,""))</f>
        <v/>
      </c>
      <c r="C567" s="115" t="str">
        <f>IF(_xlfn.XLOOKUP(A567, AutoFill_names!B:B, AutoFill_names!D:D,"")=0,"",_xlfn.XLOOKUP(A567, AutoFill_names!B:B, AutoFill_names!D:D,""))</f>
        <v/>
      </c>
      <c r="D567" s="115" t="str">
        <f>IF(_xlfn.XLOOKUP(A567, AutoFill_names!B:B, AutoFill_names!E:E,"")=0,"",_xlfn.XLOOKUP(A567, AutoFill_names!B:B, AutoFill_names!E:E,""))</f>
        <v/>
      </c>
      <c r="E567" s="115" t="str">
        <f>IF(_xlfn.XLOOKUP(A567, AutoFill_names!B:B, AutoFill_names!F:F,"")=0,"",_xlfn.XLOOKUP(A567, AutoFill_names!B:B, AutoFill_names!F:F,""))</f>
        <v/>
      </c>
      <c r="F567" s="92"/>
      <c r="G567" s="1"/>
      <c r="H567" s="1"/>
      <c r="I567" s="1"/>
      <c r="J567" s="115" t="str">
        <f>IF(_xlfn.XLOOKUP(A567, AutoFill_names!B:B, AutoFill_names!K:K,"")=0,"",_xlfn.XLOOKUP(A567, AutoFill_names!B:B, AutoFill_names!K:K,""))</f>
        <v/>
      </c>
      <c r="K567" s="115" t="str">
        <f>IF(_xlfn.XLOOKUP(A567, AutoFill_names!B:B, AutoFill_names!L:L,"")=0,"",_xlfn.XLOOKUP(A567, AutoFill_names!B:B, AutoFill_names!L:L,""))</f>
        <v/>
      </c>
      <c r="L567" s="5"/>
      <c r="M567" s="5"/>
      <c r="N567" s="117" t="str">
        <f>IF(_xlfn.XLOOKUP(L567, AutoFill_classes!A:A, AutoFill_classes!B:B,"")=0,"",_xlfn.XLOOKUP(L567, AutoFill_classes!A:A, AutoFill_classes!B:B,""))</f>
        <v/>
      </c>
      <c r="O567" s="108"/>
      <c r="P567" s="8"/>
      <c r="Q567" s="8"/>
      <c r="R567" s="8"/>
      <c r="S567" s="4"/>
      <c r="T567" s="4"/>
      <c r="U567" s="4"/>
      <c r="V567" s="4"/>
      <c r="W567" s="4"/>
      <c r="X567" s="64"/>
      <c r="Y567" s="25"/>
      <c r="Z567" s="121" t="str">
        <f t="shared" si="486"/>
        <v/>
      </c>
      <c r="AA567" s="26"/>
      <c r="AB567" s="26"/>
      <c r="AC567" s="28"/>
      <c r="AD567" s="28"/>
      <c r="AE567" s="125" t="str">
        <f t="shared" si="487"/>
        <v/>
      </c>
      <c r="AF567" s="9"/>
      <c r="AG567" s="125" t="str">
        <f t="shared" si="488"/>
        <v/>
      </c>
      <c r="AH567" s="28"/>
      <c r="AI567" s="28"/>
      <c r="AJ567" s="125" t="str">
        <f t="shared" si="489"/>
        <v/>
      </c>
      <c r="AK567" s="9"/>
      <c r="AL567" s="125" t="str">
        <f t="shared" si="490"/>
        <v/>
      </c>
      <c r="AM567" s="28"/>
      <c r="AN567" s="28"/>
      <c r="AO567" s="125" t="str">
        <f t="shared" si="491"/>
        <v/>
      </c>
      <c r="AP567" s="125" t="str">
        <f t="shared" si="492"/>
        <v/>
      </c>
      <c r="AQ567" s="125" t="str">
        <f t="shared" si="493"/>
        <v/>
      </c>
      <c r="AR567" s="129" t="str">
        <f t="shared" si="494"/>
        <v/>
      </c>
      <c r="AS567" s="9"/>
      <c r="AT567" s="34"/>
      <c r="AU567" s="34"/>
      <c r="AV567" s="117" t="str">
        <f>IF(_xlfn.XLOOKUP(AT567, AutoFill_classes!$A:$A, AutoFill_classes!$B:$B,"")=0,"",_xlfn.XLOOKUP(AT567, AutoFill_classes!$A:$A, AutoFill_classes!$B:$B,""))</f>
        <v/>
      </c>
      <c r="AW567" s="108"/>
      <c r="AX567" s="9"/>
      <c r="AY567" s="10"/>
      <c r="AZ567" s="9"/>
      <c r="BA567" s="10"/>
      <c r="BB567" s="10"/>
      <c r="BC567" s="64"/>
      <c r="BD567" s="25"/>
      <c r="BE567" s="121" t="str">
        <f t="shared" si="495"/>
        <v/>
      </c>
      <c r="BF567" s="20"/>
      <c r="BG567" s="20"/>
      <c r="BH567" s="24"/>
      <c r="BI567" s="24"/>
      <c r="BJ567" s="125" t="str">
        <f t="shared" si="496"/>
        <v/>
      </c>
      <c r="BK567" s="14"/>
      <c r="BL567" s="125" t="str">
        <f t="shared" si="497"/>
        <v/>
      </c>
      <c r="BM567" s="24"/>
      <c r="BN567" s="24"/>
      <c r="BO567" s="125" t="str">
        <f t="shared" si="498"/>
        <v/>
      </c>
      <c r="BP567" s="14"/>
      <c r="BQ567" s="125" t="str">
        <f t="shared" si="499"/>
        <v/>
      </c>
      <c r="BR567" s="24"/>
      <c r="BS567" s="24"/>
      <c r="BT567" s="125" t="str">
        <f t="shared" si="500"/>
        <v/>
      </c>
      <c r="BU567" s="125" t="str">
        <f t="shared" si="501"/>
        <v/>
      </c>
      <c r="BV567" s="125" t="str">
        <f t="shared" si="502"/>
        <v/>
      </c>
      <c r="BW567" s="129" t="str">
        <f t="shared" si="503"/>
        <v/>
      </c>
      <c r="BX567" s="9"/>
      <c r="BY567" s="9"/>
      <c r="BZ567" s="9"/>
      <c r="CA567" s="117" t="str">
        <f>IF(_xlfn.XLOOKUP(BY567, AutoFill_classes!$A:$A, AutoFill_classes!$B:$B,"")=0,"",_xlfn.XLOOKUP(BY567, AutoFill_classes!$A:$A, AutoFill_classes!$B:$B,""))</f>
        <v/>
      </c>
      <c r="CB567" s="108"/>
      <c r="CC567" s="9"/>
      <c r="CD567" s="9"/>
      <c r="CE567" s="9"/>
      <c r="CF567" s="4"/>
      <c r="CG567" s="25"/>
      <c r="CH567" s="64"/>
      <c r="CI567" s="27"/>
      <c r="CJ567" s="121" t="str">
        <f t="shared" si="504"/>
        <v/>
      </c>
      <c r="CK567" s="20"/>
      <c r="CL567" s="20"/>
      <c r="CM567" s="24"/>
      <c r="CN567" s="24"/>
      <c r="CO567" s="125" t="str">
        <f t="shared" si="505"/>
        <v/>
      </c>
      <c r="CP567" s="14"/>
      <c r="CQ567" s="125" t="str">
        <f t="shared" si="506"/>
        <v/>
      </c>
      <c r="CR567" s="24"/>
      <c r="CS567" s="24"/>
      <c r="CT567" s="125" t="str">
        <f t="shared" si="507"/>
        <v/>
      </c>
      <c r="CU567" s="14"/>
      <c r="CV567" s="125" t="str">
        <f t="shared" si="508"/>
        <v/>
      </c>
      <c r="CW567" s="24"/>
      <c r="CX567" s="24"/>
      <c r="CY567" s="125" t="str">
        <f t="shared" si="509"/>
        <v/>
      </c>
      <c r="CZ567" s="125" t="str">
        <f t="shared" si="510"/>
        <v/>
      </c>
      <c r="DA567" s="125" t="str">
        <f t="shared" si="511"/>
        <v/>
      </c>
      <c r="DB567" s="129" t="str">
        <f t="shared" si="512"/>
        <v/>
      </c>
      <c r="DC567" s="9"/>
      <c r="DD567" s="65"/>
      <c r="DE567" s="105">
        <v>563</v>
      </c>
    </row>
    <row r="568" spans="1:109" outlineLevel="1" x14ac:dyDescent="0.2">
      <c r="A568" s="4"/>
      <c r="B568" s="115" t="str">
        <f>IF(_xlfn.XLOOKUP(A568, AutoFill_names!B:B, AutoFill_names!C:C,"")=0,"",_xlfn.XLOOKUP(A568, AutoFill_names!B:B, AutoFill_names!C:C,""))</f>
        <v/>
      </c>
      <c r="C568" s="115" t="str">
        <f>IF(_xlfn.XLOOKUP(A568, AutoFill_names!B:B, AutoFill_names!D:D,"")=0,"",_xlfn.XLOOKUP(A568, AutoFill_names!B:B, AutoFill_names!D:D,""))</f>
        <v/>
      </c>
      <c r="D568" s="115" t="str">
        <f>IF(_xlfn.XLOOKUP(A568, AutoFill_names!B:B, AutoFill_names!E:E,"")=0,"",_xlfn.XLOOKUP(A568, AutoFill_names!B:B, AutoFill_names!E:E,""))</f>
        <v/>
      </c>
      <c r="E568" s="115" t="str">
        <f>IF(_xlfn.XLOOKUP(A568, AutoFill_names!B:B, AutoFill_names!F:F,"")=0,"",_xlfn.XLOOKUP(A568, AutoFill_names!B:B, AutoFill_names!F:F,""))</f>
        <v/>
      </c>
      <c r="F568" s="92"/>
      <c r="G568" s="1"/>
      <c r="H568" s="1"/>
      <c r="I568" s="1"/>
      <c r="J568" s="115" t="str">
        <f>IF(_xlfn.XLOOKUP(A568, AutoFill_names!B:B, AutoFill_names!K:K,"")=0,"",_xlfn.XLOOKUP(A568, AutoFill_names!B:B, AutoFill_names!K:K,""))</f>
        <v/>
      </c>
      <c r="K568" s="115" t="str">
        <f>IF(_xlfn.XLOOKUP(A568, AutoFill_names!B:B, AutoFill_names!L:L,"")=0,"",_xlfn.XLOOKUP(A568, AutoFill_names!B:B, AutoFill_names!L:L,""))</f>
        <v/>
      </c>
      <c r="L568" s="5"/>
      <c r="M568" s="5"/>
      <c r="N568" s="117" t="str">
        <f>IF(_xlfn.XLOOKUP(L568, AutoFill_classes!A:A, AutoFill_classes!B:B,"")=0,"",_xlfn.XLOOKUP(L568, AutoFill_classes!A:A, AutoFill_classes!B:B,""))</f>
        <v/>
      </c>
      <c r="O568" s="108"/>
      <c r="P568" s="8"/>
      <c r="Q568" s="8"/>
      <c r="R568" s="8"/>
      <c r="S568" s="4"/>
      <c r="T568" s="4"/>
      <c r="U568" s="4"/>
      <c r="V568" s="4"/>
      <c r="W568" s="4"/>
      <c r="X568" s="64"/>
      <c r="Y568" s="25"/>
      <c r="Z568" s="121" t="str">
        <f t="shared" si="486"/>
        <v/>
      </c>
      <c r="AA568" s="26"/>
      <c r="AB568" s="26"/>
      <c r="AC568" s="28"/>
      <c r="AD568" s="28"/>
      <c r="AE568" s="125" t="str">
        <f t="shared" si="487"/>
        <v/>
      </c>
      <c r="AF568" s="9"/>
      <c r="AG568" s="125" t="str">
        <f t="shared" si="488"/>
        <v/>
      </c>
      <c r="AH568" s="28"/>
      <c r="AI568" s="28"/>
      <c r="AJ568" s="125" t="str">
        <f t="shared" si="489"/>
        <v/>
      </c>
      <c r="AK568" s="9"/>
      <c r="AL568" s="125" t="str">
        <f t="shared" si="490"/>
        <v/>
      </c>
      <c r="AM568" s="28"/>
      <c r="AN568" s="28"/>
      <c r="AO568" s="125" t="str">
        <f t="shared" si="491"/>
        <v/>
      </c>
      <c r="AP568" s="125" t="str">
        <f t="shared" si="492"/>
        <v/>
      </c>
      <c r="AQ568" s="125" t="str">
        <f t="shared" si="493"/>
        <v/>
      </c>
      <c r="AR568" s="129" t="str">
        <f t="shared" si="494"/>
        <v/>
      </c>
      <c r="AS568" s="9"/>
      <c r="AT568" s="34"/>
      <c r="AU568" s="34"/>
      <c r="AV568" s="117" t="str">
        <f>IF(_xlfn.XLOOKUP(AT568, AutoFill_classes!$A:$A, AutoFill_classes!$B:$B,"")=0,"",_xlfn.XLOOKUP(AT568, AutoFill_classes!$A:$A, AutoFill_classes!$B:$B,""))</f>
        <v/>
      </c>
      <c r="AW568" s="108"/>
      <c r="AX568" s="9"/>
      <c r="AY568" s="10"/>
      <c r="AZ568" s="9"/>
      <c r="BA568" s="10"/>
      <c r="BB568" s="10"/>
      <c r="BC568" s="64"/>
      <c r="BD568" s="25"/>
      <c r="BE568" s="121" t="str">
        <f t="shared" si="495"/>
        <v/>
      </c>
      <c r="BF568" s="20"/>
      <c r="BG568" s="20"/>
      <c r="BH568" s="24"/>
      <c r="BI568" s="24"/>
      <c r="BJ568" s="125" t="str">
        <f t="shared" si="496"/>
        <v/>
      </c>
      <c r="BK568" s="14"/>
      <c r="BL568" s="125" t="str">
        <f t="shared" si="497"/>
        <v/>
      </c>
      <c r="BM568" s="24"/>
      <c r="BN568" s="24"/>
      <c r="BO568" s="125" t="str">
        <f t="shared" si="498"/>
        <v/>
      </c>
      <c r="BP568" s="14"/>
      <c r="BQ568" s="125" t="str">
        <f t="shared" si="499"/>
        <v/>
      </c>
      <c r="BR568" s="24"/>
      <c r="BS568" s="24"/>
      <c r="BT568" s="125" t="str">
        <f t="shared" si="500"/>
        <v/>
      </c>
      <c r="BU568" s="125" t="str">
        <f t="shared" si="501"/>
        <v/>
      </c>
      <c r="BV568" s="125" t="str">
        <f t="shared" si="502"/>
        <v/>
      </c>
      <c r="BW568" s="129" t="str">
        <f t="shared" si="503"/>
        <v/>
      </c>
      <c r="BX568" s="9"/>
      <c r="BY568" s="9"/>
      <c r="BZ568" s="9"/>
      <c r="CA568" s="117" t="str">
        <f>IF(_xlfn.XLOOKUP(BY568, AutoFill_classes!$A:$A, AutoFill_classes!$B:$B,"")=0,"",_xlfn.XLOOKUP(BY568, AutoFill_classes!$A:$A, AutoFill_classes!$B:$B,""))</f>
        <v/>
      </c>
      <c r="CB568" s="108"/>
      <c r="CC568" s="9"/>
      <c r="CD568" s="9"/>
      <c r="CE568" s="9"/>
      <c r="CF568" s="4"/>
      <c r="CG568" s="25"/>
      <c r="CH568" s="64"/>
      <c r="CI568" s="27"/>
      <c r="CJ568" s="121" t="str">
        <f t="shared" si="504"/>
        <v/>
      </c>
      <c r="CK568" s="20"/>
      <c r="CL568" s="20"/>
      <c r="CM568" s="24"/>
      <c r="CN568" s="24"/>
      <c r="CO568" s="125" t="str">
        <f t="shared" si="505"/>
        <v/>
      </c>
      <c r="CP568" s="14"/>
      <c r="CQ568" s="125" t="str">
        <f t="shared" si="506"/>
        <v/>
      </c>
      <c r="CR568" s="24"/>
      <c r="CS568" s="24"/>
      <c r="CT568" s="125" t="str">
        <f t="shared" si="507"/>
        <v/>
      </c>
      <c r="CU568" s="14"/>
      <c r="CV568" s="125" t="str">
        <f t="shared" si="508"/>
        <v/>
      </c>
      <c r="CW568" s="24"/>
      <c r="CX568" s="24"/>
      <c r="CY568" s="125" t="str">
        <f t="shared" si="509"/>
        <v/>
      </c>
      <c r="CZ568" s="125" t="str">
        <f t="shared" si="510"/>
        <v/>
      </c>
      <c r="DA568" s="125" t="str">
        <f t="shared" si="511"/>
        <v/>
      </c>
      <c r="DB568" s="129" t="str">
        <f t="shared" si="512"/>
        <v/>
      </c>
      <c r="DC568" s="9"/>
      <c r="DD568" s="65"/>
      <c r="DE568" s="105">
        <v>564</v>
      </c>
    </row>
    <row r="569" spans="1:109" outlineLevel="1" x14ac:dyDescent="0.2">
      <c r="A569" s="4"/>
      <c r="B569" s="115" t="str">
        <f>IF(_xlfn.XLOOKUP(A569, AutoFill_names!B:B, AutoFill_names!C:C,"")=0,"",_xlfn.XLOOKUP(A569, AutoFill_names!B:B, AutoFill_names!C:C,""))</f>
        <v/>
      </c>
      <c r="C569" s="115" t="str">
        <f>IF(_xlfn.XLOOKUP(A569, AutoFill_names!B:B, AutoFill_names!D:D,"")=0,"",_xlfn.XLOOKUP(A569, AutoFill_names!B:B, AutoFill_names!D:D,""))</f>
        <v/>
      </c>
      <c r="D569" s="115" t="str">
        <f>IF(_xlfn.XLOOKUP(A569, AutoFill_names!B:B, AutoFill_names!E:E,"")=0,"",_xlfn.XLOOKUP(A569, AutoFill_names!B:B, AutoFill_names!E:E,""))</f>
        <v/>
      </c>
      <c r="E569" s="115" t="str">
        <f>IF(_xlfn.XLOOKUP(A569, AutoFill_names!B:B, AutoFill_names!F:F,"")=0,"",_xlfn.XLOOKUP(A569, AutoFill_names!B:B, AutoFill_names!F:F,""))</f>
        <v/>
      </c>
      <c r="F569" s="92"/>
      <c r="G569" s="1"/>
      <c r="H569" s="1"/>
      <c r="I569" s="1"/>
      <c r="J569" s="115" t="str">
        <f>IF(_xlfn.XLOOKUP(A569, AutoFill_names!B:B, AutoFill_names!K:K,"")=0,"",_xlfn.XLOOKUP(A569, AutoFill_names!B:B, AutoFill_names!K:K,""))</f>
        <v/>
      </c>
      <c r="K569" s="115" t="str">
        <f>IF(_xlfn.XLOOKUP(A569, AutoFill_names!B:B, AutoFill_names!L:L,"")=0,"",_xlfn.XLOOKUP(A569, AutoFill_names!B:B, AutoFill_names!L:L,""))</f>
        <v/>
      </c>
      <c r="L569" s="5"/>
      <c r="M569" s="5"/>
      <c r="N569" s="117" t="str">
        <f>IF(_xlfn.XLOOKUP(L569, AutoFill_classes!A:A, AutoFill_classes!B:B,"")=0,"",_xlfn.XLOOKUP(L569, AutoFill_classes!A:A, AutoFill_classes!B:B,""))</f>
        <v/>
      </c>
      <c r="O569" s="108"/>
      <c r="P569" s="8"/>
      <c r="Q569" s="8"/>
      <c r="R569" s="8"/>
      <c r="S569" s="4"/>
      <c r="T569" s="4"/>
      <c r="U569" s="4"/>
      <c r="V569" s="4"/>
      <c r="W569" s="4"/>
      <c r="X569" s="64"/>
      <c r="Y569" s="25"/>
      <c r="Z569" s="121" t="str">
        <f t="shared" si="486"/>
        <v/>
      </c>
      <c r="AA569" s="26"/>
      <c r="AB569" s="26"/>
      <c r="AC569" s="28"/>
      <c r="AD569" s="28"/>
      <c r="AE569" s="125" t="str">
        <f t="shared" si="487"/>
        <v/>
      </c>
      <c r="AF569" s="9"/>
      <c r="AG569" s="125" t="str">
        <f t="shared" si="488"/>
        <v/>
      </c>
      <c r="AH569" s="28"/>
      <c r="AI569" s="28"/>
      <c r="AJ569" s="125" t="str">
        <f t="shared" si="489"/>
        <v/>
      </c>
      <c r="AK569" s="9"/>
      <c r="AL569" s="125" t="str">
        <f t="shared" si="490"/>
        <v/>
      </c>
      <c r="AM569" s="28"/>
      <c r="AN569" s="28"/>
      <c r="AO569" s="125" t="str">
        <f t="shared" si="491"/>
        <v/>
      </c>
      <c r="AP569" s="125" t="str">
        <f t="shared" si="492"/>
        <v/>
      </c>
      <c r="AQ569" s="125" t="str">
        <f t="shared" si="493"/>
        <v/>
      </c>
      <c r="AR569" s="129" t="str">
        <f t="shared" si="494"/>
        <v/>
      </c>
      <c r="AS569" s="9"/>
      <c r="AT569" s="34"/>
      <c r="AU569" s="34"/>
      <c r="AV569" s="117" t="str">
        <f>IF(_xlfn.XLOOKUP(AT569, AutoFill_classes!$A:$A, AutoFill_classes!$B:$B,"")=0,"",_xlfn.XLOOKUP(AT569, AutoFill_classes!$A:$A, AutoFill_classes!$B:$B,""))</f>
        <v/>
      </c>
      <c r="AW569" s="108"/>
      <c r="AX569" s="9"/>
      <c r="AY569" s="10"/>
      <c r="AZ569" s="9"/>
      <c r="BA569" s="10"/>
      <c r="BB569" s="10"/>
      <c r="BC569" s="64"/>
      <c r="BD569" s="25"/>
      <c r="BE569" s="121" t="str">
        <f t="shared" si="495"/>
        <v/>
      </c>
      <c r="BF569" s="20"/>
      <c r="BG569" s="20"/>
      <c r="BH569" s="24"/>
      <c r="BI569" s="24"/>
      <c r="BJ569" s="125" t="str">
        <f t="shared" si="496"/>
        <v/>
      </c>
      <c r="BK569" s="14"/>
      <c r="BL569" s="125" t="str">
        <f t="shared" si="497"/>
        <v/>
      </c>
      <c r="BM569" s="24"/>
      <c r="BN569" s="24"/>
      <c r="BO569" s="125" t="str">
        <f t="shared" si="498"/>
        <v/>
      </c>
      <c r="BP569" s="14"/>
      <c r="BQ569" s="125" t="str">
        <f t="shared" si="499"/>
        <v/>
      </c>
      <c r="BR569" s="24"/>
      <c r="BS569" s="24"/>
      <c r="BT569" s="125" t="str">
        <f t="shared" si="500"/>
        <v/>
      </c>
      <c r="BU569" s="125" t="str">
        <f t="shared" si="501"/>
        <v/>
      </c>
      <c r="BV569" s="125" t="str">
        <f t="shared" si="502"/>
        <v/>
      </c>
      <c r="BW569" s="129" t="str">
        <f t="shared" si="503"/>
        <v/>
      </c>
      <c r="BX569" s="9"/>
      <c r="BY569" s="9"/>
      <c r="BZ569" s="9"/>
      <c r="CA569" s="117" t="str">
        <f>IF(_xlfn.XLOOKUP(BY569, AutoFill_classes!$A:$A, AutoFill_classes!$B:$B,"")=0,"",_xlfn.XLOOKUP(BY569, AutoFill_classes!$A:$A, AutoFill_classes!$B:$B,""))</f>
        <v/>
      </c>
      <c r="CB569" s="108"/>
      <c r="CC569" s="9"/>
      <c r="CD569" s="9"/>
      <c r="CE569" s="9"/>
      <c r="CF569" s="4"/>
      <c r="CG569" s="25"/>
      <c r="CH569" s="64"/>
      <c r="CI569" s="27"/>
      <c r="CJ569" s="121" t="str">
        <f t="shared" si="504"/>
        <v/>
      </c>
      <c r="CK569" s="20"/>
      <c r="CL569" s="20"/>
      <c r="CM569" s="24"/>
      <c r="CN569" s="24"/>
      <c r="CO569" s="125" t="str">
        <f t="shared" si="505"/>
        <v/>
      </c>
      <c r="CP569" s="14"/>
      <c r="CQ569" s="125" t="str">
        <f t="shared" si="506"/>
        <v/>
      </c>
      <c r="CR569" s="24"/>
      <c r="CS569" s="24"/>
      <c r="CT569" s="125" t="str">
        <f t="shared" si="507"/>
        <v/>
      </c>
      <c r="CU569" s="14"/>
      <c r="CV569" s="125" t="str">
        <f t="shared" si="508"/>
        <v/>
      </c>
      <c r="CW569" s="24"/>
      <c r="CX569" s="24"/>
      <c r="CY569" s="125" t="str">
        <f t="shared" si="509"/>
        <v/>
      </c>
      <c r="CZ569" s="125" t="str">
        <f t="shared" si="510"/>
        <v/>
      </c>
      <c r="DA569" s="125" t="str">
        <f t="shared" si="511"/>
        <v/>
      </c>
      <c r="DB569" s="129" t="str">
        <f t="shared" si="512"/>
        <v/>
      </c>
      <c r="DC569" s="9"/>
      <c r="DD569" s="65"/>
      <c r="DE569" s="105">
        <v>565</v>
      </c>
    </row>
    <row r="570" spans="1:109" outlineLevel="1" x14ac:dyDescent="0.2">
      <c r="A570" s="4"/>
      <c r="B570" s="115" t="str">
        <f>IF(_xlfn.XLOOKUP(A570, AutoFill_names!B:B, AutoFill_names!C:C,"")=0,"",_xlfn.XLOOKUP(A570, AutoFill_names!B:B, AutoFill_names!C:C,""))</f>
        <v/>
      </c>
      <c r="C570" s="115" t="str">
        <f>IF(_xlfn.XLOOKUP(A570, AutoFill_names!B:B, AutoFill_names!D:D,"")=0,"",_xlfn.XLOOKUP(A570, AutoFill_names!B:B, AutoFill_names!D:D,""))</f>
        <v/>
      </c>
      <c r="D570" s="115" t="str">
        <f>IF(_xlfn.XLOOKUP(A570, AutoFill_names!B:B, AutoFill_names!E:E,"")=0,"",_xlfn.XLOOKUP(A570, AutoFill_names!B:B, AutoFill_names!E:E,""))</f>
        <v/>
      </c>
      <c r="E570" s="115" t="str">
        <f>IF(_xlfn.XLOOKUP(A570, AutoFill_names!B:B, AutoFill_names!F:F,"")=0,"",_xlfn.XLOOKUP(A570, AutoFill_names!B:B, AutoFill_names!F:F,""))</f>
        <v/>
      </c>
      <c r="F570" s="92"/>
      <c r="G570" s="1"/>
      <c r="H570" s="1"/>
      <c r="I570" s="1"/>
      <c r="J570" s="115" t="str">
        <f>IF(_xlfn.XLOOKUP(A570, AutoFill_names!B:B, AutoFill_names!K:K,"")=0,"",_xlfn.XLOOKUP(A570, AutoFill_names!B:B, AutoFill_names!K:K,""))</f>
        <v/>
      </c>
      <c r="K570" s="115" t="str">
        <f>IF(_xlfn.XLOOKUP(A570, AutoFill_names!B:B, AutoFill_names!L:L,"")=0,"",_xlfn.XLOOKUP(A570, AutoFill_names!B:B, AutoFill_names!L:L,""))</f>
        <v/>
      </c>
      <c r="L570" s="5"/>
      <c r="M570" s="5"/>
      <c r="N570" s="117" t="str">
        <f>IF(_xlfn.XLOOKUP(L570, AutoFill_classes!A:A, AutoFill_classes!B:B,"")=0,"",_xlfn.XLOOKUP(L570, AutoFill_classes!A:A, AutoFill_classes!B:B,""))</f>
        <v/>
      </c>
      <c r="O570" s="108"/>
      <c r="P570" s="8"/>
      <c r="Q570" s="8"/>
      <c r="R570" s="8"/>
      <c r="S570" s="4"/>
      <c r="T570" s="4"/>
      <c r="U570" s="4"/>
      <c r="V570" s="4"/>
      <c r="W570" s="4"/>
      <c r="X570" s="64"/>
      <c r="Y570" s="25"/>
      <c r="Z570" s="121" t="str">
        <f t="shared" si="486"/>
        <v/>
      </c>
      <c r="AA570" s="26"/>
      <c r="AB570" s="26"/>
      <c r="AC570" s="28"/>
      <c r="AD570" s="28"/>
      <c r="AE570" s="125" t="str">
        <f t="shared" si="487"/>
        <v/>
      </c>
      <c r="AF570" s="9"/>
      <c r="AG570" s="125" t="str">
        <f t="shared" si="488"/>
        <v/>
      </c>
      <c r="AH570" s="28"/>
      <c r="AI570" s="28"/>
      <c r="AJ570" s="125" t="str">
        <f t="shared" si="489"/>
        <v/>
      </c>
      <c r="AK570" s="9"/>
      <c r="AL570" s="125" t="str">
        <f t="shared" si="490"/>
        <v/>
      </c>
      <c r="AM570" s="28"/>
      <c r="AN570" s="28"/>
      <c r="AO570" s="125" t="str">
        <f t="shared" si="491"/>
        <v/>
      </c>
      <c r="AP570" s="125" t="str">
        <f t="shared" si="492"/>
        <v/>
      </c>
      <c r="AQ570" s="125" t="str">
        <f t="shared" si="493"/>
        <v/>
      </c>
      <c r="AR570" s="129" t="str">
        <f t="shared" si="494"/>
        <v/>
      </c>
      <c r="AS570" s="9"/>
      <c r="AT570" s="34"/>
      <c r="AU570" s="34"/>
      <c r="AV570" s="117" t="str">
        <f>IF(_xlfn.XLOOKUP(AT570, AutoFill_classes!$A:$A, AutoFill_classes!$B:$B,"")=0,"",_xlfn.XLOOKUP(AT570, AutoFill_classes!$A:$A, AutoFill_classes!$B:$B,""))</f>
        <v/>
      </c>
      <c r="AW570" s="108"/>
      <c r="AX570" s="9"/>
      <c r="AY570" s="10"/>
      <c r="AZ570" s="9"/>
      <c r="BA570" s="10"/>
      <c r="BB570" s="10"/>
      <c r="BC570" s="64"/>
      <c r="BD570" s="25"/>
      <c r="BE570" s="121" t="str">
        <f t="shared" si="495"/>
        <v/>
      </c>
      <c r="BF570" s="20"/>
      <c r="BG570" s="20"/>
      <c r="BH570" s="24"/>
      <c r="BI570" s="24"/>
      <c r="BJ570" s="125" t="str">
        <f t="shared" si="496"/>
        <v/>
      </c>
      <c r="BK570" s="14"/>
      <c r="BL570" s="125" t="str">
        <f t="shared" si="497"/>
        <v/>
      </c>
      <c r="BM570" s="24"/>
      <c r="BN570" s="24"/>
      <c r="BO570" s="125" t="str">
        <f t="shared" si="498"/>
        <v/>
      </c>
      <c r="BP570" s="14"/>
      <c r="BQ570" s="125" t="str">
        <f t="shared" si="499"/>
        <v/>
      </c>
      <c r="BR570" s="24"/>
      <c r="BS570" s="24"/>
      <c r="BT570" s="125" t="str">
        <f t="shared" si="500"/>
        <v/>
      </c>
      <c r="BU570" s="125" t="str">
        <f t="shared" si="501"/>
        <v/>
      </c>
      <c r="BV570" s="125" t="str">
        <f t="shared" si="502"/>
        <v/>
      </c>
      <c r="BW570" s="129" t="str">
        <f t="shared" si="503"/>
        <v/>
      </c>
      <c r="BX570" s="9"/>
      <c r="BY570" s="9"/>
      <c r="BZ570" s="9"/>
      <c r="CA570" s="117" t="str">
        <f>IF(_xlfn.XLOOKUP(BY570, AutoFill_classes!$A:$A, AutoFill_classes!$B:$B,"")=0,"",_xlfn.XLOOKUP(BY570, AutoFill_classes!$A:$A, AutoFill_classes!$B:$B,""))</f>
        <v/>
      </c>
      <c r="CB570" s="108"/>
      <c r="CC570" s="9"/>
      <c r="CD570" s="9"/>
      <c r="CE570" s="9"/>
      <c r="CF570" s="4"/>
      <c r="CG570" s="25"/>
      <c r="CH570" s="64"/>
      <c r="CI570" s="27"/>
      <c r="CJ570" s="121" t="str">
        <f t="shared" si="504"/>
        <v/>
      </c>
      <c r="CK570" s="20"/>
      <c r="CL570" s="20"/>
      <c r="CM570" s="24"/>
      <c r="CN570" s="24"/>
      <c r="CO570" s="125" t="str">
        <f t="shared" si="505"/>
        <v/>
      </c>
      <c r="CP570" s="14"/>
      <c r="CQ570" s="125" t="str">
        <f t="shared" si="506"/>
        <v/>
      </c>
      <c r="CR570" s="24"/>
      <c r="CS570" s="24"/>
      <c r="CT570" s="125" t="str">
        <f t="shared" si="507"/>
        <v/>
      </c>
      <c r="CU570" s="14"/>
      <c r="CV570" s="125" t="str">
        <f t="shared" si="508"/>
        <v/>
      </c>
      <c r="CW570" s="24"/>
      <c r="CX570" s="24"/>
      <c r="CY570" s="125" t="str">
        <f t="shared" si="509"/>
        <v/>
      </c>
      <c r="CZ570" s="125" t="str">
        <f t="shared" si="510"/>
        <v/>
      </c>
      <c r="DA570" s="125" t="str">
        <f t="shared" si="511"/>
        <v/>
      </c>
      <c r="DB570" s="129" t="str">
        <f t="shared" si="512"/>
        <v/>
      </c>
      <c r="DC570" s="9"/>
      <c r="DD570" s="65"/>
      <c r="DE570" s="105">
        <v>566</v>
      </c>
    </row>
    <row r="571" spans="1:109" outlineLevel="1" x14ac:dyDescent="0.2">
      <c r="A571" s="4"/>
      <c r="B571" s="115" t="str">
        <f>IF(_xlfn.XLOOKUP(A571, AutoFill_names!B:B, AutoFill_names!C:C,"")=0,"",_xlfn.XLOOKUP(A571, AutoFill_names!B:B, AutoFill_names!C:C,""))</f>
        <v/>
      </c>
      <c r="C571" s="115" t="str">
        <f>IF(_xlfn.XLOOKUP(A571, AutoFill_names!B:B, AutoFill_names!D:D,"")=0,"",_xlfn.XLOOKUP(A571, AutoFill_names!B:B, AutoFill_names!D:D,""))</f>
        <v/>
      </c>
      <c r="D571" s="115" t="str">
        <f>IF(_xlfn.XLOOKUP(A571, AutoFill_names!B:B, AutoFill_names!E:E,"")=0,"",_xlfn.XLOOKUP(A571, AutoFill_names!B:B, AutoFill_names!E:E,""))</f>
        <v/>
      </c>
      <c r="E571" s="115" t="str">
        <f>IF(_xlfn.XLOOKUP(A571, AutoFill_names!B:B, AutoFill_names!F:F,"")=0,"",_xlfn.XLOOKUP(A571, AutoFill_names!B:B, AutoFill_names!F:F,""))</f>
        <v/>
      </c>
      <c r="F571" s="92"/>
      <c r="G571" s="1"/>
      <c r="H571" s="1"/>
      <c r="I571" s="1"/>
      <c r="J571" s="115" t="str">
        <f>IF(_xlfn.XLOOKUP(A571, AutoFill_names!B:B, AutoFill_names!K:K,"")=0,"",_xlfn.XLOOKUP(A571, AutoFill_names!B:B, AutoFill_names!K:K,""))</f>
        <v/>
      </c>
      <c r="K571" s="115" t="str">
        <f>IF(_xlfn.XLOOKUP(A571, AutoFill_names!B:B, AutoFill_names!L:L,"")=0,"",_xlfn.XLOOKUP(A571, AutoFill_names!B:B, AutoFill_names!L:L,""))</f>
        <v/>
      </c>
      <c r="L571" s="5"/>
      <c r="M571" s="5"/>
      <c r="N571" s="117" t="str">
        <f>IF(_xlfn.XLOOKUP(L571, AutoFill_classes!A:A, AutoFill_classes!B:B,"")=0,"",_xlfn.XLOOKUP(L571, AutoFill_classes!A:A, AutoFill_classes!B:B,""))</f>
        <v/>
      </c>
      <c r="O571" s="108"/>
      <c r="P571" s="8"/>
      <c r="Q571" s="8"/>
      <c r="R571" s="8"/>
      <c r="S571" s="4"/>
      <c r="T571" s="4"/>
      <c r="U571" s="4"/>
      <c r="V571" s="4"/>
      <c r="W571" s="4"/>
      <c r="X571" s="64"/>
      <c r="Y571" s="25"/>
      <c r="Z571" s="121" t="str">
        <f t="shared" si="486"/>
        <v/>
      </c>
      <c r="AA571" s="26"/>
      <c r="AB571" s="26"/>
      <c r="AC571" s="28"/>
      <c r="AD571" s="28"/>
      <c r="AE571" s="125" t="str">
        <f t="shared" si="487"/>
        <v/>
      </c>
      <c r="AF571" s="9"/>
      <c r="AG571" s="125" t="str">
        <f t="shared" si="488"/>
        <v/>
      </c>
      <c r="AH571" s="28"/>
      <c r="AI571" s="28"/>
      <c r="AJ571" s="125" t="str">
        <f t="shared" si="489"/>
        <v/>
      </c>
      <c r="AK571" s="9"/>
      <c r="AL571" s="125" t="str">
        <f t="shared" si="490"/>
        <v/>
      </c>
      <c r="AM571" s="28"/>
      <c r="AN571" s="28"/>
      <c r="AO571" s="125" t="str">
        <f t="shared" si="491"/>
        <v/>
      </c>
      <c r="AP571" s="125" t="str">
        <f t="shared" si="492"/>
        <v/>
      </c>
      <c r="AQ571" s="125" t="str">
        <f t="shared" si="493"/>
        <v/>
      </c>
      <c r="AR571" s="129" t="str">
        <f t="shared" si="494"/>
        <v/>
      </c>
      <c r="AS571" s="9"/>
      <c r="AT571" s="34"/>
      <c r="AU571" s="34"/>
      <c r="AV571" s="117" t="str">
        <f>IF(_xlfn.XLOOKUP(AT571, AutoFill_classes!$A:$A, AutoFill_classes!$B:$B,"")=0,"",_xlfn.XLOOKUP(AT571, AutoFill_classes!$A:$A, AutoFill_classes!$B:$B,""))</f>
        <v/>
      </c>
      <c r="AW571" s="108"/>
      <c r="AX571" s="9"/>
      <c r="AY571" s="10"/>
      <c r="AZ571" s="9"/>
      <c r="BA571" s="10"/>
      <c r="BB571" s="10"/>
      <c r="BC571" s="64"/>
      <c r="BD571" s="25"/>
      <c r="BE571" s="121" t="str">
        <f t="shared" si="495"/>
        <v/>
      </c>
      <c r="BF571" s="20"/>
      <c r="BG571" s="20"/>
      <c r="BH571" s="24"/>
      <c r="BI571" s="24"/>
      <c r="BJ571" s="125" t="str">
        <f t="shared" si="496"/>
        <v/>
      </c>
      <c r="BK571" s="14"/>
      <c r="BL571" s="125" t="str">
        <f t="shared" si="497"/>
        <v/>
      </c>
      <c r="BM571" s="24"/>
      <c r="BN571" s="24"/>
      <c r="BO571" s="125" t="str">
        <f t="shared" si="498"/>
        <v/>
      </c>
      <c r="BP571" s="14"/>
      <c r="BQ571" s="125" t="str">
        <f t="shared" si="499"/>
        <v/>
      </c>
      <c r="BR571" s="24"/>
      <c r="BS571" s="24"/>
      <c r="BT571" s="125" t="str">
        <f t="shared" si="500"/>
        <v/>
      </c>
      <c r="BU571" s="125" t="str">
        <f t="shared" si="501"/>
        <v/>
      </c>
      <c r="BV571" s="125" t="str">
        <f t="shared" si="502"/>
        <v/>
      </c>
      <c r="BW571" s="129" t="str">
        <f t="shared" si="503"/>
        <v/>
      </c>
      <c r="BX571" s="9"/>
      <c r="BY571" s="9"/>
      <c r="BZ571" s="9"/>
      <c r="CA571" s="117" t="str">
        <f>IF(_xlfn.XLOOKUP(BY571, AutoFill_classes!$A:$A, AutoFill_classes!$B:$B,"")=0,"",_xlfn.XLOOKUP(BY571, AutoFill_classes!$A:$A, AutoFill_classes!$B:$B,""))</f>
        <v/>
      </c>
      <c r="CB571" s="108"/>
      <c r="CC571" s="9"/>
      <c r="CD571" s="9"/>
      <c r="CE571" s="9"/>
      <c r="CF571" s="4"/>
      <c r="CG571" s="25"/>
      <c r="CH571" s="64"/>
      <c r="CI571" s="27"/>
      <c r="CJ571" s="121" t="str">
        <f t="shared" si="504"/>
        <v/>
      </c>
      <c r="CK571" s="20"/>
      <c r="CL571" s="20"/>
      <c r="CM571" s="24"/>
      <c r="CN571" s="24"/>
      <c r="CO571" s="125" t="str">
        <f t="shared" si="505"/>
        <v/>
      </c>
      <c r="CP571" s="14"/>
      <c r="CQ571" s="125" t="str">
        <f t="shared" si="506"/>
        <v/>
      </c>
      <c r="CR571" s="24"/>
      <c r="CS571" s="24"/>
      <c r="CT571" s="125" t="str">
        <f t="shared" si="507"/>
        <v/>
      </c>
      <c r="CU571" s="14"/>
      <c r="CV571" s="125" t="str">
        <f t="shared" si="508"/>
        <v/>
      </c>
      <c r="CW571" s="24"/>
      <c r="CX571" s="24"/>
      <c r="CY571" s="125" t="str">
        <f t="shared" si="509"/>
        <v/>
      </c>
      <c r="CZ571" s="125" t="str">
        <f t="shared" si="510"/>
        <v/>
      </c>
      <c r="DA571" s="125" t="str">
        <f t="shared" si="511"/>
        <v/>
      </c>
      <c r="DB571" s="129" t="str">
        <f t="shared" si="512"/>
        <v/>
      </c>
      <c r="DC571" s="9"/>
      <c r="DD571" s="65"/>
      <c r="DE571" s="105">
        <v>567</v>
      </c>
    </row>
    <row r="572" spans="1:109" outlineLevel="1" x14ac:dyDescent="0.2">
      <c r="A572" s="4"/>
      <c r="B572" s="115" t="str">
        <f>IF(_xlfn.XLOOKUP(A572, AutoFill_names!B:B, AutoFill_names!C:C,"")=0,"",_xlfn.XLOOKUP(A572, AutoFill_names!B:B, AutoFill_names!C:C,""))</f>
        <v/>
      </c>
      <c r="C572" s="115" t="str">
        <f>IF(_xlfn.XLOOKUP(A572, AutoFill_names!B:B, AutoFill_names!D:D,"")=0,"",_xlfn.XLOOKUP(A572, AutoFill_names!B:B, AutoFill_names!D:D,""))</f>
        <v/>
      </c>
      <c r="D572" s="115" t="str">
        <f>IF(_xlfn.XLOOKUP(A572, AutoFill_names!B:B, AutoFill_names!E:E,"")=0,"",_xlfn.XLOOKUP(A572, AutoFill_names!B:B, AutoFill_names!E:E,""))</f>
        <v/>
      </c>
      <c r="E572" s="115" t="str">
        <f>IF(_xlfn.XLOOKUP(A572, AutoFill_names!B:B, AutoFill_names!F:F,"")=0,"",_xlfn.XLOOKUP(A572, AutoFill_names!B:B, AutoFill_names!F:F,""))</f>
        <v/>
      </c>
      <c r="F572" s="92"/>
      <c r="G572" s="1"/>
      <c r="H572" s="1"/>
      <c r="I572" s="1"/>
      <c r="J572" s="115" t="str">
        <f>IF(_xlfn.XLOOKUP(A572, AutoFill_names!B:B, AutoFill_names!K:K,"")=0,"",_xlfn.XLOOKUP(A572, AutoFill_names!B:B, AutoFill_names!K:K,""))</f>
        <v/>
      </c>
      <c r="K572" s="115" t="str">
        <f>IF(_xlfn.XLOOKUP(A572, AutoFill_names!B:B, AutoFill_names!L:L,"")=0,"",_xlfn.XLOOKUP(A572, AutoFill_names!B:B, AutoFill_names!L:L,""))</f>
        <v/>
      </c>
      <c r="L572" s="5"/>
      <c r="M572" s="5"/>
      <c r="N572" s="117" t="str">
        <f>IF(_xlfn.XLOOKUP(L572, AutoFill_classes!A:A, AutoFill_classes!B:B,"")=0,"",_xlfn.XLOOKUP(L572, AutoFill_classes!A:A, AutoFill_classes!B:B,""))</f>
        <v/>
      </c>
      <c r="O572" s="108"/>
      <c r="P572" s="8"/>
      <c r="Q572" s="8"/>
      <c r="R572" s="8"/>
      <c r="S572" s="4"/>
      <c r="T572" s="4"/>
      <c r="U572" s="4"/>
      <c r="V572" s="4"/>
      <c r="W572" s="4"/>
      <c r="X572" s="64"/>
      <c r="Y572" s="25"/>
      <c r="Z572" s="121" t="str">
        <f t="shared" si="486"/>
        <v/>
      </c>
      <c r="AA572" s="26"/>
      <c r="AB572" s="26"/>
      <c r="AC572" s="28"/>
      <c r="AD572" s="28"/>
      <c r="AE572" s="125" t="str">
        <f t="shared" si="487"/>
        <v/>
      </c>
      <c r="AF572" s="9"/>
      <c r="AG572" s="125" t="str">
        <f t="shared" si="488"/>
        <v/>
      </c>
      <c r="AH572" s="28"/>
      <c r="AI572" s="28"/>
      <c r="AJ572" s="125" t="str">
        <f t="shared" si="489"/>
        <v/>
      </c>
      <c r="AK572" s="9"/>
      <c r="AL572" s="125" t="str">
        <f t="shared" si="490"/>
        <v/>
      </c>
      <c r="AM572" s="28"/>
      <c r="AN572" s="28"/>
      <c r="AO572" s="125" t="str">
        <f t="shared" si="491"/>
        <v/>
      </c>
      <c r="AP572" s="125" t="str">
        <f t="shared" si="492"/>
        <v/>
      </c>
      <c r="AQ572" s="125" t="str">
        <f t="shared" si="493"/>
        <v/>
      </c>
      <c r="AR572" s="129" t="str">
        <f t="shared" si="494"/>
        <v/>
      </c>
      <c r="AS572" s="9"/>
      <c r="AT572" s="34"/>
      <c r="AU572" s="34"/>
      <c r="AV572" s="117" t="str">
        <f>IF(_xlfn.XLOOKUP(AT572, AutoFill_classes!$A:$A, AutoFill_classes!$B:$B,"")=0,"",_xlfn.XLOOKUP(AT572, AutoFill_classes!$A:$A, AutoFill_classes!$B:$B,""))</f>
        <v/>
      </c>
      <c r="AW572" s="108"/>
      <c r="AX572" s="9"/>
      <c r="AY572" s="10"/>
      <c r="AZ572" s="9"/>
      <c r="BA572" s="10"/>
      <c r="BB572" s="10"/>
      <c r="BC572" s="64"/>
      <c r="BD572" s="25"/>
      <c r="BE572" s="121" t="str">
        <f t="shared" si="495"/>
        <v/>
      </c>
      <c r="BF572" s="20"/>
      <c r="BG572" s="20"/>
      <c r="BH572" s="24"/>
      <c r="BI572" s="24"/>
      <c r="BJ572" s="125" t="str">
        <f t="shared" si="496"/>
        <v/>
      </c>
      <c r="BK572" s="14"/>
      <c r="BL572" s="125" t="str">
        <f t="shared" si="497"/>
        <v/>
      </c>
      <c r="BM572" s="24"/>
      <c r="BN572" s="24"/>
      <c r="BO572" s="125" t="str">
        <f t="shared" si="498"/>
        <v/>
      </c>
      <c r="BP572" s="14"/>
      <c r="BQ572" s="125" t="str">
        <f t="shared" si="499"/>
        <v/>
      </c>
      <c r="BR572" s="24"/>
      <c r="BS572" s="24"/>
      <c r="BT572" s="125" t="str">
        <f t="shared" si="500"/>
        <v/>
      </c>
      <c r="BU572" s="125" t="str">
        <f t="shared" si="501"/>
        <v/>
      </c>
      <c r="BV572" s="125" t="str">
        <f t="shared" si="502"/>
        <v/>
      </c>
      <c r="BW572" s="129" t="str">
        <f t="shared" si="503"/>
        <v/>
      </c>
      <c r="BX572" s="9"/>
      <c r="BY572" s="9"/>
      <c r="BZ572" s="9"/>
      <c r="CA572" s="117" t="str">
        <f>IF(_xlfn.XLOOKUP(BY572, AutoFill_classes!$A:$A, AutoFill_classes!$B:$B,"")=0,"",_xlfn.XLOOKUP(BY572, AutoFill_classes!$A:$A, AutoFill_classes!$B:$B,""))</f>
        <v/>
      </c>
      <c r="CB572" s="108"/>
      <c r="CC572" s="9"/>
      <c r="CD572" s="9"/>
      <c r="CE572" s="9"/>
      <c r="CF572" s="4"/>
      <c r="CG572" s="25"/>
      <c r="CH572" s="64"/>
      <c r="CI572" s="27"/>
      <c r="CJ572" s="121" t="str">
        <f t="shared" si="504"/>
        <v/>
      </c>
      <c r="CK572" s="20"/>
      <c r="CL572" s="20"/>
      <c r="CM572" s="24"/>
      <c r="CN572" s="24"/>
      <c r="CO572" s="125" t="str">
        <f t="shared" si="505"/>
        <v/>
      </c>
      <c r="CP572" s="14"/>
      <c r="CQ572" s="125" t="str">
        <f t="shared" si="506"/>
        <v/>
      </c>
      <c r="CR572" s="24"/>
      <c r="CS572" s="24"/>
      <c r="CT572" s="125" t="str">
        <f t="shared" si="507"/>
        <v/>
      </c>
      <c r="CU572" s="14"/>
      <c r="CV572" s="125" t="str">
        <f t="shared" si="508"/>
        <v/>
      </c>
      <c r="CW572" s="24"/>
      <c r="CX572" s="24"/>
      <c r="CY572" s="125" t="str">
        <f t="shared" si="509"/>
        <v/>
      </c>
      <c r="CZ572" s="125" t="str">
        <f t="shared" si="510"/>
        <v/>
      </c>
      <c r="DA572" s="125" t="str">
        <f t="shared" si="511"/>
        <v/>
      </c>
      <c r="DB572" s="129" t="str">
        <f t="shared" si="512"/>
        <v/>
      </c>
      <c r="DC572" s="9"/>
      <c r="DD572" s="65"/>
      <c r="DE572" s="105">
        <v>568</v>
      </c>
    </row>
    <row r="573" spans="1:109" outlineLevel="1" x14ac:dyDescent="0.2">
      <c r="A573" s="4"/>
      <c r="B573" s="115" t="str">
        <f>IF(_xlfn.XLOOKUP(A573, AutoFill_names!B:B, AutoFill_names!C:C,"")=0,"",_xlfn.XLOOKUP(A573, AutoFill_names!B:B, AutoFill_names!C:C,""))</f>
        <v/>
      </c>
      <c r="C573" s="115" t="str">
        <f>IF(_xlfn.XLOOKUP(A573, AutoFill_names!B:B, AutoFill_names!D:D,"")=0,"",_xlfn.XLOOKUP(A573, AutoFill_names!B:B, AutoFill_names!D:D,""))</f>
        <v/>
      </c>
      <c r="D573" s="115" t="str">
        <f>IF(_xlfn.XLOOKUP(A573, AutoFill_names!B:B, AutoFill_names!E:E,"")=0,"",_xlfn.XLOOKUP(A573, AutoFill_names!B:B, AutoFill_names!E:E,""))</f>
        <v/>
      </c>
      <c r="E573" s="115" t="str">
        <f>IF(_xlfn.XLOOKUP(A573, AutoFill_names!B:B, AutoFill_names!F:F,"")=0,"",_xlfn.XLOOKUP(A573, AutoFill_names!B:B, AutoFill_names!F:F,""))</f>
        <v/>
      </c>
      <c r="F573" s="92"/>
      <c r="G573" s="1"/>
      <c r="H573" s="1"/>
      <c r="I573" s="1"/>
      <c r="J573" s="115" t="str">
        <f>IF(_xlfn.XLOOKUP(A573, AutoFill_names!B:B, AutoFill_names!K:K,"")=0,"",_xlfn.XLOOKUP(A573, AutoFill_names!B:B, AutoFill_names!K:K,""))</f>
        <v/>
      </c>
      <c r="K573" s="115" t="str">
        <f>IF(_xlfn.XLOOKUP(A573, AutoFill_names!B:B, AutoFill_names!L:L,"")=0,"",_xlfn.XLOOKUP(A573, AutoFill_names!B:B, AutoFill_names!L:L,""))</f>
        <v/>
      </c>
      <c r="L573" s="5"/>
      <c r="M573" s="5"/>
      <c r="N573" s="117" t="str">
        <f>IF(_xlfn.XLOOKUP(L573, AutoFill_classes!A:A, AutoFill_classes!B:B,"")=0,"",_xlfn.XLOOKUP(L573, AutoFill_classes!A:A, AutoFill_classes!B:B,""))</f>
        <v/>
      </c>
      <c r="O573" s="108"/>
      <c r="P573" s="8"/>
      <c r="Q573" s="8"/>
      <c r="R573" s="8"/>
      <c r="S573" s="4"/>
      <c r="T573" s="4"/>
      <c r="U573" s="4"/>
      <c r="V573" s="4"/>
      <c r="W573" s="4"/>
      <c r="X573" s="64"/>
      <c r="Y573" s="25"/>
      <c r="Z573" s="121" t="str">
        <f t="shared" si="486"/>
        <v/>
      </c>
      <c r="AA573" s="26"/>
      <c r="AB573" s="26"/>
      <c r="AC573" s="28"/>
      <c r="AD573" s="28"/>
      <c r="AE573" s="125" t="str">
        <f t="shared" si="487"/>
        <v/>
      </c>
      <c r="AF573" s="9"/>
      <c r="AG573" s="125" t="str">
        <f t="shared" si="488"/>
        <v/>
      </c>
      <c r="AH573" s="28"/>
      <c r="AI573" s="28"/>
      <c r="AJ573" s="125" t="str">
        <f t="shared" si="489"/>
        <v/>
      </c>
      <c r="AK573" s="9"/>
      <c r="AL573" s="125" t="str">
        <f t="shared" si="490"/>
        <v/>
      </c>
      <c r="AM573" s="28"/>
      <c r="AN573" s="28"/>
      <c r="AO573" s="125" t="str">
        <f t="shared" si="491"/>
        <v/>
      </c>
      <c r="AP573" s="125" t="str">
        <f t="shared" si="492"/>
        <v/>
      </c>
      <c r="AQ573" s="125" t="str">
        <f t="shared" si="493"/>
        <v/>
      </c>
      <c r="AR573" s="129" t="str">
        <f t="shared" si="494"/>
        <v/>
      </c>
      <c r="AS573" s="9"/>
      <c r="AT573" s="34"/>
      <c r="AU573" s="34"/>
      <c r="AV573" s="117" t="str">
        <f>IF(_xlfn.XLOOKUP(AT573, AutoFill_classes!$A:$A, AutoFill_classes!$B:$B,"")=0,"",_xlfn.XLOOKUP(AT573, AutoFill_classes!$A:$A, AutoFill_classes!$B:$B,""))</f>
        <v/>
      </c>
      <c r="AW573" s="108"/>
      <c r="AX573" s="9"/>
      <c r="AY573" s="10"/>
      <c r="AZ573" s="9"/>
      <c r="BA573" s="10"/>
      <c r="BB573" s="10"/>
      <c r="BC573" s="64"/>
      <c r="BD573" s="25"/>
      <c r="BE573" s="121" t="str">
        <f t="shared" si="495"/>
        <v/>
      </c>
      <c r="BF573" s="20"/>
      <c r="BG573" s="20"/>
      <c r="BH573" s="24"/>
      <c r="BI573" s="24"/>
      <c r="BJ573" s="125" t="str">
        <f t="shared" si="496"/>
        <v/>
      </c>
      <c r="BK573" s="14"/>
      <c r="BL573" s="125" t="str">
        <f t="shared" si="497"/>
        <v/>
      </c>
      <c r="BM573" s="24"/>
      <c r="BN573" s="24"/>
      <c r="BO573" s="125" t="str">
        <f t="shared" si="498"/>
        <v/>
      </c>
      <c r="BP573" s="14"/>
      <c r="BQ573" s="125" t="str">
        <f t="shared" si="499"/>
        <v/>
      </c>
      <c r="BR573" s="24"/>
      <c r="BS573" s="24"/>
      <c r="BT573" s="125" t="str">
        <f t="shared" si="500"/>
        <v/>
      </c>
      <c r="BU573" s="125" t="str">
        <f t="shared" si="501"/>
        <v/>
      </c>
      <c r="BV573" s="125" t="str">
        <f t="shared" si="502"/>
        <v/>
      </c>
      <c r="BW573" s="129" t="str">
        <f t="shared" si="503"/>
        <v/>
      </c>
      <c r="BX573" s="9"/>
      <c r="BY573" s="9"/>
      <c r="BZ573" s="9"/>
      <c r="CA573" s="117" t="str">
        <f>IF(_xlfn.XLOOKUP(BY573, AutoFill_classes!$A:$A, AutoFill_classes!$B:$B,"")=0,"",_xlfn.XLOOKUP(BY573, AutoFill_classes!$A:$A, AutoFill_classes!$B:$B,""))</f>
        <v/>
      </c>
      <c r="CB573" s="108"/>
      <c r="CC573" s="9"/>
      <c r="CD573" s="9"/>
      <c r="CE573" s="9"/>
      <c r="CF573" s="4"/>
      <c r="CG573" s="25"/>
      <c r="CH573" s="64"/>
      <c r="CI573" s="27"/>
      <c r="CJ573" s="121" t="str">
        <f t="shared" si="504"/>
        <v/>
      </c>
      <c r="CK573" s="20"/>
      <c r="CL573" s="20"/>
      <c r="CM573" s="24"/>
      <c r="CN573" s="24"/>
      <c r="CO573" s="125" t="str">
        <f t="shared" si="505"/>
        <v/>
      </c>
      <c r="CP573" s="14"/>
      <c r="CQ573" s="125" t="str">
        <f t="shared" si="506"/>
        <v/>
      </c>
      <c r="CR573" s="24"/>
      <c r="CS573" s="24"/>
      <c r="CT573" s="125" t="str">
        <f t="shared" si="507"/>
        <v/>
      </c>
      <c r="CU573" s="14"/>
      <c r="CV573" s="125" t="str">
        <f t="shared" si="508"/>
        <v/>
      </c>
      <c r="CW573" s="24"/>
      <c r="CX573" s="24"/>
      <c r="CY573" s="125" t="str">
        <f t="shared" si="509"/>
        <v/>
      </c>
      <c r="CZ573" s="125" t="str">
        <f t="shared" si="510"/>
        <v/>
      </c>
      <c r="DA573" s="125" t="str">
        <f t="shared" si="511"/>
        <v/>
      </c>
      <c r="DB573" s="129" t="str">
        <f t="shared" si="512"/>
        <v/>
      </c>
      <c r="DC573" s="9"/>
      <c r="DD573" s="65"/>
      <c r="DE573" s="105">
        <v>569</v>
      </c>
    </row>
    <row r="574" spans="1:109" outlineLevel="1" x14ac:dyDescent="0.2">
      <c r="A574" s="4"/>
      <c r="B574" s="115" t="str">
        <f>IF(_xlfn.XLOOKUP(A574, AutoFill_names!B:B, AutoFill_names!C:C,"")=0,"",_xlfn.XLOOKUP(A574, AutoFill_names!B:B, AutoFill_names!C:C,""))</f>
        <v/>
      </c>
      <c r="C574" s="115" t="str">
        <f>IF(_xlfn.XLOOKUP(A574, AutoFill_names!B:B, AutoFill_names!D:D,"")=0,"",_xlfn.XLOOKUP(A574, AutoFill_names!B:B, AutoFill_names!D:D,""))</f>
        <v/>
      </c>
      <c r="D574" s="115" t="str">
        <f>IF(_xlfn.XLOOKUP(A574, AutoFill_names!B:B, AutoFill_names!E:E,"")=0,"",_xlfn.XLOOKUP(A574, AutoFill_names!B:B, AutoFill_names!E:E,""))</f>
        <v/>
      </c>
      <c r="E574" s="115" t="str">
        <f>IF(_xlfn.XLOOKUP(A574, AutoFill_names!B:B, AutoFill_names!F:F,"")=0,"",_xlfn.XLOOKUP(A574, AutoFill_names!B:B, AutoFill_names!F:F,""))</f>
        <v/>
      </c>
      <c r="F574" s="92"/>
      <c r="G574" s="1"/>
      <c r="H574" s="1"/>
      <c r="I574" s="1"/>
      <c r="J574" s="115" t="str">
        <f>IF(_xlfn.XLOOKUP(A574, AutoFill_names!B:B, AutoFill_names!K:K,"")=0,"",_xlfn.XLOOKUP(A574, AutoFill_names!B:B, AutoFill_names!K:K,""))</f>
        <v/>
      </c>
      <c r="K574" s="115" t="str">
        <f>IF(_xlfn.XLOOKUP(A574, AutoFill_names!B:B, AutoFill_names!L:L,"")=0,"",_xlfn.XLOOKUP(A574, AutoFill_names!B:B, AutoFill_names!L:L,""))</f>
        <v/>
      </c>
      <c r="L574" s="5"/>
      <c r="M574" s="5"/>
      <c r="N574" s="117" t="str">
        <f>IF(_xlfn.XLOOKUP(L574, AutoFill_classes!A:A, AutoFill_classes!B:B,"")=0,"",_xlfn.XLOOKUP(L574, AutoFill_classes!A:A, AutoFill_classes!B:B,""))</f>
        <v/>
      </c>
      <c r="O574" s="108"/>
      <c r="P574" s="8"/>
      <c r="Q574" s="8"/>
      <c r="R574" s="8"/>
      <c r="S574" s="4"/>
      <c r="T574" s="4"/>
      <c r="U574" s="4"/>
      <c r="V574" s="4"/>
      <c r="W574" s="4"/>
      <c r="X574" s="64"/>
      <c r="Y574" s="25"/>
      <c r="Z574" s="121" t="str">
        <f t="shared" si="486"/>
        <v/>
      </c>
      <c r="AA574" s="26"/>
      <c r="AB574" s="26"/>
      <c r="AC574" s="28"/>
      <c r="AD574" s="28"/>
      <c r="AE574" s="125" t="str">
        <f t="shared" si="487"/>
        <v/>
      </c>
      <c r="AF574" s="9"/>
      <c r="AG574" s="125" t="str">
        <f t="shared" si="488"/>
        <v/>
      </c>
      <c r="AH574" s="28"/>
      <c r="AI574" s="28"/>
      <c r="AJ574" s="125" t="str">
        <f t="shared" si="489"/>
        <v/>
      </c>
      <c r="AK574" s="9"/>
      <c r="AL574" s="125" t="str">
        <f t="shared" si="490"/>
        <v/>
      </c>
      <c r="AM574" s="28"/>
      <c r="AN574" s="28"/>
      <c r="AO574" s="125" t="str">
        <f t="shared" si="491"/>
        <v/>
      </c>
      <c r="AP574" s="125" t="str">
        <f t="shared" si="492"/>
        <v/>
      </c>
      <c r="AQ574" s="125" t="str">
        <f t="shared" si="493"/>
        <v/>
      </c>
      <c r="AR574" s="129" t="str">
        <f t="shared" si="494"/>
        <v/>
      </c>
      <c r="AS574" s="9"/>
      <c r="AT574" s="34"/>
      <c r="AU574" s="34"/>
      <c r="AV574" s="117" t="str">
        <f>IF(_xlfn.XLOOKUP(AT574, AutoFill_classes!$A:$A, AutoFill_classes!$B:$B,"")=0,"",_xlfn.XLOOKUP(AT574, AutoFill_classes!$A:$A, AutoFill_classes!$B:$B,""))</f>
        <v/>
      </c>
      <c r="AW574" s="108"/>
      <c r="AX574" s="9"/>
      <c r="AY574" s="10"/>
      <c r="AZ574" s="9"/>
      <c r="BA574" s="10"/>
      <c r="BB574" s="10"/>
      <c r="BC574" s="64"/>
      <c r="BD574" s="25"/>
      <c r="BE574" s="121" t="str">
        <f t="shared" si="495"/>
        <v/>
      </c>
      <c r="BF574" s="20"/>
      <c r="BG574" s="20"/>
      <c r="BH574" s="24"/>
      <c r="BI574" s="24"/>
      <c r="BJ574" s="125" t="str">
        <f t="shared" si="496"/>
        <v/>
      </c>
      <c r="BK574" s="14"/>
      <c r="BL574" s="125" t="str">
        <f t="shared" si="497"/>
        <v/>
      </c>
      <c r="BM574" s="24"/>
      <c r="BN574" s="24"/>
      <c r="BO574" s="125" t="str">
        <f t="shared" si="498"/>
        <v/>
      </c>
      <c r="BP574" s="14"/>
      <c r="BQ574" s="125" t="str">
        <f t="shared" si="499"/>
        <v/>
      </c>
      <c r="BR574" s="24"/>
      <c r="BS574" s="24"/>
      <c r="BT574" s="125" t="str">
        <f t="shared" si="500"/>
        <v/>
      </c>
      <c r="BU574" s="125" t="str">
        <f t="shared" si="501"/>
        <v/>
      </c>
      <c r="BV574" s="125" t="str">
        <f t="shared" si="502"/>
        <v/>
      </c>
      <c r="BW574" s="129" t="str">
        <f t="shared" si="503"/>
        <v/>
      </c>
      <c r="BX574" s="9"/>
      <c r="BY574" s="9"/>
      <c r="BZ574" s="9"/>
      <c r="CA574" s="117" t="str">
        <f>IF(_xlfn.XLOOKUP(BY574, AutoFill_classes!$A:$A, AutoFill_classes!$B:$B,"")=0,"",_xlfn.XLOOKUP(BY574, AutoFill_classes!$A:$A, AutoFill_classes!$B:$B,""))</f>
        <v/>
      </c>
      <c r="CB574" s="108"/>
      <c r="CC574" s="9"/>
      <c r="CD574" s="9"/>
      <c r="CE574" s="9"/>
      <c r="CF574" s="4"/>
      <c r="CG574" s="25"/>
      <c r="CH574" s="64"/>
      <c r="CI574" s="27"/>
      <c r="CJ574" s="121" t="str">
        <f t="shared" si="504"/>
        <v/>
      </c>
      <c r="CK574" s="20"/>
      <c r="CL574" s="20"/>
      <c r="CM574" s="24"/>
      <c r="CN574" s="24"/>
      <c r="CO574" s="125" t="str">
        <f t="shared" si="505"/>
        <v/>
      </c>
      <c r="CP574" s="14"/>
      <c r="CQ574" s="125" t="str">
        <f t="shared" si="506"/>
        <v/>
      </c>
      <c r="CR574" s="24"/>
      <c r="CS574" s="24"/>
      <c r="CT574" s="125" t="str">
        <f t="shared" si="507"/>
        <v/>
      </c>
      <c r="CU574" s="14"/>
      <c r="CV574" s="125" t="str">
        <f t="shared" si="508"/>
        <v/>
      </c>
      <c r="CW574" s="24"/>
      <c r="CX574" s="24"/>
      <c r="CY574" s="125" t="str">
        <f t="shared" si="509"/>
        <v/>
      </c>
      <c r="CZ574" s="125" t="str">
        <f t="shared" si="510"/>
        <v/>
      </c>
      <c r="DA574" s="125" t="str">
        <f t="shared" si="511"/>
        <v/>
      </c>
      <c r="DB574" s="129" t="str">
        <f t="shared" si="512"/>
        <v/>
      </c>
      <c r="DC574" s="9"/>
      <c r="DD574" s="65"/>
      <c r="DE574" s="105">
        <v>570</v>
      </c>
    </row>
    <row r="575" spans="1:109" outlineLevel="1" x14ac:dyDescent="0.2">
      <c r="A575" s="4"/>
      <c r="B575" s="115" t="str">
        <f>IF(_xlfn.XLOOKUP(A575, AutoFill_names!B:B, AutoFill_names!C:C,"")=0,"",_xlfn.XLOOKUP(A575, AutoFill_names!B:B, AutoFill_names!C:C,""))</f>
        <v/>
      </c>
      <c r="C575" s="115" t="str">
        <f>IF(_xlfn.XLOOKUP(A575, AutoFill_names!B:B, AutoFill_names!D:D,"")=0,"",_xlfn.XLOOKUP(A575, AutoFill_names!B:B, AutoFill_names!D:D,""))</f>
        <v/>
      </c>
      <c r="D575" s="115" t="str">
        <f>IF(_xlfn.XLOOKUP(A575, AutoFill_names!B:B, AutoFill_names!E:E,"")=0,"",_xlfn.XLOOKUP(A575, AutoFill_names!B:B, AutoFill_names!E:E,""))</f>
        <v/>
      </c>
      <c r="E575" s="115" t="str">
        <f>IF(_xlfn.XLOOKUP(A575, AutoFill_names!B:B, AutoFill_names!F:F,"")=0,"",_xlfn.XLOOKUP(A575, AutoFill_names!B:B, AutoFill_names!F:F,""))</f>
        <v/>
      </c>
      <c r="F575" s="92"/>
      <c r="G575" s="1"/>
      <c r="H575" s="1"/>
      <c r="I575" s="1"/>
      <c r="J575" s="115" t="str">
        <f>IF(_xlfn.XLOOKUP(A575, AutoFill_names!B:B, AutoFill_names!K:K,"")=0,"",_xlfn.XLOOKUP(A575, AutoFill_names!B:B, AutoFill_names!K:K,""))</f>
        <v/>
      </c>
      <c r="K575" s="115" t="str">
        <f>IF(_xlfn.XLOOKUP(A575, AutoFill_names!B:B, AutoFill_names!L:L,"")=0,"",_xlfn.XLOOKUP(A575, AutoFill_names!B:B, AutoFill_names!L:L,""))</f>
        <v/>
      </c>
      <c r="L575" s="5"/>
      <c r="M575" s="5"/>
      <c r="N575" s="117" t="str">
        <f>IF(_xlfn.XLOOKUP(L575, AutoFill_classes!A:A, AutoFill_classes!B:B,"")=0,"",_xlfn.XLOOKUP(L575, AutoFill_classes!A:A, AutoFill_classes!B:B,""))</f>
        <v/>
      </c>
      <c r="O575" s="108"/>
      <c r="P575" s="8"/>
      <c r="Q575" s="8"/>
      <c r="R575" s="8"/>
      <c r="S575" s="4"/>
      <c r="T575" s="4"/>
      <c r="U575" s="4"/>
      <c r="V575" s="4"/>
      <c r="W575" s="4"/>
      <c r="X575" s="64"/>
      <c r="Y575" s="25"/>
      <c r="Z575" s="121" t="str">
        <f t="shared" si="486"/>
        <v/>
      </c>
      <c r="AA575" s="26"/>
      <c r="AB575" s="26"/>
      <c r="AC575" s="28"/>
      <c r="AD575" s="28"/>
      <c r="AE575" s="125" t="str">
        <f t="shared" si="487"/>
        <v/>
      </c>
      <c r="AF575" s="9"/>
      <c r="AG575" s="125" t="str">
        <f t="shared" si="488"/>
        <v/>
      </c>
      <c r="AH575" s="28"/>
      <c r="AI575" s="28"/>
      <c r="AJ575" s="125" t="str">
        <f t="shared" si="489"/>
        <v/>
      </c>
      <c r="AK575" s="9"/>
      <c r="AL575" s="125" t="str">
        <f t="shared" si="490"/>
        <v/>
      </c>
      <c r="AM575" s="28"/>
      <c r="AN575" s="28"/>
      <c r="AO575" s="125" t="str">
        <f t="shared" si="491"/>
        <v/>
      </c>
      <c r="AP575" s="125" t="str">
        <f t="shared" si="492"/>
        <v/>
      </c>
      <c r="AQ575" s="125" t="str">
        <f t="shared" si="493"/>
        <v/>
      </c>
      <c r="AR575" s="129" t="str">
        <f t="shared" si="494"/>
        <v/>
      </c>
      <c r="AS575" s="9"/>
      <c r="AT575" s="34"/>
      <c r="AU575" s="34"/>
      <c r="AV575" s="117" t="str">
        <f>IF(_xlfn.XLOOKUP(AT575, AutoFill_classes!$A:$A, AutoFill_classes!$B:$B,"")=0,"",_xlfn.XLOOKUP(AT575, AutoFill_classes!$A:$A, AutoFill_classes!$B:$B,""))</f>
        <v/>
      </c>
      <c r="AW575" s="108"/>
      <c r="AX575" s="9"/>
      <c r="AY575" s="10"/>
      <c r="AZ575" s="9"/>
      <c r="BA575" s="10"/>
      <c r="BB575" s="10"/>
      <c r="BC575" s="64"/>
      <c r="BD575" s="25"/>
      <c r="BE575" s="121" t="str">
        <f t="shared" si="495"/>
        <v/>
      </c>
      <c r="BF575" s="20"/>
      <c r="BG575" s="20"/>
      <c r="BH575" s="24"/>
      <c r="BI575" s="24"/>
      <c r="BJ575" s="125" t="str">
        <f t="shared" si="496"/>
        <v/>
      </c>
      <c r="BK575" s="14"/>
      <c r="BL575" s="125" t="str">
        <f t="shared" si="497"/>
        <v/>
      </c>
      <c r="BM575" s="24"/>
      <c r="BN575" s="24"/>
      <c r="BO575" s="125" t="str">
        <f t="shared" si="498"/>
        <v/>
      </c>
      <c r="BP575" s="14"/>
      <c r="BQ575" s="125" t="str">
        <f t="shared" si="499"/>
        <v/>
      </c>
      <c r="BR575" s="24"/>
      <c r="BS575" s="24"/>
      <c r="BT575" s="125" t="str">
        <f t="shared" si="500"/>
        <v/>
      </c>
      <c r="BU575" s="125" t="str">
        <f t="shared" si="501"/>
        <v/>
      </c>
      <c r="BV575" s="125" t="str">
        <f t="shared" si="502"/>
        <v/>
      </c>
      <c r="BW575" s="129" t="str">
        <f t="shared" si="503"/>
        <v/>
      </c>
      <c r="BX575" s="9"/>
      <c r="BY575" s="9"/>
      <c r="BZ575" s="9"/>
      <c r="CA575" s="117" t="str">
        <f>IF(_xlfn.XLOOKUP(BY575, AutoFill_classes!$A:$A, AutoFill_classes!$B:$B,"")=0,"",_xlfn.XLOOKUP(BY575, AutoFill_classes!$A:$A, AutoFill_classes!$B:$B,""))</f>
        <v/>
      </c>
      <c r="CB575" s="108"/>
      <c r="CC575" s="9"/>
      <c r="CD575" s="9"/>
      <c r="CE575" s="9"/>
      <c r="CF575" s="4"/>
      <c r="CG575" s="25"/>
      <c r="CH575" s="64"/>
      <c r="CI575" s="27"/>
      <c r="CJ575" s="121" t="str">
        <f t="shared" si="504"/>
        <v/>
      </c>
      <c r="CK575" s="20"/>
      <c r="CL575" s="20"/>
      <c r="CM575" s="24"/>
      <c r="CN575" s="24"/>
      <c r="CO575" s="125" t="str">
        <f t="shared" si="505"/>
        <v/>
      </c>
      <c r="CP575" s="14"/>
      <c r="CQ575" s="125" t="str">
        <f t="shared" si="506"/>
        <v/>
      </c>
      <c r="CR575" s="24"/>
      <c r="CS575" s="24"/>
      <c r="CT575" s="125" t="str">
        <f t="shared" si="507"/>
        <v/>
      </c>
      <c r="CU575" s="14"/>
      <c r="CV575" s="125" t="str">
        <f t="shared" si="508"/>
        <v/>
      </c>
      <c r="CW575" s="24"/>
      <c r="CX575" s="24"/>
      <c r="CY575" s="125" t="str">
        <f t="shared" si="509"/>
        <v/>
      </c>
      <c r="CZ575" s="125" t="str">
        <f t="shared" si="510"/>
        <v/>
      </c>
      <c r="DA575" s="125" t="str">
        <f t="shared" si="511"/>
        <v/>
      </c>
      <c r="DB575" s="129" t="str">
        <f t="shared" si="512"/>
        <v/>
      </c>
      <c r="DC575" s="9"/>
      <c r="DD575" s="65"/>
      <c r="DE575" s="105">
        <v>571</v>
      </c>
    </row>
    <row r="576" spans="1:109" outlineLevel="1" x14ac:dyDescent="0.2">
      <c r="A576" s="4"/>
      <c r="B576" s="115" t="str">
        <f>IF(_xlfn.XLOOKUP(A576, AutoFill_names!B:B, AutoFill_names!C:C,"")=0,"",_xlfn.XLOOKUP(A576, AutoFill_names!B:B, AutoFill_names!C:C,""))</f>
        <v/>
      </c>
      <c r="C576" s="115" t="str">
        <f>IF(_xlfn.XLOOKUP(A576, AutoFill_names!B:B, AutoFill_names!D:D,"")=0,"",_xlfn.XLOOKUP(A576, AutoFill_names!B:B, AutoFill_names!D:D,""))</f>
        <v/>
      </c>
      <c r="D576" s="115" t="str">
        <f>IF(_xlfn.XLOOKUP(A576, AutoFill_names!B:B, AutoFill_names!E:E,"")=0,"",_xlfn.XLOOKUP(A576, AutoFill_names!B:B, AutoFill_names!E:E,""))</f>
        <v/>
      </c>
      <c r="E576" s="115" t="str">
        <f>IF(_xlfn.XLOOKUP(A576, AutoFill_names!B:B, AutoFill_names!F:F,"")=0,"",_xlfn.XLOOKUP(A576, AutoFill_names!B:B, AutoFill_names!F:F,""))</f>
        <v/>
      </c>
      <c r="F576" s="92"/>
      <c r="G576" s="1"/>
      <c r="H576" s="1"/>
      <c r="I576" s="1"/>
      <c r="J576" s="115" t="str">
        <f>IF(_xlfn.XLOOKUP(A576, AutoFill_names!B:B, AutoFill_names!K:K,"")=0,"",_xlfn.XLOOKUP(A576, AutoFill_names!B:B, AutoFill_names!K:K,""))</f>
        <v/>
      </c>
      <c r="K576" s="115" t="str">
        <f>IF(_xlfn.XLOOKUP(A576, AutoFill_names!B:B, AutoFill_names!L:L,"")=0,"",_xlfn.XLOOKUP(A576, AutoFill_names!B:B, AutoFill_names!L:L,""))</f>
        <v/>
      </c>
      <c r="L576" s="5"/>
      <c r="M576" s="5"/>
      <c r="N576" s="117" t="str">
        <f>IF(_xlfn.XLOOKUP(L576, AutoFill_classes!A:A, AutoFill_classes!B:B,"")=0,"",_xlfn.XLOOKUP(L576, AutoFill_classes!A:A, AutoFill_classes!B:B,""))</f>
        <v/>
      </c>
      <c r="O576" s="108"/>
      <c r="P576" s="8"/>
      <c r="Q576" s="8"/>
      <c r="R576" s="8"/>
      <c r="S576" s="4"/>
      <c r="T576" s="4"/>
      <c r="U576" s="4"/>
      <c r="V576" s="4"/>
      <c r="W576" s="4"/>
      <c r="X576" s="64"/>
      <c r="Y576" s="25"/>
      <c r="Z576" s="121" t="str">
        <f t="shared" si="486"/>
        <v/>
      </c>
      <c r="AA576" s="26"/>
      <c r="AB576" s="26"/>
      <c r="AC576" s="28"/>
      <c r="AD576" s="28"/>
      <c r="AE576" s="125" t="str">
        <f t="shared" si="487"/>
        <v/>
      </c>
      <c r="AF576" s="9"/>
      <c r="AG576" s="125" t="str">
        <f t="shared" si="488"/>
        <v/>
      </c>
      <c r="AH576" s="28"/>
      <c r="AI576" s="28"/>
      <c r="AJ576" s="125" t="str">
        <f t="shared" si="489"/>
        <v/>
      </c>
      <c r="AK576" s="9"/>
      <c r="AL576" s="125" t="str">
        <f t="shared" si="490"/>
        <v/>
      </c>
      <c r="AM576" s="28"/>
      <c r="AN576" s="28"/>
      <c r="AO576" s="125" t="str">
        <f t="shared" si="491"/>
        <v/>
      </c>
      <c r="AP576" s="125" t="str">
        <f t="shared" si="492"/>
        <v/>
      </c>
      <c r="AQ576" s="125" t="str">
        <f t="shared" si="493"/>
        <v/>
      </c>
      <c r="AR576" s="129" t="str">
        <f t="shared" si="494"/>
        <v/>
      </c>
      <c r="AS576" s="9"/>
      <c r="AT576" s="34"/>
      <c r="AU576" s="34"/>
      <c r="AV576" s="117" t="str">
        <f>IF(_xlfn.XLOOKUP(AT576, AutoFill_classes!$A:$A, AutoFill_classes!$B:$B,"")=0,"",_xlfn.XLOOKUP(AT576, AutoFill_classes!$A:$A, AutoFill_classes!$B:$B,""))</f>
        <v/>
      </c>
      <c r="AW576" s="108"/>
      <c r="AX576" s="9"/>
      <c r="AY576" s="10"/>
      <c r="AZ576" s="9"/>
      <c r="BA576" s="10"/>
      <c r="BB576" s="10"/>
      <c r="BC576" s="64"/>
      <c r="BD576" s="25"/>
      <c r="BE576" s="121" t="str">
        <f t="shared" si="495"/>
        <v/>
      </c>
      <c r="BF576" s="20"/>
      <c r="BG576" s="20"/>
      <c r="BH576" s="24"/>
      <c r="BI576" s="24"/>
      <c r="BJ576" s="125" t="str">
        <f t="shared" si="496"/>
        <v/>
      </c>
      <c r="BK576" s="14"/>
      <c r="BL576" s="125" t="str">
        <f t="shared" si="497"/>
        <v/>
      </c>
      <c r="BM576" s="24"/>
      <c r="BN576" s="24"/>
      <c r="BO576" s="125" t="str">
        <f t="shared" si="498"/>
        <v/>
      </c>
      <c r="BP576" s="14"/>
      <c r="BQ576" s="125" t="str">
        <f t="shared" si="499"/>
        <v/>
      </c>
      <c r="BR576" s="24"/>
      <c r="BS576" s="24"/>
      <c r="BT576" s="125" t="str">
        <f t="shared" si="500"/>
        <v/>
      </c>
      <c r="BU576" s="125" t="str">
        <f t="shared" si="501"/>
        <v/>
      </c>
      <c r="BV576" s="125" t="str">
        <f t="shared" si="502"/>
        <v/>
      </c>
      <c r="BW576" s="129" t="str">
        <f t="shared" si="503"/>
        <v/>
      </c>
      <c r="BX576" s="9"/>
      <c r="BY576" s="9"/>
      <c r="BZ576" s="9"/>
      <c r="CA576" s="117" t="str">
        <f>IF(_xlfn.XLOOKUP(BY576, AutoFill_classes!$A:$A, AutoFill_classes!$B:$B,"")=0,"",_xlfn.XLOOKUP(BY576, AutoFill_classes!$A:$A, AutoFill_classes!$B:$B,""))</f>
        <v/>
      </c>
      <c r="CB576" s="108"/>
      <c r="CC576" s="9"/>
      <c r="CD576" s="9"/>
      <c r="CE576" s="9"/>
      <c r="CF576" s="4"/>
      <c r="CG576" s="25"/>
      <c r="CH576" s="64"/>
      <c r="CI576" s="27"/>
      <c r="CJ576" s="121" t="str">
        <f t="shared" si="504"/>
        <v/>
      </c>
      <c r="CK576" s="20"/>
      <c r="CL576" s="20"/>
      <c r="CM576" s="24"/>
      <c r="CN576" s="24"/>
      <c r="CO576" s="125" t="str">
        <f t="shared" si="505"/>
        <v/>
      </c>
      <c r="CP576" s="14"/>
      <c r="CQ576" s="125" t="str">
        <f t="shared" si="506"/>
        <v/>
      </c>
      <c r="CR576" s="24"/>
      <c r="CS576" s="24"/>
      <c r="CT576" s="125" t="str">
        <f t="shared" si="507"/>
        <v/>
      </c>
      <c r="CU576" s="14"/>
      <c r="CV576" s="125" t="str">
        <f t="shared" si="508"/>
        <v/>
      </c>
      <c r="CW576" s="24"/>
      <c r="CX576" s="24"/>
      <c r="CY576" s="125" t="str">
        <f t="shared" si="509"/>
        <v/>
      </c>
      <c r="CZ576" s="125" t="str">
        <f t="shared" si="510"/>
        <v/>
      </c>
      <c r="DA576" s="125" t="str">
        <f t="shared" si="511"/>
        <v/>
      </c>
      <c r="DB576" s="129" t="str">
        <f t="shared" si="512"/>
        <v/>
      </c>
      <c r="DC576" s="9"/>
      <c r="DD576" s="65"/>
      <c r="DE576" s="105">
        <v>572</v>
      </c>
    </row>
    <row r="577" spans="1:109" outlineLevel="1" x14ac:dyDescent="0.2">
      <c r="A577" s="4"/>
      <c r="B577" s="115" t="str">
        <f>IF(_xlfn.XLOOKUP(A577, AutoFill_names!B:B, AutoFill_names!C:C,"")=0,"",_xlfn.XLOOKUP(A577, AutoFill_names!B:B, AutoFill_names!C:C,""))</f>
        <v/>
      </c>
      <c r="C577" s="115" t="str">
        <f>IF(_xlfn.XLOOKUP(A577, AutoFill_names!B:B, AutoFill_names!D:D,"")=0,"",_xlfn.XLOOKUP(A577, AutoFill_names!B:B, AutoFill_names!D:D,""))</f>
        <v/>
      </c>
      <c r="D577" s="115" t="str">
        <f>IF(_xlfn.XLOOKUP(A577, AutoFill_names!B:B, AutoFill_names!E:E,"")=0,"",_xlfn.XLOOKUP(A577, AutoFill_names!B:B, AutoFill_names!E:E,""))</f>
        <v/>
      </c>
      <c r="E577" s="115" t="str">
        <f>IF(_xlfn.XLOOKUP(A577, AutoFill_names!B:B, AutoFill_names!F:F,"")=0,"",_xlfn.XLOOKUP(A577, AutoFill_names!B:B, AutoFill_names!F:F,""))</f>
        <v/>
      </c>
      <c r="F577" s="92"/>
      <c r="G577" s="1"/>
      <c r="H577" s="1"/>
      <c r="I577" s="1"/>
      <c r="J577" s="115" t="str">
        <f>IF(_xlfn.XLOOKUP(A577, AutoFill_names!B:B, AutoFill_names!K:K,"")=0,"",_xlfn.XLOOKUP(A577, AutoFill_names!B:B, AutoFill_names!K:K,""))</f>
        <v/>
      </c>
      <c r="K577" s="115" t="str">
        <f>IF(_xlfn.XLOOKUP(A577, AutoFill_names!B:B, AutoFill_names!L:L,"")=0,"",_xlfn.XLOOKUP(A577, AutoFill_names!B:B, AutoFill_names!L:L,""))</f>
        <v/>
      </c>
      <c r="L577" s="5"/>
      <c r="M577" s="5"/>
      <c r="N577" s="117" t="str">
        <f>IF(_xlfn.XLOOKUP(L577, AutoFill_classes!A:A, AutoFill_classes!B:B,"")=0,"",_xlfn.XLOOKUP(L577, AutoFill_classes!A:A, AutoFill_classes!B:B,""))</f>
        <v/>
      </c>
      <c r="O577" s="108"/>
      <c r="P577" s="8"/>
      <c r="Q577" s="8"/>
      <c r="R577" s="8"/>
      <c r="S577" s="4"/>
      <c r="T577" s="4"/>
      <c r="U577" s="4"/>
      <c r="V577" s="4"/>
      <c r="W577" s="4"/>
      <c r="X577" s="64"/>
      <c r="Y577" s="25"/>
      <c r="Z577" s="121" t="str">
        <f t="shared" si="486"/>
        <v/>
      </c>
      <c r="AA577" s="26"/>
      <c r="AB577" s="26"/>
      <c r="AC577" s="28"/>
      <c r="AD577" s="28"/>
      <c r="AE577" s="125" t="str">
        <f t="shared" si="487"/>
        <v/>
      </c>
      <c r="AF577" s="9"/>
      <c r="AG577" s="125" t="str">
        <f t="shared" si="488"/>
        <v/>
      </c>
      <c r="AH577" s="28"/>
      <c r="AI577" s="28"/>
      <c r="AJ577" s="125" t="str">
        <f t="shared" si="489"/>
        <v/>
      </c>
      <c r="AK577" s="9"/>
      <c r="AL577" s="125" t="str">
        <f t="shared" si="490"/>
        <v/>
      </c>
      <c r="AM577" s="28"/>
      <c r="AN577" s="28"/>
      <c r="AO577" s="125" t="str">
        <f t="shared" si="491"/>
        <v/>
      </c>
      <c r="AP577" s="125" t="str">
        <f t="shared" si="492"/>
        <v/>
      </c>
      <c r="AQ577" s="125" t="str">
        <f t="shared" si="493"/>
        <v/>
      </c>
      <c r="AR577" s="129" t="str">
        <f t="shared" si="494"/>
        <v/>
      </c>
      <c r="AS577" s="9"/>
      <c r="AT577" s="34"/>
      <c r="AU577" s="34"/>
      <c r="AV577" s="117" t="str">
        <f>IF(_xlfn.XLOOKUP(AT577, AutoFill_classes!$A:$A, AutoFill_classes!$B:$B,"")=0,"",_xlfn.XLOOKUP(AT577, AutoFill_classes!$A:$A, AutoFill_classes!$B:$B,""))</f>
        <v/>
      </c>
      <c r="AW577" s="108"/>
      <c r="AX577" s="9"/>
      <c r="AY577" s="10"/>
      <c r="AZ577" s="9"/>
      <c r="BA577" s="10"/>
      <c r="BB577" s="10"/>
      <c r="BC577" s="64"/>
      <c r="BD577" s="25"/>
      <c r="BE577" s="121" t="str">
        <f t="shared" si="495"/>
        <v/>
      </c>
      <c r="BF577" s="20"/>
      <c r="BG577" s="20"/>
      <c r="BH577" s="24"/>
      <c r="BI577" s="24"/>
      <c r="BJ577" s="125" t="str">
        <f t="shared" si="496"/>
        <v/>
      </c>
      <c r="BK577" s="14"/>
      <c r="BL577" s="125" t="str">
        <f t="shared" si="497"/>
        <v/>
      </c>
      <c r="BM577" s="24"/>
      <c r="BN577" s="24"/>
      <c r="BO577" s="125" t="str">
        <f t="shared" si="498"/>
        <v/>
      </c>
      <c r="BP577" s="14"/>
      <c r="BQ577" s="125" t="str">
        <f t="shared" si="499"/>
        <v/>
      </c>
      <c r="BR577" s="24"/>
      <c r="BS577" s="24"/>
      <c r="BT577" s="125" t="str">
        <f t="shared" si="500"/>
        <v/>
      </c>
      <c r="BU577" s="125" t="str">
        <f t="shared" si="501"/>
        <v/>
      </c>
      <c r="BV577" s="125" t="str">
        <f t="shared" si="502"/>
        <v/>
      </c>
      <c r="BW577" s="129" t="str">
        <f t="shared" si="503"/>
        <v/>
      </c>
      <c r="BX577" s="9"/>
      <c r="BY577" s="9"/>
      <c r="BZ577" s="9"/>
      <c r="CA577" s="117" t="str">
        <f>IF(_xlfn.XLOOKUP(BY577, AutoFill_classes!$A:$A, AutoFill_classes!$B:$B,"")=0,"",_xlfn.XLOOKUP(BY577, AutoFill_classes!$A:$A, AutoFill_classes!$B:$B,""))</f>
        <v/>
      </c>
      <c r="CB577" s="108"/>
      <c r="CC577" s="9"/>
      <c r="CD577" s="9"/>
      <c r="CE577" s="9"/>
      <c r="CF577" s="4"/>
      <c r="CG577" s="25"/>
      <c r="CH577" s="64"/>
      <c r="CI577" s="27"/>
      <c r="CJ577" s="121" t="str">
        <f t="shared" si="504"/>
        <v/>
      </c>
      <c r="CK577" s="20"/>
      <c r="CL577" s="20"/>
      <c r="CM577" s="24"/>
      <c r="CN577" s="24"/>
      <c r="CO577" s="125" t="str">
        <f t="shared" si="505"/>
        <v/>
      </c>
      <c r="CP577" s="14"/>
      <c r="CQ577" s="125" t="str">
        <f t="shared" si="506"/>
        <v/>
      </c>
      <c r="CR577" s="24"/>
      <c r="CS577" s="24"/>
      <c r="CT577" s="125" t="str">
        <f t="shared" si="507"/>
        <v/>
      </c>
      <c r="CU577" s="14"/>
      <c r="CV577" s="125" t="str">
        <f t="shared" si="508"/>
        <v/>
      </c>
      <c r="CW577" s="24"/>
      <c r="CX577" s="24"/>
      <c r="CY577" s="125" t="str">
        <f t="shared" si="509"/>
        <v/>
      </c>
      <c r="CZ577" s="125" t="str">
        <f t="shared" si="510"/>
        <v/>
      </c>
      <c r="DA577" s="125" t="str">
        <f t="shared" si="511"/>
        <v/>
      </c>
      <c r="DB577" s="129" t="str">
        <f t="shared" si="512"/>
        <v/>
      </c>
      <c r="DC577" s="9"/>
      <c r="DD577" s="65"/>
      <c r="DE577" s="105">
        <v>573</v>
      </c>
    </row>
    <row r="578" spans="1:109" outlineLevel="1" x14ac:dyDescent="0.2">
      <c r="A578" s="4"/>
      <c r="B578" s="115" t="str">
        <f>IF(_xlfn.XLOOKUP(A578, AutoFill_names!B:B, AutoFill_names!C:C,"")=0,"",_xlfn.XLOOKUP(A578, AutoFill_names!B:B, AutoFill_names!C:C,""))</f>
        <v/>
      </c>
      <c r="C578" s="115" t="str">
        <f>IF(_xlfn.XLOOKUP(A578, AutoFill_names!B:B, AutoFill_names!D:D,"")=0,"",_xlfn.XLOOKUP(A578, AutoFill_names!B:B, AutoFill_names!D:D,""))</f>
        <v/>
      </c>
      <c r="D578" s="115" t="str">
        <f>IF(_xlfn.XLOOKUP(A578, AutoFill_names!B:B, AutoFill_names!E:E,"")=0,"",_xlfn.XLOOKUP(A578, AutoFill_names!B:B, AutoFill_names!E:E,""))</f>
        <v/>
      </c>
      <c r="E578" s="115" t="str">
        <f>IF(_xlfn.XLOOKUP(A578, AutoFill_names!B:B, AutoFill_names!F:F,"")=0,"",_xlfn.XLOOKUP(A578, AutoFill_names!B:B, AutoFill_names!F:F,""))</f>
        <v/>
      </c>
      <c r="F578" s="92"/>
      <c r="G578" s="1"/>
      <c r="H578" s="1"/>
      <c r="I578" s="1"/>
      <c r="J578" s="115" t="str">
        <f>IF(_xlfn.XLOOKUP(A578, AutoFill_names!B:B, AutoFill_names!K:K,"")=0,"",_xlfn.XLOOKUP(A578, AutoFill_names!B:B, AutoFill_names!K:K,""))</f>
        <v/>
      </c>
      <c r="K578" s="115" t="str">
        <f>IF(_xlfn.XLOOKUP(A578, AutoFill_names!B:B, AutoFill_names!L:L,"")=0,"",_xlfn.XLOOKUP(A578, AutoFill_names!B:B, AutoFill_names!L:L,""))</f>
        <v/>
      </c>
      <c r="L578" s="5"/>
      <c r="M578" s="5"/>
      <c r="N578" s="117" t="str">
        <f>IF(_xlfn.XLOOKUP(L578, AutoFill_classes!A:A, AutoFill_classes!B:B,"")=0,"",_xlfn.XLOOKUP(L578, AutoFill_classes!A:A, AutoFill_classes!B:B,""))</f>
        <v/>
      </c>
      <c r="O578" s="108"/>
      <c r="P578" s="8"/>
      <c r="Q578" s="8"/>
      <c r="R578" s="8"/>
      <c r="S578" s="4"/>
      <c r="T578" s="4"/>
      <c r="U578" s="4"/>
      <c r="V578" s="4"/>
      <c r="W578" s="4"/>
      <c r="X578" s="64"/>
      <c r="Y578" s="25"/>
      <c r="Z578" s="121" t="str">
        <f t="shared" si="486"/>
        <v/>
      </c>
      <c r="AA578" s="26"/>
      <c r="AB578" s="26"/>
      <c r="AC578" s="28"/>
      <c r="AD578" s="28"/>
      <c r="AE578" s="125" t="str">
        <f t="shared" si="487"/>
        <v/>
      </c>
      <c r="AF578" s="9"/>
      <c r="AG578" s="125" t="str">
        <f t="shared" si="488"/>
        <v/>
      </c>
      <c r="AH578" s="28"/>
      <c r="AI578" s="28"/>
      <c r="AJ578" s="125" t="str">
        <f t="shared" si="489"/>
        <v/>
      </c>
      <c r="AK578" s="9"/>
      <c r="AL578" s="125" t="str">
        <f t="shared" si="490"/>
        <v/>
      </c>
      <c r="AM578" s="28"/>
      <c r="AN578" s="28"/>
      <c r="AO578" s="125" t="str">
        <f t="shared" si="491"/>
        <v/>
      </c>
      <c r="AP578" s="125" t="str">
        <f t="shared" si="492"/>
        <v/>
      </c>
      <c r="AQ578" s="125" t="str">
        <f t="shared" si="493"/>
        <v/>
      </c>
      <c r="AR578" s="129" t="str">
        <f t="shared" si="494"/>
        <v/>
      </c>
      <c r="AS578" s="9"/>
      <c r="AT578" s="34"/>
      <c r="AU578" s="34"/>
      <c r="AV578" s="117" t="str">
        <f>IF(_xlfn.XLOOKUP(AT578, AutoFill_classes!$A:$A, AutoFill_classes!$B:$B,"")=0,"",_xlfn.XLOOKUP(AT578, AutoFill_classes!$A:$A, AutoFill_classes!$B:$B,""))</f>
        <v/>
      </c>
      <c r="AW578" s="108"/>
      <c r="AX578" s="9"/>
      <c r="AY578" s="10"/>
      <c r="AZ578" s="9"/>
      <c r="BA578" s="10"/>
      <c r="BB578" s="10"/>
      <c r="BC578" s="64"/>
      <c r="BD578" s="25"/>
      <c r="BE578" s="121" t="str">
        <f t="shared" si="495"/>
        <v/>
      </c>
      <c r="BF578" s="20"/>
      <c r="BG578" s="20"/>
      <c r="BH578" s="24"/>
      <c r="BI578" s="24"/>
      <c r="BJ578" s="125" t="str">
        <f t="shared" si="496"/>
        <v/>
      </c>
      <c r="BK578" s="14"/>
      <c r="BL578" s="125" t="str">
        <f t="shared" si="497"/>
        <v/>
      </c>
      <c r="BM578" s="24"/>
      <c r="BN578" s="24"/>
      <c r="BO578" s="125" t="str">
        <f t="shared" si="498"/>
        <v/>
      </c>
      <c r="BP578" s="14"/>
      <c r="BQ578" s="125" t="str">
        <f t="shared" si="499"/>
        <v/>
      </c>
      <c r="BR578" s="24"/>
      <c r="BS578" s="24"/>
      <c r="BT578" s="125" t="str">
        <f t="shared" si="500"/>
        <v/>
      </c>
      <c r="BU578" s="125" t="str">
        <f t="shared" si="501"/>
        <v/>
      </c>
      <c r="BV578" s="125" t="str">
        <f t="shared" si="502"/>
        <v/>
      </c>
      <c r="BW578" s="129" t="str">
        <f t="shared" si="503"/>
        <v/>
      </c>
      <c r="BX578" s="9"/>
      <c r="BY578" s="9"/>
      <c r="BZ578" s="9"/>
      <c r="CA578" s="117" t="str">
        <f>IF(_xlfn.XLOOKUP(BY578, AutoFill_classes!$A:$A, AutoFill_classes!$B:$B,"")=0,"",_xlfn.XLOOKUP(BY578, AutoFill_classes!$A:$A, AutoFill_classes!$B:$B,""))</f>
        <v/>
      </c>
      <c r="CB578" s="108"/>
      <c r="CC578" s="9"/>
      <c r="CD578" s="9"/>
      <c r="CE578" s="9"/>
      <c r="CF578" s="4"/>
      <c r="CG578" s="25"/>
      <c r="CH578" s="64"/>
      <c r="CI578" s="27"/>
      <c r="CJ578" s="121" t="str">
        <f t="shared" si="504"/>
        <v/>
      </c>
      <c r="CK578" s="20"/>
      <c r="CL578" s="20"/>
      <c r="CM578" s="24"/>
      <c r="CN578" s="24"/>
      <c r="CO578" s="125" t="str">
        <f t="shared" si="505"/>
        <v/>
      </c>
      <c r="CP578" s="14"/>
      <c r="CQ578" s="125" t="str">
        <f t="shared" si="506"/>
        <v/>
      </c>
      <c r="CR578" s="24"/>
      <c r="CS578" s="24"/>
      <c r="CT578" s="125" t="str">
        <f t="shared" si="507"/>
        <v/>
      </c>
      <c r="CU578" s="14"/>
      <c r="CV578" s="125" t="str">
        <f t="shared" si="508"/>
        <v/>
      </c>
      <c r="CW578" s="24"/>
      <c r="CX578" s="24"/>
      <c r="CY578" s="125" t="str">
        <f t="shared" si="509"/>
        <v/>
      </c>
      <c r="CZ578" s="125" t="str">
        <f t="shared" si="510"/>
        <v/>
      </c>
      <c r="DA578" s="125" t="str">
        <f t="shared" si="511"/>
        <v/>
      </c>
      <c r="DB578" s="129" t="str">
        <f t="shared" si="512"/>
        <v/>
      </c>
      <c r="DC578" s="9"/>
      <c r="DD578" s="65"/>
      <c r="DE578" s="105">
        <v>574</v>
      </c>
    </row>
    <row r="579" spans="1:109" outlineLevel="1" x14ac:dyDescent="0.2">
      <c r="A579" s="4"/>
      <c r="B579" s="115" t="str">
        <f>IF(_xlfn.XLOOKUP(A579, AutoFill_names!B:B, AutoFill_names!C:C,"")=0,"",_xlfn.XLOOKUP(A579, AutoFill_names!B:B, AutoFill_names!C:C,""))</f>
        <v/>
      </c>
      <c r="C579" s="115" t="str">
        <f>IF(_xlfn.XLOOKUP(A579, AutoFill_names!B:B, AutoFill_names!D:D,"")=0,"",_xlfn.XLOOKUP(A579, AutoFill_names!B:B, AutoFill_names!D:D,""))</f>
        <v/>
      </c>
      <c r="D579" s="115" t="str">
        <f>IF(_xlfn.XLOOKUP(A579, AutoFill_names!B:B, AutoFill_names!E:E,"")=0,"",_xlfn.XLOOKUP(A579, AutoFill_names!B:B, AutoFill_names!E:E,""))</f>
        <v/>
      </c>
      <c r="E579" s="115" t="str">
        <f>IF(_xlfn.XLOOKUP(A579, AutoFill_names!B:B, AutoFill_names!F:F,"")=0,"",_xlfn.XLOOKUP(A579, AutoFill_names!B:B, AutoFill_names!F:F,""))</f>
        <v/>
      </c>
      <c r="F579" s="92"/>
      <c r="G579" s="1"/>
      <c r="H579" s="1"/>
      <c r="I579" s="1"/>
      <c r="J579" s="115" t="str">
        <f>IF(_xlfn.XLOOKUP(A579, AutoFill_names!B:B, AutoFill_names!K:K,"")=0,"",_xlfn.XLOOKUP(A579, AutoFill_names!B:B, AutoFill_names!K:K,""))</f>
        <v/>
      </c>
      <c r="K579" s="115" t="str">
        <f>IF(_xlfn.XLOOKUP(A579, AutoFill_names!B:B, AutoFill_names!L:L,"")=0,"",_xlfn.XLOOKUP(A579, AutoFill_names!B:B, AutoFill_names!L:L,""))</f>
        <v/>
      </c>
      <c r="L579" s="5"/>
      <c r="M579" s="5"/>
      <c r="N579" s="117" t="str">
        <f>IF(_xlfn.XLOOKUP(L579, AutoFill_classes!A:A, AutoFill_classes!B:B,"")=0,"",_xlfn.XLOOKUP(L579, AutoFill_classes!A:A, AutoFill_classes!B:B,""))</f>
        <v/>
      </c>
      <c r="O579" s="108"/>
      <c r="P579" s="8"/>
      <c r="Q579" s="8"/>
      <c r="R579" s="8"/>
      <c r="S579" s="4"/>
      <c r="T579" s="4"/>
      <c r="U579" s="4"/>
      <c r="V579" s="4"/>
      <c r="W579" s="4"/>
      <c r="X579" s="64"/>
      <c r="Y579" s="25"/>
      <c r="Z579" s="121" t="str">
        <f t="shared" si="486"/>
        <v/>
      </c>
      <c r="AA579" s="26"/>
      <c r="AB579" s="26"/>
      <c r="AC579" s="28"/>
      <c r="AD579" s="28"/>
      <c r="AE579" s="125" t="str">
        <f t="shared" si="487"/>
        <v/>
      </c>
      <c r="AF579" s="9"/>
      <c r="AG579" s="125" t="str">
        <f t="shared" si="488"/>
        <v/>
      </c>
      <c r="AH579" s="28"/>
      <c r="AI579" s="28"/>
      <c r="AJ579" s="125" t="str">
        <f t="shared" si="489"/>
        <v/>
      </c>
      <c r="AK579" s="9"/>
      <c r="AL579" s="125" t="str">
        <f t="shared" si="490"/>
        <v/>
      </c>
      <c r="AM579" s="28"/>
      <c r="AN579" s="28"/>
      <c r="AO579" s="125" t="str">
        <f t="shared" si="491"/>
        <v/>
      </c>
      <c r="AP579" s="125" t="str">
        <f t="shared" si="492"/>
        <v/>
      </c>
      <c r="AQ579" s="125" t="str">
        <f t="shared" si="493"/>
        <v/>
      </c>
      <c r="AR579" s="129" t="str">
        <f t="shared" si="494"/>
        <v/>
      </c>
      <c r="AS579" s="9"/>
      <c r="AT579" s="34"/>
      <c r="AU579" s="34"/>
      <c r="AV579" s="117" t="str">
        <f>IF(_xlfn.XLOOKUP(AT579, AutoFill_classes!$A:$A, AutoFill_classes!$B:$B,"")=0,"",_xlfn.XLOOKUP(AT579, AutoFill_classes!$A:$A, AutoFill_classes!$B:$B,""))</f>
        <v/>
      </c>
      <c r="AW579" s="108"/>
      <c r="AX579" s="9"/>
      <c r="AY579" s="10"/>
      <c r="AZ579" s="9"/>
      <c r="BA579" s="10"/>
      <c r="BB579" s="10"/>
      <c r="BC579" s="64"/>
      <c r="BD579" s="25"/>
      <c r="BE579" s="121" t="str">
        <f t="shared" si="495"/>
        <v/>
      </c>
      <c r="BF579" s="20"/>
      <c r="BG579" s="20"/>
      <c r="BH579" s="24"/>
      <c r="BI579" s="24"/>
      <c r="BJ579" s="125" t="str">
        <f t="shared" si="496"/>
        <v/>
      </c>
      <c r="BK579" s="14"/>
      <c r="BL579" s="125" t="str">
        <f t="shared" si="497"/>
        <v/>
      </c>
      <c r="BM579" s="24"/>
      <c r="BN579" s="24"/>
      <c r="BO579" s="125" t="str">
        <f t="shared" si="498"/>
        <v/>
      </c>
      <c r="BP579" s="14"/>
      <c r="BQ579" s="125" t="str">
        <f t="shared" si="499"/>
        <v/>
      </c>
      <c r="BR579" s="24"/>
      <c r="BS579" s="24"/>
      <c r="BT579" s="125" t="str">
        <f t="shared" si="500"/>
        <v/>
      </c>
      <c r="BU579" s="125" t="str">
        <f t="shared" si="501"/>
        <v/>
      </c>
      <c r="BV579" s="125" t="str">
        <f t="shared" si="502"/>
        <v/>
      </c>
      <c r="BW579" s="129" t="str">
        <f t="shared" si="503"/>
        <v/>
      </c>
      <c r="BX579" s="9"/>
      <c r="BY579" s="9"/>
      <c r="BZ579" s="9"/>
      <c r="CA579" s="117" t="str">
        <f>IF(_xlfn.XLOOKUP(BY579, AutoFill_classes!$A:$A, AutoFill_classes!$B:$B,"")=0,"",_xlfn.XLOOKUP(BY579, AutoFill_classes!$A:$A, AutoFill_classes!$B:$B,""))</f>
        <v/>
      </c>
      <c r="CB579" s="108"/>
      <c r="CC579" s="9"/>
      <c r="CD579" s="9"/>
      <c r="CE579" s="9"/>
      <c r="CF579" s="4"/>
      <c r="CG579" s="25"/>
      <c r="CH579" s="64"/>
      <c r="CI579" s="27"/>
      <c r="CJ579" s="121" t="str">
        <f t="shared" si="504"/>
        <v/>
      </c>
      <c r="CK579" s="20"/>
      <c r="CL579" s="20"/>
      <c r="CM579" s="24"/>
      <c r="CN579" s="24"/>
      <c r="CO579" s="125" t="str">
        <f t="shared" si="505"/>
        <v/>
      </c>
      <c r="CP579" s="14"/>
      <c r="CQ579" s="125" t="str">
        <f t="shared" si="506"/>
        <v/>
      </c>
      <c r="CR579" s="24"/>
      <c r="CS579" s="24"/>
      <c r="CT579" s="125" t="str">
        <f t="shared" si="507"/>
        <v/>
      </c>
      <c r="CU579" s="14"/>
      <c r="CV579" s="125" t="str">
        <f t="shared" si="508"/>
        <v/>
      </c>
      <c r="CW579" s="24"/>
      <c r="CX579" s="24"/>
      <c r="CY579" s="125" t="str">
        <f t="shared" si="509"/>
        <v/>
      </c>
      <c r="CZ579" s="125" t="str">
        <f t="shared" si="510"/>
        <v/>
      </c>
      <c r="DA579" s="125" t="str">
        <f t="shared" si="511"/>
        <v/>
      </c>
      <c r="DB579" s="129" t="str">
        <f t="shared" si="512"/>
        <v/>
      </c>
      <c r="DC579" s="9"/>
      <c r="DD579" s="65"/>
      <c r="DE579" s="105">
        <v>575</v>
      </c>
    </row>
    <row r="580" spans="1:109" outlineLevel="1" x14ac:dyDescent="0.2">
      <c r="A580" s="4"/>
      <c r="B580" s="115" t="str">
        <f>IF(_xlfn.XLOOKUP(A580, AutoFill_names!B:B, AutoFill_names!C:C,"")=0,"",_xlfn.XLOOKUP(A580, AutoFill_names!B:B, AutoFill_names!C:C,""))</f>
        <v/>
      </c>
      <c r="C580" s="115" t="str">
        <f>IF(_xlfn.XLOOKUP(A580, AutoFill_names!B:B, AutoFill_names!D:D,"")=0,"",_xlfn.XLOOKUP(A580, AutoFill_names!B:B, AutoFill_names!D:D,""))</f>
        <v/>
      </c>
      <c r="D580" s="115" t="str">
        <f>IF(_xlfn.XLOOKUP(A580, AutoFill_names!B:B, AutoFill_names!E:E,"")=0,"",_xlfn.XLOOKUP(A580, AutoFill_names!B:B, AutoFill_names!E:E,""))</f>
        <v/>
      </c>
      <c r="E580" s="115" t="str">
        <f>IF(_xlfn.XLOOKUP(A580, AutoFill_names!B:B, AutoFill_names!F:F,"")=0,"",_xlfn.XLOOKUP(A580, AutoFill_names!B:B, AutoFill_names!F:F,""))</f>
        <v/>
      </c>
      <c r="F580" s="92"/>
      <c r="G580" s="1"/>
      <c r="H580" s="1"/>
      <c r="I580" s="1"/>
      <c r="J580" s="115" t="str">
        <f>IF(_xlfn.XLOOKUP(A580, AutoFill_names!B:B, AutoFill_names!K:K,"")=0,"",_xlfn.XLOOKUP(A580, AutoFill_names!B:B, AutoFill_names!K:K,""))</f>
        <v/>
      </c>
      <c r="K580" s="115" t="str">
        <f>IF(_xlfn.XLOOKUP(A580, AutoFill_names!B:B, AutoFill_names!L:L,"")=0,"",_xlfn.XLOOKUP(A580, AutoFill_names!B:B, AutoFill_names!L:L,""))</f>
        <v/>
      </c>
      <c r="L580" s="5"/>
      <c r="M580" s="5"/>
      <c r="N580" s="117" t="str">
        <f>IF(_xlfn.XLOOKUP(L580, AutoFill_classes!A:A, AutoFill_classes!B:B,"")=0,"",_xlfn.XLOOKUP(L580, AutoFill_classes!A:A, AutoFill_classes!B:B,""))</f>
        <v/>
      </c>
      <c r="O580" s="108"/>
      <c r="P580" s="8"/>
      <c r="Q580" s="8"/>
      <c r="R580" s="8"/>
      <c r="S580" s="4"/>
      <c r="T580" s="4"/>
      <c r="U580" s="4"/>
      <c r="V580" s="4"/>
      <c r="W580" s="4"/>
      <c r="X580" s="64"/>
      <c r="Y580" s="25"/>
      <c r="Z580" s="121" t="str">
        <f t="shared" si="486"/>
        <v/>
      </c>
      <c r="AA580" s="26"/>
      <c r="AB580" s="26"/>
      <c r="AC580" s="28"/>
      <c r="AD580" s="28"/>
      <c r="AE580" s="125" t="str">
        <f t="shared" si="487"/>
        <v/>
      </c>
      <c r="AF580" s="9"/>
      <c r="AG580" s="125" t="str">
        <f t="shared" si="488"/>
        <v/>
      </c>
      <c r="AH580" s="28"/>
      <c r="AI580" s="28"/>
      <c r="AJ580" s="125" t="str">
        <f t="shared" si="489"/>
        <v/>
      </c>
      <c r="AK580" s="9"/>
      <c r="AL580" s="125" t="str">
        <f t="shared" si="490"/>
        <v/>
      </c>
      <c r="AM580" s="28"/>
      <c r="AN580" s="28"/>
      <c r="AO580" s="125" t="str">
        <f t="shared" si="491"/>
        <v/>
      </c>
      <c r="AP580" s="125" t="str">
        <f t="shared" si="492"/>
        <v/>
      </c>
      <c r="AQ580" s="125" t="str">
        <f t="shared" si="493"/>
        <v/>
      </c>
      <c r="AR580" s="129" t="str">
        <f t="shared" si="494"/>
        <v/>
      </c>
      <c r="AS580" s="9"/>
      <c r="AT580" s="34"/>
      <c r="AU580" s="34"/>
      <c r="AV580" s="117" t="str">
        <f>IF(_xlfn.XLOOKUP(AT580, AutoFill_classes!$A:$A, AutoFill_classes!$B:$B,"")=0,"",_xlfn.XLOOKUP(AT580, AutoFill_classes!$A:$A, AutoFill_classes!$B:$B,""))</f>
        <v/>
      </c>
      <c r="AW580" s="108"/>
      <c r="AX580" s="9"/>
      <c r="AY580" s="10"/>
      <c r="AZ580" s="9"/>
      <c r="BA580" s="10"/>
      <c r="BB580" s="10"/>
      <c r="BC580" s="64"/>
      <c r="BD580" s="25"/>
      <c r="BE580" s="121" t="str">
        <f t="shared" si="495"/>
        <v/>
      </c>
      <c r="BF580" s="20"/>
      <c r="BG580" s="20"/>
      <c r="BH580" s="24"/>
      <c r="BI580" s="24"/>
      <c r="BJ580" s="125" t="str">
        <f t="shared" si="496"/>
        <v/>
      </c>
      <c r="BK580" s="14"/>
      <c r="BL580" s="125" t="str">
        <f t="shared" si="497"/>
        <v/>
      </c>
      <c r="BM580" s="24"/>
      <c r="BN580" s="24"/>
      <c r="BO580" s="125" t="str">
        <f t="shared" si="498"/>
        <v/>
      </c>
      <c r="BP580" s="14"/>
      <c r="BQ580" s="125" t="str">
        <f t="shared" si="499"/>
        <v/>
      </c>
      <c r="BR580" s="24"/>
      <c r="BS580" s="24"/>
      <c r="BT580" s="125" t="str">
        <f t="shared" si="500"/>
        <v/>
      </c>
      <c r="BU580" s="125" t="str">
        <f t="shared" si="501"/>
        <v/>
      </c>
      <c r="BV580" s="125" t="str">
        <f t="shared" si="502"/>
        <v/>
      </c>
      <c r="BW580" s="129" t="str">
        <f t="shared" si="503"/>
        <v/>
      </c>
      <c r="BX580" s="9"/>
      <c r="BY580" s="9"/>
      <c r="BZ580" s="9"/>
      <c r="CA580" s="117" t="str">
        <f>IF(_xlfn.XLOOKUP(BY580, AutoFill_classes!$A:$A, AutoFill_classes!$B:$B,"")=0,"",_xlfn.XLOOKUP(BY580, AutoFill_classes!$A:$A, AutoFill_classes!$B:$B,""))</f>
        <v/>
      </c>
      <c r="CB580" s="108"/>
      <c r="CC580" s="9"/>
      <c r="CD580" s="9"/>
      <c r="CE580" s="9"/>
      <c r="CF580" s="4"/>
      <c r="CG580" s="25"/>
      <c r="CH580" s="64"/>
      <c r="CI580" s="27"/>
      <c r="CJ580" s="121" t="str">
        <f t="shared" si="504"/>
        <v/>
      </c>
      <c r="CK580" s="20"/>
      <c r="CL580" s="20"/>
      <c r="CM580" s="24"/>
      <c r="CN580" s="24"/>
      <c r="CO580" s="125" t="str">
        <f t="shared" si="505"/>
        <v/>
      </c>
      <c r="CP580" s="14"/>
      <c r="CQ580" s="125" t="str">
        <f t="shared" si="506"/>
        <v/>
      </c>
      <c r="CR580" s="24"/>
      <c r="CS580" s="24"/>
      <c r="CT580" s="125" t="str">
        <f t="shared" si="507"/>
        <v/>
      </c>
      <c r="CU580" s="14"/>
      <c r="CV580" s="125" t="str">
        <f t="shared" si="508"/>
        <v/>
      </c>
      <c r="CW580" s="24"/>
      <c r="CX580" s="24"/>
      <c r="CY580" s="125" t="str">
        <f t="shared" si="509"/>
        <v/>
      </c>
      <c r="CZ580" s="125" t="str">
        <f t="shared" si="510"/>
        <v/>
      </c>
      <c r="DA580" s="125" t="str">
        <f t="shared" si="511"/>
        <v/>
      </c>
      <c r="DB580" s="129" t="str">
        <f t="shared" si="512"/>
        <v/>
      </c>
      <c r="DC580" s="9"/>
      <c r="DD580" s="65"/>
      <c r="DE580" s="105">
        <v>576</v>
      </c>
    </row>
    <row r="581" spans="1:109" outlineLevel="1" x14ac:dyDescent="0.2">
      <c r="A581" s="4"/>
      <c r="B581" s="115" t="str">
        <f>IF(_xlfn.XLOOKUP(A581, AutoFill_names!B:B, AutoFill_names!C:C,"")=0,"",_xlfn.XLOOKUP(A581, AutoFill_names!B:B, AutoFill_names!C:C,""))</f>
        <v/>
      </c>
      <c r="C581" s="115" t="str">
        <f>IF(_xlfn.XLOOKUP(A581, AutoFill_names!B:B, AutoFill_names!D:D,"")=0,"",_xlfn.XLOOKUP(A581, AutoFill_names!B:B, AutoFill_names!D:D,""))</f>
        <v/>
      </c>
      <c r="D581" s="115" t="str">
        <f>IF(_xlfn.XLOOKUP(A581, AutoFill_names!B:B, AutoFill_names!E:E,"")=0,"",_xlfn.XLOOKUP(A581, AutoFill_names!B:B, AutoFill_names!E:E,""))</f>
        <v/>
      </c>
      <c r="E581" s="115" t="str">
        <f>IF(_xlfn.XLOOKUP(A581, AutoFill_names!B:B, AutoFill_names!F:F,"")=0,"",_xlfn.XLOOKUP(A581, AutoFill_names!B:B, AutoFill_names!F:F,""))</f>
        <v/>
      </c>
      <c r="F581" s="92"/>
      <c r="G581" s="1"/>
      <c r="H581" s="1"/>
      <c r="I581" s="1"/>
      <c r="J581" s="115" t="str">
        <f>IF(_xlfn.XLOOKUP(A581, AutoFill_names!B:B, AutoFill_names!K:K,"")=0,"",_xlfn.XLOOKUP(A581, AutoFill_names!B:B, AutoFill_names!K:K,""))</f>
        <v/>
      </c>
      <c r="K581" s="115" t="str">
        <f>IF(_xlfn.XLOOKUP(A581, AutoFill_names!B:B, AutoFill_names!L:L,"")=0,"",_xlfn.XLOOKUP(A581, AutoFill_names!B:B, AutoFill_names!L:L,""))</f>
        <v/>
      </c>
      <c r="L581" s="5"/>
      <c r="M581" s="5"/>
      <c r="N581" s="117" t="str">
        <f>IF(_xlfn.XLOOKUP(L581, AutoFill_classes!A:A, AutoFill_classes!B:B,"")=0,"",_xlfn.XLOOKUP(L581, AutoFill_classes!A:A, AutoFill_classes!B:B,""))</f>
        <v/>
      </c>
      <c r="O581" s="108"/>
      <c r="P581" s="8"/>
      <c r="Q581" s="8"/>
      <c r="R581" s="8"/>
      <c r="S581" s="4"/>
      <c r="T581" s="4"/>
      <c r="U581" s="4"/>
      <c r="V581" s="4"/>
      <c r="W581" s="4"/>
      <c r="X581" s="64"/>
      <c r="Y581" s="25"/>
      <c r="Z581" s="121" t="str">
        <f t="shared" si="486"/>
        <v/>
      </c>
      <c r="AA581" s="26"/>
      <c r="AB581" s="26"/>
      <c r="AC581" s="28"/>
      <c r="AD581" s="28"/>
      <c r="AE581" s="125" t="str">
        <f t="shared" si="487"/>
        <v/>
      </c>
      <c r="AF581" s="9"/>
      <c r="AG581" s="125" t="str">
        <f t="shared" si="488"/>
        <v/>
      </c>
      <c r="AH581" s="28"/>
      <c r="AI581" s="28"/>
      <c r="AJ581" s="125" t="str">
        <f t="shared" si="489"/>
        <v/>
      </c>
      <c r="AK581" s="9"/>
      <c r="AL581" s="125" t="str">
        <f t="shared" si="490"/>
        <v/>
      </c>
      <c r="AM581" s="28"/>
      <c r="AN581" s="28"/>
      <c r="AO581" s="125" t="str">
        <f t="shared" si="491"/>
        <v/>
      </c>
      <c r="AP581" s="125" t="str">
        <f t="shared" si="492"/>
        <v/>
      </c>
      <c r="AQ581" s="125" t="str">
        <f t="shared" si="493"/>
        <v/>
      </c>
      <c r="AR581" s="129" t="str">
        <f t="shared" si="494"/>
        <v/>
      </c>
      <c r="AS581" s="9"/>
      <c r="AT581" s="34"/>
      <c r="AU581" s="34"/>
      <c r="AV581" s="117" t="str">
        <f>IF(_xlfn.XLOOKUP(AT581, AutoFill_classes!$A:$A, AutoFill_classes!$B:$B,"")=0,"",_xlfn.XLOOKUP(AT581, AutoFill_classes!$A:$A, AutoFill_classes!$B:$B,""))</f>
        <v/>
      </c>
      <c r="AW581" s="108"/>
      <c r="AX581" s="9"/>
      <c r="AY581" s="10"/>
      <c r="AZ581" s="9"/>
      <c r="BA581" s="10"/>
      <c r="BB581" s="10"/>
      <c r="BC581" s="64"/>
      <c r="BD581" s="25"/>
      <c r="BE581" s="121" t="str">
        <f t="shared" si="495"/>
        <v/>
      </c>
      <c r="BF581" s="20"/>
      <c r="BG581" s="20"/>
      <c r="BH581" s="24"/>
      <c r="BI581" s="24"/>
      <c r="BJ581" s="125" t="str">
        <f t="shared" si="496"/>
        <v/>
      </c>
      <c r="BK581" s="14"/>
      <c r="BL581" s="125" t="str">
        <f t="shared" si="497"/>
        <v/>
      </c>
      <c r="BM581" s="24"/>
      <c r="BN581" s="24"/>
      <c r="BO581" s="125" t="str">
        <f t="shared" si="498"/>
        <v/>
      </c>
      <c r="BP581" s="14"/>
      <c r="BQ581" s="125" t="str">
        <f t="shared" si="499"/>
        <v/>
      </c>
      <c r="BR581" s="24"/>
      <c r="BS581" s="24"/>
      <c r="BT581" s="125" t="str">
        <f t="shared" si="500"/>
        <v/>
      </c>
      <c r="BU581" s="125" t="str">
        <f t="shared" si="501"/>
        <v/>
      </c>
      <c r="BV581" s="125" t="str">
        <f t="shared" si="502"/>
        <v/>
      </c>
      <c r="BW581" s="129" t="str">
        <f t="shared" si="503"/>
        <v/>
      </c>
      <c r="BX581" s="9"/>
      <c r="BY581" s="9"/>
      <c r="BZ581" s="9"/>
      <c r="CA581" s="117" t="str">
        <f>IF(_xlfn.XLOOKUP(BY581, AutoFill_classes!$A:$A, AutoFill_classes!$B:$B,"")=0,"",_xlfn.XLOOKUP(BY581, AutoFill_classes!$A:$A, AutoFill_classes!$B:$B,""))</f>
        <v/>
      </c>
      <c r="CB581" s="108"/>
      <c r="CC581" s="9"/>
      <c r="CD581" s="9"/>
      <c r="CE581" s="9"/>
      <c r="CF581" s="4"/>
      <c r="CG581" s="25"/>
      <c r="CH581" s="64"/>
      <c r="CI581" s="27"/>
      <c r="CJ581" s="121" t="str">
        <f t="shared" si="504"/>
        <v/>
      </c>
      <c r="CK581" s="20"/>
      <c r="CL581" s="20"/>
      <c r="CM581" s="24"/>
      <c r="CN581" s="24"/>
      <c r="CO581" s="125" t="str">
        <f t="shared" si="505"/>
        <v/>
      </c>
      <c r="CP581" s="14"/>
      <c r="CQ581" s="125" t="str">
        <f t="shared" si="506"/>
        <v/>
      </c>
      <c r="CR581" s="24"/>
      <c r="CS581" s="24"/>
      <c r="CT581" s="125" t="str">
        <f t="shared" si="507"/>
        <v/>
      </c>
      <c r="CU581" s="14"/>
      <c r="CV581" s="125" t="str">
        <f t="shared" si="508"/>
        <v/>
      </c>
      <c r="CW581" s="24"/>
      <c r="CX581" s="24"/>
      <c r="CY581" s="125" t="str">
        <f t="shared" si="509"/>
        <v/>
      </c>
      <c r="CZ581" s="125" t="str">
        <f t="shared" si="510"/>
        <v/>
      </c>
      <c r="DA581" s="125" t="str">
        <f t="shared" si="511"/>
        <v/>
      </c>
      <c r="DB581" s="129" t="str">
        <f t="shared" si="512"/>
        <v/>
      </c>
      <c r="DC581" s="9"/>
      <c r="DD581" s="65"/>
      <c r="DE581" s="105">
        <v>577</v>
      </c>
    </row>
    <row r="582" spans="1:109" outlineLevel="1" x14ac:dyDescent="0.2">
      <c r="A582" s="4"/>
      <c r="B582" s="115" t="str">
        <f>IF(_xlfn.XLOOKUP(A582, AutoFill_names!B:B, AutoFill_names!C:C,"")=0,"",_xlfn.XLOOKUP(A582, AutoFill_names!B:B, AutoFill_names!C:C,""))</f>
        <v/>
      </c>
      <c r="C582" s="115" t="str">
        <f>IF(_xlfn.XLOOKUP(A582, AutoFill_names!B:B, AutoFill_names!D:D,"")=0,"",_xlfn.XLOOKUP(A582, AutoFill_names!B:B, AutoFill_names!D:D,""))</f>
        <v/>
      </c>
      <c r="D582" s="115" t="str">
        <f>IF(_xlfn.XLOOKUP(A582, AutoFill_names!B:B, AutoFill_names!E:E,"")=0,"",_xlfn.XLOOKUP(A582, AutoFill_names!B:B, AutoFill_names!E:E,""))</f>
        <v/>
      </c>
      <c r="E582" s="115" t="str">
        <f>IF(_xlfn.XLOOKUP(A582, AutoFill_names!B:B, AutoFill_names!F:F,"")=0,"",_xlfn.XLOOKUP(A582, AutoFill_names!B:B, AutoFill_names!F:F,""))</f>
        <v/>
      </c>
      <c r="F582" s="92"/>
      <c r="G582" s="1"/>
      <c r="H582" s="1"/>
      <c r="I582" s="1"/>
      <c r="J582" s="115" t="str">
        <f>IF(_xlfn.XLOOKUP(A582, AutoFill_names!B:B, AutoFill_names!K:K,"")=0,"",_xlfn.XLOOKUP(A582, AutoFill_names!B:B, AutoFill_names!K:K,""))</f>
        <v/>
      </c>
      <c r="K582" s="115" t="str">
        <f>IF(_xlfn.XLOOKUP(A582, AutoFill_names!B:B, AutoFill_names!L:L,"")=0,"",_xlfn.XLOOKUP(A582, AutoFill_names!B:B, AutoFill_names!L:L,""))</f>
        <v/>
      </c>
      <c r="L582" s="5"/>
      <c r="M582" s="5"/>
      <c r="N582" s="117" t="str">
        <f>IF(_xlfn.XLOOKUP(L582, AutoFill_classes!A:A, AutoFill_classes!B:B,"")=0,"",_xlfn.XLOOKUP(L582, AutoFill_classes!A:A, AutoFill_classes!B:B,""))</f>
        <v/>
      </c>
      <c r="O582" s="108"/>
      <c r="P582" s="8"/>
      <c r="Q582" s="8"/>
      <c r="R582" s="8"/>
      <c r="S582" s="4"/>
      <c r="T582" s="4"/>
      <c r="U582" s="4"/>
      <c r="V582" s="4"/>
      <c r="W582" s="4"/>
      <c r="X582" s="64"/>
      <c r="Y582" s="25"/>
      <c r="Z582" s="121" t="str">
        <f t="shared" si="486"/>
        <v/>
      </c>
      <c r="AA582" s="26"/>
      <c r="AB582" s="26"/>
      <c r="AC582" s="28"/>
      <c r="AD582" s="28"/>
      <c r="AE582" s="125" t="str">
        <f t="shared" si="487"/>
        <v/>
      </c>
      <c r="AF582" s="9"/>
      <c r="AG582" s="125" t="str">
        <f t="shared" si="488"/>
        <v/>
      </c>
      <c r="AH582" s="28"/>
      <c r="AI582" s="28"/>
      <c r="AJ582" s="125" t="str">
        <f t="shared" si="489"/>
        <v/>
      </c>
      <c r="AK582" s="9"/>
      <c r="AL582" s="125" t="str">
        <f t="shared" si="490"/>
        <v/>
      </c>
      <c r="AM582" s="28"/>
      <c r="AN582" s="28"/>
      <c r="AO582" s="125" t="str">
        <f t="shared" si="491"/>
        <v/>
      </c>
      <c r="AP582" s="125" t="str">
        <f t="shared" si="492"/>
        <v/>
      </c>
      <c r="AQ582" s="125" t="str">
        <f t="shared" si="493"/>
        <v/>
      </c>
      <c r="AR582" s="129" t="str">
        <f t="shared" si="494"/>
        <v/>
      </c>
      <c r="AS582" s="9"/>
      <c r="AT582" s="34"/>
      <c r="AU582" s="34"/>
      <c r="AV582" s="117" t="str">
        <f>IF(_xlfn.XLOOKUP(AT582, AutoFill_classes!$A:$A, AutoFill_classes!$B:$B,"")=0,"",_xlfn.XLOOKUP(AT582, AutoFill_classes!$A:$A, AutoFill_classes!$B:$B,""))</f>
        <v/>
      </c>
      <c r="AW582" s="108"/>
      <c r="AX582" s="9"/>
      <c r="AY582" s="10"/>
      <c r="AZ582" s="9"/>
      <c r="BA582" s="10"/>
      <c r="BB582" s="10"/>
      <c r="BC582" s="64"/>
      <c r="BD582" s="25"/>
      <c r="BE582" s="121" t="str">
        <f t="shared" si="495"/>
        <v/>
      </c>
      <c r="BF582" s="20"/>
      <c r="BG582" s="20"/>
      <c r="BH582" s="24"/>
      <c r="BI582" s="24"/>
      <c r="BJ582" s="125" t="str">
        <f t="shared" si="496"/>
        <v/>
      </c>
      <c r="BK582" s="14"/>
      <c r="BL582" s="125" t="str">
        <f t="shared" si="497"/>
        <v/>
      </c>
      <c r="BM582" s="24"/>
      <c r="BN582" s="24"/>
      <c r="BO582" s="125" t="str">
        <f t="shared" si="498"/>
        <v/>
      </c>
      <c r="BP582" s="14"/>
      <c r="BQ582" s="125" t="str">
        <f t="shared" si="499"/>
        <v/>
      </c>
      <c r="BR582" s="24"/>
      <c r="BS582" s="24"/>
      <c r="BT582" s="125" t="str">
        <f t="shared" si="500"/>
        <v/>
      </c>
      <c r="BU582" s="125" t="str">
        <f t="shared" si="501"/>
        <v/>
      </c>
      <c r="BV582" s="125" t="str">
        <f t="shared" si="502"/>
        <v/>
      </c>
      <c r="BW582" s="129" t="str">
        <f t="shared" si="503"/>
        <v/>
      </c>
      <c r="BX582" s="9"/>
      <c r="BY582" s="9"/>
      <c r="BZ582" s="9"/>
      <c r="CA582" s="117" t="str">
        <f>IF(_xlfn.XLOOKUP(BY582, AutoFill_classes!$A:$A, AutoFill_classes!$B:$B,"")=0,"",_xlfn.XLOOKUP(BY582, AutoFill_classes!$A:$A, AutoFill_classes!$B:$B,""))</f>
        <v/>
      </c>
      <c r="CB582" s="108"/>
      <c r="CC582" s="9"/>
      <c r="CD582" s="9"/>
      <c r="CE582" s="9"/>
      <c r="CF582" s="4"/>
      <c r="CG582" s="25"/>
      <c r="CH582" s="64"/>
      <c r="CI582" s="27"/>
      <c r="CJ582" s="121" t="str">
        <f t="shared" si="504"/>
        <v/>
      </c>
      <c r="CK582" s="20"/>
      <c r="CL582" s="20"/>
      <c r="CM582" s="24"/>
      <c r="CN582" s="24"/>
      <c r="CO582" s="125" t="str">
        <f t="shared" si="505"/>
        <v/>
      </c>
      <c r="CP582" s="14"/>
      <c r="CQ582" s="125" t="str">
        <f t="shared" si="506"/>
        <v/>
      </c>
      <c r="CR582" s="24"/>
      <c r="CS582" s="24"/>
      <c r="CT582" s="125" t="str">
        <f t="shared" si="507"/>
        <v/>
      </c>
      <c r="CU582" s="14"/>
      <c r="CV582" s="125" t="str">
        <f t="shared" si="508"/>
        <v/>
      </c>
      <c r="CW582" s="24"/>
      <c r="CX582" s="24"/>
      <c r="CY582" s="125" t="str">
        <f t="shared" si="509"/>
        <v/>
      </c>
      <c r="CZ582" s="125" t="str">
        <f t="shared" si="510"/>
        <v/>
      </c>
      <c r="DA582" s="125" t="str">
        <f t="shared" si="511"/>
        <v/>
      </c>
      <c r="DB582" s="129" t="str">
        <f t="shared" si="512"/>
        <v/>
      </c>
      <c r="DC582" s="9"/>
      <c r="DD582" s="65"/>
      <c r="DE582" s="105">
        <v>578</v>
      </c>
    </row>
    <row r="583" spans="1:109" outlineLevel="1" x14ac:dyDescent="0.2">
      <c r="A583" s="4"/>
      <c r="B583" s="115" t="str">
        <f>IF(_xlfn.XLOOKUP(A583, AutoFill_names!B:B, AutoFill_names!C:C,"")=0,"",_xlfn.XLOOKUP(A583, AutoFill_names!B:B, AutoFill_names!C:C,""))</f>
        <v/>
      </c>
      <c r="C583" s="115" t="str">
        <f>IF(_xlfn.XLOOKUP(A583, AutoFill_names!B:B, AutoFill_names!D:D,"")=0,"",_xlfn.XLOOKUP(A583, AutoFill_names!B:B, AutoFill_names!D:D,""))</f>
        <v/>
      </c>
      <c r="D583" s="115" t="str">
        <f>IF(_xlfn.XLOOKUP(A583, AutoFill_names!B:B, AutoFill_names!E:E,"")=0,"",_xlfn.XLOOKUP(A583, AutoFill_names!B:B, AutoFill_names!E:E,""))</f>
        <v/>
      </c>
      <c r="E583" s="115" t="str">
        <f>IF(_xlfn.XLOOKUP(A583, AutoFill_names!B:B, AutoFill_names!F:F,"")=0,"",_xlfn.XLOOKUP(A583, AutoFill_names!B:B, AutoFill_names!F:F,""))</f>
        <v/>
      </c>
      <c r="F583" s="92"/>
      <c r="G583" s="1"/>
      <c r="H583" s="1"/>
      <c r="I583" s="1"/>
      <c r="J583" s="115" t="str">
        <f>IF(_xlfn.XLOOKUP(A583, AutoFill_names!B:B, AutoFill_names!K:K,"")=0,"",_xlfn.XLOOKUP(A583, AutoFill_names!B:B, AutoFill_names!K:K,""))</f>
        <v/>
      </c>
      <c r="K583" s="115" t="str">
        <f>IF(_xlfn.XLOOKUP(A583, AutoFill_names!B:B, AutoFill_names!L:L,"")=0,"",_xlfn.XLOOKUP(A583, AutoFill_names!B:B, AutoFill_names!L:L,""))</f>
        <v/>
      </c>
      <c r="L583" s="5"/>
      <c r="M583" s="5"/>
      <c r="N583" s="117" t="str">
        <f>IF(_xlfn.XLOOKUP(L583, AutoFill_classes!A:A, AutoFill_classes!B:B,"")=0,"",_xlfn.XLOOKUP(L583, AutoFill_classes!A:A, AutoFill_classes!B:B,""))</f>
        <v/>
      </c>
      <c r="O583" s="108"/>
      <c r="P583" s="8"/>
      <c r="Q583" s="8"/>
      <c r="R583" s="8"/>
      <c r="S583" s="4"/>
      <c r="T583" s="4"/>
      <c r="U583" s="4"/>
      <c r="V583" s="4"/>
      <c r="W583" s="4"/>
      <c r="X583" s="64"/>
      <c r="Y583" s="25"/>
      <c r="Z583" s="121" t="str">
        <f t="shared" si="486"/>
        <v/>
      </c>
      <c r="AA583" s="26"/>
      <c r="AB583" s="26"/>
      <c r="AC583" s="28"/>
      <c r="AD583" s="28"/>
      <c r="AE583" s="125" t="str">
        <f t="shared" si="487"/>
        <v/>
      </c>
      <c r="AF583" s="9"/>
      <c r="AG583" s="125" t="str">
        <f t="shared" si="488"/>
        <v/>
      </c>
      <c r="AH583" s="28"/>
      <c r="AI583" s="28"/>
      <c r="AJ583" s="125" t="str">
        <f t="shared" si="489"/>
        <v/>
      </c>
      <c r="AK583" s="9"/>
      <c r="AL583" s="125" t="str">
        <f t="shared" si="490"/>
        <v/>
      </c>
      <c r="AM583" s="28"/>
      <c r="AN583" s="28"/>
      <c r="AO583" s="125" t="str">
        <f t="shared" si="491"/>
        <v/>
      </c>
      <c r="AP583" s="125" t="str">
        <f t="shared" si="492"/>
        <v/>
      </c>
      <c r="AQ583" s="125" t="str">
        <f t="shared" si="493"/>
        <v/>
      </c>
      <c r="AR583" s="129" t="str">
        <f t="shared" si="494"/>
        <v/>
      </c>
      <c r="AS583" s="9"/>
      <c r="AT583" s="34"/>
      <c r="AU583" s="34"/>
      <c r="AV583" s="117" t="str">
        <f>IF(_xlfn.XLOOKUP(AT583, AutoFill_classes!$A:$A, AutoFill_classes!$B:$B,"")=0,"",_xlfn.XLOOKUP(AT583, AutoFill_classes!$A:$A, AutoFill_classes!$B:$B,""))</f>
        <v/>
      </c>
      <c r="AW583" s="108"/>
      <c r="AX583" s="9"/>
      <c r="AY583" s="10"/>
      <c r="AZ583" s="9"/>
      <c r="BA583" s="10"/>
      <c r="BB583" s="10"/>
      <c r="BC583" s="64"/>
      <c r="BD583" s="25"/>
      <c r="BE583" s="121" t="str">
        <f t="shared" si="495"/>
        <v/>
      </c>
      <c r="BF583" s="20"/>
      <c r="BG583" s="20"/>
      <c r="BH583" s="24"/>
      <c r="BI583" s="24"/>
      <c r="BJ583" s="125" t="str">
        <f t="shared" si="496"/>
        <v/>
      </c>
      <c r="BK583" s="14"/>
      <c r="BL583" s="125" t="str">
        <f t="shared" si="497"/>
        <v/>
      </c>
      <c r="BM583" s="24"/>
      <c r="BN583" s="24"/>
      <c r="BO583" s="125" t="str">
        <f t="shared" si="498"/>
        <v/>
      </c>
      <c r="BP583" s="14"/>
      <c r="BQ583" s="125" t="str">
        <f t="shared" si="499"/>
        <v/>
      </c>
      <c r="BR583" s="24"/>
      <c r="BS583" s="24"/>
      <c r="BT583" s="125" t="str">
        <f t="shared" si="500"/>
        <v/>
      </c>
      <c r="BU583" s="125" t="str">
        <f t="shared" si="501"/>
        <v/>
      </c>
      <c r="BV583" s="125" t="str">
        <f t="shared" si="502"/>
        <v/>
      </c>
      <c r="BW583" s="129" t="str">
        <f t="shared" si="503"/>
        <v/>
      </c>
      <c r="BX583" s="9"/>
      <c r="BY583" s="9"/>
      <c r="BZ583" s="9"/>
      <c r="CA583" s="117" t="str">
        <f>IF(_xlfn.XLOOKUP(BY583, AutoFill_classes!$A:$A, AutoFill_classes!$B:$B,"")=0,"",_xlfn.XLOOKUP(BY583, AutoFill_classes!$A:$A, AutoFill_classes!$B:$B,""))</f>
        <v/>
      </c>
      <c r="CB583" s="108"/>
      <c r="CC583" s="9"/>
      <c r="CD583" s="9"/>
      <c r="CE583" s="9"/>
      <c r="CF583" s="4"/>
      <c r="CG583" s="25"/>
      <c r="CH583" s="64"/>
      <c r="CI583" s="27"/>
      <c r="CJ583" s="121" t="str">
        <f t="shared" si="504"/>
        <v/>
      </c>
      <c r="CK583" s="20"/>
      <c r="CL583" s="20"/>
      <c r="CM583" s="24"/>
      <c r="CN583" s="24"/>
      <c r="CO583" s="125" t="str">
        <f t="shared" si="505"/>
        <v/>
      </c>
      <c r="CP583" s="14"/>
      <c r="CQ583" s="125" t="str">
        <f t="shared" si="506"/>
        <v/>
      </c>
      <c r="CR583" s="24"/>
      <c r="CS583" s="24"/>
      <c r="CT583" s="125" t="str">
        <f t="shared" si="507"/>
        <v/>
      </c>
      <c r="CU583" s="14"/>
      <c r="CV583" s="125" t="str">
        <f t="shared" si="508"/>
        <v/>
      </c>
      <c r="CW583" s="24"/>
      <c r="CX583" s="24"/>
      <c r="CY583" s="125" t="str">
        <f t="shared" si="509"/>
        <v/>
      </c>
      <c r="CZ583" s="125" t="str">
        <f t="shared" si="510"/>
        <v/>
      </c>
      <c r="DA583" s="125" t="str">
        <f t="shared" si="511"/>
        <v/>
      </c>
      <c r="DB583" s="129" t="str">
        <f t="shared" si="512"/>
        <v/>
      </c>
      <c r="DC583" s="9"/>
      <c r="DD583" s="65"/>
      <c r="DE583" s="105">
        <v>579</v>
      </c>
    </row>
    <row r="584" spans="1:109" outlineLevel="1" x14ac:dyDescent="0.2">
      <c r="A584" s="4"/>
      <c r="B584" s="115" t="str">
        <f>IF(_xlfn.XLOOKUP(A584, AutoFill_names!B:B, AutoFill_names!C:C,"")=0,"",_xlfn.XLOOKUP(A584, AutoFill_names!B:B, AutoFill_names!C:C,""))</f>
        <v/>
      </c>
      <c r="C584" s="115" t="str">
        <f>IF(_xlfn.XLOOKUP(A584, AutoFill_names!B:B, AutoFill_names!D:D,"")=0,"",_xlfn.XLOOKUP(A584, AutoFill_names!B:B, AutoFill_names!D:D,""))</f>
        <v/>
      </c>
      <c r="D584" s="115" t="str">
        <f>IF(_xlfn.XLOOKUP(A584, AutoFill_names!B:B, AutoFill_names!E:E,"")=0,"",_xlfn.XLOOKUP(A584, AutoFill_names!B:B, AutoFill_names!E:E,""))</f>
        <v/>
      </c>
      <c r="E584" s="115" t="str">
        <f>IF(_xlfn.XLOOKUP(A584, AutoFill_names!B:B, AutoFill_names!F:F,"")=0,"",_xlfn.XLOOKUP(A584, AutoFill_names!B:B, AutoFill_names!F:F,""))</f>
        <v/>
      </c>
      <c r="F584" s="92"/>
      <c r="G584" s="1"/>
      <c r="H584" s="1"/>
      <c r="I584" s="1"/>
      <c r="J584" s="115" t="str">
        <f>IF(_xlfn.XLOOKUP(A584, AutoFill_names!B:B, AutoFill_names!K:K,"")=0,"",_xlfn.XLOOKUP(A584, AutoFill_names!B:B, AutoFill_names!K:K,""))</f>
        <v/>
      </c>
      <c r="K584" s="115" t="str">
        <f>IF(_xlfn.XLOOKUP(A584, AutoFill_names!B:B, AutoFill_names!L:L,"")=0,"",_xlfn.XLOOKUP(A584, AutoFill_names!B:B, AutoFill_names!L:L,""))</f>
        <v/>
      </c>
      <c r="L584" s="5"/>
      <c r="M584" s="5"/>
      <c r="N584" s="117" t="str">
        <f>IF(_xlfn.XLOOKUP(L584, AutoFill_classes!A:A, AutoFill_classes!B:B,"")=0,"",_xlfn.XLOOKUP(L584, AutoFill_classes!A:A, AutoFill_classes!B:B,""))</f>
        <v/>
      </c>
      <c r="O584" s="108"/>
      <c r="P584" s="8"/>
      <c r="Q584" s="8"/>
      <c r="R584" s="8"/>
      <c r="S584" s="4"/>
      <c r="T584" s="4"/>
      <c r="U584" s="4"/>
      <c r="V584" s="4"/>
      <c r="W584" s="4"/>
      <c r="X584" s="64"/>
      <c r="Y584" s="25"/>
      <c r="Z584" s="121" t="str">
        <f t="shared" ref="Z584:Z615" si="513">IF(X584*Y584=0,"",X584*Y584)</f>
        <v/>
      </c>
      <c r="AA584" s="26"/>
      <c r="AB584" s="26"/>
      <c r="AC584" s="28"/>
      <c r="AD584" s="28"/>
      <c r="AE584" s="125" t="str">
        <f t="shared" ref="AE584:AE615" si="514">IF(ROUNDUP((AD584-AC584)/7,0)=0,"",ROUNDUP((AD584-AC584)/7,0))</f>
        <v/>
      </c>
      <c r="AF584" s="9"/>
      <c r="AG584" s="125" t="str">
        <f t="shared" ref="AG584:AG615" si="515">IFERROR(IF(AE584*AF584=0,"",AE584*AF584), "")</f>
        <v/>
      </c>
      <c r="AH584" s="28"/>
      <c r="AI584" s="28"/>
      <c r="AJ584" s="125" t="str">
        <f t="shared" ref="AJ584:AJ615" si="516">IF(ROUNDUP((AI584-AH584)/7,0)=0,"",ROUNDUP((AI584-AH584)/7,0))</f>
        <v/>
      </c>
      <c r="AK584" s="9"/>
      <c r="AL584" s="125" t="str">
        <f t="shared" ref="AL584:AL615" si="517">IFERROR(IF(AJ584*AK584=0,"",AJ584*AK584), "")</f>
        <v/>
      </c>
      <c r="AM584" s="28"/>
      <c r="AN584" s="28"/>
      <c r="AO584" s="125" t="str">
        <f t="shared" ref="AO584:AO615" si="518">IF(ROUNDUP((AN584-AM584)/7,0)=0,"",ROUNDUP((AN584-AM584)/7,0))</f>
        <v/>
      </c>
      <c r="AP584" s="125" t="str">
        <f t="shared" ref="AP584:AP615" si="519">IFERROR(IF((AS584-(AF584+AK584))/AO584=0,"",ROUNDUP((AS584-(AF584+AK584))/AO584,0)), "")</f>
        <v/>
      </c>
      <c r="AQ584" s="125" t="str">
        <f t="shared" ref="AQ584:AQ615" si="520">IFERROR(IF((AS584-(AG584+AL584))=0, "", (AS584-(AG584+AL584))), "")</f>
        <v/>
      </c>
      <c r="AR584" s="129" t="str">
        <f t="shared" ref="AR584:AR615" si="521">IFERROR(IF((AE584+AJ584+AO584)=0, "", (AE584+AJ584+AO584)), "")</f>
        <v/>
      </c>
      <c r="AS584" s="9"/>
      <c r="AT584" s="34"/>
      <c r="AU584" s="34"/>
      <c r="AV584" s="117" t="str">
        <f>IF(_xlfn.XLOOKUP(AT584, AutoFill_classes!$A:$A, AutoFill_classes!$B:$B,"")=0,"",_xlfn.XLOOKUP(AT584, AutoFill_classes!$A:$A, AutoFill_classes!$B:$B,""))</f>
        <v/>
      </c>
      <c r="AW584" s="108"/>
      <c r="AX584" s="9"/>
      <c r="AY584" s="10"/>
      <c r="AZ584" s="9"/>
      <c r="BA584" s="10"/>
      <c r="BB584" s="10"/>
      <c r="BC584" s="64"/>
      <c r="BD584" s="25"/>
      <c r="BE584" s="121" t="str">
        <f t="shared" ref="BE584:BE615" si="522">IF(BC584*BD584=0,"",BC584*BD584)</f>
        <v/>
      </c>
      <c r="BF584" s="20"/>
      <c r="BG584" s="20"/>
      <c r="BH584" s="24"/>
      <c r="BI584" s="24"/>
      <c r="BJ584" s="125" t="str">
        <f t="shared" ref="BJ584:BJ615" si="523">IF(ROUNDUP((BI584-BH584)/7,0)=0,"",ROUNDUP((BI584-BH584)/7,0))</f>
        <v/>
      </c>
      <c r="BK584" s="14"/>
      <c r="BL584" s="125" t="str">
        <f t="shared" ref="BL584:BL615" si="524">IFERROR(IF(BJ584*BK584=0,"",BJ584*BK584), "")</f>
        <v/>
      </c>
      <c r="BM584" s="24"/>
      <c r="BN584" s="24"/>
      <c r="BO584" s="125" t="str">
        <f t="shared" ref="BO584:BO615" si="525">IF(ROUNDUP((BN584-BM584)/7,0)=0,"",ROUNDUP((BN584-BM584)/7,0))</f>
        <v/>
      </c>
      <c r="BP584" s="14"/>
      <c r="BQ584" s="125" t="str">
        <f t="shared" ref="BQ584:BQ615" si="526">IFERROR(IF(BO584*BP584=0,"",BO584*BP584), "")</f>
        <v/>
      </c>
      <c r="BR584" s="24"/>
      <c r="BS584" s="24"/>
      <c r="BT584" s="125" t="str">
        <f t="shared" ref="BT584:BT615" si="527">IF(ROUNDUP((BS584-BR584)/7,0)=0,"",ROUNDUP((BS584-BR584)/7,0))</f>
        <v/>
      </c>
      <c r="BU584" s="125" t="str">
        <f t="shared" ref="BU584:BU615" si="528">IFERROR(IF((BX584-(BK584+BP584))/BT584=0,"",ROUNDUP((BX584-(BK584+BP584))/BT584,0)), "")</f>
        <v/>
      </c>
      <c r="BV584" s="125" t="str">
        <f t="shared" ref="BV584:BV615" si="529">IFERROR(IF((BX584-(BL584+BQ584))=0, "", (BX584-(BL584+BQ584))), "")</f>
        <v/>
      </c>
      <c r="BW584" s="129" t="str">
        <f t="shared" ref="BW584:BW615" si="530">IFERROR(IF((BJ584+BO584+BT584)=0, "", (BJ584+BO584+BT584)), "")</f>
        <v/>
      </c>
      <c r="BX584" s="9"/>
      <c r="BY584" s="9"/>
      <c r="BZ584" s="9"/>
      <c r="CA584" s="117" t="str">
        <f>IF(_xlfn.XLOOKUP(BY584, AutoFill_classes!$A:$A, AutoFill_classes!$B:$B,"")=0,"",_xlfn.XLOOKUP(BY584, AutoFill_classes!$A:$A, AutoFill_classes!$B:$B,""))</f>
        <v/>
      </c>
      <c r="CB584" s="108"/>
      <c r="CC584" s="9"/>
      <c r="CD584" s="9"/>
      <c r="CE584" s="9"/>
      <c r="CF584" s="4"/>
      <c r="CG584" s="25"/>
      <c r="CH584" s="64"/>
      <c r="CI584" s="27"/>
      <c r="CJ584" s="121" t="str">
        <f t="shared" ref="CJ584:CJ615" si="531">IF(CH584*CI584=0,"",CH584*CI584)</f>
        <v/>
      </c>
      <c r="CK584" s="20"/>
      <c r="CL584" s="20"/>
      <c r="CM584" s="24"/>
      <c r="CN584" s="24"/>
      <c r="CO584" s="125" t="str">
        <f t="shared" ref="CO584:CO615" si="532">IF(ROUNDUP((CN584-CM584)/7,0)=0,"",ROUNDUP((CN584-CM584)/7,0))</f>
        <v/>
      </c>
      <c r="CP584" s="14"/>
      <c r="CQ584" s="125" t="str">
        <f t="shared" ref="CQ584:CQ615" si="533">IFERROR(IF(CO584*CP584=0,"",CO584*CP584), "")</f>
        <v/>
      </c>
      <c r="CR584" s="24"/>
      <c r="CS584" s="24"/>
      <c r="CT584" s="125" t="str">
        <f t="shared" ref="CT584:CT615" si="534">IF(ROUNDUP((CS584-CR584)/7,0)=0,"",ROUNDUP((CS584-CR584)/7,0))</f>
        <v/>
      </c>
      <c r="CU584" s="14"/>
      <c r="CV584" s="125" t="str">
        <f t="shared" ref="CV584:CV615" si="535">IFERROR(IF(CT584*CU584=0,"",CT584*CU584), "")</f>
        <v/>
      </c>
      <c r="CW584" s="24"/>
      <c r="CX584" s="24"/>
      <c r="CY584" s="125" t="str">
        <f t="shared" ref="CY584:CY615" si="536">IF(ROUNDUP((CX584-CW584)/7,0)=0,"",ROUNDUP((CX584-CW584)/7,0))</f>
        <v/>
      </c>
      <c r="CZ584" s="125" t="str">
        <f t="shared" ref="CZ584:CZ615" si="537">IFERROR(IF((DC584-(CP584+CU584))/CY584=0,"",ROUNDUP((DC584-(CP584+CU584))/CY584,0)), "")</f>
        <v/>
      </c>
      <c r="DA584" s="125" t="str">
        <f t="shared" ref="DA584:DA615" si="538">IFERROR(IF((DC584-(CQ584+CV584))=0, "", (DC584-(CQ584+CV584))), "")</f>
        <v/>
      </c>
      <c r="DB584" s="129" t="str">
        <f t="shared" ref="DB584:DB615" si="539">IFERROR(IF((CO584+CT584+CY584)=0, "", (CO584+CT584+CY584)), "")</f>
        <v/>
      </c>
      <c r="DC584" s="9"/>
      <c r="DD584" s="65"/>
      <c r="DE584" s="105">
        <v>580</v>
      </c>
    </row>
    <row r="585" spans="1:109" outlineLevel="1" x14ac:dyDescent="0.2">
      <c r="A585" s="4"/>
      <c r="B585" s="115" t="str">
        <f>IF(_xlfn.XLOOKUP(A585, AutoFill_names!B:B, AutoFill_names!C:C,"")=0,"",_xlfn.XLOOKUP(A585, AutoFill_names!B:B, AutoFill_names!C:C,""))</f>
        <v/>
      </c>
      <c r="C585" s="115" t="str">
        <f>IF(_xlfn.XLOOKUP(A585, AutoFill_names!B:B, AutoFill_names!D:D,"")=0,"",_xlfn.XLOOKUP(A585, AutoFill_names!B:B, AutoFill_names!D:D,""))</f>
        <v/>
      </c>
      <c r="D585" s="115" t="str">
        <f>IF(_xlfn.XLOOKUP(A585, AutoFill_names!B:B, AutoFill_names!E:E,"")=0,"",_xlfn.XLOOKUP(A585, AutoFill_names!B:B, AutoFill_names!E:E,""))</f>
        <v/>
      </c>
      <c r="E585" s="115" t="str">
        <f>IF(_xlfn.XLOOKUP(A585, AutoFill_names!B:B, AutoFill_names!F:F,"")=0,"",_xlfn.XLOOKUP(A585, AutoFill_names!B:B, AutoFill_names!F:F,""))</f>
        <v/>
      </c>
      <c r="F585" s="92"/>
      <c r="G585" s="1"/>
      <c r="H585" s="1"/>
      <c r="I585" s="1"/>
      <c r="J585" s="115" t="str">
        <f>IF(_xlfn.XLOOKUP(A585, AutoFill_names!B:B, AutoFill_names!K:K,"")=0,"",_xlfn.XLOOKUP(A585, AutoFill_names!B:B, AutoFill_names!K:K,""))</f>
        <v/>
      </c>
      <c r="K585" s="115" t="str">
        <f>IF(_xlfn.XLOOKUP(A585, AutoFill_names!B:B, AutoFill_names!L:L,"")=0,"",_xlfn.XLOOKUP(A585, AutoFill_names!B:B, AutoFill_names!L:L,""))</f>
        <v/>
      </c>
      <c r="L585" s="5"/>
      <c r="M585" s="5"/>
      <c r="N585" s="117" t="str">
        <f>IF(_xlfn.XLOOKUP(L585, AutoFill_classes!A:A, AutoFill_classes!B:B,"")=0,"",_xlfn.XLOOKUP(L585, AutoFill_classes!A:A, AutoFill_classes!B:B,""))</f>
        <v/>
      </c>
      <c r="O585" s="108"/>
      <c r="P585" s="8"/>
      <c r="Q585" s="8"/>
      <c r="R585" s="8"/>
      <c r="S585" s="4"/>
      <c r="T585" s="4"/>
      <c r="U585" s="4"/>
      <c r="V585" s="4"/>
      <c r="W585" s="4"/>
      <c r="X585" s="64"/>
      <c r="Y585" s="25"/>
      <c r="Z585" s="121" t="str">
        <f t="shared" si="513"/>
        <v/>
      </c>
      <c r="AA585" s="26"/>
      <c r="AB585" s="26"/>
      <c r="AC585" s="28"/>
      <c r="AD585" s="28"/>
      <c r="AE585" s="125" t="str">
        <f t="shared" si="514"/>
        <v/>
      </c>
      <c r="AF585" s="9"/>
      <c r="AG585" s="125" t="str">
        <f t="shared" si="515"/>
        <v/>
      </c>
      <c r="AH585" s="28"/>
      <c r="AI585" s="28"/>
      <c r="AJ585" s="125" t="str">
        <f t="shared" si="516"/>
        <v/>
      </c>
      <c r="AK585" s="9"/>
      <c r="AL585" s="125" t="str">
        <f t="shared" si="517"/>
        <v/>
      </c>
      <c r="AM585" s="28"/>
      <c r="AN585" s="28"/>
      <c r="AO585" s="125" t="str">
        <f t="shared" si="518"/>
        <v/>
      </c>
      <c r="AP585" s="125" t="str">
        <f t="shared" si="519"/>
        <v/>
      </c>
      <c r="AQ585" s="125" t="str">
        <f t="shared" si="520"/>
        <v/>
      </c>
      <c r="AR585" s="129" t="str">
        <f t="shared" si="521"/>
        <v/>
      </c>
      <c r="AS585" s="9"/>
      <c r="AT585" s="34"/>
      <c r="AU585" s="34"/>
      <c r="AV585" s="117" t="str">
        <f>IF(_xlfn.XLOOKUP(AT585, AutoFill_classes!$A:$A, AutoFill_classes!$B:$B,"")=0,"",_xlfn.XLOOKUP(AT585, AutoFill_classes!$A:$A, AutoFill_classes!$B:$B,""))</f>
        <v/>
      </c>
      <c r="AW585" s="108"/>
      <c r="AX585" s="9"/>
      <c r="AY585" s="10"/>
      <c r="AZ585" s="9"/>
      <c r="BA585" s="10"/>
      <c r="BB585" s="10"/>
      <c r="BC585" s="64"/>
      <c r="BD585" s="25"/>
      <c r="BE585" s="121" t="str">
        <f t="shared" si="522"/>
        <v/>
      </c>
      <c r="BF585" s="20"/>
      <c r="BG585" s="20"/>
      <c r="BH585" s="24"/>
      <c r="BI585" s="24"/>
      <c r="BJ585" s="125" t="str">
        <f t="shared" si="523"/>
        <v/>
      </c>
      <c r="BK585" s="14"/>
      <c r="BL585" s="125" t="str">
        <f t="shared" si="524"/>
        <v/>
      </c>
      <c r="BM585" s="24"/>
      <c r="BN585" s="24"/>
      <c r="BO585" s="125" t="str">
        <f t="shared" si="525"/>
        <v/>
      </c>
      <c r="BP585" s="14"/>
      <c r="BQ585" s="125" t="str">
        <f t="shared" si="526"/>
        <v/>
      </c>
      <c r="BR585" s="24"/>
      <c r="BS585" s="24"/>
      <c r="BT585" s="125" t="str">
        <f t="shared" si="527"/>
        <v/>
      </c>
      <c r="BU585" s="125" t="str">
        <f t="shared" si="528"/>
        <v/>
      </c>
      <c r="BV585" s="125" t="str">
        <f t="shared" si="529"/>
        <v/>
      </c>
      <c r="BW585" s="129" t="str">
        <f t="shared" si="530"/>
        <v/>
      </c>
      <c r="BX585" s="9"/>
      <c r="BY585" s="9"/>
      <c r="BZ585" s="9"/>
      <c r="CA585" s="117" t="str">
        <f>IF(_xlfn.XLOOKUP(BY585, AutoFill_classes!$A:$A, AutoFill_classes!$B:$B,"")=0,"",_xlfn.XLOOKUP(BY585, AutoFill_classes!$A:$A, AutoFill_classes!$B:$B,""))</f>
        <v/>
      </c>
      <c r="CB585" s="108"/>
      <c r="CC585" s="9"/>
      <c r="CD585" s="9"/>
      <c r="CE585" s="9"/>
      <c r="CF585" s="4"/>
      <c r="CG585" s="25"/>
      <c r="CH585" s="64"/>
      <c r="CI585" s="27"/>
      <c r="CJ585" s="121" t="str">
        <f t="shared" si="531"/>
        <v/>
      </c>
      <c r="CK585" s="20"/>
      <c r="CL585" s="20"/>
      <c r="CM585" s="24"/>
      <c r="CN585" s="24"/>
      <c r="CO585" s="125" t="str">
        <f t="shared" si="532"/>
        <v/>
      </c>
      <c r="CP585" s="14"/>
      <c r="CQ585" s="125" t="str">
        <f t="shared" si="533"/>
        <v/>
      </c>
      <c r="CR585" s="24"/>
      <c r="CS585" s="24"/>
      <c r="CT585" s="125" t="str">
        <f t="shared" si="534"/>
        <v/>
      </c>
      <c r="CU585" s="14"/>
      <c r="CV585" s="125" t="str">
        <f t="shared" si="535"/>
        <v/>
      </c>
      <c r="CW585" s="24"/>
      <c r="CX585" s="24"/>
      <c r="CY585" s="125" t="str">
        <f t="shared" si="536"/>
        <v/>
      </c>
      <c r="CZ585" s="125" t="str">
        <f t="shared" si="537"/>
        <v/>
      </c>
      <c r="DA585" s="125" t="str">
        <f t="shared" si="538"/>
        <v/>
      </c>
      <c r="DB585" s="129" t="str">
        <f t="shared" si="539"/>
        <v/>
      </c>
      <c r="DC585" s="9"/>
      <c r="DD585" s="65"/>
      <c r="DE585" s="105">
        <v>581</v>
      </c>
    </row>
    <row r="586" spans="1:109" outlineLevel="1" x14ac:dyDescent="0.2">
      <c r="A586" s="4"/>
      <c r="B586" s="115" t="str">
        <f>IF(_xlfn.XLOOKUP(A586, AutoFill_names!B:B, AutoFill_names!C:C,"")=0,"",_xlfn.XLOOKUP(A586, AutoFill_names!B:B, AutoFill_names!C:C,""))</f>
        <v/>
      </c>
      <c r="C586" s="115" t="str">
        <f>IF(_xlfn.XLOOKUP(A586, AutoFill_names!B:B, AutoFill_names!D:D,"")=0,"",_xlfn.XLOOKUP(A586, AutoFill_names!B:B, AutoFill_names!D:D,""))</f>
        <v/>
      </c>
      <c r="D586" s="115" t="str">
        <f>IF(_xlfn.XLOOKUP(A586, AutoFill_names!B:B, AutoFill_names!E:E,"")=0,"",_xlfn.XLOOKUP(A586, AutoFill_names!B:B, AutoFill_names!E:E,""))</f>
        <v/>
      </c>
      <c r="E586" s="115" t="str">
        <f>IF(_xlfn.XLOOKUP(A586, AutoFill_names!B:B, AutoFill_names!F:F,"")=0,"",_xlfn.XLOOKUP(A586, AutoFill_names!B:B, AutoFill_names!F:F,""))</f>
        <v/>
      </c>
      <c r="F586" s="92"/>
      <c r="G586" s="1"/>
      <c r="H586" s="1"/>
      <c r="I586" s="1"/>
      <c r="J586" s="115" t="str">
        <f>IF(_xlfn.XLOOKUP(A586, AutoFill_names!B:B, AutoFill_names!K:K,"")=0,"",_xlfn.XLOOKUP(A586, AutoFill_names!B:B, AutoFill_names!K:K,""))</f>
        <v/>
      </c>
      <c r="K586" s="115" t="str">
        <f>IF(_xlfn.XLOOKUP(A586, AutoFill_names!B:B, AutoFill_names!L:L,"")=0,"",_xlfn.XLOOKUP(A586, AutoFill_names!B:B, AutoFill_names!L:L,""))</f>
        <v/>
      </c>
      <c r="L586" s="5"/>
      <c r="M586" s="5"/>
      <c r="N586" s="117" t="str">
        <f>IF(_xlfn.XLOOKUP(L586, AutoFill_classes!A:A, AutoFill_classes!B:B,"")=0,"",_xlfn.XLOOKUP(L586, AutoFill_classes!A:A, AutoFill_classes!B:B,""))</f>
        <v/>
      </c>
      <c r="O586" s="108"/>
      <c r="P586" s="8"/>
      <c r="Q586" s="8"/>
      <c r="R586" s="8"/>
      <c r="S586" s="4"/>
      <c r="T586" s="4"/>
      <c r="U586" s="4"/>
      <c r="V586" s="4"/>
      <c r="W586" s="4"/>
      <c r="X586" s="64"/>
      <c r="Y586" s="25"/>
      <c r="Z586" s="121" t="str">
        <f t="shared" si="513"/>
        <v/>
      </c>
      <c r="AA586" s="26"/>
      <c r="AB586" s="26"/>
      <c r="AC586" s="28"/>
      <c r="AD586" s="28"/>
      <c r="AE586" s="125" t="str">
        <f t="shared" si="514"/>
        <v/>
      </c>
      <c r="AF586" s="9"/>
      <c r="AG586" s="125" t="str">
        <f t="shared" si="515"/>
        <v/>
      </c>
      <c r="AH586" s="28"/>
      <c r="AI586" s="28"/>
      <c r="AJ586" s="125" t="str">
        <f t="shared" si="516"/>
        <v/>
      </c>
      <c r="AK586" s="9"/>
      <c r="AL586" s="125" t="str">
        <f t="shared" si="517"/>
        <v/>
      </c>
      <c r="AM586" s="28"/>
      <c r="AN586" s="28"/>
      <c r="AO586" s="125" t="str">
        <f t="shared" si="518"/>
        <v/>
      </c>
      <c r="AP586" s="125" t="str">
        <f t="shared" si="519"/>
        <v/>
      </c>
      <c r="AQ586" s="125" t="str">
        <f t="shared" si="520"/>
        <v/>
      </c>
      <c r="AR586" s="129" t="str">
        <f t="shared" si="521"/>
        <v/>
      </c>
      <c r="AS586" s="9"/>
      <c r="AT586" s="34"/>
      <c r="AU586" s="34"/>
      <c r="AV586" s="117" t="str">
        <f>IF(_xlfn.XLOOKUP(AT586, AutoFill_classes!$A:$A, AutoFill_classes!$B:$B,"")=0,"",_xlfn.XLOOKUP(AT586, AutoFill_classes!$A:$A, AutoFill_classes!$B:$B,""))</f>
        <v/>
      </c>
      <c r="AW586" s="108"/>
      <c r="AX586" s="9"/>
      <c r="AY586" s="10"/>
      <c r="AZ586" s="9"/>
      <c r="BA586" s="10"/>
      <c r="BB586" s="10"/>
      <c r="BC586" s="64"/>
      <c r="BD586" s="25"/>
      <c r="BE586" s="121" t="str">
        <f t="shared" si="522"/>
        <v/>
      </c>
      <c r="BF586" s="20"/>
      <c r="BG586" s="20"/>
      <c r="BH586" s="24"/>
      <c r="BI586" s="24"/>
      <c r="BJ586" s="125" t="str">
        <f t="shared" si="523"/>
        <v/>
      </c>
      <c r="BK586" s="14"/>
      <c r="BL586" s="125" t="str">
        <f t="shared" si="524"/>
        <v/>
      </c>
      <c r="BM586" s="24"/>
      <c r="BN586" s="24"/>
      <c r="BO586" s="125" t="str">
        <f t="shared" si="525"/>
        <v/>
      </c>
      <c r="BP586" s="14"/>
      <c r="BQ586" s="125" t="str">
        <f t="shared" si="526"/>
        <v/>
      </c>
      <c r="BR586" s="24"/>
      <c r="BS586" s="24"/>
      <c r="BT586" s="125" t="str">
        <f t="shared" si="527"/>
        <v/>
      </c>
      <c r="BU586" s="125" t="str">
        <f t="shared" si="528"/>
        <v/>
      </c>
      <c r="BV586" s="125" t="str">
        <f t="shared" si="529"/>
        <v/>
      </c>
      <c r="BW586" s="129" t="str">
        <f t="shared" si="530"/>
        <v/>
      </c>
      <c r="BX586" s="9"/>
      <c r="BY586" s="9"/>
      <c r="BZ586" s="9"/>
      <c r="CA586" s="117" t="str">
        <f>IF(_xlfn.XLOOKUP(BY586, AutoFill_classes!$A:$A, AutoFill_classes!$B:$B,"")=0,"",_xlfn.XLOOKUP(BY586, AutoFill_classes!$A:$A, AutoFill_classes!$B:$B,""))</f>
        <v/>
      </c>
      <c r="CB586" s="108"/>
      <c r="CC586" s="9"/>
      <c r="CD586" s="9"/>
      <c r="CE586" s="9"/>
      <c r="CF586" s="4"/>
      <c r="CG586" s="25"/>
      <c r="CH586" s="64"/>
      <c r="CI586" s="27"/>
      <c r="CJ586" s="121" t="str">
        <f t="shared" si="531"/>
        <v/>
      </c>
      <c r="CK586" s="20"/>
      <c r="CL586" s="20"/>
      <c r="CM586" s="24"/>
      <c r="CN586" s="24"/>
      <c r="CO586" s="125" t="str">
        <f t="shared" si="532"/>
        <v/>
      </c>
      <c r="CP586" s="14"/>
      <c r="CQ586" s="125" t="str">
        <f t="shared" si="533"/>
        <v/>
      </c>
      <c r="CR586" s="24"/>
      <c r="CS586" s="24"/>
      <c r="CT586" s="125" t="str">
        <f t="shared" si="534"/>
        <v/>
      </c>
      <c r="CU586" s="14"/>
      <c r="CV586" s="125" t="str">
        <f t="shared" si="535"/>
        <v/>
      </c>
      <c r="CW586" s="24"/>
      <c r="CX586" s="24"/>
      <c r="CY586" s="125" t="str">
        <f t="shared" si="536"/>
        <v/>
      </c>
      <c r="CZ586" s="125" t="str">
        <f t="shared" si="537"/>
        <v/>
      </c>
      <c r="DA586" s="125" t="str">
        <f t="shared" si="538"/>
        <v/>
      </c>
      <c r="DB586" s="129" t="str">
        <f t="shared" si="539"/>
        <v/>
      </c>
      <c r="DC586" s="9"/>
      <c r="DD586" s="65"/>
      <c r="DE586" s="105">
        <v>582</v>
      </c>
    </row>
    <row r="587" spans="1:109" outlineLevel="1" x14ac:dyDescent="0.2">
      <c r="A587" s="4"/>
      <c r="B587" s="115" t="str">
        <f>IF(_xlfn.XLOOKUP(A587, AutoFill_names!B:B, AutoFill_names!C:C,"")=0,"",_xlfn.XLOOKUP(A587, AutoFill_names!B:B, AutoFill_names!C:C,""))</f>
        <v/>
      </c>
      <c r="C587" s="115" t="str">
        <f>IF(_xlfn.XLOOKUP(A587, AutoFill_names!B:B, AutoFill_names!D:D,"")=0,"",_xlfn.XLOOKUP(A587, AutoFill_names!B:B, AutoFill_names!D:D,""))</f>
        <v/>
      </c>
      <c r="D587" s="115" t="str">
        <f>IF(_xlfn.XLOOKUP(A587, AutoFill_names!B:B, AutoFill_names!E:E,"")=0,"",_xlfn.XLOOKUP(A587, AutoFill_names!B:B, AutoFill_names!E:E,""))</f>
        <v/>
      </c>
      <c r="E587" s="115" t="str">
        <f>IF(_xlfn.XLOOKUP(A587, AutoFill_names!B:B, AutoFill_names!F:F,"")=0,"",_xlfn.XLOOKUP(A587, AutoFill_names!B:B, AutoFill_names!F:F,""))</f>
        <v/>
      </c>
      <c r="F587" s="92"/>
      <c r="G587" s="1"/>
      <c r="H587" s="1"/>
      <c r="I587" s="1"/>
      <c r="J587" s="115" t="str">
        <f>IF(_xlfn.XLOOKUP(A587, AutoFill_names!B:B, AutoFill_names!K:K,"")=0,"",_xlfn.XLOOKUP(A587, AutoFill_names!B:B, AutoFill_names!K:K,""))</f>
        <v/>
      </c>
      <c r="K587" s="115" t="str">
        <f>IF(_xlfn.XLOOKUP(A587, AutoFill_names!B:B, AutoFill_names!L:L,"")=0,"",_xlfn.XLOOKUP(A587, AutoFill_names!B:B, AutoFill_names!L:L,""))</f>
        <v/>
      </c>
      <c r="L587" s="5"/>
      <c r="M587" s="5"/>
      <c r="N587" s="117" t="str">
        <f>IF(_xlfn.XLOOKUP(L587, AutoFill_classes!A:A, AutoFill_classes!B:B,"")=0,"",_xlfn.XLOOKUP(L587, AutoFill_classes!A:A, AutoFill_classes!B:B,""))</f>
        <v/>
      </c>
      <c r="O587" s="108"/>
      <c r="P587" s="8"/>
      <c r="Q587" s="8"/>
      <c r="R587" s="8"/>
      <c r="S587" s="4"/>
      <c r="T587" s="4"/>
      <c r="U587" s="4"/>
      <c r="V587" s="4"/>
      <c r="W587" s="4"/>
      <c r="X587" s="64"/>
      <c r="Y587" s="25"/>
      <c r="Z587" s="121" t="str">
        <f t="shared" si="513"/>
        <v/>
      </c>
      <c r="AA587" s="26"/>
      <c r="AB587" s="26"/>
      <c r="AC587" s="28"/>
      <c r="AD587" s="28"/>
      <c r="AE587" s="125" t="str">
        <f t="shared" si="514"/>
        <v/>
      </c>
      <c r="AF587" s="9"/>
      <c r="AG587" s="125" t="str">
        <f t="shared" si="515"/>
        <v/>
      </c>
      <c r="AH587" s="28"/>
      <c r="AI587" s="28"/>
      <c r="AJ587" s="125" t="str">
        <f t="shared" si="516"/>
        <v/>
      </c>
      <c r="AK587" s="9"/>
      <c r="AL587" s="125" t="str">
        <f t="shared" si="517"/>
        <v/>
      </c>
      <c r="AM587" s="28"/>
      <c r="AN587" s="28"/>
      <c r="AO587" s="125" t="str">
        <f t="shared" si="518"/>
        <v/>
      </c>
      <c r="AP587" s="125" t="str">
        <f t="shared" si="519"/>
        <v/>
      </c>
      <c r="AQ587" s="125" t="str">
        <f t="shared" si="520"/>
        <v/>
      </c>
      <c r="AR587" s="129" t="str">
        <f t="shared" si="521"/>
        <v/>
      </c>
      <c r="AS587" s="9"/>
      <c r="AT587" s="34"/>
      <c r="AU587" s="34"/>
      <c r="AV587" s="117" t="str">
        <f>IF(_xlfn.XLOOKUP(AT587, AutoFill_classes!$A:$A, AutoFill_classes!$B:$B,"")=0,"",_xlfn.XLOOKUP(AT587, AutoFill_classes!$A:$A, AutoFill_classes!$B:$B,""))</f>
        <v/>
      </c>
      <c r="AW587" s="108"/>
      <c r="AX587" s="9"/>
      <c r="AY587" s="10"/>
      <c r="AZ587" s="9"/>
      <c r="BA587" s="10"/>
      <c r="BB587" s="10"/>
      <c r="BC587" s="64"/>
      <c r="BD587" s="25"/>
      <c r="BE587" s="121" t="str">
        <f t="shared" si="522"/>
        <v/>
      </c>
      <c r="BF587" s="20"/>
      <c r="BG587" s="20"/>
      <c r="BH587" s="24"/>
      <c r="BI587" s="24"/>
      <c r="BJ587" s="125" t="str">
        <f t="shared" si="523"/>
        <v/>
      </c>
      <c r="BK587" s="14"/>
      <c r="BL587" s="125" t="str">
        <f t="shared" si="524"/>
        <v/>
      </c>
      <c r="BM587" s="24"/>
      <c r="BN587" s="24"/>
      <c r="BO587" s="125" t="str">
        <f t="shared" si="525"/>
        <v/>
      </c>
      <c r="BP587" s="14"/>
      <c r="BQ587" s="125" t="str">
        <f t="shared" si="526"/>
        <v/>
      </c>
      <c r="BR587" s="24"/>
      <c r="BS587" s="24"/>
      <c r="BT587" s="125" t="str">
        <f t="shared" si="527"/>
        <v/>
      </c>
      <c r="BU587" s="125" t="str">
        <f t="shared" si="528"/>
        <v/>
      </c>
      <c r="BV587" s="125" t="str">
        <f t="shared" si="529"/>
        <v/>
      </c>
      <c r="BW587" s="129" t="str">
        <f t="shared" si="530"/>
        <v/>
      </c>
      <c r="BX587" s="9"/>
      <c r="BY587" s="9"/>
      <c r="BZ587" s="9"/>
      <c r="CA587" s="117" t="str">
        <f>IF(_xlfn.XLOOKUP(BY587, AutoFill_classes!$A:$A, AutoFill_classes!$B:$B,"")=0,"",_xlfn.XLOOKUP(BY587, AutoFill_classes!$A:$A, AutoFill_classes!$B:$B,""))</f>
        <v/>
      </c>
      <c r="CB587" s="108"/>
      <c r="CC587" s="9"/>
      <c r="CD587" s="9"/>
      <c r="CE587" s="9"/>
      <c r="CF587" s="4"/>
      <c r="CG587" s="25"/>
      <c r="CH587" s="64"/>
      <c r="CI587" s="27"/>
      <c r="CJ587" s="121" t="str">
        <f t="shared" si="531"/>
        <v/>
      </c>
      <c r="CK587" s="20"/>
      <c r="CL587" s="20"/>
      <c r="CM587" s="24"/>
      <c r="CN587" s="24"/>
      <c r="CO587" s="125" t="str">
        <f t="shared" si="532"/>
        <v/>
      </c>
      <c r="CP587" s="14"/>
      <c r="CQ587" s="125" t="str">
        <f t="shared" si="533"/>
        <v/>
      </c>
      <c r="CR587" s="24"/>
      <c r="CS587" s="24"/>
      <c r="CT587" s="125" t="str">
        <f t="shared" si="534"/>
        <v/>
      </c>
      <c r="CU587" s="14"/>
      <c r="CV587" s="125" t="str">
        <f t="shared" si="535"/>
        <v/>
      </c>
      <c r="CW587" s="24"/>
      <c r="CX587" s="24"/>
      <c r="CY587" s="125" t="str">
        <f t="shared" si="536"/>
        <v/>
      </c>
      <c r="CZ587" s="125" t="str">
        <f t="shared" si="537"/>
        <v/>
      </c>
      <c r="DA587" s="125" t="str">
        <f t="shared" si="538"/>
        <v/>
      </c>
      <c r="DB587" s="129" t="str">
        <f t="shared" si="539"/>
        <v/>
      </c>
      <c r="DC587" s="9"/>
      <c r="DD587" s="65"/>
      <c r="DE587" s="105">
        <v>583</v>
      </c>
    </row>
    <row r="588" spans="1:109" outlineLevel="1" x14ac:dyDescent="0.2">
      <c r="A588" s="4"/>
      <c r="B588" s="115" t="str">
        <f>IF(_xlfn.XLOOKUP(A588, AutoFill_names!B:B, AutoFill_names!C:C,"")=0,"",_xlfn.XLOOKUP(A588, AutoFill_names!B:B, AutoFill_names!C:C,""))</f>
        <v/>
      </c>
      <c r="C588" s="115" t="str">
        <f>IF(_xlfn.XLOOKUP(A588, AutoFill_names!B:B, AutoFill_names!D:D,"")=0,"",_xlfn.XLOOKUP(A588, AutoFill_names!B:B, AutoFill_names!D:D,""))</f>
        <v/>
      </c>
      <c r="D588" s="115" t="str">
        <f>IF(_xlfn.XLOOKUP(A588, AutoFill_names!B:B, AutoFill_names!E:E,"")=0,"",_xlfn.XLOOKUP(A588, AutoFill_names!B:B, AutoFill_names!E:E,""))</f>
        <v/>
      </c>
      <c r="E588" s="115" t="str">
        <f>IF(_xlfn.XLOOKUP(A588, AutoFill_names!B:B, AutoFill_names!F:F,"")=0,"",_xlfn.XLOOKUP(A588, AutoFill_names!B:B, AutoFill_names!F:F,""))</f>
        <v/>
      </c>
      <c r="F588" s="92"/>
      <c r="G588" s="1"/>
      <c r="H588" s="1"/>
      <c r="I588" s="1"/>
      <c r="J588" s="115" t="str">
        <f>IF(_xlfn.XLOOKUP(A588, AutoFill_names!B:B, AutoFill_names!K:K,"")=0,"",_xlfn.XLOOKUP(A588, AutoFill_names!B:B, AutoFill_names!K:K,""))</f>
        <v/>
      </c>
      <c r="K588" s="115" t="str">
        <f>IF(_xlfn.XLOOKUP(A588, AutoFill_names!B:B, AutoFill_names!L:L,"")=0,"",_xlfn.XLOOKUP(A588, AutoFill_names!B:B, AutoFill_names!L:L,""))</f>
        <v/>
      </c>
      <c r="L588" s="5"/>
      <c r="M588" s="5"/>
      <c r="N588" s="117" t="str">
        <f>IF(_xlfn.XLOOKUP(L588, AutoFill_classes!A:A, AutoFill_classes!B:B,"")=0,"",_xlfn.XLOOKUP(L588, AutoFill_classes!A:A, AutoFill_classes!B:B,""))</f>
        <v/>
      </c>
      <c r="O588" s="108"/>
      <c r="P588" s="8"/>
      <c r="Q588" s="8"/>
      <c r="R588" s="8"/>
      <c r="S588" s="4"/>
      <c r="T588" s="4"/>
      <c r="U588" s="4"/>
      <c r="V588" s="4"/>
      <c r="W588" s="4"/>
      <c r="X588" s="64"/>
      <c r="Y588" s="25"/>
      <c r="Z588" s="121" t="str">
        <f t="shared" si="513"/>
        <v/>
      </c>
      <c r="AA588" s="26"/>
      <c r="AB588" s="26"/>
      <c r="AC588" s="28"/>
      <c r="AD588" s="28"/>
      <c r="AE588" s="125" t="str">
        <f t="shared" si="514"/>
        <v/>
      </c>
      <c r="AF588" s="9"/>
      <c r="AG588" s="125" t="str">
        <f t="shared" si="515"/>
        <v/>
      </c>
      <c r="AH588" s="28"/>
      <c r="AI588" s="28"/>
      <c r="AJ588" s="125" t="str">
        <f t="shared" si="516"/>
        <v/>
      </c>
      <c r="AK588" s="9"/>
      <c r="AL588" s="125" t="str">
        <f t="shared" si="517"/>
        <v/>
      </c>
      <c r="AM588" s="28"/>
      <c r="AN588" s="28"/>
      <c r="AO588" s="125" t="str">
        <f t="shared" si="518"/>
        <v/>
      </c>
      <c r="AP588" s="125" t="str">
        <f t="shared" si="519"/>
        <v/>
      </c>
      <c r="AQ588" s="125" t="str">
        <f t="shared" si="520"/>
        <v/>
      </c>
      <c r="AR588" s="129" t="str">
        <f t="shared" si="521"/>
        <v/>
      </c>
      <c r="AS588" s="9"/>
      <c r="AT588" s="34"/>
      <c r="AU588" s="34"/>
      <c r="AV588" s="117" t="str">
        <f>IF(_xlfn.XLOOKUP(AT588, AutoFill_classes!$A:$A, AutoFill_classes!$B:$B,"")=0,"",_xlfn.XLOOKUP(AT588, AutoFill_classes!$A:$A, AutoFill_classes!$B:$B,""))</f>
        <v/>
      </c>
      <c r="AW588" s="108"/>
      <c r="AX588" s="9"/>
      <c r="AY588" s="10"/>
      <c r="AZ588" s="9"/>
      <c r="BA588" s="10"/>
      <c r="BB588" s="10"/>
      <c r="BC588" s="64"/>
      <c r="BD588" s="25"/>
      <c r="BE588" s="121" t="str">
        <f t="shared" si="522"/>
        <v/>
      </c>
      <c r="BF588" s="20"/>
      <c r="BG588" s="20"/>
      <c r="BH588" s="24"/>
      <c r="BI588" s="24"/>
      <c r="BJ588" s="125" t="str">
        <f t="shared" si="523"/>
        <v/>
      </c>
      <c r="BK588" s="14"/>
      <c r="BL588" s="125" t="str">
        <f t="shared" si="524"/>
        <v/>
      </c>
      <c r="BM588" s="24"/>
      <c r="BN588" s="24"/>
      <c r="BO588" s="125" t="str">
        <f t="shared" si="525"/>
        <v/>
      </c>
      <c r="BP588" s="14"/>
      <c r="BQ588" s="125" t="str">
        <f t="shared" si="526"/>
        <v/>
      </c>
      <c r="BR588" s="24"/>
      <c r="BS588" s="24"/>
      <c r="BT588" s="125" t="str">
        <f t="shared" si="527"/>
        <v/>
      </c>
      <c r="BU588" s="125" t="str">
        <f t="shared" si="528"/>
        <v/>
      </c>
      <c r="BV588" s="125" t="str">
        <f t="shared" si="529"/>
        <v/>
      </c>
      <c r="BW588" s="129" t="str">
        <f t="shared" si="530"/>
        <v/>
      </c>
      <c r="BX588" s="9"/>
      <c r="BY588" s="9"/>
      <c r="BZ588" s="9"/>
      <c r="CA588" s="117" t="str">
        <f>IF(_xlfn.XLOOKUP(BY588, AutoFill_classes!$A:$A, AutoFill_classes!$B:$B,"")=0,"",_xlfn.XLOOKUP(BY588, AutoFill_classes!$A:$A, AutoFill_classes!$B:$B,""))</f>
        <v/>
      </c>
      <c r="CB588" s="108"/>
      <c r="CC588" s="9"/>
      <c r="CD588" s="9"/>
      <c r="CE588" s="9"/>
      <c r="CF588" s="4"/>
      <c r="CG588" s="25"/>
      <c r="CH588" s="64"/>
      <c r="CI588" s="27"/>
      <c r="CJ588" s="121" t="str">
        <f t="shared" si="531"/>
        <v/>
      </c>
      <c r="CK588" s="20"/>
      <c r="CL588" s="20"/>
      <c r="CM588" s="24"/>
      <c r="CN588" s="24"/>
      <c r="CO588" s="125" t="str">
        <f t="shared" si="532"/>
        <v/>
      </c>
      <c r="CP588" s="14"/>
      <c r="CQ588" s="125" t="str">
        <f t="shared" si="533"/>
        <v/>
      </c>
      <c r="CR588" s="24"/>
      <c r="CS588" s="24"/>
      <c r="CT588" s="125" t="str">
        <f t="shared" si="534"/>
        <v/>
      </c>
      <c r="CU588" s="14"/>
      <c r="CV588" s="125" t="str">
        <f t="shared" si="535"/>
        <v/>
      </c>
      <c r="CW588" s="24"/>
      <c r="CX588" s="24"/>
      <c r="CY588" s="125" t="str">
        <f t="shared" si="536"/>
        <v/>
      </c>
      <c r="CZ588" s="125" t="str">
        <f t="shared" si="537"/>
        <v/>
      </c>
      <c r="DA588" s="125" t="str">
        <f t="shared" si="538"/>
        <v/>
      </c>
      <c r="DB588" s="129" t="str">
        <f t="shared" si="539"/>
        <v/>
      </c>
      <c r="DC588" s="9"/>
      <c r="DD588" s="65"/>
      <c r="DE588" s="105">
        <v>584</v>
      </c>
    </row>
    <row r="589" spans="1:109" outlineLevel="1" x14ac:dyDescent="0.2">
      <c r="A589" s="4"/>
      <c r="B589" s="115" t="str">
        <f>IF(_xlfn.XLOOKUP(A589, AutoFill_names!B:B, AutoFill_names!C:C,"")=0,"",_xlfn.XLOOKUP(A589, AutoFill_names!B:B, AutoFill_names!C:C,""))</f>
        <v/>
      </c>
      <c r="C589" s="115" t="str">
        <f>IF(_xlfn.XLOOKUP(A589, AutoFill_names!B:B, AutoFill_names!D:D,"")=0,"",_xlfn.XLOOKUP(A589, AutoFill_names!B:B, AutoFill_names!D:D,""))</f>
        <v/>
      </c>
      <c r="D589" s="115" t="str">
        <f>IF(_xlfn.XLOOKUP(A589, AutoFill_names!B:B, AutoFill_names!E:E,"")=0,"",_xlfn.XLOOKUP(A589, AutoFill_names!B:B, AutoFill_names!E:E,""))</f>
        <v/>
      </c>
      <c r="E589" s="115" t="str">
        <f>IF(_xlfn.XLOOKUP(A589, AutoFill_names!B:B, AutoFill_names!F:F,"")=0,"",_xlfn.XLOOKUP(A589, AutoFill_names!B:B, AutoFill_names!F:F,""))</f>
        <v/>
      </c>
      <c r="F589" s="92"/>
      <c r="G589" s="1"/>
      <c r="H589" s="1"/>
      <c r="I589" s="1"/>
      <c r="J589" s="115" t="str">
        <f>IF(_xlfn.XLOOKUP(A589, AutoFill_names!B:B, AutoFill_names!K:K,"")=0,"",_xlfn.XLOOKUP(A589, AutoFill_names!B:B, AutoFill_names!K:K,""))</f>
        <v/>
      </c>
      <c r="K589" s="115" t="str">
        <f>IF(_xlfn.XLOOKUP(A589, AutoFill_names!B:B, AutoFill_names!L:L,"")=0,"",_xlfn.XLOOKUP(A589, AutoFill_names!B:B, AutoFill_names!L:L,""))</f>
        <v/>
      </c>
      <c r="L589" s="5"/>
      <c r="M589" s="5"/>
      <c r="N589" s="117" t="str">
        <f>IF(_xlfn.XLOOKUP(L589, AutoFill_classes!A:A, AutoFill_classes!B:B,"")=0,"",_xlfn.XLOOKUP(L589, AutoFill_classes!A:A, AutoFill_classes!B:B,""))</f>
        <v/>
      </c>
      <c r="O589" s="108"/>
      <c r="P589" s="8"/>
      <c r="Q589" s="8"/>
      <c r="R589" s="8"/>
      <c r="S589" s="4"/>
      <c r="T589" s="4"/>
      <c r="U589" s="4"/>
      <c r="V589" s="4"/>
      <c r="W589" s="4"/>
      <c r="X589" s="64"/>
      <c r="Y589" s="25"/>
      <c r="Z589" s="121" t="str">
        <f t="shared" si="513"/>
        <v/>
      </c>
      <c r="AA589" s="26"/>
      <c r="AB589" s="26"/>
      <c r="AC589" s="28"/>
      <c r="AD589" s="28"/>
      <c r="AE589" s="125" t="str">
        <f t="shared" si="514"/>
        <v/>
      </c>
      <c r="AF589" s="9"/>
      <c r="AG589" s="125" t="str">
        <f t="shared" si="515"/>
        <v/>
      </c>
      <c r="AH589" s="28"/>
      <c r="AI589" s="28"/>
      <c r="AJ589" s="125" t="str">
        <f t="shared" si="516"/>
        <v/>
      </c>
      <c r="AK589" s="9"/>
      <c r="AL589" s="125" t="str">
        <f t="shared" si="517"/>
        <v/>
      </c>
      <c r="AM589" s="28"/>
      <c r="AN589" s="28"/>
      <c r="AO589" s="125" t="str">
        <f t="shared" si="518"/>
        <v/>
      </c>
      <c r="AP589" s="125" t="str">
        <f t="shared" si="519"/>
        <v/>
      </c>
      <c r="AQ589" s="125" t="str">
        <f t="shared" si="520"/>
        <v/>
      </c>
      <c r="AR589" s="129" t="str">
        <f t="shared" si="521"/>
        <v/>
      </c>
      <c r="AS589" s="9"/>
      <c r="AT589" s="34"/>
      <c r="AU589" s="34"/>
      <c r="AV589" s="117" t="str">
        <f>IF(_xlfn.XLOOKUP(AT589, AutoFill_classes!$A:$A, AutoFill_classes!$B:$B,"")=0,"",_xlfn.XLOOKUP(AT589, AutoFill_classes!$A:$A, AutoFill_classes!$B:$B,""))</f>
        <v/>
      </c>
      <c r="AW589" s="108"/>
      <c r="AX589" s="9"/>
      <c r="AY589" s="10"/>
      <c r="AZ589" s="9"/>
      <c r="BA589" s="10"/>
      <c r="BB589" s="10"/>
      <c r="BC589" s="64"/>
      <c r="BD589" s="25"/>
      <c r="BE589" s="121" t="str">
        <f t="shared" si="522"/>
        <v/>
      </c>
      <c r="BF589" s="20"/>
      <c r="BG589" s="20"/>
      <c r="BH589" s="24"/>
      <c r="BI589" s="24"/>
      <c r="BJ589" s="125" t="str">
        <f t="shared" si="523"/>
        <v/>
      </c>
      <c r="BK589" s="14"/>
      <c r="BL589" s="125" t="str">
        <f t="shared" si="524"/>
        <v/>
      </c>
      <c r="BM589" s="24"/>
      <c r="BN589" s="24"/>
      <c r="BO589" s="125" t="str">
        <f t="shared" si="525"/>
        <v/>
      </c>
      <c r="BP589" s="14"/>
      <c r="BQ589" s="125" t="str">
        <f t="shared" si="526"/>
        <v/>
      </c>
      <c r="BR589" s="24"/>
      <c r="BS589" s="24"/>
      <c r="BT589" s="125" t="str">
        <f t="shared" si="527"/>
        <v/>
      </c>
      <c r="BU589" s="125" t="str">
        <f t="shared" si="528"/>
        <v/>
      </c>
      <c r="BV589" s="125" t="str">
        <f t="shared" si="529"/>
        <v/>
      </c>
      <c r="BW589" s="129" t="str">
        <f t="shared" si="530"/>
        <v/>
      </c>
      <c r="BX589" s="9"/>
      <c r="BY589" s="9"/>
      <c r="BZ589" s="9"/>
      <c r="CA589" s="117" t="str">
        <f>IF(_xlfn.XLOOKUP(BY589, AutoFill_classes!$A:$A, AutoFill_classes!$B:$B,"")=0,"",_xlfn.XLOOKUP(BY589, AutoFill_classes!$A:$A, AutoFill_classes!$B:$B,""))</f>
        <v/>
      </c>
      <c r="CB589" s="108"/>
      <c r="CC589" s="9"/>
      <c r="CD589" s="9"/>
      <c r="CE589" s="9"/>
      <c r="CF589" s="4"/>
      <c r="CG589" s="25"/>
      <c r="CH589" s="64"/>
      <c r="CI589" s="27"/>
      <c r="CJ589" s="121" t="str">
        <f t="shared" si="531"/>
        <v/>
      </c>
      <c r="CK589" s="20"/>
      <c r="CL589" s="20"/>
      <c r="CM589" s="24"/>
      <c r="CN589" s="24"/>
      <c r="CO589" s="125" t="str">
        <f t="shared" si="532"/>
        <v/>
      </c>
      <c r="CP589" s="14"/>
      <c r="CQ589" s="125" t="str">
        <f t="shared" si="533"/>
        <v/>
      </c>
      <c r="CR589" s="24"/>
      <c r="CS589" s="24"/>
      <c r="CT589" s="125" t="str">
        <f t="shared" si="534"/>
        <v/>
      </c>
      <c r="CU589" s="14"/>
      <c r="CV589" s="125" t="str">
        <f t="shared" si="535"/>
        <v/>
      </c>
      <c r="CW589" s="24"/>
      <c r="CX589" s="24"/>
      <c r="CY589" s="125" t="str">
        <f t="shared" si="536"/>
        <v/>
      </c>
      <c r="CZ589" s="125" t="str">
        <f t="shared" si="537"/>
        <v/>
      </c>
      <c r="DA589" s="125" t="str">
        <f t="shared" si="538"/>
        <v/>
      </c>
      <c r="DB589" s="129" t="str">
        <f t="shared" si="539"/>
        <v/>
      </c>
      <c r="DC589" s="9"/>
      <c r="DD589" s="65"/>
      <c r="DE589" s="105">
        <v>585</v>
      </c>
    </row>
    <row r="590" spans="1:109" outlineLevel="1" x14ac:dyDescent="0.2">
      <c r="A590" s="4"/>
      <c r="B590" s="115" t="str">
        <f>IF(_xlfn.XLOOKUP(A590, AutoFill_names!B:B, AutoFill_names!C:C,"")=0,"",_xlfn.XLOOKUP(A590, AutoFill_names!B:B, AutoFill_names!C:C,""))</f>
        <v/>
      </c>
      <c r="C590" s="115" t="str">
        <f>IF(_xlfn.XLOOKUP(A590, AutoFill_names!B:B, AutoFill_names!D:D,"")=0,"",_xlfn.XLOOKUP(A590, AutoFill_names!B:B, AutoFill_names!D:D,""))</f>
        <v/>
      </c>
      <c r="D590" s="115" t="str">
        <f>IF(_xlfn.XLOOKUP(A590, AutoFill_names!B:B, AutoFill_names!E:E,"")=0,"",_xlfn.XLOOKUP(A590, AutoFill_names!B:B, AutoFill_names!E:E,""))</f>
        <v/>
      </c>
      <c r="E590" s="115" t="str">
        <f>IF(_xlfn.XLOOKUP(A590, AutoFill_names!B:B, AutoFill_names!F:F,"")=0,"",_xlfn.XLOOKUP(A590, AutoFill_names!B:B, AutoFill_names!F:F,""))</f>
        <v/>
      </c>
      <c r="F590" s="92"/>
      <c r="G590" s="1"/>
      <c r="H590" s="1"/>
      <c r="I590" s="1"/>
      <c r="J590" s="115" t="str">
        <f>IF(_xlfn.XLOOKUP(A590, AutoFill_names!B:B, AutoFill_names!K:K,"")=0,"",_xlfn.XLOOKUP(A590, AutoFill_names!B:B, AutoFill_names!K:K,""))</f>
        <v/>
      </c>
      <c r="K590" s="115" t="str">
        <f>IF(_xlfn.XLOOKUP(A590, AutoFill_names!B:B, AutoFill_names!L:L,"")=0,"",_xlfn.XLOOKUP(A590, AutoFill_names!B:B, AutoFill_names!L:L,""))</f>
        <v/>
      </c>
      <c r="L590" s="5"/>
      <c r="M590" s="5"/>
      <c r="N590" s="117" t="str">
        <f>IF(_xlfn.XLOOKUP(L590, AutoFill_classes!A:A, AutoFill_classes!B:B,"")=0,"",_xlfn.XLOOKUP(L590, AutoFill_classes!A:A, AutoFill_classes!B:B,""))</f>
        <v/>
      </c>
      <c r="O590" s="108"/>
      <c r="P590" s="8"/>
      <c r="Q590" s="8"/>
      <c r="R590" s="8"/>
      <c r="S590" s="4"/>
      <c r="T590" s="4"/>
      <c r="U590" s="4"/>
      <c r="V590" s="4"/>
      <c r="W590" s="4"/>
      <c r="X590" s="64"/>
      <c r="Y590" s="25"/>
      <c r="Z590" s="121" t="str">
        <f t="shared" si="513"/>
        <v/>
      </c>
      <c r="AA590" s="26"/>
      <c r="AB590" s="26"/>
      <c r="AC590" s="28"/>
      <c r="AD590" s="28"/>
      <c r="AE590" s="125" t="str">
        <f t="shared" si="514"/>
        <v/>
      </c>
      <c r="AF590" s="9"/>
      <c r="AG590" s="125" t="str">
        <f t="shared" si="515"/>
        <v/>
      </c>
      <c r="AH590" s="28"/>
      <c r="AI590" s="28"/>
      <c r="AJ590" s="125" t="str">
        <f t="shared" si="516"/>
        <v/>
      </c>
      <c r="AK590" s="9"/>
      <c r="AL590" s="125" t="str">
        <f t="shared" si="517"/>
        <v/>
      </c>
      <c r="AM590" s="28"/>
      <c r="AN590" s="28"/>
      <c r="AO590" s="125" t="str">
        <f t="shared" si="518"/>
        <v/>
      </c>
      <c r="AP590" s="125" t="str">
        <f t="shared" si="519"/>
        <v/>
      </c>
      <c r="AQ590" s="125" t="str">
        <f t="shared" si="520"/>
        <v/>
      </c>
      <c r="AR590" s="129" t="str">
        <f t="shared" si="521"/>
        <v/>
      </c>
      <c r="AS590" s="9"/>
      <c r="AT590" s="34"/>
      <c r="AU590" s="34"/>
      <c r="AV590" s="117" t="str">
        <f>IF(_xlfn.XLOOKUP(AT590, AutoFill_classes!$A:$A, AutoFill_classes!$B:$B,"")=0,"",_xlfn.XLOOKUP(AT590, AutoFill_classes!$A:$A, AutoFill_classes!$B:$B,""))</f>
        <v/>
      </c>
      <c r="AW590" s="108"/>
      <c r="AX590" s="9"/>
      <c r="AY590" s="10"/>
      <c r="AZ590" s="9"/>
      <c r="BA590" s="10"/>
      <c r="BB590" s="10"/>
      <c r="BC590" s="64"/>
      <c r="BD590" s="25"/>
      <c r="BE590" s="121" t="str">
        <f t="shared" si="522"/>
        <v/>
      </c>
      <c r="BF590" s="20"/>
      <c r="BG590" s="20"/>
      <c r="BH590" s="24"/>
      <c r="BI590" s="24"/>
      <c r="BJ590" s="125" t="str">
        <f t="shared" si="523"/>
        <v/>
      </c>
      <c r="BK590" s="14"/>
      <c r="BL590" s="125" t="str">
        <f t="shared" si="524"/>
        <v/>
      </c>
      <c r="BM590" s="24"/>
      <c r="BN590" s="24"/>
      <c r="BO590" s="125" t="str">
        <f t="shared" si="525"/>
        <v/>
      </c>
      <c r="BP590" s="14"/>
      <c r="BQ590" s="125" t="str">
        <f t="shared" si="526"/>
        <v/>
      </c>
      <c r="BR590" s="24"/>
      <c r="BS590" s="24"/>
      <c r="BT590" s="125" t="str">
        <f t="shared" si="527"/>
        <v/>
      </c>
      <c r="BU590" s="125" t="str">
        <f t="shared" si="528"/>
        <v/>
      </c>
      <c r="BV590" s="125" t="str">
        <f t="shared" si="529"/>
        <v/>
      </c>
      <c r="BW590" s="129" t="str">
        <f t="shared" si="530"/>
        <v/>
      </c>
      <c r="BX590" s="9"/>
      <c r="BY590" s="9"/>
      <c r="BZ590" s="9"/>
      <c r="CA590" s="117" t="str">
        <f>IF(_xlfn.XLOOKUP(BY590, AutoFill_classes!$A:$A, AutoFill_classes!$B:$B,"")=0,"",_xlfn.XLOOKUP(BY590, AutoFill_classes!$A:$A, AutoFill_classes!$B:$B,""))</f>
        <v/>
      </c>
      <c r="CB590" s="108"/>
      <c r="CC590" s="9"/>
      <c r="CD590" s="9"/>
      <c r="CE590" s="9"/>
      <c r="CF590" s="4"/>
      <c r="CG590" s="25"/>
      <c r="CH590" s="64"/>
      <c r="CI590" s="27"/>
      <c r="CJ590" s="121" t="str">
        <f t="shared" si="531"/>
        <v/>
      </c>
      <c r="CK590" s="20"/>
      <c r="CL590" s="20"/>
      <c r="CM590" s="24"/>
      <c r="CN590" s="24"/>
      <c r="CO590" s="125" t="str">
        <f t="shared" si="532"/>
        <v/>
      </c>
      <c r="CP590" s="14"/>
      <c r="CQ590" s="125" t="str">
        <f t="shared" si="533"/>
        <v/>
      </c>
      <c r="CR590" s="24"/>
      <c r="CS590" s="24"/>
      <c r="CT590" s="125" t="str">
        <f t="shared" si="534"/>
        <v/>
      </c>
      <c r="CU590" s="14"/>
      <c r="CV590" s="125" t="str">
        <f t="shared" si="535"/>
        <v/>
      </c>
      <c r="CW590" s="24"/>
      <c r="CX590" s="24"/>
      <c r="CY590" s="125" t="str">
        <f t="shared" si="536"/>
        <v/>
      </c>
      <c r="CZ590" s="125" t="str">
        <f t="shared" si="537"/>
        <v/>
      </c>
      <c r="DA590" s="125" t="str">
        <f t="shared" si="538"/>
        <v/>
      </c>
      <c r="DB590" s="129" t="str">
        <f t="shared" si="539"/>
        <v/>
      </c>
      <c r="DC590" s="9"/>
      <c r="DD590" s="65"/>
      <c r="DE590" s="105">
        <v>586</v>
      </c>
    </row>
    <row r="591" spans="1:109" outlineLevel="1" x14ac:dyDescent="0.2">
      <c r="A591" s="4"/>
      <c r="B591" s="115" t="str">
        <f>IF(_xlfn.XLOOKUP(A591, AutoFill_names!B:B, AutoFill_names!C:C,"")=0,"",_xlfn.XLOOKUP(A591, AutoFill_names!B:B, AutoFill_names!C:C,""))</f>
        <v/>
      </c>
      <c r="C591" s="115" t="str">
        <f>IF(_xlfn.XLOOKUP(A591, AutoFill_names!B:B, AutoFill_names!D:D,"")=0,"",_xlfn.XLOOKUP(A591, AutoFill_names!B:B, AutoFill_names!D:D,""))</f>
        <v/>
      </c>
      <c r="D591" s="115" t="str">
        <f>IF(_xlfn.XLOOKUP(A591, AutoFill_names!B:B, AutoFill_names!E:E,"")=0,"",_xlfn.XLOOKUP(A591, AutoFill_names!B:B, AutoFill_names!E:E,""))</f>
        <v/>
      </c>
      <c r="E591" s="115" t="str">
        <f>IF(_xlfn.XLOOKUP(A591, AutoFill_names!B:B, AutoFill_names!F:F,"")=0,"",_xlfn.XLOOKUP(A591, AutoFill_names!B:B, AutoFill_names!F:F,""))</f>
        <v/>
      </c>
      <c r="F591" s="92"/>
      <c r="G591" s="1"/>
      <c r="H591" s="1"/>
      <c r="I591" s="1"/>
      <c r="J591" s="115" t="str">
        <f>IF(_xlfn.XLOOKUP(A591, AutoFill_names!B:B, AutoFill_names!K:K,"")=0,"",_xlfn.XLOOKUP(A591, AutoFill_names!B:B, AutoFill_names!K:K,""))</f>
        <v/>
      </c>
      <c r="K591" s="115" t="str">
        <f>IF(_xlfn.XLOOKUP(A591, AutoFill_names!B:B, AutoFill_names!L:L,"")=0,"",_xlfn.XLOOKUP(A591, AutoFill_names!B:B, AutoFill_names!L:L,""))</f>
        <v/>
      </c>
      <c r="L591" s="5"/>
      <c r="M591" s="5"/>
      <c r="N591" s="117" t="str">
        <f>IF(_xlfn.XLOOKUP(L591, AutoFill_classes!A:A, AutoFill_classes!B:B,"")=0,"",_xlfn.XLOOKUP(L591, AutoFill_classes!A:A, AutoFill_classes!B:B,""))</f>
        <v/>
      </c>
      <c r="O591" s="108"/>
      <c r="P591" s="8"/>
      <c r="Q591" s="8"/>
      <c r="R591" s="8"/>
      <c r="S591" s="4"/>
      <c r="T591" s="4"/>
      <c r="U591" s="4"/>
      <c r="V591" s="4"/>
      <c r="W591" s="4"/>
      <c r="X591" s="64"/>
      <c r="Y591" s="25"/>
      <c r="Z591" s="121" t="str">
        <f t="shared" si="513"/>
        <v/>
      </c>
      <c r="AA591" s="26"/>
      <c r="AB591" s="26"/>
      <c r="AC591" s="28"/>
      <c r="AD591" s="28"/>
      <c r="AE591" s="125" t="str">
        <f t="shared" si="514"/>
        <v/>
      </c>
      <c r="AF591" s="9"/>
      <c r="AG591" s="125" t="str">
        <f t="shared" si="515"/>
        <v/>
      </c>
      <c r="AH591" s="28"/>
      <c r="AI591" s="28"/>
      <c r="AJ591" s="125" t="str">
        <f t="shared" si="516"/>
        <v/>
      </c>
      <c r="AK591" s="9"/>
      <c r="AL591" s="125" t="str">
        <f t="shared" si="517"/>
        <v/>
      </c>
      <c r="AM591" s="28"/>
      <c r="AN591" s="28"/>
      <c r="AO591" s="125" t="str">
        <f t="shared" si="518"/>
        <v/>
      </c>
      <c r="AP591" s="125" t="str">
        <f t="shared" si="519"/>
        <v/>
      </c>
      <c r="AQ591" s="125" t="str">
        <f t="shared" si="520"/>
        <v/>
      </c>
      <c r="AR591" s="129" t="str">
        <f t="shared" si="521"/>
        <v/>
      </c>
      <c r="AS591" s="9"/>
      <c r="AT591" s="34"/>
      <c r="AU591" s="34"/>
      <c r="AV591" s="117" t="str">
        <f>IF(_xlfn.XLOOKUP(AT591, AutoFill_classes!$A:$A, AutoFill_classes!$B:$B,"")=0,"",_xlfn.XLOOKUP(AT591, AutoFill_classes!$A:$A, AutoFill_classes!$B:$B,""))</f>
        <v/>
      </c>
      <c r="AW591" s="108"/>
      <c r="AX591" s="9"/>
      <c r="AY591" s="10"/>
      <c r="AZ591" s="9"/>
      <c r="BA591" s="10"/>
      <c r="BB591" s="10"/>
      <c r="BC591" s="64"/>
      <c r="BD591" s="25"/>
      <c r="BE591" s="121" t="str">
        <f t="shared" si="522"/>
        <v/>
      </c>
      <c r="BF591" s="20"/>
      <c r="BG591" s="20"/>
      <c r="BH591" s="24"/>
      <c r="BI591" s="24"/>
      <c r="BJ591" s="125" t="str">
        <f t="shared" si="523"/>
        <v/>
      </c>
      <c r="BK591" s="14"/>
      <c r="BL591" s="125" t="str">
        <f t="shared" si="524"/>
        <v/>
      </c>
      <c r="BM591" s="24"/>
      <c r="BN591" s="24"/>
      <c r="BO591" s="125" t="str">
        <f t="shared" si="525"/>
        <v/>
      </c>
      <c r="BP591" s="14"/>
      <c r="BQ591" s="125" t="str">
        <f t="shared" si="526"/>
        <v/>
      </c>
      <c r="BR591" s="24"/>
      <c r="BS591" s="24"/>
      <c r="BT591" s="125" t="str">
        <f t="shared" si="527"/>
        <v/>
      </c>
      <c r="BU591" s="125" t="str">
        <f t="shared" si="528"/>
        <v/>
      </c>
      <c r="BV591" s="125" t="str">
        <f t="shared" si="529"/>
        <v/>
      </c>
      <c r="BW591" s="129" t="str">
        <f t="shared" si="530"/>
        <v/>
      </c>
      <c r="BX591" s="9"/>
      <c r="BY591" s="9"/>
      <c r="BZ591" s="9"/>
      <c r="CA591" s="117" t="str">
        <f>IF(_xlfn.XLOOKUP(BY591, AutoFill_classes!$A:$A, AutoFill_classes!$B:$B,"")=0,"",_xlfn.XLOOKUP(BY591, AutoFill_classes!$A:$A, AutoFill_classes!$B:$B,""))</f>
        <v/>
      </c>
      <c r="CB591" s="108"/>
      <c r="CC591" s="9"/>
      <c r="CD591" s="9"/>
      <c r="CE591" s="9"/>
      <c r="CF591" s="4"/>
      <c r="CG591" s="25"/>
      <c r="CH591" s="64"/>
      <c r="CI591" s="27"/>
      <c r="CJ591" s="121" t="str">
        <f t="shared" si="531"/>
        <v/>
      </c>
      <c r="CK591" s="20"/>
      <c r="CL591" s="20"/>
      <c r="CM591" s="24"/>
      <c r="CN591" s="24"/>
      <c r="CO591" s="125" t="str">
        <f t="shared" si="532"/>
        <v/>
      </c>
      <c r="CP591" s="14"/>
      <c r="CQ591" s="125" t="str">
        <f t="shared" si="533"/>
        <v/>
      </c>
      <c r="CR591" s="24"/>
      <c r="CS591" s="24"/>
      <c r="CT591" s="125" t="str">
        <f t="shared" si="534"/>
        <v/>
      </c>
      <c r="CU591" s="14"/>
      <c r="CV591" s="125" t="str">
        <f t="shared" si="535"/>
        <v/>
      </c>
      <c r="CW591" s="24"/>
      <c r="CX591" s="24"/>
      <c r="CY591" s="125" t="str">
        <f t="shared" si="536"/>
        <v/>
      </c>
      <c r="CZ591" s="125" t="str">
        <f t="shared" si="537"/>
        <v/>
      </c>
      <c r="DA591" s="125" t="str">
        <f t="shared" si="538"/>
        <v/>
      </c>
      <c r="DB591" s="129" t="str">
        <f t="shared" si="539"/>
        <v/>
      </c>
      <c r="DC591" s="9"/>
      <c r="DD591" s="65"/>
      <c r="DE591" s="105">
        <v>587</v>
      </c>
    </row>
    <row r="592" spans="1:109" outlineLevel="1" x14ac:dyDescent="0.2">
      <c r="A592" s="4"/>
      <c r="B592" s="115" t="str">
        <f>IF(_xlfn.XLOOKUP(A592, AutoFill_names!B:B, AutoFill_names!C:C,"")=0,"",_xlfn.XLOOKUP(A592, AutoFill_names!B:B, AutoFill_names!C:C,""))</f>
        <v/>
      </c>
      <c r="C592" s="115" t="str">
        <f>IF(_xlfn.XLOOKUP(A592, AutoFill_names!B:B, AutoFill_names!D:D,"")=0,"",_xlfn.XLOOKUP(A592, AutoFill_names!B:B, AutoFill_names!D:D,""))</f>
        <v/>
      </c>
      <c r="D592" s="115" t="str">
        <f>IF(_xlfn.XLOOKUP(A592, AutoFill_names!B:B, AutoFill_names!E:E,"")=0,"",_xlfn.XLOOKUP(A592, AutoFill_names!B:B, AutoFill_names!E:E,""))</f>
        <v/>
      </c>
      <c r="E592" s="115" t="str">
        <f>IF(_xlfn.XLOOKUP(A592, AutoFill_names!B:B, AutoFill_names!F:F,"")=0,"",_xlfn.XLOOKUP(A592, AutoFill_names!B:B, AutoFill_names!F:F,""))</f>
        <v/>
      </c>
      <c r="F592" s="92"/>
      <c r="G592" s="1"/>
      <c r="H592" s="1"/>
      <c r="I592" s="1"/>
      <c r="J592" s="115" t="str">
        <f>IF(_xlfn.XLOOKUP(A592, AutoFill_names!B:B, AutoFill_names!K:K,"")=0,"",_xlfn.XLOOKUP(A592, AutoFill_names!B:B, AutoFill_names!K:K,""))</f>
        <v/>
      </c>
      <c r="K592" s="115" t="str">
        <f>IF(_xlfn.XLOOKUP(A592, AutoFill_names!B:B, AutoFill_names!L:L,"")=0,"",_xlfn.XLOOKUP(A592, AutoFill_names!B:B, AutoFill_names!L:L,""))</f>
        <v/>
      </c>
      <c r="L592" s="5"/>
      <c r="M592" s="5"/>
      <c r="N592" s="117" t="str">
        <f>IF(_xlfn.XLOOKUP(L592, AutoFill_classes!A:A, AutoFill_classes!B:B,"")=0,"",_xlfn.XLOOKUP(L592, AutoFill_classes!A:A, AutoFill_classes!B:B,""))</f>
        <v/>
      </c>
      <c r="O592" s="108"/>
      <c r="P592" s="8"/>
      <c r="Q592" s="8"/>
      <c r="R592" s="8"/>
      <c r="S592" s="4"/>
      <c r="T592" s="4"/>
      <c r="U592" s="4"/>
      <c r="V592" s="4"/>
      <c r="W592" s="4"/>
      <c r="X592" s="64"/>
      <c r="Y592" s="25"/>
      <c r="Z592" s="121" t="str">
        <f t="shared" si="513"/>
        <v/>
      </c>
      <c r="AA592" s="26"/>
      <c r="AB592" s="26"/>
      <c r="AC592" s="28"/>
      <c r="AD592" s="28"/>
      <c r="AE592" s="125" t="str">
        <f t="shared" si="514"/>
        <v/>
      </c>
      <c r="AF592" s="9"/>
      <c r="AG592" s="125" t="str">
        <f t="shared" si="515"/>
        <v/>
      </c>
      <c r="AH592" s="28"/>
      <c r="AI592" s="28"/>
      <c r="AJ592" s="125" t="str">
        <f t="shared" si="516"/>
        <v/>
      </c>
      <c r="AK592" s="9"/>
      <c r="AL592" s="125" t="str">
        <f t="shared" si="517"/>
        <v/>
      </c>
      <c r="AM592" s="28"/>
      <c r="AN592" s="28"/>
      <c r="AO592" s="125" t="str">
        <f t="shared" si="518"/>
        <v/>
      </c>
      <c r="AP592" s="125" t="str">
        <f t="shared" si="519"/>
        <v/>
      </c>
      <c r="AQ592" s="125" t="str">
        <f t="shared" si="520"/>
        <v/>
      </c>
      <c r="AR592" s="129" t="str">
        <f t="shared" si="521"/>
        <v/>
      </c>
      <c r="AS592" s="9"/>
      <c r="AT592" s="34"/>
      <c r="AU592" s="34"/>
      <c r="AV592" s="117" t="str">
        <f>IF(_xlfn.XLOOKUP(AT592, AutoFill_classes!$A:$A, AutoFill_classes!$B:$B,"")=0,"",_xlfn.XLOOKUP(AT592, AutoFill_classes!$A:$A, AutoFill_classes!$B:$B,""))</f>
        <v/>
      </c>
      <c r="AW592" s="108"/>
      <c r="AX592" s="9"/>
      <c r="AY592" s="10"/>
      <c r="AZ592" s="9"/>
      <c r="BA592" s="10"/>
      <c r="BB592" s="10"/>
      <c r="BC592" s="64"/>
      <c r="BD592" s="25"/>
      <c r="BE592" s="121" t="str">
        <f t="shared" si="522"/>
        <v/>
      </c>
      <c r="BF592" s="20"/>
      <c r="BG592" s="20"/>
      <c r="BH592" s="24"/>
      <c r="BI592" s="24"/>
      <c r="BJ592" s="125" t="str">
        <f t="shared" si="523"/>
        <v/>
      </c>
      <c r="BK592" s="14"/>
      <c r="BL592" s="125" t="str">
        <f t="shared" si="524"/>
        <v/>
      </c>
      <c r="BM592" s="24"/>
      <c r="BN592" s="24"/>
      <c r="BO592" s="125" t="str">
        <f t="shared" si="525"/>
        <v/>
      </c>
      <c r="BP592" s="14"/>
      <c r="BQ592" s="125" t="str">
        <f t="shared" si="526"/>
        <v/>
      </c>
      <c r="BR592" s="24"/>
      <c r="BS592" s="24"/>
      <c r="BT592" s="125" t="str">
        <f t="shared" si="527"/>
        <v/>
      </c>
      <c r="BU592" s="125" t="str">
        <f t="shared" si="528"/>
        <v/>
      </c>
      <c r="BV592" s="125" t="str">
        <f t="shared" si="529"/>
        <v/>
      </c>
      <c r="BW592" s="129" t="str">
        <f t="shared" si="530"/>
        <v/>
      </c>
      <c r="BX592" s="9"/>
      <c r="BY592" s="9"/>
      <c r="BZ592" s="9"/>
      <c r="CA592" s="117" t="str">
        <f>IF(_xlfn.XLOOKUP(BY592, AutoFill_classes!$A:$A, AutoFill_classes!$B:$B,"")=0,"",_xlfn.XLOOKUP(BY592, AutoFill_classes!$A:$A, AutoFill_classes!$B:$B,""))</f>
        <v/>
      </c>
      <c r="CB592" s="108"/>
      <c r="CC592" s="9"/>
      <c r="CD592" s="9"/>
      <c r="CE592" s="9"/>
      <c r="CF592" s="4"/>
      <c r="CG592" s="25"/>
      <c r="CH592" s="64"/>
      <c r="CI592" s="27"/>
      <c r="CJ592" s="121" t="str">
        <f t="shared" si="531"/>
        <v/>
      </c>
      <c r="CK592" s="20"/>
      <c r="CL592" s="20"/>
      <c r="CM592" s="24"/>
      <c r="CN592" s="24"/>
      <c r="CO592" s="125" t="str">
        <f t="shared" si="532"/>
        <v/>
      </c>
      <c r="CP592" s="14"/>
      <c r="CQ592" s="125" t="str">
        <f t="shared" si="533"/>
        <v/>
      </c>
      <c r="CR592" s="24"/>
      <c r="CS592" s="24"/>
      <c r="CT592" s="125" t="str">
        <f t="shared" si="534"/>
        <v/>
      </c>
      <c r="CU592" s="14"/>
      <c r="CV592" s="125" t="str">
        <f t="shared" si="535"/>
        <v/>
      </c>
      <c r="CW592" s="24"/>
      <c r="CX592" s="24"/>
      <c r="CY592" s="125" t="str">
        <f t="shared" si="536"/>
        <v/>
      </c>
      <c r="CZ592" s="125" t="str">
        <f t="shared" si="537"/>
        <v/>
      </c>
      <c r="DA592" s="125" t="str">
        <f t="shared" si="538"/>
        <v/>
      </c>
      <c r="DB592" s="129" t="str">
        <f t="shared" si="539"/>
        <v/>
      </c>
      <c r="DC592" s="9"/>
      <c r="DD592" s="65"/>
      <c r="DE592" s="105">
        <v>588</v>
      </c>
    </row>
    <row r="593" spans="1:109" outlineLevel="1" x14ac:dyDescent="0.2">
      <c r="A593" s="4"/>
      <c r="B593" s="115" t="str">
        <f>IF(_xlfn.XLOOKUP(A593, AutoFill_names!B:B, AutoFill_names!C:C,"")=0,"",_xlfn.XLOOKUP(A593, AutoFill_names!B:B, AutoFill_names!C:C,""))</f>
        <v/>
      </c>
      <c r="C593" s="115" t="str">
        <f>IF(_xlfn.XLOOKUP(A593, AutoFill_names!B:B, AutoFill_names!D:D,"")=0,"",_xlfn.XLOOKUP(A593, AutoFill_names!B:B, AutoFill_names!D:D,""))</f>
        <v/>
      </c>
      <c r="D593" s="115" t="str">
        <f>IF(_xlfn.XLOOKUP(A593, AutoFill_names!B:B, AutoFill_names!E:E,"")=0,"",_xlfn.XLOOKUP(A593, AutoFill_names!B:B, AutoFill_names!E:E,""))</f>
        <v/>
      </c>
      <c r="E593" s="115" t="str">
        <f>IF(_xlfn.XLOOKUP(A593, AutoFill_names!B:B, AutoFill_names!F:F,"")=0,"",_xlfn.XLOOKUP(A593, AutoFill_names!B:B, AutoFill_names!F:F,""))</f>
        <v/>
      </c>
      <c r="F593" s="92"/>
      <c r="G593" s="1"/>
      <c r="H593" s="1"/>
      <c r="I593" s="1"/>
      <c r="J593" s="115" t="str">
        <f>IF(_xlfn.XLOOKUP(A593, AutoFill_names!B:B, AutoFill_names!K:K,"")=0,"",_xlfn.XLOOKUP(A593, AutoFill_names!B:B, AutoFill_names!K:K,""))</f>
        <v/>
      </c>
      <c r="K593" s="115" t="str">
        <f>IF(_xlfn.XLOOKUP(A593, AutoFill_names!B:B, AutoFill_names!L:L,"")=0,"",_xlfn.XLOOKUP(A593, AutoFill_names!B:B, AutoFill_names!L:L,""))</f>
        <v/>
      </c>
      <c r="L593" s="5"/>
      <c r="M593" s="5"/>
      <c r="N593" s="117" t="str">
        <f>IF(_xlfn.XLOOKUP(L593, AutoFill_classes!A:A, AutoFill_classes!B:B,"")=0,"",_xlfn.XLOOKUP(L593, AutoFill_classes!A:A, AutoFill_classes!B:B,""))</f>
        <v/>
      </c>
      <c r="O593" s="108"/>
      <c r="P593" s="8"/>
      <c r="Q593" s="8"/>
      <c r="R593" s="8"/>
      <c r="S593" s="4"/>
      <c r="T593" s="4"/>
      <c r="U593" s="4"/>
      <c r="V593" s="4"/>
      <c r="W593" s="4"/>
      <c r="X593" s="64"/>
      <c r="Y593" s="25"/>
      <c r="Z593" s="121" t="str">
        <f t="shared" si="513"/>
        <v/>
      </c>
      <c r="AA593" s="26"/>
      <c r="AB593" s="26"/>
      <c r="AC593" s="28"/>
      <c r="AD593" s="28"/>
      <c r="AE593" s="125" t="str">
        <f t="shared" si="514"/>
        <v/>
      </c>
      <c r="AF593" s="9"/>
      <c r="AG593" s="125" t="str">
        <f t="shared" si="515"/>
        <v/>
      </c>
      <c r="AH593" s="28"/>
      <c r="AI593" s="28"/>
      <c r="AJ593" s="125" t="str">
        <f t="shared" si="516"/>
        <v/>
      </c>
      <c r="AK593" s="9"/>
      <c r="AL593" s="125" t="str">
        <f t="shared" si="517"/>
        <v/>
      </c>
      <c r="AM593" s="28"/>
      <c r="AN593" s="28"/>
      <c r="AO593" s="125" t="str">
        <f t="shared" si="518"/>
        <v/>
      </c>
      <c r="AP593" s="125" t="str">
        <f t="shared" si="519"/>
        <v/>
      </c>
      <c r="AQ593" s="125" t="str">
        <f t="shared" si="520"/>
        <v/>
      </c>
      <c r="AR593" s="129" t="str">
        <f t="shared" si="521"/>
        <v/>
      </c>
      <c r="AS593" s="9"/>
      <c r="AT593" s="34"/>
      <c r="AU593" s="34"/>
      <c r="AV593" s="117" t="str">
        <f>IF(_xlfn.XLOOKUP(AT593, AutoFill_classes!$A:$A, AutoFill_classes!$B:$B,"")=0,"",_xlfn.XLOOKUP(AT593, AutoFill_classes!$A:$A, AutoFill_classes!$B:$B,""))</f>
        <v/>
      </c>
      <c r="AW593" s="108"/>
      <c r="AX593" s="9"/>
      <c r="AY593" s="10"/>
      <c r="AZ593" s="9"/>
      <c r="BA593" s="10"/>
      <c r="BB593" s="10"/>
      <c r="BC593" s="64"/>
      <c r="BD593" s="25"/>
      <c r="BE593" s="121" t="str">
        <f t="shared" si="522"/>
        <v/>
      </c>
      <c r="BF593" s="20"/>
      <c r="BG593" s="20"/>
      <c r="BH593" s="24"/>
      <c r="BI593" s="24"/>
      <c r="BJ593" s="125" t="str">
        <f t="shared" si="523"/>
        <v/>
      </c>
      <c r="BK593" s="14"/>
      <c r="BL593" s="125" t="str">
        <f t="shared" si="524"/>
        <v/>
      </c>
      <c r="BM593" s="24"/>
      <c r="BN593" s="24"/>
      <c r="BO593" s="125" t="str">
        <f t="shared" si="525"/>
        <v/>
      </c>
      <c r="BP593" s="14"/>
      <c r="BQ593" s="125" t="str">
        <f t="shared" si="526"/>
        <v/>
      </c>
      <c r="BR593" s="24"/>
      <c r="BS593" s="24"/>
      <c r="BT593" s="125" t="str">
        <f t="shared" si="527"/>
        <v/>
      </c>
      <c r="BU593" s="125" t="str">
        <f t="shared" si="528"/>
        <v/>
      </c>
      <c r="BV593" s="125" t="str">
        <f t="shared" si="529"/>
        <v/>
      </c>
      <c r="BW593" s="129" t="str">
        <f t="shared" si="530"/>
        <v/>
      </c>
      <c r="BX593" s="9"/>
      <c r="BY593" s="9"/>
      <c r="BZ593" s="9"/>
      <c r="CA593" s="117" t="str">
        <f>IF(_xlfn.XLOOKUP(BY593, AutoFill_classes!$A:$A, AutoFill_classes!$B:$B,"")=0,"",_xlfn.XLOOKUP(BY593, AutoFill_classes!$A:$A, AutoFill_classes!$B:$B,""))</f>
        <v/>
      </c>
      <c r="CB593" s="108"/>
      <c r="CC593" s="9"/>
      <c r="CD593" s="9"/>
      <c r="CE593" s="9"/>
      <c r="CF593" s="4"/>
      <c r="CG593" s="25"/>
      <c r="CH593" s="64"/>
      <c r="CI593" s="27"/>
      <c r="CJ593" s="121" t="str">
        <f t="shared" si="531"/>
        <v/>
      </c>
      <c r="CK593" s="20"/>
      <c r="CL593" s="20"/>
      <c r="CM593" s="24"/>
      <c r="CN593" s="24"/>
      <c r="CO593" s="125" t="str">
        <f t="shared" si="532"/>
        <v/>
      </c>
      <c r="CP593" s="14"/>
      <c r="CQ593" s="125" t="str">
        <f t="shared" si="533"/>
        <v/>
      </c>
      <c r="CR593" s="24"/>
      <c r="CS593" s="24"/>
      <c r="CT593" s="125" t="str">
        <f t="shared" si="534"/>
        <v/>
      </c>
      <c r="CU593" s="14"/>
      <c r="CV593" s="125" t="str">
        <f t="shared" si="535"/>
        <v/>
      </c>
      <c r="CW593" s="24"/>
      <c r="CX593" s="24"/>
      <c r="CY593" s="125" t="str">
        <f t="shared" si="536"/>
        <v/>
      </c>
      <c r="CZ593" s="125" t="str">
        <f t="shared" si="537"/>
        <v/>
      </c>
      <c r="DA593" s="125" t="str">
        <f t="shared" si="538"/>
        <v/>
      </c>
      <c r="DB593" s="129" t="str">
        <f t="shared" si="539"/>
        <v/>
      </c>
      <c r="DC593" s="9"/>
      <c r="DD593" s="65"/>
      <c r="DE593" s="105">
        <v>589</v>
      </c>
    </row>
    <row r="594" spans="1:109" outlineLevel="1" x14ac:dyDescent="0.2">
      <c r="A594" s="4"/>
      <c r="B594" s="115" t="str">
        <f>IF(_xlfn.XLOOKUP(A594, AutoFill_names!B:B, AutoFill_names!C:C,"")=0,"",_xlfn.XLOOKUP(A594, AutoFill_names!B:B, AutoFill_names!C:C,""))</f>
        <v/>
      </c>
      <c r="C594" s="115" t="str">
        <f>IF(_xlfn.XLOOKUP(A594, AutoFill_names!B:B, AutoFill_names!D:D,"")=0,"",_xlfn.XLOOKUP(A594, AutoFill_names!B:B, AutoFill_names!D:D,""))</f>
        <v/>
      </c>
      <c r="D594" s="115" t="str">
        <f>IF(_xlfn.XLOOKUP(A594, AutoFill_names!B:B, AutoFill_names!E:E,"")=0,"",_xlfn.XLOOKUP(A594, AutoFill_names!B:B, AutoFill_names!E:E,""))</f>
        <v/>
      </c>
      <c r="E594" s="115" t="str">
        <f>IF(_xlfn.XLOOKUP(A594, AutoFill_names!B:B, AutoFill_names!F:F,"")=0,"",_xlfn.XLOOKUP(A594, AutoFill_names!B:B, AutoFill_names!F:F,""))</f>
        <v/>
      </c>
      <c r="F594" s="92"/>
      <c r="G594" s="1"/>
      <c r="H594" s="1"/>
      <c r="I594" s="1"/>
      <c r="J594" s="115" t="str">
        <f>IF(_xlfn.XLOOKUP(A594, AutoFill_names!B:B, AutoFill_names!K:K,"")=0,"",_xlfn.XLOOKUP(A594, AutoFill_names!B:B, AutoFill_names!K:K,""))</f>
        <v/>
      </c>
      <c r="K594" s="115" t="str">
        <f>IF(_xlfn.XLOOKUP(A594, AutoFill_names!B:B, AutoFill_names!L:L,"")=0,"",_xlfn.XLOOKUP(A594, AutoFill_names!B:B, AutoFill_names!L:L,""))</f>
        <v/>
      </c>
      <c r="L594" s="5"/>
      <c r="M594" s="5"/>
      <c r="N594" s="117" t="str">
        <f>IF(_xlfn.XLOOKUP(L594, AutoFill_classes!A:A, AutoFill_classes!B:B,"")=0,"",_xlfn.XLOOKUP(L594, AutoFill_classes!A:A, AutoFill_classes!B:B,""))</f>
        <v/>
      </c>
      <c r="O594" s="108"/>
      <c r="P594" s="8"/>
      <c r="Q594" s="8"/>
      <c r="R594" s="8"/>
      <c r="S594" s="4"/>
      <c r="T594" s="4"/>
      <c r="U594" s="4"/>
      <c r="V594" s="4"/>
      <c r="W594" s="4"/>
      <c r="X594" s="64"/>
      <c r="Y594" s="25"/>
      <c r="Z594" s="121" t="str">
        <f t="shared" si="513"/>
        <v/>
      </c>
      <c r="AA594" s="26"/>
      <c r="AB594" s="26"/>
      <c r="AC594" s="28"/>
      <c r="AD594" s="28"/>
      <c r="AE594" s="125" t="str">
        <f t="shared" si="514"/>
        <v/>
      </c>
      <c r="AF594" s="9"/>
      <c r="AG594" s="125" t="str">
        <f t="shared" si="515"/>
        <v/>
      </c>
      <c r="AH594" s="28"/>
      <c r="AI594" s="28"/>
      <c r="AJ594" s="125" t="str">
        <f t="shared" si="516"/>
        <v/>
      </c>
      <c r="AK594" s="9"/>
      <c r="AL594" s="125" t="str">
        <f t="shared" si="517"/>
        <v/>
      </c>
      <c r="AM594" s="28"/>
      <c r="AN594" s="28"/>
      <c r="AO594" s="125" t="str">
        <f t="shared" si="518"/>
        <v/>
      </c>
      <c r="AP594" s="125" t="str">
        <f t="shared" si="519"/>
        <v/>
      </c>
      <c r="AQ594" s="125" t="str">
        <f t="shared" si="520"/>
        <v/>
      </c>
      <c r="AR594" s="129" t="str">
        <f t="shared" si="521"/>
        <v/>
      </c>
      <c r="AS594" s="9"/>
      <c r="AT594" s="34"/>
      <c r="AU594" s="34"/>
      <c r="AV594" s="117" t="str">
        <f>IF(_xlfn.XLOOKUP(AT594, AutoFill_classes!$A:$A, AutoFill_classes!$B:$B,"")=0,"",_xlfn.XLOOKUP(AT594, AutoFill_classes!$A:$A, AutoFill_classes!$B:$B,""))</f>
        <v/>
      </c>
      <c r="AW594" s="108"/>
      <c r="AX594" s="9"/>
      <c r="AY594" s="10"/>
      <c r="AZ594" s="9"/>
      <c r="BA594" s="10"/>
      <c r="BB594" s="10"/>
      <c r="BC594" s="64"/>
      <c r="BD594" s="25"/>
      <c r="BE594" s="121" t="str">
        <f t="shared" si="522"/>
        <v/>
      </c>
      <c r="BF594" s="20"/>
      <c r="BG594" s="20"/>
      <c r="BH594" s="24"/>
      <c r="BI594" s="24"/>
      <c r="BJ594" s="125" t="str">
        <f t="shared" si="523"/>
        <v/>
      </c>
      <c r="BK594" s="14"/>
      <c r="BL594" s="125" t="str">
        <f t="shared" si="524"/>
        <v/>
      </c>
      <c r="BM594" s="24"/>
      <c r="BN594" s="24"/>
      <c r="BO594" s="125" t="str">
        <f t="shared" si="525"/>
        <v/>
      </c>
      <c r="BP594" s="14"/>
      <c r="BQ594" s="125" t="str">
        <f t="shared" si="526"/>
        <v/>
      </c>
      <c r="BR594" s="24"/>
      <c r="BS594" s="24"/>
      <c r="BT594" s="125" t="str">
        <f t="shared" si="527"/>
        <v/>
      </c>
      <c r="BU594" s="125" t="str">
        <f t="shared" si="528"/>
        <v/>
      </c>
      <c r="BV594" s="125" t="str">
        <f t="shared" si="529"/>
        <v/>
      </c>
      <c r="BW594" s="129" t="str">
        <f t="shared" si="530"/>
        <v/>
      </c>
      <c r="BX594" s="9"/>
      <c r="BY594" s="9"/>
      <c r="BZ594" s="9"/>
      <c r="CA594" s="117" t="str">
        <f>IF(_xlfn.XLOOKUP(BY594, AutoFill_classes!$A:$A, AutoFill_classes!$B:$B,"")=0,"",_xlfn.XLOOKUP(BY594, AutoFill_classes!$A:$A, AutoFill_classes!$B:$B,""))</f>
        <v/>
      </c>
      <c r="CB594" s="108"/>
      <c r="CC594" s="9"/>
      <c r="CD594" s="9"/>
      <c r="CE594" s="9"/>
      <c r="CF594" s="4"/>
      <c r="CG594" s="25"/>
      <c r="CH594" s="64"/>
      <c r="CI594" s="27"/>
      <c r="CJ594" s="121" t="str">
        <f t="shared" si="531"/>
        <v/>
      </c>
      <c r="CK594" s="20"/>
      <c r="CL594" s="20"/>
      <c r="CM594" s="24"/>
      <c r="CN594" s="24"/>
      <c r="CO594" s="125" t="str">
        <f t="shared" si="532"/>
        <v/>
      </c>
      <c r="CP594" s="14"/>
      <c r="CQ594" s="125" t="str">
        <f t="shared" si="533"/>
        <v/>
      </c>
      <c r="CR594" s="24"/>
      <c r="CS594" s="24"/>
      <c r="CT594" s="125" t="str">
        <f t="shared" si="534"/>
        <v/>
      </c>
      <c r="CU594" s="14"/>
      <c r="CV594" s="125" t="str">
        <f t="shared" si="535"/>
        <v/>
      </c>
      <c r="CW594" s="24"/>
      <c r="CX594" s="24"/>
      <c r="CY594" s="125" t="str">
        <f t="shared" si="536"/>
        <v/>
      </c>
      <c r="CZ594" s="125" t="str">
        <f t="shared" si="537"/>
        <v/>
      </c>
      <c r="DA594" s="125" t="str">
        <f t="shared" si="538"/>
        <v/>
      </c>
      <c r="DB594" s="129" t="str">
        <f t="shared" si="539"/>
        <v/>
      </c>
      <c r="DC594" s="9"/>
      <c r="DD594" s="65"/>
      <c r="DE594" s="105">
        <v>590</v>
      </c>
    </row>
    <row r="595" spans="1:109" outlineLevel="1" x14ac:dyDescent="0.2">
      <c r="A595" s="4"/>
      <c r="B595" s="115" t="str">
        <f>IF(_xlfn.XLOOKUP(A595, AutoFill_names!B:B, AutoFill_names!C:C,"")=0,"",_xlfn.XLOOKUP(A595, AutoFill_names!B:B, AutoFill_names!C:C,""))</f>
        <v/>
      </c>
      <c r="C595" s="115" t="str">
        <f>IF(_xlfn.XLOOKUP(A595, AutoFill_names!B:B, AutoFill_names!D:D,"")=0,"",_xlfn.XLOOKUP(A595, AutoFill_names!B:B, AutoFill_names!D:D,""))</f>
        <v/>
      </c>
      <c r="D595" s="115" t="str">
        <f>IF(_xlfn.XLOOKUP(A595, AutoFill_names!B:B, AutoFill_names!E:E,"")=0,"",_xlfn.XLOOKUP(A595, AutoFill_names!B:B, AutoFill_names!E:E,""))</f>
        <v/>
      </c>
      <c r="E595" s="115" t="str">
        <f>IF(_xlfn.XLOOKUP(A595, AutoFill_names!B:B, AutoFill_names!F:F,"")=0,"",_xlfn.XLOOKUP(A595, AutoFill_names!B:B, AutoFill_names!F:F,""))</f>
        <v/>
      </c>
      <c r="F595" s="92"/>
      <c r="G595" s="1"/>
      <c r="H595" s="1"/>
      <c r="I595" s="1"/>
      <c r="J595" s="115" t="str">
        <f>IF(_xlfn.XLOOKUP(A595, AutoFill_names!B:B, AutoFill_names!K:K,"")=0,"",_xlfn.XLOOKUP(A595, AutoFill_names!B:B, AutoFill_names!K:K,""))</f>
        <v/>
      </c>
      <c r="K595" s="115" t="str">
        <f>IF(_xlfn.XLOOKUP(A595, AutoFill_names!B:B, AutoFill_names!L:L,"")=0,"",_xlfn.XLOOKUP(A595, AutoFill_names!B:B, AutoFill_names!L:L,""))</f>
        <v/>
      </c>
      <c r="L595" s="5"/>
      <c r="M595" s="5"/>
      <c r="N595" s="117" t="str">
        <f>IF(_xlfn.XLOOKUP(L595, AutoFill_classes!A:A, AutoFill_classes!B:B,"")=0,"",_xlfn.XLOOKUP(L595, AutoFill_classes!A:A, AutoFill_classes!B:B,""))</f>
        <v/>
      </c>
      <c r="O595" s="108"/>
      <c r="P595" s="8"/>
      <c r="Q595" s="8"/>
      <c r="R595" s="8"/>
      <c r="S595" s="4"/>
      <c r="T595" s="4"/>
      <c r="U595" s="4"/>
      <c r="V595" s="4"/>
      <c r="W595" s="4"/>
      <c r="X595" s="64"/>
      <c r="Y595" s="25"/>
      <c r="Z595" s="121" t="str">
        <f t="shared" si="513"/>
        <v/>
      </c>
      <c r="AA595" s="26"/>
      <c r="AB595" s="26"/>
      <c r="AC595" s="28"/>
      <c r="AD595" s="28"/>
      <c r="AE595" s="125" t="str">
        <f t="shared" si="514"/>
        <v/>
      </c>
      <c r="AF595" s="9"/>
      <c r="AG595" s="125" t="str">
        <f t="shared" si="515"/>
        <v/>
      </c>
      <c r="AH595" s="28"/>
      <c r="AI595" s="28"/>
      <c r="AJ595" s="125" t="str">
        <f t="shared" si="516"/>
        <v/>
      </c>
      <c r="AK595" s="9"/>
      <c r="AL595" s="125" t="str">
        <f t="shared" si="517"/>
        <v/>
      </c>
      <c r="AM595" s="28"/>
      <c r="AN595" s="28"/>
      <c r="AO595" s="125" t="str">
        <f t="shared" si="518"/>
        <v/>
      </c>
      <c r="AP595" s="125" t="str">
        <f t="shared" si="519"/>
        <v/>
      </c>
      <c r="AQ595" s="125" t="str">
        <f t="shared" si="520"/>
        <v/>
      </c>
      <c r="AR595" s="129" t="str">
        <f t="shared" si="521"/>
        <v/>
      </c>
      <c r="AS595" s="9"/>
      <c r="AT595" s="34"/>
      <c r="AU595" s="34"/>
      <c r="AV595" s="117" t="str">
        <f>IF(_xlfn.XLOOKUP(AT595, AutoFill_classes!$A:$A, AutoFill_classes!$B:$B,"")=0,"",_xlfn.XLOOKUP(AT595, AutoFill_classes!$A:$A, AutoFill_classes!$B:$B,""))</f>
        <v/>
      </c>
      <c r="AW595" s="108"/>
      <c r="AX595" s="9"/>
      <c r="AY595" s="10"/>
      <c r="AZ595" s="9"/>
      <c r="BA595" s="10"/>
      <c r="BB595" s="10"/>
      <c r="BC595" s="64"/>
      <c r="BD595" s="25"/>
      <c r="BE595" s="121" t="str">
        <f t="shared" si="522"/>
        <v/>
      </c>
      <c r="BF595" s="20"/>
      <c r="BG595" s="20"/>
      <c r="BH595" s="24"/>
      <c r="BI595" s="24"/>
      <c r="BJ595" s="125" t="str">
        <f t="shared" si="523"/>
        <v/>
      </c>
      <c r="BK595" s="14"/>
      <c r="BL595" s="125" t="str">
        <f t="shared" si="524"/>
        <v/>
      </c>
      <c r="BM595" s="24"/>
      <c r="BN595" s="24"/>
      <c r="BO595" s="125" t="str">
        <f t="shared" si="525"/>
        <v/>
      </c>
      <c r="BP595" s="14"/>
      <c r="BQ595" s="125" t="str">
        <f t="shared" si="526"/>
        <v/>
      </c>
      <c r="BR595" s="24"/>
      <c r="BS595" s="24"/>
      <c r="BT595" s="125" t="str">
        <f t="shared" si="527"/>
        <v/>
      </c>
      <c r="BU595" s="125" t="str">
        <f t="shared" si="528"/>
        <v/>
      </c>
      <c r="BV595" s="125" t="str">
        <f t="shared" si="529"/>
        <v/>
      </c>
      <c r="BW595" s="129" t="str">
        <f t="shared" si="530"/>
        <v/>
      </c>
      <c r="BX595" s="9"/>
      <c r="BY595" s="9"/>
      <c r="BZ595" s="9"/>
      <c r="CA595" s="117" t="str">
        <f>IF(_xlfn.XLOOKUP(BY595, AutoFill_classes!$A:$A, AutoFill_classes!$B:$B,"")=0,"",_xlfn.XLOOKUP(BY595, AutoFill_classes!$A:$A, AutoFill_classes!$B:$B,""))</f>
        <v/>
      </c>
      <c r="CB595" s="108"/>
      <c r="CC595" s="9"/>
      <c r="CD595" s="9"/>
      <c r="CE595" s="9"/>
      <c r="CF595" s="4"/>
      <c r="CG595" s="25"/>
      <c r="CH595" s="64"/>
      <c r="CI595" s="27"/>
      <c r="CJ595" s="121" t="str">
        <f t="shared" si="531"/>
        <v/>
      </c>
      <c r="CK595" s="20"/>
      <c r="CL595" s="20"/>
      <c r="CM595" s="24"/>
      <c r="CN595" s="24"/>
      <c r="CO595" s="125" t="str">
        <f t="shared" si="532"/>
        <v/>
      </c>
      <c r="CP595" s="14"/>
      <c r="CQ595" s="125" t="str">
        <f t="shared" si="533"/>
        <v/>
      </c>
      <c r="CR595" s="24"/>
      <c r="CS595" s="24"/>
      <c r="CT595" s="125" t="str">
        <f t="shared" si="534"/>
        <v/>
      </c>
      <c r="CU595" s="14"/>
      <c r="CV595" s="125" t="str">
        <f t="shared" si="535"/>
        <v/>
      </c>
      <c r="CW595" s="24"/>
      <c r="CX595" s="24"/>
      <c r="CY595" s="125" t="str">
        <f t="shared" si="536"/>
        <v/>
      </c>
      <c r="CZ595" s="125" t="str">
        <f t="shared" si="537"/>
        <v/>
      </c>
      <c r="DA595" s="125" t="str">
        <f t="shared" si="538"/>
        <v/>
      </c>
      <c r="DB595" s="129" t="str">
        <f t="shared" si="539"/>
        <v/>
      </c>
      <c r="DC595" s="9"/>
      <c r="DD595" s="65"/>
      <c r="DE595" s="105">
        <v>591</v>
      </c>
    </row>
    <row r="596" spans="1:109" outlineLevel="1" x14ac:dyDescent="0.2">
      <c r="A596" s="4"/>
      <c r="B596" s="115" t="str">
        <f>IF(_xlfn.XLOOKUP(A596, AutoFill_names!B:B, AutoFill_names!C:C,"")=0,"",_xlfn.XLOOKUP(A596, AutoFill_names!B:B, AutoFill_names!C:C,""))</f>
        <v/>
      </c>
      <c r="C596" s="115" t="str">
        <f>IF(_xlfn.XLOOKUP(A596, AutoFill_names!B:B, AutoFill_names!D:D,"")=0,"",_xlfn.XLOOKUP(A596, AutoFill_names!B:B, AutoFill_names!D:D,""))</f>
        <v/>
      </c>
      <c r="D596" s="115" t="str">
        <f>IF(_xlfn.XLOOKUP(A596, AutoFill_names!B:B, AutoFill_names!E:E,"")=0,"",_xlfn.XLOOKUP(A596, AutoFill_names!B:B, AutoFill_names!E:E,""))</f>
        <v/>
      </c>
      <c r="E596" s="115" t="str">
        <f>IF(_xlfn.XLOOKUP(A596, AutoFill_names!B:B, AutoFill_names!F:F,"")=0,"",_xlfn.XLOOKUP(A596, AutoFill_names!B:B, AutoFill_names!F:F,""))</f>
        <v/>
      </c>
      <c r="F596" s="92"/>
      <c r="G596" s="1"/>
      <c r="H596" s="1"/>
      <c r="I596" s="1"/>
      <c r="J596" s="115" t="str">
        <f>IF(_xlfn.XLOOKUP(A596, AutoFill_names!B:B, AutoFill_names!K:K,"")=0,"",_xlfn.XLOOKUP(A596, AutoFill_names!B:B, AutoFill_names!K:K,""))</f>
        <v/>
      </c>
      <c r="K596" s="115" t="str">
        <f>IF(_xlfn.XLOOKUP(A596, AutoFill_names!B:B, AutoFill_names!L:L,"")=0,"",_xlfn.XLOOKUP(A596, AutoFill_names!B:B, AutoFill_names!L:L,""))</f>
        <v/>
      </c>
      <c r="L596" s="5"/>
      <c r="M596" s="5"/>
      <c r="N596" s="117" t="str">
        <f>IF(_xlfn.XLOOKUP(L596, AutoFill_classes!A:A, AutoFill_classes!B:B,"")=0,"",_xlfn.XLOOKUP(L596, AutoFill_classes!A:A, AutoFill_classes!B:B,""))</f>
        <v/>
      </c>
      <c r="O596" s="108"/>
      <c r="P596" s="8"/>
      <c r="Q596" s="8"/>
      <c r="R596" s="8"/>
      <c r="S596" s="4"/>
      <c r="T596" s="4"/>
      <c r="U596" s="4"/>
      <c r="V596" s="4"/>
      <c r="W596" s="4"/>
      <c r="X596" s="64"/>
      <c r="Y596" s="25"/>
      <c r="Z596" s="121" t="str">
        <f t="shared" si="513"/>
        <v/>
      </c>
      <c r="AA596" s="26"/>
      <c r="AB596" s="26"/>
      <c r="AC596" s="28"/>
      <c r="AD596" s="28"/>
      <c r="AE596" s="125" t="str">
        <f t="shared" si="514"/>
        <v/>
      </c>
      <c r="AF596" s="9"/>
      <c r="AG596" s="125" t="str">
        <f t="shared" si="515"/>
        <v/>
      </c>
      <c r="AH596" s="28"/>
      <c r="AI596" s="28"/>
      <c r="AJ596" s="125" t="str">
        <f t="shared" si="516"/>
        <v/>
      </c>
      <c r="AK596" s="9"/>
      <c r="AL596" s="125" t="str">
        <f t="shared" si="517"/>
        <v/>
      </c>
      <c r="AM596" s="28"/>
      <c r="AN596" s="28"/>
      <c r="AO596" s="125" t="str">
        <f t="shared" si="518"/>
        <v/>
      </c>
      <c r="AP596" s="125" t="str">
        <f t="shared" si="519"/>
        <v/>
      </c>
      <c r="AQ596" s="125" t="str">
        <f t="shared" si="520"/>
        <v/>
      </c>
      <c r="AR596" s="129" t="str">
        <f t="shared" si="521"/>
        <v/>
      </c>
      <c r="AS596" s="9"/>
      <c r="AT596" s="34"/>
      <c r="AU596" s="34"/>
      <c r="AV596" s="117" t="str">
        <f>IF(_xlfn.XLOOKUP(AT596, AutoFill_classes!$A:$A, AutoFill_classes!$B:$B,"")=0,"",_xlfn.XLOOKUP(AT596, AutoFill_classes!$A:$A, AutoFill_classes!$B:$B,""))</f>
        <v/>
      </c>
      <c r="AW596" s="108"/>
      <c r="AX596" s="9"/>
      <c r="AY596" s="10"/>
      <c r="AZ596" s="9"/>
      <c r="BA596" s="10"/>
      <c r="BB596" s="10"/>
      <c r="BC596" s="64"/>
      <c r="BD596" s="25"/>
      <c r="BE596" s="121" t="str">
        <f t="shared" si="522"/>
        <v/>
      </c>
      <c r="BF596" s="20"/>
      <c r="BG596" s="20"/>
      <c r="BH596" s="24"/>
      <c r="BI596" s="24"/>
      <c r="BJ596" s="125" t="str">
        <f t="shared" si="523"/>
        <v/>
      </c>
      <c r="BK596" s="14"/>
      <c r="BL596" s="125" t="str">
        <f t="shared" si="524"/>
        <v/>
      </c>
      <c r="BM596" s="24"/>
      <c r="BN596" s="24"/>
      <c r="BO596" s="125" t="str">
        <f t="shared" si="525"/>
        <v/>
      </c>
      <c r="BP596" s="14"/>
      <c r="BQ596" s="125" t="str">
        <f t="shared" si="526"/>
        <v/>
      </c>
      <c r="BR596" s="24"/>
      <c r="BS596" s="24"/>
      <c r="BT596" s="125" t="str">
        <f t="shared" si="527"/>
        <v/>
      </c>
      <c r="BU596" s="125" t="str">
        <f t="shared" si="528"/>
        <v/>
      </c>
      <c r="BV596" s="125" t="str">
        <f t="shared" si="529"/>
        <v/>
      </c>
      <c r="BW596" s="129" t="str">
        <f t="shared" si="530"/>
        <v/>
      </c>
      <c r="BX596" s="9"/>
      <c r="BY596" s="9"/>
      <c r="BZ596" s="9"/>
      <c r="CA596" s="117" t="str">
        <f>IF(_xlfn.XLOOKUP(BY596, AutoFill_classes!$A:$A, AutoFill_classes!$B:$B,"")=0,"",_xlfn.XLOOKUP(BY596, AutoFill_classes!$A:$A, AutoFill_classes!$B:$B,""))</f>
        <v/>
      </c>
      <c r="CB596" s="108"/>
      <c r="CC596" s="9"/>
      <c r="CD596" s="9"/>
      <c r="CE596" s="9"/>
      <c r="CF596" s="4"/>
      <c r="CG596" s="25"/>
      <c r="CH596" s="64"/>
      <c r="CI596" s="27"/>
      <c r="CJ596" s="121" t="str">
        <f t="shared" si="531"/>
        <v/>
      </c>
      <c r="CK596" s="20"/>
      <c r="CL596" s="20"/>
      <c r="CM596" s="24"/>
      <c r="CN596" s="24"/>
      <c r="CO596" s="125" t="str">
        <f t="shared" si="532"/>
        <v/>
      </c>
      <c r="CP596" s="14"/>
      <c r="CQ596" s="125" t="str">
        <f t="shared" si="533"/>
        <v/>
      </c>
      <c r="CR596" s="24"/>
      <c r="CS596" s="24"/>
      <c r="CT596" s="125" t="str">
        <f t="shared" si="534"/>
        <v/>
      </c>
      <c r="CU596" s="14"/>
      <c r="CV596" s="125" t="str">
        <f t="shared" si="535"/>
        <v/>
      </c>
      <c r="CW596" s="24"/>
      <c r="CX596" s="24"/>
      <c r="CY596" s="125" t="str">
        <f t="shared" si="536"/>
        <v/>
      </c>
      <c r="CZ596" s="125" t="str">
        <f t="shared" si="537"/>
        <v/>
      </c>
      <c r="DA596" s="125" t="str">
        <f t="shared" si="538"/>
        <v/>
      </c>
      <c r="DB596" s="129" t="str">
        <f t="shared" si="539"/>
        <v/>
      </c>
      <c r="DC596" s="9"/>
      <c r="DD596" s="65"/>
      <c r="DE596" s="105">
        <v>592</v>
      </c>
    </row>
    <row r="597" spans="1:109" outlineLevel="1" x14ac:dyDescent="0.2">
      <c r="A597" s="4"/>
      <c r="B597" s="115" t="str">
        <f>IF(_xlfn.XLOOKUP(A597, AutoFill_names!B:B, AutoFill_names!C:C,"")=0,"",_xlfn.XLOOKUP(A597, AutoFill_names!B:B, AutoFill_names!C:C,""))</f>
        <v/>
      </c>
      <c r="C597" s="115" t="str">
        <f>IF(_xlfn.XLOOKUP(A597, AutoFill_names!B:B, AutoFill_names!D:D,"")=0,"",_xlfn.XLOOKUP(A597, AutoFill_names!B:B, AutoFill_names!D:D,""))</f>
        <v/>
      </c>
      <c r="D597" s="115" t="str">
        <f>IF(_xlfn.XLOOKUP(A597, AutoFill_names!B:B, AutoFill_names!E:E,"")=0,"",_xlfn.XLOOKUP(A597, AutoFill_names!B:B, AutoFill_names!E:E,""))</f>
        <v/>
      </c>
      <c r="E597" s="115" t="str">
        <f>IF(_xlfn.XLOOKUP(A597, AutoFill_names!B:B, AutoFill_names!F:F,"")=0,"",_xlfn.XLOOKUP(A597, AutoFill_names!B:B, AutoFill_names!F:F,""))</f>
        <v/>
      </c>
      <c r="F597" s="92"/>
      <c r="G597" s="1"/>
      <c r="H597" s="1"/>
      <c r="I597" s="1"/>
      <c r="J597" s="115" t="str">
        <f>IF(_xlfn.XLOOKUP(A597, AutoFill_names!B:B, AutoFill_names!K:K,"")=0,"",_xlfn.XLOOKUP(A597, AutoFill_names!B:B, AutoFill_names!K:K,""))</f>
        <v/>
      </c>
      <c r="K597" s="115" t="str">
        <f>IF(_xlfn.XLOOKUP(A597, AutoFill_names!B:B, AutoFill_names!L:L,"")=0,"",_xlfn.XLOOKUP(A597, AutoFill_names!B:B, AutoFill_names!L:L,""))</f>
        <v/>
      </c>
      <c r="L597" s="5"/>
      <c r="M597" s="5"/>
      <c r="N597" s="117" t="str">
        <f>IF(_xlfn.XLOOKUP(L597, AutoFill_classes!A:A, AutoFill_classes!B:B,"")=0,"",_xlfn.XLOOKUP(L597, AutoFill_classes!A:A, AutoFill_classes!B:B,""))</f>
        <v/>
      </c>
      <c r="O597" s="108"/>
      <c r="P597" s="8"/>
      <c r="Q597" s="8"/>
      <c r="R597" s="8"/>
      <c r="S597" s="4"/>
      <c r="T597" s="4"/>
      <c r="U597" s="4"/>
      <c r="V597" s="4"/>
      <c r="W597" s="4"/>
      <c r="X597" s="64"/>
      <c r="Y597" s="25"/>
      <c r="Z597" s="121" t="str">
        <f t="shared" si="513"/>
        <v/>
      </c>
      <c r="AA597" s="26"/>
      <c r="AB597" s="26"/>
      <c r="AC597" s="28"/>
      <c r="AD597" s="28"/>
      <c r="AE597" s="125" t="str">
        <f t="shared" si="514"/>
        <v/>
      </c>
      <c r="AF597" s="9"/>
      <c r="AG597" s="125" t="str">
        <f t="shared" si="515"/>
        <v/>
      </c>
      <c r="AH597" s="28"/>
      <c r="AI597" s="28"/>
      <c r="AJ597" s="125" t="str">
        <f t="shared" si="516"/>
        <v/>
      </c>
      <c r="AK597" s="9"/>
      <c r="AL597" s="125" t="str">
        <f t="shared" si="517"/>
        <v/>
      </c>
      <c r="AM597" s="28"/>
      <c r="AN597" s="28"/>
      <c r="AO597" s="125" t="str">
        <f t="shared" si="518"/>
        <v/>
      </c>
      <c r="AP597" s="125" t="str">
        <f t="shared" si="519"/>
        <v/>
      </c>
      <c r="AQ597" s="125" t="str">
        <f t="shared" si="520"/>
        <v/>
      </c>
      <c r="AR597" s="129" t="str">
        <f t="shared" si="521"/>
        <v/>
      </c>
      <c r="AS597" s="9"/>
      <c r="AT597" s="34"/>
      <c r="AU597" s="34"/>
      <c r="AV597" s="117" t="str">
        <f>IF(_xlfn.XLOOKUP(AT597, AutoFill_classes!$A:$A, AutoFill_classes!$B:$B,"")=0,"",_xlfn.XLOOKUP(AT597, AutoFill_classes!$A:$A, AutoFill_classes!$B:$B,""))</f>
        <v/>
      </c>
      <c r="AW597" s="108"/>
      <c r="AX597" s="9"/>
      <c r="AY597" s="10"/>
      <c r="AZ597" s="9"/>
      <c r="BA597" s="10"/>
      <c r="BB597" s="10"/>
      <c r="BC597" s="64"/>
      <c r="BD597" s="25"/>
      <c r="BE597" s="121" t="str">
        <f t="shared" si="522"/>
        <v/>
      </c>
      <c r="BF597" s="20"/>
      <c r="BG597" s="20"/>
      <c r="BH597" s="24"/>
      <c r="BI597" s="24"/>
      <c r="BJ597" s="125" t="str">
        <f t="shared" si="523"/>
        <v/>
      </c>
      <c r="BK597" s="14"/>
      <c r="BL597" s="125" t="str">
        <f t="shared" si="524"/>
        <v/>
      </c>
      <c r="BM597" s="24"/>
      <c r="BN597" s="24"/>
      <c r="BO597" s="125" t="str">
        <f t="shared" si="525"/>
        <v/>
      </c>
      <c r="BP597" s="14"/>
      <c r="BQ597" s="125" t="str">
        <f t="shared" si="526"/>
        <v/>
      </c>
      <c r="BR597" s="24"/>
      <c r="BS597" s="24"/>
      <c r="BT597" s="125" t="str">
        <f t="shared" si="527"/>
        <v/>
      </c>
      <c r="BU597" s="125" t="str">
        <f t="shared" si="528"/>
        <v/>
      </c>
      <c r="BV597" s="125" t="str">
        <f t="shared" si="529"/>
        <v/>
      </c>
      <c r="BW597" s="129" t="str">
        <f t="shared" si="530"/>
        <v/>
      </c>
      <c r="BX597" s="9"/>
      <c r="BY597" s="9"/>
      <c r="BZ597" s="9"/>
      <c r="CA597" s="117" t="str">
        <f>IF(_xlfn.XLOOKUP(BY597, AutoFill_classes!$A:$A, AutoFill_classes!$B:$B,"")=0,"",_xlfn.XLOOKUP(BY597, AutoFill_classes!$A:$A, AutoFill_classes!$B:$B,""))</f>
        <v/>
      </c>
      <c r="CB597" s="108"/>
      <c r="CC597" s="9"/>
      <c r="CD597" s="9"/>
      <c r="CE597" s="9"/>
      <c r="CF597" s="4"/>
      <c r="CG597" s="25"/>
      <c r="CH597" s="64"/>
      <c r="CI597" s="27"/>
      <c r="CJ597" s="121" t="str">
        <f t="shared" si="531"/>
        <v/>
      </c>
      <c r="CK597" s="20"/>
      <c r="CL597" s="20"/>
      <c r="CM597" s="24"/>
      <c r="CN597" s="24"/>
      <c r="CO597" s="125" t="str">
        <f t="shared" si="532"/>
        <v/>
      </c>
      <c r="CP597" s="14"/>
      <c r="CQ597" s="125" t="str">
        <f t="shared" si="533"/>
        <v/>
      </c>
      <c r="CR597" s="24"/>
      <c r="CS597" s="24"/>
      <c r="CT597" s="125" t="str">
        <f t="shared" si="534"/>
        <v/>
      </c>
      <c r="CU597" s="14"/>
      <c r="CV597" s="125" t="str">
        <f t="shared" si="535"/>
        <v/>
      </c>
      <c r="CW597" s="24"/>
      <c r="CX597" s="24"/>
      <c r="CY597" s="125" t="str">
        <f t="shared" si="536"/>
        <v/>
      </c>
      <c r="CZ597" s="125" t="str">
        <f t="shared" si="537"/>
        <v/>
      </c>
      <c r="DA597" s="125" t="str">
        <f t="shared" si="538"/>
        <v/>
      </c>
      <c r="DB597" s="129" t="str">
        <f t="shared" si="539"/>
        <v/>
      </c>
      <c r="DC597" s="9"/>
      <c r="DD597" s="65"/>
      <c r="DE597" s="105">
        <v>593</v>
      </c>
    </row>
    <row r="598" spans="1:109" outlineLevel="1" x14ac:dyDescent="0.2">
      <c r="A598" s="4"/>
      <c r="B598" s="115" t="str">
        <f>IF(_xlfn.XLOOKUP(A598, AutoFill_names!B:B, AutoFill_names!C:C,"")=0,"",_xlfn.XLOOKUP(A598, AutoFill_names!B:B, AutoFill_names!C:C,""))</f>
        <v/>
      </c>
      <c r="C598" s="115" t="str">
        <f>IF(_xlfn.XLOOKUP(A598, AutoFill_names!B:B, AutoFill_names!D:D,"")=0,"",_xlfn.XLOOKUP(A598, AutoFill_names!B:B, AutoFill_names!D:D,""))</f>
        <v/>
      </c>
      <c r="D598" s="115" t="str">
        <f>IF(_xlfn.XLOOKUP(A598, AutoFill_names!B:B, AutoFill_names!E:E,"")=0,"",_xlfn.XLOOKUP(A598, AutoFill_names!B:B, AutoFill_names!E:E,""))</f>
        <v/>
      </c>
      <c r="E598" s="115" t="str">
        <f>IF(_xlfn.XLOOKUP(A598, AutoFill_names!B:B, AutoFill_names!F:F,"")=0,"",_xlfn.XLOOKUP(A598, AutoFill_names!B:B, AutoFill_names!F:F,""))</f>
        <v/>
      </c>
      <c r="F598" s="92"/>
      <c r="G598" s="1"/>
      <c r="H598" s="1"/>
      <c r="I598" s="1"/>
      <c r="J598" s="115" t="str">
        <f>IF(_xlfn.XLOOKUP(A598, AutoFill_names!B:B, AutoFill_names!K:K,"")=0,"",_xlfn.XLOOKUP(A598, AutoFill_names!B:B, AutoFill_names!K:K,""))</f>
        <v/>
      </c>
      <c r="K598" s="115" t="str">
        <f>IF(_xlfn.XLOOKUP(A598, AutoFill_names!B:B, AutoFill_names!L:L,"")=0,"",_xlfn.XLOOKUP(A598, AutoFill_names!B:B, AutoFill_names!L:L,""))</f>
        <v/>
      </c>
      <c r="L598" s="5"/>
      <c r="M598" s="5"/>
      <c r="N598" s="117" t="str">
        <f>IF(_xlfn.XLOOKUP(L598, AutoFill_classes!A:A, AutoFill_classes!B:B,"")=0,"",_xlfn.XLOOKUP(L598, AutoFill_classes!A:A, AutoFill_classes!B:B,""))</f>
        <v/>
      </c>
      <c r="O598" s="108"/>
      <c r="P598" s="8"/>
      <c r="Q598" s="8"/>
      <c r="R598" s="8"/>
      <c r="S598" s="4"/>
      <c r="T598" s="4"/>
      <c r="U598" s="4"/>
      <c r="V598" s="4"/>
      <c r="W598" s="4"/>
      <c r="X598" s="64"/>
      <c r="Y598" s="25"/>
      <c r="Z598" s="121" t="str">
        <f t="shared" si="513"/>
        <v/>
      </c>
      <c r="AA598" s="26"/>
      <c r="AB598" s="26"/>
      <c r="AC598" s="28"/>
      <c r="AD598" s="28"/>
      <c r="AE598" s="125" t="str">
        <f t="shared" si="514"/>
        <v/>
      </c>
      <c r="AF598" s="9"/>
      <c r="AG598" s="125" t="str">
        <f t="shared" si="515"/>
        <v/>
      </c>
      <c r="AH598" s="28"/>
      <c r="AI598" s="28"/>
      <c r="AJ598" s="125" t="str">
        <f t="shared" si="516"/>
        <v/>
      </c>
      <c r="AK598" s="9"/>
      <c r="AL598" s="125" t="str">
        <f t="shared" si="517"/>
        <v/>
      </c>
      <c r="AM598" s="28"/>
      <c r="AN598" s="28"/>
      <c r="AO598" s="125" t="str">
        <f t="shared" si="518"/>
        <v/>
      </c>
      <c r="AP598" s="125" t="str">
        <f t="shared" si="519"/>
        <v/>
      </c>
      <c r="AQ598" s="125" t="str">
        <f t="shared" si="520"/>
        <v/>
      </c>
      <c r="AR598" s="129" t="str">
        <f t="shared" si="521"/>
        <v/>
      </c>
      <c r="AS598" s="9"/>
      <c r="AT598" s="34"/>
      <c r="AU598" s="34"/>
      <c r="AV598" s="117" t="str">
        <f>IF(_xlfn.XLOOKUP(AT598, AutoFill_classes!$A:$A, AutoFill_classes!$B:$B,"")=0,"",_xlfn.XLOOKUP(AT598, AutoFill_classes!$A:$A, AutoFill_classes!$B:$B,""))</f>
        <v/>
      </c>
      <c r="AW598" s="108"/>
      <c r="AX598" s="9"/>
      <c r="AY598" s="10"/>
      <c r="AZ598" s="9"/>
      <c r="BA598" s="10"/>
      <c r="BB598" s="10"/>
      <c r="BC598" s="64"/>
      <c r="BD598" s="25"/>
      <c r="BE598" s="121" t="str">
        <f t="shared" si="522"/>
        <v/>
      </c>
      <c r="BF598" s="20"/>
      <c r="BG598" s="20"/>
      <c r="BH598" s="24"/>
      <c r="BI598" s="24"/>
      <c r="BJ598" s="125" t="str">
        <f t="shared" si="523"/>
        <v/>
      </c>
      <c r="BK598" s="14"/>
      <c r="BL598" s="125" t="str">
        <f t="shared" si="524"/>
        <v/>
      </c>
      <c r="BM598" s="24"/>
      <c r="BN598" s="24"/>
      <c r="BO598" s="125" t="str">
        <f t="shared" si="525"/>
        <v/>
      </c>
      <c r="BP598" s="14"/>
      <c r="BQ598" s="125" t="str">
        <f t="shared" si="526"/>
        <v/>
      </c>
      <c r="BR598" s="24"/>
      <c r="BS598" s="24"/>
      <c r="BT598" s="125" t="str">
        <f t="shared" si="527"/>
        <v/>
      </c>
      <c r="BU598" s="125" t="str">
        <f t="shared" si="528"/>
        <v/>
      </c>
      <c r="BV598" s="125" t="str">
        <f t="shared" si="529"/>
        <v/>
      </c>
      <c r="BW598" s="129" t="str">
        <f t="shared" si="530"/>
        <v/>
      </c>
      <c r="BX598" s="9"/>
      <c r="BY598" s="9"/>
      <c r="BZ598" s="9"/>
      <c r="CA598" s="117" t="str">
        <f>IF(_xlfn.XLOOKUP(BY598, AutoFill_classes!$A:$A, AutoFill_classes!$B:$B,"")=0,"",_xlfn.XLOOKUP(BY598, AutoFill_classes!$A:$A, AutoFill_classes!$B:$B,""))</f>
        <v/>
      </c>
      <c r="CB598" s="108"/>
      <c r="CC598" s="9"/>
      <c r="CD598" s="9"/>
      <c r="CE598" s="9"/>
      <c r="CF598" s="4"/>
      <c r="CG598" s="25"/>
      <c r="CH598" s="64"/>
      <c r="CI598" s="27"/>
      <c r="CJ598" s="121" t="str">
        <f t="shared" si="531"/>
        <v/>
      </c>
      <c r="CK598" s="20"/>
      <c r="CL598" s="20"/>
      <c r="CM598" s="24"/>
      <c r="CN598" s="24"/>
      <c r="CO598" s="125" t="str">
        <f t="shared" si="532"/>
        <v/>
      </c>
      <c r="CP598" s="14"/>
      <c r="CQ598" s="125" t="str">
        <f t="shared" si="533"/>
        <v/>
      </c>
      <c r="CR598" s="24"/>
      <c r="CS598" s="24"/>
      <c r="CT598" s="125" t="str">
        <f t="shared" si="534"/>
        <v/>
      </c>
      <c r="CU598" s="14"/>
      <c r="CV598" s="125" t="str">
        <f t="shared" si="535"/>
        <v/>
      </c>
      <c r="CW598" s="24"/>
      <c r="CX598" s="24"/>
      <c r="CY598" s="125" t="str">
        <f t="shared" si="536"/>
        <v/>
      </c>
      <c r="CZ598" s="125" t="str">
        <f t="shared" si="537"/>
        <v/>
      </c>
      <c r="DA598" s="125" t="str">
        <f t="shared" si="538"/>
        <v/>
      </c>
      <c r="DB598" s="129" t="str">
        <f t="shared" si="539"/>
        <v/>
      </c>
      <c r="DC598" s="9"/>
      <c r="DD598" s="65"/>
      <c r="DE598" s="105">
        <v>594</v>
      </c>
    </row>
    <row r="599" spans="1:109" outlineLevel="1" x14ac:dyDescent="0.2">
      <c r="A599" s="4"/>
      <c r="B599" s="115" t="str">
        <f>IF(_xlfn.XLOOKUP(A599, AutoFill_names!B:B, AutoFill_names!C:C,"")=0,"",_xlfn.XLOOKUP(A599, AutoFill_names!B:B, AutoFill_names!C:C,""))</f>
        <v/>
      </c>
      <c r="C599" s="115" t="str">
        <f>IF(_xlfn.XLOOKUP(A599, AutoFill_names!B:B, AutoFill_names!D:D,"")=0,"",_xlfn.XLOOKUP(A599, AutoFill_names!B:B, AutoFill_names!D:D,""))</f>
        <v/>
      </c>
      <c r="D599" s="115" t="str">
        <f>IF(_xlfn.XLOOKUP(A599, AutoFill_names!B:B, AutoFill_names!E:E,"")=0,"",_xlfn.XLOOKUP(A599, AutoFill_names!B:B, AutoFill_names!E:E,""))</f>
        <v/>
      </c>
      <c r="E599" s="115" t="str">
        <f>IF(_xlfn.XLOOKUP(A599, AutoFill_names!B:B, AutoFill_names!F:F,"")=0,"",_xlfn.XLOOKUP(A599, AutoFill_names!B:B, AutoFill_names!F:F,""))</f>
        <v/>
      </c>
      <c r="F599" s="92"/>
      <c r="G599" s="1"/>
      <c r="H599" s="1"/>
      <c r="I599" s="1"/>
      <c r="J599" s="115" t="str">
        <f>IF(_xlfn.XLOOKUP(A599, AutoFill_names!B:B, AutoFill_names!K:K,"")=0,"",_xlfn.XLOOKUP(A599, AutoFill_names!B:B, AutoFill_names!K:K,""))</f>
        <v/>
      </c>
      <c r="K599" s="115" t="str">
        <f>IF(_xlfn.XLOOKUP(A599, AutoFill_names!B:B, AutoFill_names!L:L,"")=0,"",_xlfn.XLOOKUP(A599, AutoFill_names!B:B, AutoFill_names!L:L,""))</f>
        <v/>
      </c>
      <c r="L599" s="5"/>
      <c r="M599" s="5"/>
      <c r="N599" s="117" t="str">
        <f>IF(_xlfn.XLOOKUP(L599, AutoFill_classes!A:A, AutoFill_classes!B:B,"")=0,"",_xlfn.XLOOKUP(L599, AutoFill_classes!A:A, AutoFill_classes!B:B,""))</f>
        <v/>
      </c>
      <c r="O599" s="108"/>
      <c r="P599" s="8"/>
      <c r="Q599" s="8"/>
      <c r="R599" s="8"/>
      <c r="S599" s="4"/>
      <c r="T599" s="4"/>
      <c r="U599" s="4"/>
      <c r="V599" s="4"/>
      <c r="W599" s="4"/>
      <c r="X599" s="64"/>
      <c r="Y599" s="25"/>
      <c r="Z599" s="121" t="str">
        <f t="shared" si="513"/>
        <v/>
      </c>
      <c r="AA599" s="26"/>
      <c r="AB599" s="26"/>
      <c r="AC599" s="28"/>
      <c r="AD599" s="28"/>
      <c r="AE599" s="125" t="str">
        <f t="shared" si="514"/>
        <v/>
      </c>
      <c r="AF599" s="9"/>
      <c r="AG599" s="125" t="str">
        <f t="shared" si="515"/>
        <v/>
      </c>
      <c r="AH599" s="28"/>
      <c r="AI599" s="28"/>
      <c r="AJ599" s="125" t="str">
        <f t="shared" si="516"/>
        <v/>
      </c>
      <c r="AK599" s="9"/>
      <c r="AL599" s="125" t="str">
        <f t="shared" si="517"/>
        <v/>
      </c>
      <c r="AM599" s="28"/>
      <c r="AN599" s="28"/>
      <c r="AO599" s="125" t="str">
        <f t="shared" si="518"/>
        <v/>
      </c>
      <c r="AP599" s="125" t="str">
        <f t="shared" si="519"/>
        <v/>
      </c>
      <c r="AQ599" s="125" t="str">
        <f t="shared" si="520"/>
        <v/>
      </c>
      <c r="AR599" s="129" t="str">
        <f t="shared" si="521"/>
        <v/>
      </c>
      <c r="AS599" s="9"/>
      <c r="AT599" s="34"/>
      <c r="AU599" s="34"/>
      <c r="AV599" s="117" t="str">
        <f>IF(_xlfn.XLOOKUP(AT599, AutoFill_classes!$A:$A, AutoFill_classes!$B:$B,"")=0,"",_xlfn.XLOOKUP(AT599, AutoFill_classes!$A:$A, AutoFill_classes!$B:$B,""))</f>
        <v/>
      </c>
      <c r="AW599" s="108"/>
      <c r="AX599" s="9"/>
      <c r="AY599" s="10"/>
      <c r="AZ599" s="9"/>
      <c r="BA599" s="10"/>
      <c r="BB599" s="10"/>
      <c r="BC599" s="64"/>
      <c r="BD599" s="25"/>
      <c r="BE599" s="121" t="str">
        <f t="shared" si="522"/>
        <v/>
      </c>
      <c r="BF599" s="20"/>
      <c r="BG599" s="20"/>
      <c r="BH599" s="24"/>
      <c r="BI599" s="24"/>
      <c r="BJ599" s="125" t="str">
        <f t="shared" si="523"/>
        <v/>
      </c>
      <c r="BK599" s="14"/>
      <c r="BL599" s="125" t="str">
        <f t="shared" si="524"/>
        <v/>
      </c>
      <c r="BM599" s="24"/>
      <c r="BN599" s="24"/>
      <c r="BO599" s="125" t="str">
        <f t="shared" si="525"/>
        <v/>
      </c>
      <c r="BP599" s="14"/>
      <c r="BQ599" s="125" t="str">
        <f t="shared" si="526"/>
        <v/>
      </c>
      <c r="BR599" s="24"/>
      <c r="BS599" s="24"/>
      <c r="BT599" s="125" t="str">
        <f t="shared" si="527"/>
        <v/>
      </c>
      <c r="BU599" s="125" t="str">
        <f t="shared" si="528"/>
        <v/>
      </c>
      <c r="BV599" s="125" t="str">
        <f t="shared" si="529"/>
        <v/>
      </c>
      <c r="BW599" s="129" t="str">
        <f t="shared" si="530"/>
        <v/>
      </c>
      <c r="BX599" s="9"/>
      <c r="BY599" s="9"/>
      <c r="BZ599" s="9"/>
      <c r="CA599" s="117" t="str">
        <f>IF(_xlfn.XLOOKUP(BY599, AutoFill_classes!$A:$A, AutoFill_classes!$B:$B,"")=0,"",_xlfn.XLOOKUP(BY599, AutoFill_classes!$A:$A, AutoFill_classes!$B:$B,""))</f>
        <v/>
      </c>
      <c r="CB599" s="108"/>
      <c r="CC599" s="9"/>
      <c r="CD599" s="9"/>
      <c r="CE599" s="9"/>
      <c r="CF599" s="4"/>
      <c r="CG599" s="25"/>
      <c r="CH599" s="64"/>
      <c r="CI599" s="27"/>
      <c r="CJ599" s="121" t="str">
        <f t="shared" si="531"/>
        <v/>
      </c>
      <c r="CK599" s="20"/>
      <c r="CL599" s="20"/>
      <c r="CM599" s="24"/>
      <c r="CN599" s="24"/>
      <c r="CO599" s="125" t="str">
        <f t="shared" si="532"/>
        <v/>
      </c>
      <c r="CP599" s="14"/>
      <c r="CQ599" s="125" t="str">
        <f t="shared" si="533"/>
        <v/>
      </c>
      <c r="CR599" s="24"/>
      <c r="CS599" s="24"/>
      <c r="CT599" s="125" t="str">
        <f t="shared" si="534"/>
        <v/>
      </c>
      <c r="CU599" s="14"/>
      <c r="CV599" s="125" t="str">
        <f t="shared" si="535"/>
        <v/>
      </c>
      <c r="CW599" s="24"/>
      <c r="CX599" s="24"/>
      <c r="CY599" s="125" t="str">
        <f t="shared" si="536"/>
        <v/>
      </c>
      <c r="CZ599" s="125" t="str">
        <f t="shared" si="537"/>
        <v/>
      </c>
      <c r="DA599" s="125" t="str">
        <f t="shared" si="538"/>
        <v/>
      </c>
      <c r="DB599" s="129" t="str">
        <f t="shared" si="539"/>
        <v/>
      </c>
      <c r="DC599" s="9"/>
      <c r="DD599" s="65"/>
      <c r="DE599" s="105">
        <v>595</v>
      </c>
    </row>
    <row r="600" spans="1:109" outlineLevel="1" x14ac:dyDescent="0.2">
      <c r="A600" s="4"/>
      <c r="B600" s="115" t="str">
        <f>IF(_xlfn.XLOOKUP(A600, AutoFill_names!B:B, AutoFill_names!C:C,"")=0,"",_xlfn.XLOOKUP(A600, AutoFill_names!B:B, AutoFill_names!C:C,""))</f>
        <v/>
      </c>
      <c r="C600" s="115" t="str">
        <f>IF(_xlfn.XLOOKUP(A600, AutoFill_names!B:B, AutoFill_names!D:D,"")=0,"",_xlfn.XLOOKUP(A600, AutoFill_names!B:B, AutoFill_names!D:D,""))</f>
        <v/>
      </c>
      <c r="D600" s="115" t="str">
        <f>IF(_xlfn.XLOOKUP(A600, AutoFill_names!B:B, AutoFill_names!E:E,"")=0,"",_xlfn.XLOOKUP(A600, AutoFill_names!B:B, AutoFill_names!E:E,""))</f>
        <v/>
      </c>
      <c r="E600" s="115" t="str">
        <f>IF(_xlfn.XLOOKUP(A600, AutoFill_names!B:B, AutoFill_names!F:F,"")=0,"",_xlfn.XLOOKUP(A600, AutoFill_names!B:B, AutoFill_names!F:F,""))</f>
        <v/>
      </c>
      <c r="F600" s="92"/>
      <c r="G600" s="1"/>
      <c r="H600" s="1"/>
      <c r="I600" s="1"/>
      <c r="J600" s="115" t="str">
        <f>IF(_xlfn.XLOOKUP(A600, AutoFill_names!B:B, AutoFill_names!K:K,"")=0,"",_xlfn.XLOOKUP(A600, AutoFill_names!B:B, AutoFill_names!K:K,""))</f>
        <v/>
      </c>
      <c r="K600" s="115" t="str">
        <f>IF(_xlfn.XLOOKUP(A600, AutoFill_names!B:B, AutoFill_names!L:L,"")=0,"",_xlfn.XLOOKUP(A600, AutoFill_names!B:B, AutoFill_names!L:L,""))</f>
        <v/>
      </c>
      <c r="L600" s="5"/>
      <c r="M600" s="5"/>
      <c r="N600" s="117" t="str">
        <f>IF(_xlfn.XLOOKUP(L600, AutoFill_classes!A:A, AutoFill_classes!B:B,"")=0,"",_xlfn.XLOOKUP(L600, AutoFill_classes!A:A, AutoFill_classes!B:B,""))</f>
        <v/>
      </c>
      <c r="O600" s="108"/>
      <c r="P600" s="8"/>
      <c r="Q600" s="8"/>
      <c r="R600" s="8"/>
      <c r="S600" s="4"/>
      <c r="T600" s="4"/>
      <c r="U600" s="4"/>
      <c r="V600" s="4"/>
      <c r="W600" s="4"/>
      <c r="X600" s="64"/>
      <c r="Y600" s="25"/>
      <c r="Z600" s="121" t="str">
        <f t="shared" si="513"/>
        <v/>
      </c>
      <c r="AA600" s="26"/>
      <c r="AB600" s="26"/>
      <c r="AC600" s="28"/>
      <c r="AD600" s="28"/>
      <c r="AE600" s="125" t="str">
        <f t="shared" si="514"/>
        <v/>
      </c>
      <c r="AF600" s="9"/>
      <c r="AG600" s="125" t="str">
        <f t="shared" si="515"/>
        <v/>
      </c>
      <c r="AH600" s="28"/>
      <c r="AI600" s="28"/>
      <c r="AJ600" s="125" t="str">
        <f t="shared" si="516"/>
        <v/>
      </c>
      <c r="AK600" s="9"/>
      <c r="AL600" s="125" t="str">
        <f t="shared" si="517"/>
        <v/>
      </c>
      <c r="AM600" s="28"/>
      <c r="AN600" s="28"/>
      <c r="AO600" s="125" t="str">
        <f t="shared" si="518"/>
        <v/>
      </c>
      <c r="AP600" s="125" t="str">
        <f t="shared" si="519"/>
        <v/>
      </c>
      <c r="AQ600" s="125" t="str">
        <f t="shared" si="520"/>
        <v/>
      </c>
      <c r="AR600" s="129" t="str">
        <f t="shared" si="521"/>
        <v/>
      </c>
      <c r="AS600" s="9"/>
      <c r="AT600" s="34"/>
      <c r="AU600" s="34"/>
      <c r="AV600" s="117" t="str">
        <f>IF(_xlfn.XLOOKUP(AT600, AutoFill_classes!$A:$A, AutoFill_classes!$B:$B,"")=0,"",_xlfn.XLOOKUP(AT600, AutoFill_classes!$A:$A, AutoFill_classes!$B:$B,""))</f>
        <v/>
      </c>
      <c r="AW600" s="108"/>
      <c r="AX600" s="9"/>
      <c r="AY600" s="10"/>
      <c r="AZ600" s="9"/>
      <c r="BA600" s="10"/>
      <c r="BB600" s="10"/>
      <c r="BC600" s="64"/>
      <c r="BD600" s="25"/>
      <c r="BE600" s="121" t="str">
        <f t="shared" si="522"/>
        <v/>
      </c>
      <c r="BF600" s="20"/>
      <c r="BG600" s="20"/>
      <c r="BH600" s="24"/>
      <c r="BI600" s="24"/>
      <c r="BJ600" s="125" t="str">
        <f t="shared" si="523"/>
        <v/>
      </c>
      <c r="BK600" s="14"/>
      <c r="BL600" s="125" t="str">
        <f t="shared" si="524"/>
        <v/>
      </c>
      <c r="BM600" s="24"/>
      <c r="BN600" s="24"/>
      <c r="BO600" s="125" t="str">
        <f t="shared" si="525"/>
        <v/>
      </c>
      <c r="BP600" s="14"/>
      <c r="BQ600" s="125" t="str">
        <f t="shared" si="526"/>
        <v/>
      </c>
      <c r="BR600" s="24"/>
      <c r="BS600" s="24"/>
      <c r="BT600" s="125" t="str">
        <f t="shared" si="527"/>
        <v/>
      </c>
      <c r="BU600" s="125" t="str">
        <f t="shared" si="528"/>
        <v/>
      </c>
      <c r="BV600" s="125" t="str">
        <f t="shared" si="529"/>
        <v/>
      </c>
      <c r="BW600" s="129" t="str">
        <f t="shared" si="530"/>
        <v/>
      </c>
      <c r="BX600" s="9"/>
      <c r="BY600" s="9"/>
      <c r="BZ600" s="9"/>
      <c r="CA600" s="117" t="str">
        <f>IF(_xlfn.XLOOKUP(BY600, AutoFill_classes!$A:$A, AutoFill_classes!$B:$B,"")=0,"",_xlfn.XLOOKUP(BY600, AutoFill_classes!$A:$A, AutoFill_classes!$B:$B,""))</f>
        <v/>
      </c>
      <c r="CB600" s="108"/>
      <c r="CC600" s="9"/>
      <c r="CD600" s="9"/>
      <c r="CE600" s="9"/>
      <c r="CF600" s="4"/>
      <c r="CG600" s="25"/>
      <c r="CH600" s="64"/>
      <c r="CI600" s="27"/>
      <c r="CJ600" s="121" t="str">
        <f t="shared" si="531"/>
        <v/>
      </c>
      <c r="CK600" s="20"/>
      <c r="CL600" s="20"/>
      <c r="CM600" s="24"/>
      <c r="CN600" s="24"/>
      <c r="CO600" s="125" t="str">
        <f t="shared" si="532"/>
        <v/>
      </c>
      <c r="CP600" s="14"/>
      <c r="CQ600" s="125" t="str">
        <f t="shared" si="533"/>
        <v/>
      </c>
      <c r="CR600" s="24"/>
      <c r="CS600" s="24"/>
      <c r="CT600" s="125" t="str">
        <f t="shared" si="534"/>
        <v/>
      </c>
      <c r="CU600" s="14"/>
      <c r="CV600" s="125" t="str">
        <f t="shared" si="535"/>
        <v/>
      </c>
      <c r="CW600" s="24"/>
      <c r="CX600" s="24"/>
      <c r="CY600" s="125" t="str">
        <f t="shared" si="536"/>
        <v/>
      </c>
      <c r="CZ600" s="125" t="str">
        <f t="shared" si="537"/>
        <v/>
      </c>
      <c r="DA600" s="125" t="str">
        <f t="shared" si="538"/>
        <v/>
      </c>
      <c r="DB600" s="129" t="str">
        <f t="shared" si="539"/>
        <v/>
      </c>
      <c r="DC600" s="9"/>
      <c r="DD600" s="65"/>
      <c r="DE600" s="105">
        <v>596</v>
      </c>
    </row>
    <row r="601" spans="1:109" outlineLevel="1" x14ac:dyDescent="0.2">
      <c r="A601" s="4"/>
      <c r="B601" s="115" t="str">
        <f>IF(_xlfn.XLOOKUP(A601, AutoFill_names!B:B, AutoFill_names!C:C,"")=0,"",_xlfn.XLOOKUP(A601, AutoFill_names!B:B, AutoFill_names!C:C,""))</f>
        <v/>
      </c>
      <c r="C601" s="115" t="str">
        <f>IF(_xlfn.XLOOKUP(A601, AutoFill_names!B:B, AutoFill_names!D:D,"")=0,"",_xlfn.XLOOKUP(A601, AutoFill_names!B:B, AutoFill_names!D:D,""))</f>
        <v/>
      </c>
      <c r="D601" s="115" t="str">
        <f>IF(_xlfn.XLOOKUP(A601, AutoFill_names!B:B, AutoFill_names!E:E,"")=0,"",_xlfn.XLOOKUP(A601, AutoFill_names!B:B, AutoFill_names!E:E,""))</f>
        <v/>
      </c>
      <c r="E601" s="115" t="str">
        <f>IF(_xlfn.XLOOKUP(A601, AutoFill_names!B:B, AutoFill_names!F:F,"")=0,"",_xlfn.XLOOKUP(A601, AutoFill_names!B:B, AutoFill_names!F:F,""))</f>
        <v/>
      </c>
      <c r="F601" s="92"/>
      <c r="G601" s="1"/>
      <c r="H601" s="1"/>
      <c r="I601" s="1"/>
      <c r="J601" s="115" t="str">
        <f>IF(_xlfn.XLOOKUP(A601, AutoFill_names!B:B, AutoFill_names!K:K,"")=0,"",_xlfn.XLOOKUP(A601, AutoFill_names!B:B, AutoFill_names!K:K,""))</f>
        <v/>
      </c>
      <c r="K601" s="115" t="str">
        <f>IF(_xlfn.XLOOKUP(A601, AutoFill_names!B:B, AutoFill_names!L:L,"")=0,"",_xlfn.XLOOKUP(A601, AutoFill_names!B:B, AutoFill_names!L:L,""))</f>
        <v/>
      </c>
      <c r="L601" s="5"/>
      <c r="M601" s="5"/>
      <c r="N601" s="117" t="str">
        <f>IF(_xlfn.XLOOKUP(L601, AutoFill_classes!A:A, AutoFill_classes!B:B,"")=0,"",_xlfn.XLOOKUP(L601, AutoFill_classes!A:A, AutoFill_classes!B:B,""))</f>
        <v/>
      </c>
      <c r="O601" s="108"/>
      <c r="P601" s="8"/>
      <c r="Q601" s="8"/>
      <c r="R601" s="8"/>
      <c r="S601" s="4"/>
      <c r="T601" s="4"/>
      <c r="U601" s="4"/>
      <c r="V601" s="4"/>
      <c r="W601" s="4"/>
      <c r="X601" s="64"/>
      <c r="Y601" s="25"/>
      <c r="Z601" s="121" t="str">
        <f t="shared" si="513"/>
        <v/>
      </c>
      <c r="AA601" s="26"/>
      <c r="AB601" s="26"/>
      <c r="AC601" s="28"/>
      <c r="AD601" s="28"/>
      <c r="AE601" s="125" t="str">
        <f t="shared" si="514"/>
        <v/>
      </c>
      <c r="AF601" s="9"/>
      <c r="AG601" s="125" t="str">
        <f t="shared" si="515"/>
        <v/>
      </c>
      <c r="AH601" s="28"/>
      <c r="AI601" s="28"/>
      <c r="AJ601" s="125" t="str">
        <f t="shared" si="516"/>
        <v/>
      </c>
      <c r="AK601" s="9"/>
      <c r="AL601" s="125" t="str">
        <f t="shared" si="517"/>
        <v/>
      </c>
      <c r="AM601" s="28"/>
      <c r="AN601" s="28"/>
      <c r="AO601" s="125" t="str">
        <f t="shared" si="518"/>
        <v/>
      </c>
      <c r="AP601" s="125" t="str">
        <f t="shared" si="519"/>
        <v/>
      </c>
      <c r="AQ601" s="125" t="str">
        <f t="shared" si="520"/>
        <v/>
      </c>
      <c r="AR601" s="129" t="str">
        <f t="shared" si="521"/>
        <v/>
      </c>
      <c r="AS601" s="9"/>
      <c r="AT601" s="34"/>
      <c r="AU601" s="34"/>
      <c r="AV601" s="117" t="str">
        <f>IF(_xlfn.XLOOKUP(AT601, AutoFill_classes!$A:$A, AutoFill_classes!$B:$B,"")=0,"",_xlfn.XLOOKUP(AT601, AutoFill_classes!$A:$A, AutoFill_classes!$B:$B,""))</f>
        <v/>
      </c>
      <c r="AW601" s="108"/>
      <c r="AX601" s="9"/>
      <c r="AY601" s="10"/>
      <c r="AZ601" s="9"/>
      <c r="BA601" s="10"/>
      <c r="BB601" s="10"/>
      <c r="BC601" s="64"/>
      <c r="BD601" s="25"/>
      <c r="BE601" s="121" t="str">
        <f t="shared" si="522"/>
        <v/>
      </c>
      <c r="BF601" s="20"/>
      <c r="BG601" s="20"/>
      <c r="BH601" s="24"/>
      <c r="BI601" s="24"/>
      <c r="BJ601" s="125" t="str">
        <f t="shared" si="523"/>
        <v/>
      </c>
      <c r="BK601" s="14"/>
      <c r="BL601" s="125" t="str">
        <f t="shared" si="524"/>
        <v/>
      </c>
      <c r="BM601" s="24"/>
      <c r="BN601" s="24"/>
      <c r="BO601" s="125" t="str">
        <f t="shared" si="525"/>
        <v/>
      </c>
      <c r="BP601" s="14"/>
      <c r="BQ601" s="125" t="str">
        <f t="shared" si="526"/>
        <v/>
      </c>
      <c r="BR601" s="24"/>
      <c r="BS601" s="24"/>
      <c r="BT601" s="125" t="str">
        <f t="shared" si="527"/>
        <v/>
      </c>
      <c r="BU601" s="125" t="str">
        <f t="shared" si="528"/>
        <v/>
      </c>
      <c r="BV601" s="125" t="str">
        <f t="shared" si="529"/>
        <v/>
      </c>
      <c r="BW601" s="129" t="str">
        <f t="shared" si="530"/>
        <v/>
      </c>
      <c r="BX601" s="9"/>
      <c r="BY601" s="9"/>
      <c r="BZ601" s="9"/>
      <c r="CA601" s="117" t="str">
        <f>IF(_xlfn.XLOOKUP(BY601, AutoFill_classes!$A:$A, AutoFill_classes!$B:$B,"")=0,"",_xlfn.XLOOKUP(BY601, AutoFill_classes!$A:$A, AutoFill_classes!$B:$B,""))</f>
        <v/>
      </c>
      <c r="CB601" s="108"/>
      <c r="CC601" s="9"/>
      <c r="CD601" s="9"/>
      <c r="CE601" s="9"/>
      <c r="CF601" s="4"/>
      <c r="CG601" s="25"/>
      <c r="CH601" s="64"/>
      <c r="CI601" s="27"/>
      <c r="CJ601" s="121" t="str">
        <f t="shared" si="531"/>
        <v/>
      </c>
      <c r="CK601" s="20"/>
      <c r="CL601" s="20"/>
      <c r="CM601" s="24"/>
      <c r="CN601" s="24"/>
      <c r="CO601" s="125" t="str">
        <f t="shared" si="532"/>
        <v/>
      </c>
      <c r="CP601" s="14"/>
      <c r="CQ601" s="125" t="str">
        <f t="shared" si="533"/>
        <v/>
      </c>
      <c r="CR601" s="24"/>
      <c r="CS601" s="24"/>
      <c r="CT601" s="125" t="str">
        <f t="shared" si="534"/>
        <v/>
      </c>
      <c r="CU601" s="14"/>
      <c r="CV601" s="125" t="str">
        <f t="shared" si="535"/>
        <v/>
      </c>
      <c r="CW601" s="24"/>
      <c r="CX601" s="24"/>
      <c r="CY601" s="125" t="str">
        <f t="shared" si="536"/>
        <v/>
      </c>
      <c r="CZ601" s="125" t="str">
        <f t="shared" si="537"/>
        <v/>
      </c>
      <c r="DA601" s="125" t="str">
        <f t="shared" si="538"/>
        <v/>
      </c>
      <c r="DB601" s="129" t="str">
        <f t="shared" si="539"/>
        <v/>
      </c>
      <c r="DC601" s="9"/>
      <c r="DD601" s="65"/>
      <c r="DE601" s="105">
        <v>597</v>
      </c>
    </row>
    <row r="602" spans="1:109" outlineLevel="1" x14ac:dyDescent="0.2">
      <c r="A602" s="4"/>
      <c r="B602" s="115" t="str">
        <f>IF(_xlfn.XLOOKUP(A602, AutoFill_names!B:B, AutoFill_names!C:C,"")=0,"",_xlfn.XLOOKUP(A602, AutoFill_names!B:B, AutoFill_names!C:C,""))</f>
        <v/>
      </c>
      <c r="C602" s="115" t="str">
        <f>IF(_xlfn.XLOOKUP(A602, AutoFill_names!B:B, AutoFill_names!D:D,"")=0,"",_xlfn.XLOOKUP(A602, AutoFill_names!B:B, AutoFill_names!D:D,""))</f>
        <v/>
      </c>
      <c r="D602" s="115" t="str">
        <f>IF(_xlfn.XLOOKUP(A602, AutoFill_names!B:B, AutoFill_names!E:E,"")=0,"",_xlfn.XLOOKUP(A602, AutoFill_names!B:B, AutoFill_names!E:E,""))</f>
        <v/>
      </c>
      <c r="E602" s="115" t="str">
        <f>IF(_xlfn.XLOOKUP(A602, AutoFill_names!B:B, AutoFill_names!F:F,"")=0,"",_xlfn.XLOOKUP(A602, AutoFill_names!B:B, AutoFill_names!F:F,""))</f>
        <v/>
      </c>
      <c r="F602" s="92"/>
      <c r="G602" s="1"/>
      <c r="H602" s="1"/>
      <c r="I602" s="1"/>
      <c r="J602" s="115" t="str">
        <f>IF(_xlfn.XLOOKUP(A602, AutoFill_names!B:B, AutoFill_names!K:K,"")=0,"",_xlfn.XLOOKUP(A602, AutoFill_names!B:B, AutoFill_names!K:K,""))</f>
        <v/>
      </c>
      <c r="K602" s="115" t="str">
        <f>IF(_xlfn.XLOOKUP(A602, AutoFill_names!B:B, AutoFill_names!L:L,"")=0,"",_xlfn.XLOOKUP(A602, AutoFill_names!B:B, AutoFill_names!L:L,""))</f>
        <v/>
      </c>
      <c r="L602" s="5"/>
      <c r="M602" s="5"/>
      <c r="N602" s="117" t="str">
        <f>IF(_xlfn.XLOOKUP(L602, AutoFill_classes!A:A, AutoFill_classes!B:B,"")=0,"",_xlfn.XLOOKUP(L602, AutoFill_classes!A:A, AutoFill_classes!B:B,""))</f>
        <v/>
      </c>
      <c r="O602" s="108"/>
      <c r="P602" s="8"/>
      <c r="Q602" s="8"/>
      <c r="R602" s="8"/>
      <c r="S602" s="4"/>
      <c r="T602" s="4"/>
      <c r="U602" s="4"/>
      <c r="V602" s="4"/>
      <c r="W602" s="4"/>
      <c r="X602" s="64"/>
      <c r="Y602" s="25"/>
      <c r="Z602" s="121" t="str">
        <f t="shared" si="513"/>
        <v/>
      </c>
      <c r="AA602" s="26"/>
      <c r="AB602" s="26"/>
      <c r="AC602" s="28"/>
      <c r="AD602" s="28"/>
      <c r="AE602" s="125" t="str">
        <f t="shared" si="514"/>
        <v/>
      </c>
      <c r="AF602" s="9"/>
      <c r="AG602" s="125" t="str">
        <f t="shared" si="515"/>
        <v/>
      </c>
      <c r="AH602" s="28"/>
      <c r="AI602" s="28"/>
      <c r="AJ602" s="125" t="str">
        <f t="shared" si="516"/>
        <v/>
      </c>
      <c r="AK602" s="9"/>
      <c r="AL602" s="125" t="str">
        <f t="shared" si="517"/>
        <v/>
      </c>
      <c r="AM602" s="28"/>
      <c r="AN602" s="28"/>
      <c r="AO602" s="125" t="str">
        <f t="shared" si="518"/>
        <v/>
      </c>
      <c r="AP602" s="125" t="str">
        <f t="shared" si="519"/>
        <v/>
      </c>
      <c r="AQ602" s="125" t="str">
        <f t="shared" si="520"/>
        <v/>
      </c>
      <c r="AR602" s="129" t="str">
        <f t="shared" si="521"/>
        <v/>
      </c>
      <c r="AS602" s="9"/>
      <c r="AT602" s="34"/>
      <c r="AU602" s="34"/>
      <c r="AV602" s="117" t="str">
        <f>IF(_xlfn.XLOOKUP(AT602, AutoFill_classes!$A:$A, AutoFill_classes!$B:$B,"")=0,"",_xlfn.XLOOKUP(AT602, AutoFill_classes!$A:$A, AutoFill_classes!$B:$B,""))</f>
        <v/>
      </c>
      <c r="AW602" s="108"/>
      <c r="AX602" s="9"/>
      <c r="AY602" s="10"/>
      <c r="AZ602" s="9"/>
      <c r="BA602" s="10"/>
      <c r="BB602" s="10"/>
      <c r="BC602" s="64"/>
      <c r="BD602" s="25"/>
      <c r="BE602" s="121" t="str">
        <f t="shared" si="522"/>
        <v/>
      </c>
      <c r="BF602" s="20"/>
      <c r="BG602" s="20"/>
      <c r="BH602" s="24"/>
      <c r="BI602" s="24"/>
      <c r="BJ602" s="125" t="str">
        <f t="shared" si="523"/>
        <v/>
      </c>
      <c r="BK602" s="14"/>
      <c r="BL602" s="125" t="str">
        <f t="shared" si="524"/>
        <v/>
      </c>
      <c r="BM602" s="24"/>
      <c r="BN602" s="24"/>
      <c r="BO602" s="125" t="str">
        <f t="shared" si="525"/>
        <v/>
      </c>
      <c r="BP602" s="14"/>
      <c r="BQ602" s="125" t="str">
        <f t="shared" si="526"/>
        <v/>
      </c>
      <c r="BR602" s="24"/>
      <c r="BS602" s="24"/>
      <c r="BT602" s="125" t="str">
        <f t="shared" si="527"/>
        <v/>
      </c>
      <c r="BU602" s="125" t="str">
        <f t="shared" si="528"/>
        <v/>
      </c>
      <c r="BV602" s="125" t="str">
        <f t="shared" si="529"/>
        <v/>
      </c>
      <c r="BW602" s="129" t="str">
        <f t="shared" si="530"/>
        <v/>
      </c>
      <c r="BX602" s="9"/>
      <c r="BY602" s="9"/>
      <c r="BZ602" s="9"/>
      <c r="CA602" s="117" t="str">
        <f>IF(_xlfn.XLOOKUP(BY602, AutoFill_classes!$A:$A, AutoFill_classes!$B:$B,"")=0,"",_xlfn.XLOOKUP(BY602, AutoFill_classes!$A:$A, AutoFill_classes!$B:$B,""))</f>
        <v/>
      </c>
      <c r="CB602" s="108"/>
      <c r="CC602" s="9"/>
      <c r="CD602" s="9"/>
      <c r="CE602" s="9"/>
      <c r="CF602" s="4"/>
      <c r="CG602" s="25"/>
      <c r="CH602" s="64"/>
      <c r="CI602" s="27"/>
      <c r="CJ602" s="121" t="str">
        <f t="shared" si="531"/>
        <v/>
      </c>
      <c r="CK602" s="20"/>
      <c r="CL602" s="20"/>
      <c r="CM602" s="24"/>
      <c r="CN602" s="24"/>
      <c r="CO602" s="125" t="str">
        <f t="shared" si="532"/>
        <v/>
      </c>
      <c r="CP602" s="14"/>
      <c r="CQ602" s="125" t="str">
        <f t="shared" si="533"/>
        <v/>
      </c>
      <c r="CR602" s="24"/>
      <c r="CS602" s="24"/>
      <c r="CT602" s="125" t="str">
        <f t="shared" si="534"/>
        <v/>
      </c>
      <c r="CU602" s="14"/>
      <c r="CV602" s="125" t="str">
        <f t="shared" si="535"/>
        <v/>
      </c>
      <c r="CW602" s="24"/>
      <c r="CX602" s="24"/>
      <c r="CY602" s="125" t="str">
        <f t="shared" si="536"/>
        <v/>
      </c>
      <c r="CZ602" s="125" t="str">
        <f t="shared" si="537"/>
        <v/>
      </c>
      <c r="DA602" s="125" t="str">
        <f t="shared" si="538"/>
        <v/>
      </c>
      <c r="DB602" s="129" t="str">
        <f t="shared" si="539"/>
        <v/>
      </c>
      <c r="DC602" s="9"/>
      <c r="DD602" s="65"/>
      <c r="DE602" s="105">
        <v>598</v>
      </c>
    </row>
    <row r="603" spans="1:109" outlineLevel="1" x14ac:dyDescent="0.2">
      <c r="A603" s="4"/>
      <c r="B603" s="115" t="str">
        <f>IF(_xlfn.XLOOKUP(A603, AutoFill_names!B:B, AutoFill_names!C:C,"")=0,"",_xlfn.XLOOKUP(A603, AutoFill_names!B:B, AutoFill_names!C:C,""))</f>
        <v/>
      </c>
      <c r="C603" s="115" t="str">
        <f>IF(_xlfn.XLOOKUP(A603, AutoFill_names!B:B, AutoFill_names!D:D,"")=0,"",_xlfn.XLOOKUP(A603, AutoFill_names!B:B, AutoFill_names!D:D,""))</f>
        <v/>
      </c>
      <c r="D603" s="115" t="str">
        <f>IF(_xlfn.XLOOKUP(A603, AutoFill_names!B:B, AutoFill_names!E:E,"")=0,"",_xlfn.XLOOKUP(A603, AutoFill_names!B:B, AutoFill_names!E:E,""))</f>
        <v/>
      </c>
      <c r="E603" s="115" t="str">
        <f>IF(_xlfn.XLOOKUP(A603, AutoFill_names!B:B, AutoFill_names!F:F,"")=0,"",_xlfn.XLOOKUP(A603, AutoFill_names!B:B, AutoFill_names!F:F,""))</f>
        <v/>
      </c>
      <c r="F603" s="92"/>
      <c r="G603" s="1"/>
      <c r="H603" s="1"/>
      <c r="I603" s="1"/>
      <c r="J603" s="115" t="str">
        <f>IF(_xlfn.XLOOKUP(A603, AutoFill_names!B:B, AutoFill_names!K:K,"")=0,"",_xlfn.XLOOKUP(A603, AutoFill_names!B:B, AutoFill_names!K:K,""))</f>
        <v/>
      </c>
      <c r="K603" s="115" t="str">
        <f>IF(_xlfn.XLOOKUP(A603, AutoFill_names!B:B, AutoFill_names!L:L,"")=0,"",_xlfn.XLOOKUP(A603, AutoFill_names!B:B, AutoFill_names!L:L,""))</f>
        <v/>
      </c>
      <c r="L603" s="5"/>
      <c r="M603" s="5"/>
      <c r="N603" s="117" t="str">
        <f>IF(_xlfn.XLOOKUP(L603, AutoFill_classes!A:A, AutoFill_classes!B:B,"")=0,"",_xlfn.XLOOKUP(L603, AutoFill_classes!A:A, AutoFill_classes!B:B,""))</f>
        <v/>
      </c>
      <c r="O603" s="108"/>
      <c r="P603" s="8"/>
      <c r="Q603" s="8"/>
      <c r="R603" s="8"/>
      <c r="S603" s="4"/>
      <c r="T603" s="4"/>
      <c r="U603" s="4"/>
      <c r="V603" s="4"/>
      <c r="W603" s="4"/>
      <c r="X603" s="64"/>
      <c r="Y603" s="25"/>
      <c r="Z603" s="121" t="str">
        <f t="shared" si="513"/>
        <v/>
      </c>
      <c r="AA603" s="26"/>
      <c r="AB603" s="26"/>
      <c r="AC603" s="28"/>
      <c r="AD603" s="28"/>
      <c r="AE603" s="125" t="str">
        <f t="shared" si="514"/>
        <v/>
      </c>
      <c r="AF603" s="9"/>
      <c r="AG603" s="125" t="str">
        <f t="shared" si="515"/>
        <v/>
      </c>
      <c r="AH603" s="28"/>
      <c r="AI603" s="28"/>
      <c r="AJ603" s="125" t="str">
        <f t="shared" si="516"/>
        <v/>
      </c>
      <c r="AK603" s="9"/>
      <c r="AL603" s="125" t="str">
        <f t="shared" si="517"/>
        <v/>
      </c>
      <c r="AM603" s="28"/>
      <c r="AN603" s="28"/>
      <c r="AO603" s="125" t="str">
        <f t="shared" si="518"/>
        <v/>
      </c>
      <c r="AP603" s="125" t="str">
        <f t="shared" si="519"/>
        <v/>
      </c>
      <c r="AQ603" s="125" t="str">
        <f t="shared" si="520"/>
        <v/>
      </c>
      <c r="AR603" s="129" t="str">
        <f t="shared" si="521"/>
        <v/>
      </c>
      <c r="AS603" s="9"/>
      <c r="AT603" s="34"/>
      <c r="AU603" s="34"/>
      <c r="AV603" s="117" t="str">
        <f>IF(_xlfn.XLOOKUP(AT603, AutoFill_classes!$A:$A, AutoFill_classes!$B:$B,"")=0,"",_xlfn.XLOOKUP(AT603, AutoFill_classes!$A:$A, AutoFill_classes!$B:$B,""))</f>
        <v/>
      </c>
      <c r="AW603" s="108"/>
      <c r="AX603" s="9"/>
      <c r="AY603" s="10"/>
      <c r="AZ603" s="9"/>
      <c r="BA603" s="10"/>
      <c r="BB603" s="10"/>
      <c r="BC603" s="64"/>
      <c r="BD603" s="25"/>
      <c r="BE603" s="121" t="str">
        <f t="shared" si="522"/>
        <v/>
      </c>
      <c r="BF603" s="20"/>
      <c r="BG603" s="20"/>
      <c r="BH603" s="24"/>
      <c r="BI603" s="24"/>
      <c r="BJ603" s="125" t="str">
        <f t="shared" si="523"/>
        <v/>
      </c>
      <c r="BK603" s="14"/>
      <c r="BL603" s="125" t="str">
        <f t="shared" si="524"/>
        <v/>
      </c>
      <c r="BM603" s="24"/>
      <c r="BN603" s="24"/>
      <c r="BO603" s="125" t="str">
        <f t="shared" si="525"/>
        <v/>
      </c>
      <c r="BP603" s="14"/>
      <c r="BQ603" s="125" t="str">
        <f t="shared" si="526"/>
        <v/>
      </c>
      <c r="BR603" s="24"/>
      <c r="BS603" s="24"/>
      <c r="BT603" s="125" t="str">
        <f t="shared" si="527"/>
        <v/>
      </c>
      <c r="BU603" s="125" t="str">
        <f t="shared" si="528"/>
        <v/>
      </c>
      <c r="BV603" s="125" t="str">
        <f t="shared" si="529"/>
        <v/>
      </c>
      <c r="BW603" s="129" t="str">
        <f t="shared" si="530"/>
        <v/>
      </c>
      <c r="BX603" s="9"/>
      <c r="BY603" s="9"/>
      <c r="BZ603" s="9"/>
      <c r="CA603" s="117" t="str">
        <f>IF(_xlfn.XLOOKUP(BY603, AutoFill_classes!$A:$A, AutoFill_classes!$B:$B,"")=0,"",_xlfn.XLOOKUP(BY603, AutoFill_classes!$A:$A, AutoFill_classes!$B:$B,""))</f>
        <v/>
      </c>
      <c r="CB603" s="108"/>
      <c r="CC603" s="9"/>
      <c r="CD603" s="9"/>
      <c r="CE603" s="9"/>
      <c r="CF603" s="4"/>
      <c r="CG603" s="25"/>
      <c r="CH603" s="64"/>
      <c r="CI603" s="27"/>
      <c r="CJ603" s="121" t="str">
        <f t="shared" si="531"/>
        <v/>
      </c>
      <c r="CK603" s="20"/>
      <c r="CL603" s="20"/>
      <c r="CM603" s="24"/>
      <c r="CN603" s="24"/>
      <c r="CO603" s="125" t="str">
        <f t="shared" si="532"/>
        <v/>
      </c>
      <c r="CP603" s="14"/>
      <c r="CQ603" s="125" t="str">
        <f t="shared" si="533"/>
        <v/>
      </c>
      <c r="CR603" s="24"/>
      <c r="CS603" s="24"/>
      <c r="CT603" s="125" t="str">
        <f t="shared" si="534"/>
        <v/>
      </c>
      <c r="CU603" s="14"/>
      <c r="CV603" s="125" t="str">
        <f t="shared" si="535"/>
        <v/>
      </c>
      <c r="CW603" s="24"/>
      <c r="CX603" s="24"/>
      <c r="CY603" s="125" t="str">
        <f t="shared" si="536"/>
        <v/>
      </c>
      <c r="CZ603" s="125" t="str">
        <f t="shared" si="537"/>
        <v/>
      </c>
      <c r="DA603" s="125" t="str">
        <f t="shared" si="538"/>
        <v/>
      </c>
      <c r="DB603" s="129" t="str">
        <f t="shared" si="539"/>
        <v/>
      </c>
      <c r="DC603" s="9"/>
      <c r="DD603" s="65"/>
      <c r="DE603" s="105">
        <v>599</v>
      </c>
    </row>
    <row r="604" spans="1:109" outlineLevel="1" x14ac:dyDescent="0.2">
      <c r="A604" s="4"/>
      <c r="B604" s="115" t="str">
        <f>IF(_xlfn.XLOOKUP(A604, AutoFill_names!B:B, AutoFill_names!C:C,"")=0,"",_xlfn.XLOOKUP(A604, AutoFill_names!B:B, AutoFill_names!C:C,""))</f>
        <v/>
      </c>
      <c r="C604" s="115" t="str">
        <f>IF(_xlfn.XLOOKUP(A604, AutoFill_names!B:B, AutoFill_names!D:D,"")=0,"",_xlfn.XLOOKUP(A604, AutoFill_names!B:B, AutoFill_names!D:D,""))</f>
        <v/>
      </c>
      <c r="D604" s="115" t="str">
        <f>IF(_xlfn.XLOOKUP(A604, AutoFill_names!B:B, AutoFill_names!E:E,"")=0,"",_xlfn.XLOOKUP(A604, AutoFill_names!B:B, AutoFill_names!E:E,""))</f>
        <v/>
      </c>
      <c r="E604" s="115" t="str">
        <f>IF(_xlfn.XLOOKUP(A604, AutoFill_names!B:B, AutoFill_names!F:F,"")=0,"",_xlfn.XLOOKUP(A604, AutoFill_names!B:B, AutoFill_names!F:F,""))</f>
        <v/>
      </c>
      <c r="F604" s="92"/>
      <c r="G604" s="1"/>
      <c r="H604" s="1"/>
      <c r="I604" s="1"/>
      <c r="J604" s="115" t="str">
        <f>IF(_xlfn.XLOOKUP(A604, AutoFill_names!B:B, AutoFill_names!K:K,"")=0,"",_xlfn.XLOOKUP(A604, AutoFill_names!B:B, AutoFill_names!K:K,""))</f>
        <v/>
      </c>
      <c r="K604" s="115" t="str">
        <f>IF(_xlfn.XLOOKUP(A604, AutoFill_names!B:B, AutoFill_names!L:L,"")=0,"",_xlfn.XLOOKUP(A604, AutoFill_names!B:B, AutoFill_names!L:L,""))</f>
        <v/>
      </c>
      <c r="L604" s="5"/>
      <c r="M604" s="5"/>
      <c r="N604" s="117" t="str">
        <f>IF(_xlfn.XLOOKUP(L604, AutoFill_classes!A:A, AutoFill_classes!B:B,"")=0,"",_xlfn.XLOOKUP(L604, AutoFill_classes!A:A, AutoFill_classes!B:B,""))</f>
        <v/>
      </c>
      <c r="O604" s="108"/>
      <c r="P604" s="8"/>
      <c r="Q604" s="8"/>
      <c r="R604" s="8"/>
      <c r="S604" s="4"/>
      <c r="T604" s="4"/>
      <c r="U604" s="4"/>
      <c r="V604" s="4"/>
      <c r="W604" s="4"/>
      <c r="X604" s="64"/>
      <c r="Y604" s="25"/>
      <c r="Z604" s="121" t="str">
        <f t="shared" si="513"/>
        <v/>
      </c>
      <c r="AA604" s="26"/>
      <c r="AB604" s="26"/>
      <c r="AC604" s="28"/>
      <c r="AD604" s="28"/>
      <c r="AE604" s="125" t="str">
        <f t="shared" si="514"/>
        <v/>
      </c>
      <c r="AF604" s="9"/>
      <c r="AG604" s="125" t="str">
        <f t="shared" si="515"/>
        <v/>
      </c>
      <c r="AH604" s="28"/>
      <c r="AI604" s="28"/>
      <c r="AJ604" s="125" t="str">
        <f t="shared" si="516"/>
        <v/>
      </c>
      <c r="AK604" s="9"/>
      <c r="AL604" s="125" t="str">
        <f t="shared" si="517"/>
        <v/>
      </c>
      <c r="AM604" s="28"/>
      <c r="AN604" s="28"/>
      <c r="AO604" s="125" t="str">
        <f t="shared" si="518"/>
        <v/>
      </c>
      <c r="AP604" s="125" t="str">
        <f t="shared" si="519"/>
        <v/>
      </c>
      <c r="AQ604" s="125" t="str">
        <f t="shared" si="520"/>
        <v/>
      </c>
      <c r="AR604" s="129" t="str">
        <f t="shared" si="521"/>
        <v/>
      </c>
      <c r="AS604" s="9"/>
      <c r="AT604" s="34"/>
      <c r="AU604" s="34"/>
      <c r="AV604" s="117" t="str">
        <f>IF(_xlfn.XLOOKUP(AT604, AutoFill_classes!$A:$A, AutoFill_classes!$B:$B,"")=0,"",_xlfn.XLOOKUP(AT604, AutoFill_classes!$A:$A, AutoFill_classes!$B:$B,""))</f>
        <v/>
      </c>
      <c r="AW604" s="108"/>
      <c r="AX604" s="9"/>
      <c r="AY604" s="10"/>
      <c r="AZ604" s="9"/>
      <c r="BA604" s="10"/>
      <c r="BB604" s="10"/>
      <c r="BC604" s="64"/>
      <c r="BD604" s="25"/>
      <c r="BE604" s="121" t="str">
        <f t="shared" si="522"/>
        <v/>
      </c>
      <c r="BF604" s="20"/>
      <c r="BG604" s="20"/>
      <c r="BH604" s="24"/>
      <c r="BI604" s="24"/>
      <c r="BJ604" s="125" t="str">
        <f t="shared" si="523"/>
        <v/>
      </c>
      <c r="BK604" s="14"/>
      <c r="BL604" s="125" t="str">
        <f t="shared" si="524"/>
        <v/>
      </c>
      <c r="BM604" s="24"/>
      <c r="BN604" s="24"/>
      <c r="BO604" s="125" t="str">
        <f t="shared" si="525"/>
        <v/>
      </c>
      <c r="BP604" s="14"/>
      <c r="BQ604" s="125" t="str">
        <f t="shared" si="526"/>
        <v/>
      </c>
      <c r="BR604" s="24"/>
      <c r="BS604" s="24"/>
      <c r="BT604" s="125" t="str">
        <f t="shared" si="527"/>
        <v/>
      </c>
      <c r="BU604" s="125" t="str">
        <f t="shared" si="528"/>
        <v/>
      </c>
      <c r="BV604" s="125" t="str">
        <f t="shared" si="529"/>
        <v/>
      </c>
      <c r="BW604" s="129" t="str">
        <f t="shared" si="530"/>
        <v/>
      </c>
      <c r="BX604" s="9"/>
      <c r="BY604" s="9"/>
      <c r="BZ604" s="9"/>
      <c r="CA604" s="117" t="str">
        <f>IF(_xlfn.XLOOKUP(BY604, AutoFill_classes!$A:$A, AutoFill_classes!$B:$B,"")=0,"",_xlfn.XLOOKUP(BY604, AutoFill_classes!$A:$A, AutoFill_classes!$B:$B,""))</f>
        <v/>
      </c>
      <c r="CB604" s="108"/>
      <c r="CC604" s="9"/>
      <c r="CD604" s="9"/>
      <c r="CE604" s="9"/>
      <c r="CF604" s="4"/>
      <c r="CG604" s="25"/>
      <c r="CH604" s="64"/>
      <c r="CI604" s="27"/>
      <c r="CJ604" s="121" t="str">
        <f t="shared" si="531"/>
        <v/>
      </c>
      <c r="CK604" s="20"/>
      <c r="CL604" s="20"/>
      <c r="CM604" s="24"/>
      <c r="CN604" s="24"/>
      <c r="CO604" s="125" t="str">
        <f t="shared" si="532"/>
        <v/>
      </c>
      <c r="CP604" s="14"/>
      <c r="CQ604" s="125" t="str">
        <f t="shared" si="533"/>
        <v/>
      </c>
      <c r="CR604" s="24"/>
      <c r="CS604" s="24"/>
      <c r="CT604" s="125" t="str">
        <f t="shared" si="534"/>
        <v/>
      </c>
      <c r="CU604" s="14"/>
      <c r="CV604" s="125" t="str">
        <f t="shared" si="535"/>
        <v/>
      </c>
      <c r="CW604" s="24"/>
      <c r="CX604" s="24"/>
      <c r="CY604" s="125" t="str">
        <f t="shared" si="536"/>
        <v/>
      </c>
      <c r="CZ604" s="125" t="str">
        <f t="shared" si="537"/>
        <v/>
      </c>
      <c r="DA604" s="125" t="str">
        <f t="shared" si="538"/>
        <v/>
      </c>
      <c r="DB604" s="129" t="str">
        <f t="shared" si="539"/>
        <v/>
      </c>
      <c r="DC604" s="9"/>
      <c r="DD604" s="65"/>
      <c r="DE604" s="105">
        <v>600</v>
      </c>
    </row>
    <row r="605" spans="1:109" outlineLevel="1" x14ac:dyDescent="0.2">
      <c r="A605" s="4"/>
      <c r="B605" s="115" t="str">
        <f>IF(_xlfn.XLOOKUP(A605, AutoFill_names!B:B, AutoFill_names!C:C,"")=0,"",_xlfn.XLOOKUP(A605, AutoFill_names!B:B, AutoFill_names!C:C,""))</f>
        <v/>
      </c>
      <c r="C605" s="115" t="str">
        <f>IF(_xlfn.XLOOKUP(A605, AutoFill_names!B:B, AutoFill_names!D:D,"")=0,"",_xlfn.XLOOKUP(A605, AutoFill_names!B:B, AutoFill_names!D:D,""))</f>
        <v/>
      </c>
      <c r="D605" s="115" t="str">
        <f>IF(_xlfn.XLOOKUP(A605, AutoFill_names!B:B, AutoFill_names!E:E,"")=0,"",_xlfn.XLOOKUP(A605, AutoFill_names!B:B, AutoFill_names!E:E,""))</f>
        <v/>
      </c>
      <c r="E605" s="115" t="str">
        <f>IF(_xlfn.XLOOKUP(A605, AutoFill_names!B:B, AutoFill_names!F:F,"")=0,"",_xlfn.XLOOKUP(A605, AutoFill_names!B:B, AutoFill_names!F:F,""))</f>
        <v/>
      </c>
      <c r="F605" s="92"/>
      <c r="G605" s="1"/>
      <c r="H605" s="1"/>
      <c r="I605" s="1"/>
      <c r="J605" s="115" t="str">
        <f>IF(_xlfn.XLOOKUP(A605, AutoFill_names!B:B, AutoFill_names!K:K,"")=0,"",_xlfn.XLOOKUP(A605, AutoFill_names!B:B, AutoFill_names!K:K,""))</f>
        <v/>
      </c>
      <c r="K605" s="115" t="str">
        <f>IF(_xlfn.XLOOKUP(A605, AutoFill_names!B:B, AutoFill_names!L:L,"")=0,"",_xlfn.XLOOKUP(A605, AutoFill_names!B:B, AutoFill_names!L:L,""))</f>
        <v/>
      </c>
      <c r="L605" s="5"/>
      <c r="M605" s="5"/>
      <c r="N605" s="117" t="str">
        <f>IF(_xlfn.XLOOKUP(L605, AutoFill_classes!A:A, AutoFill_classes!B:B,"")=0,"",_xlfn.XLOOKUP(L605, AutoFill_classes!A:A, AutoFill_classes!B:B,""))</f>
        <v/>
      </c>
      <c r="O605" s="108"/>
      <c r="P605" s="8"/>
      <c r="Q605" s="8"/>
      <c r="R605" s="8"/>
      <c r="S605" s="4"/>
      <c r="T605" s="4"/>
      <c r="U605" s="4"/>
      <c r="V605" s="4"/>
      <c r="W605" s="4"/>
      <c r="X605" s="64"/>
      <c r="Y605" s="25"/>
      <c r="Z605" s="121" t="str">
        <f t="shared" si="513"/>
        <v/>
      </c>
      <c r="AA605" s="26"/>
      <c r="AB605" s="26"/>
      <c r="AC605" s="28"/>
      <c r="AD605" s="28"/>
      <c r="AE605" s="125" t="str">
        <f t="shared" si="514"/>
        <v/>
      </c>
      <c r="AF605" s="9"/>
      <c r="AG605" s="125" t="str">
        <f t="shared" si="515"/>
        <v/>
      </c>
      <c r="AH605" s="28"/>
      <c r="AI605" s="28"/>
      <c r="AJ605" s="125" t="str">
        <f t="shared" si="516"/>
        <v/>
      </c>
      <c r="AK605" s="9"/>
      <c r="AL605" s="125" t="str">
        <f t="shared" si="517"/>
        <v/>
      </c>
      <c r="AM605" s="28"/>
      <c r="AN605" s="28"/>
      <c r="AO605" s="125" t="str">
        <f t="shared" si="518"/>
        <v/>
      </c>
      <c r="AP605" s="125" t="str">
        <f t="shared" si="519"/>
        <v/>
      </c>
      <c r="AQ605" s="125" t="str">
        <f t="shared" si="520"/>
        <v/>
      </c>
      <c r="AR605" s="129" t="str">
        <f t="shared" si="521"/>
        <v/>
      </c>
      <c r="AS605" s="9"/>
      <c r="AT605" s="34"/>
      <c r="AU605" s="34"/>
      <c r="AV605" s="117" t="str">
        <f>IF(_xlfn.XLOOKUP(AT605, AutoFill_classes!$A:$A, AutoFill_classes!$B:$B,"")=0,"",_xlfn.XLOOKUP(AT605, AutoFill_classes!$A:$A, AutoFill_classes!$B:$B,""))</f>
        <v/>
      </c>
      <c r="AW605" s="108"/>
      <c r="AX605" s="9"/>
      <c r="AY605" s="10"/>
      <c r="AZ605" s="9"/>
      <c r="BA605" s="10"/>
      <c r="BB605" s="10"/>
      <c r="BC605" s="64"/>
      <c r="BD605" s="25"/>
      <c r="BE605" s="121" t="str">
        <f t="shared" si="522"/>
        <v/>
      </c>
      <c r="BF605" s="20"/>
      <c r="BG605" s="20"/>
      <c r="BH605" s="24"/>
      <c r="BI605" s="24"/>
      <c r="BJ605" s="125" t="str">
        <f t="shared" si="523"/>
        <v/>
      </c>
      <c r="BK605" s="14"/>
      <c r="BL605" s="125" t="str">
        <f t="shared" si="524"/>
        <v/>
      </c>
      <c r="BM605" s="24"/>
      <c r="BN605" s="24"/>
      <c r="BO605" s="125" t="str">
        <f t="shared" si="525"/>
        <v/>
      </c>
      <c r="BP605" s="14"/>
      <c r="BQ605" s="125" t="str">
        <f t="shared" si="526"/>
        <v/>
      </c>
      <c r="BR605" s="24"/>
      <c r="BS605" s="24"/>
      <c r="BT605" s="125" t="str">
        <f t="shared" si="527"/>
        <v/>
      </c>
      <c r="BU605" s="125" t="str">
        <f t="shared" si="528"/>
        <v/>
      </c>
      <c r="BV605" s="125" t="str">
        <f t="shared" si="529"/>
        <v/>
      </c>
      <c r="BW605" s="129" t="str">
        <f t="shared" si="530"/>
        <v/>
      </c>
      <c r="BX605" s="9"/>
      <c r="BY605" s="9"/>
      <c r="BZ605" s="9"/>
      <c r="CA605" s="117" t="str">
        <f>IF(_xlfn.XLOOKUP(BY605, AutoFill_classes!$A:$A, AutoFill_classes!$B:$B,"")=0,"",_xlfn.XLOOKUP(BY605, AutoFill_classes!$A:$A, AutoFill_classes!$B:$B,""))</f>
        <v/>
      </c>
      <c r="CB605" s="108"/>
      <c r="CC605" s="9"/>
      <c r="CD605" s="9"/>
      <c r="CE605" s="9"/>
      <c r="CF605" s="4"/>
      <c r="CG605" s="25"/>
      <c r="CH605" s="64"/>
      <c r="CI605" s="27"/>
      <c r="CJ605" s="121" t="str">
        <f t="shared" si="531"/>
        <v/>
      </c>
      <c r="CK605" s="20"/>
      <c r="CL605" s="20"/>
      <c r="CM605" s="24"/>
      <c r="CN605" s="24"/>
      <c r="CO605" s="125" t="str">
        <f t="shared" si="532"/>
        <v/>
      </c>
      <c r="CP605" s="14"/>
      <c r="CQ605" s="125" t="str">
        <f t="shared" si="533"/>
        <v/>
      </c>
      <c r="CR605" s="24"/>
      <c r="CS605" s="24"/>
      <c r="CT605" s="125" t="str">
        <f t="shared" si="534"/>
        <v/>
      </c>
      <c r="CU605" s="14"/>
      <c r="CV605" s="125" t="str">
        <f t="shared" si="535"/>
        <v/>
      </c>
      <c r="CW605" s="24"/>
      <c r="CX605" s="24"/>
      <c r="CY605" s="125" t="str">
        <f t="shared" si="536"/>
        <v/>
      </c>
      <c r="CZ605" s="125" t="str">
        <f t="shared" si="537"/>
        <v/>
      </c>
      <c r="DA605" s="125" t="str">
        <f t="shared" si="538"/>
        <v/>
      </c>
      <c r="DB605" s="129" t="str">
        <f t="shared" si="539"/>
        <v/>
      </c>
      <c r="DC605" s="9"/>
      <c r="DD605" s="65"/>
      <c r="DE605" s="105">
        <v>601</v>
      </c>
    </row>
    <row r="606" spans="1:109" outlineLevel="1" x14ac:dyDescent="0.2">
      <c r="A606" s="4"/>
      <c r="B606" s="115" t="str">
        <f>IF(_xlfn.XLOOKUP(A606, AutoFill_names!B:B, AutoFill_names!C:C,"")=0,"",_xlfn.XLOOKUP(A606, AutoFill_names!B:B, AutoFill_names!C:C,""))</f>
        <v/>
      </c>
      <c r="C606" s="115" t="str">
        <f>IF(_xlfn.XLOOKUP(A606, AutoFill_names!B:B, AutoFill_names!D:D,"")=0,"",_xlfn.XLOOKUP(A606, AutoFill_names!B:B, AutoFill_names!D:D,""))</f>
        <v/>
      </c>
      <c r="D606" s="115" t="str">
        <f>IF(_xlfn.XLOOKUP(A606, AutoFill_names!B:B, AutoFill_names!E:E,"")=0,"",_xlfn.XLOOKUP(A606, AutoFill_names!B:B, AutoFill_names!E:E,""))</f>
        <v/>
      </c>
      <c r="E606" s="115" t="str">
        <f>IF(_xlfn.XLOOKUP(A606, AutoFill_names!B:B, AutoFill_names!F:F,"")=0,"",_xlfn.XLOOKUP(A606, AutoFill_names!B:B, AutoFill_names!F:F,""))</f>
        <v/>
      </c>
      <c r="F606" s="92"/>
      <c r="G606" s="1"/>
      <c r="H606" s="1"/>
      <c r="I606" s="1"/>
      <c r="J606" s="115" t="str">
        <f>IF(_xlfn.XLOOKUP(A606, AutoFill_names!B:B, AutoFill_names!K:K,"")=0,"",_xlfn.XLOOKUP(A606, AutoFill_names!B:B, AutoFill_names!K:K,""))</f>
        <v/>
      </c>
      <c r="K606" s="115" t="str">
        <f>IF(_xlfn.XLOOKUP(A606, AutoFill_names!B:B, AutoFill_names!L:L,"")=0,"",_xlfn.XLOOKUP(A606, AutoFill_names!B:B, AutoFill_names!L:L,""))</f>
        <v/>
      </c>
      <c r="L606" s="5"/>
      <c r="M606" s="5"/>
      <c r="N606" s="117" t="str">
        <f>IF(_xlfn.XLOOKUP(L606, AutoFill_classes!A:A, AutoFill_classes!B:B,"")=0,"",_xlfn.XLOOKUP(L606, AutoFill_classes!A:A, AutoFill_classes!B:B,""))</f>
        <v/>
      </c>
      <c r="O606" s="108"/>
      <c r="P606" s="8"/>
      <c r="Q606" s="8"/>
      <c r="R606" s="8"/>
      <c r="S606" s="4"/>
      <c r="T606" s="4"/>
      <c r="U606" s="4"/>
      <c r="V606" s="4"/>
      <c r="W606" s="4"/>
      <c r="X606" s="64"/>
      <c r="Y606" s="25"/>
      <c r="Z606" s="121" t="str">
        <f t="shared" si="513"/>
        <v/>
      </c>
      <c r="AA606" s="26"/>
      <c r="AB606" s="26"/>
      <c r="AC606" s="28"/>
      <c r="AD606" s="28"/>
      <c r="AE606" s="125" t="str">
        <f t="shared" si="514"/>
        <v/>
      </c>
      <c r="AF606" s="9"/>
      <c r="AG606" s="125" t="str">
        <f t="shared" si="515"/>
        <v/>
      </c>
      <c r="AH606" s="28"/>
      <c r="AI606" s="28"/>
      <c r="AJ606" s="125" t="str">
        <f t="shared" si="516"/>
        <v/>
      </c>
      <c r="AK606" s="9"/>
      <c r="AL606" s="125" t="str">
        <f t="shared" si="517"/>
        <v/>
      </c>
      <c r="AM606" s="28"/>
      <c r="AN606" s="28"/>
      <c r="AO606" s="125" t="str">
        <f t="shared" si="518"/>
        <v/>
      </c>
      <c r="AP606" s="125" t="str">
        <f t="shared" si="519"/>
        <v/>
      </c>
      <c r="AQ606" s="125" t="str">
        <f t="shared" si="520"/>
        <v/>
      </c>
      <c r="AR606" s="129" t="str">
        <f t="shared" si="521"/>
        <v/>
      </c>
      <c r="AS606" s="9"/>
      <c r="AT606" s="34"/>
      <c r="AU606" s="34"/>
      <c r="AV606" s="117" t="str">
        <f>IF(_xlfn.XLOOKUP(AT606, AutoFill_classes!$A:$A, AutoFill_classes!$B:$B,"")=0,"",_xlfn.XLOOKUP(AT606, AutoFill_classes!$A:$A, AutoFill_classes!$B:$B,""))</f>
        <v/>
      </c>
      <c r="AW606" s="108"/>
      <c r="AX606" s="9"/>
      <c r="AY606" s="10"/>
      <c r="AZ606" s="9"/>
      <c r="BA606" s="10"/>
      <c r="BB606" s="10"/>
      <c r="BC606" s="64"/>
      <c r="BD606" s="25"/>
      <c r="BE606" s="121" t="str">
        <f t="shared" si="522"/>
        <v/>
      </c>
      <c r="BF606" s="20"/>
      <c r="BG606" s="20"/>
      <c r="BH606" s="24"/>
      <c r="BI606" s="24"/>
      <c r="BJ606" s="125" t="str">
        <f t="shared" si="523"/>
        <v/>
      </c>
      <c r="BK606" s="14"/>
      <c r="BL606" s="125" t="str">
        <f t="shared" si="524"/>
        <v/>
      </c>
      <c r="BM606" s="24"/>
      <c r="BN606" s="24"/>
      <c r="BO606" s="125" t="str">
        <f t="shared" si="525"/>
        <v/>
      </c>
      <c r="BP606" s="14"/>
      <c r="BQ606" s="125" t="str">
        <f t="shared" si="526"/>
        <v/>
      </c>
      <c r="BR606" s="24"/>
      <c r="BS606" s="24"/>
      <c r="BT606" s="125" t="str">
        <f t="shared" si="527"/>
        <v/>
      </c>
      <c r="BU606" s="125" t="str">
        <f t="shared" si="528"/>
        <v/>
      </c>
      <c r="BV606" s="125" t="str">
        <f t="shared" si="529"/>
        <v/>
      </c>
      <c r="BW606" s="129" t="str">
        <f t="shared" si="530"/>
        <v/>
      </c>
      <c r="BX606" s="9"/>
      <c r="BY606" s="9"/>
      <c r="BZ606" s="9"/>
      <c r="CA606" s="117" t="str">
        <f>IF(_xlfn.XLOOKUP(BY606, AutoFill_classes!$A:$A, AutoFill_classes!$B:$B,"")=0,"",_xlfn.XLOOKUP(BY606, AutoFill_classes!$A:$A, AutoFill_classes!$B:$B,""))</f>
        <v/>
      </c>
      <c r="CB606" s="108"/>
      <c r="CC606" s="9"/>
      <c r="CD606" s="9"/>
      <c r="CE606" s="9"/>
      <c r="CF606" s="4"/>
      <c r="CG606" s="25"/>
      <c r="CH606" s="64"/>
      <c r="CI606" s="27"/>
      <c r="CJ606" s="121" t="str">
        <f t="shared" si="531"/>
        <v/>
      </c>
      <c r="CK606" s="20"/>
      <c r="CL606" s="20"/>
      <c r="CM606" s="24"/>
      <c r="CN606" s="24"/>
      <c r="CO606" s="125" t="str">
        <f t="shared" si="532"/>
        <v/>
      </c>
      <c r="CP606" s="14"/>
      <c r="CQ606" s="125" t="str">
        <f t="shared" si="533"/>
        <v/>
      </c>
      <c r="CR606" s="24"/>
      <c r="CS606" s="24"/>
      <c r="CT606" s="125" t="str">
        <f t="shared" si="534"/>
        <v/>
      </c>
      <c r="CU606" s="14"/>
      <c r="CV606" s="125" t="str">
        <f t="shared" si="535"/>
        <v/>
      </c>
      <c r="CW606" s="24"/>
      <c r="CX606" s="24"/>
      <c r="CY606" s="125" t="str">
        <f t="shared" si="536"/>
        <v/>
      </c>
      <c r="CZ606" s="125" t="str">
        <f t="shared" si="537"/>
        <v/>
      </c>
      <c r="DA606" s="125" t="str">
        <f t="shared" si="538"/>
        <v/>
      </c>
      <c r="DB606" s="129" t="str">
        <f t="shared" si="539"/>
        <v/>
      </c>
      <c r="DC606" s="9"/>
      <c r="DD606" s="65"/>
      <c r="DE606" s="105">
        <v>602</v>
      </c>
    </row>
    <row r="607" spans="1:109" outlineLevel="1" x14ac:dyDescent="0.2">
      <c r="A607" s="4"/>
      <c r="B607" s="115" t="str">
        <f>IF(_xlfn.XLOOKUP(A607, AutoFill_names!B:B, AutoFill_names!C:C,"")=0,"",_xlfn.XLOOKUP(A607, AutoFill_names!B:B, AutoFill_names!C:C,""))</f>
        <v/>
      </c>
      <c r="C607" s="115" t="str">
        <f>IF(_xlfn.XLOOKUP(A607, AutoFill_names!B:B, AutoFill_names!D:D,"")=0,"",_xlfn.XLOOKUP(A607, AutoFill_names!B:B, AutoFill_names!D:D,""))</f>
        <v/>
      </c>
      <c r="D607" s="115" t="str">
        <f>IF(_xlfn.XLOOKUP(A607, AutoFill_names!B:B, AutoFill_names!E:E,"")=0,"",_xlfn.XLOOKUP(A607, AutoFill_names!B:B, AutoFill_names!E:E,""))</f>
        <v/>
      </c>
      <c r="E607" s="115" t="str">
        <f>IF(_xlfn.XLOOKUP(A607, AutoFill_names!B:B, AutoFill_names!F:F,"")=0,"",_xlfn.XLOOKUP(A607, AutoFill_names!B:B, AutoFill_names!F:F,""))</f>
        <v/>
      </c>
      <c r="F607" s="92"/>
      <c r="G607" s="1"/>
      <c r="H607" s="1"/>
      <c r="I607" s="1"/>
      <c r="J607" s="115" t="str">
        <f>IF(_xlfn.XLOOKUP(A607, AutoFill_names!B:B, AutoFill_names!K:K,"")=0,"",_xlfn.XLOOKUP(A607, AutoFill_names!B:B, AutoFill_names!K:K,""))</f>
        <v/>
      </c>
      <c r="K607" s="115" t="str">
        <f>IF(_xlfn.XLOOKUP(A607, AutoFill_names!B:B, AutoFill_names!L:L,"")=0,"",_xlfn.XLOOKUP(A607, AutoFill_names!B:B, AutoFill_names!L:L,""))</f>
        <v/>
      </c>
      <c r="L607" s="5"/>
      <c r="M607" s="5"/>
      <c r="N607" s="117" t="str">
        <f>IF(_xlfn.XLOOKUP(L607, AutoFill_classes!A:A, AutoFill_classes!B:B,"")=0,"",_xlfn.XLOOKUP(L607, AutoFill_classes!A:A, AutoFill_classes!B:B,""))</f>
        <v/>
      </c>
      <c r="O607" s="108"/>
      <c r="P607" s="8"/>
      <c r="Q607" s="8"/>
      <c r="R607" s="8"/>
      <c r="S607" s="4"/>
      <c r="T607" s="4"/>
      <c r="U607" s="4"/>
      <c r="V607" s="4"/>
      <c r="W607" s="4"/>
      <c r="X607" s="64"/>
      <c r="Y607" s="25"/>
      <c r="Z607" s="121" t="str">
        <f t="shared" si="513"/>
        <v/>
      </c>
      <c r="AA607" s="26"/>
      <c r="AB607" s="26"/>
      <c r="AC607" s="28"/>
      <c r="AD607" s="28"/>
      <c r="AE607" s="125" t="str">
        <f t="shared" si="514"/>
        <v/>
      </c>
      <c r="AF607" s="9"/>
      <c r="AG607" s="125" t="str">
        <f t="shared" si="515"/>
        <v/>
      </c>
      <c r="AH607" s="28"/>
      <c r="AI607" s="28"/>
      <c r="AJ607" s="125" t="str">
        <f t="shared" si="516"/>
        <v/>
      </c>
      <c r="AK607" s="9"/>
      <c r="AL607" s="125" t="str">
        <f t="shared" si="517"/>
        <v/>
      </c>
      <c r="AM607" s="28"/>
      <c r="AN607" s="28"/>
      <c r="AO607" s="125" t="str">
        <f t="shared" si="518"/>
        <v/>
      </c>
      <c r="AP607" s="125" t="str">
        <f t="shared" si="519"/>
        <v/>
      </c>
      <c r="AQ607" s="125" t="str">
        <f t="shared" si="520"/>
        <v/>
      </c>
      <c r="AR607" s="129" t="str">
        <f t="shared" si="521"/>
        <v/>
      </c>
      <c r="AS607" s="9"/>
      <c r="AT607" s="34"/>
      <c r="AU607" s="34"/>
      <c r="AV607" s="117" t="str">
        <f>IF(_xlfn.XLOOKUP(AT607, AutoFill_classes!$A:$A, AutoFill_classes!$B:$B,"")=0,"",_xlfn.XLOOKUP(AT607, AutoFill_classes!$A:$A, AutoFill_classes!$B:$B,""))</f>
        <v/>
      </c>
      <c r="AW607" s="108"/>
      <c r="AX607" s="9"/>
      <c r="AY607" s="10"/>
      <c r="AZ607" s="9"/>
      <c r="BA607" s="10"/>
      <c r="BB607" s="10"/>
      <c r="BC607" s="64"/>
      <c r="BD607" s="25"/>
      <c r="BE607" s="121" t="str">
        <f t="shared" si="522"/>
        <v/>
      </c>
      <c r="BF607" s="20"/>
      <c r="BG607" s="20"/>
      <c r="BH607" s="24"/>
      <c r="BI607" s="24"/>
      <c r="BJ607" s="125" t="str">
        <f t="shared" si="523"/>
        <v/>
      </c>
      <c r="BK607" s="14"/>
      <c r="BL607" s="125" t="str">
        <f t="shared" si="524"/>
        <v/>
      </c>
      <c r="BM607" s="24"/>
      <c r="BN607" s="24"/>
      <c r="BO607" s="125" t="str">
        <f t="shared" si="525"/>
        <v/>
      </c>
      <c r="BP607" s="14"/>
      <c r="BQ607" s="125" t="str">
        <f t="shared" si="526"/>
        <v/>
      </c>
      <c r="BR607" s="24"/>
      <c r="BS607" s="24"/>
      <c r="BT607" s="125" t="str">
        <f t="shared" si="527"/>
        <v/>
      </c>
      <c r="BU607" s="125" t="str">
        <f t="shared" si="528"/>
        <v/>
      </c>
      <c r="BV607" s="125" t="str">
        <f t="shared" si="529"/>
        <v/>
      </c>
      <c r="BW607" s="129" t="str">
        <f t="shared" si="530"/>
        <v/>
      </c>
      <c r="BX607" s="9"/>
      <c r="BY607" s="9"/>
      <c r="BZ607" s="9"/>
      <c r="CA607" s="117" t="str">
        <f>IF(_xlfn.XLOOKUP(BY607, AutoFill_classes!$A:$A, AutoFill_classes!$B:$B,"")=0,"",_xlfn.XLOOKUP(BY607, AutoFill_classes!$A:$A, AutoFill_classes!$B:$B,""))</f>
        <v/>
      </c>
      <c r="CB607" s="108"/>
      <c r="CC607" s="9"/>
      <c r="CD607" s="9"/>
      <c r="CE607" s="9"/>
      <c r="CF607" s="4"/>
      <c r="CG607" s="25"/>
      <c r="CH607" s="64"/>
      <c r="CI607" s="27"/>
      <c r="CJ607" s="121" t="str">
        <f t="shared" si="531"/>
        <v/>
      </c>
      <c r="CK607" s="20"/>
      <c r="CL607" s="20"/>
      <c r="CM607" s="24"/>
      <c r="CN607" s="24"/>
      <c r="CO607" s="125" t="str">
        <f t="shared" si="532"/>
        <v/>
      </c>
      <c r="CP607" s="14"/>
      <c r="CQ607" s="125" t="str">
        <f t="shared" si="533"/>
        <v/>
      </c>
      <c r="CR607" s="24"/>
      <c r="CS607" s="24"/>
      <c r="CT607" s="125" t="str">
        <f t="shared" si="534"/>
        <v/>
      </c>
      <c r="CU607" s="14"/>
      <c r="CV607" s="125" t="str">
        <f t="shared" si="535"/>
        <v/>
      </c>
      <c r="CW607" s="24"/>
      <c r="CX607" s="24"/>
      <c r="CY607" s="125" t="str">
        <f t="shared" si="536"/>
        <v/>
      </c>
      <c r="CZ607" s="125" t="str">
        <f t="shared" si="537"/>
        <v/>
      </c>
      <c r="DA607" s="125" t="str">
        <f t="shared" si="538"/>
        <v/>
      </c>
      <c r="DB607" s="129" t="str">
        <f t="shared" si="539"/>
        <v/>
      </c>
      <c r="DC607" s="9"/>
      <c r="DD607" s="65"/>
      <c r="DE607" s="105">
        <v>603</v>
      </c>
    </row>
    <row r="608" spans="1:109" outlineLevel="1" x14ac:dyDescent="0.2">
      <c r="A608" s="4"/>
      <c r="B608" s="115" t="str">
        <f>IF(_xlfn.XLOOKUP(A608, AutoFill_names!B:B, AutoFill_names!C:C,"")=0,"",_xlfn.XLOOKUP(A608, AutoFill_names!B:B, AutoFill_names!C:C,""))</f>
        <v/>
      </c>
      <c r="C608" s="115" t="str">
        <f>IF(_xlfn.XLOOKUP(A608, AutoFill_names!B:B, AutoFill_names!D:D,"")=0,"",_xlfn.XLOOKUP(A608, AutoFill_names!B:B, AutoFill_names!D:D,""))</f>
        <v/>
      </c>
      <c r="D608" s="115" t="str">
        <f>IF(_xlfn.XLOOKUP(A608, AutoFill_names!B:B, AutoFill_names!E:E,"")=0,"",_xlfn.XLOOKUP(A608, AutoFill_names!B:B, AutoFill_names!E:E,""))</f>
        <v/>
      </c>
      <c r="E608" s="115" t="str">
        <f>IF(_xlfn.XLOOKUP(A608, AutoFill_names!B:B, AutoFill_names!F:F,"")=0,"",_xlfn.XLOOKUP(A608, AutoFill_names!B:B, AutoFill_names!F:F,""))</f>
        <v/>
      </c>
      <c r="F608" s="92"/>
      <c r="G608" s="1"/>
      <c r="H608" s="1"/>
      <c r="I608" s="1"/>
      <c r="J608" s="115" t="str">
        <f>IF(_xlfn.XLOOKUP(A608, AutoFill_names!B:B, AutoFill_names!K:K,"")=0,"",_xlfn.XLOOKUP(A608, AutoFill_names!B:B, AutoFill_names!K:K,""))</f>
        <v/>
      </c>
      <c r="K608" s="115" t="str">
        <f>IF(_xlfn.XLOOKUP(A608, AutoFill_names!B:B, AutoFill_names!L:L,"")=0,"",_xlfn.XLOOKUP(A608, AutoFill_names!B:B, AutoFill_names!L:L,""))</f>
        <v/>
      </c>
      <c r="L608" s="5"/>
      <c r="M608" s="5"/>
      <c r="N608" s="117" t="str">
        <f>IF(_xlfn.XLOOKUP(L608, AutoFill_classes!A:A, AutoFill_classes!B:B,"")=0,"",_xlfn.XLOOKUP(L608, AutoFill_classes!A:A, AutoFill_classes!B:B,""))</f>
        <v/>
      </c>
      <c r="O608" s="108"/>
      <c r="P608" s="8"/>
      <c r="Q608" s="8"/>
      <c r="R608" s="8"/>
      <c r="S608" s="4"/>
      <c r="T608" s="4"/>
      <c r="U608" s="4"/>
      <c r="V608" s="4"/>
      <c r="W608" s="4"/>
      <c r="X608" s="64"/>
      <c r="Y608" s="25"/>
      <c r="Z608" s="121" t="str">
        <f t="shared" si="513"/>
        <v/>
      </c>
      <c r="AA608" s="26"/>
      <c r="AB608" s="26"/>
      <c r="AC608" s="28"/>
      <c r="AD608" s="28"/>
      <c r="AE608" s="125" t="str">
        <f t="shared" si="514"/>
        <v/>
      </c>
      <c r="AF608" s="9"/>
      <c r="AG608" s="125" t="str">
        <f t="shared" si="515"/>
        <v/>
      </c>
      <c r="AH608" s="28"/>
      <c r="AI608" s="28"/>
      <c r="AJ608" s="125" t="str">
        <f t="shared" si="516"/>
        <v/>
      </c>
      <c r="AK608" s="9"/>
      <c r="AL608" s="125" t="str">
        <f t="shared" si="517"/>
        <v/>
      </c>
      <c r="AM608" s="28"/>
      <c r="AN608" s="28"/>
      <c r="AO608" s="125" t="str">
        <f t="shared" si="518"/>
        <v/>
      </c>
      <c r="AP608" s="125" t="str">
        <f t="shared" si="519"/>
        <v/>
      </c>
      <c r="AQ608" s="125" t="str">
        <f t="shared" si="520"/>
        <v/>
      </c>
      <c r="AR608" s="129" t="str">
        <f t="shared" si="521"/>
        <v/>
      </c>
      <c r="AS608" s="9"/>
      <c r="AT608" s="34"/>
      <c r="AU608" s="34"/>
      <c r="AV608" s="117" t="str">
        <f>IF(_xlfn.XLOOKUP(AT608, AutoFill_classes!$A:$A, AutoFill_classes!$B:$B,"")=0,"",_xlfn.XLOOKUP(AT608, AutoFill_classes!$A:$A, AutoFill_classes!$B:$B,""))</f>
        <v/>
      </c>
      <c r="AW608" s="108"/>
      <c r="AX608" s="9"/>
      <c r="AY608" s="10"/>
      <c r="AZ608" s="9"/>
      <c r="BA608" s="10"/>
      <c r="BB608" s="10"/>
      <c r="BC608" s="64"/>
      <c r="BD608" s="25"/>
      <c r="BE608" s="121" t="str">
        <f t="shared" si="522"/>
        <v/>
      </c>
      <c r="BF608" s="20"/>
      <c r="BG608" s="20"/>
      <c r="BH608" s="24"/>
      <c r="BI608" s="24"/>
      <c r="BJ608" s="125" t="str">
        <f t="shared" si="523"/>
        <v/>
      </c>
      <c r="BK608" s="14"/>
      <c r="BL608" s="125" t="str">
        <f t="shared" si="524"/>
        <v/>
      </c>
      <c r="BM608" s="24"/>
      <c r="BN608" s="24"/>
      <c r="BO608" s="125" t="str">
        <f t="shared" si="525"/>
        <v/>
      </c>
      <c r="BP608" s="14"/>
      <c r="BQ608" s="125" t="str">
        <f t="shared" si="526"/>
        <v/>
      </c>
      <c r="BR608" s="24"/>
      <c r="BS608" s="24"/>
      <c r="BT608" s="125" t="str">
        <f t="shared" si="527"/>
        <v/>
      </c>
      <c r="BU608" s="125" t="str">
        <f t="shared" si="528"/>
        <v/>
      </c>
      <c r="BV608" s="125" t="str">
        <f t="shared" si="529"/>
        <v/>
      </c>
      <c r="BW608" s="129" t="str">
        <f t="shared" si="530"/>
        <v/>
      </c>
      <c r="BX608" s="9"/>
      <c r="BY608" s="9"/>
      <c r="BZ608" s="9"/>
      <c r="CA608" s="117" t="str">
        <f>IF(_xlfn.XLOOKUP(BY608, AutoFill_classes!$A:$A, AutoFill_classes!$B:$B,"")=0,"",_xlfn.XLOOKUP(BY608, AutoFill_classes!$A:$A, AutoFill_classes!$B:$B,""))</f>
        <v/>
      </c>
      <c r="CB608" s="108"/>
      <c r="CC608" s="9"/>
      <c r="CD608" s="9"/>
      <c r="CE608" s="9"/>
      <c r="CF608" s="4"/>
      <c r="CG608" s="25"/>
      <c r="CH608" s="64"/>
      <c r="CI608" s="27"/>
      <c r="CJ608" s="121" t="str">
        <f t="shared" si="531"/>
        <v/>
      </c>
      <c r="CK608" s="20"/>
      <c r="CL608" s="20"/>
      <c r="CM608" s="24"/>
      <c r="CN608" s="24"/>
      <c r="CO608" s="125" t="str">
        <f t="shared" si="532"/>
        <v/>
      </c>
      <c r="CP608" s="14"/>
      <c r="CQ608" s="125" t="str">
        <f t="shared" si="533"/>
        <v/>
      </c>
      <c r="CR608" s="24"/>
      <c r="CS608" s="24"/>
      <c r="CT608" s="125" t="str">
        <f t="shared" si="534"/>
        <v/>
      </c>
      <c r="CU608" s="14"/>
      <c r="CV608" s="125" t="str">
        <f t="shared" si="535"/>
        <v/>
      </c>
      <c r="CW608" s="24"/>
      <c r="CX608" s="24"/>
      <c r="CY608" s="125" t="str">
        <f t="shared" si="536"/>
        <v/>
      </c>
      <c r="CZ608" s="125" t="str">
        <f t="shared" si="537"/>
        <v/>
      </c>
      <c r="DA608" s="125" t="str">
        <f t="shared" si="538"/>
        <v/>
      </c>
      <c r="DB608" s="129" t="str">
        <f t="shared" si="539"/>
        <v/>
      </c>
      <c r="DC608" s="9"/>
      <c r="DD608" s="65"/>
      <c r="DE608" s="105">
        <v>604</v>
      </c>
    </row>
    <row r="609" spans="1:109" outlineLevel="1" x14ac:dyDescent="0.2">
      <c r="A609" s="4"/>
      <c r="B609" s="115" t="str">
        <f>IF(_xlfn.XLOOKUP(A609, AutoFill_names!B:B, AutoFill_names!C:C,"")=0,"",_xlfn.XLOOKUP(A609, AutoFill_names!B:B, AutoFill_names!C:C,""))</f>
        <v/>
      </c>
      <c r="C609" s="115" t="str">
        <f>IF(_xlfn.XLOOKUP(A609, AutoFill_names!B:B, AutoFill_names!D:D,"")=0,"",_xlfn.XLOOKUP(A609, AutoFill_names!B:B, AutoFill_names!D:D,""))</f>
        <v/>
      </c>
      <c r="D609" s="115" t="str">
        <f>IF(_xlfn.XLOOKUP(A609, AutoFill_names!B:B, AutoFill_names!E:E,"")=0,"",_xlfn.XLOOKUP(A609, AutoFill_names!B:B, AutoFill_names!E:E,""))</f>
        <v/>
      </c>
      <c r="E609" s="115" t="str">
        <f>IF(_xlfn.XLOOKUP(A609, AutoFill_names!B:B, AutoFill_names!F:F,"")=0,"",_xlfn.XLOOKUP(A609, AutoFill_names!B:B, AutoFill_names!F:F,""))</f>
        <v/>
      </c>
      <c r="F609" s="92"/>
      <c r="G609" s="1"/>
      <c r="H609" s="1"/>
      <c r="I609" s="1"/>
      <c r="J609" s="115" t="str">
        <f>IF(_xlfn.XLOOKUP(A609, AutoFill_names!B:B, AutoFill_names!K:K,"")=0,"",_xlfn.XLOOKUP(A609, AutoFill_names!B:B, AutoFill_names!K:K,""))</f>
        <v/>
      </c>
      <c r="K609" s="115" t="str">
        <f>IF(_xlfn.XLOOKUP(A609, AutoFill_names!B:B, AutoFill_names!L:L,"")=0,"",_xlfn.XLOOKUP(A609, AutoFill_names!B:B, AutoFill_names!L:L,""))</f>
        <v/>
      </c>
      <c r="L609" s="5"/>
      <c r="M609" s="5"/>
      <c r="N609" s="117" t="str">
        <f>IF(_xlfn.XLOOKUP(L609, AutoFill_classes!A:A, AutoFill_classes!B:B,"")=0,"",_xlfn.XLOOKUP(L609, AutoFill_classes!A:A, AutoFill_classes!B:B,""))</f>
        <v/>
      </c>
      <c r="O609" s="108"/>
      <c r="P609" s="8"/>
      <c r="Q609" s="8"/>
      <c r="R609" s="8"/>
      <c r="S609" s="4"/>
      <c r="T609" s="4"/>
      <c r="U609" s="4"/>
      <c r="V609" s="4"/>
      <c r="W609" s="4"/>
      <c r="X609" s="64"/>
      <c r="Y609" s="25"/>
      <c r="Z609" s="121" t="str">
        <f t="shared" si="513"/>
        <v/>
      </c>
      <c r="AA609" s="26"/>
      <c r="AB609" s="26"/>
      <c r="AC609" s="28"/>
      <c r="AD609" s="28"/>
      <c r="AE609" s="125" t="str">
        <f t="shared" si="514"/>
        <v/>
      </c>
      <c r="AF609" s="9"/>
      <c r="AG609" s="125" t="str">
        <f t="shared" si="515"/>
        <v/>
      </c>
      <c r="AH609" s="28"/>
      <c r="AI609" s="28"/>
      <c r="AJ609" s="125" t="str">
        <f t="shared" si="516"/>
        <v/>
      </c>
      <c r="AK609" s="9"/>
      <c r="AL609" s="125" t="str">
        <f t="shared" si="517"/>
        <v/>
      </c>
      <c r="AM609" s="28"/>
      <c r="AN609" s="28"/>
      <c r="AO609" s="125" t="str">
        <f t="shared" si="518"/>
        <v/>
      </c>
      <c r="AP609" s="125" t="str">
        <f t="shared" si="519"/>
        <v/>
      </c>
      <c r="AQ609" s="125" t="str">
        <f t="shared" si="520"/>
        <v/>
      </c>
      <c r="AR609" s="129" t="str">
        <f t="shared" si="521"/>
        <v/>
      </c>
      <c r="AS609" s="9"/>
      <c r="AT609" s="34"/>
      <c r="AU609" s="34"/>
      <c r="AV609" s="117" t="str">
        <f>IF(_xlfn.XLOOKUP(AT609, AutoFill_classes!$A:$A, AutoFill_classes!$B:$B,"")=0,"",_xlfn.XLOOKUP(AT609, AutoFill_classes!$A:$A, AutoFill_classes!$B:$B,""))</f>
        <v/>
      </c>
      <c r="AW609" s="108"/>
      <c r="AX609" s="9"/>
      <c r="AY609" s="10"/>
      <c r="AZ609" s="9"/>
      <c r="BA609" s="10"/>
      <c r="BB609" s="10"/>
      <c r="BC609" s="64"/>
      <c r="BD609" s="25"/>
      <c r="BE609" s="121" t="str">
        <f t="shared" si="522"/>
        <v/>
      </c>
      <c r="BF609" s="20"/>
      <c r="BG609" s="20"/>
      <c r="BH609" s="24"/>
      <c r="BI609" s="24"/>
      <c r="BJ609" s="125" t="str">
        <f t="shared" si="523"/>
        <v/>
      </c>
      <c r="BK609" s="14"/>
      <c r="BL609" s="125" t="str">
        <f t="shared" si="524"/>
        <v/>
      </c>
      <c r="BM609" s="24"/>
      <c r="BN609" s="24"/>
      <c r="BO609" s="125" t="str">
        <f t="shared" si="525"/>
        <v/>
      </c>
      <c r="BP609" s="14"/>
      <c r="BQ609" s="125" t="str">
        <f t="shared" si="526"/>
        <v/>
      </c>
      <c r="BR609" s="24"/>
      <c r="BS609" s="24"/>
      <c r="BT609" s="125" t="str">
        <f t="shared" si="527"/>
        <v/>
      </c>
      <c r="BU609" s="125" t="str">
        <f t="shared" si="528"/>
        <v/>
      </c>
      <c r="BV609" s="125" t="str">
        <f t="shared" si="529"/>
        <v/>
      </c>
      <c r="BW609" s="129" t="str">
        <f t="shared" si="530"/>
        <v/>
      </c>
      <c r="BX609" s="9"/>
      <c r="BY609" s="9"/>
      <c r="BZ609" s="9"/>
      <c r="CA609" s="117" t="str">
        <f>IF(_xlfn.XLOOKUP(BY609, AutoFill_classes!$A:$A, AutoFill_classes!$B:$B,"")=0,"",_xlfn.XLOOKUP(BY609, AutoFill_classes!$A:$A, AutoFill_classes!$B:$B,""))</f>
        <v/>
      </c>
      <c r="CB609" s="108"/>
      <c r="CC609" s="9"/>
      <c r="CD609" s="9"/>
      <c r="CE609" s="9"/>
      <c r="CF609" s="4"/>
      <c r="CG609" s="25"/>
      <c r="CH609" s="64"/>
      <c r="CI609" s="27"/>
      <c r="CJ609" s="121" t="str">
        <f t="shared" si="531"/>
        <v/>
      </c>
      <c r="CK609" s="20"/>
      <c r="CL609" s="20"/>
      <c r="CM609" s="24"/>
      <c r="CN609" s="24"/>
      <c r="CO609" s="125" t="str">
        <f t="shared" si="532"/>
        <v/>
      </c>
      <c r="CP609" s="14"/>
      <c r="CQ609" s="125" t="str">
        <f t="shared" si="533"/>
        <v/>
      </c>
      <c r="CR609" s="24"/>
      <c r="CS609" s="24"/>
      <c r="CT609" s="125" t="str">
        <f t="shared" si="534"/>
        <v/>
      </c>
      <c r="CU609" s="14"/>
      <c r="CV609" s="125" t="str">
        <f t="shared" si="535"/>
        <v/>
      </c>
      <c r="CW609" s="24"/>
      <c r="CX609" s="24"/>
      <c r="CY609" s="125" t="str">
        <f t="shared" si="536"/>
        <v/>
      </c>
      <c r="CZ609" s="125" t="str">
        <f t="shared" si="537"/>
        <v/>
      </c>
      <c r="DA609" s="125" t="str">
        <f t="shared" si="538"/>
        <v/>
      </c>
      <c r="DB609" s="129" t="str">
        <f t="shared" si="539"/>
        <v/>
      </c>
      <c r="DC609" s="9"/>
      <c r="DD609" s="65"/>
      <c r="DE609" s="105">
        <v>605</v>
      </c>
    </row>
    <row r="610" spans="1:109" outlineLevel="1" x14ac:dyDescent="0.2">
      <c r="A610" s="4"/>
      <c r="B610" s="115" t="str">
        <f>IF(_xlfn.XLOOKUP(A610, AutoFill_names!B:B, AutoFill_names!C:C,"")=0,"",_xlfn.XLOOKUP(A610, AutoFill_names!B:B, AutoFill_names!C:C,""))</f>
        <v/>
      </c>
      <c r="C610" s="115" t="str">
        <f>IF(_xlfn.XLOOKUP(A610, AutoFill_names!B:B, AutoFill_names!D:D,"")=0,"",_xlfn.XLOOKUP(A610, AutoFill_names!B:B, AutoFill_names!D:D,""))</f>
        <v/>
      </c>
      <c r="D610" s="115" t="str">
        <f>IF(_xlfn.XLOOKUP(A610, AutoFill_names!B:B, AutoFill_names!E:E,"")=0,"",_xlfn.XLOOKUP(A610, AutoFill_names!B:B, AutoFill_names!E:E,""))</f>
        <v/>
      </c>
      <c r="E610" s="115" t="str">
        <f>IF(_xlfn.XLOOKUP(A610, AutoFill_names!B:B, AutoFill_names!F:F,"")=0,"",_xlfn.XLOOKUP(A610, AutoFill_names!B:B, AutoFill_names!F:F,""))</f>
        <v/>
      </c>
      <c r="F610" s="92"/>
      <c r="G610" s="1"/>
      <c r="H610" s="1"/>
      <c r="I610" s="1"/>
      <c r="J610" s="115" t="str">
        <f>IF(_xlfn.XLOOKUP(A610, AutoFill_names!B:B, AutoFill_names!K:K,"")=0,"",_xlfn.XLOOKUP(A610, AutoFill_names!B:B, AutoFill_names!K:K,""))</f>
        <v/>
      </c>
      <c r="K610" s="115" t="str">
        <f>IF(_xlfn.XLOOKUP(A610, AutoFill_names!B:B, AutoFill_names!L:L,"")=0,"",_xlfn.XLOOKUP(A610, AutoFill_names!B:B, AutoFill_names!L:L,""))</f>
        <v/>
      </c>
      <c r="L610" s="5"/>
      <c r="M610" s="5"/>
      <c r="N610" s="117" t="str">
        <f>IF(_xlfn.XLOOKUP(L610, AutoFill_classes!A:A, AutoFill_classes!B:B,"")=0,"",_xlfn.XLOOKUP(L610, AutoFill_classes!A:A, AutoFill_classes!B:B,""))</f>
        <v/>
      </c>
      <c r="O610" s="108"/>
      <c r="P610" s="8"/>
      <c r="Q610" s="8"/>
      <c r="R610" s="8"/>
      <c r="S610" s="4"/>
      <c r="T610" s="4"/>
      <c r="U610" s="4"/>
      <c r="V610" s="4"/>
      <c r="W610" s="4"/>
      <c r="X610" s="64"/>
      <c r="Y610" s="25"/>
      <c r="Z610" s="121" t="str">
        <f t="shared" si="513"/>
        <v/>
      </c>
      <c r="AA610" s="26"/>
      <c r="AB610" s="26"/>
      <c r="AC610" s="28"/>
      <c r="AD610" s="28"/>
      <c r="AE610" s="125" t="str">
        <f t="shared" si="514"/>
        <v/>
      </c>
      <c r="AF610" s="9"/>
      <c r="AG610" s="125" t="str">
        <f t="shared" si="515"/>
        <v/>
      </c>
      <c r="AH610" s="28"/>
      <c r="AI610" s="28"/>
      <c r="AJ610" s="125" t="str">
        <f t="shared" si="516"/>
        <v/>
      </c>
      <c r="AK610" s="9"/>
      <c r="AL610" s="125" t="str">
        <f t="shared" si="517"/>
        <v/>
      </c>
      <c r="AM610" s="28"/>
      <c r="AN610" s="28"/>
      <c r="AO610" s="125" t="str">
        <f t="shared" si="518"/>
        <v/>
      </c>
      <c r="AP610" s="125" t="str">
        <f t="shared" si="519"/>
        <v/>
      </c>
      <c r="AQ610" s="125" t="str">
        <f t="shared" si="520"/>
        <v/>
      </c>
      <c r="AR610" s="129" t="str">
        <f t="shared" si="521"/>
        <v/>
      </c>
      <c r="AS610" s="9"/>
      <c r="AT610" s="34"/>
      <c r="AU610" s="34"/>
      <c r="AV610" s="117" t="str">
        <f>IF(_xlfn.XLOOKUP(AT610, AutoFill_classes!$A:$A, AutoFill_classes!$B:$B,"")=0,"",_xlfn.XLOOKUP(AT610, AutoFill_classes!$A:$A, AutoFill_classes!$B:$B,""))</f>
        <v/>
      </c>
      <c r="AW610" s="108"/>
      <c r="AX610" s="9"/>
      <c r="AY610" s="10"/>
      <c r="AZ610" s="9"/>
      <c r="BA610" s="10"/>
      <c r="BB610" s="10"/>
      <c r="BC610" s="64"/>
      <c r="BD610" s="25"/>
      <c r="BE610" s="121" t="str">
        <f t="shared" si="522"/>
        <v/>
      </c>
      <c r="BF610" s="20"/>
      <c r="BG610" s="20"/>
      <c r="BH610" s="24"/>
      <c r="BI610" s="24"/>
      <c r="BJ610" s="125" t="str">
        <f t="shared" si="523"/>
        <v/>
      </c>
      <c r="BK610" s="14"/>
      <c r="BL610" s="125" t="str">
        <f t="shared" si="524"/>
        <v/>
      </c>
      <c r="BM610" s="24"/>
      <c r="BN610" s="24"/>
      <c r="BO610" s="125" t="str">
        <f t="shared" si="525"/>
        <v/>
      </c>
      <c r="BP610" s="14"/>
      <c r="BQ610" s="125" t="str">
        <f t="shared" si="526"/>
        <v/>
      </c>
      <c r="BR610" s="24"/>
      <c r="BS610" s="24"/>
      <c r="BT610" s="125" t="str">
        <f t="shared" si="527"/>
        <v/>
      </c>
      <c r="BU610" s="125" t="str">
        <f t="shared" si="528"/>
        <v/>
      </c>
      <c r="BV610" s="125" t="str">
        <f t="shared" si="529"/>
        <v/>
      </c>
      <c r="BW610" s="129" t="str">
        <f t="shared" si="530"/>
        <v/>
      </c>
      <c r="BX610" s="9"/>
      <c r="BY610" s="9"/>
      <c r="BZ610" s="9"/>
      <c r="CA610" s="117" t="str">
        <f>IF(_xlfn.XLOOKUP(BY610, AutoFill_classes!$A:$A, AutoFill_classes!$B:$B,"")=0,"",_xlfn.XLOOKUP(BY610, AutoFill_classes!$A:$A, AutoFill_classes!$B:$B,""))</f>
        <v/>
      </c>
      <c r="CB610" s="108"/>
      <c r="CC610" s="9"/>
      <c r="CD610" s="9"/>
      <c r="CE610" s="9"/>
      <c r="CF610" s="4"/>
      <c r="CG610" s="25"/>
      <c r="CH610" s="64"/>
      <c r="CI610" s="27"/>
      <c r="CJ610" s="121" t="str">
        <f t="shared" si="531"/>
        <v/>
      </c>
      <c r="CK610" s="20"/>
      <c r="CL610" s="20"/>
      <c r="CM610" s="24"/>
      <c r="CN610" s="24"/>
      <c r="CO610" s="125" t="str">
        <f t="shared" si="532"/>
        <v/>
      </c>
      <c r="CP610" s="14"/>
      <c r="CQ610" s="125" t="str">
        <f t="shared" si="533"/>
        <v/>
      </c>
      <c r="CR610" s="24"/>
      <c r="CS610" s="24"/>
      <c r="CT610" s="125" t="str">
        <f t="shared" si="534"/>
        <v/>
      </c>
      <c r="CU610" s="14"/>
      <c r="CV610" s="125" t="str">
        <f t="shared" si="535"/>
        <v/>
      </c>
      <c r="CW610" s="24"/>
      <c r="CX610" s="24"/>
      <c r="CY610" s="125" t="str">
        <f t="shared" si="536"/>
        <v/>
      </c>
      <c r="CZ610" s="125" t="str">
        <f t="shared" si="537"/>
        <v/>
      </c>
      <c r="DA610" s="125" t="str">
        <f t="shared" si="538"/>
        <v/>
      </c>
      <c r="DB610" s="129" t="str">
        <f t="shared" si="539"/>
        <v/>
      </c>
      <c r="DC610" s="9"/>
      <c r="DD610" s="65"/>
      <c r="DE610" s="105">
        <v>606</v>
      </c>
    </row>
    <row r="611" spans="1:109" outlineLevel="1" x14ac:dyDescent="0.2">
      <c r="A611" s="4"/>
      <c r="B611" s="115" t="str">
        <f>IF(_xlfn.XLOOKUP(A611, AutoFill_names!B:B, AutoFill_names!C:C,"")=0,"",_xlfn.XLOOKUP(A611, AutoFill_names!B:B, AutoFill_names!C:C,""))</f>
        <v/>
      </c>
      <c r="C611" s="115" t="str">
        <f>IF(_xlfn.XLOOKUP(A611, AutoFill_names!B:B, AutoFill_names!D:D,"")=0,"",_xlfn.XLOOKUP(A611, AutoFill_names!B:B, AutoFill_names!D:D,""))</f>
        <v/>
      </c>
      <c r="D611" s="115" t="str">
        <f>IF(_xlfn.XLOOKUP(A611, AutoFill_names!B:B, AutoFill_names!E:E,"")=0,"",_xlfn.XLOOKUP(A611, AutoFill_names!B:B, AutoFill_names!E:E,""))</f>
        <v/>
      </c>
      <c r="E611" s="115" t="str">
        <f>IF(_xlfn.XLOOKUP(A611, AutoFill_names!B:B, AutoFill_names!F:F,"")=0,"",_xlfn.XLOOKUP(A611, AutoFill_names!B:B, AutoFill_names!F:F,""))</f>
        <v/>
      </c>
      <c r="F611" s="92"/>
      <c r="G611" s="1"/>
      <c r="H611" s="1"/>
      <c r="I611" s="1"/>
      <c r="J611" s="115" t="str">
        <f>IF(_xlfn.XLOOKUP(A611, AutoFill_names!B:B, AutoFill_names!K:K,"")=0,"",_xlfn.XLOOKUP(A611, AutoFill_names!B:B, AutoFill_names!K:K,""))</f>
        <v/>
      </c>
      <c r="K611" s="115" t="str">
        <f>IF(_xlfn.XLOOKUP(A611, AutoFill_names!B:B, AutoFill_names!L:L,"")=0,"",_xlfn.XLOOKUP(A611, AutoFill_names!B:B, AutoFill_names!L:L,""))</f>
        <v/>
      </c>
      <c r="L611" s="5"/>
      <c r="M611" s="5"/>
      <c r="N611" s="117" t="str">
        <f>IF(_xlfn.XLOOKUP(L611, AutoFill_classes!A:A, AutoFill_classes!B:B,"")=0,"",_xlfn.XLOOKUP(L611, AutoFill_classes!A:A, AutoFill_classes!B:B,""))</f>
        <v/>
      </c>
      <c r="O611" s="108"/>
      <c r="P611" s="8"/>
      <c r="Q611" s="8"/>
      <c r="R611" s="8"/>
      <c r="S611" s="4"/>
      <c r="T611" s="4"/>
      <c r="U611" s="4"/>
      <c r="V611" s="4"/>
      <c r="W611" s="4"/>
      <c r="X611" s="64"/>
      <c r="Y611" s="25"/>
      <c r="Z611" s="121" t="str">
        <f t="shared" si="513"/>
        <v/>
      </c>
      <c r="AA611" s="26"/>
      <c r="AB611" s="26"/>
      <c r="AC611" s="28"/>
      <c r="AD611" s="28"/>
      <c r="AE611" s="125" t="str">
        <f t="shared" si="514"/>
        <v/>
      </c>
      <c r="AF611" s="9"/>
      <c r="AG611" s="125" t="str">
        <f t="shared" si="515"/>
        <v/>
      </c>
      <c r="AH611" s="28"/>
      <c r="AI611" s="28"/>
      <c r="AJ611" s="125" t="str">
        <f t="shared" si="516"/>
        <v/>
      </c>
      <c r="AK611" s="9"/>
      <c r="AL611" s="125" t="str">
        <f t="shared" si="517"/>
        <v/>
      </c>
      <c r="AM611" s="28"/>
      <c r="AN611" s="28"/>
      <c r="AO611" s="125" t="str">
        <f t="shared" si="518"/>
        <v/>
      </c>
      <c r="AP611" s="125" t="str">
        <f t="shared" si="519"/>
        <v/>
      </c>
      <c r="AQ611" s="125" t="str">
        <f t="shared" si="520"/>
        <v/>
      </c>
      <c r="AR611" s="129" t="str">
        <f t="shared" si="521"/>
        <v/>
      </c>
      <c r="AS611" s="9"/>
      <c r="AT611" s="34"/>
      <c r="AU611" s="34"/>
      <c r="AV611" s="117" t="str">
        <f>IF(_xlfn.XLOOKUP(AT611, AutoFill_classes!$A:$A, AutoFill_classes!$B:$B,"")=0,"",_xlfn.XLOOKUP(AT611, AutoFill_classes!$A:$A, AutoFill_classes!$B:$B,""))</f>
        <v/>
      </c>
      <c r="AW611" s="108"/>
      <c r="AX611" s="9"/>
      <c r="AY611" s="10"/>
      <c r="AZ611" s="9"/>
      <c r="BA611" s="10"/>
      <c r="BB611" s="10"/>
      <c r="BC611" s="64"/>
      <c r="BD611" s="25"/>
      <c r="BE611" s="121" t="str">
        <f t="shared" si="522"/>
        <v/>
      </c>
      <c r="BF611" s="20"/>
      <c r="BG611" s="20"/>
      <c r="BH611" s="24"/>
      <c r="BI611" s="24"/>
      <c r="BJ611" s="125" t="str">
        <f t="shared" si="523"/>
        <v/>
      </c>
      <c r="BK611" s="14"/>
      <c r="BL611" s="125" t="str">
        <f t="shared" si="524"/>
        <v/>
      </c>
      <c r="BM611" s="24"/>
      <c r="BN611" s="24"/>
      <c r="BO611" s="125" t="str">
        <f t="shared" si="525"/>
        <v/>
      </c>
      <c r="BP611" s="14"/>
      <c r="BQ611" s="125" t="str">
        <f t="shared" si="526"/>
        <v/>
      </c>
      <c r="BR611" s="24"/>
      <c r="BS611" s="24"/>
      <c r="BT611" s="125" t="str">
        <f t="shared" si="527"/>
        <v/>
      </c>
      <c r="BU611" s="125" t="str">
        <f t="shared" si="528"/>
        <v/>
      </c>
      <c r="BV611" s="125" t="str">
        <f t="shared" si="529"/>
        <v/>
      </c>
      <c r="BW611" s="129" t="str">
        <f t="shared" si="530"/>
        <v/>
      </c>
      <c r="BX611" s="9"/>
      <c r="BY611" s="9"/>
      <c r="BZ611" s="9"/>
      <c r="CA611" s="117" t="str">
        <f>IF(_xlfn.XLOOKUP(BY611, AutoFill_classes!$A:$A, AutoFill_classes!$B:$B,"")=0,"",_xlfn.XLOOKUP(BY611, AutoFill_classes!$A:$A, AutoFill_classes!$B:$B,""))</f>
        <v/>
      </c>
      <c r="CB611" s="108"/>
      <c r="CC611" s="9"/>
      <c r="CD611" s="9"/>
      <c r="CE611" s="9"/>
      <c r="CF611" s="4"/>
      <c r="CG611" s="25"/>
      <c r="CH611" s="64"/>
      <c r="CI611" s="27"/>
      <c r="CJ611" s="121" t="str">
        <f t="shared" si="531"/>
        <v/>
      </c>
      <c r="CK611" s="20"/>
      <c r="CL611" s="20"/>
      <c r="CM611" s="24"/>
      <c r="CN611" s="24"/>
      <c r="CO611" s="125" t="str">
        <f t="shared" si="532"/>
        <v/>
      </c>
      <c r="CP611" s="14"/>
      <c r="CQ611" s="125" t="str">
        <f t="shared" si="533"/>
        <v/>
      </c>
      <c r="CR611" s="24"/>
      <c r="CS611" s="24"/>
      <c r="CT611" s="125" t="str">
        <f t="shared" si="534"/>
        <v/>
      </c>
      <c r="CU611" s="14"/>
      <c r="CV611" s="125" t="str">
        <f t="shared" si="535"/>
        <v/>
      </c>
      <c r="CW611" s="24"/>
      <c r="CX611" s="24"/>
      <c r="CY611" s="125" t="str">
        <f t="shared" si="536"/>
        <v/>
      </c>
      <c r="CZ611" s="125" t="str">
        <f t="shared" si="537"/>
        <v/>
      </c>
      <c r="DA611" s="125" t="str">
        <f t="shared" si="538"/>
        <v/>
      </c>
      <c r="DB611" s="129" t="str">
        <f t="shared" si="539"/>
        <v/>
      </c>
      <c r="DC611" s="9"/>
      <c r="DD611" s="65"/>
      <c r="DE611" s="105">
        <v>607</v>
      </c>
    </row>
    <row r="612" spans="1:109" outlineLevel="1" x14ac:dyDescent="0.2">
      <c r="A612" s="4"/>
      <c r="B612" s="115" t="str">
        <f>IF(_xlfn.XLOOKUP(A612, AutoFill_names!B:B, AutoFill_names!C:C,"")=0,"",_xlfn.XLOOKUP(A612, AutoFill_names!B:B, AutoFill_names!C:C,""))</f>
        <v/>
      </c>
      <c r="C612" s="115" t="str">
        <f>IF(_xlfn.XLOOKUP(A612, AutoFill_names!B:B, AutoFill_names!D:D,"")=0,"",_xlfn.XLOOKUP(A612, AutoFill_names!B:B, AutoFill_names!D:D,""))</f>
        <v/>
      </c>
      <c r="D612" s="115" t="str">
        <f>IF(_xlfn.XLOOKUP(A612, AutoFill_names!B:B, AutoFill_names!E:E,"")=0,"",_xlfn.XLOOKUP(A612, AutoFill_names!B:B, AutoFill_names!E:E,""))</f>
        <v/>
      </c>
      <c r="E612" s="115" t="str">
        <f>IF(_xlfn.XLOOKUP(A612, AutoFill_names!B:B, AutoFill_names!F:F,"")=0,"",_xlfn.XLOOKUP(A612, AutoFill_names!B:B, AutoFill_names!F:F,""))</f>
        <v/>
      </c>
      <c r="F612" s="92"/>
      <c r="G612" s="1"/>
      <c r="H612" s="1"/>
      <c r="I612" s="1"/>
      <c r="J612" s="115" t="str">
        <f>IF(_xlfn.XLOOKUP(A612, AutoFill_names!B:B, AutoFill_names!K:K,"")=0,"",_xlfn.XLOOKUP(A612, AutoFill_names!B:B, AutoFill_names!K:K,""))</f>
        <v/>
      </c>
      <c r="K612" s="115" t="str">
        <f>IF(_xlfn.XLOOKUP(A612, AutoFill_names!B:B, AutoFill_names!L:L,"")=0,"",_xlfn.XLOOKUP(A612, AutoFill_names!B:B, AutoFill_names!L:L,""))</f>
        <v/>
      </c>
      <c r="L612" s="5"/>
      <c r="M612" s="5"/>
      <c r="N612" s="117" t="str">
        <f>IF(_xlfn.XLOOKUP(L612, AutoFill_classes!A:A, AutoFill_classes!B:B,"")=0,"",_xlfn.XLOOKUP(L612, AutoFill_classes!A:A, AutoFill_classes!B:B,""))</f>
        <v/>
      </c>
      <c r="O612" s="108"/>
      <c r="P612" s="8"/>
      <c r="Q612" s="8"/>
      <c r="R612" s="8"/>
      <c r="S612" s="4"/>
      <c r="T612" s="4"/>
      <c r="U612" s="4"/>
      <c r="V612" s="4"/>
      <c r="W612" s="4"/>
      <c r="X612" s="64"/>
      <c r="Y612" s="25"/>
      <c r="Z612" s="121" t="str">
        <f t="shared" si="513"/>
        <v/>
      </c>
      <c r="AA612" s="26"/>
      <c r="AB612" s="26"/>
      <c r="AC612" s="28"/>
      <c r="AD612" s="28"/>
      <c r="AE612" s="125" t="str">
        <f t="shared" si="514"/>
        <v/>
      </c>
      <c r="AF612" s="9"/>
      <c r="AG612" s="125" t="str">
        <f t="shared" si="515"/>
        <v/>
      </c>
      <c r="AH612" s="28"/>
      <c r="AI612" s="28"/>
      <c r="AJ612" s="125" t="str">
        <f t="shared" si="516"/>
        <v/>
      </c>
      <c r="AK612" s="9"/>
      <c r="AL612" s="125" t="str">
        <f t="shared" si="517"/>
        <v/>
      </c>
      <c r="AM612" s="28"/>
      <c r="AN612" s="28"/>
      <c r="AO612" s="125" t="str">
        <f t="shared" si="518"/>
        <v/>
      </c>
      <c r="AP612" s="125" t="str">
        <f t="shared" si="519"/>
        <v/>
      </c>
      <c r="AQ612" s="125" t="str">
        <f t="shared" si="520"/>
        <v/>
      </c>
      <c r="AR612" s="129" t="str">
        <f t="shared" si="521"/>
        <v/>
      </c>
      <c r="AS612" s="9"/>
      <c r="AT612" s="34"/>
      <c r="AU612" s="34"/>
      <c r="AV612" s="117" t="str">
        <f>IF(_xlfn.XLOOKUP(AT612, AutoFill_classes!$A:$A, AutoFill_classes!$B:$B,"")=0,"",_xlfn.XLOOKUP(AT612, AutoFill_classes!$A:$A, AutoFill_classes!$B:$B,""))</f>
        <v/>
      </c>
      <c r="AW612" s="108"/>
      <c r="AX612" s="9"/>
      <c r="AY612" s="10"/>
      <c r="AZ612" s="9"/>
      <c r="BA612" s="10"/>
      <c r="BB612" s="10"/>
      <c r="BC612" s="64"/>
      <c r="BD612" s="25"/>
      <c r="BE612" s="121" t="str">
        <f t="shared" si="522"/>
        <v/>
      </c>
      <c r="BF612" s="20"/>
      <c r="BG612" s="20"/>
      <c r="BH612" s="24"/>
      <c r="BI612" s="24"/>
      <c r="BJ612" s="125" t="str">
        <f t="shared" si="523"/>
        <v/>
      </c>
      <c r="BK612" s="14"/>
      <c r="BL612" s="125" t="str">
        <f t="shared" si="524"/>
        <v/>
      </c>
      <c r="BM612" s="24"/>
      <c r="BN612" s="24"/>
      <c r="BO612" s="125" t="str">
        <f t="shared" si="525"/>
        <v/>
      </c>
      <c r="BP612" s="14"/>
      <c r="BQ612" s="125" t="str">
        <f t="shared" si="526"/>
        <v/>
      </c>
      <c r="BR612" s="24"/>
      <c r="BS612" s="24"/>
      <c r="BT612" s="125" t="str">
        <f t="shared" si="527"/>
        <v/>
      </c>
      <c r="BU612" s="125" t="str">
        <f t="shared" si="528"/>
        <v/>
      </c>
      <c r="BV612" s="125" t="str">
        <f t="shared" si="529"/>
        <v/>
      </c>
      <c r="BW612" s="129" t="str">
        <f t="shared" si="530"/>
        <v/>
      </c>
      <c r="BX612" s="9"/>
      <c r="BY612" s="9"/>
      <c r="BZ612" s="9"/>
      <c r="CA612" s="117" t="str">
        <f>IF(_xlfn.XLOOKUP(BY612, AutoFill_classes!$A:$A, AutoFill_classes!$B:$B,"")=0,"",_xlfn.XLOOKUP(BY612, AutoFill_classes!$A:$A, AutoFill_classes!$B:$B,""))</f>
        <v/>
      </c>
      <c r="CB612" s="108"/>
      <c r="CC612" s="9"/>
      <c r="CD612" s="9"/>
      <c r="CE612" s="9"/>
      <c r="CF612" s="4"/>
      <c r="CG612" s="25"/>
      <c r="CH612" s="64"/>
      <c r="CI612" s="27"/>
      <c r="CJ612" s="121" t="str">
        <f t="shared" si="531"/>
        <v/>
      </c>
      <c r="CK612" s="20"/>
      <c r="CL612" s="20"/>
      <c r="CM612" s="24"/>
      <c r="CN612" s="24"/>
      <c r="CO612" s="125" t="str">
        <f t="shared" si="532"/>
        <v/>
      </c>
      <c r="CP612" s="14"/>
      <c r="CQ612" s="125" t="str">
        <f t="shared" si="533"/>
        <v/>
      </c>
      <c r="CR612" s="24"/>
      <c r="CS612" s="24"/>
      <c r="CT612" s="125" t="str">
        <f t="shared" si="534"/>
        <v/>
      </c>
      <c r="CU612" s="14"/>
      <c r="CV612" s="125" t="str">
        <f t="shared" si="535"/>
        <v/>
      </c>
      <c r="CW612" s="24"/>
      <c r="CX612" s="24"/>
      <c r="CY612" s="125" t="str">
        <f t="shared" si="536"/>
        <v/>
      </c>
      <c r="CZ612" s="125" t="str">
        <f t="shared" si="537"/>
        <v/>
      </c>
      <c r="DA612" s="125" t="str">
        <f t="shared" si="538"/>
        <v/>
      </c>
      <c r="DB612" s="129" t="str">
        <f t="shared" si="539"/>
        <v/>
      </c>
      <c r="DC612" s="9"/>
      <c r="DD612" s="65"/>
      <c r="DE612" s="105">
        <v>608</v>
      </c>
    </row>
    <row r="613" spans="1:109" outlineLevel="1" x14ac:dyDescent="0.2">
      <c r="A613" s="4"/>
      <c r="B613" s="115" t="str">
        <f>IF(_xlfn.XLOOKUP(A613, AutoFill_names!B:B, AutoFill_names!C:C,"")=0,"",_xlfn.XLOOKUP(A613, AutoFill_names!B:B, AutoFill_names!C:C,""))</f>
        <v/>
      </c>
      <c r="C613" s="115" t="str">
        <f>IF(_xlfn.XLOOKUP(A613, AutoFill_names!B:B, AutoFill_names!D:D,"")=0,"",_xlfn.XLOOKUP(A613, AutoFill_names!B:B, AutoFill_names!D:D,""))</f>
        <v/>
      </c>
      <c r="D613" s="115" t="str">
        <f>IF(_xlfn.XLOOKUP(A613, AutoFill_names!B:B, AutoFill_names!E:E,"")=0,"",_xlfn.XLOOKUP(A613, AutoFill_names!B:B, AutoFill_names!E:E,""))</f>
        <v/>
      </c>
      <c r="E613" s="115" t="str">
        <f>IF(_xlfn.XLOOKUP(A613, AutoFill_names!B:B, AutoFill_names!F:F,"")=0,"",_xlfn.XLOOKUP(A613, AutoFill_names!B:B, AutoFill_names!F:F,""))</f>
        <v/>
      </c>
      <c r="F613" s="92"/>
      <c r="G613" s="1"/>
      <c r="H613" s="1"/>
      <c r="I613" s="1"/>
      <c r="J613" s="115" t="str">
        <f>IF(_xlfn.XLOOKUP(A613, AutoFill_names!B:B, AutoFill_names!K:K,"")=0,"",_xlfn.XLOOKUP(A613, AutoFill_names!B:B, AutoFill_names!K:K,""))</f>
        <v/>
      </c>
      <c r="K613" s="115" t="str">
        <f>IF(_xlfn.XLOOKUP(A613, AutoFill_names!B:B, AutoFill_names!L:L,"")=0,"",_xlfn.XLOOKUP(A613, AutoFill_names!B:B, AutoFill_names!L:L,""))</f>
        <v/>
      </c>
      <c r="L613" s="5"/>
      <c r="M613" s="5"/>
      <c r="N613" s="117" t="str">
        <f>IF(_xlfn.XLOOKUP(L613, AutoFill_classes!A:A, AutoFill_classes!B:B,"")=0,"",_xlfn.XLOOKUP(L613, AutoFill_classes!A:A, AutoFill_classes!B:B,""))</f>
        <v/>
      </c>
      <c r="O613" s="108"/>
      <c r="P613" s="8"/>
      <c r="Q613" s="8"/>
      <c r="R613" s="8"/>
      <c r="S613" s="4"/>
      <c r="T613" s="4"/>
      <c r="U613" s="4"/>
      <c r="V613" s="4"/>
      <c r="W613" s="4"/>
      <c r="X613" s="64"/>
      <c r="Y613" s="25"/>
      <c r="Z613" s="121" t="str">
        <f t="shared" si="513"/>
        <v/>
      </c>
      <c r="AA613" s="26"/>
      <c r="AB613" s="26"/>
      <c r="AC613" s="28"/>
      <c r="AD613" s="28"/>
      <c r="AE613" s="125" t="str">
        <f t="shared" si="514"/>
        <v/>
      </c>
      <c r="AF613" s="9"/>
      <c r="AG613" s="125" t="str">
        <f t="shared" si="515"/>
        <v/>
      </c>
      <c r="AH613" s="28"/>
      <c r="AI613" s="28"/>
      <c r="AJ613" s="125" t="str">
        <f t="shared" si="516"/>
        <v/>
      </c>
      <c r="AK613" s="9"/>
      <c r="AL613" s="125" t="str">
        <f t="shared" si="517"/>
        <v/>
      </c>
      <c r="AM613" s="28"/>
      <c r="AN613" s="28"/>
      <c r="AO613" s="125" t="str">
        <f t="shared" si="518"/>
        <v/>
      </c>
      <c r="AP613" s="125" t="str">
        <f t="shared" si="519"/>
        <v/>
      </c>
      <c r="AQ613" s="125" t="str">
        <f t="shared" si="520"/>
        <v/>
      </c>
      <c r="AR613" s="129" t="str">
        <f t="shared" si="521"/>
        <v/>
      </c>
      <c r="AS613" s="9"/>
      <c r="AT613" s="34"/>
      <c r="AU613" s="34"/>
      <c r="AV613" s="117" t="str">
        <f>IF(_xlfn.XLOOKUP(AT613, AutoFill_classes!$A:$A, AutoFill_classes!$B:$B,"")=0,"",_xlfn.XLOOKUP(AT613, AutoFill_classes!$A:$A, AutoFill_classes!$B:$B,""))</f>
        <v/>
      </c>
      <c r="AW613" s="108"/>
      <c r="AX613" s="9"/>
      <c r="AY613" s="10"/>
      <c r="AZ613" s="9"/>
      <c r="BA613" s="10"/>
      <c r="BB613" s="10"/>
      <c r="BC613" s="64"/>
      <c r="BD613" s="25"/>
      <c r="BE613" s="121" t="str">
        <f t="shared" si="522"/>
        <v/>
      </c>
      <c r="BF613" s="20"/>
      <c r="BG613" s="20"/>
      <c r="BH613" s="24"/>
      <c r="BI613" s="24"/>
      <c r="BJ613" s="125" t="str">
        <f t="shared" si="523"/>
        <v/>
      </c>
      <c r="BK613" s="14"/>
      <c r="BL613" s="125" t="str">
        <f t="shared" si="524"/>
        <v/>
      </c>
      <c r="BM613" s="24"/>
      <c r="BN613" s="24"/>
      <c r="BO613" s="125" t="str">
        <f t="shared" si="525"/>
        <v/>
      </c>
      <c r="BP613" s="14"/>
      <c r="BQ613" s="125" t="str">
        <f t="shared" si="526"/>
        <v/>
      </c>
      <c r="BR613" s="24"/>
      <c r="BS613" s="24"/>
      <c r="BT613" s="125" t="str">
        <f t="shared" si="527"/>
        <v/>
      </c>
      <c r="BU613" s="125" t="str">
        <f t="shared" si="528"/>
        <v/>
      </c>
      <c r="BV613" s="125" t="str">
        <f t="shared" si="529"/>
        <v/>
      </c>
      <c r="BW613" s="129" t="str">
        <f t="shared" si="530"/>
        <v/>
      </c>
      <c r="BX613" s="9"/>
      <c r="BY613" s="9"/>
      <c r="BZ613" s="9"/>
      <c r="CA613" s="117" t="str">
        <f>IF(_xlfn.XLOOKUP(BY613, AutoFill_classes!$A:$A, AutoFill_classes!$B:$B,"")=0,"",_xlfn.XLOOKUP(BY613, AutoFill_classes!$A:$A, AutoFill_classes!$B:$B,""))</f>
        <v/>
      </c>
      <c r="CB613" s="108"/>
      <c r="CC613" s="9"/>
      <c r="CD613" s="9"/>
      <c r="CE613" s="9"/>
      <c r="CF613" s="4"/>
      <c r="CG613" s="25"/>
      <c r="CH613" s="64"/>
      <c r="CI613" s="27"/>
      <c r="CJ613" s="121" t="str">
        <f t="shared" si="531"/>
        <v/>
      </c>
      <c r="CK613" s="20"/>
      <c r="CL613" s="20"/>
      <c r="CM613" s="24"/>
      <c r="CN613" s="24"/>
      <c r="CO613" s="125" t="str">
        <f t="shared" si="532"/>
        <v/>
      </c>
      <c r="CP613" s="14"/>
      <c r="CQ613" s="125" t="str">
        <f t="shared" si="533"/>
        <v/>
      </c>
      <c r="CR613" s="24"/>
      <c r="CS613" s="24"/>
      <c r="CT613" s="125" t="str">
        <f t="shared" si="534"/>
        <v/>
      </c>
      <c r="CU613" s="14"/>
      <c r="CV613" s="125" t="str">
        <f t="shared" si="535"/>
        <v/>
      </c>
      <c r="CW613" s="24"/>
      <c r="CX613" s="24"/>
      <c r="CY613" s="125" t="str">
        <f t="shared" si="536"/>
        <v/>
      </c>
      <c r="CZ613" s="125" t="str">
        <f t="shared" si="537"/>
        <v/>
      </c>
      <c r="DA613" s="125" t="str">
        <f t="shared" si="538"/>
        <v/>
      </c>
      <c r="DB613" s="129" t="str">
        <f t="shared" si="539"/>
        <v/>
      </c>
      <c r="DC613" s="9"/>
      <c r="DD613" s="65"/>
      <c r="DE613" s="105">
        <v>609</v>
      </c>
    </row>
    <row r="614" spans="1:109" outlineLevel="1" x14ac:dyDescent="0.2">
      <c r="A614" s="4"/>
      <c r="B614" s="115" t="str">
        <f>IF(_xlfn.XLOOKUP(A614, AutoFill_names!B:B, AutoFill_names!C:C,"")=0,"",_xlfn.XLOOKUP(A614, AutoFill_names!B:B, AutoFill_names!C:C,""))</f>
        <v/>
      </c>
      <c r="C614" s="115" t="str">
        <f>IF(_xlfn.XLOOKUP(A614, AutoFill_names!B:B, AutoFill_names!D:D,"")=0,"",_xlfn.XLOOKUP(A614, AutoFill_names!B:B, AutoFill_names!D:D,""))</f>
        <v/>
      </c>
      <c r="D614" s="115" t="str">
        <f>IF(_xlfn.XLOOKUP(A614, AutoFill_names!B:B, AutoFill_names!E:E,"")=0,"",_xlfn.XLOOKUP(A614, AutoFill_names!B:B, AutoFill_names!E:E,""))</f>
        <v/>
      </c>
      <c r="E614" s="115" t="str">
        <f>IF(_xlfn.XLOOKUP(A614, AutoFill_names!B:B, AutoFill_names!F:F,"")=0,"",_xlfn.XLOOKUP(A614, AutoFill_names!B:B, AutoFill_names!F:F,""))</f>
        <v/>
      </c>
      <c r="F614" s="92"/>
      <c r="G614" s="1"/>
      <c r="H614" s="1"/>
      <c r="I614" s="1"/>
      <c r="J614" s="115" t="str">
        <f>IF(_xlfn.XLOOKUP(A614, AutoFill_names!B:B, AutoFill_names!K:K,"")=0,"",_xlfn.XLOOKUP(A614, AutoFill_names!B:B, AutoFill_names!K:K,""))</f>
        <v/>
      </c>
      <c r="K614" s="115" t="str">
        <f>IF(_xlfn.XLOOKUP(A614, AutoFill_names!B:B, AutoFill_names!L:L,"")=0,"",_xlfn.XLOOKUP(A614, AutoFill_names!B:B, AutoFill_names!L:L,""))</f>
        <v/>
      </c>
      <c r="L614" s="5"/>
      <c r="M614" s="5"/>
      <c r="N614" s="117" t="str">
        <f>IF(_xlfn.XLOOKUP(L614, AutoFill_classes!A:A, AutoFill_classes!B:B,"")=0,"",_xlfn.XLOOKUP(L614, AutoFill_classes!A:A, AutoFill_classes!B:B,""))</f>
        <v/>
      </c>
      <c r="O614" s="108"/>
      <c r="P614" s="8"/>
      <c r="Q614" s="8"/>
      <c r="R614" s="8"/>
      <c r="S614" s="4"/>
      <c r="T614" s="4"/>
      <c r="U614" s="4"/>
      <c r="V614" s="4"/>
      <c r="W614" s="4"/>
      <c r="X614" s="64"/>
      <c r="Y614" s="25"/>
      <c r="Z614" s="121" t="str">
        <f t="shared" si="513"/>
        <v/>
      </c>
      <c r="AA614" s="26"/>
      <c r="AB614" s="26"/>
      <c r="AC614" s="28"/>
      <c r="AD614" s="28"/>
      <c r="AE614" s="125" t="str">
        <f t="shared" si="514"/>
        <v/>
      </c>
      <c r="AF614" s="9"/>
      <c r="AG614" s="125" t="str">
        <f t="shared" si="515"/>
        <v/>
      </c>
      <c r="AH614" s="28"/>
      <c r="AI614" s="28"/>
      <c r="AJ614" s="125" t="str">
        <f t="shared" si="516"/>
        <v/>
      </c>
      <c r="AK614" s="9"/>
      <c r="AL614" s="125" t="str">
        <f t="shared" si="517"/>
        <v/>
      </c>
      <c r="AM614" s="28"/>
      <c r="AN614" s="28"/>
      <c r="AO614" s="125" t="str">
        <f t="shared" si="518"/>
        <v/>
      </c>
      <c r="AP614" s="125" t="str">
        <f t="shared" si="519"/>
        <v/>
      </c>
      <c r="AQ614" s="125" t="str">
        <f t="shared" si="520"/>
        <v/>
      </c>
      <c r="AR614" s="129" t="str">
        <f t="shared" si="521"/>
        <v/>
      </c>
      <c r="AS614" s="9"/>
      <c r="AT614" s="34"/>
      <c r="AU614" s="34"/>
      <c r="AV614" s="117" t="str">
        <f>IF(_xlfn.XLOOKUP(AT614, AutoFill_classes!$A:$A, AutoFill_classes!$B:$B,"")=0,"",_xlfn.XLOOKUP(AT614, AutoFill_classes!$A:$A, AutoFill_classes!$B:$B,""))</f>
        <v/>
      </c>
      <c r="AW614" s="108"/>
      <c r="AX614" s="9"/>
      <c r="AY614" s="10"/>
      <c r="AZ614" s="9"/>
      <c r="BA614" s="10"/>
      <c r="BB614" s="10"/>
      <c r="BC614" s="64"/>
      <c r="BD614" s="25"/>
      <c r="BE614" s="121" t="str">
        <f t="shared" si="522"/>
        <v/>
      </c>
      <c r="BF614" s="20"/>
      <c r="BG614" s="20"/>
      <c r="BH614" s="24"/>
      <c r="BI614" s="24"/>
      <c r="BJ614" s="125" t="str">
        <f t="shared" si="523"/>
        <v/>
      </c>
      <c r="BK614" s="14"/>
      <c r="BL614" s="125" t="str">
        <f t="shared" si="524"/>
        <v/>
      </c>
      <c r="BM614" s="24"/>
      <c r="BN614" s="24"/>
      <c r="BO614" s="125" t="str">
        <f t="shared" si="525"/>
        <v/>
      </c>
      <c r="BP614" s="14"/>
      <c r="BQ614" s="125" t="str">
        <f t="shared" si="526"/>
        <v/>
      </c>
      <c r="BR614" s="24"/>
      <c r="BS614" s="24"/>
      <c r="BT614" s="125" t="str">
        <f t="shared" si="527"/>
        <v/>
      </c>
      <c r="BU614" s="125" t="str">
        <f t="shared" si="528"/>
        <v/>
      </c>
      <c r="BV614" s="125" t="str">
        <f t="shared" si="529"/>
        <v/>
      </c>
      <c r="BW614" s="129" t="str">
        <f t="shared" si="530"/>
        <v/>
      </c>
      <c r="BX614" s="9"/>
      <c r="BY614" s="9"/>
      <c r="BZ614" s="9"/>
      <c r="CA614" s="117" t="str">
        <f>IF(_xlfn.XLOOKUP(BY614, AutoFill_classes!$A:$A, AutoFill_classes!$B:$B,"")=0,"",_xlfn.XLOOKUP(BY614, AutoFill_classes!$A:$A, AutoFill_classes!$B:$B,""))</f>
        <v/>
      </c>
      <c r="CB614" s="108"/>
      <c r="CC614" s="9"/>
      <c r="CD614" s="9"/>
      <c r="CE614" s="9"/>
      <c r="CF614" s="4"/>
      <c r="CG614" s="25"/>
      <c r="CH614" s="64"/>
      <c r="CI614" s="27"/>
      <c r="CJ614" s="121" t="str">
        <f t="shared" si="531"/>
        <v/>
      </c>
      <c r="CK614" s="20"/>
      <c r="CL614" s="20"/>
      <c r="CM614" s="24"/>
      <c r="CN614" s="24"/>
      <c r="CO614" s="125" t="str">
        <f t="shared" si="532"/>
        <v/>
      </c>
      <c r="CP614" s="14"/>
      <c r="CQ614" s="125" t="str">
        <f t="shared" si="533"/>
        <v/>
      </c>
      <c r="CR614" s="24"/>
      <c r="CS614" s="24"/>
      <c r="CT614" s="125" t="str">
        <f t="shared" si="534"/>
        <v/>
      </c>
      <c r="CU614" s="14"/>
      <c r="CV614" s="125" t="str">
        <f t="shared" si="535"/>
        <v/>
      </c>
      <c r="CW614" s="24"/>
      <c r="CX614" s="24"/>
      <c r="CY614" s="125" t="str">
        <f t="shared" si="536"/>
        <v/>
      </c>
      <c r="CZ614" s="125" t="str">
        <f t="shared" si="537"/>
        <v/>
      </c>
      <c r="DA614" s="125" t="str">
        <f t="shared" si="538"/>
        <v/>
      </c>
      <c r="DB614" s="129" t="str">
        <f t="shared" si="539"/>
        <v/>
      </c>
      <c r="DC614" s="9"/>
      <c r="DD614" s="65"/>
      <c r="DE614" s="105">
        <v>610</v>
      </c>
    </row>
    <row r="615" spans="1:109" outlineLevel="1" x14ac:dyDescent="0.2">
      <c r="A615" s="4"/>
      <c r="B615" s="115" t="str">
        <f>IF(_xlfn.XLOOKUP(A615, AutoFill_names!B:B, AutoFill_names!C:C,"")=0,"",_xlfn.XLOOKUP(A615, AutoFill_names!B:B, AutoFill_names!C:C,""))</f>
        <v/>
      </c>
      <c r="C615" s="115" t="str">
        <f>IF(_xlfn.XLOOKUP(A615, AutoFill_names!B:B, AutoFill_names!D:D,"")=0,"",_xlfn.XLOOKUP(A615, AutoFill_names!B:B, AutoFill_names!D:D,""))</f>
        <v/>
      </c>
      <c r="D615" s="115" t="str">
        <f>IF(_xlfn.XLOOKUP(A615, AutoFill_names!B:B, AutoFill_names!E:E,"")=0,"",_xlfn.XLOOKUP(A615, AutoFill_names!B:B, AutoFill_names!E:E,""))</f>
        <v/>
      </c>
      <c r="E615" s="115" t="str">
        <f>IF(_xlfn.XLOOKUP(A615, AutoFill_names!B:B, AutoFill_names!F:F,"")=0,"",_xlfn.XLOOKUP(A615, AutoFill_names!B:B, AutoFill_names!F:F,""))</f>
        <v/>
      </c>
      <c r="F615" s="92"/>
      <c r="G615" s="1"/>
      <c r="H615" s="1"/>
      <c r="I615" s="1"/>
      <c r="J615" s="115" t="str">
        <f>IF(_xlfn.XLOOKUP(A615, AutoFill_names!B:B, AutoFill_names!K:K,"")=0,"",_xlfn.XLOOKUP(A615, AutoFill_names!B:B, AutoFill_names!K:K,""))</f>
        <v/>
      </c>
      <c r="K615" s="115" t="str">
        <f>IF(_xlfn.XLOOKUP(A615, AutoFill_names!B:B, AutoFill_names!L:L,"")=0,"",_xlfn.XLOOKUP(A615, AutoFill_names!B:B, AutoFill_names!L:L,""))</f>
        <v/>
      </c>
      <c r="L615" s="5"/>
      <c r="M615" s="5"/>
      <c r="N615" s="117" t="str">
        <f>IF(_xlfn.XLOOKUP(L615, AutoFill_classes!A:A, AutoFill_classes!B:B,"")=0,"",_xlfn.XLOOKUP(L615, AutoFill_classes!A:A, AutoFill_classes!B:B,""))</f>
        <v/>
      </c>
      <c r="O615" s="108"/>
      <c r="P615" s="8"/>
      <c r="Q615" s="8"/>
      <c r="R615" s="8"/>
      <c r="S615" s="4"/>
      <c r="T615" s="4"/>
      <c r="U615" s="4"/>
      <c r="V615" s="4"/>
      <c r="W615" s="4"/>
      <c r="X615" s="64"/>
      <c r="Y615" s="25"/>
      <c r="Z615" s="121" t="str">
        <f t="shared" si="513"/>
        <v/>
      </c>
      <c r="AA615" s="26"/>
      <c r="AB615" s="26"/>
      <c r="AC615" s="28"/>
      <c r="AD615" s="28"/>
      <c r="AE615" s="125" t="str">
        <f t="shared" si="514"/>
        <v/>
      </c>
      <c r="AF615" s="9"/>
      <c r="AG615" s="125" t="str">
        <f t="shared" si="515"/>
        <v/>
      </c>
      <c r="AH615" s="28"/>
      <c r="AI615" s="28"/>
      <c r="AJ615" s="125" t="str">
        <f t="shared" si="516"/>
        <v/>
      </c>
      <c r="AK615" s="9"/>
      <c r="AL615" s="125" t="str">
        <f t="shared" si="517"/>
        <v/>
      </c>
      <c r="AM615" s="28"/>
      <c r="AN615" s="28"/>
      <c r="AO615" s="125" t="str">
        <f t="shared" si="518"/>
        <v/>
      </c>
      <c r="AP615" s="125" t="str">
        <f t="shared" si="519"/>
        <v/>
      </c>
      <c r="AQ615" s="125" t="str">
        <f t="shared" si="520"/>
        <v/>
      </c>
      <c r="AR615" s="129" t="str">
        <f t="shared" si="521"/>
        <v/>
      </c>
      <c r="AS615" s="9"/>
      <c r="AT615" s="34"/>
      <c r="AU615" s="34"/>
      <c r="AV615" s="117" t="str">
        <f>IF(_xlfn.XLOOKUP(AT615, AutoFill_classes!$A:$A, AutoFill_classes!$B:$B,"")=0,"",_xlfn.XLOOKUP(AT615, AutoFill_classes!$A:$A, AutoFill_classes!$B:$B,""))</f>
        <v/>
      </c>
      <c r="AW615" s="108"/>
      <c r="AX615" s="9"/>
      <c r="AY615" s="10"/>
      <c r="AZ615" s="9"/>
      <c r="BA615" s="10"/>
      <c r="BB615" s="10"/>
      <c r="BC615" s="64"/>
      <c r="BD615" s="25"/>
      <c r="BE615" s="121" t="str">
        <f t="shared" si="522"/>
        <v/>
      </c>
      <c r="BF615" s="20"/>
      <c r="BG615" s="20"/>
      <c r="BH615" s="24"/>
      <c r="BI615" s="24"/>
      <c r="BJ615" s="125" t="str">
        <f t="shared" si="523"/>
        <v/>
      </c>
      <c r="BK615" s="14"/>
      <c r="BL615" s="125" t="str">
        <f t="shared" si="524"/>
        <v/>
      </c>
      <c r="BM615" s="24"/>
      <c r="BN615" s="24"/>
      <c r="BO615" s="125" t="str">
        <f t="shared" si="525"/>
        <v/>
      </c>
      <c r="BP615" s="14"/>
      <c r="BQ615" s="125" t="str">
        <f t="shared" si="526"/>
        <v/>
      </c>
      <c r="BR615" s="24"/>
      <c r="BS615" s="24"/>
      <c r="BT615" s="125" t="str">
        <f t="shared" si="527"/>
        <v/>
      </c>
      <c r="BU615" s="125" t="str">
        <f t="shared" si="528"/>
        <v/>
      </c>
      <c r="BV615" s="125" t="str">
        <f t="shared" si="529"/>
        <v/>
      </c>
      <c r="BW615" s="129" t="str">
        <f t="shared" si="530"/>
        <v/>
      </c>
      <c r="BX615" s="9"/>
      <c r="BY615" s="9"/>
      <c r="BZ615" s="9"/>
      <c r="CA615" s="117" t="str">
        <f>IF(_xlfn.XLOOKUP(BY615, AutoFill_classes!$A:$A, AutoFill_classes!$B:$B,"")=0,"",_xlfn.XLOOKUP(BY615, AutoFill_classes!$A:$A, AutoFill_classes!$B:$B,""))</f>
        <v/>
      </c>
      <c r="CB615" s="108"/>
      <c r="CC615" s="9"/>
      <c r="CD615" s="9"/>
      <c r="CE615" s="9"/>
      <c r="CF615" s="4"/>
      <c r="CG615" s="25"/>
      <c r="CH615" s="64"/>
      <c r="CI615" s="27"/>
      <c r="CJ615" s="121" t="str">
        <f t="shared" si="531"/>
        <v/>
      </c>
      <c r="CK615" s="20"/>
      <c r="CL615" s="20"/>
      <c r="CM615" s="24"/>
      <c r="CN615" s="24"/>
      <c r="CO615" s="125" t="str">
        <f t="shared" si="532"/>
        <v/>
      </c>
      <c r="CP615" s="14"/>
      <c r="CQ615" s="125" t="str">
        <f t="shared" si="533"/>
        <v/>
      </c>
      <c r="CR615" s="24"/>
      <c r="CS615" s="24"/>
      <c r="CT615" s="125" t="str">
        <f t="shared" si="534"/>
        <v/>
      </c>
      <c r="CU615" s="14"/>
      <c r="CV615" s="125" t="str">
        <f t="shared" si="535"/>
        <v/>
      </c>
      <c r="CW615" s="24"/>
      <c r="CX615" s="24"/>
      <c r="CY615" s="125" t="str">
        <f t="shared" si="536"/>
        <v/>
      </c>
      <c r="CZ615" s="125" t="str">
        <f t="shared" si="537"/>
        <v/>
      </c>
      <c r="DA615" s="125" t="str">
        <f t="shared" si="538"/>
        <v/>
      </c>
      <c r="DB615" s="129" t="str">
        <f t="shared" si="539"/>
        <v/>
      </c>
      <c r="DC615" s="9"/>
      <c r="DD615" s="65"/>
      <c r="DE615" s="105">
        <v>611</v>
      </c>
    </row>
    <row r="616" spans="1:109" outlineLevel="1" x14ac:dyDescent="0.2">
      <c r="A616" s="4"/>
      <c r="B616" s="115" t="str">
        <f>IF(_xlfn.XLOOKUP(A616, AutoFill_names!B:B, AutoFill_names!C:C,"")=0,"",_xlfn.XLOOKUP(A616, AutoFill_names!B:B, AutoFill_names!C:C,""))</f>
        <v/>
      </c>
      <c r="C616" s="115" t="str">
        <f>IF(_xlfn.XLOOKUP(A616, AutoFill_names!B:B, AutoFill_names!D:D,"")=0,"",_xlfn.XLOOKUP(A616, AutoFill_names!B:B, AutoFill_names!D:D,""))</f>
        <v/>
      </c>
      <c r="D616" s="115" t="str">
        <f>IF(_xlfn.XLOOKUP(A616, AutoFill_names!B:B, AutoFill_names!E:E,"")=0,"",_xlfn.XLOOKUP(A616, AutoFill_names!B:B, AutoFill_names!E:E,""))</f>
        <v/>
      </c>
      <c r="E616" s="115" t="str">
        <f>IF(_xlfn.XLOOKUP(A616, AutoFill_names!B:B, AutoFill_names!F:F,"")=0,"",_xlfn.XLOOKUP(A616, AutoFill_names!B:B, AutoFill_names!F:F,""))</f>
        <v/>
      </c>
      <c r="F616" s="92"/>
      <c r="G616" s="1"/>
      <c r="H616" s="1"/>
      <c r="I616" s="1"/>
      <c r="J616" s="115" t="str">
        <f>IF(_xlfn.XLOOKUP(A616, AutoFill_names!B:B, AutoFill_names!K:K,"")=0,"",_xlfn.XLOOKUP(A616, AutoFill_names!B:B, AutoFill_names!K:K,""))</f>
        <v/>
      </c>
      <c r="K616" s="115" t="str">
        <f>IF(_xlfn.XLOOKUP(A616, AutoFill_names!B:B, AutoFill_names!L:L,"")=0,"",_xlfn.XLOOKUP(A616, AutoFill_names!B:B, AutoFill_names!L:L,""))</f>
        <v/>
      </c>
      <c r="L616" s="5"/>
      <c r="M616" s="5"/>
      <c r="N616" s="117" t="str">
        <f>IF(_xlfn.XLOOKUP(L616, AutoFill_classes!A:A, AutoFill_classes!B:B,"")=0,"",_xlfn.XLOOKUP(L616, AutoFill_classes!A:A, AutoFill_classes!B:B,""))</f>
        <v/>
      </c>
      <c r="O616" s="108"/>
      <c r="P616" s="8"/>
      <c r="Q616" s="8"/>
      <c r="R616" s="8"/>
      <c r="S616" s="4"/>
      <c r="T616" s="4"/>
      <c r="U616" s="4"/>
      <c r="V616" s="4"/>
      <c r="W616" s="4"/>
      <c r="X616" s="64"/>
      <c r="Y616" s="25"/>
      <c r="Z616" s="121" t="str">
        <f t="shared" ref="Z616:Z625" si="540">IF(X616*Y616=0,"",X616*Y616)</f>
        <v/>
      </c>
      <c r="AA616" s="26"/>
      <c r="AB616" s="26"/>
      <c r="AC616" s="28"/>
      <c r="AD616" s="28"/>
      <c r="AE616" s="125" t="str">
        <f t="shared" ref="AE616:AE625" si="541">IF(ROUNDUP((AD616-AC616)/7,0)=0,"",ROUNDUP((AD616-AC616)/7,0))</f>
        <v/>
      </c>
      <c r="AF616" s="9"/>
      <c r="AG616" s="125" t="str">
        <f t="shared" ref="AG616:AG625" si="542">IFERROR(IF(AE616*AF616=0,"",AE616*AF616), "")</f>
        <v/>
      </c>
      <c r="AH616" s="28"/>
      <c r="AI616" s="28"/>
      <c r="AJ616" s="125" t="str">
        <f t="shared" ref="AJ616:AJ625" si="543">IF(ROUNDUP((AI616-AH616)/7,0)=0,"",ROUNDUP((AI616-AH616)/7,0))</f>
        <v/>
      </c>
      <c r="AK616" s="9"/>
      <c r="AL616" s="125" t="str">
        <f t="shared" ref="AL616:AL625" si="544">IFERROR(IF(AJ616*AK616=0,"",AJ616*AK616), "")</f>
        <v/>
      </c>
      <c r="AM616" s="28"/>
      <c r="AN616" s="28"/>
      <c r="AO616" s="125" t="str">
        <f t="shared" ref="AO616:AO625" si="545">IF(ROUNDUP((AN616-AM616)/7,0)=0,"",ROUNDUP((AN616-AM616)/7,0))</f>
        <v/>
      </c>
      <c r="AP616" s="125" t="str">
        <f t="shared" ref="AP616:AP625" si="546">IFERROR(IF((AS616-(AF616+AK616))/AO616=0,"",ROUNDUP((AS616-(AF616+AK616))/AO616,0)), "")</f>
        <v/>
      </c>
      <c r="AQ616" s="125" t="str">
        <f t="shared" ref="AQ616:AQ625" si="547">IFERROR(IF((AS616-(AG616+AL616))=0, "", (AS616-(AG616+AL616))), "")</f>
        <v/>
      </c>
      <c r="AR616" s="129" t="str">
        <f t="shared" ref="AR616:AR625" si="548">IFERROR(IF((AE616+AJ616+AO616)=0, "", (AE616+AJ616+AO616)), "")</f>
        <v/>
      </c>
      <c r="AS616" s="9"/>
      <c r="AT616" s="34"/>
      <c r="AU616" s="34"/>
      <c r="AV616" s="117" t="str">
        <f>IF(_xlfn.XLOOKUP(AT616, AutoFill_classes!$A:$A, AutoFill_classes!$B:$B,"")=0,"",_xlfn.XLOOKUP(AT616, AutoFill_classes!$A:$A, AutoFill_classes!$B:$B,""))</f>
        <v/>
      </c>
      <c r="AW616" s="108"/>
      <c r="AX616" s="9"/>
      <c r="AY616" s="10"/>
      <c r="AZ616" s="9"/>
      <c r="BA616" s="10"/>
      <c r="BB616" s="10"/>
      <c r="BC616" s="64"/>
      <c r="BD616" s="25"/>
      <c r="BE616" s="121" t="str">
        <f t="shared" ref="BE616:BE625" si="549">IF(BC616*BD616=0,"",BC616*BD616)</f>
        <v/>
      </c>
      <c r="BF616" s="20"/>
      <c r="BG616" s="20"/>
      <c r="BH616" s="24"/>
      <c r="BI616" s="24"/>
      <c r="BJ616" s="125" t="str">
        <f t="shared" ref="BJ616:BJ625" si="550">IF(ROUNDUP((BI616-BH616)/7,0)=0,"",ROUNDUP((BI616-BH616)/7,0))</f>
        <v/>
      </c>
      <c r="BK616" s="14"/>
      <c r="BL616" s="125" t="str">
        <f t="shared" ref="BL616:BL625" si="551">IFERROR(IF(BJ616*BK616=0,"",BJ616*BK616), "")</f>
        <v/>
      </c>
      <c r="BM616" s="24"/>
      <c r="BN616" s="24"/>
      <c r="BO616" s="125" t="str">
        <f t="shared" ref="BO616:BO625" si="552">IF(ROUNDUP((BN616-BM616)/7,0)=0,"",ROUNDUP((BN616-BM616)/7,0))</f>
        <v/>
      </c>
      <c r="BP616" s="14"/>
      <c r="BQ616" s="125" t="str">
        <f t="shared" ref="BQ616:BQ625" si="553">IFERROR(IF(BO616*BP616=0,"",BO616*BP616), "")</f>
        <v/>
      </c>
      <c r="BR616" s="24"/>
      <c r="BS616" s="24"/>
      <c r="BT616" s="125" t="str">
        <f t="shared" ref="BT616:BT625" si="554">IF(ROUNDUP((BS616-BR616)/7,0)=0,"",ROUNDUP((BS616-BR616)/7,0))</f>
        <v/>
      </c>
      <c r="BU616" s="125" t="str">
        <f t="shared" ref="BU616:BU625" si="555">IFERROR(IF((BX616-(BK616+BP616))/BT616=0,"",ROUNDUP((BX616-(BK616+BP616))/BT616,0)), "")</f>
        <v/>
      </c>
      <c r="BV616" s="125" t="str">
        <f t="shared" ref="BV616:BV625" si="556">IFERROR(IF((BX616-(BL616+BQ616))=0, "", (BX616-(BL616+BQ616))), "")</f>
        <v/>
      </c>
      <c r="BW616" s="129" t="str">
        <f t="shared" ref="BW616:BW625" si="557">IFERROR(IF((BJ616+BO616+BT616)=0, "", (BJ616+BO616+BT616)), "")</f>
        <v/>
      </c>
      <c r="BX616" s="9"/>
      <c r="BY616" s="9"/>
      <c r="BZ616" s="9"/>
      <c r="CA616" s="117" t="str">
        <f>IF(_xlfn.XLOOKUP(BY616, AutoFill_classes!$A:$A, AutoFill_classes!$B:$B,"")=0,"",_xlfn.XLOOKUP(BY616, AutoFill_classes!$A:$A, AutoFill_classes!$B:$B,""))</f>
        <v/>
      </c>
      <c r="CB616" s="108"/>
      <c r="CC616" s="9"/>
      <c r="CD616" s="9"/>
      <c r="CE616" s="9"/>
      <c r="CF616" s="4"/>
      <c r="CG616" s="25"/>
      <c r="CH616" s="64"/>
      <c r="CI616" s="27"/>
      <c r="CJ616" s="121" t="str">
        <f t="shared" ref="CJ616:CJ625" si="558">IF(CH616*CI616=0,"",CH616*CI616)</f>
        <v/>
      </c>
      <c r="CK616" s="20"/>
      <c r="CL616" s="20"/>
      <c r="CM616" s="24"/>
      <c r="CN616" s="24"/>
      <c r="CO616" s="125" t="str">
        <f t="shared" ref="CO616:CO625" si="559">IF(ROUNDUP((CN616-CM616)/7,0)=0,"",ROUNDUP((CN616-CM616)/7,0))</f>
        <v/>
      </c>
      <c r="CP616" s="14"/>
      <c r="CQ616" s="125" t="str">
        <f t="shared" ref="CQ616:CQ625" si="560">IFERROR(IF(CO616*CP616=0,"",CO616*CP616), "")</f>
        <v/>
      </c>
      <c r="CR616" s="24"/>
      <c r="CS616" s="24"/>
      <c r="CT616" s="125" t="str">
        <f t="shared" ref="CT616:CT625" si="561">IF(ROUNDUP((CS616-CR616)/7,0)=0,"",ROUNDUP((CS616-CR616)/7,0))</f>
        <v/>
      </c>
      <c r="CU616" s="14"/>
      <c r="CV616" s="125" t="str">
        <f t="shared" ref="CV616:CV625" si="562">IFERROR(IF(CT616*CU616=0,"",CT616*CU616), "")</f>
        <v/>
      </c>
      <c r="CW616" s="24"/>
      <c r="CX616" s="24"/>
      <c r="CY616" s="125" t="str">
        <f t="shared" ref="CY616:CY625" si="563">IF(ROUNDUP((CX616-CW616)/7,0)=0,"",ROUNDUP((CX616-CW616)/7,0))</f>
        <v/>
      </c>
      <c r="CZ616" s="125" t="str">
        <f t="shared" ref="CZ616:CZ625" si="564">IFERROR(IF((DC616-(CP616+CU616))/CY616=0,"",ROUNDUP((DC616-(CP616+CU616))/CY616,0)), "")</f>
        <v/>
      </c>
      <c r="DA616" s="125" t="str">
        <f t="shared" ref="DA616:DA625" si="565">IFERROR(IF((DC616-(CQ616+CV616))=0, "", (DC616-(CQ616+CV616))), "")</f>
        <v/>
      </c>
      <c r="DB616" s="129" t="str">
        <f t="shared" ref="DB616:DB625" si="566">IFERROR(IF((CO616+CT616+CY616)=0, "", (CO616+CT616+CY616)), "")</f>
        <v/>
      </c>
      <c r="DC616" s="9"/>
      <c r="DD616" s="65"/>
      <c r="DE616" s="105">
        <v>612</v>
      </c>
    </row>
    <row r="617" spans="1:109" outlineLevel="1" x14ac:dyDescent="0.2">
      <c r="A617" s="4"/>
      <c r="B617" s="115" t="str">
        <f>IF(_xlfn.XLOOKUP(A617, AutoFill_names!B:B, AutoFill_names!C:C,"")=0,"",_xlfn.XLOOKUP(A617, AutoFill_names!B:B, AutoFill_names!C:C,""))</f>
        <v/>
      </c>
      <c r="C617" s="115" t="str">
        <f>IF(_xlfn.XLOOKUP(A617, AutoFill_names!B:B, AutoFill_names!D:D,"")=0,"",_xlfn.XLOOKUP(A617, AutoFill_names!B:B, AutoFill_names!D:D,""))</f>
        <v/>
      </c>
      <c r="D617" s="115" t="str">
        <f>IF(_xlfn.XLOOKUP(A617, AutoFill_names!B:B, AutoFill_names!E:E,"")=0,"",_xlfn.XLOOKUP(A617, AutoFill_names!B:B, AutoFill_names!E:E,""))</f>
        <v/>
      </c>
      <c r="E617" s="115" t="str">
        <f>IF(_xlfn.XLOOKUP(A617, AutoFill_names!B:B, AutoFill_names!F:F,"")=0,"",_xlfn.XLOOKUP(A617, AutoFill_names!B:B, AutoFill_names!F:F,""))</f>
        <v/>
      </c>
      <c r="F617" s="92"/>
      <c r="G617" s="1"/>
      <c r="H617" s="1"/>
      <c r="I617" s="1"/>
      <c r="J617" s="115" t="str">
        <f>IF(_xlfn.XLOOKUP(A617, AutoFill_names!B:B, AutoFill_names!K:K,"")=0,"",_xlfn.XLOOKUP(A617, AutoFill_names!B:B, AutoFill_names!K:K,""))</f>
        <v/>
      </c>
      <c r="K617" s="115" t="str">
        <f>IF(_xlfn.XLOOKUP(A617, AutoFill_names!B:B, AutoFill_names!L:L,"")=0,"",_xlfn.XLOOKUP(A617, AutoFill_names!B:B, AutoFill_names!L:L,""))</f>
        <v/>
      </c>
      <c r="L617" s="5"/>
      <c r="M617" s="5"/>
      <c r="N617" s="117" t="str">
        <f>IF(_xlfn.XLOOKUP(L617, AutoFill_classes!A:A, AutoFill_classes!B:B,"")=0,"",_xlfn.XLOOKUP(L617, AutoFill_classes!A:A, AutoFill_classes!B:B,""))</f>
        <v/>
      </c>
      <c r="O617" s="108"/>
      <c r="P617" s="8"/>
      <c r="Q617" s="8"/>
      <c r="R617" s="8"/>
      <c r="S617" s="4"/>
      <c r="T617" s="4"/>
      <c r="U617" s="4"/>
      <c r="V617" s="4"/>
      <c r="W617" s="4"/>
      <c r="X617" s="64"/>
      <c r="Y617" s="25"/>
      <c r="Z617" s="121" t="str">
        <f t="shared" si="540"/>
        <v/>
      </c>
      <c r="AA617" s="26"/>
      <c r="AB617" s="26"/>
      <c r="AC617" s="28"/>
      <c r="AD617" s="28"/>
      <c r="AE617" s="125" t="str">
        <f t="shared" si="541"/>
        <v/>
      </c>
      <c r="AF617" s="9"/>
      <c r="AG617" s="125" t="str">
        <f t="shared" si="542"/>
        <v/>
      </c>
      <c r="AH617" s="28"/>
      <c r="AI617" s="28"/>
      <c r="AJ617" s="125" t="str">
        <f t="shared" si="543"/>
        <v/>
      </c>
      <c r="AK617" s="9"/>
      <c r="AL617" s="125" t="str">
        <f t="shared" si="544"/>
        <v/>
      </c>
      <c r="AM617" s="28"/>
      <c r="AN617" s="28"/>
      <c r="AO617" s="125" t="str">
        <f t="shared" si="545"/>
        <v/>
      </c>
      <c r="AP617" s="125" t="str">
        <f t="shared" si="546"/>
        <v/>
      </c>
      <c r="AQ617" s="125" t="str">
        <f t="shared" si="547"/>
        <v/>
      </c>
      <c r="AR617" s="129" t="str">
        <f t="shared" si="548"/>
        <v/>
      </c>
      <c r="AS617" s="9"/>
      <c r="AT617" s="34"/>
      <c r="AU617" s="34"/>
      <c r="AV617" s="117" t="str">
        <f>IF(_xlfn.XLOOKUP(AT617, AutoFill_classes!$A:$A, AutoFill_classes!$B:$B,"")=0,"",_xlfn.XLOOKUP(AT617, AutoFill_classes!$A:$A, AutoFill_classes!$B:$B,""))</f>
        <v/>
      </c>
      <c r="AW617" s="108"/>
      <c r="AX617" s="9"/>
      <c r="AY617" s="10"/>
      <c r="AZ617" s="9"/>
      <c r="BA617" s="10"/>
      <c r="BB617" s="10"/>
      <c r="BC617" s="64"/>
      <c r="BD617" s="25"/>
      <c r="BE617" s="121" t="str">
        <f t="shared" si="549"/>
        <v/>
      </c>
      <c r="BF617" s="20"/>
      <c r="BG617" s="20"/>
      <c r="BH617" s="24"/>
      <c r="BI617" s="24"/>
      <c r="BJ617" s="125" t="str">
        <f t="shared" si="550"/>
        <v/>
      </c>
      <c r="BK617" s="14"/>
      <c r="BL617" s="125" t="str">
        <f t="shared" si="551"/>
        <v/>
      </c>
      <c r="BM617" s="24"/>
      <c r="BN617" s="24"/>
      <c r="BO617" s="125" t="str">
        <f t="shared" si="552"/>
        <v/>
      </c>
      <c r="BP617" s="14"/>
      <c r="BQ617" s="125" t="str">
        <f t="shared" si="553"/>
        <v/>
      </c>
      <c r="BR617" s="24"/>
      <c r="BS617" s="24"/>
      <c r="BT617" s="125" t="str">
        <f t="shared" si="554"/>
        <v/>
      </c>
      <c r="BU617" s="125" t="str">
        <f t="shared" si="555"/>
        <v/>
      </c>
      <c r="BV617" s="125" t="str">
        <f t="shared" si="556"/>
        <v/>
      </c>
      <c r="BW617" s="129" t="str">
        <f t="shared" si="557"/>
        <v/>
      </c>
      <c r="BX617" s="9"/>
      <c r="BY617" s="9"/>
      <c r="BZ617" s="9"/>
      <c r="CA617" s="117" t="str">
        <f>IF(_xlfn.XLOOKUP(BY617, AutoFill_classes!$A:$A, AutoFill_classes!$B:$B,"")=0,"",_xlfn.XLOOKUP(BY617, AutoFill_classes!$A:$A, AutoFill_classes!$B:$B,""))</f>
        <v/>
      </c>
      <c r="CB617" s="108"/>
      <c r="CC617" s="9"/>
      <c r="CD617" s="9"/>
      <c r="CE617" s="9"/>
      <c r="CF617" s="4"/>
      <c r="CG617" s="25"/>
      <c r="CH617" s="64"/>
      <c r="CI617" s="27"/>
      <c r="CJ617" s="121" t="str">
        <f t="shared" si="558"/>
        <v/>
      </c>
      <c r="CK617" s="20"/>
      <c r="CL617" s="20"/>
      <c r="CM617" s="24"/>
      <c r="CN617" s="24"/>
      <c r="CO617" s="125" t="str">
        <f t="shared" si="559"/>
        <v/>
      </c>
      <c r="CP617" s="14"/>
      <c r="CQ617" s="125" t="str">
        <f t="shared" si="560"/>
        <v/>
      </c>
      <c r="CR617" s="24"/>
      <c r="CS617" s="24"/>
      <c r="CT617" s="125" t="str">
        <f t="shared" si="561"/>
        <v/>
      </c>
      <c r="CU617" s="14"/>
      <c r="CV617" s="125" t="str">
        <f t="shared" si="562"/>
        <v/>
      </c>
      <c r="CW617" s="24"/>
      <c r="CX617" s="24"/>
      <c r="CY617" s="125" t="str">
        <f t="shared" si="563"/>
        <v/>
      </c>
      <c r="CZ617" s="125" t="str">
        <f t="shared" si="564"/>
        <v/>
      </c>
      <c r="DA617" s="125" t="str">
        <f t="shared" si="565"/>
        <v/>
      </c>
      <c r="DB617" s="129" t="str">
        <f t="shared" si="566"/>
        <v/>
      </c>
      <c r="DC617" s="9"/>
      <c r="DD617" s="65"/>
      <c r="DE617" s="105">
        <v>613</v>
      </c>
    </row>
    <row r="618" spans="1:109" outlineLevel="1" x14ac:dyDescent="0.2">
      <c r="A618" s="4"/>
      <c r="B618" s="115" t="str">
        <f>IF(_xlfn.XLOOKUP(A618, AutoFill_names!B:B, AutoFill_names!C:C,"")=0,"",_xlfn.XLOOKUP(A618, AutoFill_names!B:B, AutoFill_names!C:C,""))</f>
        <v/>
      </c>
      <c r="C618" s="115" t="str">
        <f>IF(_xlfn.XLOOKUP(A618, AutoFill_names!B:B, AutoFill_names!D:D,"")=0,"",_xlfn.XLOOKUP(A618, AutoFill_names!B:B, AutoFill_names!D:D,""))</f>
        <v/>
      </c>
      <c r="D618" s="115" t="str">
        <f>IF(_xlfn.XLOOKUP(A618, AutoFill_names!B:B, AutoFill_names!E:E,"")=0,"",_xlfn.XLOOKUP(A618, AutoFill_names!B:B, AutoFill_names!E:E,""))</f>
        <v/>
      </c>
      <c r="E618" s="115" t="str">
        <f>IF(_xlfn.XLOOKUP(A618, AutoFill_names!B:B, AutoFill_names!F:F,"")=0,"",_xlfn.XLOOKUP(A618, AutoFill_names!B:B, AutoFill_names!F:F,""))</f>
        <v/>
      </c>
      <c r="F618" s="92"/>
      <c r="G618" s="1"/>
      <c r="H618" s="1"/>
      <c r="I618" s="1"/>
      <c r="J618" s="115" t="str">
        <f>IF(_xlfn.XLOOKUP(A618, AutoFill_names!B:B, AutoFill_names!K:K,"")=0,"",_xlfn.XLOOKUP(A618, AutoFill_names!B:B, AutoFill_names!K:K,""))</f>
        <v/>
      </c>
      <c r="K618" s="115" t="str">
        <f>IF(_xlfn.XLOOKUP(A618, AutoFill_names!B:B, AutoFill_names!L:L,"")=0,"",_xlfn.XLOOKUP(A618, AutoFill_names!B:B, AutoFill_names!L:L,""))</f>
        <v/>
      </c>
      <c r="L618" s="5"/>
      <c r="M618" s="5"/>
      <c r="N618" s="117" t="str">
        <f>IF(_xlfn.XLOOKUP(L618, AutoFill_classes!A:A, AutoFill_classes!B:B,"")=0,"",_xlfn.XLOOKUP(L618, AutoFill_classes!A:A, AutoFill_classes!B:B,""))</f>
        <v/>
      </c>
      <c r="O618" s="108"/>
      <c r="P618" s="8"/>
      <c r="Q618" s="8"/>
      <c r="R618" s="8"/>
      <c r="S618" s="4"/>
      <c r="T618" s="4"/>
      <c r="U618" s="4"/>
      <c r="V618" s="4"/>
      <c r="W618" s="4"/>
      <c r="X618" s="64"/>
      <c r="Y618" s="25"/>
      <c r="Z618" s="121" t="str">
        <f t="shared" si="540"/>
        <v/>
      </c>
      <c r="AA618" s="26"/>
      <c r="AB618" s="26"/>
      <c r="AC618" s="28"/>
      <c r="AD618" s="28"/>
      <c r="AE618" s="125" t="str">
        <f t="shared" si="541"/>
        <v/>
      </c>
      <c r="AF618" s="9"/>
      <c r="AG618" s="125" t="str">
        <f t="shared" si="542"/>
        <v/>
      </c>
      <c r="AH618" s="28"/>
      <c r="AI618" s="28"/>
      <c r="AJ618" s="125" t="str">
        <f t="shared" si="543"/>
        <v/>
      </c>
      <c r="AK618" s="9"/>
      <c r="AL618" s="125" t="str">
        <f t="shared" si="544"/>
        <v/>
      </c>
      <c r="AM618" s="28"/>
      <c r="AN618" s="28"/>
      <c r="AO618" s="125" t="str">
        <f t="shared" si="545"/>
        <v/>
      </c>
      <c r="AP618" s="125" t="str">
        <f t="shared" si="546"/>
        <v/>
      </c>
      <c r="AQ618" s="125" t="str">
        <f t="shared" si="547"/>
        <v/>
      </c>
      <c r="AR618" s="129" t="str">
        <f t="shared" si="548"/>
        <v/>
      </c>
      <c r="AS618" s="9"/>
      <c r="AT618" s="34"/>
      <c r="AU618" s="34"/>
      <c r="AV618" s="117" t="str">
        <f>IF(_xlfn.XLOOKUP(AT618, AutoFill_classes!$A:$A, AutoFill_classes!$B:$B,"")=0,"",_xlfn.XLOOKUP(AT618, AutoFill_classes!$A:$A, AutoFill_classes!$B:$B,""))</f>
        <v/>
      </c>
      <c r="AW618" s="108"/>
      <c r="AX618" s="9"/>
      <c r="AY618" s="10"/>
      <c r="AZ618" s="9"/>
      <c r="BA618" s="10"/>
      <c r="BB618" s="10"/>
      <c r="BC618" s="64"/>
      <c r="BD618" s="25"/>
      <c r="BE618" s="121" t="str">
        <f t="shared" si="549"/>
        <v/>
      </c>
      <c r="BF618" s="20"/>
      <c r="BG618" s="20"/>
      <c r="BH618" s="24"/>
      <c r="BI618" s="24"/>
      <c r="BJ618" s="125" t="str">
        <f t="shared" si="550"/>
        <v/>
      </c>
      <c r="BK618" s="14"/>
      <c r="BL618" s="125" t="str">
        <f t="shared" si="551"/>
        <v/>
      </c>
      <c r="BM618" s="24"/>
      <c r="BN618" s="24"/>
      <c r="BO618" s="125" t="str">
        <f t="shared" si="552"/>
        <v/>
      </c>
      <c r="BP618" s="14"/>
      <c r="BQ618" s="125" t="str">
        <f t="shared" si="553"/>
        <v/>
      </c>
      <c r="BR618" s="24"/>
      <c r="BS618" s="24"/>
      <c r="BT618" s="125" t="str">
        <f t="shared" si="554"/>
        <v/>
      </c>
      <c r="BU618" s="125" t="str">
        <f t="shared" si="555"/>
        <v/>
      </c>
      <c r="BV618" s="125" t="str">
        <f t="shared" si="556"/>
        <v/>
      </c>
      <c r="BW618" s="129" t="str">
        <f t="shared" si="557"/>
        <v/>
      </c>
      <c r="BX618" s="9"/>
      <c r="BY618" s="9"/>
      <c r="BZ618" s="9"/>
      <c r="CA618" s="117" t="str">
        <f>IF(_xlfn.XLOOKUP(BY618, AutoFill_classes!$A:$A, AutoFill_classes!$B:$B,"")=0,"",_xlfn.XLOOKUP(BY618, AutoFill_classes!$A:$A, AutoFill_classes!$B:$B,""))</f>
        <v/>
      </c>
      <c r="CB618" s="108"/>
      <c r="CC618" s="9"/>
      <c r="CD618" s="9"/>
      <c r="CE618" s="9"/>
      <c r="CF618" s="4"/>
      <c r="CG618" s="25"/>
      <c r="CH618" s="64"/>
      <c r="CI618" s="27"/>
      <c r="CJ618" s="121" t="str">
        <f t="shared" si="558"/>
        <v/>
      </c>
      <c r="CK618" s="20"/>
      <c r="CL618" s="20"/>
      <c r="CM618" s="24"/>
      <c r="CN618" s="24"/>
      <c r="CO618" s="125" t="str">
        <f t="shared" si="559"/>
        <v/>
      </c>
      <c r="CP618" s="14"/>
      <c r="CQ618" s="125" t="str">
        <f t="shared" si="560"/>
        <v/>
      </c>
      <c r="CR618" s="24"/>
      <c r="CS618" s="24"/>
      <c r="CT618" s="125" t="str">
        <f t="shared" si="561"/>
        <v/>
      </c>
      <c r="CU618" s="14"/>
      <c r="CV618" s="125" t="str">
        <f t="shared" si="562"/>
        <v/>
      </c>
      <c r="CW618" s="24"/>
      <c r="CX618" s="24"/>
      <c r="CY618" s="125" t="str">
        <f t="shared" si="563"/>
        <v/>
      </c>
      <c r="CZ618" s="125" t="str">
        <f t="shared" si="564"/>
        <v/>
      </c>
      <c r="DA618" s="125" t="str">
        <f t="shared" si="565"/>
        <v/>
      </c>
      <c r="DB618" s="129" t="str">
        <f t="shared" si="566"/>
        <v/>
      </c>
      <c r="DC618" s="9"/>
      <c r="DD618" s="65"/>
      <c r="DE618" s="105">
        <v>614</v>
      </c>
    </row>
    <row r="619" spans="1:109" outlineLevel="1" x14ac:dyDescent="0.2">
      <c r="A619" s="4"/>
      <c r="B619" s="115" t="str">
        <f>IF(_xlfn.XLOOKUP(A619, AutoFill_names!B:B, AutoFill_names!C:C,"")=0,"",_xlfn.XLOOKUP(A619, AutoFill_names!B:B, AutoFill_names!C:C,""))</f>
        <v/>
      </c>
      <c r="C619" s="115" t="str">
        <f>IF(_xlfn.XLOOKUP(A619, AutoFill_names!B:B, AutoFill_names!D:D,"")=0,"",_xlfn.XLOOKUP(A619, AutoFill_names!B:B, AutoFill_names!D:D,""))</f>
        <v/>
      </c>
      <c r="D619" s="115" t="str">
        <f>IF(_xlfn.XLOOKUP(A619, AutoFill_names!B:B, AutoFill_names!E:E,"")=0,"",_xlfn.XLOOKUP(A619, AutoFill_names!B:B, AutoFill_names!E:E,""))</f>
        <v/>
      </c>
      <c r="E619" s="115" t="str">
        <f>IF(_xlfn.XLOOKUP(A619, AutoFill_names!B:B, AutoFill_names!F:F,"")=0,"",_xlfn.XLOOKUP(A619, AutoFill_names!B:B, AutoFill_names!F:F,""))</f>
        <v/>
      </c>
      <c r="F619" s="92"/>
      <c r="G619" s="1"/>
      <c r="H619" s="1"/>
      <c r="I619" s="1"/>
      <c r="J619" s="115" t="str">
        <f>IF(_xlfn.XLOOKUP(A619, AutoFill_names!B:B, AutoFill_names!K:K,"")=0,"",_xlfn.XLOOKUP(A619, AutoFill_names!B:B, AutoFill_names!K:K,""))</f>
        <v/>
      </c>
      <c r="K619" s="115" t="str">
        <f>IF(_xlfn.XLOOKUP(A619, AutoFill_names!B:B, AutoFill_names!L:L,"")=0,"",_xlfn.XLOOKUP(A619, AutoFill_names!B:B, AutoFill_names!L:L,""))</f>
        <v/>
      </c>
      <c r="L619" s="5"/>
      <c r="M619" s="5"/>
      <c r="N619" s="117" t="str">
        <f>IF(_xlfn.XLOOKUP(L619, AutoFill_classes!A:A, AutoFill_classes!B:B,"")=0,"",_xlfn.XLOOKUP(L619, AutoFill_classes!A:A, AutoFill_classes!B:B,""))</f>
        <v/>
      </c>
      <c r="O619" s="108"/>
      <c r="P619" s="8"/>
      <c r="Q619" s="8"/>
      <c r="R619" s="8"/>
      <c r="S619" s="4"/>
      <c r="T619" s="4"/>
      <c r="U619" s="4"/>
      <c r="V619" s="4"/>
      <c r="W619" s="4"/>
      <c r="X619" s="64"/>
      <c r="Y619" s="25"/>
      <c r="Z619" s="121" t="str">
        <f t="shared" si="540"/>
        <v/>
      </c>
      <c r="AA619" s="26"/>
      <c r="AB619" s="26"/>
      <c r="AC619" s="28"/>
      <c r="AD619" s="28"/>
      <c r="AE619" s="125" t="str">
        <f t="shared" si="541"/>
        <v/>
      </c>
      <c r="AF619" s="9"/>
      <c r="AG619" s="125" t="str">
        <f t="shared" si="542"/>
        <v/>
      </c>
      <c r="AH619" s="28"/>
      <c r="AI619" s="28"/>
      <c r="AJ619" s="125" t="str">
        <f t="shared" si="543"/>
        <v/>
      </c>
      <c r="AK619" s="9"/>
      <c r="AL619" s="125" t="str">
        <f t="shared" si="544"/>
        <v/>
      </c>
      <c r="AM619" s="28"/>
      <c r="AN619" s="28"/>
      <c r="AO619" s="125" t="str">
        <f t="shared" si="545"/>
        <v/>
      </c>
      <c r="AP619" s="125" t="str">
        <f t="shared" si="546"/>
        <v/>
      </c>
      <c r="AQ619" s="125" t="str">
        <f t="shared" si="547"/>
        <v/>
      </c>
      <c r="AR619" s="129" t="str">
        <f t="shared" si="548"/>
        <v/>
      </c>
      <c r="AS619" s="9"/>
      <c r="AT619" s="34"/>
      <c r="AU619" s="34"/>
      <c r="AV619" s="117" t="str">
        <f>IF(_xlfn.XLOOKUP(AT619, AutoFill_classes!$A:$A, AutoFill_classes!$B:$B,"")=0,"",_xlfn.XLOOKUP(AT619, AutoFill_classes!$A:$A, AutoFill_classes!$B:$B,""))</f>
        <v/>
      </c>
      <c r="AW619" s="108"/>
      <c r="AX619" s="9"/>
      <c r="AY619" s="10"/>
      <c r="AZ619" s="9"/>
      <c r="BA619" s="10"/>
      <c r="BB619" s="10"/>
      <c r="BC619" s="64"/>
      <c r="BD619" s="25"/>
      <c r="BE619" s="121" t="str">
        <f t="shared" si="549"/>
        <v/>
      </c>
      <c r="BF619" s="20"/>
      <c r="BG619" s="20"/>
      <c r="BH619" s="24"/>
      <c r="BI619" s="24"/>
      <c r="BJ619" s="125" t="str">
        <f t="shared" si="550"/>
        <v/>
      </c>
      <c r="BK619" s="14"/>
      <c r="BL619" s="125" t="str">
        <f t="shared" si="551"/>
        <v/>
      </c>
      <c r="BM619" s="24"/>
      <c r="BN619" s="24"/>
      <c r="BO619" s="125" t="str">
        <f t="shared" si="552"/>
        <v/>
      </c>
      <c r="BP619" s="14"/>
      <c r="BQ619" s="125" t="str">
        <f t="shared" si="553"/>
        <v/>
      </c>
      <c r="BR619" s="24"/>
      <c r="BS619" s="24"/>
      <c r="BT619" s="125" t="str">
        <f t="shared" si="554"/>
        <v/>
      </c>
      <c r="BU619" s="125" t="str">
        <f t="shared" si="555"/>
        <v/>
      </c>
      <c r="BV619" s="125" t="str">
        <f t="shared" si="556"/>
        <v/>
      </c>
      <c r="BW619" s="129" t="str">
        <f t="shared" si="557"/>
        <v/>
      </c>
      <c r="BX619" s="9"/>
      <c r="BY619" s="9"/>
      <c r="BZ619" s="9"/>
      <c r="CA619" s="117" t="str">
        <f>IF(_xlfn.XLOOKUP(BY619, AutoFill_classes!$A:$A, AutoFill_classes!$B:$B,"")=0,"",_xlfn.XLOOKUP(BY619, AutoFill_classes!$A:$A, AutoFill_classes!$B:$B,""))</f>
        <v/>
      </c>
      <c r="CB619" s="108"/>
      <c r="CC619" s="9"/>
      <c r="CD619" s="9"/>
      <c r="CE619" s="9"/>
      <c r="CF619" s="4"/>
      <c r="CG619" s="25"/>
      <c r="CH619" s="64"/>
      <c r="CI619" s="27"/>
      <c r="CJ619" s="121" t="str">
        <f t="shared" si="558"/>
        <v/>
      </c>
      <c r="CK619" s="20"/>
      <c r="CL619" s="20"/>
      <c r="CM619" s="24"/>
      <c r="CN619" s="24"/>
      <c r="CO619" s="125" t="str">
        <f t="shared" si="559"/>
        <v/>
      </c>
      <c r="CP619" s="14"/>
      <c r="CQ619" s="125" t="str">
        <f t="shared" si="560"/>
        <v/>
      </c>
      <c r="CR619" s="24"/>
      <c r="CS619" s="24"/>
      <c r="CT619" s="125" t="str">
        <f t="shared" si="561"/>
        <v/>
      </c>
      <c r="CU619" s="14"/>
      <c r="CV619" s="125" t="str">
        <f t="shared" si="562"/>
        <v/>
      </c>
      <c r="CW619" s="24"/>
      <c r="CX619" s="24"/>
      <c r="CY619" s="125" t="str">
        <f t="shared" si="563"/>
        <v/>
      </c>
      <c r="CZ619" s="125" t="str">
        <f t="shared" si="564"/>
        <v/>
      </c>
      <c r="DA619" s="125" t="str">
        <f t="shared" si="565"/>
        <v/>
      </c>
      <c r="DB619" s="129" t="str">
        <f t="shared" si="566"/>
        <v/>
      </c>
      <c r="DC619" s="9"/>
      <c r="DD619" s="65"/>
      <c r="DE619" s="105">
        <v>615</v>
      </c>
    </row>
    <row r="620" spans="1:109" outlineLevel="1" x14ac:dyDescent="0.2">
      <c r="A620" s="4"/>
      <c r="B620" s="115" t="str">
        <f>IF(_xlfn.XLOOKUP(A620, AutoFill_names!B:B, AutoFill_names!C:C,"")=0,"",_xlfn.XLOOKUP(A620, AutoFill_names!B:B, AutoFill_names!C:C,""))</f>
        <v/>
      </c>
      <c r="C620" s="115" t="str">
        <f>IF(_xlfn.XLOOKUP(A620, AutoFill_names!B:B, AutoFill_names!D:D,"")=0,"",_xlfn.XLOOKUP(A620, AutoFill_names!B:B, AutoFill_names!D:D,""))</f>
        <v/>
      </c>
      <c r="D620" s="115" t="str">
        <f>IF(_xlfn.XLOOKUP(A620, AutoFill_names!B:B, AutoFill_names!E:E,"")=0,"",_xlfn.XLOOKUP(A620, AutoFill_names!B:B, AutoFill_names!E:E,""))</f>
        <v/>
      </c>
      <c r="E620" s="115" t="str">
        <f>IF(_xlfn.XLOOKUP(A620, AutoFill_names!B:B, AutoFill_names!F:F,"")=0,"",_xlfn.XLOOKUP(A620, AutoFill_names!B:B, AutoFill_names!F:F,""))</f>
        <v/>
      </c>
      <c r="F620" s="92"/>
      <c r="G620" s="1"/>
      <c r="H620" s="1"/>
      <c r="I620" s="1"/>
      <c r="J620" s="115" t="str">
        <f>IF(_xlfn.XLOOKUP(A620, AutoFill_names!B:B, AutoFill_names!K:K,"")=0,"",_xlfn.XLOOKUP(A620, AutoFill_names!B:B, AutoFill_names!K:K,""))</f>
        <v/>
      </c>
      <c r="K620" s="115" t="str">
        <f>IF(_xlfn.XLOOKUP(A620, AutoFill_names!B:B, AutoFill_names!L:L,"")=0,"",_xlfn.XLOOKUP(A620, AutoFill_names!B:B, AutoFill_names!L:L,""))</f>
        <v/>
      </c>
      <c r="L620" s="5"/>
      <c r="M620" s="5"/>
      <c r="N620" s="117" t="str">
        <f>IF(_xlfn.XLOOKUP(L620, AutoFill_classes!A:A, AutoFill_classes!B:B,"")=0,"",_xlfn.XLOOKUP(L620, AutoFill_classes!A:A, AutoFill_classes!B:B,""))</f>
        <v/>
      </c>
      <c r="O620" s="108"/>
      <c r="P620" s="8"/>
      <c r="Q620" s="8"/>
      <c r="R620" s="8"/>
      <c r="S620" s="4"/>
      <c r="T620" s="4"/>
      <c r="U620" s="4"/>
      <c r="V620" s="4"/>
      <c r="W620" s="4"/>
      <c r="X620" s="64"/>
      <c r="Y620" s="25"/>
      <c r="Z620" s="121" t="str">
        <f t="shared" si="540"/>
        <v/>
      </c>
      <c r="AA620" s="26"/>
      <c r="AB620" s="26"/>
      <c r="AC620" s="28"/>
      <c r="AD620" s="28"/>
      <c r="AE620" s="125" t="str">
        <f t="shared" si="541"/>
        <v/>
      </c>
      <c r="AF620" s="9"/>
      <c r="AG620" s="125" t="str">
        <f t="shared" si="542"/>
        <v/>
      </c>
      <c r="AH620" s="28"/>
      <c r="AI620" s="28"/>
      <c r="AJ620" s="125" t="str">
        <f t="shared" si="543"/>
        <v/>
      </c>
      <c r="AK620" s="9"/>
      <c r="AL620" s="125" t="str">
        <f t="shared" si="544"/>
        <v/>
      </c>
      <c r="AM620" s="28"/>
      <c r="AN620" s="28"/>
      <c r="AO620" s="125" t="str">
        <f t="shared" si="545"/>
        <v/>
      </c>
      <c r="AP620" s="125" t="str">
        <f t="shared" si="546"/>
        <v/>
      </c>
      <c r="AQ620" s="125" t="str">
        <f t="shared" si="547"/>
        <v/>
      </c>
      <c r="AR620" s="129" t="str">
        <f t="shared" si="548"/>
        <v/>
      </c>
      <c r="AS620" s="9"/>
      <c r="AT620" s="34"/>
      <c r="AU620" s="34"/>
      <c r="AV620" s="117" t="str">
        <f>IF(_xlfn.XLOOKUP(AT620, AutoFill_classes!$A:$A, AutoFill_classes!$B:$B,"")=0,"",_xlfn.XLOOKUP(AT620, AutoFill_classes!$A:$A, AutoFill_classes!$B:$B,""))</f>
        <v/>
      </c>
      <c r="AW620" s="108"/>
      <c r="AX620" s="9"/>
      <c r="AY620" s="10"/>
      <c r="AZ620" s="9"/>
      <c r="BA620" s="10"/>
      <c r="BB620" s="10"/>
      <c r="BC620" s="64"/>
      <c r="BD620" s="25"/>
      <c r="BE620" s="121" t="str">
        <f t="shared" si="549"/>
        <v/>
      </c>
      <c r="BF620" s="20"/>
      <c r="BG620" s="20"/>
      <c r="BH620" s="24"/>
      <c r="BI620" s="24"/>
      <c r="BJ620" s="125" t="str">
        <f t="shared" si="550"/>
        <v/>
      </c>
      <c r="BK620" s="14"/>
      <c r="BL620" s="125" t="str">
        <f t="shared" si="551"/>
        <v/>
      </c>
      <c r="BM620" s="24"/>
      <c r="BN620" s="24"/>
      <c r="BO620" s="125" t="str">
        <f t="shared" si="552"/>
        <v/>
      </c>
      <c r="BP620" s="14"/>
      <c r="BQ620" s="125" t="str">
        <f t="shared" si="553"/>
        <v/>
      </c>
      <c r="BR620" s="24"/>
      <c r="BS620" s="24"/>
      <c r="BT620" s="125" t="str">
        <f t="shared" si="554"/>
        <v/>
      </c>
      <c r="BU620" s="125" t="str">
        <f t="shared" si="555"/>
        <v/>
      </c>
      <c r="BV620" s="125" t="str">
        <f t="shared" si="556"/>
        <v/>
      </c>
      <c r="BW620" s="129" t="str">
        <f t="shared" si="557"/>
        <v/>
      </c>
      <c r="BX620" s="9"/>
      <c r="BY620" s="9"/>
      <c r="BZ620" s="9"/>
      <c r="CA620" s="117" t="str">
        <f>IF(_xlfn.XLOOKUP(BY620, AutoFill_classes!$A:$A, AutoFill_classes!$B:$B,"")=0,"",_xlfn.XLOOKUP(BY620, AutoFill_classes!$A:$A, AutoFill_classes!$B:$B,""))</f>
        <v/>
      </c>
      <c r="CB620" s="108"/>
      <c r="CC620" s="9"/>
      <c r="CD620" s="9"/>
      <c r="CE620" s="9"/>
      <c r="CF620" s="4"/>
      <c r="CG620" s="25"/>
      <c r="CH620" s="64"/>
      <c r="CI620" s="27"/>
      <c r="CJ620" s="121" t="str">
        <f t="shared" si="558"/>
        <v/>
      </c>
      <c r="CK620" s="20"/>
      <c r="CL620" s="20"/>
      <c r="CM620" s="24"/>
      <c r="CN620" s="24"/>
      <c r="CO620" s="125" t="str">
        <f t="shared" si="559"/>
        <v/>
      </c>
      <c r="CP620" s="14"/>
      <c r="CQ620" s="125" t="str">
        <f t="shared" si="560"/>
        <v/>
      </c>
      <c r="CR620" s="24"/>
      <c r="CS620" s="24"/>
      <c r="CT620" s="125" t="str">
        <f t="shared" si="561"/>
        <v/>
      </c>
      <c r="CU620" s="14"/>
      <c r="CV620" s="125" t="str">
        <f t="shared" si="562"/>
        <v/>
      </c>
      <c r="CW620" s="24"/>
      <c r="CX620" s="24"/>
      <c r="CY620" s="125" t="str">
        <f t="shared" si="563"/>
        <v/>
      </c>
      <c r="CZ620" s="125" t="str">
        <f t="shared" si="564"/>
        <v/>
      </c>
      <c r="DA620" s="125" t="str">
        <f t="shared" si="565"/>
        <v/>
      </c>
      <c r="DB620" s="129" t="str">
        <f t="shared" si="566"/>
        <v/>
      </c>
      <c r="DC620" s="9"/>
      <c r="DD620" s="65"/>
      <c r="DE620" s="105">
        <v>616</v>
      </c>
    </row>
    <row r="621" spans="1:109" outlineLevel="1" x14ac:dyDescent="0.2">
      <c r="A621" s="4"/>
      <c r="B621" s="115" t="str">
        <f>IF(_xlfn.XLOOKUP(A621, AutoFill_names!B:B, AutoFill_names!C:C,"")=0,"",_xlfn.XLOOKUP(A621, AutoFill_names!B:B, AutoFill_names!C:C,""))</f>
        <v/>
      </c>
      <c r="C621" s="115" t="str">
        <f>IF(_xlfn.XLOOKUP(A621, AutoFill_names!B:B, AutoFill_names!D:D,"")=0,"",_xlfn.XLOOKUP(A621, AutoFill_names!B:B, AutoFill_names!D:D,""))</f>
        <v/>
      </c>
      <c r="D621" s="115" t="str">
        <f>IF(_xlfn.XLOOKUP(A621, AutoFill_names!B:B, AutoFill_names!E:E,"")=0,"",_xlfn.XLOOKUP(A621, AutoFill_names!B:B, AutoFill_names!E:E,""))</f>
        <v/>
      </c>
      <c r="E621" s="115" t="str">
        <f>IF(_xlfn.XLOOKUP(A621, AutoFill_names!B:B, AutoFill_names!F:F,"")=0,"",_xlfn.XLOOKUP(A621, AutoFill_names!B:B, AutoFill_names!F:F,""))</f>
        <v/>
      </c>
      <c r="F621" s="92"/>
      <c r="G621" s="1"/>
      <c r="H621" s="1"/>
      <c r="I621" s="1"/>
      <c r="J621" s="115" t="str">
        <f>IF(_xlfn.XLOOKUP(A621, AutoFill_names!B:B, AutoFill_names!K:K,"")=0,"",_xlfn.XLOOKUP(A621, AutoFill_names!B:B, AutoFill_names!K:K,""))</f>
        <v/>
      </c>
      <c r="K621" s="115" t="str">
        <f>IF(_xlfn.XLOOKUP(A621, AutoFill_names!B:B, AutoFill_names!L:L,"")=0,"",_xlfn.XLOOKUP(A621, AutoFill_names!B:B, AutoFill_names!L:L,""))</f>
        <v/>
      </c>
      <c r="L621" s="5"/>
      <c r="M621" s="5"/>
      <c r="N621" s="117" t="str">
        <f>IF(_xlfn.XLOOKUP(L621, AutoFill_classes!A:A, AutoFill_classes!B:B,"")=0,"",_xlfn.XLOOKUP(L621, AutoFill_classes!A:A, AutoFill_classes!B:B,""))</f>
        <v/>
      </c>
      <c r="O621" s="108"/>
      <c r="P621" s="8"/>
      <c r="Q621" s="8"/>
      <c r="R621" s="8"/>
      <c r="S621" s="4"/>
      <c r="T621" s="4"/>
      <c r="U621" s="4"/>
      <c r="V621" s="4"/>
      <c r="W621" s="4"/>
      <c r="X621" s="64"/>
      <c r="Y621" s="25"/>
      <c r="Z621" s="121" t="str">
        <f t="shared" si="540"/>
        <v/>
      </c>
      <c r="AA621" s="26"/>
      <c r="AB621" s="26"/>
      <c r="AC621" s="28"/>
      <c r="AD621" s="28"/>
      <c r="AE621" s="125" t="str">
        <f t="shared" si="541"/>
        <v/>
      </c>
      <c r="AF621" s="9"/>
      <c r="AG621" s="125" t="str">
        <f t="shared" si="542"/>
        <v/>
      </c>
      <c r="AH621" s="28"/>
      <c r="AI621" s="28"/>
      <c r="AJ621" s="125" t="str">
        <f t="shared" si="543"/>
        <v/>
      </c>
      <c r="AK621" s="9"/>
      <c r="AL621" s="125" t="str">
        <f t="shared" si="544"/>
        <v/>
      </c>
      <c r="AM621" s="28"/>
      <c r="AN621" s="28"/>
      <c r="AO621" s="125" t="str">
        <f t="shared" si="545"/>
        <v/>
      </c>
      <c r="AP621" s="125" t="str">
        <f t="shared" si="546"/>
        <v/>
      </c>
      <c r="AQ621" s="125" t="str">
        <f t="shared" si="547"/>
        <v/>
      </c>
      <c r="AR621" s="129" t="str">
        <f t="shared" si="548"/>
        <v/>
      </c>
      <c r="AS621" s="9"/>
      <c r="AT621" s="34"/>
      <c r="AU621" s="34"/>
      <c r="AV621" s="117" t="str">
        <f>IF(_xlfn.XLOOKUP(AT621, AutoFill_classes!$A:$A, AutoFill_classes!$B:$B,"")=0,"",_xlfn.XLOOKUP(AT621, AutoFill_classes!$A:$A, AutoFill_classes!$B:$B,""))</f>
        <v/>
      </c>
      <c r="AW621" s="108"/>
      <c r="AX621" s="9"/>
      <c r="AY621" s="10"/>
      <c r="AZ621" s="9"/>
      <c r="BA621" s="10"/>
      <c r="BB621" s="10"/>
      <c r="BC621" s="64"/>
      <c r="BD621" s="25"/>
      <c r="BE621" s="121" t="str">
        <f t="shared" si="549"/>
        <v/>
      </c>
      <c r="BF621" s="20"/>
      <c r="BG621" s="20"/>
      <c r="BH621" s="24"/>
      <c r="BI621" s="24"/>
      <c r="BJ621" s="125" t="str">
        <f t="shared" si="550"/>
        <v/>
      </c>
      <c r="BK621" s="14"/>
      <c r="BL621" s="125" t="str">
        <f t="shared" si="551"/>
        <v/>
      </c>
      <c r="BM621" s="24"/>
      <c r="BN621" s="24"/>
      <c r="BO621" s="125" t="str">
        <f t="shared" si="552"/>
        <v/>
      </c>
      <c r="BP621" s="14"/>
      <c r="BQ621" s="125" t="str">
        <f t="shared" si="553"/>
        <v/>
      </c>
      <c r="BR621" s="24"/>
      <c r="BS621" s="24"/>
      <c r="BT621" s="125" t="str">
        <f t="shared" si="554"/>
        <v/>
      </c>
      <c r="BU621" s="125" t="str">
        <f t="shared" si="555"/>
        <v/>
      </c>
      <c r="BV621" s="125" t="str">
        <f t="shared" si="556"/>
        <v/>
      </c>
      <c r="BW621" s="129" t="str">
        <f t="shared" si="557"/>
        <v/>
      </c>
      <c r="BX621" s="9"/>
      <c r="BY621" s="9"/>
      <c r="BZ621" s="9"/>
      <c r="CA621" s="117" t="str">
        <f>IF(_xlfn.XLOOKUP(BY621, AutoFill_classes!$A:$A, AutoFill_classes!$B:$B,"")=0,"",_xlfn.XLOOKUP(BY621, AutoFill_classes!$A:$A, AutoFill_classes!$B:$B,""))</f>
        <v/>
      </c>
      <c r="CB621" s="108"/>
      <c r="CC621" s="9"/>
      <c r="CD621" s="9"/>
      <c r="CE621" s="9"/>
      <c r="CF621" s="4"/>
      <c r="CG621" s="25"/>
      <c r="CH621" s="64"/>
      <c r="CI621" s="27"/>
      <c r="CJ621" s="121" t="str">
        <f t="shared" si="558"/>
        <v/>
      </c>
      <c r="CK621" s="20"/>
      <c r="CL621" s="20"/>
      <c r="CM621" s="24"/>
      <c r="CN621" s="24"/>
      <c r="CO621" s="125" t="str">
        <f t="shared" si="559"/>
        <v/>
      </c>
      <c r="CP621" s="14"/>
      <c r="CQ621" s="125" t="str">
        <f t="shared" si="560"/>
        <v/>
      </c>
      <c r="CR621" s="24"/>
      <c r="CS621" s="24"/>
      <c r="CT621" s="125" t="str">
        <f t="shared" si="561"/>
        <v/>
      </c>
      <c r="CU621" s="14"/>
      <c r="CV621" s="125" t="str">
        <f t="shared" si="562"/>
        <v/>
      </c>
      <c r="CW621" s="24"/>
      <c r="CX621" s="24"/>
      <c r="CY621" s="125" t="str">
        <f t="shared" si="563"/>
        <v/>
      </c>
      <c r="CZ621" s="125" t="str">
        <f t="shared" si="564"/>
        <v/>
      </c>
      <c r="DA621" s="125" t="str">
        <f t="shared" si="565"/>
        <v/>
      </c>
      <c r="DB621" s="129" t="str">
        <f t="shared" si="566"/>
        <v/>
      </c>
      <c r="DC621" s="9"/>
      <c r="DD621" s="65"/>
      <c r="DE621" s="105">
        <v>617</v>
      </c>
    </row>
    <row r="622" spans="1:109" outlineLevel="1" x14ac:dyDescent="0.2">
      <c r="A622" s="4"/>
      <c r="B622" s="115" t="str">
        <f>IF(_xlfn.XLOOKUP(A622, AutoFill_names!B:B, AutoFill_names!C:C,"")=0,"",_xlfn.XLOOKUP(A622, AutoFill_names!B:B, AutoFill_names!C:C,""))</f>
        <v/>
      </c>
      <c r="C622" s="115" t="str">
        <f>IF(_xlfn.XLOOKUP(A622, AutoFill_names!B:B, AutoFill_names!D:D,"")=0,"",_xlfn.XLOOKUP(A622, AutoFill_names!B:B, AutoFill_names!D:D,""))</f>
        <v/>
      </c>
      <c r="D622" s="115" t="str">
        <f>IF(_xlfn.XLOOKUP(A622, AutoFill_names!B:B, AutoFill_names!E:E,"")=0,"",_xlfn.XLOOKUP(A622, AutoFill_names!B:B, AutoFill_names!E:E,""))</f>
        <v/>
      </c>
      <c r="E622" s="115" t="str">
        <f>IF(_xlfn.XLOOKUP(A622, AutoFill_names!B:B, AutoFill_names!F:F,"")=0,"",_xlfn.XLOOKUP(A622, AutoFill_names!B:B, AutoFill_names!F:F,""))</f>
        <v/>
      </c>
      <c r="F622" s="92"/>
      <c r="G622" s="1"/>
      <c r="H622" s="1"/>
      <c r="I622" s="1"/>
      <c r="J622" s="115" t="str">
        <f>IF(_xlfn.XLOOKUP(A622, AutoFill_names!B:B, AutoFill_names!K:K,"")=0,"",_xlfn.XLOOKUP(A622, AutoFill_names!B:B, AutoFill_names!K:K,""))</f>
        <v/>
      </c>
      <c r="K622" s="115" t="str">
        <f>IF(_xlfn.XLOOKUP(A622, AutoFill_names!B:B, AutoFill_names!L:L,"")=0,"",_xlfn.XLOOKUP(A622, AutoFill_names!B:B, AutoFill_names!L:L,""))</f>
        <v/>
      </c>
      <c r="L622" s="5"/>
      <c r="M622" s="5"/>
      <c r="N622" s="117" t="str">
        <f>IF(_xlfn.XLOOKUP(L622, AutoFill_classes!A:A, AutoFill_classes!B:B,"")=0,"",_xlfn.XLOOKUP(L622, AutoFill_classes!A:A, AutoFill_classes!B:B,""))</f>
        <v/>
      </c>
      <c r="O622" s="108"/>
      <c r="P622" s="8"/>
      <c r="Q622" s="8"/>
      <c r="R622" s="8"/>
      <c r="S622" s="4"/>
      <c r="T622" s="4"/>
      <c r="U622" s="4"/>
      <c r="V622" s="4"/>
      <c r="W622" s="4"/>
      <c r="X622" s="64"/>
      <c r="Y622" s="25"/>
      <c r="Z622" s="121" t="str">
        <f t="shared" si="540"/>
        <v/>
      </c>
      <c r="AA622" s="26"/>
      <c r="AB622" s="26"/>
      <c r="AC622" s="28"/>
      <c r="AD622" s="28"/>
      <c r="AE622" s="125" t="str">
        <f t="shared" si="541"/>
        <v/>
      </c>
      <c r="AF622" s="9"/>
      <c r="AG622" s="125" t="str">
        <f t="shared" si="542"/>
        <v/>
      </c>
      <c r="AH622" s="28"/>
      <c r="AI622" s="28"/>
      <c r="AJ622" s="125" t="str">
        <f t="shared" si="543"/>
        <v/>
      </c>
      <c r="AK622" s="9"/>
      <c r="AL622" s="125" t="str">
        <f t="shared" si="544"/>
        <v/>
      </c>
      <c r="AM622" s="28"/>
      <c r="AN622" s="28"/>
      <c r="AO622" s="125" t="str">
        <f t="shared" si="545"/>
        <v/>
      </c>
      <c r="AP622" s="125" t="str">
        <f t="shared" si="546"/>
        <v/>
      </c>
      <c r="AQ622" s="125" t="str">
        <f t="shared" si="547"/>
        <v/>
      </c>
      <c r="AR622" s="129" t="str">
        <f t="shared" si="548"/>
        <v/>
      </c>
      <c r="AS622" s="9"/>
      <c r="AT622" s="34"/>
      <c r="AU622" s="34"/>
      <c r="AV622" s="117" t="str">
        <f>IF(_xlfn.XLOOKUP(AT622, AutoFill_classes!$A:$A, AutoFill_classes!$B:$B,"")=0,"",_xlfn.XLOOKUP(AT622, AutoFill_classes!$A:$A, AutoFill_classes!$B:$B,""))</f>
        <v/>
      </c>
      <c r="AW622" s="108"/>
      <c r="AX622" s="9"/>
      <c r="AY622" s="10"/>
      <c r="AZ622" s="9"/>
      <c r="BA622" s="10"/>
      <c r="BB622" s="10"/>
      <c r="BC622" s="64"/>
      <c r="BD622" s="25"/>
      <c r="BE622" s="121" t="str">
        <f t="shared" si="549"/>
        <v/>
      </c>
      <c r="BF622" s="20"/>
      <c r="BG622" s="20"/>
      <c r="BH622" s="24"/>
      <c r="BI622" s="24"/>
      <c r="BJ622" s="125" t="str">
        <f t="shared" si="550"/>
        <v/>
      </c>
      <c r="BK622" s="14"/>
      <c r="BL622" s="125" t="str">
        <f t="shared" si="551"/>
        <v/>
      </c>
      <c r="BM622" s="24"/>
      <c r="BN622" s="24"/>
      <c r="BO622" s="125" t="str">
        <f t="shared" si="552"/>
        <v/>
      </c>
      <c r="BP622" s="14"/>
      <c r="BQ622" s="125" t="str">
        <f t="shared" si="553"/>
        <v/>
      </c>
      <c r="BR622" s="24"/>
      <c r="BS622" s="24"/>
      <c r="BT622" s="125" t="str">
        <f t="shared" si="554"/>
        <v/>
      </c>
      <c r="BU622" s="125" t="str">
        <f t="shared" si="555"/>
        <v/>
      </c>
      <c r="BV622" s="125" t="str">
        <f t="shared" si="556"/>
        <v/>
      </c>
      <c r="BW622" s="129" t="str">
        <f t="shared" si="557"/>
        <v/>
      </c>
      <c r="BX622" s="9"/>
      <c r="BY622" s="9"/>
      <c r="BZ622" s="9"/>
      <c r="CA622" s="117" t="str">
        <f>IF(_xlfn.XLOOKUP(BY622, AutoFill_classes!$A:$A, AutoFill_classes!$B:$B,"")=0,"",_xlfn.XLOOKUP(BY622, AutoFill_classes!$A:$A, AutoFill_classes!$B:$B,""))</f>
        <v/>
      </c>
      <c r="CB622" s="108"/>
      <c r="CC622" s="9"/>
      <c r="CD622" s="9"/>
      <c r="CE622" s="9"/>
      <c r="CF622" s="4"/>
      <c r="CG622" s="25"/>
      <c r="CH622" s="64"/>
      <c r="CI622" s="27"/>
      <c r="CJ622" s="121" t="str">
        <f t="shared" si="558"/>
        <v/>
      </c>
      <c r="CK622" s="20"/>
      <c r="CL622" s="20"/>
      <c r="CM622" s="24"/>
      <c r="CN622" s="24"/>
      <c r="CO622" s="125" t="str">
        <f t="shared" si="559"/>
        <v/>
      </c>
      <c r="CP622" s="14"/>
      <c r="CQ622" s="125" t="str">
        <f t="shared" si="560"/>
        <v/>
      </c>
      <c r="CR622" s="24"/>
      <c r="CS622" s="24"/>
      <c r="CT622" s="125" t="str">
        <f t="shared" si="561"/>
        <v/>
      </c>
      <c r="CU622" s="14"/>
      <c r="CV622" s="125" t="str">
        <f t="shared" si="562"/>
        <v/>
      </c>
      <c r="CW622" s="24"/>
      <c r="CX622" s="24"/>
      <c r="CY622" s="125" t="str">
        <f t="shared" si="563"/>
        <v/>
      </c>
      <c r="CZ622" s="125" t="str">
        <f t="shared" si="564"/>
        <v/>
      </c>
      <c r="DA622" s="125" t="str">
        <f t="shared" si="565"/>
        <v/>
      </c>
      <c r="DB622" s="129" t="str">
        <f t="shared" si="566"/>
        <v/>
      </c>
      <c r="DC622" s="9"/>
      <c r="DD622" s="65"/>
      <c r="DE622" s="105">
        <v>618</v>
      </c>
    </row>
    <row r="623" spans="1:109" outlineLevel="1" x14ac:dyDescent="0.2">
      <c r="A623" s="4"/>
      <c r="B623" s="115" t="str">
        <f>IF(_xlfn.XLOOKUP(A623, AutoFill_names!B:B, AutoFill_names!C:C,"")=0,"",_xlfn.XLOOKUP(A623, AutoFill_names!B:B, AutoFill_names!C:C,""))</f>
        <v/>
      </c>
      <c r="C623" s="115" t="str">
        <f>IF(_xlfn.XLOOKUP(A623, AutoFill_names!B:B, AutoFill_names!D:D,"")=0,"",_xlfn.XLOOKUP(A623, AutoFill_names!B:B, AutoFill_names!D:D,""))</f>
        <v/>
      </c>
      <c r="D623" s="115" t="str">
        <f>IF(_xlfn.XLOOKUP(A623, AutoFill_names!B:B, AutoFill_names!E:E,"")=0,"",_xlfn.XLOOKUP(A623, AutoFill_names!B:B, AutoFill_names!E:E,""))</f>
        <v/>
      </c>
      <c r="E623" s="115" t="str">
        <f>IF(_xlfn.XLOOKUP(A623, AutoFill_names!B:B, AutoFill_names!F:F,"")=0,"",_xlfn.XLOOKUP(A623, AutoFill_names!B:B, AutoFill_names!F:F,""))</f>
        <v/>
      </c>
      <c r="F623" s="92"/>
      <c r="G623" s="1"/>
      <c r="H623" s="1"/>
      <c r="I623" s="1"/>
      <c r="J623" s="115" t="str">
        <f>IF(_xlfn.XLOOKUP(A623, AutoFill_names!B:B, AutoFill_names!K:K,"")=0,"",_xlfn.XLOOKUP(A623, AutoFill_names!B:B, AutoFill_names!K:K,""))</f>
        <v/>
      </c>
      <c r="K623" s="115" t="str">
        <f>IF(_xlfn.XLOOKUP(A623, AutoFill_names!B:B, AutoFill_names!L:L,"")=0,"",_xlfn.XLOOKUP(A623, AutoFill_names!B:B, AutoFill_names!L:L,""))</f>
        <v/>
      </c>
      <c r="L623" s="5"/>
      <c r="M623" s="5"/>
      <c r="N623" s="117" t="str">
        <f>IF(_xlfn.XLOOKUP(L623, AutoFill_classes!A:A, AutoFill_classes!B:B,"")=0,"",_xlfn.XLOOKUP(L623, AutoFill_classes!A:A, AutoFill_classes!B:B,""))</f>
        <v/>
      </c>
      <c r="O623" s="108"/>
      <c r="P623" s="8"/>
      <c r="Q623" s="8"/>
      <c r="R623" s="8"/>
      <c r="S623" s="4"/>
      <c r="T623" s="4"/>
      <c r="U623" s="4"/>
      <c r="V623" s="4"/>
      <c r="W623" s="4"/>
      <c r="X623" s="64"/>
      <c r="Y623" s="25"/>
      <c r="Z623" s="121" t="str">
        <f t="shared" si="540"/>
        <v/>
      </c>
      <c r="AA623" s="26"/>
      <c r="AB623" s="26"/>
      <c r="AC623" s="28"/>
      <c r="AD623" s="28"/>
      <c r="AE623" s="125" t="str">
        <f t="shared" si="541"/>
        <v/>
      </c>
      <c r="AF623" s="9"/>
      <c r="AG623" s="125" t="str">
        <f t="shared" si="542"/>
        <v/>
      </c>
      <c r="AH623" s="28"/>
      <c r="AI623" s="28"/>
      <c r="AJ623" s="125" t="str">
        <f t="shared" si="543"/>
        <v/>
      </c>
      <c r="AK623" s="9"/>
      <c r="AL623" s="125" t="str">
        <f t="shared" si="544"/>
        <v/>
      </c>
      <c r="AM623" s="28"/>
      <c r="AN623" s="28"/>
      <c r="AO623" s="125" t="str">
        <f t="shared" si="545"/>
        <v/>
      </c>
      <c r="AP623" s="125" t="str">
        <f t="shared" si="546"/>
        <v/>
      </c>
      <c r="AQ623" s="125" t="str">
        <f t="shared" si="547"/>
        <v/>
      </c>
      <c r="AR623" s="129" t="str">
        <f t="shared" si="548"/>
        <v/>
      </c>
      <c r="AS623" s="9"/>
      <c r="AT623" s="34"/>
      <c r="AU623" s="34"/>
      <c r="AV623" s="117" t="str">
        <f>IF(_xlfn.XLOOKUP(AT623, AutoFill_classes!$A:$A, AutoFill_classes!$B:$B,"")=0,"",_xlfn.XLOOKUP(AT623, AutoFill_classes!$A:$A, AutoFill_classes!$B:$B,""))</f>
        <v/>
      </c>
      <c r="AW623" s="108"/>
      <c r="AX623" s="9"/>
      <c r="AY623" s="10"/>
      <c r="AZ623" s="9"/>
      <c r="BA623" s="10"/>
      <c r="BB623" s="10"/>
      <c r="BC623" s="64"/>
      <c r="BD623" s="25"/>
      <c r="BE623" s="121" t="str">
        <f t="shared" si="549"/>
        <v/>
      </c>
      <c r="BF623" s="20"/>
      <c r="BG623" s="20"/>
      <c r="BH623" s="24"/>
      <c r="BI623" s="24"/>
      <c r="BJ623" s="125" t="str">
        <f t="shared" si="550"/>
        <v/>
      </c>
      <c r="BK623" s="14"/>
      <c r="BL623" s="125" t="str">
        <f t="shared" si="551"/>
        <v/>
      </c>
      <c r="BM623" s="24"/>
      <c r="BN623" s="24"/>
      <c r="BO623" s="125" t="str">
        <f t="shared" si="552"/>
        <v/>
      </c>
      <c r="BP623" s="14"/>
      <c r="BQ623" s="125" t="str">
        <f t="shared" si="553"/>
        <v/>
      </c>
      <c r="BR623" s="24"/>
      <c r="BS623" s="24"/>
      <c r="BT623" s="125" t="str">
        <f t="shared" si="554"/>
        <v/>
      </c>
      <c r="BU623" s="125" t="str">
        <f t="shared" si="555"/>
        <v/>
      </c>
      <c r="BV623" s="125" t="str">
        <f t="shared" si="556"/>
        <v/>
      </c>
      <c r="BW623" s="129" t="str">
        <f t="shared" si="557"/>
        <v/>
      </c>
      <c r="BX623" s="9"/>
      <c r="BY623" s="9"/>
      <c r="BZ623" s="9"/>
      <c r="CA623" s="117" t="str">
        <f>IF(_xlfn.XLOOKUP(BY623, AutoFill_classes!$A:$A, AutoFill_classes!$B:$B,"")=0,"",_xlfn.XLOOKUP(BY623, AutoFill_classes!$A:$A, AutoFill_classes!$B:$B,""))</f>
        <v/>
      </c>
      <c r="CB623" s="108"/>
      <c r="CC623" s="9"/>
      <c r="CD623" s="9"/>
      <c r="CE623" s="9"/>
      <c r="CF623" s="4"/>
      <c r="CG623" s="25"/>
      <c r="CH623" s="64"/>
      <c r="CI623" s="27"/>
      <c r="CJ623" s="121" t="str">
        <f t="shared" si="558"/>
        <v/>
      </c>
      <c r="CK623" s="20"/>
      <c r="CL623" s="20"/>
      <c r="CM623" s="24"/>
      <c r="CN623" s="24"/>
      <c r="CO623" s="125" t="str">
        <f t="shared" si="559"/>
        <v/>
      </c>
      <c r="CP623" s="14"/>
      <c r="CQ623" s="125" t="str">
        <f t="shared" si="560"/>
        <v/>
      </c>
      <c r="CR623" s="24"/>
      <c r="CS623" s="24"/>
      <c r="CT623" s="125" t="str">
        <f t="shared" si="561"/>
        <v/>
      </c>
      <c r="CU623" s="14"/>
      <c r="CV623" s="125" t="str">
        <f t="shared" si="562"/>
        <v/>
      </c>
      <c r="CW623" s="24"/>
      <c r="CX623" s="24"/>
      <c r="CY623" s="125" t="str">
        <f t="shared" si="563"/>
        <v/>
      </c>
      <c r="CZ623" s="125" t="str">
        <f t="shared" si="564"/>
        <v/>
      </c>
      <c r="DA623" s="125" t="str">
        <f t="shared" si="565"/>
        <v/>
      </c>
      <c r="DB623" s="129" t="str">
        <f t="shared" si="566"/>
        <v/>
      </c>
      <c r="DC623" s="9"/>
      <c r="DD623" s="65"/>
      <c r="DE623" s="105">
        <v>619</v>
      </c>
    </row>
    <row r="624" spans="1:109" outlineLevel="1" x14ac:dyDescent="0.2">
      <c r="A624" s="4"/>
      <c r="B624" s="115" t="str">
        <f>IF(_xlfn.XLOOKUP(A624, AutoFill_names!B:B, AutoFill_names!C:C,"")=0,"",_xlfn.XLOOKUP(A624, AutoFill_names!B:B, AutoFill_names!C:C,""))</f>
        <v/>
      </c>
      <c r="C624" s="115" t="str">
        <f>IF(_xlfn.XLOOKUP(A624, AutoFill_names!B:B, AutoFill_names!D:D,"")=0,"",_xlfn.XLOOKUP(A624, AutoFill_names!B:B, AutoFill_names!D:D,""))</f>
        <v/>
      </c>
      <c r="D624" s="115" t="str">
        <f>IF(_xlfn.XLOOKUP(A624, AutoFill_names!B:B, AutoFill_names!E:E,"")=0,"",_xlfn.XLOOKUP(A624, AutoFill_names!B:B, AutoFill_names!E:E,""))</f>
        <v/>
      </c>
      <c r="E624" s="115" t="str">
        <f>IF(_xlfn.XLOOKUP(A624, AutoFill_names!B:B, AutoFill_names!F:F,"")=0,"",_xlfn.XLOOKUP(A624, AutoFill_names!B:B, AutoFill_names!F:F,""))</f>
        <v/>
      </c>
      <c r="F624" s="92"/>
      <c r="G624" s="1"/>
      <c r="H624" s="1"/>
      <c r="I624" s="1"/>
      <c r="J624" s="115" t="str">
        <f>IF(_xlfn.XLOOKUP(A624, AutoFill_names!B:B, AutoFill_names!K:K,"")=0,"",_xlfn.XLOOKUP(A624, AutoFill_names!B:B, AutoFill_names!K:K,""))</f>
        <v/>
      </c>
      <c r="K624" s="115" t="str">
        <f>IF(_xlfn.XLOOKUP(A624, AutoFill_names!B:B, AutoFill_names!L:L,"")=0,"",_xlfn.XLOOKUP(A624, AutoFill_names!B:B, AutoFill_names!L:L,""))</f>
        <v/>
      </c>
      <c r="L624" s="5"/>
      <c r="M624" s="5"/>
      <c r="N624" s="117" t="str">
        <f>IF(_xlfn.XLOOKUP(L624, AutoFill_classes!A:A, AutoFill_classes!B:B,"")=0,"",_xlfn.XLOOKUP(L624, AutoFill_classes!A:A, AutoFill_classes!B:B,""))</f>
        <v/>
      </c>
      <c r="O624" s="108"/>
      <c r="P624" s="8"/>
      <c r="Q624" s="8"/>
      <c r="R624" s="8"/>
      <c r="S624" s="4"/>
      <c r="T624" s="4"/>
      <c r="U624" s="4"/>
      <c r="V624" s="4"/>
      <c r="W624" s="4"/>
      <c r="X624" s="64"/>
      <c r="Y624" s="25"/>
      <c r="Z624" s="121" t="str">
        <f t="shared" si="540"/>
        <v/>
      </c>
      <c r="AA624" s="26"/>
      <c r="AB624" s="26"/>
      <c r="AC624" s="28"/>
      <c r="AD624" s="28"/>
      <c r="AE624" s="125" t="str">
        <f t="shared" si="541"/>
        <v/>
      </c>
      <c r="AF624" s="9"/>
      <c r="AG624" s="125" t="str">
        <f t="shared" si="542"/>
        <v/>
      </c>
      <c r="AH624" s="28"/>
      <c r="AI624" s="28"/>
      <c r="AJ624" s="125" t="str">
        <f t="shared" si="543"/>
        <v/>
      </c>
      <c r="AK624" s="9"/>
      <c r="AL624" s="125" t="str">
        <f t="shared" si="544"/>
        <v/>
      </c>
      <c r="AM624" s="28"/>
      <c r="AN624" s="28"/>
      <c r="AO624" s="125" t="str">
        <f t="shared" si="545"/>
        <v/>
      </c>
      <c r="AP624" s="125" t="str">
        <f t="shared" si="546"/>
        <v/>
      </c>
      <c r="AQ624" s="125" t="str">
        <f t="shared" si="547"/>
        <v/>
      </c>
      <c r="AR624" s="129" t="str">
        <f t="shared" si="548"/>
        <v/>
      </c>
      <c r="AS624" s="9"/>
      <c r="AT624" s="34"/>
      <c r="AU624" s="34"/>
      <c r="AV624" s="117" t="str">
        <f>IF(_xlfn.XLOOKUP(AT624, AutoFill_classes!$A:$A, AutoFill_classes!$B:$B,"")=0,"",_xlfn.XLOOKUP(AT624, AutoFill_classes!$A:$A, AutoFill_classes!$B:$B,""))</f>
        <v/>
      </c>
      <c r="AW624" s="108"/>
      <c r="AX624" s="9"/>
      <c r="AY624" s="10"/>
      <c r="AZ624" s="9"/>
      <c r="BA624" s="10"/>
      <c r="BB624" s="10"/>
      <c r="BC624" s="64"/>
      <c r="BD624" s="25"/>
      <c r="BE624" s="121" t="str">
        <f t="shared" si="549"/>
        <v/>
      </c>
      <c r="BF624" s="20"/>
      <c r="BG624" s="20"/>
      <c r="BH624" s="24"/>
      <c r="BI624" s="24"/>
      <c r="BJ624" s="125" t="str">
        <f t="shared" si="550"/>
        <v/>
      </c>
      <c r="BK624" s="14"/>
      <c r="BL624" s="125" t="str">
        <f t="shared" si="551"/>
        <v/>
      </c>
      <c r="BM624" s="24"/>
      <c r="BN624" s="24"/>
      <c r="BO624" s="125" t="str">
        <f t="shared" si="552"/>
        <v/>
      </c>
      <c r="BP624" s="14"/>
      <c r="BQ624" s="125" t="str">
        <f t="shared" si="553"/>
        <v/>
      </c>
      <c r="BR624" s="24"/>
      <c r="BS624" s="24"/>
      <c r="BT624" s="125" t="str">
        <f t="shared" si="554"/>
        <v/>
      </c>
      <c r="BU624" s="125" t="str">
        <f t="shared" si="555"/>
        <v/>
      </c>
      <c r="BV624" s="125" t="str">
        <f t="shared" si="556"/>
        <v/>
      </c>
      <c r="BW624" s="129" t="str">
        <f t="shared" si="557"/>
        <v/>
      </c>
      <c r="BX624" s="9"/>
      <c r="BY624" s="9"/>
      <c r="BZ624" s="9"/>
      <c r="CA624" s="117" t="str">
        <f>IF(_xlfn.XLOOKUP(BY624, AutoFill_classes!$A:$A, AutoFill_classes!$B:$B,"")=0,"",_xlfn.XLOOKUP(BY624, AutoFill_classes!$A:$A, AutoFill_classes!$B:$B,""))</f>
        <v/>
      </c>
      <c r="CB624" s="108"/>
      <c r="CC624" s="9"/>
      <c r="CD624" s="9"/>
      <c r="CE624" s="9"/>
      <c r="CF624" s="4"/>
      <c r="CG624" s="25"/>
      <c r="CH624" s="64"/>
      <c r="CI624" s="27"/>
      <c r="CJ624" s="121" t="str">
        <f t="shared" si="558"/>
        <v/>
      </c>
      <c r="CK624" s="20"/>
      <c r="CL624" s="20"/>
      <c r="CM624" s="24"/>
      <c r="CN624" s="24"/>
      <c r="CO624" s="125" t="str">
        <f t="shared" si="559"/>
        <v/>
      </c>
      <c r="CP624" s="14"/>
      <c r="CQ624" s="125" t="str">
        <f t="shared" si="560"/>
        <v/>
      </c>
      <c r="CR624" s="24"/>
      <c r="CS624" s="24"/>
      <c r="CT624" s="125" t="str">
        <f t="shared" si="561"/>
        <v/>
      </c>
      <c r="CU624" s="14"/>
      <c r="CV624" s="125" t="str">
        <f t="shared" si="562"/>
        <v/>
      </c>
      <c r="CW624" s="24"/>
      <c r="CX624" s="24"/>
      <c r="CY624" s="125" t="str">
        <f t="shared" si="563"/>
        <v/>
      </c>
      <c r="CZ624" s="125" t="str">
        <f t="shared" si="564"/>
        <v/>
      </c>
      <c r="DA624" s="125" t="str">
        <f t="shared" si="565"/>
        <v/>
      </c>
      <c r="DB624" s="129" t="str">
        <f t="shared" si="566"/>
        <v/>
      </c>
      <c r="DC624" s="9"/>
      <c r="DD624" s="65"/>
      <c r="DE624" s="105">
        <v>620</v>
      </c>
    </row>
    <row r="625" spans="1:109" outlineLevel="1" x14ac:dyDescent="0.2">
      <c r="A625" s="4"/>
      <c r="B625" s="115" t="str">
        <f>IF(_xlfn.XLOOKUP(A625, AutoFill_names!B:B, AutoFill_names!C:C,"")=0,"",_xlfn.XLOOKUP(A625, AutoFill_names!B:B, AutoFill_names!C:C,""))</f>
        <v/>
      </c>
      <c r="C625" s="115" t="str">
        <f>IF(_xlfn.XLOOKUP(A625, AutoFill_names!B:B, AutoFill_names!D:D,"")=0,"",_xlfn.XLOOKUP(A625, AutoFill_names!B:B, AutoFill_names!D:D,""))</f>
        <v/>
      </c>
      <c r="D625" s="115" t="str">
        <f>IF(_xlfn.XLOOKUP(A625, AutoFill_names!B:B, AutoFill_names!E:E,"")=0,"",_xlfn.XLOOKUP(A625, AutoFill_names!B:B, AutoFill_names!E:E,""))</f>
        <v/>
      </c>
      <c r="E625" s="115" t="str">
        <f>IF(_xlfn.XLOOKUP(A625, AutoFill_names!B:B, AutoFill_names!F:F,"")=0,"",_xlfn.XLOOKUP(A625, AutoFill_names!B:B, AutoFill_names!F:F,""))</f>
        <v/>
      </c>
      <c r="F625" s="92"/>
      <c r="G625" s="1"/>
      <c r="H625" s="1"/>
      <c r="I625" s="1"/>
      <c r="J625" s="115" t="str">
        <f>IF(_xlfn.XLOOKUP(A625, AutoFill_names!B:B, AutoFill_names!K:K,"")=0,"",_xlfn.XLOOKUP(A625, AutoFill_names!B:B, AutoFill_names!K:K,""))</f>
        <v/>
      </c>
      <c r="K625" s="115" t="str">
        <f>IF(_xlfn.XLOOKUP(A625, AutoFill_names!B:B, AutoFill_names!L:L,"")=0,"",_xlfn.XLOOKUP(A625, AutoFill_names!B:B, AutoFill_names!L:L,""))</f>
        <v/>
      </c>
      <c r="L625" s="5"/>
      <c r="M625" s="5"/>
      <c r="N625" s="117" t="str">
        <f>IF(_xlfn.XLOOKUP(L625, AutoFill_classes!A:A, AutoFill_classes!B:B,"")=0,"",_xlfn.XLOOKUP(L625, AutoFill_classes!A:A, AutoFill_classes!B:B,""))</f>
        <v/>
      </c>
      <c r="O625" s="108"/>
      <c r="P625" s="8"/>
      <c r="Q625" s="8"/>
      <c r="R625" s="8"/>
      <c r="S625" s="4"/>
      <c r="T625" s="4"/>
      <c r="U625" s="4"/>
      <c r="V625" s="4"/>
      <c r="W625" s="4"/>
      <c r="X625" s="64"/>
      <c r="Y625" s="25"/>
      <c r="Z625" s="121" t="str">
        <f t="shared" si="540"/>
        <v/>
      </c>
      <c r="AA625" s="26"/>
      <c r="AB625" s="26"/>
      <c r="AC625" s="28"/>
      <c r="AD625" s="28"/>
      <c r="AE625" s="125" t="str">
        <f t="shared" si="541"/>
        <v/>
      </c>
      <c r="AF625" s="9"/>
      <c r="AG625" s="125" t="str">
        <f t="shared" si="542"/>
        <v/>
      </c>
      <c r="AH625" s="28"/>
      <c r="AI625" s="28"/>
      <c r="AJ625" s="125" t="str">
        <f t="shared" si="543"/>
        <v/>
      </c>
      <c r="AK625" s="9"/>
      <c r="AL625" s="125" t="str">
        <f t="shared" si="544"/>
        <v/>
      </c>
      <c r="AM625" s="28"/>
      <c r="AN625" s="28"/>
      <c r="AO625" s="125" t="str">
        <f t="shared" si="545"/>
        <v/>
      </c>
      <c r="AP625" s="125" t="str">
        <f t="shared" si="546"/>
        <v/>
      </c>
      <c r="AQ625" s="125" t="str">
        <f t="shared" si="547"/>
        <v/>
      </c>
      <c r="AR625" s="129" t="str">
        <f t="shared" si="548"/>
        <v/>
      </c>
      <c r="AS625" s="9"/>
      <c r="AT625" s="34"/>
      <c r="AU625" s="34"/>
      <c r="AV625" s="117" t="str">
        <f>IF(_xlfn.XLOOKUP(AT625, AutoFill_classes!$A:$A, AutoFill_classes!$B:$B,"")=0,"",_xlfn.XLOOKUP(AT625, AutoFill_classes!$A:$A, AutoFill_classes!$B:$B,""))</f>
        <v/>
      </c>
      <c r="AW625" s="108"/>
      <c r="AX625" s="9"/>
      <c r="AY625" s="10"/>
      <c r="AZ625" s="9"/>
      <c r="BA625" s="10"/>
      <c r="BB625" s="10"/>
      <c r="BC625" s="64"/>
      <c r="BD625" s="25"/>
      <c r="BE625" s="121" t="str">
        <f t="shared" si="549"/>
        <v/>
      </c>
      <c r="BF625" s="20"/>
      <c r="BG625" s="20"/>
      <c r="BH625" s="24"/>
      <c r="BI625" s="24"/>
      <c r="BJ625" s="125" t="str">
        <f t="shared" si="550"/>
        <v/>
      </c>
      <c r="BK625" s="14"/>
      <c r="BL625" s="125" t="str">
        <f t="shared" si="551"/>
        <v/>
      </c>
      <c r="BM625" s="24"/>
      <c r="BN625" s="24"/>
      <c r="BO625" s="125" t="str">
        <f t="shared" si="552"/>
        <v/>
      </c>
      <c r="BP625" s="14"/>
      <c r="BQ625" s="125" t="str">
        <f t="shared" si="553"/>
        <v/>
      </c>
      <c r="BR625" s="24"/>
      <c r="BS625" s="24"/>
      <c r="BT625" s="125" t="str">
        <f t="shared" si="554"/>
        <v/>
      </c>
      <c r="BU625" s="125" t="str">
        <f t="shared" si="555"/>
        <v/>
      </c>
      <c r="BV625" s="125" t="str">
        <f t="shared" si="556"/>
        <v/>
      </c>
      <c r="BW625" s="129" t="str">
        <f t="shared" si="557"/>
        <v/>
      </c>
      <c r="BX625" s="9"/>
      <c r="BY625" s="9"/>
      <c r="BZ625" s="9"/>
      <c r="CA625" s="117" t="str">
        <f>IF(_xlfn.XLOOKUP(BY625, AutoFill_classes!$A:$A, AutoFill_classes!$B:$B,"")=0,"",_xlfn.XLOOKUP(BY625, AutoFill_classes!$A:$A, AutoFill_classes!$B:$B,""))</f>
        <v/>
      </c>
      <c r="CB625" s="108"/>
      <c r="CC625" s="9"/>
      <c r="CD625" s="9"/>
      <c r="CE625" s="9"/>
      <c r="CF625" s="4"/>
      <c r="CG625" s="25"/>
      <c r="CH625" s="64"/>
      <c r="CI625" s="27"/>
      <c r="CJ625" s="121" t="str">
        <f t="shared" si="558"/>
        <v/>
      </c>
      <c r="CK625" s="20"/>
      <c r="CL625" s="20"/>
      <c r="CM625" s="24"/>
      <c r="CN625" s="24"/>
      <c r="CO625" s="125" t="str">
        <f t="shared" si="559"/>
        <v/>
      </c>
      <c r="CP625" s="14"/>
      <c r="CQ625" s="125" t="str">
        <f t="shared" si="560"/>
        <v/>
      </c>
      <c r="CR625" s="24"/>
      <c r="CS625" s="24"/>
      <c r="CT625" s="125" t="str">
        <f t="shared" si="561"/>
        <v/>
      </c>
      <c r="CU625" s="14"/>
      <c r="CV625" s="125" t="str">
        <f t="shared" si="562"/>
        <v/>
      </c>
      <c r="CW625" s="24"/>
      <c r="CX625" s="24"/>
      <c r="CY625" s="125" t="str">
        <f t="shared" si="563"/>
        <v/>
      </c>
      <c r="CZ625" s="125" t="str">
        <f t="shared" si="564"/>
        <v/>
      </c>
      <c r="DA625" s="125" t="str">
        <f t="shared" si="565"/>
        <v/>
      </c>
      <c r="DB625" s="129" t="str">
        <f t="shared" si="566"/>
        <v/>
      </c>
      <c r="DC625" s="9"/>
      <c r="DD625" s="65"/>
      <c r="DE625" s="105">
        <v>621</v>
      </c>
    </row>
    <row r="626" spans="1:109" x14ac:dyDescent="0.2">
      <c r="DE626" s="105">
        <v>622</v>
      </c>
    </row>
    <row r="627" spans="1:109" x14ac:dyDescent="0.2">
      <c r="DE627" s="105">
        <v>623</v>
      </c>
    </row>
    <row r="628" spans="1:109" x14ac:dyDescent="0.2">
      <c r="DE628" s="105">
        <v>624</v>
      </c>
    </row>
    <row r="629" spans="1:109" x14ac:dyDescent="0.2">
      <c r="DE629" s="105">
        <v>625</v>
      </c>
    </row>
    <row r="630" spans="1:109" x14ac:dyDescent="0.2">
      <c r="DE630" s="105">
        <v>626</v>
      </c>
    </row>
    <row r="631" spans="1:109" x14ac:dyDescent="0.2">
      <c r="DE631" s="105">
        <v>627</v>
      </c>
    </row>
    <row r="632" spans="1:109" x14ac:dyDescent="0.2">
      <c r="DE632" s="105">
        <v>628</v>
      </c>
    </row>
    <row r="633" spans="1:109" x14ac:dyDescent="0.2">
      <c r="DE633" s="105">
        <v>629</v>
      </c>
    </row>
    <row r="634" spans="1:109" x14ac:dyDescent="0.2">
      <c r="DE634" s="105">
        <v>630</v>
      </c>
    </row>
    <row r="635" spans="1:109" x14ac:dyDescent="0.2">
      <c r="DE635" s="105">
        <v>631</v>
      </c>
    </row>
    <row r="636" spans="1:109" x14ac:dyDescent="0.2">
      <c r="DE636" s="105">
        <v>632</v>
      </c>
    </row>
    <row r="637" spans="1:109" x14ac:dyDescent="0.2">
      <c r="DE637" s="105">
        <v>633</v>
      </c>
    </row>
    <row r="638" spans="1:109" x14ac:dyDescent="0.2">
      <c r="DE638" s="105">
        <v>634</v>
      </c>
    </row>
    <row r="639" spans="1:109" x14ac:dyDescent="0.2">
      <c r="DE639" s="105">
        <v>635</v>
      </c>
    </row>
    <row r="640" spans="1:109" x14ac:dyDescent="0.2">
      <c r="DE640" s="105">
        <v>636</v>
      </c>
    </row>
    <row r="641" spans="109:109" x14ac:dyDescent="0.2">
      <c r="DE641" s="105">
        <v>637</v>
      </c>
    </row>
    <row r="642" spans="109:109" x14ac:dyDescent="0.2">
      <c r="DE642" s="105">
        <v>638</v>
      </c>
    </row>
    <row r="643" spans="109:109" x14ac:dyDescent="0.2">
      <c r="DE643" s="105">
        <v>639</v>
      </c>
    </row>
    <row r="644" spans="109:109" x14ac:dyDescent="0.2">
      <c r="DE644" s="105">
        <v>640</v>
      </c>
    </row>
    <row r="645" spans="109:109" x14ac:dyDescent="0.2">
      <c r="DE645" s="105">
        <v>641</v>
      </c>
    </row>
    <row r="646" spans="109:109" x14ac:dyDescent="0.2">
      <c r="DE646" s="105">
        <v>642</v>
      </c>
    </row>
    <row r="647" spans="109:109" x14ac:dyDescent="0.2">
      <c r="DE647" s="105">
        <v>643</v>
      </c>
    </row>
    <row r="648" spans="109:109" x14ac:dyDescent="0.2">
      <c r="DE648" s="105">
        <v>644</v>
      </c>
    </row>
    <row r="649" spans="109:109" x14ac:dyDescent="0.2">
      <c r="DE649" s="105">
        <v>645</v>
      </c>
    </row>
    <row r="650" spans="109:109" x14ac:dyDescent="0.2">
      <c r="DE650" s="105">
        <v>646</v>
      </c>
    </row>
    <row r="651" spans="109:109" x14ac:dyDescent="0.2">
      <c r="DE651" s="105">
        <v>647</v>
      </c>
    </row>
    <row r="652" spans="109:109" x14ac:dyDescent="0.2">
      <c r="DE652" s="105">
        <v>648</v>
      </c>
    </row>
    <row r="653" spans="109:109" x14ac:dyDescent="0.2">
      <c r="DE653" s="105">
        <v>649</v>
      </c>
    </row>
    <row r="654" spans="109:109" x14ac:dyDescent="0.2">
      <c r="DE654" s="105">
        <v>650</v>
      </c>
    </row>
    <row r="655" spans="109:109" x14ac:dyDescent="0.2">
      <c r="DE655" s="105">
        <v>651</v>
      </c>
    </row>
    <row r="656" spans="109:109" x14ac:dyDescent="0.2">
      <c r="DE656" s="105">
        <v>652</v>
      </c>
    </row>
    <row r="657" spans="109:109" x14ac:dyDescent="0.2">
      <c r="DE657" s="105">
        <v>653</v>
      </c>
    </row>
    <row r="658" spans="109:109" x14ac:dyDescent="0.2">
      <c r="DE658" s="105">
        <v>654</v>
      </c>
    </row>
    <row r="659" spans="109:109" x14ac:dyDescent="0.2">
      <c r="DE659" s="105">
        <v>655</v>
      </c>
    </row>
    <row r="660" spans="109:109" x14ac:dyDescent="0.2">
      <c r="DE660" s="105">
        <v>656</v>
      </c>
    </row>
    <row r="661" spans="109:109" x14ac:dyDescent="0.2">
      <c r="DE661" s="105">
        <v>657</v>
      </c>
    </row>
    <row r="662" spans="109:109" x14ac:dyDescent="0.2">
      <c r="DE662" s="105">
        <v>658</v>
      </c>
    </row>
    <row r="663" spans="109:109" x14ac:dyDescent="0.2">
      <c r="DE663" s="105">
        <v>659</v>
      </c>
    </row>
    <row r="664" spans="109:109" x14ac:dyDescent="0.2">
      <c r="DE664" s="105">
        <v>660</v>
      </c>
    </row>
    <row r="665" spans="109:109" x14ac:dyDescent="0.2">
      <c r="DE665" s="105">
        <v>661</v>
      </c>
    </row>
    <row r="666" spans="109:109" x14ac:dyDescent="0.2">
      <c r="DE666" s="105">
        <v>662</v>
      </c>
    </row>
    <row r="667" spans="109:109" x14ac:dyDescent="0.2">
      <c r="DE667" s="105">
        <v>663</v>
      </c>
    </row>
    <row r="668" spans="109:109" x14ac:dyDescent="0.2">
      <c r="DE668" s="105">
        <v>664</v>
      </c>
    </row>
    <row r="669" spans="109:109" x14ac:dyDescent="0.2">
      <c r="DE669" s="105">
        <v>665</v>
      </c>
    </row>
    <row r="670" spans="109:109" x14ac:dyDescent="0.2">
      <c r="DE670" s="105">
        <v>666</v>
      </c>
    </row>
    <row r="671" spans="109:109" x14ac:dyDescent="0.2">
      <c r="DE671" s="105">
        <v>667</v>
      </c>
    </row>
    <row r="672" spans="109:109" x14ac:dyDescent="0.2">
      <c r="DE672" s="105">
        <v>668</v>
      </c>
    </row>
    <row r="673" spans="109:109" x14ac:dyDescent="0.2">
      <c r="DE673" s="105">
        <v>669</v>
      </c>
    </row>
    <row r="674" spans="109:109" x14ac:dyDescent="0.2">
      <c r="DE674" s="105">
        <v>670</v>
      </c>
    </row>
    <row r="675" spans="109:109" x14ac:dyDescent="0.2">
      <c r="DE675" s="105">
        <v>671</v>
      </c>
    </row>
    <row r="676" spans="109:109" x14ac:dyDescent="0.2">
      <c r="DE676" s="105">
        <v>672</v>
      </c>
    </row>
    <row r="677" spans="109:109" x14ac:dyDescent="0.2">
      <c r="DE677" s="105">
        <v>673</v>
      </c>
    </row>
    <row r="678" spans="109:109" x14ac:dyDescent="0.2">
      <c r="DE678" s="105">
        <v>674</v>
      </c>
    </row>
    <row r="679" spans="109:109" x14ac:dyDescent="0.2">
      <c r="DE679" s="105">
        <v>675</v>
      </c>
    </row>
    <row r="680" spans="109:109" x14ac:dyDescent="0.2">
      <c r="DE680" s="105">
        <v>676</v>
      </c>
    </row>
    <row r="681" spans="109:109" x14ac:dyDescent="0.2">
      <c r="DE681" s="105">
        <v>677</v>
      </c>
    </row>
    <row r="682" spans="109:109" x14ac:dyDescent="0.2">
      <c r="DE682" s="105">
        <v>678</v>
      </c>
    </row>
    <row r="683" spans="109:109" x14ac:dyDescent="0.2">
      <c r="DE683" s="105">
        <v>679</v>
      </c>
    </row>
    <row r="684" spans="109:109" x14ac:dyDescent="0.2">
      <c r="DE684" s="105">
        <v>680</v>
      </c>
    </row>
    <row r="685" spans="109:109" x14ac:dyDescent="0.2">
      <c r="DE685" s="105">
        <v>681</v>
      </c>
    </row>
    <row r="686" spans="109:109" x14ac:dyDescent="0.2">
      <c r="DE686" s="105">
        <v>682</v>
      </c>
    </row>
    <row r="687" spans="109:109" x14ac:dyDescent="0.2">
      <c r="DE687" s="105">
        <v>683</v>
      </c>
    </row>
    <row r="688" spans="109:109" x14ac:dyDescent="0.2">
      <c r="DE688" s="105">
        <v>684</v>
      </c>
    </row>
    <row r="689" spans="109:109" x14ac:dyDescent="0.2">
      <c r="DE689" s="105">
        <v>685</v>
      </c>
    </row>
    <row r="690" spans="109:109" x14ac:dyDescent="0.2">
      <c r="DE690" s="105">
        <v>686</v>
      </c>
    </row>
    <row r="691" spans="109:109" x14ac:dyDescent="0.2">
      <c r="DE691" s="105">
        <v>687</v>
      </c>
    </row>
    <row r="692" spans="109:109" x14ac:dyDescent="0.2">
      <c r="DE692" s="105">
        <v>688</v>
      </c>
    </row>
    <row r="693" spans="109:109" x14ac:dyDescent="0.2">
      <c r="DE693" s="105">
        <v>689</v>
      </c>
    </row>
    <row r="694" spans="109:109" x14ac:dyDescent="0.2">
      <c r="DE694" s="105">
        <v>690</v>
      </c>
    </row>
    <row r="695" spans="109:109" x14ac:dyDescent="0.2">
      <c r="DE695" s="105">
        <v>691</v>
      </c>
    </row>
    <row r="696" spans="109:109" x14ac:dyDescent="0.2">
      <c r="DE696" s="105">
        <v>692</v>
      </c>
    </row>
    <row r="697" spans="109:109" x14ac:dyDescent="0.2">
      <c r="DE697" s="105">
        <v>693</v>
      </c>
    </row>
    <row r="698" spans="109:109" x14ac:dyDescent="0.2">
      <c r="DE698" s="105">
        <v>694</v>
      </c>
    </row>
    <row r="699" spans="109:109" x14ac:dyDescent="0.2">
      <c r="DE699" s="105">
        <v>695</v>
      </c>
    </row>
    <row r="700" spans="109:109" x14ac:dyDescent="0.2">
      <c r="DE700" s="105">
        <v>696</v>
      </c>
    </row>
    <row r="701" spans="109:109" x14ac:dyDescent="0.2">
      <c r="DE701" s="105">
        <v>697</v>
      </c>
    </row>
    <row r="702" spans="109:109" x14ac:dyDescent="0.2">
      <c r="DE702" s="105">
        <v>698</v>
      </c>
    </row>
    <row r="703" spans="109:109" x14ac:dyDescent="0.2">
      <c r="DE703" s="105">
        <v>699</v>
      </c>
    </row>
    <row r="704" spans="109:109" x14ac:dyDescent="0.2">
      <c r="DE704" s="105">
        <v>700</v>
      </c>
    </row>
    <row r="705" spans="109:109" x14ac:dyDescent="0.2">
      <c r="DE705" s="105">
        <v>701</v>
      </c>
    </row>
    <row r="706" spans="109:109" x14ac:dyDescent="0.2">
      <c r="DE706" s="105">
        <v>702</v>
      </c>
    </row>
    <row r="707" spans="109:109" x14ac:dyDescent="0.2">
      <c r="DE707" s="105">
        <v>703</v>
      </c>
    </row>
    <row r="708" spans="109:109" x14ac:dyDescent="0.2">
      <c r="DE708" s="105">
        <v>704</v>
      </c>
    </row>
    <row r="709" spans="109:109" x14ac:dyDescent="0.2">
      <c r="DE709" s="105">
        <v>705</v>
      </c>
    </row>
    <row r="710" spans="109:109" x14ac:dyDescent="0.2">
      <c r="DE710" s="105">
        <v>706</v>
      </c>
    </row>
    <row r="711" spans="109:109" x14ac:dyDescent="0.2">
      <c r="DE711" s="105">
        <v>707</v>
      </c>
    </row>
    <row r="712" spans="109:109" x14ac:dyDescent="0.2">
      <c r="DE712" s="105">
        <v>708</v>
      </c>
    </row>
    <row r="713" spans="109:109" x14ac:dyDescent="0.2">
      <c r="DE713" s="105">
        <v>709</v>
      </c>
    </row>
    <row r="714" spans="109:109" x14ac:dyDescent="0.2">
      <c r="DE714" s="105">
        <v>710</v>
      </c>
    </row>
    <row r="715" spans="109:109" x14ac:dyDescent="0.2">
      <c r="DE715" s="105">
        <v>711</v>
      </c>
    </row>
    <row r="716" spans="109:109" x14ac:dyDescent="0.2">
      <c r="DE716" s="105">
        <v>712</v>
      </c>
    </row>
    <row r="717" spans="109:109" x14ac:dyDescent="0.2">
      <c r="DE717" s="105">
        <v>713</v>
      </c>
    </row>
    <row r="718" spans="109:109" x14ac:dyDescent="0.2">
      <c r="DE718" s="105">
        <v>714</v>
      </c>
    </row>
    <row r="719" spans="109:109" x14ac:dyDescent="0.2">
      <c r="DE719" s="105">
        <v>715</v>
      </c>
    </row>
    <row r="720" spans="109:109" x14ac:dyDescent="0.2">
      <c r="DE720" s="105">
        <v>716</v>
      </c>
    </row>
    <row r="721" spans="109:109" x14ac:dyDescent="0.2">
      <c r="DE721" s="105">
        <v>717</v>
      </c>
    </row>
    <row r="722" spans="109:109" x14ac:dyDescent="0.2">
      <c r="DE722" s="105">
        <v>718</v>
      </c>
    </row>
    <row r="723" spans="109:109" x14ac:dyDescent="0.2">
      <c r="DE723" s="105">
        <v>719</v>
      </c>
    </row>
    <row r="724" spans="109:109" x14ac:dyDescent="0.2">
      <c r="DE724" s="105">
        <v>720</v>
      </c>
    </row>
    <row r="725" spans="109:109" x14ac:dyDescent="0.2">
      <c r="DE725" s="105">
        <v>721</v>
      </c>
    </row>
    <row r="726" spans="109:109" x14ac:dyDescent="0.2">
      <c r="DE726" s="105">
        <v>722</v>
      </c>
    </row>
    <row r="727" spans="109:109" x14ac:dyDescent="0.2">
      <c r="DE727" s="105">
        <v>723</v>
      </c>
    </row>
    <row r="728" spans="109:109" x14ac:dyDescent="0.2">
      <c r="DE728" s="105">
        <v>724</v>
      </c>
    </row>
    <row r="729" spans="109:109" x14ac:dyDescent="0.2">
      <c r="DE729" s="105">
        <v>725</v>
      </c>
    </row>
    <row r="730" spans="109:109" x14ac:dyDescent="0.2">
      <c r="DE730" s="105">
        <v>726</v>
      </c>
    </row>
    <row r="731" spans="109:109" x14ac:dyDescent="0.2">
      <c r="DE731" s="105">
        <v>727</v>
      </c>
    </row>
    <row r="732" spans="109:109" x14ac:dyDescent="0.2">
      <c r="DE732" s="105">
        <v>728</v>
      </c>
    </row>
    <row r="733" spans="109:109" x14ac:dyDescent="0.2">
      <c r="DE733" s="105">
        <v>729</v>
      </c>
    </row>
    <row r="734" spans="109:109" x14ac:dyDescent="0.2">
      <c r="DE734" s="105">
        <v>730</v>
      </c>
    </row>
    <row r="735" spans="109:109" x14ac:dyDescent="0.2">
      <c r="DE735" s="105">
        <v>731</v>
      </c>
    </row>
    <row r="736" spans="109:109" x14ac:dyDescent="0.2">
      <c r="DE736" s="105">
        <v>732</v>
      </c>
    </row>
    <row r="737" spans="109:109" x14ac:dyDescent="0.2">
      <c r="DE737" s="105">
        <v>733</v>
      </c>
    </row>
    <row r="738" spans="109:109" x14ac:dyDescent="0.2">
      <c r="DE738" s="105">
        <v>734</v>
      </c>
    </row>
    <row r="739" spans="109:109" x14ac:dyDescent="0.2">
      <c r="DE739" s="105">
        <v>735</v>
      </c>
    </row>
    <row r="740" spans="109:109" x14ac:dyDescent="0.2">
      <c r="DE740" s="105">
        <v>736</v>
      </c>
    </row>
    <row r="741" spans="109:109" x14ac:dyDescent="0.2">
      <c r="DE741" s="105">
        <v>737</v>
      </c>
    </row>
    <row r="742" spans="109:109" x14ac:dyDescent="0.2">
      <c r="DE742" s="105">
        <v>738</v>
      </c>
    </row>
    <row r="743" spans="109:109" x14ac:dyDescent="0.2">
      <c r="DE743" s="105">
        <v>739</v>
      </c>
    </row>
    <row r="744" spans="109:109" x14ac:dyDescent="0.2">
      <c r="DE744" s="105">
        <v>740</v>
      </c>
    </row>
    <row r="745" spans="109:109" x14ac:dyDescent="0.2">
      <c r="DE745" s="105">
        <v>741</v>
      </c>
    </row>
    <row r="746" spans="109:109" x14ac:dyDescent="0.2">
      <c r="DE746" s="105">
        <v>742</v>
      </c>
    </row>
    <row r="747" spans="109:109" x14ac:dyDescent="0.2">
      <c r="DE747" s="105">
        <v>743</v>
      </c>
    </row>
    <row r="748" spans="109:109" x14ac:dyDescent="0.2">
      <c r="DE748" s="105">
        <v>744</v>
      </c>
    </row>
    <row r="749" spans="109:109" x14ac:dyDescent="0.2">
      <c r="DE749" s="105">
        <v>745</v>
      </c>
    </row>
    <row r="750" spans="109:109" x14ac:dyDescent="0.2">
      <c r="DE750" s="105">
        <v>746</v>
      </c>
    </row>
    <row r="751" spans="109:109" x14ac:dyDescent="0.2">
      <c r="DE751" s="105">
        <v>747</v>
      </c>
    </row>
    <row r="752" spans="109:109" x14ac:dyDescent="0.2">
      <c r="DE752" s="105">
        <v>748</v>
      </c>
    </row>
    <row r="753" spans="109:109" x14ac:dyDescent="0.2">
      <c r="DE753" s="105">
        <v>749</v>
      </c>
    </row>
    <row r="754" spans="109:109" x14ac:dyDescent="0.2">
      <c r="DE754" s="105">
        <v>750</v>
      </c>
    </row>
    <row r="755" spans="109:109" x14ac:dyDescent="0.2">
      <c r="DE755" s="105">
        <v>751</v>
      </c>
    </row>
  </sheetData>
  <autoFilter ref="A1:FT755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DropDown!$A$2:$A$258</xm:f>
          </x14:formula1>
          <xm:sqref>A2:A5002</xm:sqref>
        </x14:dataValidation>
        <x14:dataValidation type="list" allowBlank="1" xr:uid="{00000000-0002-0000-0000-000001000000}">
          <x14:formula1>
            <xm:f>DropDown!$B$2:$B$258</xm:f>
          </x14:formula1>
          <xm:sqref>B2:B5002</xm:sqref>
        </x14:dataValidation>
        <x14:dataValidation type="list" allowBlank="1" xr:uid="{00000000-0002-0000-0000-000002000000}">
          <x14:formula1>
            <xm:f>DropDown!$C$2:$C$258</xm:f>
          </x14:formula1>
          <xm:sqref>C2:C5002</xm:sqref>
        </x14:dataValidation>
        <x14:dataValidation type="list" allowBlank="1" xr:uid="{00000000-0002-0000-0000-000003000000}">
          <x14:formula1>
            <xm:f>DropDown!$E$2:$E$4</xm:f>
          </x14:formula1>
          <xm:sqref>E2:E5002</xm:sqref>
        </x14:dataValidation>
        <x14:dataValidation type="list" allowBlank="1" xr:uid="{00000000-0002-0000-0000-000004000000}">
          <x14:formula1>
            <xm:f>DropDown!$F$2:$F$11</xm:f>
          </x14:formula1>
          <xm:sqref>F2:F5002</xm:sqref>
        </x14:dataValidation>
        <x14:dataValidation type="list" allowBlank="1" xr:uid="{00000000-0002-0000-0000-000005000000}">
          <x14:formula1>
            <xm:f>DropDown!$G$2:$G$4</xm:f>
          </x14:formula1>
          <xm:sqref>G2:G5002</xm:sqref>
        </x14:dataValidation>
        <x14:dataValidation type="list" allowBlank="1" xr:uid="{00000000-0002-0000-0000-000006000000}">
          <x14:formula1>
            <xm:f>DropDown!$H$2:$H$3</xm:f>
          </x14:formula1>
          <xm:sqref>H2:H5002</xm:sqref>
        </x14:dataValidation>
        <x14:dataValidation type="list" allowBlank="1" xr:uid="{00000000-0002-0000-0000-000007000000}">
          <x14:formula1>
            <xm:f>DropDown!$I$2:$I$3</xm:f>
          </x14:formula1>
          <xm:sqref>I2:I5002</xm:sqref>
        </x14:dataValidation>
        <x14:dataValidation type="list" allowBlank="1" xr:uid="{00000000-0002-0000-0000-000008000000}">
          <x14:formula1>
            <xm:f>DropDown!$L$2:$L$638</xm:f>
          </x14:formula1>
          <xm:sqref>L1:L5002</xm:sqref>
        </x14:dataValidation>
        <x14:dataValidation type="list" allowBlank="1" xr:uid="{00000000-0002-0000-0000-000009000000}">
          <x14:formula1>
            <xm:f>DropDown!$BX$2:$BX$62</xm:f>
          </x14:formula1>
          <xm:sqref>M2:M5002 BZ2:BZ5002 AU2:AU5002</xm:sqref>
        </x14:dataValidation>
        <x14:dataValidation type="list" allowBlank="1" xr:uid="{00000000-0002-0000-0000-00000A000000}">
          <x14:formula1>
            <xm:f>DropDown!$O$2:$O$2</xm:f>
          </x14:formula1>
          <xm:sqref>P2:P5002</xm:sqref>
        </x14:dataValidation>
        <x14:dataValidation type="list" allowBlank="1" xr:uid="{00000000-0002-0000-0000-00000B000000}">
          <x14:formula1>
            <xm:f>DropDown!$P$2:$P$2</xm:f>
          </x14:formula1>
          <xm:sqref>Q2:Q5002</xm:sqref>
        </x14:dataValidation>
        <x14:dataValidation type="list" allowBlank="1" xr:uid="{00000000-0002-0000-0000-00000C000000}">
          <x14:formula1>
            <xm:f>DropDown!$Q$2:$Q$2</xm:f>
          </x14:formula1>
          <xm:sqref>R2:R5002</xm:sqref>
        </x14:dataValidation>
        <x14:dataValidation type="list" allowBlank="1" xr:uid="{00000000-0002-0000-0000-00000D000000}">
          <x14:formula1>
            <xm:f>DropDown!$BZ$2:$BZ$5</xm:f>
          </x14:formula1>
          <xm:sqref>S2:S5002 CC2:CC5002 AX2:AX5002</xm:sqref>
        </x14:dataValidation>
        <x14:dataValidation type="list" allowBlank="1" xr:uid="{00000000-0002-0000-0000-00000E000000}">
          <x14:formula1>
            <xm:f>DropDown!$CA$2:$CA$17</xm:f>
          </x14:formula1>
          <xm:sqref>T2:T5002 CD2:CD5002 AY2:AY5002</xm:sqref>
        </x14:dataValidation>
        <x14:dataValidation type="list" allowBlank="1" xr:uid="{00000000-0002-0000-0000-00000F000000}">
          <x14:formula1>
            <xm:f>DropDown!$CB$2:$CB$48</xm:f>
          </x14:formula1>
          <xm:sqref>U2:U5002 CE2:CE5002 AZ2:AZ5002</xm:sqref>
        </x14:dataValidation>
        <x14:dataValidation type="list" allowBlank="1" xr:uid="{00000000-0002-0000-0000-000010000000}">
          <x14:formula1>
            <xm:f>DropDown!$CC$2:$CC$5</xm:f>
          </x14:formula1>
          <xm:sqref>V2:V5002 CF2:CF5002 BA2:BA5002</xm:sqref>
        </x14:dataValidation>
        <x14:dataValidation type="list" allowBlank="1" xr:uid="{00000000-0002-0000-0000-000011000000}">
          <x14:formula1>
            <xm:f>DropDown!$CD$2:$CD$3</xm:f>
          </x14:formula1>
          <xm:sqref>W2:W5002 CG2:CG5002 BB2:BB5002</xm:sqref>
        </x14:dataValidation>
        <x14:dataValidation type="list" allowBlank="1" xr:uid="{00000000-0002-0000-0000-000012000000}">
          <x14:formula1>
            <xm:f>DropDown!$CE$2:$CE$8</xm:f>
          </x14:formula1>
          <xm:sqref>X2:X5002 CH2:CH5002 BC2:BC5002</xm:sqref>
        </x14:dataValidation>
        <x14:dataValidation type="list" allowBlank="1" xr:uid="{00000000-0002-0000-0000-000013000000}">
          <x14:formula1>
            <xm:f>DropDown!$CF$2:$CF$3</xm:f>
          </x14:formula1>
          <xm:sqref>Y2:Y5002 CI2:CI5002 BD2:BD5002</xm:sqref>
        </x14:dataValidation>
        <x14:dataValidation type="list" allowBlank="1" xr:uid="{00000000-0002-0000-0000-000014000000}">
          <x14:formula1>
            <xm:f>DropDown!$CG$2:$CG$3</xm:f>
          </x14:formula1>
          <xm:sqref>Z2:Z5002 CJ2:CJ5002 BE2:BE5002</xm:sqref>
        </x14:dataValidation>
        <x14:dataValidation type="list" allowBlank="1" xr:uid="{00000000-0002-0000-0000-000015000000}">
          <x14:formula1>
            <xm:f>DropDown!$CL$2:$CL$2</xm:f>
          </x14:formula1>
          <xm:sqref>AE2:AE5002 CO2:CO5002 BJ2:BJ5002</xm:sqref>
        </x14:dataValidation>
        <x14:dataValidation type="list" allowBlank="1" xr:uid="{00000000-0002-0000-0000-000016000000}">
          <x14:formula1>
            <xm:f>DropDown!$CM$2:$CM$2</xm:f>
          </x14:formula1>
          <xm:sqref>AF2:AF5002 CP2:CP5002 BK2:BK5002</xm:sqref>
        </x14:dataValidation>
        <x14:dataValidation type="list" allowBlank="1" xr:uid="{00000000-0002-0000-0000-000017000000}">
          <x14:formula1>
            <xm:f>DropDown!$CN$2:$CN$2</xm:f>
          </x14:formula1>
          <xm:sqref>AG2:AG5002 CQ2:CQ5002 BL2:BL5002</xm:sqref>
        </x14:dataValidation>
        <x14:dataValidation type="list" allowBlank="1" xr:uid="{00000000-0002-0000-0000-000018000000}">
          <x14:formula1>
            <xm:f>DropDown!$CQ$2:$CQ$2</xm:f>
          </x14:formula1>
          <xm:sqref>AJ2:AJ5002 CT2:CT5002 BO2:BO5002</xm:sqref>
        </x14:dataValidation>
        <x14:dataValidation type="list" allowBlank="1" xr:uid="{00000000-0002-0000-0000-000019000000}">
          <x14:formula1>
            <xm:f>DropDown!$CR$2:$CR$2</xm:f>
          </x14:formula1>
          <xm:sqref>AK2:AK5002 CU2:CU5002 BP2:BP5002</xm:sqref>
        </x14:dataValidation>
        <x14:dataValidation type="list" allowBlank="1" xr:uid="{00000000-0002-0000-0000-00001A000000}">
          <x14:formula1>
            <xm:f>DropDown!$CS$2:$CS$2</xm:f>
          </x14:formula1>
          <xm:sqref>AL2:AL5002 CV2:CV5002 BQ2:BQ5002</xm:sqref>
        </x14:dataValidation>
        <x14:dataValidation type="list" allowBlank="1" xr:uid="{00000000-0002-0000-0000-00001B000000}">
          <x14:formula1>
            <xm:f>DropDown!$CV$2:$CV$2</xm:f>
          </x14:formula1>
          <xm:sqref>AO2:AO5002 CY2:CY5002 BT2:BT5002</xm:sqref>
        </x14:dataValidation>
        <x14:dataValidation type="list" allowBlank="1" xr:uid="{00000000-0002-0000-0000-00001C000000}">
          <x14:formula1>
            <xm:f>DropDown!$CW$2:$CW$2</xm:f>
          </x14:formula1>
          <xm:sqref>AP2:AP5002 CZ2:CZ5002 BU2:BU5002</xm:sqref>
        </x14:dataValidation>
        <x14:dataValidation type="list" allowBlank="1" xr:uid="{00000000-0002-0000-0000-00001D000000}">
          <x14:formula1>
            <xm:f>DropDown!$CX$2:$CX$2</xm:f>
          </x14:formula1>
          <xm:sqref>AQ2:AQ5002 DA2:DA5002 BV2:BV5002</xm:sqref>
        </x14:dataValidation>
        <x14:dataValidation type="list" allowBlank="1" xr:uid="{00000000-0002-0000-0000-00001E000000}">
          <x14:formula1>
            <xm:f>DropDown!$CY$2:$CY$2</xm:f>
          </x14:formula1>
          <xm:sqref>AR2:AR5002 DB2:DB5002 BW2:BW5002</xm:sqref>
        </x14:dataValidation>
        <x14:dataValidation type="list" allowBlank="1" xr:uid="{00000000-0002-0000-0000-00001F000000}">
          <x14:formula1>
            <xm:f>DropDown!$CZ$2:$CZ$2</xm:f>
          </x14:formula1>
          <xm:sqref>AS2:AS5002 DC2:DC5002 BX2:BX5002</xm:sqref>
        </x14:dataValidation>
        <x14:dataValidation type="list" allowBlank="1" xr:uid="{00000000-0002-0000-0000-000020000000}">
          <x14:formula1>
            <xm:f>DropDown!$AS$2:$AS$638</xm:f>
          </x14:formula1>
          <xm:sqref>AT1:AT5002</xm:sqref>
        </x14:dataValidation>
        <x14:dataValidation type="list" allowBlank="1" xr:uid="{00000000-0002-0000-0000-000035000000}">
          <x14:formula1>
            <xm:f>DropDown!$BW$2:$BW$638</xm:f>
          </x14:formula1>
          <xm:sqref>BY1:BY5002</xm:sqref>
        </x14:dataValidation>
        <x14:dataValidation type="list" allowBlank="1" xr:uid="{00000000-0002-0000-0000-00004A000000}">
          <x14:formula1>
            <xm:f>DropDown!$DB$2:$DB$369</xm:f>
          </x14:formula1>
          <xm:sqref>DE2:DE5002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topLeftCell="Q1" zoomScale="200" workbookViewId="0">
      <pane ySplit="1" topLeftCell="A18" activePane="bottomLeft" state="frozen"/>
      <selection pane="bottomLeft" activeCell="T42" sqref="T42"/>
    </sheetView>
  </sheetViews>
  <sheetFormatPr baseColWidth="10" defaultColWidth="11" defaultRowHeight="16" x14ac:dyDescent="0.2"/>
  <cols>
    <col min="1" max="1" width="25.1640625" style="72" bestFit="1" customWidth="1"/>
    <col min="2" max="2" width="9" style="72" bestFit="1" customWidth="1"/>
    <col min="3" max="3" width="10.83203125" style="72" bestFit="1" customWidth="1"/>
    <col min="4" max="4" width="14.33203125" style="72" bestFit="1" customWidth="1"/>
    <col min="5" max="5" width="11.5" style="72" bestFit="1" customWidth="1"/>
    <col min="6" max="6" width="28.1640625" style="72" customWidth="1"/>
    <col min="7" max="7" width="16.6640625" style="72" bestFit="1" customWidth="1"/>
    <col min="8" max="8" width="27.6640625" style="72" bestFit="1" customWidth="1"/>
    <col min="9" max="9" width="22.83203125" style="72" bestFit="1" customWidth="1"/>
    <col min="10" max="10" width="22" style="72" bestFit="1" customWidth="1"/>
    <col min="11" max="11" width="20" style="72" bestFit="1" customWidth="1"/>
    <col min="12" max="12" width="21.5" style="72" bestFit="1" customWidth="1"/>
    <col min="13" max="13" width="16.1640625" style="88" bestFit="1" customWidth="1"/>
    <col min="14" max="14" width="14" style="72" bestFit="1" customWidth="1"/>
    <col min="15" max="17" width="9.1640625" style="72" bestFit="1" customWidth="1"/>
    <col min="18" max="18" width="10.6640625" style="72" bestFit="1" customWidth="1"/>
    <col min="19" max="19" width="13.33203125" style="72" bestFit="1" customWidth="1"/>
    <col min="20" max="20" width="24.5" style="72" bestFit="1" customWidth="1"/>
    <col min="21" max="21" width="17.5" style="72" bestFit="1" customWidth="1"/>
    <col min="22" max="22" width="16" style="72" bestFit="1" customWidth="1"/>
    <col min="23" max="23" width="8.6640625" style="85" bestFit="1" customWidth="1"/>
    <col min="24" max="24" width="17.83203125" style="84" bestFit="1" customWidth="1"/>
    <col min="25" max="25" width="24.33203125" style="84" bestFit="1" customWidth="1"/>
    <col min="26" max="26" width="12.6640625" style="72" bestFit="1" customWidth="1"/>
    <col min="27" max="27" width="11" style="72" customWidth="1"/>
    <col min="28" max="28" width="21" style="72" bestFit="1" customWidth="1"/>
    <col min="29" max="29" width="20" style="72" bestFit="1" customWidth="1"/>
    <col min="30" max="30" width="20.1640625" style="72" bestFit="1" customWidth="1"/>
    <col min="31" max="31" width="21.1640625" style="72" bestFit="1" customWidth="1"/>
    <col min="32" max="32" width="22" style="72" bestFit="1" customWidth="1"/>
    <col min="33" max="33" width="21.1640625" style="72" bestFit="1" customWidth="1"/>
    <col min="34" max="34" width="20.5" style="72" bestFit="1" customWidth="1"/>
    <col min="35" max="35" width="20.33203125" style="72" bestFit="1" customWidth="1"/>
    <col min="36" max="36" width="21.33203125" style="72" bestFit="1" customWidth="1"/>
    <col min="37" max="37" width="22.33203125" style="72" bestFit="1" customWidth="1"/>
    <col min="38" max="38" width="22" style="72" bestFit="1" customWidth="1"/>
    <col min="39" max="39" width="21" style="72" bestFit="1" customWidth="1"/>
    <col min="40" max="40" width="21.1640625" style="72" bestFit="1" customWidth="1"/>
    <col min="41" max="41" width="22.1640625" style="72" bestFit="1" customWidth="1"/>
    <col min="42" max="42" width="23" style="72" bestFit="1" customWidth="1"/>
    <col min="43" max="43" width="28" style="72" bestFit="1" customWidth="1"/>
    <col min="44" max="44" width="20" style="72" bestFit="1" customWidth="1"/>
    <col min="45" max="45" width="19.83203125" style="72" bestFit="1" customWidth="1"/>
    <col min="46" max="46" width="18.6640625" style="72" bestFit="1" customWidth="1"/>
    <col min="47" max="47" width="16.5" style="72" bestFit="1" customWidth="1"/>
    <col min="48" max="48" width="10.6640625" style="72" bestFit="1" customWidth="1"/>
    <col min="49" max="49" width="13.33203125" style="72" bestFit="1" customWidth="1"/>
    <col min="50" max="50" width="24.5" style="72" bestFit="1" customWidth="1"/>
    <col min="51" max="51" width="17.33203125" style="72" bestFit="1" customWidth="1"/>
    <col min="52" max="52" width="15.83203125" style="72" bestFit="1" customWidth="1"/>
    <col min="53" max="53" width="8.6640625" style="72" bestFit="1" customWidth="1"/>
    <col min="54" max="54" width="17.6640625" style="72" bestFit="1" customWidth="1"/>
    <col min="55" max="55" width="24.1640625" style="72" bestFit="1" customWidth="1"/>
    <col min="56" max="56" width="15.1640625" style="72" bestFit="1" customWidth="1"/>
    <col min="57" max="57" width="13.5" style="72" bestFit="1" customWidth="1"/>
    <col min="58" max="58" width="23.5" style="72" bestFit="1" customWidth="1"/>
    <col min="59" max="59" width="22.5" style="72" bestFit="1" customWidth="1"/>
    <col min="60" max="60" width="22.6640625" style="72" bestFit="1" customWidth="1"/>
    <col min="61" max="61" width="23.6640625" style="72" bestFit="1" customWidth="1"/>
    <col min="62" max="62" width="24.5" style="72" bestFit="1" customWidth="1"/>
    <col min="63" max="63" width="23.6640625" style="72" bestFit="1" customWidth="1"/>
    <col min="64" max="64" width="22.6640625" style="72" bestFit="1" customWidth="1"/>
    <col min="65" max="65" width="22.83203125" style="72" bestFit="1" customWidth="1"/>
    <col min="66" max="66" width="23.83203125" style="72" bestFit="1" customWidth="1"/>
    <col min="67" max="67" width="24.6640625" style="72" bestFit="1" customWidth="1"/>
    <col min="68" max="68" width="24.5" style="72" bestFit="1" customWidth="1"/>
    <col min="69" max="69" width="23.5" style="72" bestFit="1" customWidth="1"/>
    <col min="70" max="70" width="23.6640625" style="72" bestFit="1" customWidth="1"/>
    <col min="71" max="71" width="24.6640625" style="72" bestFit="1" customWidth="1"/>
    <col min="72" max="72" width="25.5" style="72" bestFit="1" customWidth="1"/>
    <col min="73" max="73" width="30.5" style="72" bestFit="1" customWidth="1"/>
    <col min="74" max="74" width="22.5" style="72" bestFit="1" customWidth="1"/>
    <col min="75" max="75" width="22.1640625" style="72" bestFit="1" customWidth="1"/>
    <col min="76" max="76" width="18.6640625" style="72" bestFit="1" customWidth="1"/>
    <col min="77" max="77" width="16.5" style="72" bestFit="1" customWidth="1"/>
    <col min="78" max="78" width="9" style="72" bestFit="1" customWidth="1"/>
    <col min="79" max="79" width="13.33203125" style="72" bestFit="1" customWidth="1"/>
    <col min="80" max="80" width="24.5" style="72" bestFit="1" customWidth="1"/>
    <col min="81" max="81" width="17.5" style="72" bestFit="1" customWidth="1"/>
    <col min="82" max="82" width="16" style="72" bestFit="1" customWidth="1"/>
    <col min="83" max="83" width="8.6640625" style="72" bestFit="1" customWidth="1"/>
    <col min="84" max="84" width="17.83203125" style="72" bestFit="1" customWidth="1"/>
    <col min="85" max="85" width="24.33203125" style="72" bestFit="1" customWidth="1"/>
    <col min="86" max="86" width="15" style="72" bestFit="1" customWidth="1"/>
    <col min="87" max="87" width="13.5" style="72" bestFit="1" customWidth="1"/>
    <col min="88" max="88" width="23.6640625" style="72" bestFit="1" customWidth="1"/>
    <col min="89" max="89" width="22.83203125" style="72" bestFit="1" customWidth="1"/>
    <col min="90" max="90" width="22.6640625" style="72" bestFit="1" customWidth="1"/>
    <col min="91" max="91" width="23.83203125" style="72" bestFit="1" customWidth="1"/>
    <col min="92" max="92" width="24.83203125" style="72" bestFit="1" customWidth="1"/>
    <col min="93" max="93" width="23.83203125" style="72" bestFit="1" customWidth="1"/>
    <col min="94" max="94" width="23.1640625" style="72" bestFit="1" customWidth="1"/>
    <col min="95" max="95" width="22.83203125" style="72" bestFit="1" customWidth="1"/>
    <col min="96" max="96" width="24" style="72" bestFit="1" customWidth="1"/>
    <col min="97" max="97" width="25" style="72" bestFit="1" customWidth="1"/>
    <col min="98" max="98" width="24.5" style="72" bestFit="1" customWidth="1"/>
    <col min="99" max="99" width="23.83203125" style="72" bestFit="1" customWidth="1"/>
    <col min="100" max="100" width="23.6640625" style="72" bestFit="1" customWidth="1"/>
    <col min="101" max="101" width="24.83203125" style="72" bestFit="1" customWidth="1"/>
    <col min="102" max="102" width="25.83203125" style="72" bestFit="1" customWidth="1"/>
    <col min="103" max="103" width="30.5" style="72" bestFit="1" customWidth="1"/>
    <col min="104" max="104" width="22.6640625" style="72" bestFit="1" customWidth="1"/>
    <col min="105" max="105" width="13" style="72" bestFit="1" customWidth="1"/>
    <col min="106" max="106" width="5.5" style="72" bestFit="1" customWidth="1"/>
    <col min="107" max="128" width="11" style="72" customWidth="1"/>
    <col min="129" max="16384" width="11" style="72"/>
  </cols>
  <sheetData>
    <row r="1" spans="1:106" s="17" customFormat="1" x14ac:dyDescent="0.2">
      <c r="A1" s="16" t="s">
        <v>0</v>
      </c>
      <c r="B1" s="73" t="s">
        <v>1</v>
      </c>
      <c r="C1" s="73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36" t="s">
        <v>11</v>
      </c>
      <c r="M1" s="36" t="s">
        <v>12</v>
      </c>
      <c r="N1" s="37" t="s">
        <v>13</v>
      </c>
      <c r="O1" s="38" t="s">
        <v>15</v>
      </c>
      <c r="P1" s="38" t="s">
        <v>16</v>
      </c>
      <c r="Q1" s="38" t="s">
        <v>17</v>
      </c>
      <c r="R1" s="36" t="s">
        <v>18</v>
      </c>
      <c r="S1" s="36" t="s">
        <v>19</v>
      </c>
      <c r="T1" s="36" t="s">
        <v>20</v>
      </c>
      <c r="U1" s="39" t="s">
        <v>21</v>
      </c>
      <c r="V1" s="39" t="s">
        <v>22</v>
      </c>
      <c r="W1" s="74" t="s">
        <v>23</v>
      </c>
      <c r="X1" s="40" t="s">
        <v>24</v>
      </c>
      <c r="Y1" s="41" t="s">
        <v>25</v>
      </c>
      <c r="Z1" s="42" t="s">
        <v>26</v>
      </c>
      <c r="AA1" s="42" t="s">
        <v>27</v>
      </c>
      <c r="AB1" s="42" t="s">
        <v>28</v>
      </c>
      <c r="AC1" s="42" t="s">
        <v>29</v>
      </c>
      <c r="AD1" s="43" t="s">
        <v>30</v>
      </c>
      <c r="AE1" s="38" t="s">
        <v>31</v>
      </c>
      <c r="AF1" s="43" t="s">
        <v>32</v>
      </c>
      <c r="AG1" s="42" t="s">
        <v>33</v>
      </c>
      <c r="AH1" s="42" t="s">
        <v>34</v>
      </c>
      <c r="AI1" s="43" t="s">
        <v>35</v>
      </c>
      <c r="AJ1" s="38" t="s">
        <v>36</v>
      </c>
      <c r="AK1" s="43" t="s">
        <v>37</v>
      </c>
      <c r="AL1" s="42" t="s">
        <v>38</v>
      </c>
      <c r="AM1" s="42" t="s">
        <v>39</v>
      </c>
      <c r="AN1" s="44" t="s">
        <v>40</v>
      </c>
      <c r="AO1" s="44" t="s">
        <v>41</v>
      </c>
      <c r="AP1" s="44" t="s">
        <v>42</v>
      </c>
      <c r="AQ1" s="44" t="s">
        <v>43</v>
      </c>
      <c r="AR1" s="45" t="s">
        <v>44</v>
      </c>
      <c r="AS1" s="46" t="s">
        <v>45</v>
      </c>
      <c r="AT1" s="46" t="s">
        <v>12</v>
      </c>
      <c r="AU1" s="47" t="s">
        <v>13</v>
      </c>
      <c r="AV1" s="46" t="s">
        <v>18</v>
      </c>
      <c r="AW1" s="46" t="s">
        <v>19</v>
      </c>
      <c r="AX1" s="46" t="s">
        <v>20</v>
      </c>
      <c r="AY1" s="46" t="s">
        <v>21</v>
      </c>
      <c r="AZ1" s="46" t="s">
        <v>22</v>
      </c>
      <c r="BA1" s="75" t="s">
        <v>23</v>
      </c>
      <c r="BB1" s="48" t="s">
        <v>24</v>
      </c>
      <c r="BC1" s="49" t="s">
        <v>25</v>
      </c>
      <c r="BD1" s="50" t="s">
        <v>26</v>
      </c>
      <c r="BE1" s="50" t="s">
        <v>27</v>
      </c>
      <c r="BF1" s="50" t="s">
        <v>28</v>
      </c>
      <c r="BG1" s="50" t="s">
        <v>29</v>
      </c>
      <c r="BH1" s="51" t="s">
        <v>30</v>
      </c>
      <c r="BI1" s="46" t="s">
        <v>31</v>
      </c>
      <c r="BJ1" s="51" t="s">
        <v>32</v>
      </c>
      <c r="BK1" s="50" t="s">
        <v>33</v>
      </c>
      <c r="BL1" s="50" t="s">
        <v>34</v>
      </c>
      <c r="BM1" s="51" t="s">
        <v>35</v>
      </c>
      <c r="BN1" s="46" t="s">
        <v>36</v>
      </c>
      <c r="BO1" s="51" t="s">
        <v>37</v>
      </c>
      <c r="BP1" s="50" t="s">
        <v>38</v>
      </c>
      <c r="BQ1" s="50" t="s">
        <v>39</v>
      </c>
      <c r="BR1" s="51" t="s">
        <v>40</v>
      </c>
      <c r="BS1" s="51" t="s">
        <v>41</v>
      </c>
      <c r="BT1" s="51" t="s">
        <v>42</v>
      </c>
      <c r="BU1" s="52" t="s">
        <v>43</v>
      </c>
      <c r="BV1" s="46" t="s">
        <v>44</v>
      </c>
      <c r="BW1" s="53" t="s">
        <v>46</v>
      </c>
      <c r="BX1" s="53" t="s">
        <v>12</v>
      </c>
      <c r="BY1" s="54" t="s">
        <v>13</v>
      </c>
      <c r="BZ1" s="53" t="s">
        <v>18</v>
      </c>
      <c r="CA1" s="53" t="s">
        <v>19</v>
      </c>
      <c r="CB1" s="53" t="s">
        <v>20</v>
      </c>
      <c r="CC1" s="55" t="s">
        <v>21</v>
      </c>
      <c r="CD1" s="56" t="s">
        <v>22</v>
      </c>
      <c r="CE1" s="76" t="s">
        <v>23</v>
      </c>
      <c r="CF1" s="56" t="s">
        <v>24</v>
      </c>
      <c r="CG1" s="57" t="s">
        <v>25</v>
      </c>
      <c r="CH1" s="58" t="s">
        <v>26</v>
      </c>
      <c r="CI1" s="58" t="s">
        <v>27</v>
      </c>
      <c r="CJ1" s="58" t="s">
        <v>28</v>
      </c>
      <c r="CK1" s="58" t="s">
        <v>29</v>
      </c>
      <c r="CL1" s="59" t="s">
        <v>30</v>
      </c>
      <c r="CM1" s="60" t="s">
        <v>31</v>
      </c>
      <c r="CN1" s="59" t="s">
        <v>32</v>
      </c>
      <c r="CO1" s="58" t="s">
        <v>33</v>
      </c>
      <c r="CP1" s="58" t="s">
        <v>34</v>
      </c>
      <c r="CQ1" s="59" t="s">
        <v>35</v>
      </c>
      <c r="CR1" s="60" t="s">
        <v>36</v>
      </c>
      <c r="CS1" s="59" t="s">
        <v>37</v>
      </c>
      <c r="CT1" s="58" t="s">
        <v>38</v>
      </c>
      <c r="CU1" s="58" t="s">
        <v>39</v>
      </c>
      <c r="CV1" s="59" t="s">
        <v>40</v>
      </c>
      <c r="CW1" s="59" t="s">
        <v>41</v>
      </c>
      <c r="CX1" s="59" t="s">
        <v>42</v>
      </c>
      <c r="CY1" s="61" t="s">
        <v>43</v>
      </c>
      <c r="CZ1" s="60" t="s">
        <v>44</v>
      </c>
      <c r="DA1" s="77" t="s">
        <v>47</v>
      </c>
      <c r="DB1" s="78" t="s">
        <v>48</v>
      </c>
    </row>
    <row r="2" spans="1:106" x14ac:dyDescent="0.2">
      <c r="A2" s="79" t="s">
        <v>74</v>
      </c>
      <c r="B2" s="80" t="s">
        <v>75</v>
      </c>
      <c r="C2" s="79" t="s">
        <v>76</v>
      </c>
      <c r="E2" s="72" t="s">
        <v>77</v>
      </c>
      <c r="F2" s="72" t="s">
        <v>78</v>
      </c>
      <c r="G2" s="72" t="s">
        <v>79</v>
      </c>
      <c r="H2" s="72" t="s">
        <v>56</v>
      </c>
      <c r="I2" s="72" t="s">
        <v>56</v>
      </c>
      <c r="L2" s="81" t="s">
        <v>80</v>
      </c>
      <c r="M2" s="82" t="s">
        <v>81</v>
      </c>
      <c r="N2" s="83"/>
      <c r="O2" s="72" t="s">
        <v>52</v>
      </c>
      <c r="P2" s="72" t="s">
        <v>52</v>
      </c>
      <c r="Q2" s="72" t="s">
        <v>52</v>
      </c>
      <c r="R2" s="72" t="s">
        <v>53</v>
      </c>
      <c r="S2" s="72" t="s">
        <v>54</v>
      </c>
      <c r="T2" s="88" t="s">
        <v>82</v>
      </c>
      <c r="U2" s="72" t="s">
        <v>55</v>
      </c>
      <c r="V2" s="72" t="s">
        <v>56</v>
      </c>
      <c r="W2" s="72">
        <v>1</v>
      </c>
      <c r="X2" s="84">
        <v>1050</v>
      </c>
      <c r="Y2" s="84">
        <v>1050</v>
      </c>
      <c r="AD2" s="72">
        <v>1</v>
      </c>
      <c r="AE2" s="85">
        <v>1</v>
      </c>
      <c r="AF2" s="85">
        <v>1</v>
      </c>
      <c r="AI2" s="85">
        <v>1</v>
      </c>
      <c r="AJ2" s="72">
        <v>40</v>
      </c>
      <c r="AK2" s="85">
        <v>1</v>
      </c>
      <c r="AN2" s="85">
        <v>1</v>
      </c>
      <c r="AO2" s="85">
        <v>1</v>
      </c>
      <c r="AP2" s="85">
        <v>1</v>
      </c>
      <c r="AQ2" s="85">
        <v>1</v>
      </c>
      <c r="AR2" s="72">
        <v>109</v>
      </c>
      <c r="AS2" s="81" t="s">
        <v>80</v>
      </c>
      <c r="AT2" s="82" t="s">
        <v>81</v>
      </c>
      <c r="AU2" s="83"/>
      <c r="AV2" s="72" t="s">
        <v>53</v>
      </c>
      <c r="AW2" s="72" t="s">
        <v>54</v>
      </c>
      <c r="AX2" s="88" t="s">
        <v>82</v>
      </c>
      <c r="AY2" s="72" t="s">
        <v>55</v>
      </c>
      <c r="AZ2" s="72" t="s">
        <v>56</v>
      </c>
      <c r="BA2" s="72">
        <v>1</v>
      </c>
      <c r="BB2" s="84">
        <v>1050</v>
      </c>
      <c r="BC2" s="84">
        <v>1050</v>
      </c>
      <c r="BH2" s="72">
        <v>1</v>
      </c>
      <c r="BI2" s="85">
        <v>1</v>
      </c>
      <c r="BJ2" s="85">
        <v>1</v>
      </c>
      <c r="BM2" s="85">
        <v>1</v>
      </c>
      <c r="BN2" s="72">
        <v>40</v>
      </c>
      <c r="BO2" s="85">
        <v>1</v>
      </c>
      <c r="BR2" s="85">
        <v>1</v>
      </c>
      <c r="BS2" s="85">
        <v>1</v>
      </c>
      <c r="BT2" s="85">
        <v>1</v>
      </c>
      <c r="BU2" s="85">
        <v>1</v>
      </c>
      <c r="BV2" s="72">
        <v>144</v>
      </c>
      <c r="BW2" s="81" t="s">
        <v>80</v>
      </c>
      <c r="BX2" s="82" t="s">
        <v>81</v>
      </c>
      <c r="BY2" s="83"/>
      <c r="BZ2" s="81" t="s">
        <v>53</v>
      </c>
      <c r="CA2" s="72" t="s">
        <v>54</v>
      </c>
      <c r="CB2" s="88" t="s">
        <v>82</v>
      </c>
      <c r="CC2" s="81" t="s">
        <v>55</v>
      </c>
      <c r="CD2" s="81" t="s">
        <v>56</v>
      </c>
      <c r="CE2" s="81">
        <v>1</v>
      </c>
      <c r="CF2" s="86">
        <v>1050</v>
      </c>
      <c r="CG2" s="86">
        <v>1050</v>
      </c>
      <c r="CH2" s="81"/>
      <c r="CI2" s="81"/>
      <c r="CJ2" s="81"/>
      <c r="CK2" s="81"/>
      <c r="CL2" s="81">
        <v>1</v>
      </c>
      <c r="CM2" s="87">
        <v>1</v>
      </c>
      <c r="CN2" s="87">
        <v>1</v>
      </c>
      <c r="CO2" s="81"/>
      <c r="CP2" s="81"/>
      <c r="CQ2" s="87">
        <v>1</v>
      </c>
      <c r="CR2" s="81">
        <v>40</v>
      </c>
      <c r="CS2" s="87">
        <v>1</v>
      </c>
      <c r="CT2" s="81"/>
      <c r="CU2" s="81"/>
      <c r="CV2" s="87">
        <v>1</v>
      </c>
      <c r="CW2" s="87">
        <v>1</v>
      </c>
      <c r="CX2" s="87">
        <v>1</v>
      </c>
      <c r="CY2" s="87">
        <v>1</v>
      </c>
      <c r="CZ2" s="81">
        <v>144</v>
      </c>
      <c r="DB2" s="72">
        <v>1</v>
      </c>
    </row>
    <row r="3" spans="1:106" x14ac:dyDescent="0.2">
      <c r="A3" s="79" t="s">
        <v>83</v>
      </c>
      <c r="B3" s="80" t="s">
        <v>84</v>
      </c>
      <c r="C3" s="79" t="s">
        <v>85</v>
      </c>
      <c r="E3" s="72" t="s">
        <v>86</v>
      </c>
      <c r="F3" s="72" t="s">
        <v>87</v>
      </c>
      <c r="G3" s="72" t="s">
        <v>88</v>
      </c>
      <c r="H3" s="72" t="s">
        <v>89</v>
      </c>
      <c r="I3" s="72" t="s">
        <v>89</v>
      </c>
      <c r="L3" s="81" t="s">
        <v>90</v>
      </c>
      <c r="M3" s="82" t="s">
        <v>51</v>
      </c>
      <c r="N3" s="83"/>
      <c r="R3" s="72" t="s">
        <v>58</v>
      </c>
      <c r="S3" s="72" t="s">
        <v>91</v>
      </c>
      <c r="T3" s="88" t="s">
        <v>92</v>
      </c>
      <c r="U3" s="72" t="s">
        <v>93</v>
      </c>
      <c r="V3" s="72" t="s">
        <v>89</v>
      </c>
      <c r="W3" s="72">
        <v>1.5</v>
      </c>
      <c r="X3" s="84">
        <v>1000</v>
      </c>
      <c r="Y3" s="84">
        <v>1000</v>
      </c>
      <c r="AS3" s="81" t="s">
        <v>90</v>
      </c>
      <c r="AT3" s="82" t="s">
        <v>51</v>
      </c>
      <c r="AU3" s="83"/>
      <c r="AV3" s="72" t="s">
        <v>58</v>
      </c>
      <c r="AW3" s="72" t="s">
        <v>91</v>
      </c>
      <c r="AX3" s="88" t="s">
        <v>92</v>
      </c>
      <c r="AY3" s="72" t="s">
        <v>93</v>
      </c>
      <c r="AZ3" s="72" t="s">
        <v>89</v>
      </c>
      <c r="BA3" s="72">
        <v>1.5</v>
      </c>
      <c r="BB3" s="84">
        <v>1000</v>
      </c>
      <c r="BC3" s="84">
        <v>1000</v>
      </c>
      <c r="BW3" s="81" t="s">
        <v>90</v>
      </c>
      <c r="BX3" s="82" t="s">
        <v>51</v>
      </c>
      <c r="BY3" s="83"/>
      <c r="BZ3" s="81" t="s">
        <v>58</v>
      </c>
      <c r="CA3" s="72" t="s">
        <v>91</v>
      </c>
      <c r="CB3" s="88" t="s">
        <v>92</v>
      </c>
      <c r="CC3" s="81" t="s">
        <v>93</v>
      </c>
      <c r="CD3" s="81" t="s">
        <v>89</v>
      </c>
      <c r="CE3" s="81">
        <v>1.5</v>
      </c>
      <c r="CF3" s="86">
        <v>1000</v>
      </c>
      <c r="CG3" s="86">
        <v>1000</v>
      </c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B3" s="72">
        <v>2</v>
      </c>
    </row>
    <row r="4" spans="1:106" x14ac:dyDescent="0.2">
      <c r="A4" s="79" t="s">
        <v>94</v>
      </c>
      <c r="B4" s="80" t="s">
        <v>95</v>
      </c>
      <c r="C4" s="79" t="s">
        <v>96</v>
      </c>
      <c r="E4" s="72" t="s">
        <v>97</v>
      </c>
      <c r="F4" s="72" t="s">
        <v>98</v>
      </c>
      <c r="G4" s="72" t="s">
        <v>99</v>
      </c>
      <c r="L4" s="81" t="s">
        <v>100</v>
      </c>
      <c r="M4" s="82" t="s">
        <v>101</v>
      </c>
      <c r="N4" s="83"/>
      <c r="R4" s="72" t="s">
        <v>102</v>
      </c>
      <c r="S4" s="72" t="s">
        <v>103</v>
      </c>
      <c r="T4" s="88" t="s">
        <v>104</v>
      </c>
      <c r="U4" s="72" t="s">
        <v>59</v>
      </c>
      <c r="W4" s="72">
        <v>2</v>
      </c>
      <c r="AS4" s="81" t="s">
        <v>100</v>
      </c>
      <c r="AT4" s="82" t="s">
        <v>101</v>
      </c>
      <c r="AU4" s="83"/>
      <c r="AV4" s="72" t="s">
        <v>102</v>
      </c>
      <c r="AW4" s="72" t="s">
        <v>103</v>
      </c>
      <c r="AX4" s="88" t="s">
        <v>104</v>
      </c>
      <c r="AY4" s="72" t="s">
        <v>59</v>
      </c>
      <c r="BA4" s="72">
        <v>2</v>
      </c>
      <c r="BB4" s="84"/>
      <c r="BC4" s="84"/>
      <c r="BW4" s="81" t="s">
        <v>100</v>
      </c>
      <c r="BX4" s="82" t="s">
        <v>101</v>
      </c>
      <c r="BY4" s="83"/>
      <c r="BZ4" s="81" t="s">
        <v>102</v>
      </c>
      <c r="CA4" s="72" t="s">
        <v>103</v>
      </c>
      <c r="CB4" s="88" t="s">
        <v>104</v>
      </c>
      <c r="CC4" s="72" t="s">
        <v>59</v>
      </c>
      <c r="CD4" s="81"/>
      <c r="CE4" s="81">
        <v>2</v>
      </c>
      <c r="CF4" s="86"/>
      <c r="CG4" s="86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B4" s="72">
        <v>3</v>
      </c>
    </row>
    <row r="5" spans="1:106" x14ac:dyDescent="0.2">
      <c r="A5" s="79" t="s">
        <v>105</v>
      </c>
      <c r="B5" s="80" t="s">
        <v>106</v>
      </c>
      <c r="C5" s="79" t="s">
        <v>107</v>
      </c>
      <c r="F5" s="72" t="s">
        <v>108</v>
      </c>
      <c r="L5" s="81" t="s">
        <v>109</v>
      </c>
      <c r="M5" s="82" t="s">
        <v>110</v>
      </c>
      <c r="N5" s="83"/>
      <c r="R5" s="72" t="s">
        <v>111</v>
      </c>
      <c r="S5" s="72" t="s">
        <v>112</v>
      </c>
      <c r="T5" s="88" t="s">
        <v>113</v>
      </c>
      <c r="U5" s="72" t="s">
        <v>114</v>
      </c>
      <c r="W5" s="72">
        <v>3</v>
      </c>
      <c r="AS5" s="81" t="s">
        <v>109</v>
      </c>
      <c r="AT5" s="82" t="s">
        <v>110</v>
      </c>
      <c r="AU5" s="83"/>
      <c r="AV5" s="72" t="s">
        <v>111</v>
      </c>
      <c r="AW5" s="72" t="s">
        <v>112</v>
      </c>
      <c r="AX5" s="88" t="s">
        <v>113</v>
      </c>
      <c r="AY5" s="72" t="s">
        <v>114</v>
      </c>
      <c r="BA5" s="72">
        <v>3</v>
      </c>
      <c r="BB5" s="84"/>
      <c r="BC5" s="84"/>
      <c r="BW5" s="81" t="s">
        <v>109</v>
      </c>
      <c r="BX5" s="82" t="s">
        <v>110</v>
      </c>
      <c r="BY5" s="83"/>
      <c r="BZ5" s="81" t="s">
        <v>111</v>
      </c>
      <c r="CA5" s="72" t="s">
        <v>112</v>
      </c>
      <c r="CB5" s="88" t="s">
        <v>113</v>
      </c>
      <c r="CC5" s="72" t="s">
        <v>114</v>
      </c>
      <c r="CD5" s="81"/>
      <c r="CE5" s="81">
        <v>3</v>
      </c>
      <c r="CF5" s="86"/>
      <c r="CG5" s="86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B5" s="72">
        <v>4</v>
      </c>
    </row>
    <row r="6" spans="1:106" x14ac:dyDescent="0.2">
      <c r="A6" s="79" t="s">
        <v>115</v>
      </c>
      <c r="B6" s="80" t="s">
        <v>116</v>
      </c>
      <c r="C6" s="79" t="s">
        <v>117</v>
      </c>
      <c r="F6" s="72" t="s">
        <v>118</v>
      </c>
      <c r="L6" s="81" t="s">
        <v>119</v>
      </c>
      <c r="M6" s="82" t="s">
        <v>120</v>
      </c>
      <c r="N6" s="83"/>
      <c r="S6" s="72" t="s">
        <v>121</v>
      </c>
      <c r="T6" s="88" t="s">
        <v>122</v>
      </c>
      <c r="W6" s="72">
        <v>4</v>
      </c>
      <c r="AS6" s="81" t="s">
        <v>119</v>
      </c>
      <c r="AT6" s="82" t="s">
        <v>120</v>
      </c>
      <c r="AU6" s="83"/>
      <c r="AW6" s="72" t="s">
        <v>121</v>
      </c>
      <c r="AX6" s="88" t="s">
        <v>122</v>
      </c>
      <c r="BA6" s="72">
        <v>4</v>
      </c>
      <c r="BB6" s="84"/>
      <c r="BC6" s="84"/>
      <c r="BW6" s="81" t="s">
        <v>119</v>
      </c>
      <c r="BX6" s="82" t="s">
        <v>120</v>
      </c>
      <c r="BY6" s="83"/>
      <c r="BZ6" s="81"/>
      <c r="CA6" s="72" t="s">
        <v>121</v>
      </c>
      <c r="CB6" s="88" t="s">
        <v>122</v>
      </c>
      <c r="CC6" s="81"/>
      <c r="CD6" s="81"/>
      <c r="CE6" s="81">
        <v>4</v>
      </c>
      <c r="CF6" s="86"/>
      <c r="CG6" s="86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B6" s="72">
        <v>5</v>
      </c>
    </row>
    <row r="7" spans="1:106" x14ac:dyDescent="0.2">
      <c r="A7" s="79" t="s">
        <v>123</v>
      </c>
      <c r="B7" s="80" t="s">
        <v>124</v>
      </c>
      <c r="C7" s="79" t="s">
        <v>125</v>
      </c>
      <c r="F7" s="72" t="s">
        <v>126</v>
      </c>
      <c r="L7" s="81" t="s">
        <v>127</v>
      </c>
      <c r="M7" s="82" t="s">
        <v>128</v>
      </c>
      <c r="N7" s="83"/>
      <c r="S7" s="72" t="s">
        <v>129</v>
      </c>
      <c r="T7" s="88" t="s">
        <v>130</v>
      </c>
      <c r="W7" s="72">
        <v>5</v>
      </c>
      <c r="AS7" s="81" t="s">
        <v>127</v>
      </c>
      <c r="AT7" s="82" t="s">
        <v>128</v>
      </c>
      <c r="AU7" s="83"/>
      <c r="AW7" s="72" t="s">
        <v>129</v>
      </c>
      <c r="AX7" s="88" t="s">
        <v>130</v>
      </c>
      <c r="BA7" s="72">
        <v>5</v>
      </c>
      <c r="BB7" s="84"/>
      <c r="BC7" s="84"/>
      <c r="BW7" s="81" t="s">
        <v>127</v>
      </c>
      <c r="BX7" s="82" t="s">
        <v>128</v>
      </c>
      <c r="BY7" s="83"/>
      <c r="BZ7" s="81"/>
      <c r="CA7" s="72" t="s">
        <v>129</v>
      </c>
      <c r="CB7" s="88" t="s">
        <v>130</v>
      </c>
      <c r="CC7" s="81"/>
      <c r="CD7" s="81"/>
      <c r="CE7" s="81">
        <v>5</v>
      </c>
      <c r="CF7" s="86"/>
      <c r="CG7" s="86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B7" s="72">
        <v>6</v>
      </c>
    </row>
    <row r="8" spans="1:106" x14ac:dyDescent="0.2">
      <c r="A8" s="79" t="s">
        <v>131</v>
      </c>
      <c r="B8" s="80" t="s">
        <v>132</v>
      </c>
      <c r="C8" s="79" t="s">
        <v>133</v>
      </c>
      <c r="F8" s="72" t="s">
        <v>134</v>
      </c>
      <c r="L8" s="81" t="s">
        <v>135</v>
      </c>
      <c r="M8" s="82" t="s">
        <v>136</v>
      </c>
      <c r="N8" s="83"/>
      <c r="S8" s="72" t="s">
        <v>137</v>
      </c>
      <c r="T8" s="88" t="s">
        <v>138</v>
      </c>
      <c r="W8" s="85">
        <v>6</v>
      </c>
      <c r="AS8" s="81" t="s">
        <v>135</v>
      </c>
      <c r="AT8" s="82" t="s">
        <v>136</v>
      </c>
      <c r="AU8" s="83"/>
      <c r="AW8" s="72" t="s">
        <v>137</v>
      </c>
      <c r="AX8" s="88" t="s">
        <v>138</v>
      </c>
      <c r="BA8" s="85">
        <v>6</v>
      </c>
      <c r="BB8" s="84"/>
      <c r="BC8" s="84"/>
      <c r="BW8" s="81" t="s">
        <v>135</v>
      </c>
      <c r="BX8" s="82" t="s">
        <v>136</v>
      </c>
      <c r="BY8" s="83"/>
      <c r="BZ8" s="81"/>
      <c r="CA8" s="72" t="s">
        <v>137</v>
      </c>
      <c r="CB8" s="88" t="s">
        <v>138</v>
      </c>
      <c r="CC8" s="81"/>
      <c r="CD8" s="81"/>
      <c r="CE8" s="87">
        <v>6</v>
      </c>
      <c r="CF8" s="86"/>
      <c r="CG8" s="86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B8" s="72">
        <v>7</v>
      </c>
    </row>
    <row r="9" spans="1:106" x14ac:dyDescent="0.2">
      <c r="A9" s="79" t="s">
        <v>139</v>
      </c>
      <c r="B9" s="80" t="s">
        <v>140</v>
      </c>
      <c r="C9" s="79" t="s">
        <v>141</v>
      </c>
      <c r="F9" s="72" t="s">
        <v>142</v>
      </c>
      <c r="L9" s="72" t="s">
        <v>143</v>
      </c>
      <c r="M9" s="82" t="s">
        <v>144</v>
      </c>
      <c r="N9" s="83"/>
      <c r="S9" s="72" t="s">
        <v>111</v>
      </c>
      <c r="T9" s="88" t="s">
        <v>145</v>
      </c>
      <c r="AS9" s="72" t="s">
        <v>143</v>
      </c>
      <c r="AT9" s="82" t="s">
        <v>144</v>
      </c>
      <c r="AU9" s="83"/>
      <c r="AW9" s="72" t="s">
        <v>111</v>
      </c>
      <c r="AX9" s="88" t="s">
        <v>145</v>
      </c>
      <c r="BA9" s="85"/>
      <c r="BB9" s="84"/>
      <c r="BC9" s="84"/>
      <c r="BW9" s="72" t="s">
        <v>143</v>
      </c>
      <c r="BX9" s="82" t="s">
        <v>144</v>
      </c>
      <c r="BY9" s="83"/>
      <c r="BZ9" s="81"/>
      <c r="CA9" s="72" t="s">
        <v>111</v>
      </c>
      <c r="CB9" s="88" t="s">
        <v>145</v>
      </c>
      <c r="CC9" s="81"/>
      <c r="CD9" s="81"/>
      <c r="CE9" s="87"/>
      <c r="CF9" s="86"/>
      <c r="CG9" s="86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B9" s="72">
        <v>8</v>
      </c>
    </row>
    <row r="10" spans="1:106" x14ac:dyDescent="0.2">
      <c r="A10" s="79" t="s">
        <v>146</v>
      </c>
      <c r="B10" s="80" t="s">
        <v>147</v>
      </c>
      <c r="C10" s="79" t="s">
        <v>148</v>
      </c>
      <c r="F10" s="72" t="s">
        <v>149</v>
      </c>
      <c r="L10" s="72" t="s">
        <v>150</v>
      </c>
      <c r="M10" s="82" t="s">
        <v>151</v>
      </c>
      <c r="N10" s="83"/>
      <c r="S10" s="72" t="s">
        <v>152</v>
      </c>
      <c r="T10" s="88" t="s">
        <v>153</v>
      </c>
      <c r="AS10" s="72" t="s">
        <v>150</v>
      </c>
      <c r="AT10" s="82" t="s">
        <v>151</v>
      </c>
      <c r="AU10" s="83"/>
      <c r="AW10" s="72" t="s">
        <v>152</v>
      </c>
      <c r="AX10" s="88" t="s">
        <v>153</v>
      </c>
      <c r="BA10" s="85"/>
      <c r="BB10" s="84"/>
      <c r="BC10" s="84"/>
      <c r="BW10" s="72" t="s">
        <v>150</v>
      </c>
      <c r="BX10" s="82" t="s">
        <v>151</v>
      </c>
      <c r="BY10" s="83"/>
      <c r="BZ10" s="81"/>
      <c r="CA10" s="72" t="s">
        <v>152</v>
      </c>
      <c r="CB10" s="88" t="s">
        <v>153</v>
      </c>
      <c r="CC10" s="81"/>
      <c r="CD10" s="81"/>
      <c r="CE10" s="87"/>
      <c r="CF10" s="86"/>
      <c r="CG10" s="86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B10" s="72">
        <v>9</v>
      </c>
    </row>
    <row r="11" spans="1:106" x14ac:dyDescent="0.2">
      <c r="A11" s="79" t="s">
        <v>154</v>
      </c>
      <c r="B11" s="80" t="s">
        <v>155</v>
      </c>
      <c r="C11" s="79" t="s">
        <v>156</v>
      </c>
      <c r="F11" s="72" t="s">
        <v>111</v>
      </c>
      <c r="L11" s="81" t="s">
        <v>157</v>
      </c>
      <c r="M11" s="82" t="s">
        <v>158</v>
      </c>
      <c r="N11" s="83"/>
      <c r="S11" s="72" t="s">
        <v>159</v>
      </c>
      <c r="T11" s="88" t="s">
        <v>160</v>
      </c>
      <c r="AS11" s="81" t="s">
        <v>157</v>
      </c>
      <c r="AT11" s="82" t="s">
        <v>158</v>
      </c>
      <c r="AU11" s="83"/>
      <c r="AW11" s="72" t="s">
        <v>159</v>
      </c>
      <c r="AX11" s="88" t="s">
        <v>160</v>
      </c>
      <c r="BA11" s="85"/>
      <c r="BB11" s="84"/>
      <c r="BC11" s="84"/>
      <c r="BW11" s="81" t="s">
        <v>157</v>
      </c>
      <c r="BX11" s="82" t="s">
        <v>158</v>
      </c>
      <c r="BY11" s="83"/>
      <c r="BZ11" s="81"/>
      <c r="CA11" s="72" t="s">
        <v>159</v>
      </c>
      <c r="CB11" s="88" t="s">
        <v>160</v>
      </c>
      <c r="CC11" s="81"/>
      <c r="CD11" s="81"/>
      <c r="CE11" s="87"/>
      <c r="CF11" s="86"/>
      <c r="CG11" s="86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B11" s="72">
        <v>10</v>
      </c>
    </row>
    <row r="12" spans="1:106" x14ac:dyDescent="0.2">
      <c r="A12" s="79" t="s">
        <v>161</v>
      </c>
      <c r="B12" s="80" t="s">
        <v>162</v>
      </c>
      <c r="C12" s="79" t="s">
        <v>163</v>
      </c>
      <c r="L12" s="81" t="s">
        <v>164</v>
      </c>
      <c r="M12" s="82" t="s">
        <v>165</v>
      </c>
      <c r="N12" s="83"/>
      <c r="S12" s="72" t="s">
        <v>166</v>
      </c>
      <c r="T12" s="88" t="s">
        <v>167</v>
      </c>
      <c r="AS12" s="81" t="s">
        <v>164</v>
      </c>
      <c r="AT12" s="82" t="s">
        <v>165</v>
      </c>
      <c r="AU12" s="83"/>
      <c r="AW12" s="72" t="s">
        <v>166</v>
      </c>
      <c r="AX12" s="88" t="s">
        <v>167</v>
      </c>
      <c r="BA12" s="85"/>
      <c r="BB12" s="84"/>
      <c r="BC12" s="84"/>
      <c r="BW12" s="81" t="s">
        <v>164</v>
      </c>
      <c r="BX12" s="82" t="s">
        <v>165</v>
      </c>
      <c r="BY12" s="83"/>
      <c r="BZ12" s="81"/>
      <c r="CA12" s="72" t="s">
        <v>166</v>
      </c>
      <c r="CB12" s="88" t="s">
        <v>167</v>
      </c>
      <c r="CC12" s="81"/>
      <c r="CD12" s="81"/>
      <c r="CE12" s="87"/>
      <c r="CF12" s="86"/>
      <c r="CG12" s="86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B12" s="72">
        <v>11</v>
      </c>
    </row>
    <row r="13" spans="1:106" x14ac:dyDescent="0.2">
      <c r="A13" s="79" t="s">
        <v>168</v>
      </c>
      <c r="B13" s="80" t="s">
        <v>169</v>
      </c>
      <c r="C13" s="79" t="s">
        <v>170</v>
      </c>
      <c r="L13" s="81" t="s">
        <v>171</v>
      </c>
      <c r="M13" s="82" t="s">
        <v>172</v>
      </c>
      <c r="N13" s="83"/>
      <c r="S13" s="72" t="s">
        <v>173</v>
      </c>
      <c r="T13" s="88" t="s">
        <v>174</v>
      </c>
      <c r="AS13" s="81" t="s">
        <v>171</v>
      </c>
      <c r="AT13" s="82" t="s">
        <v>172</v>
      </c>
      <c r="AU13" s="83"/>
      <c r="AW13" s="72" t="s">
        <v>173</v>
      </c>
      <c r="AX13" s="88" t="s">
        <v>174</v>
      </c>
      <c r="BA13" s="85"/>
      <c r="BB13" s="84"/>
      <c r="BC13" s="84"/>
      <c r="BW13" s="81" t="s">
        <v>171</v>
      </c>
      <c r="BX13" s="82" t="s">
        <v>172</v>
      </c>
      <c r="BY13" s="83"/>
      <c r="BZ13" s="81"/>
      <c r="CA13" s="72" t="s">
        <v>173</v>
      </c>
      <c r="CB13" s="88" t="s">
        <v>174</v>
      </c>
      <c r="CC13" s="81"/>
      <c r="CD13" s="81"/>
      <c r="CE13" s="87"/>
      <c r="CF13" s="86"/>
      <c r="CG13" s="86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B13" s="72">
        <v>12</v>
      </c>
    </row>
    <row r="14" spans="1:106" x14ac:dyDescent="0.2">
      <c r="A14" s="79" t="s">
        <v>175</v>
      </c>
      <c r="B14" s="80" t="s">
        <v>176</v>
      </c>
      <c r="C14" s="79" t="s">
        <v>177</v>
      </c>
      <c r="L14" s="81" t="s">
        <v>178</v>
      </c>
      <c r="M14" s="82" t="s">
        <v>179</v>
      </c>
      <c r="N14" s="83"/>
      <c r="S14" s="72" t="s">
        <v>180</v>
      </c>
      <c r="T14" s="88" t="s">
        <v>181</v>
      </c>
      <c r="AS14" s="81" t="s">
        <v>178</v>
      </c>
      <c r="AT14" s="82" t="s">
        <v>179</v>
      </c>
      <c r="AU14" s="83"/>
      <c r="AW14" s="72" t="s">
        <v>180</v>
      </c>
      <c r="AX14" s="88" t="s">
        <v>181</v>
      </c>
      <c r="BA14" s="85"/>
      <c r="BB14" s="84"/>
      <c r="BC14" s="84"/>
      <c r="BW14" s="81" t="s">
        <v>178</v>
      </c>
      <c r="BX14" s="82" t="s">
        <v>179</v>
      </c>
      <c r="BY14" s="83"/>
      <c r="BZ14" s="81"/>
      <c r="CA14" s="72" t="s">
        <v>180</v>
      </c>
      <c r="CB14" s="88" t="s">
        <v>181</v>
      </c>
      <c r="CC14" s="81"/>
      <c r="CD14" s="81"/>
      <c r="CE14" s="87"/>
      <c r="CF14" s="86"/>
      <c r="CG14" s="86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B14" s="72">
        <v>13</v>
      </c>
    </row>
    <row r="15" spans="1:106" x14ac:dyDescent="0.2">
      <c r="A15" s="79" t="s">
        <v>66</v>
      </c>
      <c r="B15" s="80" t="s">
        <v>182</v>
      </c>
      <c r="C15" s="79" t="s">
        <v>183</v>
      </c>
      <c r="L15" s="72" t="s">
        <v>184</v>
      </c>
      <c r="M15" s="82" t="s">
        <v>185</v>
      </c>
      <c r="N15" s="83"/>
      <c r="S15" s="72" t="s">
        <v>186</v>
      </c>
      <c r="T15" s="88" t="s">
        <v>187</v>
      </c>
      <c r="AS15" s="72" t="s">
        <v>184</v>
      </c>
      <c r="AT15" s="82" t="s">
        <v>185</v>
      </c>
      <c r="AU15" s="83"/>
      <c r="AW15" s="72" t="s">
        <v>186</v>
      </c>
      <c r="AX15" s="88" t="s">
        <v>187</v>
      </c>
      <c r="BA15" s="85"/>
      <c r="BB15" s="84"/>
      <c r="BC15" s="84"/>
      <c r="BW15" s="72" t="s">
        <v>184</v>
      </c>
      <c r="BX15" s="82" t="s">
        <v>185</v>
      </c>
      <c r="BY15" s="83"/>
      <c r="BZ15" s="81"/>
      <c r="CA15" s="72" t="s">
        <v>186</v>
      </c>
      <c r="CB15" s="88" t="s">
        <v>187</v>
      </c>
      <c r="CC15" s="81"/>
      <c r="CD15" s="81"/>
      <c r="CE15" s="87"/>
      <c r="CF15" s="86"/>
      <c r="CG15" s="86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B15" s="72">
        <v>14</v>
      </c>
    </row>
    <row r="16" spans="1:106" x14ac:dyDescent="0.2">
      <c r="A16" s="79" t="s">
        <v>188</v>
      </c>
      <c r="B16" s="80" t="s">
        <v>189</v>
      </c>
      <c r="C16" s="79" t="s">
        <v>190</v>
      </c>
      <c r="L16" s="81" t="s">
        <v>191</v>
      </c>
      <c r="M16" s="82" t="s">
        <v>192</v>
      </c>
      <c r="N16" s="83"/>
      <c r="Q16" s="150"/>
      <c r="S16" s="72" t="s">
        <v>63</v>
      </c>
      <c r="T16" s="88" t="s">
        <v>193</v>
      </c>
      <c r="AS16" s="81" t="s">
        <v>191</v>
      </c>
      <c r="AT16" s="82" t="s">
        <v>192</v>
      </c>
      <c r="AU16" s="83"/>
      <c r="AW16" s="72" t="s">
        <v>63</v>
      </c>
      <c r="AX16" s="88" t="s">
        <v>193</v>
      </c>
      <c r="BA16" s="85"/>
      <c r="BB16" s="84"/>
      <c r="BC16" s="84"/>
      <c r="BW16" s="81" t="s">
        <v>191</v>
      </c>
      <c r="BX16" s="82" t="s">
        <v>192</v>
      </c>
      <c r="BY16" s="83"/>
      <c r="BZ16" s="81"/>
      <c r="CA16" s="72" t="s">
        <v>63</v>
      </c>
      <c r="CB16" s="88" t="s">
        <v>193</v>
      </c>
      <c r="CC16" s="81"/>
      <c r="CD16" s="81"/>
      <c r="CE16" s="87"/>
      <c r="CF16" s="86"/>
      <c r="CG16" s="86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B16" s="72">
        <v>15</v>
      </c>
    </row>
    <row r="17" spans="1:106" x14ac:dyDescent="0.2">
      <c r="A17" s="79" t="s">
        <v>194</v>
      </c>
      <c r="B17" s="80" t="s">
        <v>195</v>
      </c>
      <c r="C17" s="79" t="s">
        <v>196</v>
      </c>
      <c r="L17" s="72" t="s">
        <v>197</v>
      </c>
      <c r="M17" s="82" t="s">
        <v>198</v>
      </c>
      <c r="N17" s="83"/>
      <c r="S17" s="72" t="s">
        <v>199</v>
      </c>
      <c r="T17" s="88" t="s">
        <v>200</v>
      </c>
      <c r="AS17" s="72" t="s">
        <v>197</v>
      </c>
      <c r="AT17" s="82" t="s">
        <v>198</v>
      </c>
      <c r="AU17" s="83"/>
      <c r="AW17" s="72" t="s">
        <v>199</v>
      </c>
      <c r="AX17" s="88" t="s">
        <v>200</v>
      </c>
      <c r="BA17" s="85"/>
      <c r="BB17" s="84"/>
      <c r="BC17" s="84"/>
      <c r="BW17" s="72" t="s">
        <v>197</v>
      </c>
      <c r="BX17" s="82" t="s">
        <v>198</v>
      </c>
      <c r="BY17" s="83"/>
      <c r="BZ17" s="81"/>
      <c r="CA17" s="72" t="s">
        <v>199</v>
      </c>
      <c r="CB17" s="88" t="s">
        <v>200</v>
      </c>
      <c r="CC17" s="81"/>
      <c r="CD17" s="81"/>
      <c r="CE17" s="87"/>
      <c r="CF17" s="86"/>
      <c r="CG17" s="86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B17" s="72">
        <v>16</v>
      </c>
    </row>
    <row r="18" spans="1:106" x14ac:dyDescent="0.2">
      <c r="A18" s="79" t="s">
        <v>201</v>
      </c>
      <c r="B18" s="80" t="s">
        <v>202</v>
      </c>
      <c r="C18" s="79" t="s">
        <v>203</v>
      </c>
      <c r="L18" s="72" t="s">
        <v>204</v>
      </c>
      <c r="M18" s="82" t="s">
        <v>205</v>
      </c>
      <c r="N18" s="83"/>
      <c r="T18" s="88" t="s">
        <v>206</v>
      </c>
      <c r="AS18" s="72" t="s">
        <v>204</v>
      </c>
      <c r="AT18" s="82" t="s">
        <v>205</v>
      </c>
      <c r="AU18" s="83"/>
      <c r="AX18" s="88" t="s">
        <v>206</v>
      </c>
      <c r="BA18" s="85"/>
      <c r="BB18" s="84"/>
      <c r="BC18" s="84"/>
      <c r="BW18" s="72" t="s">
        <v>204</v>
      </c>
      <c r="BX18" s="82" t="s">
        <v>205</v>
      </c>
      <c r="BY18" s="83"/>
      <c r="BZ18" s="81"/>
      <c r="CB18" s="88" t="s">
        <v>206</v>
      </c>
      <c r="CC18" s="81"/>
      <c r="CD18" s="81"/>
      <c r="CE18" s="87"/>
      <c r="CF18" s="86"/>
      <c r="CG18" s="86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B18" s="72">
        <v>17</v>
      </c>
    </row>
    <row r="19" spans="1:106" x14ac:dyDescent="0.2">
      <c r="A19" s="79" t="s">
        <v>207</v>
      </c>
      <c r="B19" s="80" t="s">
        <v>208</v>
      </c>
      <c r="C19" s="79" t="s">
        <v>209</v>
      </c>
      <c r="L19" s="81" t="s">
        <v>210</v>
      </c>
      <c r="M19" s="82" t="s">
        <v>211</v>
      </c>
      <c r="N19" s="83"/>
      <c r="T19" s="88" t="s">
        <v>212</v>
      </c>
      <c r="AS19" s="81" t="s">
        <v>210</v>
      </c>
      <c r="AT19" s="82" t="s">
        <v>211</v>
      </c>
      <c r="AU19" s="83"/>
      <c r="AX19" s="88" t="s">
        <v>212</v>
      </c>
      <c r="BA19" s="85"/>
      <c r="BB19" s="84"/>
      <c r="BC19" s="84"/>
      <c r="BW19" s="81" t="s">
        <v>210</v>
      </c>
      <c r="BX19" s="82" t="s">
        <v>211</v>
      </c>
      <c r="BY19" s="83"/>
      <c r="BZ19" s="81"/>
      <c r="CA19" s="81"/>
      <c r="CB19" s="88" t="s">
        <v>212</v>
      </c>
      <c r="CC19" s="81"/>
      <c r="CD19" s="81"/>
      <c r="CE19" s="87"/>
      <c r="CF19" s="86"/>
      <c r="CG19" s="86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B19" s="72">
        <v>18</v>
      </c>
    </row>
    <row r="20" spans="1:106" x14ac:dyDescent="0.2">
      <c r="A20" s="79" t="s">
        <v>213</v>
      </c>
      <c r="B20" s="80" t="s">
        <v>214</v>
      </c>
      <c r="C20" s="79" t="s">
        <v>215</v>
      </c>
      <c r="L20" s="72" t="s">
        <v>216</v>
      </c>
      <c r="M20" s="82" t="s">
        <v>217</v>
      </c>
      <c r="N20" s="83"/>
      <c r="T20" s="88" t="s">
        <v>218</v>
      </c>
      <c r="AS20" s="72" t="s">
        <v>216</v>
      </c>
      <c r="AT20" s="82" t="s">
        <v>217</v>
      </c>
      <c r="AU20" s="83"/>
      <c r="AX20" s="88" t="s">
        <v>218</v>
      </c>
      <c r="BA20" s="85"/>
      <c r="BB20" s="84"/>
      <c r="BC20" s="84"/>
      <c r="BW20" s="72" t="s">
        <v>216</v>
      </c>
      <c r="BX20" s="82" t="s">
        <v>217</v>
      </c>
      <c r="BY20" s="83"/>
      <c r="BZ20" s="81"/>
      <c r="CA20" s="81"/>
      <c r="CB20" s="88" t="s">
        <v>218</v>
      </c>
      <c r="CC20" s="81"/>
      <c r="CD20" s="81"/>
      <c r="CE20" s="87"/>
      <c r="CF20" s="86"/>
      <c r="CG20" s="86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B20" s="72">
        <v>19</v>
      </c>
    </row>
    <row r="21" spans="1:106" x14ac:dyDescent="0.2">
      <c r="A21" s="79" t="s">
        <v>219</v>
      </c>
      <c r="B21" s="80" t="s">
        <v>220</v>
      </c>
      <c r="C21" s="79" t="s">
        <v>221</v>
      </c>
      <c r="L21" s="72" t="s">
        <v>222</v>
      </c>
      <c r="M21" s="82" t="s">
        <v>223</v>
      </c>
      <c r="N21" s="83"/>
      <c r="T21" s="88" t="s">
        <v>224</v>
      </c>
      <c r="AS21" s="72" t="s">
        <v>222</v>
      </c>
      <c r="AT21" s="82" t="s">
        <v>223</v>
      </c>
      <c r="AU21" s="83"/>
      <c r="AX21" s="88" t="s">
        <v>224</v>
      </c>
      <c r="BA21" s="85"/>
      <c r="BB21" s="84"/>
      <c r="BC21" s="84"/>
      <c r="BW21" s="72" t="s">
        <v>222</v>
      </c>
      <c r="BX21" s="82" t="s">
        <v>223</v>
      </c>
      <c r="BY21" s="83"/>
      <c r="BZ21" s="81"/>
      <c r="CA21" s="81"/>
      <c r="CB21" s="88" t="s">
        <v>224</v>
      </c>
      <c r="CC21" s="81"/>
      <c r="CD21" s="81"/>
      <c r="CE21" s="87"/>
      <c r="CF21" s="86"/>
      <c r="CG21" s="86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B21" s="72">
        <v>20</v>
      </c>
    </row>
    <row r="22" spans="1:106" x14ac:dyDescent="0.2">
      <c r="A22" s="79" t="s">
        <v>225</v>
      </c>
      <c r="B22" s="80" t="s">
        <v>226</v>
      </c>
      <c r="C22" s="79" t="s">
        <v>227</v>
      </c>
      <c r="L22" s="81" t="s">
        <v>228</v>
      </c>
      <c r="M22" s="82" t="s">
        <v>229</v>
      </c>
      <c r="N22" s="83"/>
      <c r="T22" s="88" t="s">
        <v>230</v>
      </c>
      <c r="AS22" s="81" t="s">
        <v>228</v>
      </c>
      <c r="AT22" s="82" t="s">
        <v>229</v>
      </c>
      <c r="AU22" s="83"/>
      <c r="AX22" s="88" t="s">
        <v>230</v>
      </c>
      <c r="BA22" s="85"/>
      <c r="BB22" s="84"/>
      <c r="BC22" s="84"/>
      <c r="BW22" s="81" t="s">
        <v>228</v>
      </c>
      <c r="BX22" s="82" t="s">
        <v>229</v>
      </c>
      <c r="BY22" s="83"/>
      <c r="BZ22" s="81"/>
      <c r="CA22" s="81"/>
      <c r="CB22" s="88" t="s">
        <v>230</v>
      </c>
      <c r="CC22" s="81"/>
      <c r="CD22" s="81"/>
      <c r="CE22" s="87"/>
      <c r="CF22" s="86"/>
      <c r="CG22" s="86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B22" s="72">
        <v>21</v>
      </c>
    </row>
    <row r="23" spans="1:106" x14ac:dyDescent="0.2">
      <c r="A23" s="79" t="s">
        <v>231</v>
      </c>
      <c r="B23" s="80" t="s">
        <v>232</v>
      </c>
      <c r="C23" s="79" t="s">
        <v>233</v>
      </c>
      <c r="L23" s="72" t="s">
        <v>234</v>
      </c>
      <c r="M23" s="82" t="s">
        <v>235</v>
      </c>
      <c r="N23" s="83"/>
      <c r="T23" s="88" t="s">
        <v>236</v>
      </c>
      <c r="AS23" s="72" t="s">
        <v>234</v>
      </c>
      <c r="AT23" s="82" t="s">
        <v>235</v>
      </c>
      <c r="AU23" s="83"/>
      <c r="AX23" s="88" t="s">
        <v>236</v>
      </c>
      <c r="BA23" s="85"/>
      <c r="BB23" s="84"/>
      <c r="BC23" s="84"/>
      <c r="BW23" s="72" t="s">
        <v>234</v>
      </c>
      <c r="BX23" s="82" t="s">
        <v>235</v>
      </c>
      <c r="BY23" s="83"/>
      <c r="BZ23" s="81"/>
      <c r="CA23" s="81"/>
      <c r="CB23" s="88" t="s">
        <v>236</v>
      </c>
      <c r="CC23" s="81"/>
      <c r="CD23" s="81"/>
      <c r="CE23" s="87"/>
      <c r="CF23" s="86"/>
      <c r="CG23" s="86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B23" s="72">
        <v>22</v>
      </c>
    </row>
    <row r="24" spans="1:106" x14ac:dyDescent="0.2">
      <c r="A24" s="79" t="s">
        <v>237</v>
      </c>
      <c r="B24" s="80" t="s">
        <v>238</v>
      </c>
      <c r="C24" s="79" t="s">
        <v>239</v>
      </c>
      <c r="L24" s="72" t="s">
        <v>240</v>
      </c>
      <c r="M24" s="82" t="s">
        <v>241</v>
      </c>
      <c r="N24" s="83"/>
      <c r="T24" s="88" t="s">
        <v>242</v>
      </c>
      <c r="AS24" s="72" t="s">
        <v>240</v>
      </c>
      <c r="AT24" s="82" t="s">
        <v>241</v>
      </c>
      <c r="AU24" s="83"/>
      <c r="AX24" s="88" t="s">
        <v>242</v>
      </c>
      <c r="BA24" s="85"/>
      <c r="BB24" s="84"/>
      <c r="BC24" s="84"/>
      <c r="BW24" s="72" t="s">
        <v>240</v>
      </c>
      <c r="BX24" s="82" t="s">
        <v>241</v>
      </c>
      <c r="BY24" s="83"/>
      <c r="BZ24" s="81"/>
      <c r="CA24" s="81"/>
      <c r="CB24" s="88" t="s">
        <v>242</v>
      </c>
      <c r="CC24" s="81"/>
      <c r="CD24" s="81"/>
      <c r="CE24" s="87"/>
      <c r="CF24" s="86"/>
      <c r="CG24" s="86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B24" s="72">
        <v>23</v>
      </c>
    </row>
    <row r="25" spans="1:106" x14ac:dyDescent="0.2">
      <c r="A25" s="79" t="s">
        <v>243</v>
      </c>
      <c r="B25" s="80" t="s">
        <v>244</v>
      </c>
      <c r="C25" s="79" t="s">
        <v>245</v>
      </c>
      <c r="L25" s="81" t="s">
        <v>246</v>
      </c>
      <c r="M25" s="82" t="s">
        <v>247</v>
      </c>
      <c r="N25" s="83"/>
      <c r="T25" s="88" t="s">
        <v>248</v>
      </c>
      <c r="AS25" s="81" t="s">
        <v>246</v>
      </c>
      <c r="AT25" s="82" t="s">
        <v>247</v>
      </c>
      <c r="AU25" s="83"/>
      <c r="AX25" s="88" t="s">
        <v>248</v>
      </c>
      <c r="BA25" s="85"/>
      <c r="BB25" s="84"/>
      <c r="BC25" s="84"/>
      <c r="BW25" s="81" t="s">
        <v>246</v>
      </c>
      <c r="BX25" s="82" t="s">
        <v>247</v>
      </c>
      <c r="BY25" s="83"/>
      <c r="BZ25" s="81"/>
      <c r="CA25" s="81"/>
      <c r="CB25" s="88" t="s">
        <v>248</v>
      </c>
      <c r="CC25" s="81"/>
      <c r="CD25" s="81"/>
      <c r="CE25" s="87"/>
      <c r="CF25" s="86"/>
      <c r="CG25" s="86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B25" s="72">
        <v>24</v>
      </c>
    </row>
    <row r="26" spans="1:106" x14ac:dyDescent="0.2">
      <c r="A26" s="79" t="s">
        <v>249</v>
      </c>
      <c r="B26" s="80" t="s">
        <v>250</v>
      </c>
      <c r="C26" s="79" t="s">
        <v>251</v>
      </c>
      <c r="L26" s="81" t="s">
        <v>252</v>
      </c>
      <c r="M26" s="82" t="s">
        <v>253</v>
      </c>
      <c r="N26" s="83"/>
      <c r="T26" s="88" t="s">
        <v>254</v>
      </c>
      <c r="AS26" s="81" t="s">
        <v>252</v>
      </c>
      <c r="AT26" s="82" t="s">
        <v>253</v>
      </c>
      <c r="AU26" s="83"/>
      <c r="AX26" s="88" t="s">
        <v>254</v>
      </c>
      <c r="BA26" s="85"/>
      <c r="BB26" s="84"/>
      <c r="BC26" s="84"/>
      <c r="BW26" s="81" t="s">
        <v>252</v>
      </c>
      <c r="BX26" s="82" t="s">
        <v>253</v>
      </c>
      <c r="BY26" s="83"/>
      <c r="BZ26" s="81"/>
      <c r="CA26" s="81"/>
      <c r="CB26" s="88" t="s">
        <v>254</v>
      </c>
      <c r="CC26" s="81"/>
      <c r="CD26" s="81"/>
      <c r="CE26" s="87"/>
      <c r="CF26" s="86"/>
      <c r="CG26" s="86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B26" s="72">
        <v>25</v>
      </c>
    </row>
    <row r="27" spans="1:106" x14ac:dyDescent="0.2">
      <c r="A27" s="79" t="s">
        <v>255</v>
      </c>
      <c r="B27" s="80" t="s">
        <v>256</v>
      </c>
      <c r="C27" s="79" t="s">
        <v>257</v>
      </c>
      <c r="L27" s="81" t="s">
        <v>258</v>
      </c>
      <c r="M27" s="82" t="s">
        <v>259</v>
      </c>
      <c r="N27" s="83"/>
      <c r="T27" s="88" t="s">
        <v>260</v>
      </c>
      <c r="AS27" s="81" t="s">
        <v>258</v>
      </c>
      <c r="AT27" s="82" t="s">
        <v>259</v>
      </c>
      <c r="AU27" s="83"/>
      <c r="AX27" s="88" t="s">
        <v>260</v>
      </c>
      <c r="BA27" s="85"/>
      <c r="BB27" s="84"/>
      <c r="BC27" s="84"/>
      <c r="BW27" s="81" t="s">
        <v>258</v>
      </c>
      <c r="BX27" s="82" t="s">
        <v>259</v>
      </c>
      <c r="BY27" s="83"/>
      <c r="BZ27" s="81"/>
      <c r="CA27" s="81"/>
      <c r="CB27" s="88" t="s">
        <v>260</v>
      </c>
      <c r="CC27" s="81"/>
      <c r="CD27" s="81"/>
      <c r="CE27" s="87"/>
      <c r="CF27" s="86"/>
      <c r="CG27" s="86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B27" s="72">
        <v>26</v>
      </c>
    </row>
    <row r="28" spans="1:106" x14ac:dyDescent="0.2">
      <c r="A28" s="79" t="s">
        <v>261</v>
      </c>
      <c r="B28" s="80" t="s">
        <v>262</v>
      </c>
      <c r="C28" s="79" t="s">
        <v>263</v>
      </c>
      <c r="L28" s="81" t="s">
        <v>264</v>
      </c>
      <c r="M28" s="82" t="s">
        <v>265</v>
      </c>
      <c r="N28" s="83"/>
      <c r="T28" s="88" t="s">
        <v>266</v>
      </c>
      <c r="AS28" s="81" t="s">
        <v>264</v>
      </c>
      <c r="AT28" s="82" t="s">
        <v>265</v>
      </c>
      <c r="AU28" s="83"/>
      <c r="AX28" s="88" t="s">
        <v>266</v>
      </c>
      <c r="BA28" s="85"/>
      <c r="BB28" s="84"/>
      <c r="BC28" s="84"/>
      <c r="BW28" s="81" t="s">
        <v>264</v>
      </c>
      <c r="BX28" s="82" t="s">
        <v>265</v>
      </c>
      <c r="BY28" s="83"/>
      <c r="BZ28" s="81"/>
      <c r="CA28" s="81"/>
      <c r="CB28" s="88" t="s">
        <v>266</v>
      </c>
      <c r="CC28" s="81"/>
      <c r="CD28" s="81"/>
      <c r="CE28" s="87"/>
      <c r="CF28" s="86"/>
      <c r="CG28" s="86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B28" s="72">
        <v>27</v>
      </c>
    </row>
    <row r="29" spans="1:106" x14ac:dyDescent="0.2">
      <c r="A29" s="79" t="s">
        <v>267</v>
      </c>
      <c r="B29" s="80" t="s">
        <v>268</v>
      </c>
      <c r="C29" s="79" t="s">
        <v>269</v>
      </c>
      <c r="L29" s="81" t="s">
        <v>270</v>
      </c>
      <c r="M29" s="82" t="s">
        <v>271</v>
      </c>
      <c r="N29" s="83"/>
      <c r="T29" s="88" t="s">
        <v>272</v>
      </c>
      <c r="AS29" s="81" t="s">
        <v>270</v>
      </c>
      <c r="AT29" s="82" t="s">
        <v>271</v>
      </c>
      <c r="AU29" s="83"/>
      <c r="AX29" s="88" t="s">
        <v>272</v>
      </c>
      <c r="BA29" s="85"/>
      <c r="BB29" s="84"/>
      <c r="BC29" s="84"/>
      <c r="BW29" s="81" t="s">
        <v>270</v>
      </c>
      <c r="BX29" s="82" t="s">
        <v>271</v>
      </c>
      <c r="BY29" s="83"/>
      <c r="BZ29" s="81"/>
      <c r="CA29" s="81"/>
      <c r="CB29" s="88" t="s">
        <v>272</v>
      </c>
      <c r="CC29" s="81"/>
      <c r="CD29" s="81"/>
      <c r="CE29" s="87"/>
      <c r="CF29" s="86"/>
      <c r="CG29" s="86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B29" s="72">
        <v>28</v>
      </c>
    </row>
    <row r="30" spans="1:106" x14ac:dyDescent="0.2">
      <c r="A30" s="79" t="s">
        <v>273</v>
      </c>
      <c r="B30" s="80" t="s">
        <v>274</v>
      </c>
      <c r="C30" s="79" t="s">
        <v>275</v>
      </c>
      <c r="L30" s="72" t="s">
        <v>276</v>
      </c>
      <c r="M30" s="82" t="s">
        <v>277</v>
      </c>
      <c r="N30" s="83"/>
      <c r="T30" s="88" t="s">
        <v>278</v>
      </c>
      <c r="AS30" s="72" t="s">
        <v>276</v>
      </c>
      <c r="AT30" s="82" t="s">
        <v>277</v>
      </c>
      <c r="AU30" s="83"/>
      <c r="AX30" s="88" t="s">
        <v>278</v>
      </c>
      <c r="BA30" s="85"/>
      <c r="BB30" s="84"/>
      <c r="BC30" s="84"/>
      <c r="BW30" s="72" t="s">
        <v>276</v>
      </c>
      <c r="BX30" s="82" t="s">
        <v>277</v>
      </c>
      <c r="BY30" s="83"/>
      <c r="BZ30" s="81"/>
      <c r="CA30" s="81"/>
      <c r="CB30" s="88" t="s">
        <v>278</v>
      </c>
      <c r="CC30" s="81"/>
      <c r="CD30" s="81"/>
      <c r="CE30" s="87"/>
      <c r="CF30" s="86"/>
      <c r="CG30" s="86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B30" s="72">
        <v>29</v>
      </c>
    </row>
    <row r="31" spans="1:106" x14ac:dyDescent="0.2">
      <c r="A31" s="79" t="s">
        <v>279</v>
      </c>
      <c r="B31" s="80" t="s">
        <v>280</v>
      </c>
      <c r="C31" s="79" t="s">
        <v>281</v>
      </c>
      <c r="L31" s="72" t="s">
        <v>282</v>
      </c>
      <c r="M31" s="82" t="s">
        <v>283</v>
      </c>
      <c r="N31" s="83"/>
      <c r="T31" s="88" t="s">
        <v>284</v>
      </c>
      <c r="AS31" s="72" t="s">
        <v>282</v>
      </c>
      <c r="AT31" s="82" t="s">
        <v>283</v>
      </c>
      <c r="AU31" s="83"/>
      <c r="AX31" s="88" t="s">
        <v>284</v>
      </c>
      <c r="BA31" s="85"/>
      <c r="BB31" s="84"/>
      <c r="BC31" s="84"/>
      <c r="BW31" s="72" t="s">
        <v>282</v>
      </c>
      <c r="BX31" s="82" t="s">
        <v>283</v>
      </c>
      <c r="BY31" s="83"/>
      <c r="BZ31" s="81"/>
      <c r="CA31" s="81"/>
      <c r="CB31" s="88" t="s">
        <v>284</v>
      </c>
      <c r="CC31" s="81"/>
      <c r="CD31" s="81"/>
      <c r="CE31" s="87"/>
      <c r="CF31" s="86"/>
      <c r="CG31" s="86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B31" s="72">
        <v>30</v>
      </c>
    </row>
    <row r="32" spans="1:106" x14ac:dyDescent="0.2">
      <c r="A32" s="79" t="s">
        <v>285</v>
      </c>
      <c r="B32" s="80" t="s">
        <v>286</v>
      </c>
      <c r="C32" s="79" t="s">
        <v>287</v>
      </c>
      <c r="L32" s="81" t="s">
        <v>288</v>
      </c>
      <c r="M32" s="82" t="s">
        <v>289</v>
      </c>
      <c r="N32" s="83"/>
      <c r="T32" s="88" t="s">
        <v>290</v>
      </c>
      <c r="AS32" s="81" t="s">
        <v>288</v>
      </c>
      <c r="AT32" s="82" t="s">
        <v>289</v>
      </c>
      <c r="AU32" s="83"/>
      <c r="AX32" s="88" t="s">
        <v>290</v>
      </c>
      <c r="BA32" s="85"/>
      <c r="BB32" s="84"/>
      <c r="BC32" s="84"/>
      <c r="BW32" s="81" t="s">
        <v>288</v>
      </c>
      <c r="BX32" s="82" t="s">
        <v>289</v>
      </c>
      <c r="BY32" s="83"/>
      <c r="BZ32" s="81"/>
      <c r="CA32" s="81"/>
      <c r="CB32" s="88" t="s">
        <v>290</v>
      </c>
      <c r="CC32" s="81"/>
      <c r="CD32" s="81"/>
      <c r="CE32" s="87"/>
      <c r="CF32" s="86"/>
      <c r="CG32" s="86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B32" s="72">
        <v>31</v>
      </c>
    </row>
    <row r="33" spans="1:106" x14ac:dyDescent="0.2">
      <c r="A33" s="79" t="s">
        <v>291</v>
      </c>
      <c r="B33" s="80" t="s">
        <v>292</v>
      </c>
      <c r="C33" s="79" t="s">
        <v>293</v>
      </c>
      <c r="L33" s="72" t="s">
        <v>288</v>
      </c>
      <c r="M33" s="82" t="s">
        <v>294</v>
      </c>
      <c r="N33" s="83"/>
      <c r="T33" s="88" t="s">
        <v>295</v>
      </c>
      <c r="AS33" s="72" t="s">
        <v>288</v>
      </c>
      <c r="AT33" s="82" t="s">
        <v>294</v>
      </c>
      <c r="AU33" s="83"/>
      <c r="AX33" s="88" t="s">
        <v>295</v>
      </c>
      <c r="BA33" s="85"/>
      <c r="BB33" s="84"/>
      <c r="BC33" s="84"/>
      <c r="BW33" s="72" t="s">
        <v>288</v>
      </c>
      <c r="BX33" s="82" t="s">
        <v>294</v>
      </c>
      <c r="BY33" s="83"/>
      <c r="BZ33" s="81"/>
      <c r="CA33" s="81"/>
      <c r="CB33" s="88" t="s">
        <v>295</v>
      </c>
      <c r="CC33" s="81"/>
      <c r="CD33" s="81"/>
      <c r="CE33" s="87"/>
      <c r="CF33" s="86"/>
      <c r="CG33" s="86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B33" s="72">
        <v>32</v>
      </c>
    </row>
    <row r="34" spans="1:106" x14ac:dyDescent="0.2">
      <c r="A34" s="79" t="s">
        <v>296</v>
      </c>
      <c r="B34" s="80" t="s">
        <v>297</v>
      </c>
      <c r="C34" s="79" t="s">
        <v>298</v>
      </c>
      <c r="L34" s="81" t="s">
        <v>299</v>
      </c>
      <c r="M34" s="82" t="s">
        <v>300</v>
      </c>
      <c r="N34" s="83"/>
      <c r="T34" s="88" t="s">
        <v>301</v>
      </c>
      <c r="AS34" s="81" t="s">
        <v>299</v>
      </c>
      <c r="AT34" s="82" t="s">
        <v>300</v>
      </c>
      <c r="AU34" s="83"/>
      <c r="AX34" s="88" t="s">
        <v>301</v>
      </c>
      <c r="BA34" s="85"/>
      <c r="BB34" s="84"/>
      <c r="BC34" s="84"/>
      <c r="BW34" s="81" t="s">
        <v>299</v>
      </c>
      <c r="BX34" s="82" t="s">
        <v>300</v>
      </c>
      <c r="BY34" s="83"/>
      <c r="BZ34" s="81"/>
      <c r="CA34" s="81"/>
      <c r="CB34" s="88" t="s">
        <v>301</v>
      </c>
      <c r="CC34" s="81"/>
      <c r="CD34" s="81"/>
      <c r="CE34" s="87"/>
      <c r="CF34" s="86"/>
      <c r="CG34" s="86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B34" s="72">
        <v>33</v>
      </c>
    </row>
    <row r="35" spans="1:106" x14ac:dyDescent="0.2">
      <c r="A35" s="79" t="s">
        <v>302</v>
      </c>
      <c r="B35" s="80" t="s">
        <v>303</v>
      </c>
      <c r="C35" s="79" t="s">
        <v>304</v>
      </c>
      <c r="L35" s="81" t="s">
        <v>305</v>
      </c>
      <c r="M35" s="82" t="s">
        <v>306</v>
      </c>
      <c r="N35" s="83"/>
      <c r="T35" s="149" t="s">
        <v>307</v>
      </c>
      <c r="AS35" s="81" t="s">
        <v>305</v>
      </c>
      <c r="AT35" s="82" t="s">
        <v>306</v>
      </c>
      <c r="AU35" s="83"/>
      <c r="AX35" s="149" t="s">
        <v>307</v>
      </c>
      <c r="BA35" s="85"/>
      <c r="BB35" s="84"/>
      <c r="BC35" s="84"/>
      <c r="BW35" s="81" t="s">
        <v>305</v>
      </c>
      <c r="BX35" s="82" t="s">
        <v>306</v>
      </c>
      <c r="BY35" s="83"/>
      <c r="BZ35" s="81"/>
      <c r="CA35" s="81"/>
      <c r="CB35" s="149" t="s">
        <v>307</v>
      </c>
      <c r="CC35" s="81"/>
      <c r="CD35" s="81"/>
      <c r="CE35" s="87"/>
      <c r="CF35" s="86"/>
      <c r="CG35" s="86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B35" s="72">
        <v>34</v>
      </c>
    </row>
    <row r="36" spans="1:106" x14ac:dyDescent="0.2">
      <c r="A36" s="79" t="s">
        <v>308</v>
      </c>
      <c r="B36" s="80" t="s">
        <v>309</v>
      </c>
      <c r="C36" s="79" t="s">
        <v>310</v>
      </c>
      <c r="L36" s="81" t="s">
        <v>311</v>
      </c>
      <c r="M36" s="82" t="s">
        <v>312</v>
      </c>
      <c r="N36" s="83"/>
      <c r="T36" s="149" t="s">
        <v>313</v>
      </c>
      <c r="AS36" s="81" t="s">
        <v>311</v>
      </c>
      <c r="AT36" s="82" t="s">
        <v>312</v>
      </c>
      <c r="AU36" s="83"/>
      <c r="AX36" s="149" t="s">
        <v>313</v>
      </c>
      <c r="BA36" s="85"/>
      <c r="BB36" s="84"/>
      <c r="BC36" s="84"/>
      <c r="BW36" s="81" t="s">
        <v>311</v>
      </c>
      <c r="BX36" s="82" t="s">
        <v>312</v>
      </c>
      <c r="BY36" s="83"/>
      <c r="BZ36" s="81"/>
      <c r="CA36" s="81"/>
      <c r="CB36" s="149" t="s">
        <v>313</v>
      </c>
      <c r="CC36" s="81"/>
      <c r="CD36" s="81"/>
      <c r="CE36" s="87"/>
      <c r="CF36" s="86"/>
      <c r="CG36" s="86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B36" s="72">
        <v>35</v>
      </c>
    </row>
    <row r="37" spans="1:106" x14ac:dyDescent="0.2">
      <c r="A37" s="79" t="s">
        <v>314</v>
      </c>
      <c r="B37" s="80" t="s">
        <v>315</v>
      </c>
      <c r="C37" s="79" t="s">
        <v>316</v>
      </c>
      <c r="L37" s="81" t="s">
        <v>317</v>
      </c>
      <c r="M37" s="82" t="s">
        <v>318</v>
      </c>
      <c r="N37" s="83"/>
      <c r="T37" s="149" t="s">
        <v>319</v>
      </c>
      <c r="AS37" s="81" t="s">
        <v>317</v>
      </c>
      <c r="AT37" s="82" t="s">
        <v>318</v>
      </c>
      <c r="AU37" s="83"/>
      <c r="AX37" s="149" t="s">
        <v>319</v>
      </c>
      <c r="BA37" s="85"/>
      <c r="BB37" s="84"/>
      <c r="BC37" s="84"/>
      <c r="BW37" s="81" t="s">
        <v>317</v>
      </c>
      <c r="BX37" s="82" t="s">
        <v>318</v>
      </c>
      <c r="BY37" s="83"/>
      <c r="BZ37" s="81"/>
      <c r="CA37" s="81"/>
      <c r="CB37" s="149" t="s">
        <v>319</v>
      </c>
      <c r="CC37" s="81"/>
      <c r="CD37" s="81"/>
      <c r="CE37" s="87"/>
      <c r="CF37" s="86"/>
      <c r="CG37" s="86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B37" s="72">
        <v>36</v>
      </c>
    </row>
    <row r="38" spans="1:106" x14ac:dyDescent="0.2">
      <c r="A38" s="79" t="s">
        <v>320</v>
      </c>
      <c r="B38" s="80" t="s">
        <v>321</v>
      </c>
      <c r="C38" s="79" t="s">
        <v>322</v>
      </c>
      <c r="L38" s="81" t="s">
        <v>323</v>
      </c>
      <c r="M38" s="82" t="s">
        <v>324</v>
      </c>
      <c r="N38" s="83"/>
      <c r="T38" s="149" t="s">
        <v>325</v>
      </c>
      <c r="AS38" s="81" t="s">
        <v>323</v>
      </c>
      <c r="AT38" s="82" t="s">
        <v>324</v>
      </c>
      <c r="AU38" s="83"/>
      <c r="AX38" s="149" t="s">
        <v>325</v>
      </c>
      <c r="BA38" s="85"/>
      <c r="BB38" s="84"/>
      <c r="BC38" s="84"/>
      <c r="BW38" s="81" t="s">
        <v>323</v>
      </c>
      <c r="BX38" s="82" t="s">
        <v>324</v>
      </c>
      <c r="BY38" s="83"/>
      <c r="BZ38" s="81"/>
      <c r="CA38" s="81"/>
      <c r="CB38" s="149" t="s">
        <v>325</v>
      </c>
      <c r="CC38" s="81"/>
      <c r="CD38" s="81"/>
      <c r="CE38" s="87"/>
      <c r="CF38" s="86"/>
      <c r="CG38" s="86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B38" s="72">
        <v>37</v>
      </c>
    </row>
    <row r="39" spans="1:106" x14ac:dyDescent="0.2">
      <c r="A39" s="79" t="s">
        <v>326</v>
      </c>
      <c r="B39" s="80" t="s">
        <v>327</v>
      </c>
      <c r="C39" s="79" t="s">
        <v>328</v>
      </c>
      <c r="L39" s="81" t="s">
        <v>329</v>
      </c>
      <c r="M39" s="82" t="s">
        <v>330</v>
      </c>
      <c r="N39" s="83"/>
      <c r="T39" s="149" t="s">
        <v>331</v>
      </c>
      <c r="AS39" s="81" t="s">
        <v>329</v>
      </c>
      <c r="AT39" s="82" t="s">
        <v>330</v>
      </c>
      <c r="AU39" s="83"/>
      <c r="AX39" s="149" t="s">
        <v>331</v>
      </c>
      <c r="BA39" s="85"/>
      <c r="BB39" s="84"/>
      <c r="BC39" s="84"/>
      <c r="BW39" s="81" t="s">
        <v>329</v>
      </c>
      <c r="BX39" s="82" t="s">
        <v>330</v>
      </c>
      <c r="BY39" s="83"/>
      <c r="BZ39" s="81"/>
      <c r="CA39" s="81"/>
      <c r="CB39" s="149" t="s">
        <v>331</v>
      </c>
      <c r="CC39" s="81"/>
      <c r="CD39" s="81"/>
      <c r="CE39" s="87"/>
      <c r="CF39" s="86"/>
      <c r="CG39" s="86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B39" s="72">
        <v>38</v>
      </c>
    </row>
    <row r="40" spans="1:106" x14ac:dyDescent="0.2">
      <c r="A40" s="79" t="s">
        <v>332</v>
      </c>
      <c r="B40" s="80" t="s">
        <v>333</v>
      </c>
      <c r="C40" s="79" t="s">
        <v>334</v>
      </c>
      <c r="L40" s="72" t="s">
        <v>335</v>
      </c>
      <c r="M40" s="82" t="s">
        <v>336</v>
      </c>
      <c r="N40" s="83"/>
      <c r="T40" s="149" t="s">
        <v>337</v>
      </c>
      <c r="AS40" s="72" t="s">
        <v>335</v>
      </c>
      <c r="AT40" s="82" t="s">
        <v>336</v>
      </c>
      <c r="AU40" s="83"/>
      <c r="AX40" s="149" t="s">
        <v>337</v>
      </c>
      <c r="BA40" s="85"/>
      <c r="BB40" s="84"/>
      <c r="BC40" s="84"/>
      <c r="BW40" s="72" t="s">
        <v>335</v>
      </c>
      <c r="BX40" s="82" t="s">
        <v>336</v>
      </c>
      <c r="BY40" s="83"/>
      <c r="BZ40" s="81"/>
      <c r="CA40" s="81"/>
      <c r="CB40" s="149" t="s">
        <v>337</v>
      </c>
      <c r="CC40" s="81"/>
      <c r="CD40" s="81"/>
      <c r="CE40" s="87"/>
      <c r="CF40" s="86"/>
      <c r="CG40" s="86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B40" s="72">
        <v>39</v>
      </c>
    </row>
    <row r="41" spans="1:106" x14ac:dyDescent="0.2">
      <c r="A41" s="79" t="s">
        <v>338</v>
      </c>
      <c r="B41" s="80" t="s">
        <v>339</v>
      </c>
      <c r="C41" s="79" t="s">
        <v>340</v>
      </c>
      <c r="L41" s="72" t="s">
        <v>341</v>
      </c>
      <c r="M41" s="82" t="s">
        <v>342</v>
      </c>
      <c r="N41" s="83"/>
      <c r="T41" s="149" t="s">
        <v>343</v>
      </c>
      <c r="AS41" s="72" t="s">
        <v>341</v>
      </c>
      <c r="AT41" s="82" t="s">
        <v>342</v>
      </c>
      <c r="AU41" s="83"/>
      <c r="AX41" s="149" t="s">
        <v>343</v>
      </c>
      <c r="BA41" s="85"/>
      <c r="BB41" s="84"/>
      <c r="BC41" s="84"/>
      <c r="BW41" s="72" t="s">
        <v>341</v>
      </c>
      <c r="BX41" s="82" t="s">
        <v>342</v>
      </c>
      <c r="BY41" s="83"/>
      <c r="BZ41" s="81"/>
      <c r="CA41" s="81"/>
      <c r="CB41" s="149" t="s">
        <v>343</v>
      </c>
      <c r="CC41" s="81"/>
      <c r="CD41" s="81"/>
      <c r="CE41" s="87"/>
      <c r="CF41" s="86"/>
      <c r="CG41" s="86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B41" s="72">
        <v>40</v>
      </c>
    </row>
    <row r="42" spans="1:106" x14ac:dyDescent="0.2">
      <c r="A42" s="79" t="s">
        <v>61</v>
      </c>
      <c r="B42" s="80" t="s">
        <v>344</v>
      </c>
      <c r="C42" s="79" t="s">
        <v>345</v>
      </c>
      <c r="L42" s="81" t="s">
        <v>346</v>
      </c>
      <c r="M42" s="82" t="s">
        <v>347</v>
      </c>
      <c r="N42" s="83"/>
      <c r="T42" s="149" t="s">
        <v>348</v>
      </c>
      <c r="AS42" s="81" t="s">
        <v>346</v>
      </c>
      <c r="AT42" s="82" t="s">
        <v>347</v>
      </c>
      <c r="AU42" s="83"/>
      <c r="AX42" s="149" t="s">
        <v>348</v>
      </c>
      <c r="BA42" s="85"/>
      <c r="BB42" s="84"/>
      <c r="BC42" s="84"/>
      <c r="BW42" s="81" t="s">
        <v>346</v>
      </c>
      <c r="BX42" s="82" t="s">
        <v>347</v>
      </c>
      <c r="BY42" s="83"/>
      <c r="BZ42" s="81"/>
      <c r="CA42" s="81"/>
      <c r="CB42" s="149" t="s">
        <v>348</v>
      </c>
      <c r="CC42" s="81"/>
      <c r="CD42" s="81"/>
      <c r="CE42" s="87"/>
      <c r="CF42" s="86"/>
      <c r="CG42" s="86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B42" s="72">
        <v>41</v>
      </c>
    </row>
    <row r="43" spans="1:106" x14ac:dyDescent="0.2">
      <c r="A43" s="79" t="s">
        <v>349</v>
      </c>
      <c r="B43" s="80" t="s">
        <v>350</v>
      </c>
      <c r="C43" s="79" t="s">
        <v>351</v>
      </c>
      <c r="L43" s="72" t="s">
        <v>352</v>
      </c>
      <c r="M43" s="82" t="s">
        <v>353</v>
      </c>
      <c r="N43" s="83"/>
      <c r="T43" s="149" t="s">
        <v>354</v>
      </c>
      <c r="AS43" s="72" t="s">
        <v>352</v>
      </c>
      <c r="AT43" s="82" t="s">
        <v>353</v>
      </c>
      <c r="AU43" s="83"/>
      <c r="AX43" s="149" t="s">
        <v>354</v>
      </c>
      <c r="BA43" s="85"/>
      <c r="BB43" s="84"/>
      <c r="BC43" s="84"/>
      <c r="BW43" s="72" t="s">
        <v>352</v>
      </c>
      <c r="BX43" s="82" t="s">
        <v>353</v>
      </c>
      <c r="BY43" s="83"/>
      <c r="BZ43" s="81"/>
      <c r="CA43" s="81"/>
      <c r="CB43" s="149" t="s">
        <v>354</v>
      </c>
      <c r="CC43" s="81"/>
      <c r="CD43" s="81"/>
      <c r="CE43" s="87"/>
      <c r="CF43" s="86"/>
      <c r="CG43" s="86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B43" s="72">
        <v>42</v>
      </c>
    </row>
    <row r="44" spans="1:106" x14ac:dyDescent="0.2">
      <c r="A44" s="79" t="s">
        <v>355</v>
      </c>
      <c r="B44" s="80" t="s">
        <v>356</v>
      </c>
      <c r="C44" s="79" t="s">
        <v>357</v>
      </c>
      <c r="L44" s="81" t="s">
        <v>358</v>
      </c>
      <c r="M44" s="82" t="s">
        <v>359</v>
      </c>
      <c r="N44" s="83"/>
      <c r="T44" s="149" t="s">
        <v>360</v>
      </c>
      <c r="AS44" s="81" t="s">
        <v>358</v>
      </c>
      <c r="AT44" s="82" t="s">
        <v>359</v>
      </c>
      <c r="AU44" s="83"/>
      <c r="AX44" s="149" t="s">
        <v>360</v>
      </c>
      <c r="BA44" s="85"/>
      <c r="BB44" s="84"/>
      <c r="BC44" s="84"/>
      <c r="BW44" s="81" t="s">
        <v>358</v>
      </c>
      <c r="BX44" s="82" t="s">
        <v>359</v>
      </c>
      <c r="BY44" s="83"/>
      <c r="BZ44" s="81"/>
      <c r="CA44" s="81"/>
      <c r="CB44" s="149" t="s">
        <v>360</v>
      </c>
      <c r="CC44" s="81"/>
      <c r="CD44" s="81"/>
      <c r="CE44" s="87"/>
      <c r="CF44" s="86"/>
      <c r="CG44" s="86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B44" s="72">
        <v>43</v>
      </c>
    </row>
    <row r="45" spans="1:106" x14ac:dyDescent="0.2">
      <c r="A45" s="79" t="s">
        <v>361</v>
      </c>
      <c r="B45" s="80" t="s">
        <v>362</v>
      </c>
      <c r="C45" s="79" t="s">
        <v>363</v>
      </c>
      <c r="L45" s="72" t="s">
        <v>364</v>
      </c>
      <c r="M45" s="82" t="s">
        <v>365</v>
      </c>
      <c r="N45" s="83"/>
      <c r="T45" s="149" t="s">
        <v>366</v>
      </c>
      <c r="AS45" s="72" t="s">
        <v>364</v>
      </c>
      <c r="AT45" s="82" t="s">
        <v>365</v>
      </c>
      <c r="AU45" s="83"/>
      <c r="AX45" s="149" t="s">
        <v>366</v>
      </c>
      <c r="BA45" s="85"/>
      <c r="BB45" s="84"/>
      <c r="BC45" s="84"/>
      <c r="BW45" s="72" t="s">
        <v>364</v>
      </c>
      <c r="BX45" s="82" t="s">
        <v>365</v>
      </c>
      <c r="BY45" s="83"/>
      <c r="BZ45" s="81"/>
      <c r="CA45" s="81"/>
      <c r="CB45" s="149" t="s">
        <v>366</v>
      </c>
      <c r="CC45" s="81"/>
      <c r="CD45" s="81"/>
      <c r="CE45" s="87"/>
      <c r="CF45" s="86"/>
      <c r="CG45" s="86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B45" s="72">
        <v>44</v>
      </c>
    </row>
    <row r="46" spans="1:106" x14ac:dyDescent="0.2">
      <c r="A46" s="79" t="s">
        <v>367</v>
      </c>
      <c r="B46" s="80" t="s">
        <v>368</v>
      </c>
      <c r="C46" s="79" t="s">
        <v>369</v>
      </c>
      <c r="L46" s="81" t="s">
        <v>370</v>
      </c>
      <c r="M46" s="82" t="s">
        <v>371</v>
      </c>
      <c r="N46" s="83"/>
      <c r="T46" s="149" t="s">
        <v>372</v>
      </c>
      <c r="AS46" s="81" t="s">
        <v>370</v>
      </c>
      <c r="AT46" s="82" t="s">
        <v>371</v>
      </c>
      <c r="AU46" s="83"/>
      <c r="AX46" s="149" t="s">
        <v>372</v>
      </c>
      <c r="BA46" s="85"/>
      <c r="BB46" s="84"/>
      <c r="BC46" s="84"/>
      <c r="BW46" s="81" t="s">
        <v>370</v>
      </c>
      <c r="BX46" s="82" t="s">
        <v>371</v>
      </c>
      <c r="BY46" s="83"/>
      <c r="BZ46" s="81"/>
      <c r="CA46" s="81"/>
      <c r="CB46" s="149" t="s">
        <v>372</v>
      </c>
      <c r="CC46" s="81"/>
      <c r="CD46" s="81"/>
      <c r="CE46" s="87"/>
      <c r="CF46" s="86"/>
      <c r="CG46" s="86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B46" s="72">
        <v>45</v>
      </c>
    </row>
    <row r="47" spans="1:106" x14ac:dyDescent="0.2">
      <c r="A47" s="79" t="s">
        <v>373</v>
      </c>
      <c r="B47" s="80" t="s">
        <v>374</v>
      </c>
      <c r="C47" s="79" t="s">
        <v>375</v>
      </c>
      <c r="L47" s="81" t="s">
        <v>376</v>
      </c>
      <c r="M47" s="82" t="s">
        <v>377</v>
      </c>
      <c r="N47" s="83"/>
      <c r="T47" s="149" t="s">
        <v>378</v>
      </c>
      <c r="AS47" s="81" t="s">
        <v>376</v>
      </c>
      <c r="AT47" s="82" t="s">
        <v>377</v>
      </c>
      <c r="AU47" s="83"/>
      <c r="AX47" s="149" t="s">
        <v>378</v>
      </c>
      <c r="BA47" s="85"/>
      <c r="BB47" s="84"/>
      <c r="BC47" s="84"/>
      <c r="BW47" s="81" t="s">
        <v>376</v>
      </c>
      <c r="BX47" s="82" t="s">
        <v>377</v>
      </c>
      <c r="BY47" s="83"/>
      <c r="BZ47" s="81"/>
      <c r="CA47" s="81"/>
      <c r="CB47" s="149" t="s">
        <v>378</v>
      </c>
      <c r="CC47" s="81"/>
      <c r="CD47" s="81"/>
      <c r="CE47" s="87"/>
      <c r="CF47" s="86"/>
      <c r="CG47" s="86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B47" s="72">
        <v>46</v>
      </c>
    </row>
    <row r="48" spans="1:106" x14ac:dyDescent="0.2">
      <c r="A48" s="79" t="s">
        <v>379</v>
      </c>
      <c r="B48" s="80" t="s">
        <v>380</v>
      </c>
      <c r="C48" s="79" t="s">
        <v>381</v>
      </c>
      <c r="L48" s="81" t="s">
        <v>382</v>
      </c>
      <c r="M48" s="82" t="s">
        <v>383</v>
      </c>
      <c r="N48" s="83"/>
      <c r="T48" s="149" t="s">
        <v>384</v>
      </c>
      <c r="AS48" s="81" t="s">
        <v>382</v>
      </c>
      <c r="AT48" s="82" t="s">
        <v>383</v>
      </c>
      <c r="AU48" s="83"/>
      <c r="AX48" s="149" t="s">
        <v>384</v>
      </c>
      <c r="BA48" s="85"/>
      <c r="BB48" s="84"/>
      <c r="BC48" s="84"/>
      <c r="BW48" s="81" t="s">
        <v>382</v>
      </c>
      <c r="BX48" s="82" t="s">
        <v>383</v>
      </c>
      <c r="BY48" s="83"/>
      <c r="BZ48" s="81"/>
      <c r="CA48" s="81"/>
      <c r="CB48" s="149" t="s">
        <v>384</v>
      </c>
      <c r="CC48" s="81"/>
      <c r="CD48" s="81"/>
      <c r="CE48" s="87"/>
      <c r="CF48" s="86"/>
      <c r="CG48" s="86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B48" s="72">
        <v>47</v>
      </c>
    </row>
    <row r="49" spans="1:106" x14ac:dyDescent="0.2">
      <c r="A49" s="79" t="s">
        <v>385</v>
      </c>
      <c r="B49" s="80" t="s">
        <v>386</v>
      </c>
      <c r="C49" s="79" t="s">
        <v>387</v>
      </c>
      <c r="L49" s="72" t="s">
        <v>388</v>
      </c>
      <c r="M49" s="82" t="s">
        <v>389</v>
      </c>
      <c r="N49" s="83"/>
      <c r="AS49" s="72" t="s">
        <v>388</v>
      </c>
      <c r="AT49" s="82" t="s">
        <v>389</v>
      </c>
      <c r="AU49" s="83"/>
      <c r="BA49" s="85"/>
      <c r="BB49" s="84"/>
      <c r="BC49" s="84"/>
      <c r="BW49" s="72" t="s">
        <v>388</v>
      </c>
      <c r="BX49" s="82" t="s">
        <v>389</v>
      </c>
      <c r="BY49" s="83"/>
      <c r="BZ49" s="81"/>
      <c r="CA49" s="81"/>
      <c r="CB49" s="81"/>
      <c r="CC49" s="81"/>
      <c r="CD49" s="81"/>
      <c r="CE49" s="87"/>
      <c r="CF49" s="86"/>
      <c r="CG49" s="86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B49" s="72">
        <v>48</v>
      </c>
    </row>
    <row r="50" spans="1:106" x14ac:dyDescent="0.2">
      <c r="A50" s="79" t="s">
        <v>390</v>
      </c>
      <c r="B50" s="80" t="s">
        <v>391</v>
      </c>
      <c r="C50" s="79" t="s">
        <v>392</v>
      </c>
      <c r="L50" s="72" t="s">
        <v>393</v>
      </c>
      <c r="M50" s="82" t="s">
        <v>394</v>
      </c>
      <c r="N50" s="83"/>
      <c r="AS50" s="72" t="s">
        <v>393</v>
      </c>
      <c r="AT50" s="82" t="s">
        <v>394</v>
      </c>
      <c r="AU50" s="83"/>
      <c r="BA50" s="85"/>
      <c r="BB50" s="84"/>
      <c r="BC50" s="84"/>
      <c r="BW50" s="72" t="s">
        <v>393</v>
      </c>
      <c r="BX50" s="82" t="s">
        <v>394</v>
      </c>
      <c r="BY50" s="83"/>
      <c r="BZ50" s="81"/>
      <c r="CA50" s="81"/>
      <c r="CB50" s="81"/>
      <c r="CC50" s="81"/>
      <c r="CD50" s="81"/>
      <c r="CE50" s="87"/>
      <c r="CF50" s="86"/>
      <c r="CG50" s="86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B50" s="72">
        <v>49</v>
      </c>
    </row>
    <row r="51" spans="1:106" x14ac:dyDescent="0.2">
      <c r="A51" s="79" t="s">
        <v>395</v>
      </c>
      <c r="B51" s="80" t="s">
        <v>396</v>
      </c>
      <c r="C51" s="79" t="s">
        <v>397</v>
      </c>
      <c r="L51" s="72" t="s">
        <v>398</v>
      </c>
      <c r="M51" s="82" t="s">
        <v>399</v>
      </c>
      <c r="N51" s="83"/>
      <c r="AS51" s="72" t="s">
        <v>398</v>
      </c>
      <c r="AT51" s="82" t="s">
        <v>399</v>
      </c>
      <c r="AU51" s="83"/>
      <c r="BA51" s="85"/>
      <c r="BB51" s="84"/>
      <c r="BC51" s="84"/>
      <c r="BW51" s="72" t="s">
        <v>398</v>
      </c>
      <c r="BX51" s="82" t="s">
        <v>399</v>
      </c>
      <c r="BY51" s="83"/>
      <c r="BZ51" s="81"/>
      <c r="CA51" s="81"/>
      <c r="CB51" s="81"/>
      <c r="CC51" s="81"/>
      <c r="CD51" s="81"/>
      <c r="CE51" s="87"/>
      <c r="CF51" s="86"/>
      <c r="CG51" s="86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B51" s="72">
        <v>50</v>
      </c>
    </row>
    <row r="52" spans="1:106" x14ac:dyDescent="0.2">
      <c r="A52" s="79" t="s">
        <v>400</v>
      </c>
      <c r="B52" s="80" t="s">
        <v>401</v>
      </c>
      <c r="C52" s="79" t="s">
        <v>402</v>
      </c>
      <c r="L52" s="81" t="s">
        <v>403</v>
      </c>
      <c r="M52" s="82" t="s">
        <v>404</v>
      </c>
      <c r="N52" s="83"/>
      <c r="AS52" s="81" t="s">
        <v>403</v>
      </c>
      <c r="AT52" s="82" t="s">
        <v>404</v>
      </c>
      <c r="AU52" s="83"/>
      <c r="BW52" s="81" t="s">
        <v>403</v>
      </c>
      <c r="BX52" s="82" t="s">
        <v>404</v>
      </c>
      <c r="BY52" s="83"/>
      <c r="DB52" s="72">
        <v>51</v>
      </c>
    </row>
    <row r="53" spans="1:106" x14ac:dyDescent="0.2">
      <c r="A53" s="79" t="s">
        <v>405</v>
      </c>
      <c r="B53" s="80" t="s">
        <v>406</v>
      </c>
      <c r="C53" s="79" t="s">
        <v>407</v>
      </c>
      <c r="L53" s="81" t="s">
        <v>408</v>
      </c>
      <c r="M53" s="82" t="s">
        <v>409</v>
      </c>
      <c r="N53" s="83"/>
      <c r="AS53" s="81" t="s">
        <v>408</v>
      </c>
      <c r="AT53" s="82" t="s">
        <v>409</v>
      </c>
      <c r="AU53" s="83"/>
      <c r="BW53" s="81" t="s">
        <v>408</v>
      </c>
      <c r="BX53" s="82" t="s">
        <v>409</v>
      </c>
      <c r="BY53" s="83"/>
      <c r="DB53" s="72">
        <v>52</v>
      </c>
    </row>
    <row r="54" spans="1:106" x14ac:dyDescent="0.2">
      <c r="A54" s="79" t="s">
        <v>410</v>
      </c>
      <c r="B54" s="80" t="s">
        <v>411</v>
      </c>
      <c r="C54" s="79" t="s">
        <v>412</v>
      </c>
      <c r="L54" s="72" t="s">
        <v>413</v>
      </c>
      <c r="M54" s="82" t="s">
        <v>414</v>
      </c>
      <c r="N54" s="83"/>
      <c r="AS54" s="72" t="s">
        <v>413</v>
      </c>
      <c r="AT54" s="82" t="s">
        <v>414</v>
      </c>
      <c r="AU54" s="83"/>
      <c r="BW54" s="72" t="s">
        <v>413</v>
      </c>
      <c r="BX54" s="82" t="s">
        <v>414</v>
      </c>
      <c r="BY54" s="83"/>
      <c r="DB54" s="72">
        <v>53</v>
      </c>
    </row>
    <row r="55" spans="1:106" x14ac:dyDescent="0.2">
      <c r="A55" s="79" t="s">
        <v>415</v>
      </c>
      <c r="B55" s="80" t="s">
        <v>416</v>
      </c>
      <c r="C55" s="79" t="s">
        <v>417</v>
      </c>
      <c r="L55" s="81" t="s">
        <v>418</v>
      </c>
      <c r="M55" s="82" t="s">
        <v>419</v>
      </c>
      <c r="N55" s="83"/>
      <c r="AS55" s="81" t="s">
        <v>418</v>
      </c>
      <c r="AT55" s="82" t="s">
        <v>419</v>
      </c>
      <c r="AU55" s="83"/>
      <c r="BW55" s="81" t="s">
        <v>418</v>
      </c>
      <c r="BX55" s="82" t="s">
        <v>419</v>
      </c>
      <c r="BY55" s="83"/>
      <c r="DB55" s="72">
        <v>54</v>
      </c>
    </row>
    <row r="56" spans="1:106" x14ac:dyDescent="0.2">
      <c r="A56" s="79" t="s">
        <v>420</v>
      </c>
      <c r="B56" s="80" t="s">
        <v>421</v>
      </c>
      <c r="C56" s="79" t="s">
        <v>422</v>
      </c>
      <c r="L56" s="72" t="s">
        <v>423</v>
      </c>
      <c r="M56" s="82" t="s">
        <v>424</v>
      </c>
      <c r="N56" s="83"/>
      <c r="AS56" s="72" t="s">
        <v>423</v>
      </c>
      <c r="AT56" s="82" t="s">
        <v>424</v>
      </c>
      <c r="AU56" s="83"/>
      <c r="BW56" s="72" t="s">
        <v>423</v>
      </c>
      <c r="BX56" s="82" t="s">
        <v>424</v>
      </c>
      <c r="BY56" s="83"/>
      <c r="DB56" s="72">
        <v>55</v>
      </c>
    </row>
    <row r="57" spans="1:106" x14ac:dyDescent="0.2">
      <c r="A57" s="79" t="s">
        <v>425</v>
      </c>
      <c r="B57" s="80" t="s">
        <v>426</v>
      </c>
      <c r="C57" s="79" t="s">
        <v>427</v>
      </c>
      <c r="L57" s="81" t="s">
        <v>428</v>
      </c>
      <c r="M57" s="82" t="s">
        <v>429</v>
      </c>
      <c r="N57" s="83"/>
      <c r="AS57" s="81" t="s">
        <v>428</v>
      </c>
      <c r="AT57" s="82" t="s">
        <v>429</v>
      </c>
      <c r="AU57" s="83"/>
      <c r="BW57" s="81" t="s">
        <v>428</v>
      </c>
      <c r="BX57" s="82" t="s">
        <v>429</v>
      </c>
      <c r="BY57" s="83"/>
      <c r="DB57" s="72">
        <v>56</v>
      </c>
    </row>
    <row r="58" spans="1:106" x14ac:dyDescent="0.2">
      <c r="A58" s="79" t="s">
        <v>430</v>
      </c>
      <c r="B58" s="80" t="s">
        <v>431</v>
      </c>
      <c r="C58" s="79" t="s">
        <v>432</v>
      </c>
      <c r="L58" s="81" t="s">
        <v>433</v>
      </c>
      <c r="M58" s="82" t="s">
        <v>434</v>
      </c>
      <c r="N58" s="83"/>
      <c r="AS58" s="81" t="s">
        <v>433</v>
      </c>
      <c r="AT58" s="82" t="s">
        <v>434</v>
      </c>
      <c r="AU58" s="83"/>
      <c r="BW58" s="81" t="s">
        <v>433</v>
      </c>
      <c r="BX58" s="82" t="s">
        <v>434</v>
      </c>
      <c r="BY58" s="83"/>
      <c r="DB58" s="72">
        <v>57</v>
      </c>
    </row>
    <row r="59" spans="1:106" x14ac:dyDescent="0.2">
      <c r="A59" s="79" t="s">
        <v>435</v>
      </c>
      <c r="B59" s="80" t="s">
        <v>436</v>
      </c>
      <c r="C59" s="79" t="s">
        <v>437</v>
      </c>
      <c r="L59" s="72" t="s">
        <v>438</v>
      </c>
      <c r="M59" s="82" t="s">
        <v>439</v>
      </c>
      <c r="N59" s="83"/>
      <c r="AS59" s="72" t="s">
        <v>438</v>
      </c>
      <c r="AT59" s="82" t="s">
        <v>439</v>
      </c>
      <c r="AU59" s="83"/>
      <c r="BW59" s="72" t="s">
        <v>438</v>
      </c>
      <c r="BX59" s="82" t="s">
        <v>439</v>
      </c>
      <c r="BY59" s="83"/>
      <c r="DB59" s="72">
        <v>58</v>
      </c>
    </row>
    <row r="60" spans="1:106" x14ac:dyDescent="0.2">
      <c r="A60" s="79" t="s">
        <v>440</v>
      </c>
      <c r="B60" s="80" t="s">
        <v>441</v>
      </c>
      <c r="C60" s="79" t="s">
        <v>442</v>
      </c>
      <c r="L60" s="81" t="s">
        <v>443</v>
      </c>
      <c r="M60" s="82" t="s">
        <v>444</v>
      </c>
      <c r="N60" s="83"/>
      <c r="AS60" s="81" t="s">
        <v>443</v>
      </c>
      <c r="AT60" s="82" t="s">
        <v>444</v>
      </c>
      <c r="AU60" s="83"/>
      <c r="BW60" s="81" t="s">
        <v>443</v>
      </c>
      <c r="BX60" s="82" t="s">
        <v>444</v>
      </c>
      <c r="BY60" s="83"/>
      <c r="DB60" s="72">
        <v>59</v>
      </c>
    </row>
    <row r="61" spans="1:106" x14ac:dyDescent="0.2">
      <c r="A61" s="79" t="s">
        <v>445</v>
      </c>
      <c r="B61" s="80" t="s">
        <v>446</v>
      </c>
      <c r="C61" s="79" t="s">
        <v>447</v>
      </c>
      <c r="L61" s="81" t="s">
        <v>448</v>
      </c>
      <c r="M61" s="82" t="s">
        <v>57</v>
      </c>
      <c r="N61" s="83"/>
      <c r="AS61" s="81" t="s">
        <v>448</v>
      </c>
      <c r="AT61" s="82" t="s">
        <v>57</v>
      </c>
      <c r="AU61" s="83"/>
      <c r="BW61" s="81" t="s">
        <v>448</v>
      </c>
      <c r="BX61" s="82" t="s">
        <v>57</v>
      </c>
      <c r="BY61" s="83"/>
      <c r="DB61" s="72">
        <v>60</v>
      </c>
    </row>
    <row r="62" spans="1:106" x14ac:dyDescent="0.2">
      <c r="A62" s="79" t="s">
        <v>449</v>
      </c>
      <c r="B62" s="80" t="s">
        <v>450</v>
      </c>
      <c r="C62" s="79" t="s">
        <v>451</v>
      </c>
      <c r="L62" s="81" t="s">
        <v>452</v>
      </c>
      <c r="M62" s="82" t="s">
        <v>453</v>
      </c>
      <c r="N62" s="83"/>
      <c r="AS62" s="81" t="s">
        <v>452</v>
      </c>
      <c r="AT62" s="82" t="s">
        <v>453</v>
      </c>
      <c r="AU62" s="83"/>
      <c r="BW62" s="81" t="s">
        <v>452</v>
      </c>
      <c r="BX62" s="82" t="s">
        <v>453</v>
      </c>
      <c r="BY62" s="83"/>
      <c r="DB62" s="72">
        <v>61</v>
      </c>
    </row>
    <row r="63" spans="1:106" x14ac:dyDescent="0.2">
      <c r="A63" s="79" t="s">
        <v>454</v>
      </c>
      <c r="B63" s="80" t="s">
        <v>455</v>
      </c>
      <c r="C63" s="79" t="s">
        <v>456</v>
      </c>
      <c r="L63" s="72" t="s">
        <v>457</v>
      </c>
      <c r="M63" s="82"/>
      <c r="N63" s="83"/>
      <c r="AS63" s="72" t="s">
        <v>457</v>
      </c>
      <c r="AT63" s="82"/>
      <c r="AU63" s="83"/>
      <c r="BW63" s="72" t="s">
        <v>457</v>
      </c>
      <c r="BX63" s="82"/>
      <c r="BY63" s="83"/>
      <c r="DB63" s="72">
        <v>62</v>
      </c>
    </row>
    <row r="64" spans="1:106" x14ac:dyDescent="0.2">
      <c r="A64" s="79" t="s">
        <v>458</v>
      </c>
      <c r="B64" s="80" t="s">
        <v>459</v>
      </c>
      <c r="C64" s="79" t="s">
        <v>460</v>
      </c>
      <c r="L64" s="72" t="s">
        <v>461</v>
      </c>
      <c r="M64" s="82"/>
      <c r="N64" s="83"/>
      <c r="AS64" s="72" t="s">
        <v>461</v>
      </c>
      <c r="AT64" s="82"/>
      <c r="AU64" s="83"/>
      <c r="BW64" s="72" t="s">
        <v>461</v>
      </c>
      <c r="BX64" s="82"/>
      <c r="BY64" s="83"/>
      <c r="DB64" s="72">
        <v>63</v>
      </c>
    </row>
    <row r="65" spans="1:106" x14ac:dyDescent="0.2">
      <c r="A65" s="79" t="s">
        <v>462</v>
      </c>
      <c r="B65" s="80" t="s">
        <v>463</v>
      </c>
      <c r="C65" s="79" t="s">
        <v>464</v>
      </c>
      <c r="L65" s="72" t="s">
        <v>465</v>
      </c>
      <c r="M65" s="82"/>
      <c r="N65" s="83"/>
      <c r="AS65" s="72" t="s">
        <v>465</v>
      </c>
      <c r="AT65" s="82"/>
      <c r="AU65" s="83"/>
      <c r="BW65" s="72" t="s">
        <v>465</v>
      </c>
      <c r="BX65" s="82"/>
      <c r="BY65" s="83"/>
      <c r="DB65" s="72">
        <v>64</v>
      </c>
    </row>
    <row r="66" spans="1:106" x14ac:dyDescent="0.2">
      <c r="A66" s="79" t="s">
        <v>466</v>
      </c>
      <c r="B66" s="80" t="s">
        <v>467</v>
      </c>
      <c r="C66" s="79" t="s">
        <v>468</v>
      </c>
      <c r="L66" s="81" t="s">
        <v>469</v>
      </c>
      <c r="M66" s="82"/>
      <c r="N66" s="83"/>
      <c r="AS66" s="81" t="s">
        <v>469</v>
      </c>
      <c r="AT66" s="82"/>
      <c r="AU66" s="83"/>
      <c r="BW66" s="81" t="s">
        <v>469</v>
      </c>
      <c r="BX66" s="82"/>
      <c r="BY66" s="83"/>
      <c r="DB66" s="72">
        <v>65</v>
      </c>
    </row>
    <row r="67" spans="1:106" x14ac:dyDescent="0.2">
      <c r="A67" s="79" t="s">
        <v>470</v>
      </c>
      <c r="B67" s="80" t="s">
        <v>471</v>
      </c>
      <c r="C67" s="79" t="s">
        <v>472</v>
      </c>
      <c r="L67" s="81" t="s">
        <v>473</v>
      </c>
      <c r="M67" s="82"/>
      <c r="N67" s="83"/>
      <c r="AS67" s="81" t="s">
        <v>473</v>
      </c>
      <c r="AT67" s="82"/>
      <c r="AU67" s="83"/>
      <c r="BW67" s="81" t="s">
        <v>473</v>
      </c>
      <c r="BX67" s="82"/>
      <c r="BY67" s="83"/>
      <c r="DB67" s="72">
        <v>66</v>
      </c>
    </row>
    <row r="68" spans="1:106" x14ac:dyDescent="0.2">
      <c r="A68" s="79" t="s">
        <v>474</v>
      </c>
      <c r="B68" s="80" t="s">
        <v>475</v>
      </c>
      <c r="C68" s="79" t="s">
        <v>476</v>
      </c>
      <c r="L68" s="81" t="s">
        <v>477</v>
      </c>
      <c r="M68" s="82"/>
      <c r="N68" s="83"/>
      <c r="AS68" s="81" t="s">
        <v>477</v>
      </c>
      <c r="AT68" s="82"/>
      <c r="AU68" s="83"/>
      <c r="BW68" s="81" t="s">
        <v>477</v>
      </c>
      <c r="BX68" s="82"/>
      <c r="BY68" s="83"/>
      <c r="DB68" s="72">
        <v>67</v>
      </c>
    </row>
    <row r="69" spans="1:106" x14ac:dyDescent="0.2">
      <c r="A69" s="79" t="s">
        <v>478</v>
      </c>
      <c r="B69" s="80" t="s">
        <v>479</v>
      </c>
      <c r="C69" s="79" t="s">
        <v>480</v>
      </c>
      <c r="L69" s="81" t="s">
        <v>481</v>
      </c>
      <c r="M69" s="82"/>
      <c r="N69" s="83"/>
      <c r="AS69" s="81" t="s">
        <v>481</v>
      </c>
      <c r="AT69" s="82"/>
      <c r="AU69" s="83"/>
      <c r="BW69" s="81" t="s">
        <v>481</v>
      </c>
      <c r="BX69" s="82"/>
      <c r="BY69" s="83"/>
      <c r="DB69" s="72">
        <v>68</v>
      </c>
    </row>
    <row r="70" spans="1:106" x14ac:dyDescent="0.2">
      <c r="A70" s="79" t="s">
        <v>482</v>
      </c>
      <c r="B70" s="80" t="s">
        <v>483</v>
      </c>
      <c r="C70" s="79" t="s">
        <v>484</v>
      </c>
      <c r="L70" s="81" t="s">
        <v>485</v>
      </c>
      <c r="M70" s="82"/>
      <c r="N70" s="83"/>
      <c r="AS70" s="81" t="s">
        <v>485</v>
      </c>
      <c r="AT70" s="82"/>
      <c r="AU70" s="83"/>
      <c r="BW70" s="81" t="s">
        <v>485</v>
      </c>
      <c r="BX70" s="82"/>
      <c r="BY70" s="83"/>
      <c r="DB70" s="72">
        <v>69</v>
      </c>
    </row>
    <row r="71" spans="1:106" x14ac:dyDescent="0.2">
      <c r="A71" s="79" t="s">
        <v>486</v>
      </c>
      <c r="B71" s="80" t="s">
        <v>487</v>
      </c>
      <c r="C71" s="79" t="s">
        <v>488</v>
      </c>
      <c r="L71" s="72" t="s">
        <v>485</v>
      </c>
      <c r="M71" s="82"/>
      <c r="N71" s="83"/>
      <c r="AS71" s="72" t="s">
        <v>485</v>
      </c>
      <c r="AT71" s="82"/>
      <c r="AU71" s="83"/>
      <c r="BW71" s="72" t="s">
        <v>485</v>
      </c>
      <c r="BX71" s="82"/>
      <c r="BY71" s="83"/>
      <c r="DB71" s="72">
        <v>70</v>
      </c>
    </row>
    <row r="72" spans="1:106" x14ac:dyDescent="0.2">
      <c r="A72" s="79" t="s">
        <v>489</v>
      </c>
      <c r="B72" s="80" t="s">
        <v>490</v>
      </c>
      <c r="C72" s="79" t="s">
        <v>491</v>
      </c>
      <c r="L72" s="72" t="s">
        <v>485</v>
      </c>
      <c r="M72" s="82"/>
      <c r="N72" s="83"/>
      <c r="AS72" s="72" t="s">
        <v>485</v>
      </c>
      <c r="AT72" s="82"/>
      <c r="AU72" s="83"/>
      <c r="BW72" s="72" t="s">
        <v>485</v>
      </c>
      <c r="BX72" s="82"/>
      <c r="BY72" s="83"/>
      <c r="DB72" s="72">
        <v>71</v>
      </c>
    </row>
    <row r="73" spans="1:106" x14ac:dyDescent="0.2">
      <c r="A73" s="79" t="s">
        <v>492</v>
      </c>
      <c r="B73" s="80" t="s">
        <v>493</v>
      </c>
      <c r="C73" s="79" t="s">
        <v>494</v>
      </c>
      <c r="L73" s="81" t="s">
        <v>495</v>
      </c>
      <c r="M73" s="82"/>
      <c r="N73" s="83"/>
      <c r="AS73" s="81" t="s">
        <v>495</v>
      </c>
      <c r="AT73" s="82"/>
      <c r="AU73" s="83"/>
      <c r="BW73" s="81" t="s">
        <v>495</v>
      </c>
      <c r="BX73" s="82"/>
      <c r="BY73" s="83"/>
      <c r="DB73" s="72">
        <v>72</v>
      </c>
    </row>
    <row r="74" spans="1:106" x14ac:dyDescent="0.2">
      <c r="A74" s="79" t="s">
        <v>496</v>
      </c>
      <c r="B74" s="80" t="s">
        <v>497</v>
      </c>
      <c r="C74" s="79" t="s">
        <v>498</v>
      </c>
      <c r="L74" s="81" t="s">
        <v>499</v>
      </c>
      <c r="M74" s="82"/>
      <c r="N74" s="83"/>
      <c r="AS74" s="81" t="s">
        <v>499</v>
      </c>
      <c r="AT74" s="82"/>
      <c r="AU74" s="83"/>
      <c r="BW74" s="81" t="s">
        <v>499</v>
      </c>
      <c r="BX74" s="82"/>
      <c r="BY74" s="83"/>
      <c r="DB74" s="72">
        <v>73</v>
      </c>
    </row>
    <row r="75" spans="1:106" x14ac:dyDescent="0.2">
      <c r="A75" s="79" t="s">
        <v>500</v>
      </c>
      <c r="B75" s="80" t="s">
        <v>501</v>
      </c>
      <c r="C75" s="79" t="s">
        <v>502</v>
      </c>
      <c r="L75" s="81" t="s">
        <v>503</v>
      </c>
      <c r="M75" s="82"/>
      <c r="N75" s="83"/>
      <c r="AS75" s="81" t="s">
        <v>503</v>
      </c>
      <c r="AT75" s="82"/>
      <c r="AU75" s="83"/>
      <c r="BW75" s="81" t="s">
        <v>503</v>
      </c>
      <c r="BX75" s="82"/>
      <c r="BY75" s="83"/>
      <c r="DB75" s="72">
        <v>74</v>
      </c>
    </row>
    <row r="76" spans="1:106" x14ac:dyDescent="0.2">
      <c r="A76" s="79" t="s">
        <v>504</v>
      </c>
      <c r="B76" s="80" t="s">
        <v>505</v>
      </c>
      <c r="C76" s="79" t="s">
        <v>506</v>
      </c>
      <c r="L76" s="81" t="s">
        <v>507</v>
      </c>
      <c r="M76" s="82"/>
      <c r="N76" s="83"/>
      <c r="AS76" s="81" t="s">
        <v>507</v>
      </c>
      <c r="AT76" s="82"/>
      <c r="AU76" s="83"/>
      <c r="BW76" s="81" t="s">
        <v>507</v>
      </c>
      <c r="BX76" s="82"/>
      <c r="BY76" s="83"/>
      <c r="DB76" s="72">
        <v>75</v>
      </c>
    </row>
    <row r="77" spans="1:106" x14ac:dyDescent="0.2">
      <c r="A77" s="79" t="s">
        <v>508</v>
      </c>
      <c r="B77" s="80" t="s">
        <v>509</v>
      </c>
      <c r="C77" s="79" t="s">
        <v>510</v>
      </c>
      <c r="L77" s="81" t="s">
        <v>511</v>
      </c>
      <c r="M77" s="82"/>
      <c r="N77" s="83"/>
      <c r="AS77" s="81" t="s">
        <v>511</v>
      </c>
      <c r="AT77" s="82"/>
      <c r="AU77" s="83"/>
      <c r="BW77" s="81" t="s">
        <v>511</v>
      </c>
      <c r="BX77" s="82"/>
      <c r="BY77" s="83"/>
      <c r="DB77" s="72">
        <v>76</v>
      </c>
    </row>
    <row r="78" spans="1:106" x14ac:dyDescent="0.2">
      <c r="A78" s="79" t="s">
        <v>512</v>
      </c>
      <c r="B78" s="80" t="s">
        <v>513</v>
      </c>
      <c r="C78" s="79" t="s">
        <v>514</v>
      </c>
      <c r="L78" s="81" t="s">
        <v>515</v>
      </c>
      <c r="M78" s="82"/>
      <c r="N78" s="83"/>
      <c r="AS78" s="81" t="s">
        <v>515</v>
      </c>
      <c r="AT78" s="82"/>
      <c r="AU78" s="83"/>
      <c r="BW78" s="81" t="s">
        <v>515</v>
      </c>
      <c r="BX78" s="82"/>
      <c r="BY78" s="83"/>
      <c r="DB78" s="72">
        <v>77</v>
      </c>
    </row>
    <row r="79" spans="1:106" x14ac:dyDescent="0.2">
      <c r="A79" s="79" t="s">
        <v>516</v>
      </c>
      <c r="B79" s="80" t="s">
        <v>517</v>
      </c>
      <c r="C79" s="79" t="s">
        <v>518</v>
      </c>
      <c r="L79" s="81" t="s">
        <v>519</v>
      </c>
      <c r="M79" s="82"/>
      <c r="N79" s="83"/>
      <c r="AS79" s="81" t="s">
        <v>519</v>
      </c>
      <c r="AT79" s="82"/>
      <c r="AU79" s="83"/>
      <c r="BW79" s="81" t="s">
        <v>519</v>
      </c>
      <c r="BX79" s="82"/>
      <c r="BY79" s="83"/>
      <c r="DB79" s="72">
        <v>78</v>
      </c>
    </row>
    <row r="80" spans="1:106" x14ac:dyDescent="0.2">
      <c r="A80" s="79" t="s">
        <v>520</v>
      </c>
      <c r="B80" s="80" t="s">
        <v>521</v>
      </c>
      <c r="C80" s="79" t="s">
        <v>522</v>
      </c>
      <c r="L80" s="81" t="s">
        <v>523</v>
      </c>
      <c r="M80" s="82"/>
      <c r="N80" s="83"/>
      <c r="AS80" s="81" t="s">
        <v>523</v>
      </c>
      <c r="AT80" s="82"/>
      <c r="AU80" s="83"/>
      <c r="BW80" s="81" t="s">
        <v>523</v>
      </c>
      <c r="BX80" s="82"/>
      <c r="BY80" s="83"/>
      <c r="DB80" s="72">
        <v>79</v>
      </c>
    </row>
    <row r="81" spans="1:106" x14ac:dyDescent="0.2">
      <c r="A81" s="79" t="s">
        <v>524</v>
      </c>
      <c r="B81" s="80" t="s">
        <v>525</v>
      </c>
      <c r="C81" s="79" t="s">
        <v>526</v>
      </c>
      <c r="L81" s="81" t="s">
        <v>527</v>
      </c>
      <c r="M81" s="82"/>
      <c r="N81" s="83"/>
      <c r="AS81" s="81" t="s">
        <v>527</v>
      </c>
      <c r="AT81" s="82"/>
      <c r="AU81" s="83"/>
      <c r="BW81" s="81" t="s">
        <v>527</v>
      </c>
      <c r="BX81" s="82"/>
      <c r="BY81" s="83"/>
      <c r="DB81" s="72">
        <v>80</v>
      </c>
    </row>
    <row r="82" spans="1:106" x14ac:dyDescent="0.2">
      <c r="A82" s="79" t="s">
        <v>528</v>
      </c>
      <c r="B82" s="80" t="s">
        <v>529</v>
      </c>
      <c r="C82" s="79" t="s">
        <v>530</v>
      </c>
      <c r="L82" s="81" t="s">
        <v>531</v>
      </c>
      <c r="M82" s="82"/>
      <c r="N82" s="83"/>
      <c r="AS82" s="81" t="s">
        <v>531</v>
      </c>
      <c r="AT82" s="82"/>
      <c r="AU82" s="83"/>
      <c r="BW82" s="81" t="s">
        <v>531</v>
      </c>
      <c r="BX82" s="82"/>
      <c r="BY82" s="83"/>
      <c r="DB82" s="72">
        <v>81</v>
      </c>
    </row>
    <row r="83" spans="1:106" x14ac:dyDescent="0.2">
      <c r="A83" s="79" t="s">
        <v>532</v>
      </c>
      <c r="B83" s="80" t="s">
        <v>533</v>
      </c>
      <c r="C83" s="79" t="s">
        <v>534</v>
      </c>
      <c r="L83" s="81" t="s">
        <v>535</v>
      </c>
      <c r="M83" s="82"/>
      <c r="N83" s="83"/>
      <c r="AS83" s="81" t="s">
        <v>535</v>
      </c>
      <c r="AT83" s="82"/>
      <c r="AU83" s="83"/>
      <c r="BW83" s="81" t="s">
        <v>535</v>
      </c>
      <c r="BX83" s="82"/>
      <c r="BY83" s="83"/>
      <c r="DB83" s="72">
        <v>82</v>
      </c>
    </row>
    <row r="84" spans="1:106" x14ac:dyDescent="0.2">
      <c r="A84" s="79" t="s">
        <v>536</v>
      </c>
      <c r="B84" s="80" t="s">
        <v>537</v>
      </c>
      <c r="C84" s="79" t="s">
        <v>538</v>
      </c>
      <c r="L84" s="81" t="s">
        <v>539</v>
      </c>
      <c r="M84" s="82"/>
      <c r="N84" s="83"/>
      <c r="AS84" s="81" t="s">
        <v>539</v>
      </c>
      <c r="AT84" s="82"/>
      <c r="AU84" s="83"/>
      <c r="BW84" s="81" t="s">
        <v>539</v>
      </c>
      <c r="BX84" s="82"/>
      <c r="BY84" s="83"/>
      <c r="DB84" s="72">
        <v>83</v>
      </c>
    </row>
    <row r="85" spans="1:106" x14ac:dyDescent="0.2">
      <c r="A85" s="79" t="s">
        <v>540</v>
      </c>
      <c r="B85" s="80" t="s">
        <v>541</v>
      </c>
      <c r="C85" s="79" t="s">
        <v>542</v>
      </c>
      <c r="L85" s="81" t="s">
        <v>543</v>
      </c>
      <c r="M85" s="82"/>
      <c r="N85" s="83"/>
      <c r="AS85" s="81" t="s">
        <v>543</v>
      </c>
      <c r="AT85" s="82"/>
      <c r="AU85" s="83"/>
      <c r="BW85" s="81" t="s">
        <v>543</v>
      </c>
      <c r="BX85" s="82"/>
      <c r="BY85" s="83"/>
      <c r="DB85" s="72">
        <v>84</v>
      </c>
    </row>
    <row r="86" spans="1:106" x14ac:dyDescent="0.2">
      <c r="A86" s="79" t="s">
        <v>544</v>
      </c>
      <c r="B86" s="80" t="s">
        <v>545</v>
      </c>
      <c r="C86" s="79" t="s">
        <v>546</v>
      </c>
      <c r="L86" s="81" t="s">
        <v>547</v>
      </c>
      <c r="M86" s="82"/>
      <c r="N86" s="83"/>
      <c r="AS86" s="81" t="s">
        <v>547</v>
      </c>
      <c r="AT86" s="82"/>
      <c r="AU86" s="83"/>
      <c r="BW86" s="81" t="s">
        <v>547</v>
      </c>
      <c r="BX86" s="82"/>
      <c r="BY86" s="83"/>
      <c r="DB86" s="72">
        <v>85</v>
      </c>
    </row>
    <row r="87" spans="1:106" x14ac:dyDescent="0.2">
      <c r="A87" s="79" t="s">
        <v>548</v>
      </c>
      <c r="B87" s="80" t="s">
        <v>549</v>
      </c>
      <c r="C87" s="79" t="s">
        <v>550</v>
      </c>
      <c r="L87" s="81" t="s">
        <v>551</v>
      </c>
      <c r="M87" s="82"/>
      <c r="N87" s="83"/>
      <c r="AS87" s="81" t="s">
        <v>551</v>
      </c>
      <c r="AT87" s="82"/>
      <c r="AU87" s="83"/>
      <c r="BW87" s="81" t="s">
        <v>551</v>
      </c>
      <c r="BX87" s="82"/>
      <c r="BY87" s="83"/>
      <c r="DB87" s="72">
        <v>86</v>
      </c>
    </row>
    <row r="88" spans="1:106" x14ac:dyDescent="0.2">
      <c r="A88" s="79" t="s">
        <v>552</v>
      </c>
      <c r="B88" s="80" t="s">
        <v>553</v>
      </c>
      <c r="C88" s="79" t="s">
        <v>554</v>
      </c>
      <c r="L88" s="81" t="s">
        <v>555</v>
      </c>
      <c r="M88" s="82"/>
      <c r="N88" s="83"/>
      <c r="AS88" s="81" t="s">
        <v>555</v>
      </c>
      <c r="AT88" s="82"/>
      <c r="AU88" s="83"/>
      <c r="BW88" s="81" t="s">
        <v>555</v>
      </c>
      <c r="BX88" s="82"/>
      <c r="BY88" s="83"/>
      <c r="DB88" s="72">
        <v>87</v>
      </c>
    </row>
    <row r="89" spans="1:106" x14ac:dyDescent="0.2">
      <c r="A89" s="79" t="s">
        <v>556</v>
      </c>
      <c r="B89" s="80" t="s">
        <v>557</v>
      </c>
      <c r="C89" s="79" t="s">
        <v>558</v>
      </c>
      <c r="L89" s="81" t="s">
        <v>559</v>
      </c>
      <c r="M89" s="82"/>
      <c r="N89" s="83"/>
      <c r="AS89" s="81" t="s">
        <v>559</v>
      </c>
      <c r="AT89" s="82"/>
      <c r="AU89" s="83"/>
      <c r="BW89" s="81" t="s">
        <v>559</v>
      </c>
      <c r="BX89" s="82"/>
      <c r="BY89" s="83"/>
      <c r="DB89" s="72">
        <v>88</v>
      </c>
    </row>
    <row r="90" spans="1:106" x14ac:dyDescent="0.2">
      <c r="A90" s="79" t="s">
        <v>560</v>
      </c>
      <c r="B90" s="80" t="s">
        <v>561</v>
      </c>
      <c r="C90" s="79" t="s">
        <v>562</v>
      </c>
      <c r="L90" s="81" t="s">
        <v>563</v>
      </c>
      <c r="M90" s="82"/>
      <c r="N90" s="83"/>
      <c r="AS90" s="81" t="s">
        <v>563</v>
      </c>
      <c r="AT90" s="82"/>
      <c r="AU90" s="83"/>
      <c r="BW90" s="81" t="s">
        <v>563</v>
      </c>
      <c r="BX90" s="82"/>
      <c r="BY90" s="83"/>
      <c r="DB90" s="72">
        <v>89</v>
      </c>
    </row>
    <row r="91" spans="1:106" x14ac:dyDescent="0.2">
      <c r="A91" s="79" t="s">
        <v>564</v>
      </c>
      <c r="B91" s="80" t="s">
        <v>565</v>
      </c>
      <c r="C91" s="79" t="s">
        <v>566</v>
      </c>
      <c r="L91" s="81" t="s">
        <v>567</v>
      </c>
      <c r="M91" s="82"/>
      <c r="N91" s="83"/>
      <c r="AS91" s="81" t="s">
        <v>567</v>
      </c>
      <c r="AT91" s="82"/>
      <c r="AU91" s="83"/>
      <c r="BW91" s="81" t="s">
        <v>567</v>
      </c>
      <c r="BX91" s="82"/>
      <c r="BY91" s="83"/>
      <c r="DB91" s="72">
        <v>90</v>
      </c>
    </row>
    <row r="92" spans="1:106" x14ac:dyDescent="0.2">
      <c r="A92" s="79" t="s">
        <v>568</v>
      </c>
      <c r="B92" s="80" t="s">
        <v>569</v>
      </c>
      <c r="C92" s="79" t="s">
        <v>570</v>
      </c>
      <c r="L92" s="81" t="s">
        <v>571</v>
      </c>
      <c r="M92" s="82"/>
      <c r="N92" s="83"/>
      <c r="AS92" s="81" t="s">
        <v>571</v>
      </c>
      <c r="AT92" s="82"/>
      <c r="AU92" s="83"/>
      <c r="BW92" s="81" t="s">
        <v>571</v>
      </c>
      <c r="BX92" s="82"/>
      <c r="BY92" s="83"/>
      <c r="DB92" s="72">
        <v>91</v>
      </c>
    </row>
    <row r="93" spans="1:106" x14ac:dyDescent="0.2">
      <c r="A93" s="79" t="s">
        <v>572</v>
      </c>
      <c r="B93" s="80" t="s">
        <v>573</v>
      </c>
      <c r="C93" s="79" t="s">
        <v>574</v>
      </c>
      <c r="L93" s="72" t="s">
        <v>575</v>
      </c>
      <c r="M93" s="82"/>
      <c r="N93" s="83"/>
      <c r="AS93" s="72" t="s">
        <v>575</v>
      </c>
      <c r="AT93" s="82"/>
      <c r="AU93" s="83"/>
      <c r="BW93" s="72" t="s">
        <v>575</v>
      </c>
      <c r="BX93" s="82"/>
      <c r="BY93" s="83"/>
      <c r="DB93" s="72">
        <v>92</v>
      </c>
    </row>
    <row r="94" spans="1:106" x14ac:dyDescent="0.2">
      <c r="A94" s="79" t="s">
        <v>576</v>
      </c>
      <c r="B94" s="80" t="s">
        <v>577</v>
      </c>
      <c r="C94" s="79" t="s">
        <v>578</v>
      </c>
      <c r="L94" s="81" t="s">
        <v>579</v>
      </c>
      <c r="M94" s="82"/>
      <c r="N94" s="83"/>
      <c r="AS94" s="81" t="s">
        <v>579</v>
      </c>
      <c r="AT94" s="82"/>
      <c r="AU94" s="83"/>
      <c r="BW94" s="81" t="s">
        <v>579</v>
      </c>
      <c r="BX94" s="82"/>
      <c r="BY94" s="83"/>
      <c r="DB94" s="72">
        <v>93</v>
      </c>
    </row>
    <row r="95" spans="1:106" x14ac:dyDescent="0.2">
      <c r="A95" s="79" t="s">
        <v>580</v>
      </c>
      <c r="B95" s="80" t="s">
        <v>581</v>
      </c>
      <c r="C95" s="79" t="s">
        <v>582</v>
      </c>
      <c r="L95" s="72" t="s">
        <v>583</v>
      </c>
      <c r="M95" s="82"/>
      <c r="N95" s="83"/>
      <c r="AS95" s="72" t="s">
        <v>583</v>
      </c>
      <c r="AT95" s="82"/>
      <c r="AU95" s="83"/>
      <c r="BW95" s="72" t="s">
        <v>583</v>
      </c>
      <c r="BX95" s="82"/>
      <c r="BY95" s="83"/>
      <c r="DB95" s="72">
        <v>94</v>
      </c>
    </row>
    <row r="96" spans="1:106" x14ac:dyDescent="0.2">
      <c r="A96" s="79" t="s">
        <v>584</v>
      </c>
      <c r="B96" s="80" t="s">
        <v>585</v>
      </c>
      <c r="C96" s="79" t="s">
        <v>586</v>
      </c>
      <c r="L96" s="81" t="s">
        <v>587</v>
      </c>
      <c r="M96" s="82"/>
      <c r="N96" s="83"/>
      <c r="AS96" s="81" t="s">
        <v>587</v>
      </c>
      <c r="AT96" s="82"/>
      <c r="AU96" s="83"/>
      <c r="BW96" s="81" t="s">
        <v>587</v>
      </c>
      <c r="BX96" s="82"/>
      <c r="BY96" s="83"/>
      <c r="DB96" s="72">
        <v>95</v>
      </c>
    </row>
    <row r="97" spans="1:106" x14ac:dyDescent="0.2">
      <c r="A97" s="79" t="s">
        <v>588</v>
      </c>
      <c r="B97" s="80" t="s">
        <v>589</v>
      </c>
      <c r="C97" s="79" t="s">
        <v>590</v>
      </c>
      <c r="L97" s="81" t="s">
        <v>591</v>
      </c>
      <c r="M97" s="82"/>
      <c r="N97" s="83"/>
      <c r="AS97" s="81" t="s">
        <v>591</v>
      </c>
      <c r="AT97" s="82"/>
      <c r="AU97" s="83"/>
      <c r="BW97" s="81" t="s">
        <v>591</v>
      </c>
      <c r="BX97" s="82"/>
      <c r="BY97" s="83"/>
      <c r="DB97" s="72">
        <v>96</v>
      </c>
    </row>
    <row r="98" spans="1:106" x14ac:dyDescent="0.2">
      <c r="A98" s="79" t="s">
        <v>592</v>
      </c>
      <c r="B98" s="80" t="s">
        <v>593</v>
      </c>
      <c r="C98" s="79" t="s">
        <v>594</v>
      </c>
      <c r="L98" s="81" t="s">
        <v>595</v>
      </c>
      <c r="M98" s="82"/>
      <c r="N98" s="83"/>
      <c r="AS98" s="81" t="s">
        <v>595</v>
      </c>
      <c r="AT98" s="82"/>
      <c r="AU98" s="83"/>
      <c r="BW98" s="81" t="s">
        <v>595</v>
      </c>
      <c r="BX98" s="82"/>
      <c r="BY98" s="83"/>
      <c r="DB98" s="72">
        <v>97</v>
      </c>
    </row>
    <row r="99" spans="1:106" x14ac:dyDescent="0.2">
      <c r="A99" s="79" t="s">
        <v>596</v>
      </c>
      <c r="B99" s="80" t="s">
        <v>597</v>
      </c>
      <c r="C99" s="79" t="s">
        <v>598</v>
      </c>
      <c r="L99" s="81" t="s">
        <v>599</v>
      </c>
      <c r="M99" s="82"/>
      <c r="N99" s="83"/>
      <c r="AS99" s="81" t="s">
        <v>599</v>
      </c>
      <c r="AT99" s="82"/>
      <c r="AU99" s="83"/>
      <c r="BW99" s="81" t="s">
        <v>599</v>
      </c>
      <c r="BX99" s="82"/>
      <c r="BY99" s="83"/>
      <c r="DB99" s="72">
        <v>98</v>
      </c>
    </row>
    <row r="100" spans="1:106" x14ac:dyDescent="0.2">
      <c r="A100" s="79" t="s">
        <v>600</v>
      </c>
      <c r="B100" s="80" t="s">
        <v>601</v>
      </c>
      <c r="C100" s="79" t="s">
        <v>602</v>
      </c>
      <c r="L100" s="81" t="s">
        <v>603</v>
      </c>
      <c r="M100" s="82"/>
      <c r="N100" s="83"/>
      <c r="AS100" s="81" t="s">
        <v>603</v>
      </c>
      <c r="AT100" s="82"/>
      <c r="AU100" s="83"/>
      <c r="BW100" s="81" t="s">
        <v>603</v>
      </c>
      <c r="BX100" s="82"/>
      <c r="BY100" s="83"/>
      <c r="DB100" s="72">
        <v>99</v>
      </c>
    </row>
    <row r="101" spans="1:106" x14ac:dyDescent="0.2">
      <c r="A101" s="79" t="s">
        <v>604</v>
      </c>
      <c r="B101" s="80" t="s">
        <v>605</v>
      </c>
      <c r="C101" s="79" t="s">
        <v>606</v>
      </c>
      <c r="L101" s="72" t="s">
        <v>607</v>
      </c>
      <c r="M101" s="82"/>
      <c r="N101" s="83"/>
      <c r="AS101" s="72" t="s">
        <v>607</v>
      </c>
      <c r="AT101" s="82"/>
      <c r="AU101" s="83"/>
      <c r="BW101" s="72" t="s">
        <v>607</v>
      </c>
      <c r="BX101" s="82"/>
      <c r="BY101" s="83"/>
      <c r="DB101" s="72">
        <v>100</v>
      </c>
    </row>
    <row r="102" spans="1:106" x14ac:dyDescent="0.2">
      <c r="A102" s="79" t="s">
        <v>608</v>
      </c>
      <c r="B102" s="80" t="s">
        <v>609</v>
      </c>
      <c r="C102" s="79" t="s">
        <v>610</v>
      </c>
      <c r="L102" s="81" t="s">
        <v>611</v>
      </c>
      <c r="M102" s="82"/>
      <c r="N102" s="83"/>
      <c r="AS102" s="81" t="s">
        <v>611</v>
      </c>
      <c r="AT102" s="82"/>
      <c r="AU102" s="83"/>
      <c r="BW102" s="81" t="s">
        <v>611</v>
      </c>
      <c r="BX102" s="82"/>
      <c r="BY102" s="83"/>
      <c r="DB102" s="72">
        <v>101</v>
      </c>
    </row>
    <row r="103" spans="1:106" x14ac:dyDescent="0.2">
      <c r="A103" s="79" t="s">
        <v>612</v>
      </c>
      <c r="B103" s="80" t="s">
        <v>613</v>
      </c>
      <c r="C103" s="79" t="s">
        <v>614</v>
      </c>
      <c r="L103" s="81" t="s">
        <v>615</v>
      </c>
      <c r="M103" s="82"/>
      <c r="N103" s="83"/>
      <c r="AS103" s="81" t="s">
        <v>615</v>
      </c>
      <c r="AT103" s="82"/>
      <c r="AU103" s="83"/>
      <c r="BW103" s="81" t="s">
        <v>615</v>
      </c>
      <c r="BX103" s="82"/>
      <c r="BY103" s="83"/>
      <c r="DB103" s="72">
        <v>102</v>
      </c>
    </row>
    <row r="104" spans="1:106" x14ac:dyDescent="0.2">
      <c r="A104" s="79" t="s">
        <v>616</v>
      </c>
      <c r="B104" s="80" t="s">
        <v>617</v>
      </c>
      <c r="C104" s="79" t="s">
        <v>618</v>
      </c>
      <c r="L104" s="81" t="s">
        <v>619</v>
      </c>
      <c r="M104" s="82"/>
      <c r="N104" s="83"/>
      <c r="AS104" s="81" t="s">
        <v>619</v>
      </c>
      <c r="AT104" s="82"/>
      <c r="AU104" s="83"/>
      <c r="BW104" s="81" t="s">
        <v>619</v>
      </c>
      <c r="BX104" s="82"/>
      <c r="BY104" s="83"/>
      <c r="DB104" s="72">
        <v>103</v>
      </c>
    </row>
    <row r="105" spans="1:106" x14ac:dyDescent="0.2">
      <c r="A105" s="79" t="s">
        <v>620</v>
      </c>
      <c r="B105" s="80" t="s">
        <v>621</v>
      </c>
      <c r="C105" s="79" t="s">
        <v>622</v>
      </c>
      <c r="L105" s="81" t="s">
        <v>623</v>
      </c>
      <c r="M105" s="82"/>
      <c r="N105" s="83"/>
      <c r="AS105" s="81" t="s">
        <v>623</v>
      </c>
      <c r="AT105" s="82"/>
      <c r="AU105" s="83"/>
      <c r="BW105" s="81" t="s">
        <v>623</v>
      </c>
      <c r="BX105" s="82"/>
      <c r="BY105" s="83"/>
      <c r="DB105" s="72">
        <v>104</v>
      </c>
    </row>
    <row r="106" spans="1:106" x14ac:dyDescent="0.2">
      <c r="A106" s="79" t="s">
        <v>624</v>
      </c>
      <c r="B106" s="80" t="s">
        <v>625</v>
      </c>
      <c r="C106" s="79" t="s">
        <v>626</v>
      </c>
      <c r="L106" s="72" t="s">
        <v>627</v>
      </c>
      <c r="M106" s="82"/>
      <c r="N106" s="83"/>
      <c r="AS106" s="72" t="s">
        <v>627</v>
      </c>
      <c r="AT106" s="82"/>
      <c r="AU106" s="83"/>
      <c r="BW106" s="72" t="s">
        <v>627</v>
      </c>
      <c r="BX106" s="82"/>
      <c r="BY106" s="83"/>
      <c r="DB106" s="72">
        <v>105</v>
      </c>
    </row>
    <row r="107" spans="1:106" x14ac:dyDescent="0.2">
      <c r="A107" s="79" t="s">
        <v>628</v>
      </c>
      <c r="B107" s="80" t="s">
        <v>629</v>
      </c>
      <c r="C107" s="79" t="s">
        <v>630</v>
      </c>
      <c r="L107" s="81" t="s">
        <v>631</v>
      </c>
      <c r="M107" s="82"/>
      <c r="N107" s="83"/>
      <c r="AS107" s="81" t="s">
        <v>631</v>
      </c>
      <c r="AT107" s="82"/>
      <c r="AU107" s="83"/>
      <c r="BW107" s="81" t="s">
        <v>631</v>
      </c>
      <c r="BX107" s="82"/>
      <c r="BY107" s="83"/>
      <c r="DB107" s="72">
        <v>106</v>
      </c>
    </row>
    <row r="108" spans="1:106" x14ac:dyDescent="0.2">
      <c r="A108" s="79" t="s">
        <v>632</v>
      </c>
      <c r="B108" s="80" t="s">
        <v>633</v>
      </c>
      <c r="C108" s="79" t="s">
        <v>634</v>
      </c>
      <c r="L108" s="81" t="s">
        <v>635</v>
      </c>
      <c r="M108" s="82"/>
      <c r="N108" s="83"/>
      <c r="AS108" s="81" t="s">
        <v>635</v>
      </c>
      <c r="AT108" s="82"/>
      <c r="AU108" s="83"/>
      <c r="BW108" s="81" t="s">
        <v>635</v>
      </c>
      <c r="BX108" s="82"/>
      <c r="BY108" s="83"/>
      <c r="DB108" s="72">
        <v>107</v>
      </c>
    </row>
    <row r="109" spans="1:106" x14ac:dyDescent="0.2">
      <c r="A109" s="79" t="s">
        <v>636</v>
      </c>
      <c r="B109" s="80" t="s">
        <v>637</v>
      </c>
      <c r="C109" s="79" t="s">
        <v>638</v>
      </c>
      <c r="L109" s="81" t="s">
        <v>639</v>
      </c>
      <c r="M109" s="82"/>
      <c r="N109" s="83"/>
      <c r="AS109" s="81" t="s">
        <v>639</v>
      </c>
      <c r="AT109" s="82"/>
      <c r="AU109" s="83"/>
      <c r="BW109" s="81" t="s">
        <v>639</v>
      </c>
      <c r="BX109" s="82"/>
      <c r="BY109" s="83"/>
      <c r="DB109" s="72">
        <v>108</v>
      </c>
    </row>
    <row r="110" spans="1:106" x14ac:dyDescent="0.2">
      <c r="A110" s="79" t="s">
        <v>640</v>
      </c>
      <c r="B110" s="80" t="s">
        <v>641</v>
      </c>
      <c r="C110" s="79" t="s">
        <v>642</v>
      </c>
      <c r="L110" s="81" t="s">
        <v>643</v>
      </c>
      <c r="M110" s="82"/>
      <c r="N110" s="83"/>
      <c r="AS110" s="81" t="s">
        <v>643</v>
      </c>
      <c r="AT110" s="82"/>
      <c r="AU110" s="83"/>
      <c r="BW110" s="81" t="s">
        <v>643</v>
      </c>
      <c r="BX110" s="82"/>
      <c r="BY110" s="83"/>
      <c r="DB110" s="72">
        <v>109</v>
      </c>
    </row>
    <row r="111" spans="1:106" x14ac:dyDescent="0.2">
      <c r="A111" s="79" t="s">
        <v>644</v>
      </c>
      <c r="B111" s="80" t="s">
        <v>645</v>
      </c>
      <c r="C111" s="79"/>
      <c r="L111" s="81" t="s">
        <v>646</v>
      </c>
      <c r="M111" s="82"/>
      <c r="N111" s="83"/>
      <c r="AS111" s="81" t="s">
        <v>646</v>
      </c>
      <c r="AT111" s="82"/>
      <c r="AU111" s="83"/>
      <c r="BW111" s="81" t="s">
        <v>646</v>
      </c>
      <c r="BX111" s="82"/>
      <c r="BY111" s="83"/>
      <c r="DB111" s="72">
        <v>110</v>
      </c>
    </row>
    <row r="112" spans="1:106" x14ac:dyDescent="0.2">
      <c r="A112" s="79" t="s">
        <v>647</v>
      </c>
      <c r="B112" s="80" t="s">
        <v>648</v>
      </c>
      <c r="C112" s="79" t="s">
        <v>649</v>
      </c>
      <c r="L112" s="81" t="s">
        <v>650</v>
      </c>
      <c r="M112" s="82"/>
      <c r="N112" s="83"/>
      <c r="AS112" s="81" t="s">
        <v>650</v>
      </c>
      <c r="AT112" s="82"/>
      <c r="AU112" s="83"/>
      <c r="BW112" s="81" t="s">
        <v>650</v>
      </c>
      <c r="BX112" s="82"/>
      <c r="BY112" s="83"/>
      <c r="DB112" s="72">
        <v>111</v>
      </c>
    </row>
    <row r="113" spans="1:106" x14ac:dyDescent="0.2">
      <c r="A113" s="79" t="s">
        <v>651</v>
      </c>
      <c r="B113" s="80" t="s">
        <v>652</v>
      </c>
      <c r="C113" s="79" t="s">
        <v>653</v>
      </c>
      <c r="L113" s="81" t="s">
        <v>654</v>
      </c>
      <c r="M113" s="82"/>
      <c r="N113" s="83"/>
      <c r="AS113" s="81" t="s">
        <v>654</v>
      </c>
      <c r="AT113" s="82"/>
      <c r="AU113" s="83"/>
      <c r="BW113" s="81" t="s">
        <v>654</v>
      </c>
      <c r="BX113" s="82"/>
      <c r="BY113" s="83"/>
      <c r="DB113" s="72">
        <v>112</v>
      </c>
    </row>
    <row r="114" spans="1:106" x14ac:dyDescent="0.2">
      <c r="A114" s="79" t="s">
        <v>655</v>
      </c>
      <c r="B114" s="80" t="s">
        <v>656</v>
      </c>
      <c r="C114" s="79" t="s">
        <v>657</v>
      </c>
      <c r="L114" s="81" t="s">
        <v>658</v>
      </c>
      <c r="M114" s="82"/>
      <c r="N114" s="83"/>
      <c r="AS114" s="81" t="s">
        <v>658</v>
      </c>
      <c r="AT114" s="82"/>
      <c r="AU114" s="83"/>
      <c r="BW114" s="81" t="s">
        <v>658</v>
      </c>
      <c r="BX114" s="82"/>
      <c r="BY114" s="83"/>
      <c r="DB114" s="72">
        <v>113</v>
      </c>
    </row>
    <row r="115" spans="1:106" x14ac:dyDescent="0.2">
      <c r="A115" s="79" t="s">
        <v>659</v>
      </c>
      <c r="B115" s="80" t="s">
        <v>660</v>
      </c>
      <c r="C115" s="79" t="s">
        <v>661</v>
      </c>
      <c r="L115" s="72" t="s">
        <v>662</v>
      </c>
      <c r="M115" s="82"/>
      <c r="N115" s="83"/>
      <c r="AS115" s="72" t="s">
        <v>662</v>
      </c>
      <c r="AT115" s="82"/>
      <c r="AU115" s="83"/>
      <c r="BW115" s="72" t="s">
        <v>662</v>
      </c>
      <c r="BX115" s="82"/>
      <c r="BY115" s="83"/>
      <c r="DB115" s="72">
        <v>114</v>
      </c>
    </row>
    <row r="116" spans="1:106" x14ac:dyDescent="0.2">
      <c r="A116" s="79" t="s">
        <v>663</v>
      </c>
      <c r="B116" s="80" t="s">
        <v>664</v>
      </c>
      <c r="C116" s="79" t="s">
        <v>665</v>
      </c>
      <c r="L116" s="72" t="s">
        <v>666</v>
      </c>
      <c r="M116" s="82"/>
      <c r="N116" s="83"/>
      <c r="AS116" s="72" t="s">
        <v>666</v>
      </c>
      <c r="AT116" s="82"/>
      <c r="AU116" s="83"/>
      <c r="BW116" s="72" t="s">
        <v>666</v>
      </c>
      <c r="BX116" s="82"/>
      <c r="BY116" s="83"/>
      <c r="DB116" s="72">
        <v>115</v>
      </c>
    </row>
    <row r="117" spans="1:106" x14ac:dyDescent="0.2">
      <c r="A117" s="79" t="s">
        <v>667</v>
      </c>
      <c r="B117" s="80" t="s">
        <v>668</v>
      </c>
      <c r="C117" s="79" t="s">
        <v>669</v>
      </c>
      <c r="L117" s="72" t="s">
        <v>670</v>
      </c>
      <c r="M117" s="82"/>
      <c r="N117" s="83"/>
      <c r="AS117" s="72" t="s">
        <v>670</v>
      </c>
      <c r="AT117" s="82"/>
      <c r="AU117" s="83"/>
      <c r="BW117" s="72" t="s">
        <v>670</v>
      </c>
      <c r="BX117" s="82"/>
      <c r="BY117" s="83"/>
      <c r="DB117" s="72">
        <v>116</v>
      </c>
    </row>
    <row r="118" spans="1:106" x14ac:dyDescent="0.2">
      <c r="A118" s="79" t="s">
        <v>671</v>
      </c>
      <c r="B118" s="80" t="s">
        <v>672</v>
      </c>
      <c r="C118" s="79" t="s">
        <v>673</v>
      </c>
      <c r="L118" s="72" t="s">
        <v>674</v>
      </c>
      <c r="M118" s="82"/>
      <c r="N118" s="83"/>
      <c r="AS118" s="72" t="s">
        <v>674</v>
      </c>
      <c r="AT118" s="82"/>
      <c r="AU118" s="83"/>
      <c r="BW118" s="72" t="s">
        <v>674</v>
      </c>
      <c r="BX118" s="82"/>
      <c r="BY118" s="83"/>
      <c r="DB118" s="72">
        <v>117</v>
      </c>
    </row>
    <row r="119" spans="1:106" x14ac:dyDescent="0.2">
      <c r="A119" s="79" t="s">
        <v>675</v>
      </c>
      <c r="B119" s="80" t="s">
        <v>676</v>
      </c>
      <c r="C119" s="79" t="s">
        <v>677</v>
      </c>
      <c r="L119" s="81" t="s">
        <v>678</v>
      </c>
      <c r="M119" s="82"/>
      <c r="N119" s="83"/>
      <c r="AS119" s="81" t="s">
        <v>678</v>
      </c>
      <c r="AT119" s="82"/>
      <c r="AU119" s="83"/>
      <c r="BW119" s="81" t="s">
        <v>678</v>
      </c>
      <c r="BX119" s="82"/>
      <c r="BY119" s="83"/>
      <c r="DB119" s="72">
        <v>118</v>
      </c>
    </row>
    <row r="120" spans="1:106" x14ac:dyDescent="0.2">
      <c r="A120" s="79" t="s">
        <v>679</v>
      </c>
      <c r="B120" s="80" t="s">
        <v>680</v>
      </c>
      <c r="C120" s="79"/>
      <c r="L120" s="81" t="s">
        <v>681</v>
      </c>
      <c r="M120" s="82"/>
      <c r="N120" s="83"/>
      <c r="AS120" s="81" t="s">
        <v>681</v>
      </c>
      <c r="AT120" s="82"/>
      <c r="AU120" s="83"/>
      <c r="BW120" s="81" t="s">
        <v>681</v>
      </c>
      <c r="BX120" s="82"/>
      <c r="BY120" s="83"/>
      <c r="DB120" s="72">
        <v>119</v>
      </c>
    </row>
    <row r="121" spans="1:106" x14ac:dyDescent="0.2">
      <c r="A121" s="79" t="s">
        <v>682</v>
      </c>
      <c r="B121" s="80" t="s">
        <v>683</v>
      </c>
      <c r="C121" s="79" t="s">
        <v>684</v>
      </c>
      <c r="L121" s="72" t="s">
        <v>685</v>
      </c>
      <c r="M121" s="82"/>
      <c r="N121" s="83"/>
      <c r="AS121" s="72" t="s">
        <v>685</v>
      </c>
      <c r="AT121" s="82"/>
      <c r="AU121" s="83"/>
      <c r="BW121" s="72" t="s">
        <v>685</v>
      </c>
      <c r="BX121" s="82"/>
      <c r="BY121" s="83"/>
      <c r="DB121" s="72">
        <v>120</v>
      </c>
    </row>
    <row r="122" spans="1:106" x14ac:dyDescent="0.2">
      <c r="A122" s="79" t="s">
        <v>686</v>
      </c>
      <c r="B122" s="80" t="s">
        <v>687</v>
      </c>
      <c r="C122" s="79" t="s">
        <v>688</v>
      </c>
      <c r="L122" s="72" t="s">
        <v>689</v>
      </c>
      <c r="M122" s="82"/>
      <c r="N122" s="83"/>
      <c r="AS122" s="72" t="s">
        <v>689</v>
      </c>
      <c r="AT122" s="82"/>
      <c r="AU122" s="83"/>
      <c r="BW122" s="72" t="s">
        <v>689</v>
      </c>
      <c r="BX122" s="82"/>
      <c r="BY122" s="83"/>
      <c r="DB122" s="72">
        <v>121</v>
      </c>
    </row>
    <row r="123" spans="1:106" x14ac:dyDescent="0.2">
      <c r="A123" s="79" t="s">
        <v>690</v>
      </c>
      <c r="B123" s="80" t="s">
        <v>691</v>
      </c>
      <c r="C123" s="79" t="s">
        <v>692</v>
      </c>
      <c r="L123" s="81" t="s">
        <v>693</v>
      </c>
      <c r="M123" s="82"/>
      <c r="N123" s="83"/>
      <c r="AS123" s="81" t="s">
        <v>693</v>
      </c>
      <c r="AT123" s="82"/>
      <c r="AU123" s="83"/>
      <c r="BW123" s="81" t="s">
        <v>693</v>
      </c>
      <c r="BX123" s="82"/>
      <c r="BY123" s="83"/>
      <c r="DB123" s="72">
        <v>122</v>
      </c>
    </row>
    <row r="124" spans="1:106" x14ac:dyDescent="0.2">
      <c r="A124" s="79" t="s">
        <v>694</v>
      </c>
      <c r="B124" s="80" t="s">
        <v>695</v>
      </c>
      <c r="C124" s="79" t="s">
        <v>696</v>
      </c>
      <c r="L124" s="72" t="s">
        <v>697</v>
      </c>
      <c r="M124" s="82"/>
      <c r="N124" s="83"/>
      <c r="AS124" s="72" t="s">
        <v>697</v>
      </c>
      <c r="AT124" s="82"/>
      <c r="AU124" s="83"/>
      <c r="BW124" s="72" t="s">
        <v>697</v>
      </c>
      <c r="BX124" s="82"/>
      <c r="BY124" s="83"/>
      <c r="DB124" s="72">
        <v>123</v>
      </c>
    </row>
    <row r="125" spans="1:106" x14ac:dyDescent="0.2">
      <c r="A125" s="79" t="s">
        <v>698</v>
      </c>
      <c r="B125" s="80" t="s">
        <v>699</v>
      </c>
      <c r="C125" s="79" t="s">
        <v>700</v>
      </c>
      <c r="L125" s="81" t="s">
        <v>701</v>
      </c>
      <c r="M125" s="82"/>
      <c r="N125" s="83"/>
      <c r="AS125" s="81" t="s">
        <v>701</v>
      </c>
      <c r="AT125" s="82"/>
      <c r="AU125" s="83"/>
      <c r="BW125" s="81" t="s">
        <v>701</v>
      </c>
      <c r="BX125" s="82"/>
      <c r="BY125" s="83"/>
      <c r="DB125" s="72">
        <v>124</v>
      </c>
    </row>
    <row r="126" spans="1:106" x14ac:dyDescent="0.2">
      <c r="A126" s="79" t="s">
        <v>702</v>
      </c>
      <c r="B126" s="80" t="s">
        <v>703</v>
      </c>
      <c r="C126" s="79" t="s">
        <v>704</v>
      </c>
      <c r="L126" s="81" t="s">
        <v>705</v>
      </c>
      <c r="M126" s="82"/>
      <c r="N126" s="83"/>
      <c r="AS126" s="81" t="s">
        <v>705</v>
      </c>
      <c r="AT126" s="82"/>
      <c r="AU126" s="83"/>
      <c r="BW126" s="81" t="s">
        <v>705</v>
      </c>
      <c r="BX126" s="82"/>
      <c r="BY126" s="83"/>
      <c r="DB126" s="72">
        <v>125</v>
      </c>
    </row>
    <row r="127" spans="1:106" x14ac:dyDescent="0.2">
      <c r="A127" s="79" t="s">
        <v>706</v>
      </c>
      <c r="B127" s="80" t="s">
        <v>707</v>
      </c>
      <c r="C127" s="79" t="s">
        <v>708</v>
      </c>
      <c r="L127" s="81" t="s">
        <v>709</v>
      </c>
      <c r="M127" s="82"/>
      <c r="N127" s="83"/>
      <c r="AS127" s="81" t="s">
        <v>709</v>
      </c>
      <c r="AT127" s="82"/>
      <c r="AU127" s="83"/>
      <c r="BW127" s="81" t="s">
        <v>709</v>
      </c>
      <c r="BX127" s="82"/>
      <c r="BY127" s="83"/>
      <c r="DB127" s="72">
        <v>126</v>
      </c>
    </row>
    <row r="128" spans="1:106" x14ac:dyDescent="0.2">
      <c r="A128" s="79" t="s">
        <v>49</v>
      </c>
      <c r="B128" s="80" t="s">
        <v>710</v>
      </c>
      <c r="C128" s="79" t="s">
        <v>711</v>
      </c>
      <c r="L128" s="81" t="s">
        <v>712</v>
      </c>
      <c r="M128" s="82"/>
      <c r="N128" s="83"/>
      <c r="AS128" s="81" t="s">
        <v>712</v>
      </c>
      <c r="AT128" s="82"/>
      <c r="AU128" s="83"/>
      <c r="BW128" s="81" t="s">
        <v>712</v>
      </c>
      <c r="BX128" s="82"/>
      <c r="BY128" s="83"/>
      <c r="DB128" s="72">
        <v>127</v>
      </c>
    </row>
    <row r="129" spans="1:106" x14ac:dyDescent="0.2">
      <c r="A129" s="79" t="s">
        <v>713</v>
      </c>
      <c r="B129" s="80" t="s">
        <v>714</v>
      </c>
      <c r="C129" s="79" t="s">
        <v>715</v>
      </c>
      <c r="L129" s="81" t="s">
        <v>716</v>
      </c>
      <c r="M129" s="82"/>
      <c r="N129" s="83"/>
      <c r="AS129" s="81" t="s">
        <v>716</v>
      </c>
      <c r="AT129" s="82"/>
      <c r="AU129" s="83"/>
      <c r="BW129" s="81" t="s">
        <v>716</v>
      </c>
      <c r="BX129" s="82"/>
      <c r="BY129" s="83"/>
      <c r="DB129" s="72">
        <v>128</v>
      </c>
    </row>
    <row r="130" spans="1:106" x14ac:dyDescent="0.2">
      <c r="A130" s="79" t="s">
        <v>717</v>
      </c>
      <c r="B130" s="80" t="s">
        <v>718</v>
      </c>
      <c r="C130" s="79" t="s">
        <v>719</v>
      </c>
      <c r="L130" s="81" t="s">
        <v>720</v>
      </c>
      <c r="M130" s="82"/>
      <c r="N130" s="83"/>
      <c r="AS130" s="81" t="s">
        <v>720</v>
      </c>
      <c r="AT130" s="82"/>
      <c r="AU130" s="83"/>
      <c r="BW130" s="81" t="s">
        <v>720</v>
      </c>
      <c r="BX130" s="82"/>
      <c r="BY130" s="83"/>
      <c r="DB130" s="72">
        <v>129</v>
      </c>
    </row>
    <row r="131" spans="1:106" x14ac:dyDescent="0.2">
      <c r="A131" s="79" t="s">
        <v>721</v>
      </c>
      <c r="B131" s="80" t="s">
        <v>722</v>
      </c>
      <c r="C131" s="79" t="s">
        <v>723</v>
      </c>
      <c r="L131" s="81" t="s">
        <v>724</v>
      </c>
      <c r="M131" s="82"/>
      <c r="N131" s="83"/>
      <c r="AS131" s="81" t="s">
        <v>724</v>
      </c>
      <c r="AT131" s="82"/>
      <c r="AU131" s="83"/>
      <c r="BW131" s="81" t="s">
        <v>724</v>
      </c>
      <c r="BX131" s="82"/>
      <c r="BY131" s="83"/>
      <c r="DB131" s="72">
        <v>130</v>
      </c>
    </row>
    <row r="132" spans="1:106" x14ac:dyDescent="0.2">
      <c r="A132" s="79" t="s">
        <v>725</v>
      </c>
      <c r="B132" s="80" t="s">
        <v>726</v>
      </c>
      <c r="C132" s="79" t="s">
        <v>727</v>
      </c>
      <c r="L132" s="81" t="s">
        <v>728</v>
      </c>
      <c r="M132" s="82"/>
      <c r="N132" s="83"/>
      <c r="AS132" s="81" t="s">
        <v>728</v>
      </c>
      <c r="AT132" s="82"/>
      <c r="AU132" s="83"/>
      <c r="BW132" s="81" t="s">
        <v>728</v>
      </c>
      <c r="BX132" s="82"/>
      <c r="BY132" s="83"/>
      <c r="DB132" s="72">
        <v>131</v>
      </c>
    </row>
    <row r="133" spans="1:106" x14ac:dyDescent="0.2">
      <c r="A133" s="79" t="s">
        <v>729</v>
      </c>
      <c r="B133" s="80" t="s">
        <v>730</v>
      </c>
      <c r="C133" s="79" t="s">
        <v>731</v>
      </c>
      <c r="L133" s="81" t="s">
        <v>732</v>
      </c>
      <c r="M133" s="82"/>
      <c r="N133" s="83"/>
      <c r="AS133" s="81" t="s">
        <v>732</v>
      </c>
      <c r="AT133" s="82"/>
      <c r="AU133" s="83"/>
      <c r="BW133" s="81" t="s">
        <v>732</v>
      </c>
      <c r="BX133" s="82"/>
      <c r="BY133" s="83"/>
      <c r="DB133" s="72">
        <v>132</v>
      </c>
    </row>
    <row r="134" spans="1:106" x14ac:dyDescent="0.2">
      <c r="A134" s="79" t="s">
        <v>733</v>
      </c>
      <c r="B134" s="80" t="s">
        <v>734</v>
      </c>
      <c r="C134" s="79" t="s">
        <v>735</v>
      </c>
      <c r="L134" s="81" t="s">
        <v>736</v>
      </c>
      <c r="M134" s="82"/>
      <c r="N134" s="83"/>
      <c r="AS134" s="81" t="s">
        <v>736</v>
      </c>
      <c r="AT134" s="82"/>
      <c r="AU134" s="83"/>
      <c r="BW134" s="81" t="s">
        <v>736</v>
      </c>
      <c r="BX134" s="82"/>
      <c r="BY134" s="83"/>
      <c r="DB134" s="72">
        <v>133</v>
      </c>
    </row>
    <row r="135" spans="1:106" x14ac:dyDescent="0.2">
      <c r="A135" s="79" t="s">
        <v>737</v>
      </c>
      <c r="B135" s="80" t="s">
        <v>738</v>
      </c>
      <c r="C135" s="79" t="s">
        <v>739</v>
      </c>
      <c r="L135" s="72" t="s">
        <v>740</v>
      </c>
      <c r="M135" s="82"/>
      <c r="N135" s="83"/>
      <c r="AS135" s="72" t="s">
        <v>740</v>
      </c>
      <c r="AT135" s="82"/>
      <c r="AU135" s="83"/>
      <c r="BW135" s="72" t="s">
        <v>740</v>
      </c>
      <c r="BX135" s="82"/>
      <c r="BY135" s="83"/>
      <c r="DB135" s="72">
        <v>134</v>
      </c>
    </row>
    <row r="136" spans="1:106" x14ac:dyDescent="0.2">
      <c r="A136" s="79" t="s">
        <v>741</v>
      </c>
      <c r="B136" s="80" t="s">
        <v>742</v>
      </c>
      <c r="C136" s="79" t="s">
        <v>743</v>
      </c>
      <c r="L136" s="81" t="s">
        <v>744</v>
      </c>
      <c r="M136" s="82"/>
      <c r="N136" s="83"/>
      <c r="AS136" s="81" t="s">
        <v>744</v>
      </c>
      <c r="AT136" s="82"/>
      <c r="AU136" s="83"/>
      <c r="BW136" s="81" t="s">
        <v>744</v>
      </c>
      <c r="BX136" s="82"/>
      <c r="BY136" s="83"/>
      <c r="DB136" s="72">
        <v>135</v>
      </c>
    </row>
    <row r="137" spans="1:106" x14ac:dyDescent="0.2">
      <c r="A137" s="79" t="s">
        <v>745</v>
      </c>
      <c r="B137" s="80" t="s">
        <v>746</v>
      </c>
      <c r="C137" s="79" t="s">
        <v>747</v>
      </c>
      <c r="L137" s="81" t="s">
        <v>748</v>
      </c>
      <c r="M137" s="82"/>
      <c r="N137" s="83"/>
      <c r="AS137" s="81" t="s">
        <v>748</v>
      </c>
      <c r="AT137" s="82"/>
      <c r="AU137" s="83"/>
      <c r="BW137" s="81" t="s">
        <v>748</v>
      </c>
      <c r="BX137" s="82"/>
      <c r="BY137" s="83"/>
      <c r="DB137" s="72">
        <v>136</v>
      </c>
    </row>
    <row r="138" spans="1:106" x14ac:dyDescent="0.2">
      <c r="A138" s="79" t="s">
        <v>749</v>
      </c>
      <c r="B138" s="80" t="s">
        <v>750</v>
      </c>
      <c r="C138" s="79"/>
      <c r="L138" s="81" t="s">
        <v>751</v>
      </c>
      <c r="M138" s="82"/>
      <c r="N138" s="83"/>
      <c r="AS138" s="81" t="s">
        <v>751</v>
      </c>
      <c r="AT138" s="82"/>
      <c r="AU138" s="83"/>
      <c r="BW138" s="81" t="s">
        <v>751</v>
      </c>
      <c r="BX138" s="82"/>
      <c r="BY138" s="83"/>
      <c r="DB138" s="72">
        <v>137</v>
      </c>
    </row>
    <row r="139" spans="1:106" x14ac:dyDescent="0.2">
      <c r="A139" s="79" t="s">
        <v>752</v>
      </c>
      <c r="B139" s="80" t="s">
        <v>753</v>
      </c>
      <c r="C139" s="79" t="s">
        <v>754</v>
      </c>
      <c r="L139" s="81" t="s">
        <v>755</v>
      </c>
      <c r="M139" s="82"/>
      <c r="N139" s="83"/>
      <c r="AS139" s="81" t="s">
        <v>755</v>
      </c>
      <c r="AT139" s="82"/>
      <c r="AU139" s="83"/>
      <c r="BW139" s="81" t="s">
        <v>755</v>
      </c>
      <c r="BX139" s="82"/>
      <c r="BY139" s="83"/>
      <c r="DB139" s="72">
        <v>138</v>
      </c>
    </row>
    <row r="140" spans="1:106" x14ac:dyDescent="0.2">
      <c r="A140" s="79" t="s">
        <v>756</v>
      </c>
      <c r="B140" s="80" t="s">
        <v>757</v>
      </c>
      <c r="C140" s="79" t="s">
        <v>758</v>
      </c>
      <c r="L140" s="81" t="s">
        <v>759</v>
      </c>
      <c r="M140" s="82"/>
      <c r="N140" s="83"/>
      <c r="AS140" s="81" t="s">
        <v>759</v>
      </c>
      <c r="AT140" s="82"/>
      <c r="AU140" s="83"/>
      <c r="BW140" s="81" t="s">
        <v>759</v>
      </c>
      <c r="BX140" s="82"/>
      <c r="BY140" s="83"/>
      <c r="DB140" s="72">
        <v>139</v>
      </c>
    </row>
    <row r="141" spans="1:106" x14ac:dyDescent="0.2">
      <c r="A141" s="79" t="s">
        <v>760</v>
      </c>
      <c r="B141" s="80" t="s">
        <v>761</v>
      </c>
      <c r="C141" s="79" t="s">
        <v>762</v>
      </c>
      <c r="L141" s="81" t="s">
        <v>763</v>
      </c>
      <c r="M141" s="82"/>
      <c r="N141" s="83"/>
      <c r="AS141" s="81" t="s">
        <v>763</v>
      </c>
      <c r="AT141" s="82"/>
      <c r="AU141" s="83"/>
      <c r="BW141" s="81" t="s">
        <v>763</v>
      </c>
      <c r="BX141" s="82"/>
      <c r="BY141" s="83"/>
      <c r="DB141" s="72">
        <v>140</v>
      </c>
    </row>
    <row r="142" spans="1:106" x14ac:dyDescent="0.2">
      <c r="A142" s="79" t="s">
        <v>764</v>
      </c>
      <c r="B142" s="80" t="s">
        <v>765</v>
      </c>
      <c r="C142" s="79" t="s">
        <v>766</v>
      </c>
      <c r="L142" s="81" t="s">
        <v>767</v>
      </c>
      <c r="M142" s="82"/>
      <c r="N142" s="83"/>
      <c r="AS142" s="81" t="s">
        <v>767</v>
      </c>
      <c r="AT142" s="82"/>
      <c r="AU142" s="83"/>
      <c r="BW142" s="81" t="s">
        <v>767</v>
      </c>
      <c r="BX142" s="82"/>
      <c r="BY142" s="83"/>
      <c r="DB142" s="72">
        <v>141</v>
      </c>
    </row>
    <row r="143" spans="1:106" x14ac:dyDescent="0.2">
      <c r="A143" s="79" t="s">
        <v>768</v>
      </c>
      <c r="B143" s="80" t="s">
        <v>769</v>
      </c>
      <c r="C143" s="79" t="s">
        <v>770</v>
      </c>
      <c r="L143" s="81" t="s">
        <v>771</v>
      </c>
      <c r="M143" s="82"/>
      <c r="N143" s="83"/>
      <c r="AS143" s="81" t="s">
        <v>771</v>
      </c>
      <c r="AT143" s="82"/>
      <c r="AU143" s="83"/>
      <c r="BW143" s="81" t="s">
        <v>771</v>
      </c>
      <c r="BX143" s="82"/>
      <c r="BY143" s="83"/>
      <c r="DB143" s="72">
        <v>142</v>
      </c>
    </row>
    <row r="144" spans="1:106" x14ac:dyDescent="0.2">
      <c r="A144" s="79" t="s">
        <v>772</v>
      </c>
      <c r="B144" s="80" t="s">
        <v>773</v>
      </c>
      <c r="C144" s="79" t="s">
        <v>774</v>
      </c>
      <c r="L144" s="81" t="s">
        <v>775</v>
      </c>
      <c r="M144" s="82"/>
      <c r="N144" s="83"/>
      <c r="AS144" s="81" t="s">
        <v>775</v>
      </c>
      <c r="AT144" s="82"/>
      <c r="AU144" s="83"/>
      <c r="BW144" s="81" t="s">
        <v>775</v>
      </c>
      <c r="BX144" s="82"/>
      <c r="BY144" s="83"/>
      <c r="DB144" s="72">
        <v>143</v>
      </c>
    </row>
    <row r="145" spans="1:106" x14ac:dyDescent="0.2">
      <c r="A145" s="79" t="s">
        <v>776</v>
      </c>
      <c r="B145" s="80" t="s">
        <v>777</v>
      </c>
      <c r="C145" s="79" t="s">
        <v>778</v>
      </c>
      <c r="L145" s="81" t="s">
        <v>779</v>
      </c>
      <c r="M145" s="82"/>
      <c r="N145" s="83"/>
      <c r="AS145" s="81" t="s">
        <v>779</v>
      </c>
      <c r="AT145" s="82"/>
      <c r="AU145" s="83"/>
      <c r="BW145" s="81" t="s">
        <v>779</v>
      </c>
      <c r="BX145" s="82"/>
      <c r="BY145" s="83"/>
      <c r="DB145" s="72">
        <v>144</v>
      </c>
    </row>
    <row r="146" spans="1:106" x14ac:dyDescent="0.2">
      <c r="A146" s="79" t="s">
        <v>780</v>
      </c>
      <c r="B146" s="80" t="s">
        <v>781</v>
      </c>
      <c r="C146" s="79" t="s">
        <v>782</v>
      </c>
      <c r="L146" s="81" t="s">
        <v>783</v>
      </c>
      <c r="M146" s="82"/>
      <c r="N146" s="83"/>
      <c r="AS146" s="81" t="s">
        <v>783</v>
      </c>
      <c r="AT146" s="82"/>
      <c r="AU146" s="83"/>
      <c r="BW146" s="81" t="s">
        <v>783</v>
      </c>
      <c r="BX146" s="82"/>
      <c r="BY146" s="83"/>
      <c r="DB146" s="72">
        <v>145</v>
      </c>
    </row>
    <row r="147" spans="1:106" x14ac:dyDescent="0.2">
      <c r="A147" s="79" t="s">
        <v>784</v>
      </c>
      <c r="B147" s="80" t="s">
        <v>785</v>
      </c>
      <c r="C147" s="79" t="s">
        <v>786</v>
      </c>
      <c r="L147" s="81" t="s">
        <v>787</v>
      </c>
      <c r="M147" s="82"/>
      <c r="N147" s="83"/>
      <c r="AS147" s="81" t="s">
        <v>787</v>
      </c>
      <c r="AT147" s="82"/>
      <c r="AU147" s="83"/>
      <c r="BW147" s="81" t="s">
        <v>787</v>
      </c>
      <c r="BX147" s="82"/>
      <c r="BY147" s="83"/>
      <c r="DB147" s="72">
        <v>146</v>
      </c>
    </row>
    <row r="148" spans="1:106" x14ac:dyDescent="0.2">
      <c r="A148" s="79" t="s">
        <v>788</v>
      </c>
      <c r="B148" s="80" t="s">
        <v>789</v>
      </c>
      <c r="C148" s="79" t="s">
        <v>790</v>
      </c>
      <c r="L148" s="81" t="s">
        <v>791</v>
      </c>
      <c r="M148" s="82"/>
      <c r="N148" s="83"/>
      <c r="AS148" s="81" t="s">
        <v>791</v>
      </c>
      <c r="AT148" s="82"/>
      <c r="AU148" s="83"/>
      <c r="BW148" s="81" t="s">
        <v>791</v>
      </c>
      <c r="BX148" s="82"/>
      <c r="BY148" s="83"/>
      <c r="DB148" s="72">
        <v>147</v>
      </c>
    </row>
    <row r="149" spans="1:106" x14ac:dyDescent="0.2">
      <c r="A149" s="79" t="s">
        <v>792</v>
      </c>
      <c r="B149" s="80" t="s">
        <v>793</v>
      </c>
      <c r="C149" s="79" t="s">
        <v>794</v>
      </c>
      <c r="L149" s="81" t="s">
        <v>795</v>
      </c>
      <c r="M149" s="82"/>
      <c r="N149" s="83"/>
      <c r="AS149" s="81" t="s">
        <v>795</v>
      </c>
      <c r="AT149" s="82"/>
      <c r="AU149" s="83"/>
      <c r="BW149" s="81" t="s">
        <v>795</v>
      </c>
      <c r="BX149" s="82"/>
      <c r="BY149" s="83"/>
      <c r="DB149" s="72">
        <v>148</v>
      </c>
    </row>
    <row r="150" spans="1:106" x14ac:dyDescent="0.2">
      <c r="A150" s="79" t="s">
        <v>796</v>
      </c>
      <c r="B150" s="80" t="s">
        <v>797</v>
      </c>
      <c r="C150" s="79" t="s">
        <v>798</v>
      </c>
      <c r="L150" s="81" t="s">
        <v>799</v>
      </c>
      <c r="M150" s="82"/>
      <c r="N150" s="83"/>
      <c r="AS150" s="81" t="s">
        <v>799</v>
      </c>
      <c r="AT150" s="82"/>
      <c r="AU150" s="83"/>
      <c r="BW150" s="81" t="s">
        <v>799</v>
      </c>
      <c r="BX150" s="82"/>
      <c r="BY150" s="83"/>
      <c r="DB150" s="72">
        <v>149</v>
      </c>
    </row>
    <row r="151" spans="1:106" x14ac:dyDescent="0.2">
      <c r="A151" s="79" t="s">
        <v>800</v>
      </c>
      <c r="B151" s="80" t="s">
        <v>801</v>
      </c>
      <c r="C151" s="79" t="s">
        <v>802</v>
      </c>
      <c r="L151" s="72" t="s">
        <v>803</v>
      </c>
      <c r="M151" s="82"/>
      <c r="N151" s="83"/>
      <c r="AS151" s="72" t="s">
        <v>803</v>
      </c>
      <c r="AT151" s="82"/>
      <c r="AU151" s="83"/>
      <c r="BW151" s="72" t="s">
        <v>803</v>
      </c>
      <c r="BX151" s="82"/>
      <c r="BY151" s="83"/>
      <c r="DB151" s="72">
        <v>150</v>
      </c>
    </row>
    <row r="152" spans="1:106" x14ac:dyDescent="0.2">
      <c r="A152" s="79" t="s">
        <v>804</v>
      </c>
      <c r="B152" s="80" t="s">
        <v>805</v>
      </c>
      <c r="C152" s="79" t="s">
        <v>806</v>
      </c>
      <c r="L152" s="72" t="s">
        <v>807</v>
      </c>
      <c r="M152" s="82"/>
      <c r="N152" s="83"/>
      <c r="AS152" s="72" t="s">
        <v>807</v>
      </c>
      <c r="AT152" s="82"/>
      <c r="AU152" s="83"/>
      <c r="BW152" s="72" t="s">
        <v>807</v>
      </c>
      <c r="BX152" s="82"/>
      <c r="BY152" s="83"/>
      <c r="DB152" s="72">
        <v>151</v>
      </c>
    </row>
    <row r="153" spans="1:106" x14ac:dyDescent="0.2">
      <c r="A153" s="79" t="s">
        <v>808</v>
      </c>
      <c r="B153" s="80" t="s">
        <v>809</v>
      </c>
      <c r="C153" s="79" t="s">
        <v>810</v>
      </c>
      <c r="L153" s="81" t="s">
        <v>811</v>
      </c>
      <c r="M153" s="82"/>
      <c r="N153" s="83"/>
      <c r="AS153" s="81" t="s">
        <v>811</v>
      </c>
      <c r="AT153" s="82"/>
      <c r="AU153" s="83"/>
      <c r="BW153" s="81" t="s">
        <v>811</v>
      </c>
      <c r="BX153" s="82"/>
      <c r="BY153" s="83"/>
      <c r="DB153" s="72">
        <v>152</v>
      </c>
    </row>
    <row r="154" spans="1:106" x14ac:dyDescent="0.2">
      <c r="A154" s="79" t="s">
        <v>812</v>
      </c>
      <c r="B154" s="80" t="s">
        <v>813</v>
      </c>
      <c r="C154" s="79" t="s">
        <v>814</v>
      </c>
      <c r="L154" s="81" t="s">
        <v>815</v>
      </c>
      <c r="M154" s="82"/>
      <c r="N154" s="83"/>
      <c r="AS154" s="81" t="s">
        <v>815</v>
      </c>
      <c r="AT154" s="82"/>
      <c r="AU154" s="83"/>
      <c r="BW154" s="81" t="s">
        <v>815</v>
      </c>
      <c r="BX154" s="82"/>
      <c r="BY154" s="83"/>
      <c r="DB154" s="72">
        <v>153</v>
      </c>
    </row>
    <row r="155" spans="1:106" x14ac:dyDescent="0.2">
      <c r="A155" s="79" t="s">
        <v>816</v>
      </c>
      <c r="B155" s="80" t="s">
        <v>817</v>
      </c>
      <c r="C155" s="79" t="s">
        <v>818</v>
      </c>
      <c r="L155" s="81" t="s">
        <v>819</v>
      </c>
      <c r="M155" s="82"/>
      <c r="N155" s="83"/>
      <c r="AS155" s="81" t="s">
        <v>819</v>
      </c>
      <c r="AT155" s="82"/>
      <c r="AU155" s="83"/>
      <c r="BW155" s="81" t="s">
        <v>819</v>
      </c>
      <c r="BX155" s="82"/>
      <c r="BY155" s="83"/>
      <c r="DB155" s="72">
        <v>154</v>
      </c>
    </row>
    <row r="156" spans="1:106" x14ac:dyDescent="0.2">
      <c r="A156" s="79" t="s">
        <v>820</v>
      </c>
      <c r="B156" s="80" t="s">
        <v>821</v>
      </c>
      <c r="C156" s="79" t="s">
        <v>822</v>
      </c>
      <c r="L156" s="81" t="s">
        <v>823</v>
      </c>
      <c r="M156" s="82"/>
      <c r="N156" s="83"/>
      <c r="AS156" s="81" t="s">
        <v>823</v>
      </c>
      <c r="AT156" s="82"/>
      <c r="AU156" s="83"/>
      <c r="BW156" s="81" t="s">
        <v>823</v>
      </c>
      <c r="BX156" s="82"/>
      <c r="BY156" s="83"/>
      <c r="DB156" s="72">
        <v>155</v>
      </c>
    </row>
    <row r="157" spans="1:106" x14ac:dyDescent="0.2">
      <c r="A157" s="79" t="s">
        <v>824</v>
      </c>
      <c r="B157" s="80" t="s">
        <v>825</v>
      </c>
      <c r="C157" s="79" t="s">
        <v>826</v>
      </c>
      <c r="L157" s="81" t="s">
        <v>827</v>
      </c>
      <c r="M157" s="82"/>
      <c r="N157" s="83"/>
      <c r="AS157" s="81" t="s">
        <v>827</v>
      </c>
      <c r="AT157" s="82"/>
      <c r="AU157" s="83"/>
      <c r="BW157" s="81" t="s">
        <v>827</v>
      </c>
      <c r="BX157" s="82"/>
      <c r="BY157" s="83"/>
      <c r="DB157" s="72">
        <v>156</v>
      </c>
    </row>
    <row r="158" spans="1:106" x14ac:dyDescent="0.2">
      <c r="A158" s="79" t="s">
        <v>828</v>
      </c>
      <c r="B158" s="80" t="s">
        <v>829</v>
      </c>
      <c r="C158" s="79" t="s">
        <v>830</v>
      </c>
      <c r="L158" s="81" t="s">
        <v>831</v>
      </c>
      <c r="M158" s="82"/>
      <c r="N158" s="83"/>
      <c r="AS158" s="81" t="s">
        <v>831</v>
      </c>
      <c r="AT158" s="82"/>
      <c r="AU158" s="83"/>
      <c r="BW158" s="81" t="s">
        <v>831</v>
      </c>
      <c r="BX158" s="82"/>
      <c r="BY158" s="83"/>
      <c r="DB158" s="72">
        <v>157</v>
      </c>
    </row>
    <row r="159" spans="1:106" x14ac:dyDescent="0.2">
      <c r="A159" s="79" t="s">
        <v>832</v>
      </c>
      <c r="B159" s="80" t="s">
        <v>833</v>
      </c>
      <c r="C159" s="79" t="s">
        <v>834</v>
      </c>
      <c r="L159" s="72" t="s">
        <v>835</v>
      </c>
      <c r="M159" s="82"/>
      <c r="N159" s="83"/>
      <c r="AS159" s="72" t="s">
        <v>835</v>
      </c>
      <c r="AT159" s="82"/>
      <c r="AU159" s="83"/>
      <c r="BW159" s="72" t="s">
        <v>835</v>
      </c>
      <c r="BX159" s="82"/>
      <c r="BY159" s="83"/>
      <c r="DB159" s="72">
        <v>158</v>
      </c>
    </row>
    <row r="160" spans="1:106" x14ac:dyDescent="0.2">
      <c r="A160" s="79" t="s">
        <v>836</v>
      </c>
      <c r="B160" s="80" t="s">
        <v>837</v>
      </c>
      <c r="C160" s="79" t="s">
        <v>838</v>
      </c>
      <c r="L160" s="72" t="s">
        <v>839</v>
      </c>
      <c r="M160" s="82"/>
      <c r="N160" s="83"/>
      <c r="AS160" s="72" t="s">
        <v>839</v>
      </c>
      <c r="AT160" s="82"/>
      <c r="AU160" s="83"/>
      <c r="BW160" s="72" t="s">
        <v>839</v>
      </c>
      <c r="BX160" s="82"/>
      <c r="BY160" s="83"/>
      <c r="DB160" s="72">
        <v>159</v>
      </c>
    </row>
    <row r="161" spans="1:106" x14ac:dyDescent="0.2">
      <c r="A161" s="79" t="s">
        <v>840</v>
      </c>
      <c r="B161" s="80" t="s">
        <v>841</v>
      </c>
      <c r="C161" s="79" t="s">
        <v>842</v>
      </c>
      <c r="L161" s="72" t="s">
        <v>843</v>
      </c>
      <c r="M161" s="82"/>
      <c r="N161" s="83"/>
      <c r="AS161" s="72" t="s">
        <v>843</v>
      </c>
      <c r="AT161" s="82"/>
      <c r="AU161" s="83"/>
      <c r="BW161" s="72" t="s">
        <v>843</v>
      </c>
      <c r="BX161" s="82"/>
      <c r="BY161" s="83"/>
      <c r="DB161" s="72">
        <v>160</v>
      </c>
    </row>
    <row r="162" spans="1:106" x14ac:dyDescent="0.2">
      <c r="A162" s="79" t="s">
        <v>844</v>
      </c>
      <c r="B162" s="80" t="s">
        <v>845</v>
      </c>
      <c r="C162" s="79" t="s">
        <v>846</v>
      </c>
      <c r="L162" s="81" t="s">
        <v>847</v>
      </c>
      <c r="M162" s="82"/>
      <c r="N162" s="83"/>
      <c r="AS162" s="81" t="s">
        <v>847</v>
      </c>
      <c r="AT162" s="82"/>
      <c r="AU162" s="83"/>
      <c r="BW162" s="81" t="s">
        <v>847</v>
      </c>
      <c r="BX162" s="82"/>
      <c r="BY162" s="83"/>
      <c r="DB162" s="72">
        <v>161</v>
      </c>
    </row>
    <row r="163" spans="1:106" x14ac:dyDescent="0.2">
      <c r="A163" s="79" t="s">
        <v>848</v>
      </c>
      <c r="B163" s="80" t="s">
        <v>849</v>
      </c>
      <c r="C163" s="79" t="s">
        <v>850</v>
      </c>
      <c r="L163" s="81" t="s">
        <v>851</v>
      </c>
      <c r="M163" s="82"/>
      <c r="N163" s="83"/>
      <c r="AS163" s="81" t="s">
        <v>851</v>
      </c>
      <c r="AT163" s="82"/>
      <c r="AU163" s="83"/>
      <c r="BW163" s="81" t="s">
        <v>851</v>
      </c>
      <c r="BX163" s="82"/>
      <c r="BY163" s="83"/>
      <c r="DB163" s="72">
        <v>162</v>
      </c>
    </row>
    <row r="164" spans="1:106" x14ac:dyDescent="0.2">
      <c r="A164" s="79" t="s">
        <v>852</v>
      </c>
      <c r="B164" s="80" t="s">
        <v>853</v>
      </c>
      <c r="C164" s="79" t="s">
        <v>854</v>
      </c>
      <c r="L164" s="81" t="s">
        <v>855</v>
      </c>
      <c r="M164" s="82"/>
      <c r="N164" s="83"/>
      <c r="AS164" s="81" t="s">
        <v>855</v>
      </c>
      <c r="AT164" s="82"/>
      <c r="AU164" s="83"/>
      <c r="BW164" s="81" t="s">
        <v>855</v>
      </c>
      <c r="BX164" s="82"/>
      <c r="BY164" s="83"/>
      <c r="DB164" s="72">
        <v>163</v>
      </c>
    </row>
    <row r="165" spans="1:106" x14ac:dyDescent="0.2">
      <c r="A165" s="79" t="s">
        <v>856</v>
      </c>
      <c r="B165" s="80" t="s">
        <v>857</v>
      </c>
      <c r="C165" s="79" t="s">
        <v>858</v>
      </c>
      <c r="L165" s="72" t="s">
        <v>859</v>
      </c>
      <c r="M165" s="82"/>
      <c r="N165" s="83"/>
      <c r="AS165" s="72" t="s">
        <v>859</v>
      </c>
      <c r="AT165" s="82"/>
      <c r="AU165" s="83"/>
      <c r="BW165" s="72" t="s">
        <v>859</v>
      </c>
      <c r="BX165" s="82"/>
      <c r="BY165" s="83"/>
      <c r="DB165" s="72">
        <v>164</v>
      </c>
    </row>
    <row r="166" spans="1:106" x14ac:dyDescent="0.2">
      <c r="A166" s="79" t="s">
        <v>860</v>
      </c>
      <c r="B166" s="80" t="s">
        <v>861</v>
      </c>
      <c r="C166" s="79" t="s">
        <v>862</v>
      </c>
      <c r="L166" s="81" t="s">
        <v>863</v>
      </c>
      <c r="M166" s="82"/>
      <c r="N166" s="83"/>
      <c r="AS166" s="81" t="s">
        <v>863</v>
      </c>
      <c r="AT166" s="82"/>
      <c r="AU166" s="83"/>
      <c r="BW166" s="81" t="s">
        <v>863</v>
      </c>
      <c r="BX166" s="82"/>
      <c r="BY166" s="83"/>
      <c r="DB166" s="72">
        <v>165</v>
      </c>
    </row>
    <row r="167" spans="1:106" x14ac:dyDescent="0.2">
      <c r="A167" s="79" t="s">
        <v>864</v>
      </c>
      <c r="B167" s="80" t="s">
        <v>865</v>
      </c>
      <c r="C167" s="79" t="s">
        <v>866</v>
      </c>
      <c r="L167" s="72" t="s">
        <v>867</v>
      </c>
      <c r="M167" s="82"/>
      <c r="N167" s="83"/>
      <c r="AS167" s="72" t="s">
        <v>867</v>
      </c>
      <c r="AT167" s="82"/>
      <c r="AU167" s="83"/>
      <c r="BW167" s="72" t="s">
        <v>867</v>
      </c>
      <c r="BX167" s="82"/>
      <c r="BY167" s="83"/>
      <c r="DB167" s="72">
        <v>166</v>
      </c>
    </row>
    <row r="168" spans="1:106" x14ac:dyDescent="0.2">
      <c r="A168" s="79" t="s">
        <v>868</v>
      </c>
      <c r="B168" s="80" t="s">
        <v>869</v>
      </c>
      <c r="C168" s="79" t="s">
        <v>870</v>
      </c>
      <c r="L168" s="81" t="s">
        <v>871</v>
      </c>
      <c r="M168" s="82"/>
      <c r="N168" s="83"/>
      <c r="AS168" s="81" t="s">
        <v>871</v>
      </c>
      <c r="AT168" s="82"/>
      <c r="AU168" s="83"/>
      <c r="BW168" s="81" t="s">
        <v>871</v>
      </c>
      <c r="BX168" s="82"/>
      <c r="BY168" s="83"/>
      <c r="DB168" s="72">
        <v>167</v>
      </c>
    </row>
    <row r="169" spans="1:106" x14ac:dyDescent="0.2">
      <c r="A169" s="79" t="s">
        <v>872</v>
      </c>
      <c r="B169" s="80" t="s">
        <v>873</v>
      </c>
      <c r="C169" s="79" t="s">
        <v>874</v>
      </c>
      <c r="L169" s="81" t="s">
        <v>875</v>
      </c>
      <c r="M169" s="82"/>
      <c r="N169" s="83"/>
      <c r="AS169" s="81" t="s">
        <v>875</v>
      </c>
      <c r="AT169" s="82"/>
      <c r="AU169" s="83"/>
      <c r="BW169" s="81" t="s">
        <v>875</v>
      </c>
      <c r="BX169" s="82"/>
      <c r="BY169" s="83"/>
      <c r="DB169" s="72">
        <v>168</v>
      </c>
    </row>
    <row r="170" spans="1:106" x14ac:dyDescent="0.2">
      <c r="A170" s="79" t="s">
        <v>876</v>
      </c>
      <c r="B170" s="80" t="s">
        <v>877</v>
      </c>
      <c r="C170" s="79" t="s">
        <v>878</v>
      </c>
      <c r="L170" s="81" t="s">
        <v>879</v>
      </c>
      <c r="M170" s="82"/>
      <c r="N170" s="83"/>
      <c r="AS170" s="81" t="s">
        <v>879</v>
      </c>
      <c r="AT170" s="82"/>
      <c r="AU170" s="83"/>
      <c r="BW170" s="81" t="s">
        <v>879</v>
      </c>
      <c r="BX170" s="82"/>
      <c r="BY170" s="83"/>
      <c r="DB170" s="72">
        <v>169</v>
      </c>
    </row>
    <row r="171" spans="1:106" x14ac:dyDescent="0.2">
      <c r="A171" s="79" t="s">
        <v>880</v>
      </c>
      <c r="B171" s="80" t="s">
        <v>881</v>
      </c>
      <c r="C171" s="79" t="s">
        <v>882</v>
      </c>
      <c r="L171" s="81" t="s">
        <v>883</v>
      </c>
      <c r="M171" s="82"/>
      <c r="N171" s="83"/>
      <c r="AS171" s="81" t="s">
        <v>883</v>
      </c>
      <c r="AT171" s="82"/>
      <c r="AU171" s="83"/>
      <c r="BW171" s="81" t="s">
        <v>883</v>
      </c>
      <c r="BX171" s="82"/>
      <c r="BY171" s="83"/>
      <c r="DB171" s="72">
        <v>170</v>
      </c>
    </row>
    <row r="172" spans="1:106" x14ac:dyDescent="0.2">
      <c r="A172" s="79" t="s">
        <v>884</v>
      </c>
      <c r="B172" s="80" t="s">
        <v>885</v>
      </c>
      <c r="C172" s="79" t="s">
        <v>886</v>
      </c>
      <c r="L172" s="81" t="s">
        <v>887</v>
      </c>
      <c r="M172" s="82"/>
      <c r="N172" s="83"/>
      <c r="AS172" s="81" t="s">
        <v>887</v>
      </c>
      <c r="AT172" s="82"/>
      <c r="AU172" s="83"/>
      <c r="BW172" s="81" t="s">
        <v>887</v>
      </c>
      <c r="BX172" s="82"/>
      <c r="BY172" s="83"/>
      <c r="DB172" s="72">
        <v>171</v>
      </c>
    </row>
    <row r="173" spans="1:106" x14ac:dyDescent="0.2">
      <c r="A173" s="79" t="s">
        <v>888</v>
      </c>
      <c r="B173" s="80" t="s">
        <v>889</v>
      </c>
      <c r="C173" s="79"/>
      <c r="L173" s="81" t="s">
        <v>890</v>
      </c>
      <c r="M173" s="82"/>
      <c r="N173" s="83"/>
      <c r="AS173" s="81" t="s">
        <v>890</v>
      </c>
      <c r="AT173" s="82"/>
      <c r="AU173" s="83"/>
      <c r="BW173" s="81" t="s">
        <v>890</v>
      </c>
      <c r="BX173" s="82"/>
      <c r="BY173" s="83"/>
      <c r="DB173" s="72">
        <v>172</v>
      </c>
    </row>
    <row r="174" spans="1:106" x14ac:dyDescent="0.2">
      <c r="A174" s="79" t="s">
        <v>891</v>
      </c>
      <c r="B174" s="80" t="s">
        <v>892</v>
      </c>
      <c r="C174" s="79" t="s">
        <v>893</v>
      </c>
      <c r="L174" s="81" t="s">
        <v>894</v>
      </c>
      <c r="M174" s="82"/>
      <c r="N174" s="83"/>
      <c r="AS174" s="81" t="s">
        <v>894</v>
      </c>
      <c r="AT174" s="82"/>
      <c r="AU174" s="83"/>
      <c r="BW174" s="81" t="s">
        <v>894</v>
      </c>
      <c r="BX174" s="82"/>
      <c r="BY174" s="83"/>
      <c r="DB174" s="72">
        <v>173</v>
      </c>
    </row>
    <row r="175" spans="1:106" x14ac:dyDescent="0.2">
      <c r="A175" s="79" t="s">
        <v>895</v>
      </c>
      <c r="B175" s="80" t="s">
        <v>896</v>
      </c>
      <c r="C175" s="79" t="s">
        <v>897</v>
      </c>
      <c r="L175" s="81" t="s">
        <v>898</v>
      </c>
      <c r="M175" s="82"/>
      <c r="N175" s="83"/>
      <c r="AS175" s="81" t="s">
        <v>898</v>
      </c>
      <c r="AT175" s="82"/>
      <c r="AU175" s="83"/>
      <c r="BW175" s="81" t="s">
        <v>898</v>
      </c>
      <c r="BX175" s="82"/>
      <c r="BY175" s="83"/>
      <c r="DB175" s="72">
        <v>174</v>
      </c>
    </row>
    <row r="176" spans="1:106" x14ac:dyDescent="0.2">
      <c r="A176" s="79" t="s">
        <v>899</v>
      </c>
      <c r="B176" s="80" t="s">
        <v>900</v>
      </c>
      <c r="C176" s="79" t="s">
        <v>901</v>
      </c>
      <c r="L176" s="81" t="s">
        <v>902</v>
      </c>
      <c r="M176" s="82"/>
      <c r="N176" s="83"/>
      <c r="AS176" s="81" t="s">
        <v>902</v>
      </c>
      <c r="AT176" s="82"/>
      <c r="AU176" s="83"/>
      <c r="BW176" s="81" t="s">
        <v>902</v>
      </c>
      <c r="BX176" s="82"/>
      <c r="BY176" s="83"/>
      <c r="DB176" s="72">
        <v>175</v>
      </c>
    </row>
    <row r="177" spans="1:106" x14ac:dyDescent="0.2">
      <c r="A177" s="79" t="s">
        <v>903</v>
      </c>
      <c r="B177" s="80" t="s">
        <v>904</v>
      </c>
      <c r="C177" s="79" t="s">
        <v>905</v>
      </c>
      <c r="L177" s="81" t="s">
        <v>906</v>
      </c>
      <c r="M177" s="82"/>
      <c r="N177" s="83"/>
      <c r="AS177" s="81" t="s">
        <v>906</v>
      </c>
      <c r="AT177" s="82"/>
      <c r="AU177" s="83"/>
      <c r="BW177" s="81" t="s">
        <v>906</v>
      </c>
      <c r="BX177" s="82"/>
      <c r="BY177" s="83"/>
      <c r="DB177" s="72">
        <v>176</v>
      </c>
    </row>
    <row r="178" spans="1:106" x14ac:dyDescent="0.2">
      <c r="A178" s="79" t="s">
        <v>907</v>
      </c>
      <c r="B178" s="80" t="s">
        <v>908</v>
      </c>
      <c r="C178" s="79" t="s">
        <v>909</v>
      </c>
      <c r="L178" s="72" t="s">
        <v>910</v>
      </c>
      <c r="M178" s="82"/>
      <c r="N178" s="83"/>
      <c r="AS178" s="72" t="s">
        <v>910</v>
      </c>
      <c r="AT178" s="82"/>
      <c r="AU178" s="83"/>
      <c r="BW178" s="72" t="s">
        <v>910</v>
      </c>
      <c r="BX178" s="82"/>
      <c r="BY178" s="83"/>
      <c r="DB178" s="72">
        <v>177</v>
      </c>
    </row>
    <row r="179" spans="1:106" x14ac:dyDescent="0.2">
      <c r="A179" s="79" t="s">
        <v>911</v>
      </c>
      <c r="B179" s="80" t="s">
        <v>912</v>
      </c>
      <c r="C179" s="79" t="s">
        <v>913</v>
      </c>
      <c r="L179" s="72" t="s">
        <v>914</v>
      </c>
      <c r="M179" s="82"/>
      <c r="N179" s="83"/>
      <c r="AS179" s="72" t="s">
        <v>914</v>
      </c>
      <c r="AT179" s="82"/>
      <c r="AU179" s="83"/>
      <c r="BW179" s="72" t="s">
        <v>914</v>
      </c>
      <c r="BX179" s="82"/>
      <c r="BY179" s="83"/>
      <c r="DB179" s="72">
        <v>178</v>
      </c>
    </row>
    <row r="180" spans="1:106" x14ac:dyDescent="0.2">
      <c r="A180" s="79" t="s">
        <v>915</v>
      </c>
      <c r="B180" s="80" t="s">
        <v>916</v>
      </c>
      <c r="C180" s="79" t="s">
        <v>917</v>
      </c>
      <c r="L180" s="72" t="s">
        <v>918</v>
      </c>
      <c r="M180" s="82"/>
      <c r="N180" s="83"/>
      <c r="AS180" s="72" t="s">
        <v>918</v>
      </c>
      <c r="AT180" s="82"/>
      <c r="AU180" s="83"/>
      <c r="BW180" s="72" t="s">
        <v>918</v>
      </c>
      <c r="BX180" s="82"/>
      <c r="BY180" s="83"/>
      <c r="DB180" s="72">
        <v>179</v>
      </c>
    </row>
    <row r="181" spans="1:106" x14ac:dyDescent="0.2">
      <c r="A181" s="79" t="s">
        <v>919</v>
      </c>
      <c r="B181" s="80" t="s">
        <v>920</v>
      </c>
      <c r="C181" s="79" t="s">
        <v>921</v>
      </c>
      <c r="L181" s="72" t="s">
        <v>922</v>
      </c>
      <c r="M181" s="82"/>
      <c r="N181" s="83"/>
      <c r="AS181" s="72" t="s">
        <v>922</v>
      </c>
      <c r="AT181" s="82"/>
      <c r="AU181" s="83"/>
      <c r="BW181" s="72" t="s">
        <v>922</v>
      </c>
      <c r="BX181" s="82"/>
      <c r="BY181" s="83"/>
      <c r="DB181" s="72">
        <v>180</v>
      </c>
    </row>
    <row r="182" spans="1:106" x14ac:dyDescent="0.2">
      <c r="A182" s="79" t="s">
        <v>923</v>
      </c>
      <c r="B182" s="80" t="s">
        <v>924</v>
      </c>
      <c r="C182" s="79" t="s">
        <v>925</v>
      </c>
      <c r="L182" s="72" t="s">
        <v>926</v>
      </c>
      <c r="M182" s="82"/>
      <c r="N182" s="83"/>
      <c r="AS182" s="72" t="s">
        <v>926</v>
      </c>
      <c r="AT182" s="82"/>
      <c r="AU182" s="83"/>
      <c r="BW182" s="72" t="s">
        <v>926</v>
      </c>
      <c r="BX182" s="82"/>
      <c r="BY182" s="83"/>
      <c r="DB182" s="72">
        <v>181</v>
      </c>
    </row>
    <row r="183" spans="1:106" x14ac:dyDescent="0.2">
      <c r="A183" s="79" t="s">
        <v>927</v>
      </c>
      <c r="B183" s="80" t="s">
        <v>928</v>
      </c>
      <c r="C183" s="79" t="s">
        <v>929</v>
      </c>
      <c r="L183" s="72" t="s">
        <v>926</v>
      </c>
      <c r="M183" s="82"/>
      <c r="N183" s="83"/>
      <c r="AS183" s="72" t="s">
        <v>926</v>
      </c>
      <c r="AT183" s="82"/>
      <c r="AU183" s="83"/>
      <c r="BW183" s="72" t="s">
        <v>926</v>
      </c>
      <c r="BX183" s="82"/>
      <c r="BY183" s="83"/>
      <c r="DB183" s="72">
        <v>182</v>
      </c>
    </row>
    <row r="184" spans="1:106" x14ac:dyDescent="0.2">
      <c r="A184" s="79" t="s">
        <v>930</v>
      </c>
      <c r="B184" s="80" t="s">
        <v>931</v>
      </c>
      <c r="C184" s="79" t="s">
        <v>932</v>
      </c>
      <c r="L184" s="72" t="s">
        <v>933</v>
      </c>
      <c r="M184" s="82"/>
      <c r="N184" s="83"/>
      <c r="AS184" s="72" t="s">
        <v>933</v>
      </c>
      <c r="AT184" s="82"/>
      <c r="AU184" s="83"/>
      <c r="BW184" s="72" t="s">
        <v>933</v>
      </c>
      <c r="BX184" s="82"/>
      <c r="BY184" s="83"/>
      <c r="DB184" s="72">
        <v>183</v>
      </c>
    </row>
    <row r="185" spans="1:106" x14ac:dyDescent="0.2">
      <c r="A185" s="79" t="s">
        <v>934</v>
      </c>
      <c r="B185" s="80" t="s">
        <v>935</v>
      </c>
      <c r="C185" s="79" t="s">
        <v>936</v>
      </c>
      <c r="L185" s="72" t="s">
        <v>937</v>
      </c>
      <c r="M185" s="82"/>
      <c r="N185" s="83"/>
      <c r="AS185" s="72" t="s">
        <v>937</v>
      </c>
      <c r="AT185" s="82"/>
      <c r="AU185" s="83"/>
      <c r="BW185" s="72" t="s">
        <v>937</v>
      </c>
      <c r="BX185" s="82"/>
      <c r="BY185" s="83"/>
      <c r="DB185" s="72">
        <v>184</v>
      </c>
    </row>
    <row r="186" spans="1:106" x14ac:dyDescent="0.2">
      <c r="A186" s="79" t="s">
        <v>938</v>
      </c>
      <c r="B186" s="80" t="s">
        <v>939</v>
      </c>
      <c r="C186" s="79"/>
      <c r="L186" s="72" t="s">
        <v>940</v>
      </c>
      <c r="M186" s="82"/>
      <c r="N186" s="83"/>
      <c r="AS186" s="72" t="s">
        <v>940</v>
      </c>
      <c r="AT186" s="82"/>
      <c r="AU186" s="83"/>
      <c r="BW186" s="72" t="s">
        <v>940</v>
      </c>
      <c r="BX186" s="82"/>
      <c r="BY186" s="83"/>
      <c r="DB186" s="72">
        <v>185</v>
      </c>
    </row>
    <row r="187" spans="1:106" x14ac:dyDescent="0.2">
      <c r="A187" s="79" t="s">
        <v>941</v>
      </c>
      <c r="B187" s="80" t="s">
        <v>942</v>
      </c>
      <c r="C187" s="79" t="s">
        <v>943</v>
      </c>
      <c r="L187" s="72" t="s">
        <v>944</v>
      </c>
      <c r="M187" s="82"/>
      <c r="N187" s="83"/>
      <c r="AS187" s="72" t="s">
        <v>944</v>
      </c>
      <c r="AT187" s="82"/>
      <c r="AU187" s="83"/>
      <c r="BW187" s="72" t="s">
        <v>944</v>
      </c>
      <c r="BX187" s="82"/>
      <c r="BY187" s="83"/>
      <c r="DB187" s="72">
        <v>186</v>
      </c>
    </row>
    <row r="188" spans="1:106" x14ac:dyDescent="0.2">
      <c r="A188" s="79" t="s">
        <v>945</v>
      </c>
      <c r="B188" s="80" t="s">
        <v>946</v>
      </c>
      <c r="C188" s="79" t="s">
        <v>947</v>
      </c>
      <c r="L188" s="72" t="s">
        <v>948</v>
      </c>
      <c r="M188" s="82"/>
      <c r="N188" s="83"/>
      <c r="AS188" s="72" t="s">
        <v>948</v>
      </c>
      <c r="AT188" s="82"/>
      <c r="AU188" s="83"/>
      <c r="BW188" s="72" t="s">
        <v>948</v>
      </c>
      <c r="BX188" s="82"/>
      <c r="BY188" s="83"/>
      <c r="DB188" s="72">
        <v>187</v>
      </c>
    </row>
    <row r="189" spans="1:106" x14ac:dyDescent="0.2">
      <c r="A189" s="79" t="s">
        <v>949</v>
      </c>
      <c r="B189" s="80" t="s">
        <v>950</v>
      </c>
      <c r="C189" s="79" t="s">
        <v>951</v>
      </c>
      <c r="L189" s="72" t="s">
        <v>952</v>
      </c>
      <c r="M189" s="82"/>
      <c r="N189" s="83"/>
      <c r="AS189" s="72" t="s">
        <v>952</v>
      </c>
      <c r="AT189" s="82"/>
      <c r="AU189" s="83"/>
      <c r="BW189" s="72" t="s">
        <v>952</v>
      </c>
      <c r="BX189" s="82"/>
      <c r="BY189" s="83"/>
      <c r="DB189" s="72">
        <v>188</v>
      </c>
    </row>
    <row r="190" spans="1:106" x14ac:dyDescent="0.2">
      <c r="A190" s="79" t="s">
        <v>953</v>
      </c>
      <c r="B190" s="80" t="s">
        <v>954</v>
      </c>
      <c r="C190" s="79" t="s">
        <v>955</v>
      </c>
      <c r="L190" s="72" t="s">
        <v>956</v>
      </c>
      <c r="M190" s="82"/>
      <c r="N190" s="83"/>
      <c r="AS190" s="72" t="s">
        <v>956</v>
      </c>
      <c r="AT190" s="82"/>
      <c r="AU190" s="83"/>
      <c r="BW190" s="72" t="s">
        <v>956</v>
      </c>
      <c r="BX190" s="82"/>
      <c r="BY190" s="83"/>
      <c r="DB190" s="72">
        <v>189</v>
      </c>
    </row>
    <row r="191" spans="1:106" x14ac:dyDescent="0.2">
      <c r="A191" s="79" t="s">
        <v>957</v>
      </c>
      <c r="B191" s="80" t="s">
        <v>958</v>
      </c>
      <c r="C191" s="79" t="s">
        <v>959</v>
      </c>
      <c r="L191" s="72" t="s">
        <v>960</v>
      </c>
      <c r="M191" s="82"/>
      <c r="N191" s="83"/>
      <c r="AS191" s="72" t="s">
        <v>960</v>
      </c>
      <c r="AT191" s="82"/>
      <c r="AU191" s="83"/>
      <c r="BW191" s="72" t="s">
        <v>960</v>
      </c>
      <c r="BX191" s="82"/>
      <c r="BY191" s="83"/>
      <c r="DB191" s="72">
        <v>190</v>
      </c>
    </row>
    <row r="192" spans="1:106" x14ac:dyDescent="0.2">
      <c r="A192" s="79" t="s">
        <v>961</v>
      </c>
      <c r="B192" s="80" t="s">
        <v>962</v>
      </c>
      <c r="C192" s="79" t="s">
        <v>963</v>
      </c>
      <c r="L192" s="72" t="s">
        <v>964</v>
      </c>
      <c r="M192" s="82"/>
      <c r="N192" s="83"/>
      <c r="AS192" s="72" t="s">
        <v>964</v>
      </c>
      <c r="AT192" s="82"/>
      <c r="AU192" s="83"/>
      <c r="BW192" s="72" t="s">
        <v>964</v>
      </c>
      <c r="BX192" s="82"/>
      <c r="BY192" s="83"/>
      <c r="DB192" s="72">
        <v>191</v>
      </c>
    </row>
    <row r="193" spans="1:106" x14ac:dyDescent="0.2">
      <c r="A193" s="79" t="s">
        <v>965</v>
      </c>
      <c r="B193" s="80" t="s">
        <v>966</v>
      </c>
      <c r="C193" s="79" t="s">
        <v>967</v>
      </c>
      <c r="L193" s="72" t="s">
        <v>964</v>
      </c>
      <c r="M193" s="82"/>
      <c r="N193" s="83"/>
      <c r="AS193" s="72" t="s">
        <v>964</v>
      </c>
      <c r="AT193" s="82"/>
      <c r="AU193" s="83"/>
      <c r="BW193" s="72" t="s">
        <v>964</v>
      </c>
      <c r="BX193" s="82"/>
      <c r="BY193" s="83"/>
      <c r="DB193" s="72">
        <v>192</v>
      </c>
    </row>
    <row r="194" spans="1:106" x14ac:dyDescent="0.2">
      <c r="A194" s="79" t="s">
        <v>968</v>
      </c>
      <c r="B194" s="80" t="s">
        <v>969</v>
      </c>
      <c r="C194" s="79" t="s">
        <v>970</v>
      </c>
      <c r="L194" s="72" t="s">
        <v>971</v>
      </c>
      <c r="M194" s="82"/>
      <c r="N194" s="83"/>
      <c r="AS194" s="72" t="s">
        <v>971</v>
      </c>
      <c r="AT194" s="82"/>
      <c r="AU194" s="83"/>
      <c r="BW194" s="72" t="s">
        <v>971</v>
      </c>
      <c r="BX194" s="82"/>
      <c r="BY194" s="83"/>
      <c r="DB194" s="72">
        <v>193</v>
      </c>
    </row>
    <row r="195" spans="1:106" x14ac:dyDescent="0.2">
      <c r="A195" s="79" t="s">
        <v>972</v>
      </c>
      <c r="B195" s="80" t="s">
        <v>973</v>
      </c>
      <c r="C195" s="79" t="s">
        <v>974</v>
      </c>
      <c r="L195" s="72" t="s">
        <v>975</v>
      </c>
      <c r="M195" s="82"/>
      <c r="N195" s="83"/>
      <c r="AS195" s="72" t="s">
        <v>975</v>
      </c>
      <c r="AT195" s="82"/>
      <c r="AU195" s="83"/>
      <c r="BW195" s="72" t="s">
        <v>975</v>
      </c>
      <c r="BX195" s="82"/>
      <c r="BY195" s="83"/>
      <c r="DB195" s="72">
        <v>194</v>
      </c>
    </row>
    <row r="196" spans="1:106" x14ac:dyDescent="0.2">
      <c r="A196" s="79" t="s">
        <v>976</v>
      </c>
      <c r="B196" s="80" t="s">
        <v>977</v>
      </c>
      <c r="C196" s="79" t="s">
        <v>978</v>
      </c>
      <c r="L196" s="72" t="s">
        <v>975</v>
      </c>
      <c r="M196" s="82"/>
      <c r="N196" s="83"/>
      <c r="AS196" s="72" t="s">
        <v>975</v>
      </c>
      <c r="AT196" s="82"/>
      <c r="AU196" s="83"/>
      <c r="BW196" s="72" t="s">
        <v>975</v>
      </c>
      <c r="BX196" s="82"/>
      <c r="BY196" s="83"/>
      <c r="DB196" s="72">
        <v>195</v>
      </c>
    </row>
    <row r="197" spans="1:106" x14ac:dyDescent="0.2">
      <c r="A197" s="79" t="s">
        <v>979</v>
      </c>
      <c r="B197" s="80" t="s">
        <v>980</v>
      </c>
      <c r="C197" s="79" t="s">
        <v>981</v>
      </c>
      <c r="L197" s="72" t="s">
        <v>982</v>
      </c>
      <c r="M197" s="82"/>
      <c r="N197" s="83"/>
      <c r="AS197" s="72" t="s">
        <v>982</v>
      </c>
      <c r="AT197" s="82"/>
      <c r="AU197" s="83"/>
      <c r="BW197" s="72" t="s">
        <v>982</v>
      </c>
      <c r="BX197" s="82"/>
      <c r="BY197" s="83"/>
      <c r="DB197" s="72">
        <v>196</v>
      </c>
    </row>
    <row r="198" spans="1:106" x14ac:dyDescent="0.2">
      <c r="A198" s="79" t="s">
        <v>983</v>
      </c>
      <c r="B198" s="80" t="s">
        <v>984</v>
      </c>
      <c r="C198" s="79" t="s">
        <v>985</v>
      </c>
      <c r="L198" s="72" t="s">
        <v>986</v>
      </c>
      <c r="M198" s="82"/>
      <c r="N198" s="83"/>
      <c r="AS198" s="72" t="s">
        <v>986</v>
      </c>
      <c r="AT198" s="82"/>
      <c r="AU198" s="83"/>
      <c r="BW198" s="72" t="s">
        <v>986</v>
      </c>
      <c r="BX198" s="82"/>
      <c r="BY198" s="83"/>
      <c r="DB198" s="72">
        <v>197</v>
      </c>
    </row>
    <row r="199" spans="1:106" x14ac:dyDescent="0.2">
      <c r="A199" s="79" t="s">
        <v>987</v>
      </c>
      <c r="B199" s="80" t="s">
        <v>988</v>
      </c>
      <c r="C199" s="79" t="s">
        <v>989</v>
      </c>
      <c r="L199" s="72" t="s">
        <v>990</v>
      </c>
      <c r="M199" s="82"/>
      <c r="N199" s="83"/>
      <c r="AS199" s="72" t="s">
        <v>990</v>
      </c>
      <c r="AT199" s="82"/>
      <c r="AU199" s="83"/>
      <c r="BW199" s="72" t="s">
        <v>990</v>
      </c>
      <c r="BX199" s="82"/>
      <c r="BY199" s="83"/>
      <c r="DB199" s="72">
        <v>198</v>
      </c>
    </row>
    <row r="200" spans="1:106" x14ac:dyDescent="0.2">
      <c r="A200" s="79" t="s">
        <v>991</v>
      </c>
      <c r="B200" s="80" t="s">
        <v>992</v>
      </c>
      <c r="C200" s="79" t="s">
        <v>993</v>
      </c>
      <c r="L200" s="72" t="s">
        <v>994</v>
      </c>
      <c r="M200" s="82"/>
      <c r="N200" s="83"/>
      <c r="AS200" s="72" t="s">
        <v>994</v>
      </c>
      <c r="AT200" s="82"/>
      <c r="AU200" s="83"/>
      <c r="BW200" s="72" t="s">
        <v>994</v>
      </c>
      <c r="BX200" s="82"/>
      <c r="BY200" s="83"/>
      <c r="DB200" s="72">
        <v>199</v>
      </c>
    </row>
    <row r="201" spans="1:106" x14ac:dyDescent="0.2">
      <c r="A201" s="79" t="s">
        <v>995</v>
      </c>
      <c r="B201" s="80" t="s">
        <v>996</v>
      </c>
      <c r="C201" s="79" t="s">
        <v>997</v>
      </c>
      <c r="L201" s="72" t="s">
        <v>998</v>
      </c>
      <c r="M201" s="82"/>
      <c r="N201" s="83"/>
      <c r="AS201" s="72" t="s">
        <v>998</v>
      </c>
      <c r="AT201" s="82"/>
      <c r="AU201" s="83"/>
      <c r="BW201" s="72" t="s">
        <v>998</v>
      </c>
      <c r="BX201" s="82"/>
      <c r="BY201" s="83"/>
      <c r="DB201" s="72">
        <v>200</v>
      </c>
    </row>
    <row r="202" spans="1:106" x14ac:dyDescent="0.2">
      <c r="A202" s="79" t="s">
        <v>999</v>
      </c>
      <c r="B202" s="80" t="s">
        <v>1000</v>
      </c>
      <c r="C202" s="79" t="s">
        <v>1001</v>
      </c>
      <c r="L202" s="72" t="s">
        <v>1002</v>
      </c>
      <c r="M202" s="82"/>
      <c r="N202" s="83"/>
      <c r="AS202" s="72" t="s">
        <v>1002</v>
      </c>
      <c r="AT202" s="82"/>
      <c r="AU202" s="83"/>
      <c r="BW202" s="72" t="s">
        <v>1002</v>
      </c>
      <c r="BX202" s="82"/>
      <c r="BY202" s="83"/>
      <c r="DB202" s="72">
        <v>201</v>
      </c>
    </row>
    <row r="203" spans="1:106" x14ac:dyDescent="0.2">
      <c r="A203" s="79" t="s">
        <v>1003</v>
      </c>
      <c r="B203" s="80" t="s">
        <v>1004</v>
      </c>
      <c r="C203" s="79" t="s">
        <v>1005</v>
      </c>
      <c r="L203" s="72" t="s">
        <v>1006</v>
      </c>
      <c r="M203" s="82"/>
      <c r="N203" s="83"/>
      <c r="AS203" s="72" t="s">
        <v>1006</v>
      </c>
      <c r="AT203" s="82"/>
      <c r="AU203" s="83"/>
      <c r="BW203" s="72" t="s">
        <v>1006</v>
      </c>
      <c r="BX203" s="82"/>
      <c r="BY203" s="83"/>
      <c r="DB203" s="72">
        <v>202</v>
      </c>
    </row>
    <row r="204" spans="1:106" x14ac:dyDescent="0.2">
      <c r="A204" s="79" t="s">
        <v>1007</v>
      </c>
      <c r="B204" s="80" t="s">
        <v>1008</v>
      </c>
      <c r="C204" s="79" t="s">
        <v>1009</v>
      </c>
      <c r="L204" s="72" t="s">
        <v>1010</v>
      </c>
      <c r="M204" s="82"/>
      <c r="N204" s="83"/>
      <c r="AS204" s="72" t="s">
        <v>1010</v>
      </c>
      <c r="AT204" s="82"/>
      <c r="AU204" s="83"/>
      <c r="BW204" s="72" t="s">
        <v>1010</v>
      </c>
      <c r="BX204" s="82"/>
      <c r="BY204" s="83"/>
      <c r="DB204" s="72">
        <v>203</v>
      </c>
    </row>
    <row r="205" spans="1:106" x14ac:dyDescent="0.2">
      <c r="A205" s="79" t="s">
        <v>1011</v>
      </c>
      <c r="B205" s="80" t="s">
        <v>1012</v>
      </c>
      <c r="C205" s="79" t="s">
        <v>1013</v>
      </c>
      <c r="L205" s="72" t="s">
        <v>1014</v>
      </c>
      <c r="M205" s="82"/>
      <c r="N205" s="83"/>
      <c r="AS205" s="72" t="s">
        <v>1014</v>
      </c>
      <c r="AT205" s="82"/>
      <c r="AU205" s="83"/>
      <c r="BW205" s="72" t="s">
        <v>1014</v>
      </c>
      <c r="BX205" s="82"/>
      <c r="BY205" s="83"/>
      <c r="DB205" s="72">
        <v>204</v>
      </c>
    </row>
    <row r="206" spans="1:106" x14ac:dyDescent="0.2">
      <c r="A206" s="79" t="s">
        <v>1015</v>
      </c>
      <c r="B206" s="80" t="s">
        <v>1016</v>
      </c>
      <c r="C206" s="79" t="s">
        <v>1017</v>
      </c>
      <c r="L206" s="72" t="s">
        <v>1018</v>
      </c>
      <c r="M206" s="82"/>
      <c r="N206" s="83"/>
      <c r="AS206" s="72" t="s">
        <v>1018</v>
      </c>
      <c r="AT206" s="82"/>
      <c r="AU206" s="83"/>
      <c r="BW206" s="72" t="s">
        <v>1018</v>
      </c>
      <c r="BX206" s="82"/>
      <c r="BY206" s="83"/>
      <c r="DB206" s="72">
        <v>205</v>
      </c>
    </row>
    <row r="207" spans="1:106" x14ac:dyDescent="0.2">
      <c r="A207" s="79" t="s">
        <v>1019</v>
      </c>
      <c r="B207" s="80" t="s">
        <v>1020</v>
      </c>
      <c r="C207" s="79" t="s">
        <v>1021</v>
      </c>
      <c r="L207" s="72" t="s">
        <v>64</v>
      </c>
      <c r="M207" s="82"/>
      <c r="N207" s="83"/>
      <c r="AS207" s="72" t="s">
        <v>64</v>
      </c>
      <c r="AT207" s="82"/>
      <c r="AU207" s="83"/>
      <c r="BW207" s="72" t="s">
        <v>64</v>
      </c>
      <c r="BX207" s="82"/>
      <c r="BY207" s="83"/>
      <c r="DB207" s="72">
        <v>206</v>
      </c>
    </row>
    <row r="208" spans="1:106" x14ac:dyDescent="0.2">
      <c r="A208" s="79" t="s">
        <v>1022</v>
      </c>
      <c r="B208" s="80" t="s">
        <v>1023</v>
      </c>
      <c r="C208" s="79" t="s">
        <v>1024</v>
      </c>
      <c r="L208" s="72" t="s">
        <v>1025</v>
      </c>
      <c r="M208" s="82"/>
      <c r="N208" s="83"/>
      <c r="AS208" s="72" t="s">
        <v>1025</v>
      </c>
      <c r="AT208" s="82"/>
      <c r="AU208" s="83"/>
      <c r="BW208" s="72" t="s">
        <v>1025</v>
      </c>
      <c r="BX208" s="82"/>
      <c r="BY208" s="83"/>
      <c r="DB208" s="72">
        <v>207</v>
      </c>
    </row>
    <row r="209" spans="1:106" x14ac:dyDescent="0.2">
      <c r="A209" s="79" t="s">
        <v>1026</v>
      </c>
      <c r="B209" s="80" t="s">
        <v>1027</v>
      </c>
      <c r="C209" s="79" t="s">
        <v>1028</v>
      </c>
      <c r="L209" s="72" t="s">
        <v>1029</v>
      </c>
      <c r="M209" s="82"/>
      <c r="N209" s="83"/>
      <c r="AS209" s="72" t="s">
        <v>1029</v>
      </c>
      <c r="AT209" s="82"/>
      <c r="AU209" s="83"/>
      <c r="BW209" s="72" t="s">
        <v>1029</v>
      </c>
      <c r="BX209" s="82"/>
      <c r="BY209" s="83"/>
      <c r="DB209" s="72">
        <v>208</v>
      </c>
    </row>
    <row r="210" spans="1:106" x14ac:dyDescent="0.2">
      <c r="A210" s="79" t="s">
        <v>1030</v>
      </c>
      <c r="B210" s="80" t="s">
        <v>1031</v>
      </c>
      <c r="C210" s="79" t="s">
        <v>1032</v>
      </c>
      <c r="L210" s="72" t="s">
        <v>1033</v>
      </c>
      <c r="M210" s="82"/>
      <c r="N210" s="83"/>
      <c r="AS210" s="72" t="s">
        <v>1033</v>
      </c>
      <c r="AT210" s="82"/>
      <c r="AU210" s="83"/>
      <c r="BW210" s="72" t="s">
        <v>1033</v>
      </c>
      <c r="BX210" s="82"/>
      <c r="BY210" s="83"/>
      <c r="DB210" s="72">
        <v>209</v>
      </c>
    </row>
    <row r="211" spans="1:106" x14ac:dyDescent="0.2">
      <c r="A211" s="79" t="s">
        <v>1034</v>
      </c>
      <c r="B211" s="80" t="s">
        <v>1035</v>
      </c>
      <c r="C211" s="79" t="s">
        <v>1036</v>
      </c>
      <c r="L211" s="72" t="s">
        <v>1037</v>
      </c>
      <c r="M211" s="82"/>
      <c r="N211" s="83"/>
      <c r="AS211" s="72" t="s">
        <v>1037</v>
      </c>
      <c r="AT211" s="82"/>
      <c r="AU211" s="83"/>
      <c r="BW211" s="72" t="s">
        <v>1037</v>
      </c>
      <c r="BX211" s="82"/>
      <c r="BY211" s="83"/>
      <c r="DB211" s="72">
        <v>210</v>
      </c>
    </row>
    <row r="212" spans="1:106" x14ac:dyDescent="0.2">
      <c r="A212" s="79" t="s">
        <v>1038</v>
      </c>
      <c r="B212" s="80" t="s">
        <v>1039</v>
      </c>
      <c r="C212" s="79" t="s">
        <v>1040</v>
      </c>
      <c r="L212" s="72" t="s">
        <v>1041</v>
      </c>
      <c r="M212" s="82"/>
      <c r="N212" s="83"/>
      <c r="AS212" s="72" t="s">
        <v>1041</v>
      </c>
      <c r="AT212" s="82"/>
      <c r="AU212" s="83"/>
      <c r="BW212" s="72" t="s">
        <v>1041</v>
      </c>
      <c r="BX212" s="82"/>
      <c r="BY212" s="83"/>
      <c r="DB212" s="72">
        <v>211</v>
      </c>
    </row>
    <row r="213" spans="1:106" x14ac:dyDescent="0.2">
      <c r="A213" s="79" t="s">
        <v>1042</v>
      </c>
      <c r="B213" s="80" t="s">
        <v>1043</v>
      </c>
      <c r="C213" s="79" t="s">
        <v>1044</v>
      </c>
      <c r="L213" s="72" t="s">
        <v>1045</v>
      </c>
      <c r="M213" s="82"/>
      <c r="N213" s="83"/>
      <c r="AS213" s="72" t="s">
        <v>1045</v>
      </c>
      <c r="AT213" s="82"/>
      <c r="AU213" s="83"/>
      <c r="BW213" s="72" t="s">
        <v>1045</v>
      </c>
      <c r="BX213" s="82"/>
      <c r="BY213" s="83"/>
      <c r="DB213" s="72">
        <v>212</v>
      </c>
    </row>
    <row r="214" spans="1:106" x14ac:dyDescent="0.2">
      <c r="A214" s="79" t="s">
        <v>1046</v>
      </c>
      <c r="B214" s="80" t="s">
        <v>1047</v>
      </c>
      <c r="C214" s="79" t="s">
        <v>1048</v>
      </c>
      <c r="L214" s="72" t="s">
        <v>1049</v>
      </c>
      <c r="M214" s="82"/>
      <c r="N214" s="83"/>
      <c r="AS214" s="72" t="s">
        <v>1049</v>
      </c>
      <c r="AT214" s="82"/>
      <c r="AU214" s="83"/>
      <c r="BW214" s="72" t="s">
        <v>1049</v>
      </c>
      <c r="BX214" s="82"/>
      <c r="BY214" s="83"/>
      <c r="DB214" s="72">
        <v>213</v>
      </c>
    </row>
    <row r="215" spans="1:106" x14ac:dyDescent="0.2">
      <c r="A215" s="79" t="s">
        <v>1050</v>
      </c>
      <c r="B215" s="80" t="s">
        <v>1051</v>
      </c>
      <c r="C215" s="79" t="s">
        <v>1052</v>
      </c>
      <c r="L215" s="81" t="s">
        <v>65</v>
      </c>
      <c r="M215" s="82"/>
      <c r="N215" s="83"/>
      <c r="AS215" s="81" t="s">
        <v>65</v>
      </c>
      <c r="AT215" s="82"/>
      <c r="AU215" s="83"/>
      <c r="BW215" s="81" t="s">
        <v>65</v>
      </c>
      <c r="BX215" s="82"/>
      <c r="BY215" s="83"/>
      <c r="DB215" s="72">
        <v>214</v>
      </c>
    </row>
    <row r="216" spans="1:106" x14ac:dyDescent="0.2">
      <c r="A216" s="79" t="s">
        <v>1053</v>
      </c>
      <c r="B216" s="80" t="s">
        <v>1054</v>
      </c>
      <c r="C216" s="79" t="s">
        <v>1055</v>
      </c>
      <c r="L216" s="72" t="s">
        <v>65</v>
      </c>
      <c r="M216" s="82"/>
      <c r="N216" s="83"/>
      <c r="AS216" s="72" t="s">
        <v>65</v>
      </c>
      <c r="AT216" s="82"/>
      <c r="AU216" s="83"/>
      <c r="BW216" s="72" t="s">
        <v>65</v>
      </c>
      <c r="BX216" s="82"/>
      <c r="BY216" s="83"/>
      <c r="DB216" s="72">
        <v>215</v>
      </c>
    </row>
    <row r="217" spans="1:106" x14ac:dyDescent="0.2">
      <c r="A217" s="79" t="s">
        <v>1056</v>
      </c>
      <c r="B217" s="80" t="s">
        <v>1057</v>
      </c>
      <c r="C217" s="79"/>
      <c r="L217" s="72" t="s">
        <v>1058</v>
      </c>
      <c r="M217" s="82"/>
      <c r="N217" s="83"/>
      <c r="AS217" s="72" t="s">
        <v>1058</v>
      </c>
      <c r="AT217" s="82"/>
      <c r="AU217" s="83"/>
      <c r="BW217" s="72" t="s">
        <v>1058</v>
      </c>
      <c r="BX217" s="82"/>
      <c r="BY217" s="83"/>
      <c r="DB217" s="72">
        <v>216</v>
      </c>
    </row>
    <row r="218" spans="1:106" x14ac:dyDescent="0.2">
      <c r="A218" s="79" t="s">
        <v>1059</v>
      </c>
      <c r="B218" s="80" t="s">
        <v>1060</v>
      </c>
      <c r="C218" s="79" t="s">
        <v>1061</v>
      </c>
      <c r="L218" s="72" t="s">
        <v>1062</v>
      </c>
      <c r="M218" s="82"/>
      <c r="N218" s="83"/>
      <c r="AS218" s="72" t="s">
        <v>1062</v>
      </c>
      <c r="AT218" s="82"/>
      <c r="AU218" s="83"/>
      <c r="BW218" s="72" t="s">
        <v>1062</v>
      </c>
      <c r="BX218" s="82"/>
      <c r="BY218" s="83"/>
      <c r="DB218" s="72">
        <v>217</v>
      </c>
    </row>
    <row r="219" spans="1:106" x14ac:dyDescent="0.2">
      <c r="A219" s="79" t="s">
        <v>1063</v>
      </c>
      <c r="B219" s="80" t="s">
        <v>1064</v>
      </c>
      <c r="C219" s="79" t="s">
        <v>1065</v>
      </c>
      <c r="L219" s="72" t="s">
        <v>1066</v>
      </c>
      <c r="M219" s="82"/>
      <c r="N219" s="83"/>
      <c r="AS219" s="72" t="s">
        <v>1066</v>
      </c>
      <c r="AT219" s="82"/>
      <c r="AU219" s="83"/>
      <c r="BW219" s="72" t="s">
        <v>1066</v>
      </c>
      <c r="BX219" s="82"/>
      <c r="BY219" s="83"/>
      <c r="DB219" s="72">
        <v>218</v>
      </c>
    </row>
    <row r="220" spans="1:106" x14ac:dyDescent="0.2">
      <c r="A220" s="79" t="s">
        <v>1067</v>
      </c>
      <c r="B220" s="80" t="s">
        <v>1068</v>
      </c>
      <c r="C220" s="79" t="s">
        <v>1069</v>
      </c>
      <c r="L220" s="72" t="s">
        <v>1070</v>
      </c>
      <c r="M220" s="82"/>
      <c r="N220" s="83"/>
      <c r="AS220" s="72" t="s">
        <v>1070</v>
      </c>
      <c r="AT220" s="82"/>
      <c r="AU220" s="83"/>
      <c r="BW220" s="72" t="s">
        <v>1070</v>
      </c>
      <c r="BX220" s="82"/>
      <c r="BY220" s="83"/>
      <c r="DB220" s="72">
        <v>219</v>
      </c>
    </row>
    <row r="221" spans="1:106" x14ac:dyDescent="0.2">
      <c r="A221" s="79" t="s">
        <v>1071</v>
      </c>
      <c r="B221" s="80" t="s">
        <v>1072</v>
      </c>
      <c r="C221" s="79" t="s">
        <v>1073</v>
      </c>
      <c r="L221" s="72" t="s">
        <v>1074</v>
      </c>
      <c r="M221" s="82"/>
      <c r="N221" s="83"/>
      <c r="AS221" s="72" t="s">
        <v>1074</v>
      </c>
      <c r="AT221" s="82"/>
      <c r="AU221" s="83"/>
      <c r="BW221" s="72" t="s">
        <v>1074</v>
      </c>
      <c r="BX221" s="82"/>
      <c r="BY221" s="83"/>
      <c r="DB221" s="72">
        <v>220</v>
      </c>
    </row>
    <row r="222" spans="1:106" x14ac:dyDescent="0.2">
      <c r="A222" s="79" t="s">
        <v>1075</v>
      </c>
      <c r="B222" s="80" t="s">
        <v>1076</v>
      </c>
      <c r="C222" s="79" t="s">
        <v>1077</v>
      </c>
      <c r="L222" s="72" t="s">
        <v>1078</v>
      </c>
      <c r="M222" s="82"/>
      <c r="N222" s="83"/>
      <c r="AS222" s="72" t="s">
        <v>1078</v>
      </c>
      <c r="AT222" s="82"/>
      <c r="AU222" s="83"/>
      <c r="BW222" s="72" t="s">
        <v>1078</v>
      </c>
      <c r="BX222" s="82"/>
      <c r="BY222" s="83"/>
      <c r="DB222" s="72">
        <v>221</v>
      </c>
    </row>
    <row r="223" spans="1:106" x14ac:dyDescent="0.2">
      <c r="A223" s="79" t="s">
        <v>1079</v>
      </c>
      <c r="B223" s="80" t="s">
        <v>1080</v>
      </c>
      <c r="C223" s="79" t="s">
        <v>1081</v>
      </c>
      <c r="L223" s="72" t="s">
        <v>1082</v>
      </c>
      <c r="M223" s="82"/>
      <c r="N223" s="83"/>
      <c r="AS223" s="72" t="s">
        <v>1082</v>
      </c>
      <c r="AT223" s="82"/>
      <c r="AU223" s="83"/>
      <c r="BW223" s="72" t="s">
        <v>1082</v>
      </c>
      <c r="BX223" s="82"/>
      <c r="BY223" s="83"/>
      <c r="DB223" s="72">
        <v>222</v>
      </c>
    </row>
    <row r="224" spans="1:106" x14ac:dyDescent="0.2">
      <c r="A224" s="79" t="s">
        <v>1083</v>
      </c>
      <c r="B224" s="80" t="s">
        <v>1084</v>
      </c>
      <c r="C224" s="79" t="s">
        <v>1085</v>
      </c>
      <c r="L224" s="72" t="s">
        <v>1086</v>
      </c>
      <c r="M224" s="82"/>
      <c r="N224" s="83"/>
      <c r="AS224" s="72" t="s">
        <v>1086</v>
      </c>
      <c r="AT224" s="82"/>
      <c r="AU224" s="83"/>
      <c r="BW224" s="72" t="s">
        <v>1086</v>
      </c>
      <c r="BX224" s="82"/>
      <c r="BY224" s="83"/>
      <c r="DB224" s="72">
        <v>223</v>
      </c>
    </row>
    <row r="225" spans="1:106" x14ac:dyDescent="0.2">
      <c r="A225" s="79" t="s">
        <v>1087</v>
      </c>
      <c r="B225" s="80" t="s">
        <v>1088</v>
      </c>
      <c r="C225" s="79" t="s">
        <v>1089</v>
      </c>
      <c r="L225" s="72" t="s">
        <v>1090</v>
      </c>
      <c r="M225" s="82"/>
      <c r="N225" s="83"/>
      <c r="AS225" s="72" t="s">
        <v>1090</v>
      </c>
      <c r="AT225" s="82"/>
      <c r="AU225" s="83"/>
      <c r="BW225" s="72" t="s">
        <v>1090</v>
      </c>
      <c r="BX225" s="82"/>
      <c r="BY225" s="83"/>
      <c r="DB225" s="72">
        <v>224</v>
      </c>
    </row>
    <row r="226" spans="1:106" x14ac:dyDescent="0.2">
      <c r="A226" s="79" t="s">
        <v>1091</v>
      </c>
      <c r="B226" s="80" t="s">
        <v>1092</v>
      </c>
      <c r="C226" s="79" t="s">
        <v>1093</v>
      </c>
      <c r="L226" s="72" t="s">
        <v>1094</v>
      </c>
      <c r="M226" s="82"/>
      <c r="N226" s="83"/>
      <c r="AS226" s="72" t="s">
        <v>1094</v>
      </c>
      <c r="AT226" s="82"/>
      <c r="AU226" s="83"/>
      <c r="BW226" s="72" t="s">
        <v>1094</v>
      </c>
      <c r="BX226" s="82"/>
      <c r="BY226" s="83"/>
      <c r="DB226" s="72">
        <v>225</v>
      </c>
    </row>
    <row r="227" spans="1:106" x14ac:dyDescent="0.2">
      <c r="A227" s="79" t="s">
        <v>1095</v>
      </c>
      <c r="B227" s="80" t="s">
        <v>1096</v>
      </c>
      <c r="C227" s="79" t="s">
        <v>1097</v>
      </c>
      <c r="L227" s="72" t="s">
        <v>1098</v>
      </c>
      <c r="M227" s="82"/>
      <c r="N227" s="83"/>
      <c r="AS227" s="72" t="s">
        <v>1098</v>
      </c>
      <c r="AT227" s="82"/>
      <c r="AU227" s="83"/>
      <c r="BW227" s="72" t="s">
        <v>1098</v>
      </c>
      <c r="BX227" s="82"/>
      <c r="BY227" s="83"/>
      <c r="DB227" s="72">
        <v>226</v>
      </c>
    </row>
    <row r="228" spans="1:106" x14ac:dyDescent="0.2">
      <c r="A228" s="79" t="s">
        <v>1099</v>
      </c>
      <c r="B228" s="80" t="s">
        <v>1100</v>
      </c>
      <c r="C228" s="79" t="s">
        <v>1101</v>
      </c>
      <c r="L228" s="72" t="s">
        <v>1102</v>
      </c>
      <c r="M228" s="82"/>
      <c r="N228" s="83"/>
      <c r="AS228" s="72" t="s">
        <v>1102</v>
      </c>
      <c r="AT228" s="82"/>
      <c r="AU228" s="83"/>
      <c r="BW228" s="72" t="s">
        <v>1102</v>
      </c>
      <c r="BX228" s="82"/>
      <c r="BY228" s="83"/>
      <c r="DB228" s="72">
        <v>227</v>
      </c>
    </row>
    <row r="229" spans="1:106" x14ac:dyDescent="0.2">
      <c r="A229" s="79" t="s">
        <v>1103</v>
      </c>
      <c r="B229" s="80" t="s">
        <v>1104</v>
      </c>
      <c r="C229" s="79" t="s">
        <v>1105</v>
      </c>
      <c r="L229" s="81" t="s">
        <v>1106</v>
      </c>
      <c r="M229" s="82"/>
      <c r="N229" s="83"/>
      <c r="AS229" s="81" t="s">
        <v>1106</v>
      </c>
      <c r="AT229" s="82"/>
      <c r="AU229" s="83"/>
      <c r="BW229" s="81" t="s">
        <v>1106</v>
      </c>
      <c r="BX229" s="82"/>
      <c r="BY229" s="83"/>
      <c r="DB229" s="72">
        <v>228</v>
      </c>
    </row>
    <row r="230" spans="1:106" x14ac:dyDescent="0.2">
      <c r="A230" s="79" t="s">
        <v>1107</v>
      </c>
      <c r="B230" s="80" t="s">
        <v>1108</v>
      </c>
      <c r="C230" s="79" t="s">
        <v>1109</v>
      </c>
      <c r="L230" s="72" t="s">
        <v>1110</v>
      </c>
      <c r="M230" s="82"/>
      <c r="N230" s="83"/>
      <c r="AS230" s="72" t="s">
        <v>1110</v>
      </c>
      <c r="AT230" s="82"/>
      <c r="AU230" s="83"/>
      <c r="BW230" s="72" t="s">
        <v>1110</v>
      </c>
      <c r="BX230" s="82"/>
      <c r="BY230" s="83"/>
      <c r="DB230" s="72">
        <v>229</v>
      </c>
    </row>
    <row r="231" spans="1:106" x14ac:dyDescent="0.2">
      <c r="A231" s="79" t="s">
        <v>1111</v>
      </c>
      <c r="B231" s="80" t="s">
        <v>1112</v>
      </c>
      <c r="C231" s="79" t="s">
        <v>1113</v>
      </c>
      <c r="L231" s="72" t="s">
        <v>1114</v>
      </c>
      <c r="M231" s="82"/>
      <c r="N231" s="83"/>
      <c r="AS231" s="72" t="s">
        <v>1114</v>
      </c>
      <c r="AT231" s="82"/>
      <c r="AU231" s="83"/>
      <c r="BW231" s="72" t="s">
        <v>1114</v>
      </c>
      <c r="BX231" s="82"/>
      <c r="BY231" s="83"/>
      <c r="DB231" s="72">
        <v>230</v>
      </c>
    </row>
    <row r="232" spans="1:106" x14ac:dyDescent="0.2">
      <c r="A232" s="79" t="s">
        <v>1115</v>
      </c>
      <c r="B232" s="80" t="s">
        <v>1116</v>
      </c>
      <c r="C232" s="79" t="s">
        <v>1117</v>
      </c>
      <c r="L232" s="72" t="s">
        <v>62</v>
      </c>
      <c r="M232" s="82"/>
      <c r="N232" s="83"/>
      <c r="AS232" s="72" t="s">
        <v>62</v>
      </c>
      <c r="AT232" s="82"/>
      <c r="AU232" s="83"/>
      <c r="BW232" s="72" t="s">
        <v>62</v>
      </c>
      <c r="BX232" s="82"/>
      <c r="BY232" s="83"/>
      <c r="DB232" s="72">
        <v>231</v>
      </c>
    </row>
    <row r="233" spans="1:106" x14ac:dyDescent="0.2">
      <c r="A233" s="79" t="s">
        <v>1118</v>
      </c>
      <c r="B233" s="80" t="s">
        <v>1119</v>
      </c>
      <c r="C233" s="79" t="s">
        <v>1120</v>
      </c>
      <c r="L233" s="72" t="s">
        <v>1121</v>
      </c>
      <c r="M233" s="82"/>
      <c r="N233" s="83"/>
      <c r="AS233" s="72" t="s">
        <v>1121</v>
      </c>
      <c r="AT233" s="82"/>
      <c r="AU233" s="83"/>
      <c r="BW233" s="72" t="s">
        <v>1121</v>
      </c>
      <c r="BX233" s="82"/>
      <c r="BY233" s="83"/>
      <c r="DB233" s="72">
        <v>232</v>
      </c>
    </row>
    <row r="234" spans="1:106" x14ac:dyDescent="0.2">
      <c r="A234" s="79" t="s">
        <v>1122</v>
      </c>
      <c r="B234" s="80" t="s">
        <v>1123</v>
      </c>
      <c r="C234" s="79" t="s">
        <v>1124</v>
      </c>
      <c r="L234" s="72" t="s">
        <v>1125</v>
      </c>
      <c r="M234" s="82"/>
      <c r="N234" s="83"/>
      <c r="AS234" s="72" t="s">
        <v>1125</v>
      </c>
      <c r="AT234" s="82"/>
      <c r="AU234" s="83"/>
      <c r="BW234" s="72" t="s">
        <v>1125</v>
      </c>
      <c r="BX234" s="82"/>
      <c r="BY234" s="83"/>
      <c r="DB234" s="72">
        <v>233</v>
      </c>
    </row>
    <row r="235" spans="1:106" x14ac:dyDescent="0.2">
      <c r="A235" s="79" t="s">
        <v>1126</v>
      </c>
      <c r="B235" s="80" t="s">
        <v>1127</v>
      </c>
      <c r="C235" s="79" t="s">
        <v>1128</v>
      </c>
      <c r="L235" s="72" t="s">
        <v>1129</v>
      </c>
      <c r="M235" s="82"/>
      <c r="N235" s="83"/>
      <c r="AS235" s="72" t="s">
        <v>1129</v>
      </c>
      <c r="AT235" s="82"/>
      <c r="AU235" s="83"/>
      <c r="BW235" s="72" t="s">
        <v>1129</v>
      </c>
      <c r="BX235" s="82"/>
      <c r="BY235" s="83"/>
      <c r="DB235" s="72">
        <v>234</v>
      </c>
    </row>
    <row r="236" spans="1:106" x14ac:dyDescent="0.2">
      <c r="A236" s="79" t="s">
        <v>1130</v>
      </c>
      <c r="B236" s="80" t="s">
        <v>1131</v>
      </c>
      <c r="C236" s="79" t="s">
        <v>1132</v>
      </c>
      <c r="L236" s="72" t="s">
        <v>1133</v>
      </c>
      <c r="M236" s="82"/>
      <c r="N236" s="83"/>
      <c r="AS236" s="72" t="s">
        <v>1133</v>
      </c>
      <c r="AT236" s="82"/>
      <c r="AU236" s="83"/>
      <c r="BW236" s="72" t="s">
        <v>1133</v>
      </c>
      <c r="BX236" s="82"/>
      <c r="BY236" s="83"/>
      <c r="DB236" s="72">
        <v>235</v>
      </c>
    </row>
    <row r="237" spans="1:106" x14ac:dyDescent="0.2">
      <c r="A237" s="79" t="s">
        <v>1134</v>
      </c>
      <c r="B237" s="80" t="s">
        <v>1135</v>
      </c>
      <c r="C237" s="79" t="s">
        <v>1136</v>
      </c>
      <c r="L237" s="72" t="s">
        <v>1137</v>
      </c>
      <c r="M237" s="82"/>
      <c r="N237" s="83"/>
      <c r="AS237" s="72" t="s">
        <v>1137</v>
      </c>
      <c r="AT237" s="82"/>
      <c r="AU237" s="83"/>
      <c r="BW237" s="72" t="s">
        <v>1137</v>
      </c>
      <c r="BX237" s="82"/>
      <c r="BY237" s="83"/>
      <c r="DB237" s="72">
        <v>236</v>
      </c>
    </row>
    <row r="238" spans="1:106" x14ac:dyDescent="0.2">
      <c r="A238" s="79" t="s">
        <v>1138</v>
      </c>
      <c r="B238" s="80" t="s">
        <v>1139</v>
      </c>
      <c r="C238" s="79" t="s">
        <v>1140</v>
      </c>
      <c r="L238" s="81" t="s">
        <v>1141</v>
      </c>
      <c r="M238" s="82"/>
      <c r="N238" s="83"/>
      <c r="AS238" s="81" t="s">
        <v>1141</v>
      </c>
      <c r="AT238" s="82"/>
      <c r="AU238" s="83"/>
      <c r="BW238" s="81" t="s">
        <v>1141</v>
      </c>
      <c r="BX238" s="82"/>
      <c r="BY238" s="83"/>
      <c r="DB238" s="72">
        <v>237</v>
      </c>
    </row>
    <row r="239" spans="1:106" x14ac:dyDescent="0.2">
      <c r="A239" s="79" t="s">
        <v>1142</v>
      </c>
      <c r="B239" s="80" t="s">
        <v>1143</v>
      </c>
      <c r="C239" s="79" t="s">
        <v>1144</v>
      </c>
      <c r="L239" s="81" t="s">
        <v>1145</v>
      </c>
      <c r="M239" s="82"/>
      <c r="N239" s="83"/>
      <c r="AS239" s="81" t="s">
        <v>1145</v>
      </c>
      <c r="AT239" s="82"/>
      <c r="AU239" s="83"/>
      <c r="BW239" s="81" t="s">
        <v>1145</v>
      </c>
      <c r="BX239" s="82"/>
      <c r="BY239" s="83"/>
      <c r="DB239" s="72">
        <v>238</v>
      </c>
    </row>
    <row r="240" spans="1:106" x14ac:dyDescent="0.2">
      <c r="A240" s="79" t="s">
        <v>1146</v>
      </c>
      <c r="B240" s="80" t="s">
        <v>1147</v>
      </c>
      <c r="C240" s="79" t="s">
        <v>1148</v>
      </c>
      <c r="L240" s="81" t="s">
        <v>1149</v>
      </c>
      <c r="M240" s="82"/>
      <c r="N240" s="83"/>
      <c r="AS240" s="81" t="s">
        <v>1149</v>
      </c>
      <c r="AT240" s="82"/>
      <c r="AU240" s="83"/>
      <c r="BW240" s="81" t="s">
        <v>1149</v>
      </c>
      <c r="BX240" s="82"/>
      <c r="BY240" s="83"/>
      <c r="DB240" s="72">
        <v>239</v>
      </c>
    </row>
    <row r="241" spans="1:106" x14ac:dyDescent="0.2">
      <c r="A241" s="79" t="s">
        <v>1150</v>
      </c>
      <c r="B241" s="80" t="s">
        <v>1151</v>
      </c>
      <c r="C241" s="79" t="s">
        <v>1152</v>
      </c>
      <c r="L241" s="81" t="s">
        <v>1153</v>
      </c>
      <c r="M241" s="82"/>
      <c r="N241" s="83"/>
      <c r="AS241" s="81" t="s">
        <v>1153</v>
      </c>
      <c r="AT241" s="82"/>
      <c r="AU241" s="83"/>
      <c r="BW241" s="81" t="s">
        <v>1153</v>
      </c>
      <c r="BX241" s="82"/>
      <c r="BY241" s="83"/>
      <c r="DB241" s="72">
        <v>240</v>
      </c>
    </row>
    <row r="242" spans="1:106" x14ac:dyDescent="0.2">
      <c r="A242" s="79" t="s">
        <v>1154</v>
      </c>
      <c r="B242" s="80" t="s">
        <v>1155</v>
      </c>
      <c r="C242" s="79" t="s">
        <v>1156</v>
      </c>
      <c r="L242" s="72" t="s">
        <v>1157</v>
      </c>
      <c r="M242" s="82"/>
      <c r="N242" s="83"/>
      <c r="AS242" s="72" t="s">
        <v>1157</v>
      </c>
      <c r="AT242" s="82"/>
      <c r="AU242" s="83"/>
      <c r="BW242" s="72" t="s">
        <v>1157</v>
      </c>
      <c r="BX242" s="82"/>
      <c r="BY242" s="83"/>
      <c r="DB242" s="72">
        <v>241</v>
      </c>
    </row>
    <row r="243" spans="1:106" x14ac:dyDescent="0.2">
      <c r="A243" s="79" t="s">
        <v>1158</v>
      </c>
      <c r="B243" s="80" t="s">
        <v>1159</v>
      </c>
      <c r="C243" s="79" t="s">
        <v>1160</v>
      </c>
      <c r="L243" s="81" t="s">
        <v>1161</v>
      </c>
      <c r="M243" s="82"/>
      <c r="N243" s="83"/>
      <c r="AS243" s="81" t="s">
        <v>1161</v>
      </c>
      <c r="AT243" s="82"/>
      <c r="AU243" s="83"/>
      <c r="BW243" s="81" t="s">
        <v>1161</v>
      </c>
      <c r="BX243" s="82"/>
      <c r="BY243" s="83"/>
      <c r="DB243" s="72">
        <v>242</v>
      </c>
    </row>
    <row r="244" spans="1:106" x14ac:dyDescent="0.2">
      <c r="A244" s="79" t="s">
        <v>1162</v>
      </c>
      <c r="B244" s="80" t="s">
        <v>1163</v>
      </c>
      <c r="C244" s="79" t="s">
        <v>1164</v>
      </c>
      <c r="L244" s="81" t="s">
        <v>1165</v>
      </c>
      <c r="M244" s="82"/>
      <c r="N244" s="83"/>
      <c r="AS244" s="81" t="s">
        <v>1165</v>
      </c>
      <c r="AT244" s="82"/>
      <c r="AU244" s="83"/>
      <c r="BW244" s="81" t="s">
        <v>1165</v>
      </c>
      <c r="BX244" s="82"/>
      <c r="BY244" s="83"/>
      <c r="DB244" s="72">
        <v>243</v>
      </c>
    </row>
    <row r="245" spans="1:106" x14ac:dyDescent="0.2">
      <c r="A245" s="79" t="s">
        <v>1166</v>
      </c>
      <c r="B245" s="80" t="s">
        <v>1167</v>
      </c>
      <c r="C245" s="79" t="s">
        <v>1168</v>
      </c>
      <c r="L245" s="81" t="s">
        <v>1169</v>
      </c>
      <c r="M245" s="82"/>
      <c r="N245" s="83"/>
      <c r="AS245" s="81" t="s">
        <v>1169</v>
      </c>
      <c r="AT245" s="82"/>
      <c r="AU245" s="83"/>
      <c r="BW245" s="81" t="s">
        <v>1169</v>
      </c>
      <c r="BX245" s="82"/>
      <c r="BY245" s="83"/>
      <c r="DB245" s="72">
        <v>244</v>
      </c>
    </row>
    <row r="246" spans="1:106" x14ac:dyDescent="0.2">
      <c r="A246" s="79" t="s">
        <v>1170</v>
      </c>
      <c r="B246" s="80" t="s">
        <v>1171</v>
      </c>
      <c r="C246" s="79" t="s">
        <v>1172</v>
      </c>
      <c r="L246" s="72" t="s">
        <v>1173</v>
      </c>
      <c r="M246" s="82"/>
      <c r="N246" s="83"/>
      <c r="AS246" s="72" t="s">
        <v>1173</v>
      </c>
      <c r="AT246" s="82"/>
      <c r="AU246" s="83"/>
      <c r="BW246" s="72" t="s">
        <v>1173</v>
      </c>
      <c r="BX246" s="82"/>
      <c r="BY246" s="83"/>
      <c r="DB246" s="72">
        <v>245</v>
      </c>
    </row>
    <row r="247" spans="1:106" x14ac:dyDescent="0.2">
      <c r="A247" s="79" t="s">
        <v>1174</v>
      </c>
      <c r="B247" s="80" t="s">
        <v>1175</v>
      </c>
      <c r="C247" s="79" t="s">
        <v>1176</v>
      </c>
      <c r="L247" s="81" t="s">
        <v>1177</v>
      </c>
      <c r="M247" s="82"/>
      <c r="N247" s="83"/>
      <c r="AS247" s="81" t="s">
        <v>1177</v>
      </c>
      <c r="AT247" s="82"/>
      <c r="AU247" s="83"/>
      <c r="BW247" s="81" t="s">
        <v>1177</v>
      </c>
      <c r="BX247" s="82"/>
      <c r="BY247" s="83"/>
      <c r="DB247" s="72">
        <v>246</v>
      </c>
    </row>
    <row r="248" spans="1:106" x14ac:dyDescent="0.2">
      <c r="A248" s="79" t="s">
        <v>1178</v>
      </c>
      <c r="B248" s="80" t="s">
        <v>1179</v>
      </c>
      <c r="C248" s="79" t="s">
        <v>1180</v>
      </c>
      <c r="L248" s="81" t="s">
        <v>1181</v>
      </c>
      <c r="M248" s="82"/>
      <c r="N248" s="83"/>
      <c r="AS248" s="81" t="s">
        <v>1181</v>
      </c>
      <c r="AT248" s="82"/>
      <c r="AU248" s="83"/>
      <c r="BW248" s="81" t="s">
        <v>1181</v>
      </c>
      <c r="BX248" s="82"/>
      <c r="BY248" s="83"/>
      <c r="DB248" s="72">
        <v>247</v>
      </c>
    </row>
    <row r="249" spans="1:106" x14ac:dyDescent="0.2">
      <c r="A249" s="79" t="s">
        <v>1182</v>
      </c>
      <c r="B249" s="80" t="s">
        <v>1183</v>
      </c>
      <c r="C249" s="79" t="s">
        <v>1184</v>
      </c>
      <c r="L249" s="72" t="s">
        <v>1185</v>
      </c>
      <c r="M249" s="82"/>
      <c r="N249" s="83"/>
      <c r="AS249" s="72" t="s">
        <v>1185</v>
      </c>
      <c r="AT249" s="82"/>
      <c r="AU249" s="83"/>
      <c r="BW249" s="72" t="s">
        <v>1185</v>
      </c>
      <c r="BX249" s="82"/>
      <c r="BY249" s="83"/>
      <c r="DB249" s="72">
        <v>248</v>
      </c>
    </row>
    <row r="250" spans="1:106" x14ac:dyDescent="0.2">
      <c r="A250" s="79" t="s">
        <v>1186</v>
      </c>
      <c r="B250" s="80" t="s">
        <v>1187</v>
      </c>
      <c r="C250" s="79" t="s">
        <v>1188</v>
      </c>
      <c r="L250" s="72" t="s">
        <v>1189</v>
      </c>
      <c r="M250" s="82"/>
      <c r="N250" s="83"/>
      <c r="AS250" s="72" t="s">
        <v>1189</v>
      </c>
      <c r="AT250" s="82"/>
      <c r="AU250" s="83"/>
      <c r="BW250" s="72" t="s">
        <v>1189</v>
      </c>
      <c r="BX250" s="82"/>
      <c r="BY250" s="83"/>
      <c r="DB250" s="72">
        <v>249</v>
      </c>
    </row>
    <row r="251" spans="1:106" x14ac:dyDescent="0.2">
      <c r="A251" s="79" t="s">
        <v>1190</v>
      </c>
      <c r="B251" s="80" t="s">
        <v>1191</v>
      </c>
      <c r="C251" s="79" t="s">
        <v>1192</v>
      </c>
      <c r="L251" s="81" t="s">
        <v>1193</v>
      </c>
      <c r="M251" s="82"/>
      <c r="N251" s="83"/>
      <c r="AS251" s="81" t="s">
        <v>1193</v>
      </c>
      <c r="AT251" s="82"/>
      <c r="AU251" s="83"/>
      <c r="BW251" s="81" t="s">
        <v>1193</v>
      </c>
      <c r="BX251" s="82"/>
      <c r="BY251" s="83"/>
      <c r="DB251" s="72">
        <v>250</v>
      </c>
    </row>
    <row r="252" spans="1:106" x14ac:dyDescent="0.2">
      <c r="A252" s="79" t="s">
        <v>1194</v>
      </c>
      <c r="B252" s="80" t="s">
        <v>1195</v>
      </c>
      <c r="C252" s="79" t="s">
        <v>1196</v>
      </c>
      <c r="L252" s="81" t="s">
        <v>1197</v>
      </c>
      <c r="M252" s="82"/>
      <c r="N252" s="83"/>
      <c r="AS252" s="81" t="s">
        <v>1197</v>
      </c>
      <c r="AT252" s="82"/>
      <c r="AU252" s="83"/>
      <c r="BW252" s="81" t="s">
        <v>1197</v>
      </c>
      <c r="BX252" s="82"/>
      <c r="BY252" s="83"/>
      <c r="DB252" s="72">
        <v>251</v>
      </c>
    </row>
    <row r="253" spans="1:106" x14ac:dyDescent="0.2">
      <c r="A253" s="79" t="s">
        <v>1198</v>
      </c>
      <c r="B253" s="80" t="s">
        <v>1199</v>
      </c>
      <c r="C253" s="79" t="s">
        <v>1200</v>
      </c>
      <c r="L253" s="81" t="s">
        <v>1201</v>
      </c>
      <c r="M253" s="82"/>
      <c r="N253" s="83"/>
      <c r="AS253" s="81" t="s">
        <v>1201</v>
      </c>
      <c r="AT253" s="82"/>
      <c r="AU253" s="83"/>
      <c r="BW253" s="81" t="s">
        <v>1201</v>
      </c>
      <c r="BX253" s="82"/>
      <c r="BY253" s="83"/>
      <c r="DB253" s="72">
        <v>252</v>
      </c>
    </row>
    <row r="254" spans="1:106" x14ac:dyDescent="0.2">
      <c r="A254" s="79" t="s">
        <v>1202</v>
      </c>
      <c r="B254" s="80" t="s">
        <v>1203</v>
      </c>
      <c r="C254" s="79" t="s">
        <v>1204</v>
      </c>
      <c r="L254" s="81" t="s">
        <v>1205</v>
      </c>
      <c r="M254" s="82"/>
      <c r="N254" s="83"/>
      <c r="AS254" s="81" t="s">
        <v>1205</v>
      </c>
      <c r="AT254" s="82"/>
      <c r="AU254" s="83"/>
      <c r="BW254" s="81" t="s">
        <v>1205</v>
      </c>
      <c r="BX254" s="82"/>
      <c r="BY254" s="83"/>
      <c r="DB254" s="72">
        <v>253</v>
      </c>
    </row>
    <row r="255" spans="1:106" x14ac:dyDescent="0.2">
      <c r="A255" s="79" t="s">
        <v>1206</v>
      </c>
      <c r="B255" s="80" t="s">
        <v>1207</v>
      </c>
      <c r="C255" s="79" t="s">
        <v>1208</v>
      </c>
      <c r="L255" s="81" t="s">
        <v>1209</v>
      </c>
      <c r="M255" s="82"/>
      <c r="N255" s="83"/>
      <c r="AS255" s="81" t="s">
        <v>1209</v>
      </c>
      <c r="AT255" s="82"/>
      <c r="AU255" s="83"/>
      <c r="BW255" s="81" t="s">
        <v>1209</v>
      </c>
      <c r="BX255" s="82"/>
      <c r="BY255" s="83"/>
      <c r="DB255" s="72">
        <v>254</v>
      </c>
    </row>
    <row r="256" spans="1:106" x14ac:dyDescent="0.2">
      <c r="A256" s="79" t="s">
        <v>1210</v>
      </c>
      <c r="B256" s="80" t="s">
        <v>1211</v>
      </c>
      <c r="C256" s="79" t="s">
        <v>1212</v>
      </c>
      <c r="L256" s="81" t="s">
        <v>1213</v>
      </c>
      <c r="M256" s="82"/>
      <c r="N256" s="83"/>
      <c r="AS256" s="81" t="s">
        <v>1213</v>
      </c>
      <c r="AT256" s="82"/>
      <c r="AU256" s="83"/>
      <c r="BW256" s="81" t="s">
        <v>1213</v>
      </c>
      <c r="BX256" s="82"/>
      <c r="BY256" s="83"/>
      <c r="DB256" s="72">
        <v>255</v>
      </c>
    </row>
    <row r="257" spans="1:106" x14ac:dyDescent="0.2">
      <c r="A257" s="79" t="s">
        <v>1214</v>
      </c>
      <c r="B257" s="80" t="s">
        <v>1215</v>
      </c>
      <c r="C257" s="79" t="s">
        <v>1216</v>
      </c>
      <c r="L257" s="81" t="s">
        <v>1217</v>
      </c>
      <c r="M257" s="82"/>
      <c r="N257" s="83"/>
      <c r="AS257" s="81" t="s">
        <v>1217</v>
      </c>
      <c r="AT257" s="82"/>
      <c r="AU257" s="83"/>
      <c r="BW257" s="81" t="s">
        <v>1217</v>
      </c>
      <c r="BX257" s="82"/>
      <c r="BY257" s="83"/>
      <c r="DB257" s="72">
        <v>256</v>
      </c>
    </row>
    <row r="258" spans="1:106" x14ac:dyDescent="0.2">
      <c r="A258" s="79" t="s">
        <v>1218</v>
      </c>
      <c r="B258" s="80" t="s">
        <v>1219</v>
      </c>
      <c r="C258" s="79" t="s">
        <v>1220</v>
      </c>
      <c r="L258" s="72" t="s">
        <v>1221</v>
      </c>
      <c r="M258" s="82"/>
      <c r="N258" s="83"/>
      <c r="AS258" s="72" t="s">
        <v>1221</v>
      </c>
      <c r="AT258" s="82"/>
      <c r="AU258" s="83"/>
      <c r="BW258" s="72" t="s">
        <v>1221</v>
      </c>
      <c r="BX258" s="82"/>
      <c r="BY258" s="83"/>
      <c r="DB258" s="72">
        <v>257</v>
      </c>
    </row>
    <row r="259" spans="1:106" x14ac:dyDescent="0.2">
      <c r="L259" s="81" t="s">
        <v>1222</v>
      </c>
      <c r="M259" s="82"/>
      <c r="N259" s="83"/>
      <c r="AS259" s="81" t="s">
        <v>1222</v>
      </c>
      <c r="AT259" s="82"/>
      <c r="AU259" s="83"/>
      <c r="BW259" s="81" t="s">
        <v>1222</v>
      </c>
      <c r="BX259" s="82"/>
      <c r="BY259" s="83"/>
      <c r="DB259" s="72">
        <v>258</v>
      </c>
    </row>
    <row r="260" spans="1:106" x14ac:dyDescent="0.2">
      <c r="L260" s="81" t="s">
        <v>1223</v>
      </c>
      <c r="M260" s="82"/>
      <c r="N260" s="83"/>
      <c r="AS260" s="81" t="s">
        <v>1223</v>
      </c>
      <c r="AT260" s="82"/>
      <c r="AU260" s="83"/>
      <c r="BW260" s="81" t="s">
        <v>1223</v>
      </c>
      <c r="BX260" s="82"/>
      <c r="BY260" s="83"/>
      <c r="DB260" s="72">
        <v>259</v>
      </c>
    </row>
    <row r="261" spans="1:106" x14ac:dyDescent="0.2">
      <c r="L261" s="81" t="s">
        <v>1224</v>
      </c>
      <c r="M261" s="82"/>
      <c r="N261" s="83"/>
      <c r="AS261" s="81" t="s">
        <v>1224</v>
      </c>
      <c r="AT261" s="82"/>
      <c r="AU261" s="83"/>
      <c r="BW261" s="81" t="s">
        <v>1224</v>
      </c>
      <c r="BX261" s="82"/>
      <c r="BY261" s="83"/>
      <c r="DB261" s="72">
        <v>260</v>
      </c>
    </row>
    <row r="262" spans="1:106" x14ac:dyDescent="0.2">
      <c r="L262" s="81" t="s">
        <v>1225</v>
      </c>
      <c r="M262" s="82"/>
      <c r="N262" s="83"/>
      <c r="AS262" s="81" t="s">
        <v>1225</v>
      </c>
      <c r="AT262" s="82"/>
      <c r="AU262" s="83"/>
      <c r="BW262" s="81" t="s">
        <v>1225</v>
      </c>
      <c r="BX262" s="82"/>
      <c r="BY262" s="83"/>
      <c r="DB262" s="72">
        <v>261</v>
      </c>
    </row>
    <row r="263" spans="1:106" x14ac:dyDescent="0.2">
      <c r="L263" s="81" t="s">
        <v>1226</v>
      </c>
      <c r="M263" s="82"/>
      <c r="N263" s="83"/>
      <c r="AS263" s="81" t="s">
        <v>1226</v>
      </c>
      <c r="AT263" s="82"/>
      <c r="AU263" s="83"/>
      <c r="BW263" s="81" t="s">
        <v>1226</v>
      </c>
      <c r="BX263" s="82"/>
      <c r="BY263" s="83"/>
      <c r="DB263" s="72">
        <v>262</v>
      </c>
    </row>
    <row r="264" spans="1:106" x14ac:dyDescent="0.2">
      <c r="L264" s="81" t="s">
        <v>1227</v>
      </c>
      <c r="M264" s="82"/>
      <c r="N264" s="83"/>
      <c r="AS264" s="81" t="s">
        <v>1227</v>
      </c>
      <c r="AT264" s="82"/>
      <c r="AU264" s="83"/>
      <c r="BW264" s="81" t="s">
        <v>1227</v>
      </c>
      <c r="BX264" s="82"/>
      <c r="BY264" s="83"/>
      <c r="DB264" s="72">
        <v>263</v>
      </c>
    </row>
    <row r="265" spans="1:106" x14ac:dyDescent="0.2">
      <c r="L265" s="81" t="s">
        <v>1228</v>
      </c>
      <c r="M265" s="82"/>
      <c r="N265" s="83"/>
      <c r="AS265" s="81" t="s">
        <v>1228</v>
      </c>
      <c r="AT265" s="82"/>
      <c r="AU265" s="83"/>
      <c r="BW265" s="81" t="s">
        <v>1228</v>
      </c>
      <c r="BX265" s="82"/>
      <c r="BY265" s="83"/>
      <c r="DB265" s="72">
        <v>264</v>
      </c>
    </row>
    <row r="266" spans="1:106" x14ac:dyDescent="0.2">
      <c r="L266" s="81" t="s">
        <v>1229</v>
      </c>
      <c r="M266" s="82"/>
      <c r="N266" s="83"/>
      <c r="AS266" s="81" t="s">
        <v>1229</v>
      </c>
      <c r="AT266" s="82"/>
      <c r="AU266" s="83"/>
      <c r="BW266" s="81" t="s">
        <v>1229</v>
      </c>
      <c r="BX266" s="82"/>
      <c r="BY266" s="83"/>
      <c r="DB266" s="72">
        <v>265</v>
      </c>
    </row>
    <row r="267" spans="1:106" x14ac:dyDescent="0.2">
      <c r="L267" s="81" t="s">
        <v>1230</v>
      </c>
      <c r="M267" s="82"/>
      <c r="N267" s="83"/>
      <c r="AS267" s="81" t="s">
        <v>1230</v>
      </c>
      <c r="AT267" s="82"/>
      <c r="AU267" s="83"/>
      <c r="BW267" s="81" t="s">
        <v>1230</v>
      </c>
      <c r="BX267" s="82"/>
      <c r="BY267" s="83"/>
      <c r="DB267" s="72">
        <v>266</v>
      </c>
    </row>
    <row r="268" spans="1:106" x14ac:dyDescent="0.2">
      <c r="L268" s="81" t="s">
        <v>1231</v>
      </c>
      <c r="M268" s="82"/>
      <c r="N268" s="83"/>
      <c r="AS268" s="81" t="s">
        <v>1231</v>
      </c>
      <c r="AT268" s="82"/>
      <c r="AU268" s="83"/>
      <c r="BW268" s="81" t="s">
        <v>1231</v>
      </c>
      <c r="BX268" s="82"/>
      <c r="BY268" s="83"/>
      <c r="DB268" s="72">
        <v>267</v>
      </c>
    </row>
    <row r="269" spans="1:106" x14ac:dyDescent="0.2">
      <c r="L269" s="81" t="s">
        <v>1232</v>
      </c>
      <c r="M269" s="82"/>
      <c r="N269" s="83"/>
      <c r="AS269" s="81" t="s">
        <v>1232</v>
      </c>
      <c r="AT269" s="82"/>
      <c r="AU269" s="83"/>
      <c r="BW269" s="81" t="s">
        <v>1232</v>
      </c>
      <c r="BX269" s="82"/>
      <c r="BY269" s="83"/>
      <c r="DB269" s="72">
        <v>268</v>
      </c>
    </row>
    <row r="270" spans="1:106" x14ac:dyDescent="0.2">
      <c r="L270" s="81" t="s">
        <v>1233</v>
      </c>
      <c r="M270" s="82"/>
      <c r="N270" s="83"/>
      <c r="AS270" s="81" t="s">
        <v>1233</v>
      </c>
      <c r="AT270" s="82"/>
      <c r="AU270" s="83"/>
      <c r="BW270" s="81" t="s">
        <v>1233</v>
      </c>
      <c r="BX270" s="82"/>
      <c r="BY270" s="83"/>
      <c r="DB270" s="72">
        <v>269</v>
      </c>
    </row>
    <row r="271" spans="1:106" x14ac:dyDescent="0.2">
      <c r="L271" s="81" t="s">
        <v>1234</v>
      </c>
      <c r="M271" s="82"/>
      <c r="N271" s="83"/>
      <c r="AS271" s="81" t="s">
        <v>1234</v>
      </c>
      <c r="AT271" s="82"/>
      <c r="AU271" s="83"/>
      <c r="BW271" s="81" t="s">
        <v>1234</v>
      </c>
      <c r="BX271" s="82"/>
      <c r="BY271" s="83"/>
      <c r="DB271" s="72">
        <v>270</v>
      </c>
    </row>
    <row r="272" spans="1:106" x14ac:dyDescent="0.2">
      <c r="L272" s="72" t="s">
        <v>1235</v>
      </c>
      <c r="M272" s="82"/>
      <c r="N272" s="83"/>
      <c r="AS272" s="72" t="s">
        <v>1235</v>
      </c>
      <c r="AT272" s="82"/>
      <c r="AU272" s="83"/>
      <c r="BW272" s="72" t="s">
        <v>1235</v>
      </c>
      <c r="BX272" s="82"/>
      <c r="BY272" s="83"/>
      <c r="DB272" s="72">
        <v>271</v>
      </c>
    </row>
    <row r="273" spans="12:106" x14ac:dyDescent="0.2">
      <c r="L273" s="81" t="s">
        <v>1236</v>
      </c>
      <c r="M273" s="82"/>
      <c r="N273" s="83"/>
      <c r="AS273" s="81" t="s">
        <v>1236</v>
      </c>
      <c r="AT273" s="82"/>
      <c r="AU273" s="83"/>
      <c r="BW273" s="81" t="s">
        <v>1236</v>
      </c>
      <c r="BX273" s="82"/>
      <c r="BY273" s="83"/>
      <c r="DB273" s="72">
        <v>272</v>
      </c>
    </row>
    <row r="274" spans="12:106" x14ac:dyDescent="0.2">
      <c r="L274" s="81" t="s">
        <v>1237</v>
      </c>
      <c r="M274" s="82"/>
      <c r="N274" s="83"/>
      <c r="AS274" s="81" t="s">
        <v>1237</v>
      </c>
      <c r="AT274" s="82"/>
      <c r="AU274" s="83"/>
      <c r="BW274" s="81" t="s">
        <v>1237</v>
      </c>
      <c r="BX274" s="82"/>
      <c r="BY274" s="83"/>
      <c r="DB274" s="72">
        <v>273</v>
      </c>
    </row>
    <row r="275" spans="12:106" x14ac:dyDescent="0.2">
      <c r="L275" s="81" t="s">
        <v>1238</v>
      </c>
      <c r="M275" s="82"/>
      <c r="N275" s="83"/>
      <c r="AS275" s="81" t="s">
        <v>1238</v>
      </c>
      <c r="AT275" s="82"/>
      <c r="AU275" s="83"/>
      <c r="BW275" s="81" t="s">
        <v>1238</v>
      </c>
      <c r="BX275" s="82"/>
      <c r="BY275" s="83"/>
      <c r="DB275" s="72">
        <v>274</v>
      </c>
    </row>
    <row r="276" spans="12:106" x14ac:dyDescent="0.2">
      <c r="L276" s="81" t="s">
        <v>1239</v>
      </c>
      <c r="M276" s="82"/>
      <c r="N276" s="83"/>
      <c r="AS276" s="81" t="s">
        <v>1239</v>
      </c>
      <c r="AT276" s="82"/>
      <c r="AU276" s="83"/>
      <c r="BW276" s="81" t="s">
        <v>1239</v>
      </c>
      <c r="BX276" s="82"/>
      <c r="BY276" s="83"/>
      <c r="DB276" s="72">
        <v>275</v>
      </c>
    </row>
    <row r="277" spans="12:106" x14ac:dyDescent="0.2">
      <c r="L277" s="72" t="s">
        <v>1240</v>
      </c>
      <c r="M277" s="82"/>
      <c r="N277" s="83"/>
      <c r="AS277" s="72" t="s">
        <v>1240</v>
      </c>
      <c r="AT277" s="82"/>
      <c r="AU277" s="83"/>
      <c r="BW277" s="72" t="s">
        <v>1240</v>
      </c>
      <c r="BX277" s="82"/>
      <c r="BY277" s="83"/>
      <c r="DB277" s="72">
        <v>276</v>
      </c>
    </row>
    <row r="278" spans="12:106" x14ac:dyDescent="0.2">
      <c r="L278" s="81" t="s">
        <v>1241</v>
      </c>
      <c r="M278" s="82"/>
      <c r="N278" s="83"/>
      <c r="AS278" s="81" t="s">
        <v>1241</v>
      </c>
      <c r="AT278" s="82"/>
      <c r="AU278" s="83"/>
      <c r="BW278" s="81" t="s">
        <v>1241</v>
      </c>
      <c r="BX278" s="82"/>
      <c r="BY278" s="83"/>
      <c r="DB278" s="72">
        <v>277</v>
      </c>
    </row>
    <row r="279" spans="12:106" x14ac:dyDescent="0.2">
      <c r="L279" s="81" t="s">
        <v>1242</v>
      </c>
      <c r="M279" s="82"/>
      <c r="N279" s="83"/>
      <c r="AS279" s="81" t="s">
        <v>1242</v>
      </c>
      <c r="AT279" s="82"/>
      <c r="AU279" s="83"/>
      <c r="BW279" s="81" t="s">
        <v>1242</v>
      </c>
      <c r="BX279" s="82"/>
      <c r="BY279" s="83"/>
      <c r="DB279" s="72">
        <v>278</v>
      </c>
    </row>
    <row r="280" spans="12:106" x14ac:dyDescent="0.2">
      <c r="L280" s="72" t="s">
        <v>1243</v>
      </c>
      <c r="M280" s="82"/>
      <c r="N280" s="83"/>
      <c r="AS280" s="72" t="s">
        <v>1243</v>
      </c>
      <c r="AT280" s="82"/>
      <c r="AU280" s="83"/>
      <c r="BW280" s="72" t="s">
        <v>1243</v>
      </c>
      <c r="BX280" s="82"/>
      <c r="BY280" s="83"/>
      <c r="DB280" s="72">
        <v>279</v>
      </c>
    </row>
    <row r="281" spans="12:106" x14ac:dyDescent="0.2">
      <c r="L281" s="81" t="s">
        <v>1244</v>
      </c>
      <c r="M281" s="82"/>
      <c r="N281" s="83"/>
      <c r="AS281" s="81" t="s">
        <v>1244</v>
      </c>
      <c r="AT281" s="82"/>
      <c r="AU281" s="83"/>
      <c r="BW281" s="81" t="s">
        <v>1244</v>
      </c>
      <c r="BX281" s="82"/>
      <c r="BY281" s="83"/>
      <c r="DB281" s="72">
        <v>280</v>
      </c>
    </row>
    <row r="282" spans="12:106" x14ac:dyDescent="0.2">
      <c r="L282" s="81" t="s">
        <v>1245</v>
      </c>
      <c r="M282" s="82"/>
      <c r="N282" s="83"/>
      <c r="AS282" s="81" t="s">
        <v>1245</v>
      </c>
      <c r="AT282" s="82"/>
      <c r="AU282" s="83"/>
      <c r="BW282" s="81" t="s">
        <v>1245</v>
      </c>
      <c r="BX282" s="82"/>
      <c r="BY282" s="83"/>
      <c r="DB282" s="72">
        <v>281</v>
      </c>
    </row>
    <row r="283" spans="12:106" x14ac:dyDescent="0.2">
      <c r="L283" s="72" t="s">
        <v>1246</v>
      </c>
      <c r="M283" s="82"/>
      <c r="N283" s="83"/>
      <c r="AS283" s="72" t="s">
        <v>1246</v>
      </c>
      <c r="AT283" s="82"/>
      <c r="AU283" s="83"/>
      <c r="BW283" s="72" t="s">
        <v>1246</v>
      </c>
      <c r="BX283" s="82"/>
      <c r="BY283" s="83"/>
      <c r="DB283" s="72">
        <v>282</v>
      </c>
    </row>
    <row r="284" spans="12:106" x14ac:dyDescent="0.2">
      <c r="L284" s="81" t="s">
        <v>1247</v>
      </c>
      <c r="M284" s="82"/>
      <c r="N284" s="83"/>
      <c r="AS284" s="81" t="s">
        <v>1247</v>
      </c>
      <c r="AT284" s="82"/>
      <c r="AU284" s="83"/>
      <c r="BW284" s="81" t="s">
        <v>1247</v>
      </c>
      <c r="BX284" s="82"/>
      <c r="BY284" s="83"/>
      <c r="DB284" s="72">
        <v>283</v>
      </c>
    </row>
    <row r="285" spans="12:106" x14ac:dyDescent="0.2">
      <c r="L285" s="81" t="s">
        <v>1248</v>
      </c>
      <c r="M285" s="82"/>
      <c r="N285" s="83"/>
      <c r="AS285" s="81" t="s">
        <v>1248</v>
      </c>
      <c r="AT285" s="82"/>
      <c r="AU285" s="83"/>
      <c r="BW285" s="81" t="s">
        <v>1248</v>
      </c>
      <c r="BX285" s="82"/>
      <c r="BY285" s="83"/>
      <c r="DB285" s="72">
        <v>284</v>
      </c>
    </row>
    <row r="286" spans="12:106" x14ac:dyDescent="0.2">
      <c r="L286" s="81" t="s">
        <v>1249</v>
      </c>
      <c r="M286" s="82"/>
      <c r="N286" s="83"/>
      <c r="AS286" s="81" t="s">
        <v>1249</v>
      </c>
      <c r="AT286" s="82"/>
      <c r="AU286" s="83"/>
      <c r="BW286" s="81" t="s">
        <v>1249</v>
      </c>
      <c r="BX286" s="82"/>
      <c r="BY286" s="83"/>
      <c r="DB286" s="72">
        <v>285</v>
      </c>
    </row>
    <row r="287" spans="12:106" x14ac:dyDescent="0.2">
      <c r="L287" s="81" t="s">
        <v>1250</v>
      </c>
      <c r="M287" s="82"/>
      <c r="N287" s="83"/>
      <c r="AS287" s="81" t="s">
        <v>1250</v>
      </c>
      <c r="AT287" s="82"/>
      <c r="AU287" s="83"/>
      <c r="BW287" s="81" t="s">
        <v>1250</v>
      </c>
      <c r="BX287" s="82"/>
      <c r="BY287" s="83"/>
      <c r="DB287" s="72">
        <v>286</v>
      </c>
    </row>
    <row r="288" spans="12:106" x14ac:dyDescent="0.2">
      <c r="L288" s="81" t="s">
        <v>1251</v>
      </c>
      <c r="M288" s="82"/>
      <c r="N288" s="83"/>
      <c r="AS288" s="81" t="s">
        <v>1251</v>
      </c>
      <c r="AT288" s="82"/>
      <c r="AU288" s="83"/>
      <c r="BW288" s="81" t="s">
        <v>1251</v>
      </c>
      <c r="BX288" s="82"/>
      <c r="BY288" s="83"/>
      <c r="DB288" s="72">
        <v>287</v>
      </c>
    </row>
    <row r="289" spans="12:106" x14ac:dyDescent="0.2">
      <c r="L289" s="81" t="s">
        <v>1252</v>
      </c>
      <c r="M289" s="82"/>
      <c r="N289" s="83"/>
      <c r="AS289" s="81" t="s">
        <v>1252</v>
      </c>
      <c r="AT289" s="82"/>
      <c r="AU289" s="83"/>
      <c r="BW289" s="81" t="s">
        <v>1252</v>
      </c>
      <c r="BX289" s="82"/>
      <c r="BY289" s="83"/>
      <c r="DB289" s="72">
        <v>288</v>
      </c>
    </row>
    <row r="290" spans="12:106" x14ac:dyDescent="0.2">
      <c r="L290" s="81" t="s">
        <v>1253</v>
      </c>
      <c r="M290" s="82"/>
      <c r="N290" s="83"/>
      <c r="AS290" s="81" t="s">
        <v>1253</v>
      </c>
      <c r="AT290" s="82"/>
      <c r="AU290" s="83"/>
      <c r="BW290" s="81" t="s">
        <v>1253</v>
      </c>
      <c r="BX290" s="82"/>
      <c r="BY290" s="83"/>
      <c r="DB290" s="72">
        <v>289</v>
      </c>
    </row>
    <row r="291" spans="12:106" x14ac:dyDescent="0.2">
      <c r="L291" s="72" t="s">
        <v>1254</v>
      </c>
      <c r="M291" s="82"/>
      <c r="N291" s="83"/>
      <c r="AS291" s="72" t="s">
        <v>1254</v>
      </c>
      <c r="AT291" s="82"/>
      <c r="AU291" s="83"/>
      <c r="BW291" s="72" t="s">
        <v>1254</v>
      </c>
      <c r="BX291" s="82"/>
      <c r="BY291" s="83"/>
      <c r="DB291" s="72">
        <v>290</v>
      </c>
    </row>
    <row r="292" spans="12:106" x14ac:dyDescent="0.2">
      <c r="L292" s="81" t="s">
        <v>1255</v>
      </c>
      <c r="M292" s="82"/>
      <c r="N292" s="83"/>
      <c r="AS292" s="81" t="s">
        <v>1255</v>
      </c>
      <c r="AT292" s="82"/>
      <c r="AU292" s="83"/>
      <c r="BW292" s="81" t="s">
        <v>1255</v>
      </c>
      <c r="BX292" s="82"/>
      <c r="BY292" s="83"/>
      <c r="DB292" s="72">
        <v>291</v>
      </c>
    </row>
    <row r="293" spans="12:106" x14ac:dyDescent="0.2">
      <c r="L293" s="72" t="s">
        <v>1256</v>
      </c>
      <c r="M293" s="82"/>
      <c r="N293" s="83"/>
      <c r="AS293" s="72" t="s">
        <v>1256</v>
      </c>
      <c r="AT293" s="82"/>
      <c r="AU293" s="83"/>
      <c r="BW293" s="72" t="s">
        <v>1256</v>
      </c>
      <c r="BX293" s="82"/>
      <c r="BY293" s="83"/>
      <c r="DB293" s="72">
        <v>292</v>
      </c>
    </row>
    <row r="294" spans="12:106" x14ac:dyDescent="0.2">
      <c r="L294" s="72" t="s">
        <v>1257</v>
      </c>
      <c r="M294" s="82"/>
      <c r="N294" s="83"/>
      <c r="AS294" s="72" t="s">
        <v>1257</v>
      </c>
      <c r="AT294" s="82"/>
      <c r="AU294" s="83"/>
      <c r="BW294" s="72" t="s">
        <v>1257</v>
      </c>
      <c r="BX294" s="82"/>
      <c r="BY294" s="83"/>
      <c r="DB294" s="72">
        <v>293</v>
      </c>
    </row>
    <row r="295" spans="12:106" x14ac:dyDescent="0.2">
      <c r="L295" s="81" t="s">
        <v>1258</v>
      </c>
      <c r="M295" s="82"/>
      <c r="N295" s="83"/>
      <c r="AS295" s="81" t="s">
        <v>1258</v>
      </c>
      <c r="AT295" s="82"/>
      <c r="AU295" s="83"/>
      <c r="BW295" s="81" t="s">
        <v>1258</v>
      </c>
      <c r="BX295" s="82"/>
      <c r="BY295" s="83"/>
      <c r="DB295" s="72">
        <v>294</v>
      </c>
    </row>
    <row r="296" spans="12:106" x14ac:dyDescent="0.2">
      <c r="L296" s="81" t="s">
        <v>1259</v>
      </c>
      <c r="M296" s="82"/>
      <c r="N296" s="83"/>
      <c r="AS296" s="81" t="s">
        <v>1259</v>
      </c>
      <c r="AT296" s="82"/>
      <c r="AU296" s="83"/>
      <c r="BW296" s="81" t="s">
        <v>1259</v>
      </c>
      <c r="BX296" s="82"/>
      <c r="BY296" s="83"/>
      <c r="DB296" s="72">
        <v>295</v>
      </c>
    </row>
    <row r="297" spans="12:106" x14ac:dyDescent="0.2">
      <c r="L297" s="72" t="s">
        <v>1260</v>
      </c>
      <c r="M297" s="82"/>
      <c r="N297" s="83"/>
      <c r="AS297" s="72" t="s">
        <v>1260</v>
      </c>
      <c r="AT297" s="82"/>
      <c r="AU297" s="83"/>
      <c r="BW297" s="72" t="s">
        <v>1260</v>
      </c>
      <c r="BX297" s="82"/>
      <c r="BY297" s="83"/>
      <c r="DB297" s="72">
        <v>296</v>
      </c>
    </row>
    <row r="298" spans="12:106" x14ac:dyDescent="0.2">
      <c r="L298" s="81" t="s">
        <v>1261</v>
      </c>
      <c r="M298" s="82"/>
      <c r="N298" s="83"/>
      <c r="AS298" s="81" t="s">
        <v>1261</v>
      </c>
      <c r="AT298" s="82"/>
      <c r="AU298" s="83"/>
      <c r="BW298" s="81" t="s">
        <v>1261</v>
      </c>
      <c r="BX298" s="82"/>
      <c r="BY298" s="83"/>
      <c r="DB298" s="72">
        <v>297</v>
      </c>
    </row>
    <row r="299" spans="12:106" x14ac:dyDescent="0.2">
      <c r="L299" s="81" t="s">
        <v>1262</v>
      </c>
      <c r="M299" s="82"/>
      <c r="N299" s="83"/>
      <c r="AS299" s="81" t="s">
        <v>1262</v>
      </c>
      <c r="AT299" s="82"/>
      <c r="AU299" s="83"/>
      <c r="BW299" s="81" t="s">
        <v>1262</v>
      </c>
      <c r="BX299" s="82"/>
      <c r="BY299" s="83"/>
      <c r="DB299" s="72">
        <v>298</v>
      </c>
    </row>
    <row r="300" spans="12:106" x14ac:dyDescent="0.2">
      <c r="L300" s="72" t="s">
        <v>1262</v>
      </c>
      <c r="M300" s="82"/>
      <c r="N300" s="83"/>
      <c r="AS300" s="72" t="s">
        <v>1262</v>
      </c>
      <c r="AT300" s="82"/>
      <c r="AU300" s="83"/>
      <c r="BW300" s="72" t="s">
        <v>1262</v>
      </c>
      <c r="BX300" s="82"/>
      <c r="BY300" s="83"/>
      <c r="DB300" s="72">
        <v>299</v>
      </c>
    </row>
    <row r="301" spans="12:106" x14ac:dyDescent="0.2">
      <c r="L301" s="81" t="s">
        <v>1263</v>
      </c>
      <c r="M301" s="82"/>
      <c r="N301" s="83"/>
      <c r="AS301" s="81" t="s">
        <v>1263</v>
      </c>
      <c r="AT301" s="82"/>
      <c r="AU301" s="83"/>
      <c r="BW301" s="81" t="s">
        <v>1263</v>
      </c>
      <c r="BX301" s="82"/>
      <c r="BY301" s="83"/>
      <c r="DB301" s="72">
        <v>300</v>
      </c>
    </row>
    <row r="302" spans="12:106" x14ac:dyDescent="0.2">
      <c r="L302" s="81" t="s">
        <v>1264</v>
      </c>
      <c r="M302" s="82"/>
      <c r="N302" s="83"/>
      <c r="AS302" s="81" t="s">
        <v>1264</v>
      </c>
      <c r="AT302" s="82"/>
      <c r="AU302" s="83"/>
      <c r="BW302" s="81" t="s">
        <v>1264</v>
      </c>
      <c r="BX302" s="82"/>
      <c r="BY302" s="83"/>
      <c r="DB302" s="72">
        <v>301</v>
      </c>
    </row>
    <row r="303" spans="12:106" x14ac:dyDescent="0.2">
      <c r="L303" s="81" t="s">
        <v>1265</v>
      </c>
      <c r="M303" s="82"/>
      <c r="N303" s="83"/>
      <c r="AS303" s="81" t="s">
        <v>1265</v>
      </c>
      <c r="AT303" s="82"/>
      <c r="AU303" s="83"/>
      <c r="BW303" s="81" t="s">
        <v>1265</v>
      </c>
      <c r="BX303" s="82"/>
      <c r="BY303" s="83"/>
      <c r="DB303" s="72">
        <v>302</v>
      </c>
    </row>
    <row r="304" spans="12:106" x14ac:dyDescent="0.2">
      <c r="L304" s="81" t="s">
        <v>1266</v>
      </c>
      <c r="M304" s="82"/>
      <c r="N304" s="83"/>
      <c r="AS304" s="81" t="s">
        <v>1266</v>
      </c>
      <c r="AT304" s="82"/>
      <c r="AU304" s="83"/>
      <c r="BW304" s="81" t="s">
        <v>1266</v>
      </c>
      <c r="BX304" s="82"/>
      <c r="BY304" s="83"/>
      <c r="DB304" s="72">
        <v>303</v>
      </c>
    </row>
    <row r="305" spans="12:106" x14ac:dyDescent="0.2">
      <c r="L305" s="81" t="s">
        <v>1267</v>
      </c>
      <c r="M305" s="82"/>
      <c r="N305" s="83"/>
      <c r="AS305" s="81" t="s">
        <v>1267</v>
      </c>
      <c r="AT305" s="82"/>
      <c r="AU305" s="83"/>
      <c r="BW305" s="81" t="s">
        <v>1267</v>
      </c>
      <c r="BX305" s="82"/>
      <c r="BY305" s="83"/>
      <c r="DB305" s="72">
        <v>304</v>
      </c>
    </row>
    <row r="306" spans="12:106" x14ac:dyDescent="0.2">
      <c r="L306" s="81" t="s">
        <v>1268</v>
      </c>
      <c r="M306" s="82"/>
      <c r="N306" s="83"/>
      <c r="AS306" s="81" t="s">
        <v>1268</v>
      </c>
      <c r="AT306" s="82"/>
      <c r="AU306" s="83"/>
      <c r="BW306" s="81" t="s">
        <v>1268</v>
      </c>
      <c r="BX306" s="82"/>
      <c r="BY306" s="83"/>
      <c r="DB306" s="72">
        <v>305</v>
      </c>
    </row>
    <row r="307" spans="12:106" x14ac:dyDescent="0.2">
      <c r="L307" s="81" t="s">
        <v>1269</v>
      </c>
      <c r="M307" s="82"/>
      <c r="N307" s="83"/>
      <c r="AS307" s="81" t="s">
        <v>1269</v>
      </c>
      <c r="AT307" s="82"/>
      <c r="AU307" s="83"/>
      <c r="BW307" s="81" t="s">
        <v>1269</v>
      </c>
      <c r="BX307" s="82"/>
      <c r="BY307" s="83"/>
      <c r="DB307" s="72">
        <v>306</v>
      </c>
    </row>
    <row r="308" spans="12:106" x14ac:dyDescent="0.2">
      <c r="L308" s="72" t="s">
        <v>1270</v>
      </c>
      <c r="M308" s="82"/>
      <c r="N308" s="83"/>
      <c r="AS308" s="72" t="s">
        <v>1270</v>
      </c>
      <c r="AT308" s="82"/>
      <c r="AU308" s="83"/>
      <c r="BW308" s="72" t="s">
        <v>1270</v>
      </c>
      <c r="BX308" s="82"/>
      <c r="BY308" s="83"/>
      <c r="DB308" s="72">
        <v>307</v>
      </c>
    </row>
    <row r="309" spans="12:106" x14ac:dyDescent="0.2">
      <c r="L309" s="81" t="s">
        <v>1271</v>
      </c>
      <c r="M309" s="82"/>
      <c r="N309" s="83"/>
      <c r="AS309" s="81" t="s">
        <v>1271</v>
      </c>
      <c r="AT309" s="82"/>
      <c r="AU309" s="83"/>
      <c r="BW309" s="81" t="s">
        <v>1271</v>
      </c>
      <c r="BX309" s="82"/>
      <c r="BY309" s="83"/>
      <c r="DB309" s="72">
        <v>308</v>
      </c>
    </row>
    <row r="310" spans="12:106" x14ac:dyDescent="0.2">
      <c r="L310" s="81" t="s">
        <v>1272</v>
      </c>
      <c r="M310" s="82"/>
      <c r="N310" s="83"/>
      <c r="AS310" s="81" t="s">
        <v>1272</v>
      </c>
      <c r="AT310" s="82"/>
      <c r="AU310" s="83"/>
      <c r="BW310" s="81" t="s">
        <v>1272</v>
      </c>
      <c r="BX310" s="82"/>
      <c r="BY310" s="83"/>
      <c r="DB310" s="72">
        <v>309</v>
      </c>
    </row>
    <row r="311" spans="12:106" x14ac:dyDescent="0.2">
      <c r="L311" s="81" t="s">
        <v>1273</v>
      </c>
      <c r="M311" s="82"/>
      <c r="N311" s="83"/>
      <c r="AS311" s="81" t="s">
        <v>1273</v>
      </c>
      <c r="AT311" s="82"/>
      <c r="AU311" s="83"/>
      <c r="BW311" s="81" t="s">
        <v>1273</v>
      </c>
      <c r="BX311" s="82"/>
      <c r="BY311" s="83"/>
      <c r="DB311" s="72">
        <v>310</v>
      </c>
    </row>
    <row r="312" spans="12:106" x14ac:dyDescent="0.2">
      <c r="L312" s="81" t="s">
        <v>1274</v>
      </c>
      <c r="M312" s="82"/>
      <c r="N312" s="83"/>
      <c r="AS312" s="81" t="s">
        <v>1274</v>
      </c>
      <c r="AT312" s="82"/>
      <c r="AU312" s="83"/>
      <c r="BW312" s="81" t="s">
        <v>1274</v>
      </c>
      <c r="BX312" s="82"/>
      <c r="BY312" s="83"/>
      <c r="DB312" s="72">
        <v>311</v>
      </c>
    </row>
    <row r="313" spans="12:106" x14ac:dyDescent="0.2">
      <c r="L313" s="81" t="s">
        <v>1275</v>
      </c>
      <c r="M313" s="82"/>
      <c r="N313" s="83"/>
      <c r="AS313" s="81" t="s">
        <v>1275</v>
      </c>
      <c r="AT313" s="82"/>
      <c r="AU313" s="83"/>
      <c r="BW313" s="81" t="s">
        <v>1275</v>
      </c>
      <c r="BX313" s="82"/>
      <c r="BY313" s="83"/>
      <c r="DB313" s="72">
        <v>312</v>
      </c>
    </row>
    <row r="314" spans="12:106" x14ac:dyDescent="0.2">
      <c r="L314" s="72" t="s">
        <v>1276</v>
      </c>
      <c r="M314" s="82"/>
      <c r="N314" s="83"/>
      <c r="AS314" s="72" t="s">
        <v>1276</v>
      </c>
      <c r="AT314" s="82"/>
      <c r="AU314" s="83"/>
      <c r="BW314" s="72" t="s">
        <v>1276</v>
      </c>
      <c r="BX314" s="82"/>
      <c r="BY314" s="83"/>
      <c r="DB314" s="72">
        <v>313</v>
      </c>
    </row>
    <row r="315" spans="12:106" x14ac:dyDescent="0.2">
      <c r="L315" s="81" t="s">
        <v>1277</v>
      </c>
      <c r="M315" s="82"/>
      <c r="N315" s="83"/>
      <c r="AS315" s="81" t="s">
        <v>1277</v>
      </c>
      <c r="AT315" s="82"/>
      <c r="AU315" s="83"/>
      <c r="BW315" s="81" t="s">
        <v>1277</v>
      </c>
      <c r="BX315" s="82"/>
      <c r="BY315" s="83"/>
      <c r="DB315" s="72">
        <v>314</v>
      </c>
    </row>
    <row r="316" spans="12:106" x14ac:dyDescent="0.2">
      <c r="L316" s="72" t="s">
        <v>1278</v>
      </c>
      <c r="M316" s="82"/>
      <c r="N316" s="83"/>
      <c r="AS316" s="72" t="s">
        <v>1278</v>
      </c>
      <c r="AT316" s="82"/>
      <c r="AU316" s="83"/>
      <c r="BW316" s="72" t="s">
        <v>1278</v>
      </c>
      <c r="BX316" s="82"/>
      <c r="BY316" s="83"/>
      <c r="DB316" s="72">
        <v>315</v>
      </c>
    </row>
    <row r="317" spans="12:106" x14ac:dyDescent="0.2">
      <c r="L317" s="81" t="s">
        <v>1279</v>
      </c>
      <c r="M317" s="82"/>
      <c r="N317" s="83"/>
      <c r="AS317" s="81" t="s">
        <v>1279</v>
      </c>
      <c r="AT317" s="82"/>
      <c r="AU317" s="83"/>
      <c r="BW317" s="81" t="s">
        <v>1279</v>
      </c>
      <c r="BX317" s="82"/>
      <c r="BY317" s="83"/>
      <c r="DB317" s="72">
        <v>316</v>
      </c>
    </row>
    <row r="318" spans="12:106" x14ac:dyDescent="0.2">
      <c r="L318" s="81" t="s">
        <v>1280</v>
      </c>
      <c r="M318" s="82"/>
      <c r="N318" s="83"/>
      <c r="AS318" s="81" t="s">
        <v>1280</v>
      </c>
      <c r="AT318" s="82"/>
      <c r="AU318" s="83"/>
      <c r="BW318" s="81" t="s">
        <v>1280</v>
      </c>
      <c r="BX318" s="82"/>
      <c r="BY318" s="83"/>
      <c r="DB318" s="72">
        <v>317</v>
      </c>
    </row>
    <row r="319" spans="12:106" x14ac:dyDescent="0.2">
      <c r="L319" s="81" t="s">
        <v>1280</v>
      </c>
      <c r="M319" s="82"/>
      <c r="N319" s="83"/>
      <c r="AS319" s="81" t="s">
        <v>1280</v>
      </c>
      <c r="AT319" s="82"/>
      <c r="AU319" s="83"/>
      <c r="BW319" s="81" t="s">
        <v>1280</v>
      </c>
      <c r="BX319" s="82"/>
      <c r="BY319" s="83"/>
      <c r="DB319" s="72">
        <v>318</v>
      </c>
    </row>
    <row r="320" spans="12:106" x14ac:dyDescent="0.2">
      <c r="L320" s="81" t="s">
        <v>1281</v>
      </c>
      <c r="M320" s="82"/>
      <c r="N320" s="83"/>
      <c r="AS320" s="81" t="s">
        <v>1281</v>
      </c>
      <c r="AT320" s="82"/>
      <c r="AU320" s="83"/>
      <c r="BW320" s="81" t="s">
        <v>1281</v>
      </c>
      <c r="BX320" s="82"/>
      <c r="BY320" s="83"/>
      <c r="DB320" s="72">
        <v>319</v>
      </c>
    </row>
    <row r="321" spans="12:106" x14ac:dyDescent="0.2">
      <c r="L321" s="81" t="s">
        <v>1282</v>
      </c>
      <c r="M321" s="82"/>
      <c r="N321" s="83"/>
      <c r="AS321" s="81" t="s">
        <v>1282</v>
      </c>
      <c r="AT321" s="82"/>
      <c r="AU321" s="83"/>
      <c r="BW321" s="81" t="s">
        <v>1282</v>
      </c>
      <c r="BX321" s="82"/>
      <c r="BY321" s="83"/>
      <c r="DB321" s="72">
        <v>320</v>
      </c>
    </row>
    <row r="322" spans="12:106" x14ac:dyDescent="0.2">
      <c r="L322" s="81" t="s">
        <v>1283</v>
      </c>
      <c r="M322" s="82"/>
      <c r="N322" s="83"/>
      <c r="AS322" s="81" t="s">
        <v>1283</v>
      </c>
      <c r="AT322" s="82"/>
      <c r="AU322" s="83"/>
      <c r="BW322" s="81" t="s">
        <v>1283</v>
      </c>
      <c r="BX322" s="82"/>
      <c r="BY322" s="83"/>
      <c r="DB322" s="72">
        <v>321</v>
      </c>
    </row>
    <row r="323" spans="12:106" x14ac:dyDescent="0.2">
      <c r="L323" s="72" t="s">
        <v>1284</v>
      </c>
      <c r="M323" s="82"/>
      <c r="N323" s="83"/>
      <c r="AS323" s="72" t="s">
        <v>1284</v>
      </c>
      <c r="AT323" s="82"/>
      <c r="AU323" s="83"/>
      <c r="BW323" s="72" t="s">
        <v>1284</v>
      </c>
      <c r="BX323" s="82"/>
      <c r="BY323" s="83"/>
      <c r="DB323" s="72">
        <v>322</v>
      </c>
    </row>
    <row r="324" spans="12:106" x14ac:dyDescent="0.2">
      <c r="L324" s="81" t="s">
        <v>1285</v>
      </c>
      <c r="M324" s="82"/>
      <c r="N324" s="83"/>
      <c r="AS324" s="81" t="s">
        <v>1285</v>
      </c>
      <c r="AT324" s="82"/>
      <c r="AU324" s="83"/>
      <c r="BW324" s="81" t="s">
        <v>1285</v>
      </c>
      <c r="BX324" s="82"/>
      <c r="BY324" s="83"/>
      <c r="DB324" s="72">
        <v>323</v>
      </c>
    </row>
    <row r="325" spans="12:106" x14ac:dyDescent="0.2">
      <c r="L325" s="81" t="s">
        <v>1285</v>
      </c>
      <c r="M325" s="82"/>
      <c r="N325" s="83"/>
      <c r="AS325" s="81" t="s">
        <v>1285</v>
      </c>
      <c r="AT325" s="82"/>
      <c r="AU325" s="83"/>
      <c r="BW325" s="81" t="s">
        <v>1285</v>
      </c>
      <c r="BX325" s="82"/>
      <c r="BY325" s="83"/>
      <c r="DB325" s="72">
        <v>324</v>
      </c>
    </row>
    <row r="326" spans="12:106" x14ac:dyDescent="0.2">
      <c r="L326" s="81" t="s">
        <v>1286</v>
      </c>
      <c r="M326" s="82"/>
      <c r="N326" s="83"/>
      <c r="AS326" s="81" t="s">
        <v>1286</v>
      </c>
      <c r="AT326" s="82"/>
      <c r="AU326" s="83"/>
      <c r="BW326" s="81" t="s">
        <v>1286</v>
      </c>
      <c r="BX326" s="82"/>
      <c r="BY326" s="83"/>
      <c r="DB326" s="72">
        <v>325</v>
      </c>
    </row>
    <row r="327" spans="12:106" x14ac:dyDescent="0.2">
      <c r="L327" s="81" t="s">
        <v>1287</v>
      </c>
      <c r="M327" s="82"/>
      <c r="N327" s="83"/>
      <c r="AS327" s="81" t="s">
        <v>1287</v>
      </c>
      <c r="AT327" s="82"/>
      <c r="AU327" s="83"/>
      <c r="BW327" s="81" t="s">
        <v>1287</v>
      </c>
      <c r="BX327" s="82"/>
      <c r="BY327" s="83"/>
      <c r="DB327" s="72">
        <v>326</v>
      </c>
    </row>
    <row r="328" spans="12:106" x14ac:dyDescent="0.2">
      <c r="L328" s="72" t="s">
        <v>1288</v>
      </c>
      <c r="M328" s="82"/>
      <c r="N328" s="83"/>
      <c r="AS328" s="72" t="s">
        <v>1288</v>
      </c>
      <c r="AT328" s="82"/>
      <c r="AU328" s="83"/>
      <c r="BW328" s="72" t="s">
        <v>1288</v>
      </c>
      <c r="BX328" s="82"/>
      <c r="BY328" s="83"/>
      <c r="DB328" s="72">
        <v>327</v>
      </c>
    </row>
    <row r="329" spans="12:106" x14ac:dyDescent="0.2">
      <c r="L329" s="81" t="s">
        <v>1289</v>
      </c>
      <c r="M329" s="82"/>
      <c r="N329" s="83"/>
      <c r="AS329" s="81" t="s">
        <v>1289</v>
      </c>
      <c r="AT329" s="82"/>
      <c r="AU329" s="83"/>
      <c r="BW329" s="81" t="s">
        <v>1289</v>
      </c>
      <c r="BX329" s="82"/>
      <c r="BY329" s="83"/>
      <c r="DB329" s="72">
        <v>328</v>
      </c>
    </row>
    <row r="330" spans="12:106" x14ac:dyDescent="0.2">
      <c r="L330" s="81" t="s">
        <v>1290</v>
      </c>
      <c r="M330" s="82"/>
      <c r="N330" s="83"/>
      <c r="AS330" s="81" t="s">
        <v>1290</v>
      </c>
      <c r="AT330" s="82"/>
      <c r="AU330" s="83"/>
      <c r="BW330" s="81" t="s">
        <v>1290</v>
      </c>
      <c r="BX330" s="82"/>
      <c r="BY330" s="83"/>
      <c r="DB330" s="72">
        <v>329</v>
      </c>
    </row>
    <row r="331" spans="12:106" x14ac:dyDescent="0.2">
      <c r="L331" s="81" t="s">
        <v>1291</v>
      </c>
      <c r="M331" s="82"/>
      <c r="N331" s="83"/>
      <c r="AS331" s="81" t="s">
        <v>1291</v>
      </c>
      <c r="AT331" s="82"/>
      <c r="AU331" s="83"/>
      <c r="BW331" s="81" t="s">
        <v>1291</v>
      </c>
      <c r="BX331" s="82"/>
      <c r="BY331" s="83"/>
      <c r="DB331" s="72">
        <v>330</v>
      </c>
    </row>
    <row r="332" spans="12:106" x14ac:dyDescent="0.2">
      <c r="L332" s="81" t="s">
        <v>1292</v>
      </c>
      <c r="M332" s="82"/>
      <c r="N332" s="83"/>
      <c r="AS332" s="81" t="s">
        <v>1292</v>
      </c>
      <c r="AT332" s="82"/>
      <c r="AU332" s="83"/>
      <c r="BW332" s="81" t="s">
        <v>1292</v>
      </c>
      <c r="BX332" s="82"/>
      <c r="BY332" s="83"/>
      <c r="DB332" s="72">
        <v>331</v>
      </c>
    </row>
    <row r="333" spans="12:106" x14ac:dyDescent="0.2">
      <c r="L333" s="81" t="s">
        <v>1293</v>
      </c>
      <c r="M333" s="82"/>
      <c r="N333" s="83"/>
      <c r="AS333" s="81" t="s">
        <v>1293</v>
      </c>
      <c r="AT333" s="82"/>
      <c r="AU333" s="83"/>
      <c r="BW333" s="81" t="s">
        <v>1293</v>
      </c>
      <c r="BX333" s="82"/>
      <c r="BY333" s="83"/>
      <c r="DB333" s="72">
        <v>332</v>
      </c>
    </row>
    <row r="334" spans="12:106" x14ac:dyDescent="0.2">
      <c r="L334" s="81" t="s">
        <v>1294</v>
      </c>
      <c r="M334" s="82"/>
      <c r="N334" s="83"/>
      <c r="AS334" s="81" t="s">
        <v>1294</v>
      </c>
      <c r="AT334" s="82"/>
      <c r="AU334" s="83"/>
      <c r="BW334" s="81" t="s">
        <v>1294</v>
      </c>
      <c r="BX334" s="82"/>
      <c r="BY334" s="83"/>
      <c r="DB334" s="72">
        <v>333</v>
      </c>
    </row>
    <row r="335" spans="12:106" x14ac:dyDescent="0.2">
      <c r="L335" s="81" t="s">
        <v>1295</v>
      </c>
      <c r="M335" s="82"/>
      <c r="N335" s="83"/>
      <c r="AS335" s="81" t="s">
        <v>1295</v>
      </c>
      <c r="AT335" s="82"/>
      <c r="AU335" s="83"/>
      <c r="BW335" s="81" t="s">
        <v>1295</v>
      </c>
      <c r="BX335" s="82"/>
      <c r="BY335" s="83"/>
      <c r="DB335" s="72">
        <v>334</v>
      </c>
    </row>
    <row r="336" spans="12:106" x14ac:dyDescent="0.2">
      <c r="L336" s="81" t="s">
        <v>1296</v>
      </c>
      <c r="M336" s="82"/>
      <c r="N336" s="83"/>
      <c r="AS336" s="81" t="s">
        <v>1296</v>
      </c>
      <c r="AT336" s="82"/>
      <c r="AU336" s="83"/>
      <c r="BW336" s="81" t="s">
        <v>1296</v>
      </c>
      <c r="BX336" s="82"/>
      <c r="BY336" s="83"/>
      <c r="DB336" s="72">
        <v>335</v>
      </c>
    </row>
    <row r="337" spans="12:106" x14ac:dyDescent="0.2">
      <c r="L337" s="81" t="s">
        <v>1297</v>
      </c>
      <c r="M337" s="82"/>
      <c r="N337" s="83"/>
      <c r="AS337" s="81" t="s">
        <v>1297</v>
      </c>
      <c r="AT337" s="82"/>
      <c r="AU337" s="83"/>
      <c r="BW337" s="81" t="s">
        <v>1297</v>
      </c>
      <c r="BX337" s="82"/>
      <c r="BY337" s="83"/>
      <c r="DB337" s="72">
        <v>336</v>
      </c>
    </row>
    <row r="338" spans="12:106" x14ac:dyDescent="0.2">
      <c r="L338" s="81" t="s">
        <v>1298</v>
      </c>
      <c r="M338" s="82"/>
      <c r="N338" s="83"/>
      <c r="AS338" s="81" t="s">
        <v>1298</v>
      </c>
      <c r="AT338" s="82"/>
      <c r="AU338" s="83"/>
      <c r="BW338" s="81" t="s">
        <v>1298</v>
      </c>
      <c r="BX338" s="82"/>
      <c r="BY338" s="83"/>
      <c r="DB338" s="72">
        <v>337</v>
      </c>
    </row>
    <row r="339" spans="12:106" x14ac:dyDescent="0.2">
      <c r="L339" s="81" t="s">
        <v>1299</v>
      </c>
      <c r="M339" s="82"/>
      <c r="N339" s="83"/>
      <c r="AS339" s="81" t="s">
        <v>1299</v>
      </c>
      <c r="AT339" s="82"/>
      <c r="AU339" s="83"/>
      <c r="BW339" s="81" t="s">
        <v>1299</v>
      </c>
      <c r="BX339" s="82"/>
      <c r="BY339" s="83"/>
      <c r="DB339" s="72">
        <v>338</v>
      </c>
    </row>
    <row r="340" spans="12:106" x14ac:dyDescent="0.2">
      <c r="L340" s="81" t="s">
        <v>1300</v>
      </c>
      <c r="M340" s="82"/>
      <c r="N340" s="83"/>
      <c r="AS340" s="81" t="s">
        <v>1300</v>
      </c>
      <c r="AT340" s="82"/>
      <c r="AU340" s="83"/>
      <c r="BW340" s="81" t="s">
        <v>1300</v>
      </c>
      <c r="BX340" s="82"/>
      <c r="BY340" s="83"/>
      <c r="DB340" s="72">
        <v>339</v>
      </c>
    </row>
    <row r="341" spans="12:106" x14ac:dyDescent="0.2">
      <c r="L341" s="81" t="s">
        <v>1301</v>
      </c>
      <c r="M341" s="82"/>
      <c r="N341" s="83"/>
      <c r="AS341" s="81" t="s">
        <v>1301</v>
      </c>
      <c r="AT341" s="82"/>
      <c r="AU341" s="83"/>
      <c r="BW341" s="81" t="s">
        <v>1301</v>
      </c>
      <c r="BX341" s="82"/>
      <c r="BY341" s="83"/>
      <c r="DB341" s="72">
        <v>340</v>
      </c>
    </row>
    <row r="342" spans="12:106" x14ac:dyDescent="0.2">
      <c r="L342" s="81" t="s">
        <v>1302</v>
      </c>
      <c r="M342" s="82"/>
      <c r="N342" s="83"/>
      <c r="AS342" s="81" t="s">
        <v>1302</v>
      </c>
      <c r="AT342" s="82"/>
      <c r="AU342" s="83"/>
      <c r="BW342" s="81" t="s">
        <v>1302</v>
      </c>
      <c r="BX342" s="82"/>
      <c r="BY342" s="83"/>
      <c r="DB342" s="72">
        <v>341</v>
      </c>
    </row>
    <row r="343" spans="12:106" x14ac:dyDescent="0.2">
      <c r="L343" s="81" t="s">
        <v>1303</v>
      </c>
      <c r="M343" s="82"/>
      <c r="N343" s="83"/>
      <c r="AS343" s="81" t="s">
        <v>1303</v>
      </c>
      <c r="AT343" s="82"/>
      <c r="AU343" s="83"/>
      <c r="BW343" s="81" t="s">
        <v>1303</v>
      </c>
      <c r="BX343" s="82"/>
      <c r="BY343" s="83"/>
      <c r="DB343" s="72">
        <v>342</v>
      </c>
    </row>
    <row r="344" spans="12:106" x14ac:dyDescent="0.2">
      <c r="L344" s="81" t="s">
        <v>1304</v>
      </c>
      <c r="M344" s="82"/>
      <c r="N344" s="83"/>
      <c r="AS344" s="81" t="s">
        <v>1304</v>
      </c>
      <c r="AT344" s="82"/>
      <c r="AU344" s="83"/>
      <c r="BW344" s="81" t="s">
        <v>1304</v>
      </c>
      <c r="BX344" s="82"/>
      <c r="BY344" s="83"/>
      <c r="DB344" s="72">
        <v>343</v>
      </c>
    </row>
    <row r="345" spans="12:106" x14ac:dyDescent="0.2">
      <c r="L345" s="81" t="s">
        <v>1305</v>
      </c>
      <c r="M345" s="82"/>
      <c r="N345" s="83"/>
      <c r="AS345" s="81" t="s">
        <v>1305</v>
      </c>
      <c r="AT345" s="82"/>
      <c r="AU345" s="83"/>
      <c r="BW345" s="81" t="s">
        <v>1305</v>
      </c>
      <c r="BX345" s="82"/>
      <c r="BY345" s="83"/>
      <c r="DB345" s="72">
        <v>344</v>
      </c>
    </row>
    <row r="346" spans="12:106" x14ac:dyDescent="0.2">
      <c r="L346" s="72" t="s">
        <v>1306</v>
      </c>
      <c r="M346" s="82"/>
      <c r="N346" s="83"/>
      <c r="AS346" s="72" t="s">
        <v>1306</v>
      </c>
      <c r="AT346" s="82"/>
      <c r="AU346" s="83"/>
      <c r="BW346" s="72" t="s">
        <v>1306</v>
      </c>
      <c r="BX346" s="82"/>
      <c r="BY346" s="83"/>
      <c r="DB346" s="72">
        <v>345</v>
      </c>
    </row>
    <row r="347" spans="12:106" x14ac:dyDescent="0.2">
      <c r="L347" s="81" t="s">
        <v>1307</v>
      </c>
      <c r="M347" s="82"/>
      <c r="N347" s="83"/>
      <c r="AS347" s="81" t="s">
        <v>1307</v>
      </c>
      <c r="AT347" s="82"/>
      <c r="AU347" s="83"/>
      <c r="BW347" s="81" t="s">
        <v>1307</v>
      </c>
      <c r="BX347" s="82"/>
      <c r="BY347" s="83"/>
      <c r="DB347" s="72">
        <v>346</v>
      </c>
    </row>
    <row r="348" spans="12:106" x14ac:dyDescent="0.2">
      <c r="L348" s="81" t="s">
        <v>1308</v>
      </c>
      <c r="M348" s="82"/>
      <c r="N348" s="83"/>
      <c r="AS348" s="81" t="s">
        <v>1308</v>
      </c>
      <c r="AT348" s="82"/>
      <c r="AU348" s="83"/>
      <c r="BW348" s="81" t="s">
        <v>1308</v>
      </c>
      <c r="BX348" s="82"/>
      <c r="BY348" s="83"/>
      <c r="DB348" s="72">
        <v>347</v>
      </c>
    </row>
    <row r="349" spans="12:106" x14ac:dyDescent="0.2">
      <c r="L349" s="72" t="s">
        <v>1309</v>
      </c>
      <c r="M349" s="82"/>
      <c r="N349" s="83"/>
      <c r="AS349" s="72" t="s">
        <v>1309</v>
      </c>
      <c r="AT349" s="82"/>
      <c r="AU349" s="83"/>
      <c r="BW349" s="72" t="s">
        <v>1309</v>
      </c>
      <c r="BX349" s="82"/>
      <c r="BY349" s="83"/>
      <c r="DB349" s="72">
        <v>348</v>
      </c>
    </row>
    <row r="350" spans="12:106" x14ac:dyDescent="0.2">
      <c r="L350" s="72" t="s">
        <v>1310</v>
      </c>
      <c r="M350" s="82"/>
      <c r="N350" s="83"/>
      <c r="AS350" s="72" t="s">
        <v>1310</v>
      </c>
      <c r="AT350" s="82"/>
      <c r="AU350" s="83"/>
      <c r="BW350" s="72" t="s">
        <v>1310</v>
      </c>
      <c r="BX350" s="82"/>
      <c r="BY350" s="83"/>
      <c r="DB350" s="72">
        <v>349</v>
      </c>
    </row>
    <row r="351" spans="12:106" x14ac:dyDescent="0.2">
      <c r="L351" s="72" t="s">
        <v>1311</v>
      </c>
      <c r="M351" s="82"/>
      <c r="N351" s="83"/>
      <c r="AS351" s="72" t="s">
        <v>1311</v>
      </c>
      <c r="AT351" s="82"/>
      <c r="AU351" s="83"/>
      <c r="BW351" s="72" t="s">
        <v>1311</v>
      </c>
      <c r="BX351" s="82"/>
      <c r="BY351" s="83"/>
      <c r="DB351" s="72">
        <v>350</v>
      </c>
    </row>
    <row r="352" spans="12:106" x14ac:dyDescent="0.2">
      <c r="L352" s="72" t="s">
        <v>1312</v>
      </c>
      <c r="M352" s="82"/>
      <c r="N352" s="83"/>
      <c r="AS352" s="72" t="s">
        <v>1312</v>
      </c>
      <c r="AT352" s="82"/>
      <c r="AU352" s="83"/>
      <c r="BW352" s="72" t="s">
        <v>1312</v>
      </c>
      <c r="BX352" s="82"/>
      <c r="BY352" s="83"/>
      <c r="DB352" s="72">
        <v>351</v>
      </c>
    </row>
    <row r="353" spans="12:106" x14ac:dyDescent="0.2">
      <c r="L353" s="72" t="s">
        <v>1313</v>
      </c>
      <c r="M353" s="82"/>
      <c r="N353" s="83"/>
      <c r="AS353" s="72" t="s">
        <v>1313</v>
      </c>
      <c r="AT353" s="82"/>
      <c r="AU353" s="83"/>
      <c r="BW353" s="72" t="s">
        <v>1313</v>
      </c>
      <c r="BX353" s="82"/>
      <c r="BY353" s="83"/>
      <c r="DB353" s="72">
        <v>352</v>
      </c>
    </row>
    <row r="354" spans="12:106" x14ac:dyDescent="0.2">
      <c r="L354" s="72" t="s">
        <v>1314</v>
      </c>
      <c r="M354" s="82"/>
      <c r="N354" s="83"/>
      <c r="AS354" s="72" t="s">
        <v>1314</v>
      </c>
      <c r="AT354" s="82"/>
      <c r="AU354" s="83"/>
      <c r="BW354" s="72" t="s">
        <v>1314</v>
      </c>
      <c r="BX354" s="82"/>
      <c r="BY354" s="83"/>
      <c r="DB354" s="72">
        <v>353</v>
      </c>
    </row>
    <row r="355" spans="12:106" x14ac:dyDescent="0.2">
      <c r="L355" s="72" t="s">
        <v>1315</v>
      </c>
      <c r="M355" s="82"/>
      <c r="N355" s="83"/>
      <c r="AS355" s="72" t="s">
        <v>1315</v>
      </c>
      <c r="AT355" s="82"/>
      <c r="AU355" s="83"/>
      <c r="BW355" s="72" t="s">
        <v>1315</v>
      </c>
      <c r="BX355" s="82"/>
      <c r="BY355" s="83"/>
      <c r="DB355" s="72">
        <v>354</v>
      </c>
    </row>
    <row r="356" spans="12:106" x14ac:dyDescent="0.2">
      <c r="L356" s="81" t="s">
        <v>1316</v>
      </c>
      <c r="M356" s="82"/>
      <c r="N356" s="83"/>
      <c r="AS356" s="81" t="s">
        <v>1316</v>
      </c>
      <c r="AT356" s="82"/>
      <c r="AU356" s="83"/>
      <c r="BW356" s="81" t="s">
        <v>1316</v>
      </c>
      <c r="BX356" s="82"/>
      <c r="BY356" s="83"/>
      <c r="DB356" s="72">
        <v>355</v>
      </c>
    </row>
    <row r="357" spans="12:106" x14ac:dyDescent="0.2">
      <c r="L357" s="72" t="s">
        <v>1317</v>
      </c>
      <c r="M357" s="82"/>
      <c r="N357" s="83"/>
      <c r="AS357" s="72" t="s">
        <v>1317</v>
      </c>
      <c r="AT357" s="82"/>
      <c r="AU357" s="83"/>
      <c r="BW357" s="72" t="s">
        <v>1317</v>
      </c>
      <c r="BX357" s="82"/>
      <c r="BY357" s="83"/>
      <c r="DB357" s="72">
        <v>356</v>
      </c>
    </row>
    <row r="358" spans="12:106" x14ac:dyDescent="0.2">
      <c r="L358" s="81" t="s">
        <v>1318</v>
      </c>
      <c r="M358" s="82"/>
      <c r="N358" s="83"/>
      <c r="AS358" s="81" t="s">
        <v>1318</v>
      </c>
      <c r="AT358" s="82"/>
      <c r="AU358" s="83"/>
      <c r="BW358" s="81" t="s">
        <v>1318</v>
      </c>
      <c r="BX358" s="82"/>
      <c r="BY358" s="83"/>
      <c r="DB358" s="72">
        <v>357</v>
      </c>
    </row>
    <row r="359" spans="12:106" x14ac:dyDescent="0.2">
      <c r="L359" s="81" t="s">
        <v>1319</v>
      </c>
      <c r="M359" s="82"/>
      <c r="N359" s="83"/>
      <c r="AS359" s="81" t="s">
        <v>1319</v>
      </c>
      <c r="AT359" s="82"/>
      <c r="AU359" s="83"/>
      <c r="BW359" s="81" t="s">
        <v>1319</v>
      </c>
      <c r="BX359" s="82"/>
      <c r="BY359" s="83"/>
      <c r="DB359" s="72">
        <v>358</v>
      </c>
    </row>
    <row r="360" spans="12:106" x14ac:dyDescent="0.2">
      <c r="L360" s="81" t="s">
        <v>1320</v>
      </c>
      <c r="M360" s="82"/>
      <c r="N360" s="83"/>
      <c r="AS360" s="81" t="s">
        <v>1320</v>
      </c>
      <c r="AT360" s="82"/>
      <c r="AU360" s="83"/>
      <c r="BW360" s="81" t="s">
        <v>1320</v>
      </c>
      <c r="BX360" s="82"/>
      <c r="BY360" s="83"/>
      <c r="DB360" s="72">
        <v>359</v>
      </c>
    </row>
    <row r="361" spans="12:106" x14ac:dyDescent="0.2">
      <c r="L361" s="81" t="s">
        <v>1321</v>
      </c>
      <c r="M361" s="82"/>
      <c r="N361" s="83"/>
      <c r="AS361" s="81" t="s">
        <v>1321</v>
      </c>
      <c r="AT361" s="82"/>
      <c r="AU361" s="83"/>
      <c r="BW361" s="81" t="s">
        <v>1321</v>
      </c>
      <c r="BX361" s="82"/>
      <c r="BY361" s="83"/>
      <c r="DB361" s="72">
        <v>360</v>
      </c>
    </row>
    <row r="362" spans="12:106" x14ac:dyDescent="0.2">
      <c r="L362" s="81" t="s">
        <v>1322</v>
      </c>
      <c r="M362" s="82"/>
      <c r="N362" s="83"/>
      <c r="AS362" s="81" t="s">
        <v>1322</v>
      </c>
      <c r="AT362" s="82"/>
      <c r="AU362" s="83"/>
      <c r="BW362" s="81" t="s">
        <v>1322</v>
      </c>
      <c r="BX362" s="82"/>
      <c r="BY362" s="83"/>
      <c r="DB362" s="72">
        <v>361</v>
      </c>
    </row>
    <row r="363" spans="12:106" x14ac:dyDescent="0.2">
      <c r="L363" s="81" t="s">
        <v>1323</v>
      </c>
      <c r="M363" s="82"/>
      <c r="N363" s="83"/>
      <c r="AS363" s="81" t="s">
        <v>1323</v>
      </c>
      <c r="AT363" s="82"/>
      <c r="AU363" s="83"/>
      <c r="BW363" s="81" t="s">
        <v>1323</v>
      </c>
      <c r="BX363" s="82"/>
      <c r="BY363" s="83"/>
      <c r="DB363" s="72">
        <v>362</v>
      </c>
    </row>
    <row r="364" spans="12:106" x14ac:dyDescent="0.2">
      <c r="L364" s="81" t="s">
        <v>1324</v>
      </c>
      <c r="M364" s="82"/>
      <c r="N364" s="83"/>
      <c r="AS364" s="81" t="s">
        <v>1324</v>
      </c>
      <c r="AT364" s="82"/>
      <c r="AU364" s="83"/>
      <c r="BW364" s="81" t="s">
        <v>1324</v>
      </c>
      <c r="BX364" s="82"/>
      <c r="BY364" s="83"/>
      <c r="DB364" s="72">
        <v>363</v>
      </c>
    </row>
    <row r="365" spans="12:106" x14ac:dyDescent="0.2">
      <c r="L365" s="72" t="s">
        <v>1325</v>
      </c>
      <c r="M365" s="82"/>
      <c r="N365" s="83"/>
      <c r="AS365" s="72" t="s">
        <v>1325</v>
      </c>
      <c r="AT365" s="82"/>
      <c r="AU365" s="83"/>
      <c r="BW365" s="72" t="s">
        <v>1325</v>
      </c>
      <c r="BX365" s="82"/>
      <c r="BY365" s="83"/>
      <c r="DB365" s="72">
        <v>364</v>
      </c>
    </row>
    <row r="366" spans="12:106" x14ac:dyDescent="0.2">
      <c r="L366" s="72" t="s">
        <v>1326</v>
      </c>
      <c r="M366" s="82"/>
      <c r="N366" s="83"/>
      <c r="AS366" s="72" t="s">
        <v>1326</v>
      </c>
      <c r="AT366" s="82"/>
      <c r="AU366" s="83"/>
      <c r="BW366" s="72" t="s">
        <v>1326</v>
      </c>
      <c r="BX366" s="82"/>
      <c r="BY366" s="83"/>
      <c r="DB366" s="72">
        <v>365</v>
      </c>
    </row>
    <row r="367" spans="12:106" x14ac:dyDescent="0.2">
      <c r="L367" s="72" t="s">
        <v>1327</v>
      </c>
      <c r="M367" s="82"/>
      <c r="N367" s="83"/>
      <c r="AS367" s="72" t="s">
        <v>1327</v>
      </c>
      <c r="AT367" s="82"/>
      <c r="AU367" s="83"/>
      <c r="BW367" s="72" t="s">
        <v>1327</v>
      </c>
      <c r="BX367" s="82"/>
      <c r="BY367" s="83"/>
      <c r="DB367" s="72">
        <v>366</v>
      </c>
    </row>
    <row r="368" spans="12:106" x14ac:dyDescent="0.2">
      <c r="L368" s="72" t="s">
        <v>1328</v>
      </c>
      <c r="M368" s="82"/>
      <c r="N368" s="83"/>
      <c r="AS368" s="72" t="s">
        <v>1328</v>
      </c>
      <c r="AT368" s="82"/>
      <c r="AU368" s="83"/>
      <c r="BW368" s="72" t="s">
        <v>1328</v>
      </c>
      <c r="BX368" s="82"/>
      <c r="BY368" s="83"/>
      <c r="DB368" s="72">
        <v>367</v>
      </c>
    </row>
    <row r="369" spans="12:106" x14ac:dyDescent="0.2">
      <c r="L369" s="81" t="s">
        <v>1329</v>
      </c>
      <c r="M369" s="82"/>
      <c r="N369" s="83"/>
      <c r="AS369" s="81" t="s">
        <v>1329</v>
      </c>
      <c r="AT369" s="82"/>
      <c r="AU369" s="83"/>
      <c r="BW369" s="81" t="s">
        <v>1329</v>
      </c>
      <c r="BX369" s="82"/>
      <c r="BY369" s="83"/>
      <c r="DB369" s="72">
        <v>368</v>
      </c>
    </row>
    <row r="370" spans="12:106" x14ac:dyDescent="0.2">
      <c r="L370" s="72" t="s">
        <v>1330</v>
      </c>
      <c r="AS370" s="72" t="s">
        <v>1330</v>
      </c>
      <c r="AT370" s="88"/>
      <c r="BW370" s="72" t="s">
        <v>1330</v>
      </c>
      <c r="BX370" s="88"/>
    </row>
    <row r="371" spans="12:106" x14ac:dyDescent="0.2">
      <c r="L371" s="81" t="s">
        <v>1331</v>
      </c>
      <c r="AS371" s="81" t="s">
        <v>1331</v>
      </c>
      <c r="AT371" s="88"/>
      <c r="BW371" s="81" t="s">
        <v>1331</v>
      </c>
      <c r="BX371" s="88"/>
    </row>
    <row r="372" spans="12:106" x14ac:dyDescent="0.2">
      <c r="L372" s="81" t="s">
        <v>1332</v>
      </c>
      <c r="AS372" s="81" t="s">
        <v>1332</v>
      </c>
      <c r="AT372" s="88"/>
      <c r="BW372" s="81" t="s">
        <v>1332</v>
      </c>
      <c r="BX372" s="88"/>
    </row>
    <row r="373" spans="12:106" x14ac:dyDescent="0.2">
      <c r="L373" s="72" t="s">
        <v>1333</v>
      </c>
      <c r="AS373" s="72" t="s">
        <v>1333</v>
      </c>
      <c r="AT373" s="88"/>
      <c r="BW373" s="72" t="s">
        <v>1333</v>
      </c>
      <c r="BX373" s="88"/>
    </row>
    <row r="374" spans="12:106" x14ac:dyDescent="0.2">
      <c r="L374" s="72" t="s">
        <v>1334</v>
      </c>
      <c r="AS374" s="72" t="s">
        <v>1334</v>
      </c>
      <c r="AT374" s="88"/>
      <c r="BW374" s="72" t="s">
        <v>1334</v>
      </c>
      <c r="BX374" s="88"/>
    </row>
    <row r="375" spans="12:106" x14ac:dyDescent="0.2">
      <c r="L375" s="72" t="s">
        <v>1335</v>
      </c>
      <c r="AS375" s="72" t="s">
        <v>1335</v>
      </c>
      <c r="AT375" s="88"/>
      <c r="BW375" s="72" t="s">
        <v>1335</v>
      </c>
      <c r="BX375" s="88"/>
    </row>
    <row r="376" spans="12:106" x14ac:dyDescent="0.2">
      <c r="L376" s="81" t="s">
        <v>1336</v>
      </c>
      <c r="AS376" s="81" t="s">
        <v>1336</v>
      </c>
      <c r="AT376" s="88"/>
      <c r="BW376" s="81" t="s">
        <v>1336</v>
      </c>
      <c r="BX376" s="88"/>
    </row>
    <row r="377" spans="12:106" x14ac:dyDescent="0.2">
      <c r="L377" s="81" t="s">
        <v>1337</v>
      </c>
      <c r="AS377" s="81" t="s">
        <v>1337</v>
      </c>
      <c r="AT377" s="88"/>
      <c r="BW377" s="81" t="s">
        <v>1337</v>
      </c>
      <c r="BX377" s="88"/>
    </row>
    <row r="378" spans="12:106" x14ac:dyDescent="0.2">
      <c r="L378" s="81" t="s">
        <v>1338</v>
      </c>
      <c r="AS378" s="81" t="s">
        <v>1338</v>
      </c>
      <c r="AT378" s="88"/>
      <c r="BW378" s="81" t="s">
        <v>1338</v>
      </c>
      <c r="BX378" s="88"/>
    </row>
    <row r="379" spans="12:106" x14ac:dyDescent="0.2">
      <c r="L379" s="81" t="s">
        <v>1339</v>
      </c>
      <c r="AS379" s="81" t="s">
        <v>1339</v>
      </c>
      <c r="AT379" s="88"/>
      <c r="BW379" s="81" t="s">
        <v>1339</v>
      </c>
      <c r="BX379" s="88"/>
    </row>
    <row r="380" spans="12:106" x14ac:dyDescent="0.2">
      <c r="L380" s="81" t="s">
        <v>1340</v>
      </c>
      <c r="AS380" s="81" t="s">
        <v>1340</v>
      </c>
      <c r="AT380" s="88"/>
      <c r="BW380" s="81" t="s">
        <v>1340</v>
      </c>
      <c r="BX380" s="88"/>
    </row>
    <row r="381" spans="12:106" x14ac:dyDescent="0.2">
      <c r="L381" s="72" t="s">
        <v>1341</v>
      </c>
      <c r="AS381" s="72" t="s">
        <v>1341</v>
      </c>
      <c r="AT381" s="88"/>
      <c r="BW381" s="72" t="s">
        <v>1341</v>
      </c>
      <c r="BX381" s="88"/>
    </row>
    <row r="382" spans="12:106" x14ac:dyDescent="0.2">
      <c r="L382" s="72" t="s">
        <v>1342</v>
      </c>
      <c r="AS382" s="72" t="s">
        <v>1342</v>
      </c>
      <c r="AT382" s="88"/>
      <c r="BW382" s="72" t="s">
        <v>1342</v>
      </c>
      <c r="BX382" s="88"/>
    </row>
    <row r="383" spans="12:106" x14ac:dyDescent="0.2">
      <c r="L383" s="72" t="s">
        <v>1343</v>
      </c>
      <c r="AS383" s="72" t="s">
        <v>1343</v>
      </c>
      <c r="AT383" s="88"/>
      <c r="BW383" s="72" t="s">
        <v>1343</v>
      </c>
      <c r="BX383" s="88"/>
    </row>
    <row r="384" spans="12:106" x14ac:dyDescent="0.2">
      <c r="L384" s="72" t="s">
        <v>1344</v>
      </c>
      <c r="AS384" s="72" t="s">
        <v>1344</v>
      </c>
      <c r="AT384" s="88"/>
      <c r="BW384" s="72" t="s">
        <v>1344</v>
      </c>
      <c r="BX384" s="88"/>
    </row>
    <row r="385" spans="12:76" x14ac:dyDescent="0.2">
      <c r="L385" s="81" t="s">
        <v>1345</v>
      </c>
      <c r="AS385" s="81" t="s">
        <v>1345</v>
      </c>
      <c r="AT385" s="88"/>
      <c r="BW385" s="81" t="s">
        <v>1345</v>
      </c>
      <c r="BX385" s="88"/>
    </row>
    <row r="386" spans="12:76" x14ac:dyDescent="0.2">
      <c r="L386" s="81" t="s">
        <v>1346</v>
      </c>
      <c r="AS386" s="81" t="s">
        <v>1346</v>
      </c>
      <c r="AT386" s="88"/>
      <c r="BW386" s="81" t="s">
        <v>1346</v>
      </c>
      <c r="BX386" s="88"/>
    </row>
    <row r="387" spans="12:76" x14ac:dyDescent="0.2">
      <c r="L387" s="72" t="s">
        <v>1347</v>
      </c>
      <c r="AS387" s="72" t="s">
        <v>1347</v>
      </c>
      <c r="AT387" s="88"/>
      <c r="BW387" s="72" t="s">
        <v>1347</v>
      </c>
      <c r="BX387" s="88"/>
    </row>
    <row r="388" spans="12:76" x14ac:dyDescent="0.2">
      <c r="L388" s="72" t="s">
        <v>1348</v>
      </c>
      <c r="AS388" s="72" t="s">
        <v>1348</v>
      </c>
      <c r="AT388" s="88"/>
      <c r="BW388" s="72" t="s">
        <v>1348</v>
      </c>
      <c r="BX388" s="88"/>
    </row>
    <row r="389" spans="12:76" x14ac:dyDescent="0.2">
      <c r="L389" s="81" t="s">
        <v>1349</v>
      </c>
      <c r="AS389" s="81" t="s">
        <v>1349</v>
      </c>
      <c r="AT389" s="88"/>
      <c r="BW389" s="81" t="s">
        <v>1349</v>
      </c>
      <c r="BX389" s="88"/>
    </row>
    <row r="390" spans="12:76" x14ac:dyDescent="0.2">
      <c r="L390" s="72" t="s">
        <v>1350</v>
      </c>
      <c r="AS390" s="72" t="s">
        <v>1350</v>
      </c>
      <c r="BW390" s="72" t="s">
        <v>1350</v>
      </c>
    </row>
    <row r="391" spans="12:76" x14ac:dyDescent="0.2">
      <c r="L391" s="81" t="s">
        <v>1351</v>
      </c>
      <c r="AS391" s="81" t="s">
        <v>1351</v>
      </c>
      <c r="BW391" s="81" t="s">
        <v>1351</v>
      </c>
    </row>
    <row r="392" spans="12:76" x14ac:dyDescent="0.2">
      <c r="L392" s="81" t="s">
        <v>1352</v>
      </c>
      <c r="AS392" s="81" t="s">
        <v>1352</v>
      </c>
      <c r="BW392" s="81" t="s">
        <v>1352</v>
      </c>
    </row>
    <row r="393" spans="12:76" x14ac:dyDescent="0.2">
      <c r="L393" s="72" t="s">
        <v>1353</v>
      </c>
      <c r="AS393" s="72" t="s">
        <v>1353</v>
      </c>
      <c r="BW393" s="72" t="s">
        <v>1353</v>
      </c>
    </row>
    <row r="394" spans="12:76" x14ac:dyDescent="0.2">
      <c r="L394" s="72" t="s">
        <v>1353</v>
      </c>
      <c r="AS394" s="72" t="s">
        <v>1353</v>
      </c>
      <c r="BW394" s="72" t="s">
        <v>1353</v>
      </c>
    </row>
    <row r="395" spans="12:76" x14ac:dyDescent="0.2">
      <c r="L395" s="81" t="s">
        <v>1354</v>
      </c>
      <c r="AS395" s="81" t="s">
        <v>1354</v>
      </c>
      <c r="BW395" s="81" t="s">
        <v>1354</v>
      </c>
    </row>
    <row r="396" spans="12:76" x14ac:dyDescent="0.2">
      <c r="L396" s="81" t="s">
        <v>1355</v>
      </c>
      <c r="AS396" s="81" t="s">
        <v>1355</v>
      </c>
      <c r="BW396" s="81" t="s">
        <v>1355</v>
      </c>
    </row>
    <row r="397" spans="12:76" x14ac:dyDescent="0.2">
      <c r="L397" s="81" t="s">
        <v>1356</v>
      </c>
      <c r="AS397" s="81" t="s">
        <v>1356</v>
      </c>
      <c r="BW397" s="81" t="s">
        <v>1356</v>
      </c>
    </row>
    <row r="398" spans="12:76" x14ac:dyDescent="0.2">
      <c r="L398" s="72" t="s">
        <v>1357</v>
      </c>
      <c r="AS398" s="72" t="s">
        <v>1357</v>
      </c>
      <c r="BW398" s="72" t="s">
        <v>1357</v>
      </c>
    </row>
    <row r="399" spans="12:76" x14ac:dyDescent="0.2">
      <c r="L399" s="81" t="s">
        <v>1358</v>
      </c>
      <c r="AS399" s="81" t="s">
        <v>1358</v>
      </c>
      <c r="BW399" s="81" t="s">
        <v>1358</v>
      </c>
    </row>
    <row r="400" spans="12:76" x14ac:dyDescent="0.2">
      <c r="L400" s="72" t="s">
        <v>1359</v>
      </c>
      <c r="AS400" s="72" t="s">
        <v>1359</v>
      </c>
      <c r="BW400" s="72" t="s">
        <v>1359</v>
      </c>
    </row>
    <row r="401" spans="12:75" x14ac:dyDescent="0.2">
      <c r="L401" s="81" t="s">
        <v>1360</v>
      </c>
      <c r="AS401" s="81" t="s">
        <v>1360</v>
      </c>
      <c r="BW401" s="81" t="s">
        <v>1360</v>
      </c>
    </row>
    <row r="402" spans="12:75" x14ac:dyDescent="0.2">
      <c r="L402" s="81" t="s">
        <v>1361</v>
      </c>
      <c r="AS402" s="81" t="s">
        <v>1361</v>
      </c>
      <c r="BW402" s="81" t="s">
        <v>1361</v>
      </c>
    </row>
    <row r="403" spans="12:75" x14ac:dyDescent="0.2">
      <c r="L403" s="81" t="s">
        <v>1361</v>
      </c>
      <c r="AS403" s="81" t="s">
        <v>1361</v>
      </c>
      <c r="BW403" s="81" t="s">
        <v>1361</v>
      </c>
    </row>
    <row r="404" spans="12:75" x14ac:dyDescent="0.2">
      <c r="L404" s="81" t="s">
        <v>1362</v>
      </c>
      <c r="AS404" s="81" t="s">
        <v>1362</v>
      </c>
      <c r="BW404" s="81" t="s">
        <v>1362</v>
      </c>
    </row>
    <row r="405" spans="12:75" x14ac:dyDescent="0.2">
      <c r="L405" s="81" t="s">
        <v>1363</v>
      </c>
      <c r="AS405" s="81" t="s">
        <v>1363</v>
      </c>
      <c r="BW405" s="81" t="s">
        <v>1363</v>
      </c>
    </row>
    <row r="406" spans="12:75" x14ac:dyDescent="0.2">
      <c r="L406" s="81" t="s">
        <v>1364</v>
      </c>
      <c r="AS406" s="81" t="s">
        <v>1364</v>
      </c>
      <c r="BW406" s="81" t="s">
        <v>1364</v>
      </c>
    </row>
    <row r="407" spans="12:75" x14ac:dyDescent="0.2">
      <c r="L407" s="81" t="s">
        <v>1365</v>
      </c>
      <c r="AS407" s="81" t="s">
        <v>1365</v>
      </c>
      <c r="BW407" s="81" t="s">
        <v>1365</v>
      </c>
    </row>
    <row r="408" spans="12:75" x14ac:dyDescent="0.2">
      <c r="L408" s="81" t="s">
        <v>1366</v>
      </c>
      <c r="AS408" s="81" t="s">
        <v>1366</v>
      </c>
      <c r="BW408" s="81" t="s">
        <v>1366</v>
      </c>
    </row>
    <row r="409" spans="12:75" x14ac:dyDescent="0.2">
      <c r="L409" s="81" t="s">
        <v>1367</v>
      </c>
      <c r="AS409" s="81" t="s">
        <v>1367</v>
      </c>
      <c r="BW409" s="81" t="s">
        <v>1367</v>
      </c>
    </row>
    <row r="410" spans="12:75" x14ac:dyDescent="0.2">
      <c r="L410" s="81" t="s">
        <v>1368</v>
      </c>
      <c r="AS410" s="81" t="s">
        <v>1368</v>
      </c>
      <c r="BW410" s="81" t="s">
        <v>1368</v>
      </c>
    </row>
    <row r="411" spans="12:75" x14ac:dyDescent="0.2">
      <c r="L411" s="81" t="s">
        <v>1369</v>
      </c>
      <c r="AS411" s="81" t="s">
        <v>1369</v>
      </c>
      <c r="BW411" s="81" t="s">
        <v>1369</v>
      </c>
    </row>
    <row r="412" spans="12:75" x14ac:dyDescent="0.2">
      <c r="L412" s="81" t="s">
        <v>1370</v>
      </c>
      <c r="AS412" s="81" t="s">
        <v>1370</v>
      </c>
      <c r="BW412" s="81" t="s">
        <v>1370</v>
      </c>
    </row>
    <row r="413" spans="12:75" x14ac:dyDescent="0.2">
      <c r="L413" s="81" t="s">
        <v>1371</v>
      </c>
      <c r="AS413" s="81" t="s">
        <v>1371</v>
      </c>
      <c r="BW413" s="81" t="s">
        <v>1371</v>
      </c>
    </row>
    <row r="414" spans="12:75" x14ac:dyDescent="0.2">
      <c r="L414" s="81" t="s">
        <v>1372</v>
      </c>
      <c r="AS414" s="81" t="s">
        <v>1372</v>
      </c>
      <c r="BW414" s="81" t="s">
        <v>1372</v>
      </c>
    </row>
    <row r="415" spans="12:75" x14ac:dyDescent="0.2">
      <c r="L415" s="81" t="s">
        <v>1373</v>
      </c>
      <c r="AS415" s="81" t="s">
        <v>1373</v>
      </c>
      <c r="BW415" s="81" t="s">
        <v>1373</v>
      </c>
    </row>
    <row r="416" spans="12:75" x14ac:dyDescent="0.2">
      <c r="L416" s="81" t="s">
        <v>1374</v>
      </c>
      <c r="AS416" s="81" t="s">
        <v>1374</v>
      </c>
      <c r="BW416" s="81" t="s">
        <v>1374</v>
      </c>
    </row>
    <row r="417" spans="12:75" x14ac:dyDescent="0.2">
      <c r="L417" s="81" t="s">
        <v>1375</v>
      </c>
      <c r="AS417" s="81" t="s">
        <v>1375</v>
      </c>
      <c r="BW417" s="81" t="s">
        <v>1375</v>
      </c>
    </row>
    <row r="418" spans="12:75" x14ac:dyDescent="0.2">
      <c r="L418" s="81" t="s">
        <v>1376</v>
      </c>
      <c r="AS418" s="81" t="s">
        <v>1376</v>
      </c>
      <c r="BW418" s="81" t="s">
        <v>1376</v>
      </c>
    </row>
    <row r="419" spans="12:75" x14ac:dyDescent="0.2">
      <c r="L419" s="81" t="s">
        <v>1377</v>
      </c>
      <c r="AS419" s="81" t="s">
        <v>1377</v>
      </c>
      <c r="BW419" s="81" t="s">
        <v>1377</v>
      </c>
    </row>
    <row r="420" spans="12:75" x14ac:dyDescent="0.2">
      <c r="L420" s="81" t="s">
        <v>1378</v>
      </c>
      <c r="AS420" s="81" t="s">
        <v>1378</v>
      </c>
      <c r="BW420" s="81" t="s">
        <v>1378</v>
      </c>
    </row>
    <row r="421" spans="12:75" x14ac:dyDescent="0.2">
      <c r="L421" s="72" t="s">
        <v>1379</v>
      </c>
      <c r="AS421" s="72" t="s">
        <v>1379</v>
      </c>
      <c r="BW421" s="72" t="s">
        <v>1379</v>
      </c>
    </row>
    <row r="422" spans="12:75" x14ac:dyDescent="0.2">
      <c r="L422" s="81" t="s">
        <v>1380</v>
      </c>
      <c r="AS422" s="81" t="s">
        <v>1380</v>
      </c>
      <c r="BW422" s="81" t="s">
        <v>1380</v>
      </c>
    </row>
    <row r="423" spans="12:75" x14ac:dyDescent="0.2">
      <c r="L423" s="81" t="s">
        <v>1381</v>
      </c>
      <c r="AS423" s="81" t="s">
        <v>1381</v>
      </c>
      <c r="BW423" s="81" t="s">
        <v>1381</v>
      </c>
    </row>
    <row r="424" spans="12:75" x14ac:dyDescent="0.2">
      <c r="L424" s="81" t="s">
        <v>1382</v>
      </c>
      <c r="AS424" s="81" t="s">
        <v>1382</v>
      </c>
      <c r="BW424" s="81" t="s">
        <v>1382</v>
      </c>
    </row>
    <row r="425" spans="12:75" x14ac:dyDescent="0.2">
      <c r="L425" s="72" t="s">
        <v>1383</v>
      </c>
      <c r="AS425" s="72" t="s">
        <v>1383</v>
      </c>
      <c r="BW425" s="72" t="s">
        <v>1383</v>
      </c>
    </row>
    <row r="426" spans="12:75" x14ac:dyDescent="0.2">
      <c r="L426" s="81" t="s">
        <v>1384</v>
      </c>
      <c r="AS426" s="81" t="s">
        <v>1384</v>
      </c>
      <c r="BW426" s="81" t="s">
        <v>1384</v>
      </c>
    </row>
    <row r="427" spans="12:75" x14ac:dyDescent="0.2">
      <c r="L427" s="72" t="s">
        <v>1385</v>
      </c>
      <c r="AS427" s="72" t="s">
        <v>1385</v>
      </c>
      <c r="BW427" s="72" t="s">
        <v>1385</v>
      </c>
    </row>
    <row r="428" spans="12:75" x14ac:dyDescent="0.2">
      <c r="L428" s="72" t="s">
        <v>1386</v>
      </c>
      <c r="AS428" s="72" t="s">
        <v>1386</v>
      </c>
      <c r="BW428" s="72" t="s">
        <v>1386</v>
      </c>
    </row>
    <row r="429" spans="12:75" x14ac:dyDescent="0.2">
      <c r="L429" s="72" t="s">
        <v>1387</v>
      </c>
      <c r="AS429" s="72" t="s">
        <v>1387</v>
      </c>
      <c r="BW429" s="72" t="s">
        <v>1387</v>
      </c>
    </row>
    <row r="430" spans="12:75" x14ac:dyDescent="0.2">
      <c r="L430" s="81" t="s">
        <v>1388</v>
      </c>
      <c r="AS430" s="81" t="s">
        <v>1388</v>
      </c>
      <c r="BW430" s="81" t="s">
        <v>1388</v>
      </c>
    </row>
    <row r="431" spans="12:75" x14ac:dyDescent="0.2">
      <c r="L431" s="81" t="s">
        <v>1389</v>
      </c>
      <c r="AS431" s="81" t="s">
        <v>1389</v>
      </c>
      <c r="BW431" s="81" t="s">
        <v>1389</v>
      </c>
    </row>
    <row r="432" spans="12:75" x14ac:dyDescent="0.2">
      <c r="L432" s="81" t="s">
        <v>1390</v>
      </c>
      <c r="AS432" s="81" t="s">
        <v>1390</v>
      </c>
      <c r="BW432" s="81" t="s">
        <v>1390</v>
      </c>
    </row>
    <row r="433" spans="12:75" x14ac:dyDescent="0.2">
      <c r="L433" s="81" t="s">
        <v>1391</v>
      </c>
      <c r="AS433" s="81" t="s">
        <v>1391</v>
      </c>
      <c r="BW433" s="81" t="s">
        <v>1391</v>
      </c>
    </row>
    <row r="434" spans="12:75" x14ac:dyDescent="0.2">
      <c r="L434" s="81" t="s">
        <v>1392</v>
      </c>
      <c r="AS434" s="81" t="s">
        <v>1392</v>
      </c>
      <c r="BW434" s="81" t="s">
        <v>1392</v>
      </c>
    </row>
    <row r="435" spans="12:75" x14ac:dyDescent="0.2">
      <c r="L435" s="81" t="s">
        <v>1393</v>
      </c>
      <c r="AS435" s="81" t="s">
        <v>1393</v>
      </c>
      <c r="BW435" s="81" t="s">
        <v>1393</v>
      </c>
    </row>
    <row r="436" spans="12:75" x14ac:dyDescent="0.2">
      <c r="L436" s="81" t="s">
        <v>1394</v>
      </c>
      <c r="AS436" s="81" t="s">
        <v>1394</v>
      </c>
      <c r="BW436" s="81" t="s">
        <v>1394</v>
      </c>
    </row>
    <row r="437" spans="12:75" x14ac:dyDescent="0.2">
      <c r="L437" s="72" t="s">
        <v>1395</v>
      </c>
      <c r="AS437" s="72" t="s">
        <v>1395</v>
      </c>
      <c r="BW437" s="72" t="s">
        <v>1395</v>
      </c>
    </row>
    <row r="438" spans="12:75" x14ac:dyDescent="0.2">
      <c r="L438" s="81" t="s">
        <v>1396</v>
      </c>
      <c r="AS438" s="81" t="s">
        <v>1396</v>
      </c>
      <c r="BW438" s="81" t="s">
        <v>1396</v>
      </c>
    </row>
    <row r="439" spans="12:75" x14ac:dyDescent="0.2">
      <c r="L439" s="81" t="s">
        <v>1397</v>
      </c>
      <c r="AS439" s="81" t="s">
        <v>1397</v>
      </c>
      <c r="BW439" s="81" t="s">
        <v>1397</v>
      </c>
    </row>
    <row r="440" spans="12:75" x14ac:dyDescent="0.2">
      <c r="L440" s="81" t="s">
        <v>1398</v>
      </c>
      <c r="AS440" s="81" t="s">
        <v>1398</v>
      </c>
      <c r="BW440" s="81" t="s">
        <v>1398</v>
      </c>
    </row>
    <row r="441" spans="12:75" x14ac:dyDescent="0.2">
      <c r="L441" s="81" t="s">
        <v>1399</v>
      </c>
      <c r="AS441" s="81" t="s">
        <v>1399</v>
      </c>
      <c r="BW441" s="81" t="s">
        <v>1399</v>
      </c>
    </row>
    <row r="442" spans="12:75" x14ac:dyDescent="0.2">
      <c r="L442" s="81" t="s">
        <v>1400</v>
      </c>
      <c r="AS442" s="81" t="s">
        <v>1400</v>
      </c>
      <c r="BW442" s="81" t="s">
        <v>1400</v>
      </c>
    </row>
    <row r="443" spans="12:75" x14ac:dyDescent="0.2">
      <c r="L443" s="72" t="s">
        <v>1401</v>
      </c>
      <c r="AS443" s="72" t="s">
        <v>1401</v>
      </c>
      <c r="BW443" s="72" t="s">
        <v>1401</v>
      </c>
    </row>
    <row r="444" spans="12:75" x14ac:dyDescent="0.2">
      <c r="L444" s="72" t="s">
        <v>1402</v>
      </c>
      <c r="AS444" s="72" t="s">
        <v>1402</v>
      </c>
      <c r="BW444" s="72" t="s">
        <v>1402</v>
      </c>
    </row>
    <row r="445" spans="12:75" x14ac:dyDescent="0.2">
      <c r="L445" s="81" t="s">
        <v>1403</v>
      </c>
      <c r="AS445" s="81" t="s">
        <v>1403</v>
      </c>
      <c r="BW445" s="81" t="s">
        <v>1403</v>
      </c>
    </row>
    <row r="446" spans="12:75" x14ac:dyDescent="0.2">
      <c r="L446" s="81" t="s">
        <v>1404</v>
      </c>
      <c r="AS446" s="81" t="s">
        <v>1404</v>
      </c>
      <c r="BW446" s="81" t="s">
        <v>1404</v>
      </c>
    </row>
    <row r="447" spans="12:75" x14ac:dyDescent="0.2">
      <c r="L447" s="81" t="s">
        <v>1405</v>
      </c>
      <c r="AS447" s="81" t="s">
        <v>1405</v>
      </c>
      <c r="BW447" s="81" t="s">
        <v>1405</v>
      </c>
    </row>
    <row r="448" spans="12:75" x14ac:dyDescent="0.2">
      <c r="L448" s="81" t="s">
        <v>1406</v>
      </c>
      <c r="AS448" s="81" t="s">
        <v>1406</v>
      </c>
      <c r="BW448" s="81" t="s">
        <v>1406</v>
      </c>
    </row>
    <row r="449" spans="12:75" x14ac:dyDescent="0.2">
      <c r="L449" s="81" t="s">
        <v>1407</v>
      </c>
      <c r="AS449" s="81" t="s">
        <v>1407</v>
      </c>
      <c r="BW449" s="81" t="s">
        <v>1407</v>
      </c>
    </row>
    <row r="450" spans="12:75" x14ac:dyDescent="0.2">
      <c r="L450" s="81" t="s">
        <v>1408</v>
      </c>
      <c r="AS450" s="81" t="s">
        <v>1408</v>
      </c>
      <c r="BW450" s="81" t="s">
        <v>1408</v>
      </c>
    </row>
    <row r="451" spans="12:75" x14ac:dyDescent="0.2">
      <c r="L451" s="72" t="s">
        <v>1409</v>
      </c>
      <c r="AS451" s="72" t="s">
        <v>1409</v>
      </c>
      <c r="BW451" s="72" t="s">
        <v>1409</v>
      </c>
    </row>
    <row r="452" spans="12:75" x14ac:dyDescent="0.2">
      <c r="L452" s="81" t="s">
        <v>1410</v>
      </c>
      <c r="AS452" s="81" t="s">
        <v>1410</v>
      </c>
      <c r="BW452" s="81" t="s">
        <v>1410</v>
      </c>
    </row>
    <row r="453" spans="12:75" x14ac:dyDescent="0.2">
      <c r="L453" s="72" t="s">
        <v>1411</v>
      </c>
      <c r="AS453" s="72" t="s">
        <v>1411</v>
      </c>
      <c r="BW453" s="72" t="s">
        <v>1411</v>
      </c>
    </row>
    <row r="454" spans="12:75" x14ac:dyDescent="0.2">
      <c r="L454" s="81" t="s">
        <v>1412</v>
      </c>
      <c r="AS454" s="81" t="s">
        <v>1412</v>
      </c>
      <c r="BW454" s="81" t="s">
        <v>1412</v>
      </c>
    </row>
    <row r="455" spans="12:75" x14ac:dyDescent="0.2">
      <c r="L455" s="81" t="s">
        <v>1413</v>
      </c>
      <c r="AS455" s="81" t="s">
        <v>1413</v>
      </c>
      <c r="BW455" s="81" t="s">
        <v>1413</v>
      </c>
    </row>
    <row r="456" spans="12:75" x14ac:dyDescent="0.2">
      <c r="L456" s="81" t="s">
        <v>1414</v>
      </c>
      <c r="AS456" s="81" t="s">
        <v>1414</v>
      </c>
      <c r="BW456" s="81" t="s">
        <v>1414</v>
      </c>
    </row>
    <row r="457" spans="12:75" x14ac:dyDescent="0.2">
      <c r="L457" s="81" t="s">
        <v>1415</v>
      </c>
      <c r="AS457" s="81" t="s">
        <v>1415</v>
      </c>
      <c r="BW457" s="81" t="s">
        <v>1415</v>
      </c>
    </row>
    <row r="458" spans="12:75" x14ac:dyDescent="0.2">
      <c r="L458" s="81" t="s">
        <v>50</v>
      </c>
      <c r="AS458" s="81" t="s">
        <v>50</v>
      </c>
      <c r="BW458" s="81" t="s">
        <v>50</v>
      </c>
    </row>
    <row r="459" spans="12:75" x14ac:dyDescent="0.2">
      <c r="L459" s="81" t="s">
        <v>60</v>
      </c>
      <c r="AS459" s="81" t="s">
        <v>60</v>
      </c>
      <c r="BW459" s="81" t="s">
        <v>60</v>
      </c>
    </row>
    <row r="460" spans="12:75" x14ac:dyDescent="0.2">
      <c r="L460" s="81" t="s">
        <v>1416</v>
      </c>
      <c r="AS460" s="81" t="s">
        <v>1416</v>
      </c>
      <c r="BW460" s="81" t="s">
        <v>1416</v>
      </c>
    </row>
    <row r="461" spans="12:75" x14ac:dyDescent="0.2">
      <c r="L461" s="81" t="s">
        <v>1417</v>
      </c>
      <c r="AS461" s="81" t="s">
        <v>1417</v>
      </c>
      <c r="BW461" s="81" t="s">
        <v>1417</v>
      </c>
    </row>
    <row r="462" spans="12:75" x14ac:dyDescent="0.2">
      <c r="L462" s="81" t="s">
        <v>1417</v>
      </c>
      <c r="AS462" s="81" t="s">
        <v>1417</v>
      </c>
      <c r="BW462" s="81" t="s">
        <v>1417</v>
      </c>
    </row>
    <row r="463" spans="12:75" x14ac:dyDescent="0.2">
      <c r="L463" s="81" t="s">
        <v>1418</v>
      </c>
      <c r="AS463" s="81" t="s">
        <v>1418</v>
      </c>
      <c r="BW463" s="81" t="s">
        <v>1418</v>
      </c>
    </row>
    <row r="464" spans="12:75" x14ac:dyDescent="0.2">
      <c r="L464" s="81" t="s">
        <v>1419</v>
      </c>
      <c r="AS464" s="81" t="s">
        <v>1419</v>
      </c>
      <c r="BW464" s="81" t="s">
        <v>1419</v>
      </c>
    </row>
    <row r="465" spans="12:75" x14ac:dyDescent="0.2">
      <c r="L465" s="72" t="s">
        <v>1419</v>
      </c>
      <c r="AS465" s="72" t="s">
        <v>1419</v>
      </c>
      <c r="BW465" s="72" t="s">
        <v>1419</v>
      </c>
    </row>
    <row r="466" spans="12:75" x14ac:dyDescent="0.2">
      <c r="L466" s="81" t="s">
        <v>1420</v>
      </c>
      <c r="AS466" s="81" t="s">
        <v>1420</v>
      </c>
      <c r="BW466" s="81" t="s">
        <v>1420</v>
      </c>
    </row>
    <row r="467" spans="12:75" x14ac:dyDescent="0.2">
      <c r="L467" s="81" t="s">
        <v>1421</v>
      </c>
      <c r="AS467" s="81" t="s">
        <v>1421</v>
      </c>
      <c r="BW467" s="81" t="s">
        <v>1421</v>
      </c>
    </row>
    <row r="468" spans="12:75" x14ac:dyDescent="0.2">
      <c r="L468" s="72" t="s">
        <v>1422</v>
      </c>
      <c r="AS468" s="72" t="s">
        <v>1422</v>
      </c>
      <c r="BW468" s="72" t="s">
        <v>1422</v>
      </c>
    </row>
    <row r="469" spans="12:75" x14ac:dyDescent="0.2">
      <c r="L469" s="72" t="s">
        <v>1423</v>
      </c>
      <c r="AS469" s="72" t="s">
        <v>1423</v>
      </c>
      <c r="BW469" s="72" t="s">
        <v>1423</v>
      </c>
    </row>
    <row r="470" spans="12:75" x14ac:dyDescent="0.2">
      <c r="L470" s="72" t="s">
        <v>1424</v>
      </c>
      <c r="AS470" s="72" t="s">
        <v>1424</v>
      </c>
      <c r="BW470" s="72" t="s">
        <v>1424</v>
      </c>
    </row>
    <row r="471" spans="12:75" x14ac:dyDescent="0.2">
      <c r="L471" s="72" t="s">
        <v>1425</v>
      </c>
      <c r="AS471" s="72" t="s">
        <v>1425</v>
      </c>
      <c r="BW471" s="72" t="s">
        <v>1425</v>
      </c>
    </row>
    <row r="472" spans="12:75" x14ac:dyDescent="0.2">
      <c r="L472" s="72" t="s">
        <v>1426</v>
      </c>
      <c r="AS472" s="72" t="s">
        <v>1426</v>
      </c>
      <c r="BW472" s="72" t="s">
        <v>1426</v>
      </c>
    </row>
    <row r="473" spans="12:75" x14ac:dyDescent="0.2">
      <c r="L473" s="81" t="s">
        <v>1427</v>
      </c>
      <c r="AS473" s="81" t="s">
        <v>1427</v>
      </c>
      <c r="BW473" s="81" t="s">
        <v>1427</v>
      </c>
    </row>
    <row r="474" spans="12:75" x14ac:dyDescent="0.2">
      <c r="L474" s="81" t="s">
        <v>1428</v>
      </c>
      <c r="AS474" s="81" t="s">
        <v>1428</v>
      </c>
      <c r="BW474" s="81" t="s">
        <v>1428</v>
      </c>
    </row>
    <row r="475" spans="12:75" x14ac:dyDescent="0.2">
      <c r="L475" s="81" t="s">
        <v>1429</v>
      </c>
      <c r="AS475" s="81" t="s">
        <v>1429</v>
      </c>
      <c r="BW475" s="81" t="s">
        <v>1429</v>
      </c>
    </row>
    <row r="476" spans="12:75" x14ac:dyDescent="0.2">
      <c r="L476" s="81" t="s">
        <v>1430</v>
      </c>
      <c r="AS476" s="81" t="s">
        <v>1430</v>
      </c>
      <c r="BW476" s="81" t="s">
        <v>1430</v>
      </c>
    </row>
    <row r="477" spans="12:75" x14ac:dyDescent="0.2">
      <c r="L477" s="81" t="s">
        <v>1431</v>
      </c>
      <c r="AS477" s="81" t="s">
        <v>1431</v>
      </c>
      <c r="BW477" s="81" t="s">
        <v>1431</v>
      </c>
    </row>
    <row r="478" spans="12:75" x14ac:dyDescent="0.2">
      <c r="L478" s="72" t="s">
        <v>1432</v>
      </c>
      <c r="AS478" s="72" t="s">
        <v>1432</v>
      </c>
      <c r="BW478" s="72" t="s">
        <v>1432</v>
      </c>
    </row>
    <row r="479" spans="12:75" x14ac:dyDescent="0.2">
      <c r="L479" s="72" t="s">
        <v>1433</v>
      </c>
      <c r="AS479" s="72" t="s">
        <v>1433</v>
      </c>
      <c r="BW479" s="72" t="s">
        <v>1433</v>
      </c>
    </row>
    <row r="480" spans="12:75" x14ac:dyDescent="0.2">
      <c r="L480" s="81" t="s">
        <v>1434</v>
      </c>
      <c r="AS480" s="81" t="s">
        <v>1434</v>
      </c>
      <c r="BW480" s="81" t="s">
        <v>1434</v>
      </c>
    </row>
    <row r="481" spans="12:75" x14ac:dyDescent="0.2">
      <c r="L481" s="81" t="s">
        <v>1435</v>
      </c>
      <c r="AS481" s="81" t="s">
        <v>1435</v>
      </c>
      <c r="BW481" s="81" t="s">
        <v>1435</v>
      </c>
    </row>
    <row r="482" spans="12:75" x14ac:dyDescent="0.2">
      <c r="L482" s="81" t="s">
        <v>1436</v>
      </c>
      <c r="AS482" s="81" t="s">
        <v>1436</v>
      </c>
      <c r="BW482" s="81" t="s">
        <v>1436</v>
      </c>
    </row>
    <row r="483" spans="12:75" x14ac:dyDescent="0.2">
      <c r="L483" s="81" t="s">
        <v>1437</v>
      </c>
      <c r="AS483" s="81" t="s">
        <v>1437</v>
      </c>
      <c r="BW483" s="81" t="s">
        <v>1437</v>
      </c>
    </row>
    <row r="484" spans="12:75" x14ac:dyDescent="0.2">
      <c r="L484" s="81" t="s">
        <v>1438</v>
      </c>
      <c r="AS484" s="81" t="s">
        <v>1438</v>
      </c>
      <c r="BW484" s="81" t="s">
        <v>1438</v>
      </c>
    </row>
    <row r="485" spans="12:75" x14ac:dyDescent="0.2">
      <c r="L485" s="81" t="s">
        <v>1439</v>
      </c>
      <c r="AS485" s="81" t="s">
        <v>1439</v>
      </c>
      <c r="BW485" s="81" t="s">
        <v>1439</v>
      </c>
    </row>
    <row r="486" spans="12:75" x14ac:dyDescent="0.2">
      <c r="L486" s="81" t="s">
        <v>1440</v>
      </c>
      <c r="AS486" s="81" t="s">
        <v>1440</v>
      </c>
      <c r="BW486" s="81" t="s">
        <v>1440</v>
      </c>
    </row>
    <row r="487" spans="12:75" x14ac:dyDescent="0.2">
      <c r="L487" s="72" t="s">
        <v>1441</v>
      </c>
      <c r="AS487" s="72" t="s">
        <v>1441</v>
      </c>
      <c r="BW487" s="72" t="s">
        <v>1441</v>
      </c>
    </row>
    <row r="488" spans="12:75" x14ac:dyDescent="0.2">
      <c r="L488" s="81" t="s">
        <v>1442</v>
      </c>
      <c r="AS488" s="81" t="s">
        <v>1442</v>
      </c>
      <c r="BW488" s="81" t="s">
        <v>1442</v>
      </c>
    </row>
    <row r="489" spans="12:75" x14ac:dyDescent="0.2">
      <c r="L489" s="81" t="s">
        <v>1443</v>
      </c>
      <c r="AS489" s="81" t="s">
        <v>1443</v>
      </c>
      <c r="BW489" s="81" t="s">
        <v>1443</v>
      </c>
    </row>
    <row r="490" spans="12:75" x14ac:dyDescent="0.2">
      <c r="L490" s="81" t="s">
        <v>1444</v>
      </c>
      <c r="AS490" s="81" t="s">
        <v>1444</v>
      </c>
      <c r="BW490" s="81" t="s">
        <v>1444</v>
      </c>
    </row>
    <row r="491" spans="12:75" x14ac:dyDescent="0.2">
      <c r="L491" s="81" t="s">
        <v>1445</v>
      </c>
      <c r="AS491" s="81" t="s">
        <v>1445</v>
      </c>
      <c r="BW491" s="81" t="s">
        <v>1445</v>
      </c>
    </row>
    <row r="492" spans="12:75" x14ac:dyDescent="0.2">
      <c r="L492" s="81" t="s">
        <v>1446</v>
      </c>
      <c r="AS492" s="81" t="s">
        <v>1446</v>
      </c>
      <c r="BW492" s="81" t="s">
        <v>1446</v>
      </c>
    </row>
    <row r="493" spans="12:75" x14ac:dyDescent="0.2">
      <c r="L493" s="81" t="s">
        <v>67</v>
      </c>
      <c r="AS493" s="81" t="s">
        <v>67</v>
      </c>
      <c r="BW493" s="81" t="s">
        <v>67</v>
      </c>
    </row>
    <row r="494" spans="12:75" x14ac:dyDescent="0.2">
      <c r="L494" s="81" t="s">
        <v>1447</v>
      </c>
      <c r="AS494" s="81" t="s">
        <v>1447</v>
      </c>
      <c r="BW494" s="81" t="s">
        <v>1447</v>
      </c>
    </row>
    <row r="495" spans="12:75" x14ac:dyDescent="0.2">
      <c r="L495" s="81" t="s">
        <v>1448</v>
      </c>
      <c r="AS495" s="81" t="s">
        <v>1448</v>
      </c>
      <c r="BW495" s="81" t="s">
        <v>1448</v>
      </c>
    </row>
    <row r="496" spans="12:75" x14ac:dyDescent="0.2">
      <c r="L496" s="72" t="s">
        <v>1449</v>
      </c>
      <c r="AS496" s="72" t="s">
        <v>1449</v>
      </c>
      <c r="BW496" s="72" t="s">
        <v>1449</v>
      </c>
    </row>
    <row r="497" spans="12:75" x14ac:dyDescent="0.2">
      <c r="L497" s="72" t="s">
        <v>1450</v>
      </c>
      <c r="AS497" s="72" t="s">
        <v>1450</v>
      </c>
      <c r="BW497" s="72" t="s">
        <v>1450</v>
      </c>
    </row>
    <row r="498" spans="12:75" x14ac:dyDescent="0.2">
      <c r="L498" s="72" t="s">
        <v>1451</v>
      </c>
      <c r="AS498" s="72" t="s">
        <v>1451</v>
      </c>
      <c r="BW498" s="72" t="s">
        <v>1451</v>
      </c>
    </row>
    <row r="499" spans="12:75" x14ac:dyDescent="0.2">
      <c r="L499" s="72" t="s">
        <v>1452</v>
      </c>
      <c r="AS499" s="72" t="s">
        <v>1452</v>
      </c>
      <c r="BW499" s="72" t="s">
        <v>1452</v>
      </c>
    </row>
    <row r="500" spans="12:75" x14ac:dyDescent="0.2">
      <c r="L500" s="72" t="s">
        <v>1453</v>
      </c>
      <c r="AS500" s="72" t="s">
        <v>1453</v>
      </c>
      <c r="BW500" s="72" t="s">
        <v>1453</v>
      </c>
    </row>
    <row r="501" spans="12:75" x14ac:dyDescent="0.2">
      <c r="L501" s="81" t="s">
        <v>1454</v>
      </c>
      <c r="AS501" s="81" t="s">
        <v>1454</v>
      </c>
      <c r="BW501" s="81" t="s">
        <v>1454</v>
      </c>
    </row>
    <row r="502" spans="12:75" x14ac:dyDescent="0.2">
      <c r="L502" s="72" t="s">
        <v>1455</v>
      </c>
      <c r="AS502" s="72" t="s">
        <v>1455</v>
      </c>
      <c r="BW502" s="72" t="s">
        <v>1455</v>
      </c>
    </row>
    <row r="503" spans="12:75" x14ac:dyDescent="0.2">
      <c r="L503" s="81" t="s">
        <v>1456</v>
      </c>
      <c r="AS503" s="81" t="s">
        <v>1456</v>
      </c>
      <c r="BW503" s="81" t="s">
        <v>1456</v>
      </c>
    </row>
    <row r="504" spans="12:75" x14ac:dyDescent="0.2">
      <c r="L504" s="81" t="s">
        <v>1457</v>
      </c>
      <c r="AS504" s="81" t="s">
        <v>1457</v>
      </c>
      <c r="BW504" s="81" t="s">
        <v>1457</v>
      </c>
    </row>
    <row r="505" spans="12:75" x14ac:dyDescent="0.2">
      <c r="L505" s="72" t="s">
        <v>1458</v>
      </c>
      <c r="AS505" s="72" t="s">
        <v>1458</v>
      </c>
      <c r="BW505" s="72" t="s">
        <v>1458</v>
      </c>
    </row>
    <row r="506" spans="12:75" x14ac:dyDescent="0.2">
      <c r="L506" s="72" t="s">
        <v>1459</v>
      </c>
      <c r="AS506" s="72" t="s">
        <v>1459</v>
      </c>
      <c r="BW506" s="72" t="s">
        <v>1459</v>
      </c>
    </row>
    <row r="507" spans="12:75" x14ac:dyDescent="0.2">
      <c r="L507" s="72" t="s">
        <v>1460</v>
      </c>
      <c r="AS507" s="72" t="s">
        <v>1460</v>
      </c>
      <c r="BW507" s="72" t="s">
        <v>1460</v>
      </c>
    </row>
    <row r="508" spans="12:75" x14ac:dyDescent="0.2">
      <c r="L508" s="72" t="s">
        <v>1461</v>
      </c>
      <c r="AS508" s="72" t="s">
        <v>1461</v>
      </c>
      <c r="BW508" s="72" t="s">
        <v>1461</v>
      </c>
    </row>
    <row r="509" spans="12:75" x14ac:dyDescent="0.2">
      <c r="L509" s="72" t="s">
        <v>1462</v>
      </c>
      <c r="AS509" s="72" t="s">
        <v>1462</v>
      </c>
      <c r="BW509" s="72" t="s">
        <v>1462</v>
      </c>
    </row>
    <row r="510" spans="12:75" x14ac:dyDescent="0.2">
      <c r="L510" s="72" t="s">
        <v>1463</v>
      </c>
      <c r="AS510" s="72" t="s">
        <v>1463</v>
      </c>
      <c r="BW510" s="72" t="s">
        <v>1463</v>
      </c>
    </row>
    <row r="511" spans="12:75" x14ac:dyDescent="0.2">
      <c r="L511" s="72" t="s">
        <v>1464</v>
      </c>
      <c r="AS511" s="72" t="s">
        <v>1464</v>
      </c>
      <c r="BW511" s="72" t="s">
        <v>1464</v>
      </c>
    </row>
    <row r="512" spans="12:75" x14ac:dyDescent="0.2">
      <c r="L512" s="72" t="s">
        <v>1465</v>
      </c>
      <c r="AS512" s="72" t="s">
        <v>1465</v>
      </c>
      <c r="BW512" s="72" t="s">
        <v>1465</v>
      </c>
    </row>
    <row r="513" spans="12:75" x14ac:dyDescent="0.2">
      <c r="L513" s="72" t="s">
        <v>1466</v>
      </c>
      <c r="AS513" s="72" t="s">
        <v>1466</v>
      </c>
      <c r="BW513" s="72" t="s">
        <v>1466</v>
      </c>
    </row>
    <row r="514" spans="12:75" x14ac:dyDescent="0.2">
      <c r="L514" s="72" t="s">
        <v>1467</v>
      </c>
      <c r="AS514" s="72" t="s">
        <v>1467</v>
      </c>
      <c r="BW514" s="72" t="s">
        <v>1467</v>
      </c>
    </row>
    <row r="515" spans="12:75" x14ac:dyDescent="0.2">
      <c r="L515" s="72" t="s">
        <v>1468</v>
      </c>
      <c r="AS515" s="72" t="s">
        <v>1468</v>
      </c>
      <c r="BW515" s="72" t="s">
        <v>1468</v>
      </c>
    </row>
    <row r="516" spans="12:75" x14ac:dyDescent="0.2">
      <c r="L516" s="72" t="s">
        <v>1469</v>
      </c>
      <c r="AS516" s="72" t="s">
        <v>1469</v>
      </c>
      <c r="BW516" s="72" t="s">
        <v>1469</v>
      </c>
    </row>
    <row r="517" spans="12:75" x14ac:dyDescent="0.2">
      <c r="L517" s="72" t="s">
        <v>1470</v>
      </c>
      <c r="AS517" s="72" t="s">
        <v>1470</v>
      </c>
      <c r="BW517" s="72" t="s">
        <v>1470</v>
      </c>
    </row>
    <row r="518" spans="12:75" x14ac:dyDescent="0.2">
      <c r="L518" s="72" t="s">
        <v>1471</v>
      </c>
      <c r="AS518" s="72" t="s">
        <v>1471</v>
      </c>
      <c r="BW518" s="72" t="s">
        <v>1471</v>
      </c>
    </row>
    <row r="519" spans="12:75" x14ac:dyDescent="0.2">
      <c r="L519" s="72" t="s">
        <v>1472</v>
      </c>
      <c r="AS519" s="72" t="s">
        <v>1472</v>
      </c>
      <c r="BW519" s="72" t="s">
        <v>1472</v>
      </c>
    </row>
    <row r="520" spans="12:75" x14ac:dyDescent="0.2">
      <c r="L520" s="72" t="s">
        <v>1473</v>
      </c>
      <c r="AS520" s="72" t="s">
        <v>1473</v>
      </c>
      <c r="BW520" s="72" t="s">
        <v>1473</v>
      </c>
    </row>
    <row r="521" spans="12:75" x14ac:dyDescent="0.2">
      <c r="L521" s="72" t="s">
        <v>1474</v>
      </c>
      <c r="AS521" s="72" t="s">
        <v>1474</v>
      </c>
      <c r="BW521" s="72" t="s">
        <v>1474</v>
      </c>
    </row>
    <row r="522" spans="12:75" x14ac:dyDescent="0.2">
      <c r="L522" s="72" t="s">
        <v>1475</v>
      </c>
      <c r="AS522" s="72" t="s">
        <v>1475</v>
      </c>
      <c r="BW522" s="72" t="s">
        <v>1475</v>
      </c>
    </row>
    <row r="523" spans="12:75" x14ac:dyDescent="0.2">
      <c r="L523" s="72" t="s">
        <v>1476</v>
      </c>
      <c r="AS523" s="72" t="s">
        <v>1476</v>
      </c>
      <c r="BW523" s="72" t="s">
        <v>1476</v>
      </c>
    </row>
    <row r="524" spans="12:75" x14ac:dyDescent="0.2">
      <c r="L524" s="72" t="s">
        <v>1477</v>
      </c>
      <c r="AS524" s="72" t="s">
        <v>1477</v>
      </c>
      <c r="BW524" s="72" t="s">
        <v>1477</v>
      </c>
    </row>
    <row r="525" spans="12:75" x14ac:dyDescent="0.2">
      <c r="L525" s="72" t="s">
        <v>1478</v>
      </c>
      <c r="AS525" s="72" t="s">
        <v>1478</v>
      </c>
      <c r="BW525" s="72" t="s">
        <v>1478</v>
      </c>
    </row>
    <row r="526" spans="12:75" x14ac:dyDescent="0.2">
      <c r="L526" s="72" t="s">
        <v>1479</v>
      </c>
      <c r="AS526" s="72" t="s">
        <v>1479</v>
      </c>
      <c r="BW526" s="72" t="s">
        <v>1479</v>
      </c>
    </row>
    <row r="527" spans="12:75" x14ac:dyDescent="0.2">
      <c r="L527" s="72" t="s">
        <v>1480</v>
      </c>
      <c r="AS527" s="72" t="s">
        <v>1480</v>
      </c>
      <c r="BW527" s="72" t="s">
        <v>1480</v>
      </c>
    </row>
    <row r="528" spans="12:75" x14ac:dyDescent="0.2">
      <c r="L528" s="72" t="s">
        <v>1481</v>
      </c>
      <c r="AS528" s="72" t="s">
        <v>1481</v>
      </c>
      <c r="BW528" s="72" t="s">
        <v>1481</v>
      </c>
    </row>
    <row r="529" spans="12:75" x14ac:dyDescent="0.2">
      <c r="L529" s="72" t="s">
        <v>1482</v>
      </c>
      <c r="AS529" s="72" t="s">
        <v>1482</v>
      </c>
      <c r="BW529" s="72" t="s">
        <v>1482</v>
      </c>
    </row>
    <row r="530" spans="12:75" x14ac:dyDescent="0.2">
      <c r="L530" s="72" t="s">
        <v>1483</v>
      </c>
      <c r="AS530" s="72" t="s">
        <v>1483</v>
      </c>
      <c r="BW530" s="72" t="s">
        <v>1483</v>
      </c>
    </row>
    <row r="531" spans="12:75" x14ac:dyDescent="0.2">
      <c r="L531" s="72" t="s">
        <v>1484</v>
      </c>
      <c r="AS531" s="72" t="s">
        <v>1484</v>
      </c>
      <c r="BW531" s="72" t="s">
        <v>1484</v>
      </c>
    </row>
    <row r="532" spans="12:75" x14ac:dyDescent="0.2">
      <c r="L532" s="72" t="s">
        <v>1485</v>
      </c>
      <c r="AS532" s="72" t="s">
        <v>1485</v>
      </c>
      <c r="BW532" s="72" t="s">
        <v>1485</v>
      </c>
    </row>
    <row r="533" spans="12:75" x14ac:dyDescent="0.2">
      <c r="L533" s="72" t="s">
        <v>1486</v>
      </c>
      <c r="AS533" s="72" t="s">
        <v>1486</v>
      </c>
      <c r="BW533" s="72" t="s">
        <v>1486</v>
      </c>
    </row>
    <row r="534" spans="12:75" x14ac:dyDescent="0.2">
      <c r="L534" s="72" t="s">
        <v>1487</v>
      </c>
      <c r="AS534" s="72" t="s">
        <v>1487</v>
      </c>
      <c r="BW534" s="72" t="s">
        <v>1487</v>
      </c>
    </row>
    <row r="535" spans="12:75" x14ac:dyDescent="0.2">
      <c r="L535" s="72" t="s">
        <v>1488</v>
      </c>
      <c r="AS535" s="72" t="s">
        <v>1488</v>
      </c>
      <c r="BW535" s="72" t="s">
        <v>1488</v>
      </c>
    </row>
    <row r="536" spans="12:75" x14ac:dyDescent="0.2">
      <c r="L536" s="72" t="s">
        <v>1489</v>
      </c>
      <c r="AS536" s="72" t="s">
        <v>1489</v>
      </c>
      <c r="BW536" s="72" t="s">
        <v>1489</v>
      </c>
    </row>
    <row r="537" spans="12:75" x14ac:dyDescent="0.2">
      <c r="L537" s="72" t="s">
        <v>1490</v>
      </c>
      <c r="AS537" s="72" t="s">
        <v>1490</v>
      </c>
      <c r="BW537" s="72" t="s">
        <v>1490</v>
      </c>
    </row>
    <row r="538" spans="12:75" x14ac:dyDescent="0.2">
      <c r="L538" s="72" t="s">
        <v>1491</v>
      </c>
      <c r="AS538" s="72" t="s">
        <v>1491</v>
      </c>
      <c r="BW538" s="72" t="s">
        <v>1491</v>
      </c>
    </row>
    <row r="539" spans="12:75" x14ac:dyDescent="0.2">
      <c r="L539" s="72" t="s">
        <v>1492</v>
      </c>
      <c r="AS539" s="72" t="s">
        <v>1492</v>
      </c>
      <c r="BW539" s="72" t="s">
        <v>1492</v>
      </c>
    </row>
    <row r="540" spans="12:75" x14ac:dyDescent="0.2">
      <c r="L540" s="72" t="s">
        <v>1493</v>
      </c>
      <c r="AS540" s="72" t="s">
        <v>1493</v>
      </c>
      <c r="BW540" s="72" t="s">
        <v>1493</v>
      </c>
    </row>
    <row r="541" spans="12:75" x14ac:dyDescent="0.2">
      <c r="L541" s="72" t="s">
        <v>1494</v>
      </c>
      <c r="AS541" s="72" t="s">
        <v>1494</v>
      </c>
      <c r="BW541" s="72" t="s">
        <v>1494</v>
      </c>
    </row>
    <row r="542" spans="12:75" x14ac:dyDescent="0.2">
      <c r="L542" s="72" t="s">
        <v>1495</v>
      </c>
      <c r="AS542" s="72" t="s">
        <v>1495</v>
      </c>
      <c r="BW542" s="72" t="s">
        <v>1495</v>
      </c>
    </row>
    <row r="543" spans="12:75" x14ac:dyDescent="0.2">
      <c r="L543" s="72" t="s">
        <v>1496</v>
      </c>
      <c r="AS543" s="72" t="s">
        <v>1496</v>
      </c>
      <c r="BW543" s="72" t="s">
        <v>1496</v>
      </c>
    </row>
    <row r="544" spans="12:75" x14ac:dyDescent="0.2">
      <c r="L544" s="72" t="s">
        <v>1497</v>
      </c>
      <c r="AS544" s="72" t="s">
        <v>1497</v>
      </c>
      <c r="BW544" s="72" t="s">
        <v>1497</v>
      </c>
    </row>
    <row r="545" spans="12:75" x14ac:dyDescent="0.2">
      <c r="L545" s="72" t="s">
        <v>1498</v>
      </c>
      <c r="AS545" s="72" t="s">
        <v>1498</v>
      </c>
      <c r="BW545" s="72" t="s">
        <v>1498</v>
      </c>
    </row>
    <row r="546" spans="12:75" x14ac:dyDescent="0.2">
      <c r="L546" s="72" t="s">
        <v>1499</v>
      </c>
      <c r="AS546" s="72" t="s">
        <v>1499</v>
      </c>
      <c r="BW546" s="72" t="s">
        <v>1499</v>
      </c>
    </row>
    <row r="547" spans="12:75" x14ac:dyDescent="0.2">
      <c r="L547" s="72" t="s">
        <v>1500</v>
      </c>
      <c r="AS547" s="72" t="s">
        <v>1500</v>
      </c>
      <c r="BW547" s="72" t="s">
        <v>1500</v>
      </c>
    </row>
    <row r="548" spans="12:75" x14ac:dyDescent="0.2">
      <c r="L548" s="72" t="s">
        <v>1501</v>
      </c>
      <c r="AS548" s="72" t="s">
        <v>1501</v>
      </c>
      <c r="BW548" s="72" t="s">
        <v>1501</v>
      </c>
    </row>
    <row r="549" spans="12:75" x14ac:dyDescent="0.2">
      <c r="L549" s="72" t="s">
        <v>1502</v>
      </c>
      <c r="AS549" s="72" t="s">
        <v>1502</v>
      </c>
      <c r="BW549" s="72" t="s">
        <v>1502</v>
      </c>
    </row>
    <row r="550" spans="12:75" x14ac:dyDescent="0.2">
      <c r="L550" s="72" t="s">
        <v>1503</v>
      </c>
      <c r="AS550" s="72" t="s">
        <v>1503</v>
      </c>
      <c r="BW550" s="72" t="s">
        <v>1503</v>
      </c>
    </row>
    <row r="551" spans="12:75" x14ac:dyDescent="0.2">
      <c r="L551" s="72" t="s">
        <v>1504</v>
      </c>
      <c r="AS551" s="72" t="s">
        <v>1504</v>
      </c>
      <c r="BW551" s="72" t="s">
        <v>1504</v>
      </c>
    </row>
    <row r="552" spans="12:75" x14ac:dyDescent="0.2">
      <c r="L552" s="72" t="s">
        <v>1505</v>
      </c>
      <c r="AS552" s="72" t="s">
        <v>1505</v>
      </c>
      <c r="BW552" s="72" t="s">
        <v>1505</v>
      </c>
    </row>
    <row r="553" spans="12:75" x14ac:dyDescent="0.2">
      <c r="L553" s="72" t="s">
        <v>1506</v>
      </c>
      <c r="AS553" s="72" t="s">
        <v>1506</v>
      </c>
      <c r="BW553" s="72" t="s">
        <v>1506</v>
      </c>
    </row>
    <row r="554" spans="12:75" x14ac:dyDescent="0.2">
      <c r="L554" s="72" t="s">
        <v>1507</v>
      </c>
      <c r="AS554" s="72" t="s">
        <v>1507</v>
      </c>
      <c r="BW554" s="72" t="s">
        <v>1507</v>
      </c>
    </row>
    <row r="555" spans="12:75" x14ac:dyDescent="0.2">
      <c r="L555" s="72" t="s">
        <v>1508</v>
      </c>
      <c r="AS555" s="72" t="s">
        <v>1508</v>
      </c>
      <c r="BW555" s="72" t="s">
        <v>1508</v>
      </c>
    </row>
    <row r="556" spans="12:75" x14ac:dyDescent="0.2">
      <c r="L556" s="72" t="s">
        <v>1509</v>
      </c>
      <c r="AS556" s="72" t="s">
        <v>1509</v>
      </c>
      <c r="BW556" s="72" t="s">
        <v>1509</v>
      </c>
    </row>
    <row r="557" spans="12:75" x14ac:dyDescent="0.2">
      <c r="L557" s="72" t="s">
        <v>1510</v>
      </c>
      <c r="AS557" s="72" t="s">
        <v>1510</v>
      </c>
      <c r="BW557" s="72" t="s">
        <v>1510</v>
      </c>
    </row>
    <row r="558" spans="12:75" x14ac:dyDescent="0.2">
      <c r="L558" s="72" t="s">
        <v>1511</v>
      </c>
      <c r="AS558" s="72" t="s">
        <v>1511</v>
      </c>
      <c r="BW558" s="72" t="s">
        <v>1511</v>
      </c>
    </row>
    <row r="559" spans="12:75" x14ac:dyDescent="0.2">
      <c r="L559" s="72" t="s">
        <v>1512</v>
      </c>
      <c r="AS559" s="72" t="s">
        <v>1512</v>
      </c>
      <c r="BW559" s="72" t="s">
        <v>1512</v>
      </c>
    </row>
    <row r="560" spans="12:75" x14ac:dyDescent="0.2">
      <c r="L560" s="72" t="s">
        <v>1513</v>
      </c>
      <c r="AS560" s="72" t="s">
        <v>1513</v>
      </c>
      <c r="BW560" s="72" t="s">
        <v>1513</v>
      </c>
    </row>
    <row r="561" spans="12:75" x14ac:dyDescent="0.2">
      <c r="L561" s="72" t="s">
        <v>1514</v>
      </c>
      <c r="AS561" s="72" t="s">
        <v>1514</v>
      </c>
      <c r="BW561" s="72" t="s">
        <v>1514</v>
      </c>
    </row>
    <row r="562" spans="12:75" x14ac:dyDescent="0.2">
      <c r="L562" s="72" t="s">
        <v>1515</v>
      </c>
      <c r="AS562" s="72" t="s">
        <v>1515</v>
      </c>
      <c r="BW562" s="72" t="s">
        <v>1515</v>
      </c>
    </row>
    <row r="563" spans="12:75" x14ac:dyDescent="0.2">
      <c r="L563" s="72" t="s">
        <v>1516</v>
      </c>
      <c r="AS563" s="72" t="s">
        <v>1516</v>
      </c>
      <c r="BW563" s="72" t="s">
        <v>1516</v>
      </c>
    </row>
    <row r="564" spans="12:75" x14ac:dyDescent="0.2">
      <c r="L564" s="72" t="s">
        <v>1517</v>
      </c>
      <c r="AS564" s="72" t="s">
        <v>1517</v>
      </c>
      <c r="BW564" s="72" t="s">
        <v>1517</v>
      </c>
    </row>
    <row r="565" spans="12:75" x14ac:dyDescent="0.2">
      <c r="L565" s="72" t="s">
        <v>1518</v>
      </c>
      <c r="AS565" s="72" t="s">
        <v>1518</v>
      </c>
      <c r="BW565" s="72" t="s">
        <v>1518</v>
      </c>
    </row>
    <row r="566" spans="12:75" x14ac:dyDescent="0.2">
      <c r="L566" s="72" t="s">
        <v>1519</v>
      </c>
      <c r="AS566" s="72" t="s">
        <v>1519</v>
      </c>
      <c r="BW566" s="72" t="s">
        <v>1519</v>
      </c>
    </row>
    <row r="567" spans="12:75" x14ac:dyDescent="0.2">
      <c r="L567" s="72" t="s">
        <v>1520</v>
      </c>
      <c r="AS567" s="72" t="s">
        <v>1520</v>
      </c>
      <c r="BW567" s="72" t="s">
        <v>1520</v>
      </c>
    </row>
    <row r="568" spans="12:75" x14ac:dyDescent="0.2">
      <c r="L568" s="72" t="s">
        <v>1521</v>
      </c>
      <c r="AS568" s="72" t="s">
        <v>1521</v>
      </c>
      <c r="BW568" s="72" t="s">
        <v>1521</v>
      </c>
    </row>
    <row r="569" spans="12:75" x14ac:dyDescent="0.2">
      <c r="L569" s="72" t="s">
        <v>1522</v>
      </c>
      <c r="AS569" s="72" t="s">
        <v>1522</v>
      </c>
      <c r="BW569" s="72" t="s">
        <v>1522</v>
      </c>
    </row>
    <row r="570" spans="12:75" x14ac:dyDescent="0.2">
      <c r="L570" s="72" t="s">
        <v>1523</v>
      </c>
      <c r="AS570" s="72" t="s">
        <v>1523</v>
      </c>
      <c r="BW570" s="72" t="s">
        <v>1523</v>
      </c>
    </row>
    <row r="571" spans="12:75" x14ac:dyDescent="0.2">
      <c r="L571" s="72" t="s">
        <v>1524</v>
      </c>
      <c r="AS571" s="72" t="s">
        <v>1524</v>
      </c>
      <c r="BW571" s="72" t="s">
        <v>1524</v>
      </c>
    </row>
    <row r="572" spans="12:75" x14ac:dyDescent="0.2">
      <c r="L572" s="72" t="s">
        <v>1525</v>
      </c>
      <c r="AS572" s="72" t="s">
        <v>1525</v>
      </c>
      <c r="BW572" s="72" t="s">
        <v>1525</v>
      </c>
    </row>
    <row r="573" spans="12:75" x14ac:dyDescent="0.2">
      <c r="L573" s="72" t="s">
        <v>1526</v>
      </c>
      <c r="AS573" s="72" t="s">
        <v>1526</v>
      </c>
      <c r="BW573" s="72" t="s">
        <v>1526</v>
      </c>
    </row>
    <row r="574" spans="12:75" x14ac:dyDescent="0.2">
      <c r="L574" s="72" t="s">
        <v>1527</v>
      </c>
      <c r="AS574" s="72" t="s">
        <v>1527</v>
      </c>
      <c r="BW574" s="72" t="s">
        <v>1527</v>
      </c>
    </row>
    <row r="575" spans="12:75" x14ac:dyDescent="0.2">
      <c r="L575" s="72" t="s">
        <v>1528</v>
      </c>
      <c r="AS575" s="72" t="s">
        <v>1528</v>
      </c>
      <c r="BW575" s="72" t="s">
        <v>1528</v>
      </c>
    </row>
    <row r="576" spans="12:75" x14ac:dyDescent="0.2">
      <c r="L576" s="72" t="s">
        <v>1529</v>
      </c>
      <c r="AS576" s="72" t="s">
        <v>1529</v>
      </c>
      <c r="BW576" s="72" t="s">
        <v>1529</v>
      </c>
    </row>
    <row r="577" spans="12:75" x14ac:dyDescent="0.2">
      <c r="L577" s="72" t="s">
        <v>1530</v>
      </c>
      <c r="AS577" s="72" t="s">
        <v>1530</v>
      </c>
      <c r="BW577" s="72" t="s">
        <v>1530</v>
      </c>
    </row>
    <row r="578" spans="12:75" x14ac:dyDescent="0.2">
      <c r="L578" s="72" t="s">
        <v>1531</v>
      </c>
      <c r="AS578" s="72" t="s">
        <v>1531</v>
      </c>
      <c r="BW578" s="72" t="s">
        <v>1531</v>
      </c>
    </row>
    <row r="579" spans="12:75" x14ac:dyDescent="0.2">
      <c r="L579" s="72" t="s">
        <v>1532</v>
      </c>
      <c r="AS579" s="72" t="s">
        <v>1532</v>
      </c>
      <c r="BW579" s="72" t="s">
        <v>1532</v>
      </c>
    </row>
    <row r="580" spans="12:75" x14ac:dyDescent="0.2">
      <c r="L580" s="72" t="s">
        <v>1533</v>
      </c>
      <c r="AS580" s="72" t="s">
        <v>1533</v>
      </c>
      <c r="BW580" s="72" t="s">
        <v>1533</v>
      </c>
    </row>
    <row r="581" spans="12:75" x14ac:dyDescent="0.2">
      <c r="L581" s="72" t="s">
        <v>1534</v>
      </c>
      <c r="AS581" s="72" t="s">
        <v>1534</v>
      </c>
      <c r="BW581" s="72" t="s">
        <v>1534</v>
      </c>
    </row>
    <row r="582" spans="12:75" x14ac:dyDescent="0.2">
      <c r="L582" s="72" t="s">
        <v>1535</v>
      </c>
      <c r="AS582" s="72" t="s">
        <v>1535</v>
      </c>
      <c r="BW582" s="72" t="s">
        <v>1535</v>
      </c>
    </row>
    <row r="583" spans="12:75" x14ac:dyDescent="0.2">
      <c r="L583" s="72" t="s">
        <v>1536</v>
      </c>
      <c r="AS583" s="72" t="s">
        <v>1536</v>
      </c>
      <c r="BW583" s="72" t="s">
        <v>1536</v>
      </c>
    </row>
    <row r="584" spans="12:75" x14ac:dyDescent="0.2">
      <c r="L584" s="81" t="s">
        <v>1537</v>
      </c>
      <c r="AS584" s="81" t="s">
        <v>1537</v>
      </c>
      <c r="BW584" s="81" t="s">
        <v>1537</v>
      </c>
    </row>
    <row r="585" spans="12:75" x14ac:dyDescent="0.2">
      <c r="L585" s="81" t="s">
        <v>1538</v>
      </c>
      <c r="AS585" s="81" t="s">
        <v>1538</v>
      </c>
      <c r="BW585" s="81" t="s">
        <v>1538</v>
      </c>
    </row>
    <row r="586" spans="12:75" x14ac:dyDescent="0.2">
      <c r="L586" s="81" t="s">
        <v>1539</v>
      </c>
      <c r="AS586" s="81" t="s">
        <v>1539</v>
      </c>
      <c r="BW586" s="81" t="s">
        <v>1539</v>
      </c>
    </row>
    <row r="587" spans="12:75" x14ac:dyDescent="0.2">
      <c r="L587" s="81" t="s">
        <v>1540</v>
      </c>
      <c r="AS587" s="81" t="s">
        <v>1540</v>
      </c>
      <c r="BW587" s="81" t="s">
        <v>1540</v>
      </c>
    </row>
    <row r="588" spans="12:75" x14ac:dyDescent="0.2">
      <c r="L588" s="81" t="s">
        <v>1541</v>
      </c>
      <c r="AS588" s="81" t="s">
        <v>1541</v>
      </c>
      <c r="BW588" s="81" t="s">
        <v>1541</v>
      </c>
    </row>
    <row r="589" spans="12:75" x14ac:dyDescent="0.2">
      <c r="L589" s="81" t="s">
        <v>1542</v>
      </c>
      <c r="AS589" s="81" t="s">
        <v>1542</v>
      </c>
      <c r="BW589" s="81" t="s">
        <v>1542</v>
      </c>
    </row>
    <row r="590" spans="12:75" x14ac:dyDescent="0.2">
      <c r="L590" s="72" t="s">
        <v>1543</v>
      </c>
      <c r="AS590" s="72" t="s">
        <v>1543</v>
      </c>
      <c r="BW590" s="72" t="s">
        <v>1543</v>
      </c>
    </row>
    <row r="591" spans="12:75" x14ac:dyDescent="0.2">
      <c r="L591" s="81" t="s">
        <v>1544</v>
      </c>
      <c r="AS591" s="81" t="s">
        <v>1544</v>
      </c>
      <c r="BW591" s="81" t="s">
        <v>1544</v>
      </c>
    </row>
    <row r="592" spans="12:75" x14ac:dyDescent="0.2">
      <c r="L592" s="72" t="s">
        <v>1545</v>
      </c>
      <c r="AS592" s="72" t="s">
        <v>1545</v>
      </c>
      <c r="BW592" s="72" t="s">
        <v>1545</v>
      </c>
    </row>
    <row r="593" spans="12:75" x14ac:dyDescent="0.2">
      <c r="L593" s="72" t="s">
        <v>1545</v>
      </c>
      <c r="AS593" s="72" t="s">
        <v>1545</v>
      </c>
      <c r="BW593" s="72" t="s">
        <v>1545</v>
      </c>
    </row>
    <row r="594" spans="12:75" x14ac:dyDescent="0.2">
      <c r="L594" s="81" t="s">
        <v>1546</v>
      </c>
      <c r="AS594" s="81" t="s">
        <v>1546</v>
      </c>
      <c r="BW594" s="81" t="s">
        <v>1546</v>
      </c>
    </row>
    <row r="595" spans="12:75" x14ac:dyDescent="0.2">
      <c r="L595" s="81" t="s">
        <v>1547</v>
      </c>
      <c r="AS595" s="81" t="s">
        <v>1547</v>
      </c>
      <c r="BW595" s="81" t="s">
        <v>1547</v>
      </c>
    </row>
    <row r="596" spans="12:75" x14ac:dyDescent="0.2">
      <c r="L596" s="81" t="s">
        <v>1548</v>
      </c>
      <c r="AS596" s="81" t="s">
        <v>1548</v>
      </c>
      <c r="BW596" s="81" t="s">
        <v>1548</v>
      </c>
    </row>
    <row r="597" spans="12:75" x14ac:dyDescent="0.2">
      <c r="L597" s="81" t="s">
        <v>1549</v>
      </c>
      <c r="AS597" s="81" t="s">
        <v>1549</v>
      </c>
      <c r="BW597" s="81" t="s">
        <v>1549</v>
      </c>
    </row>
    <row r="598" spans="12:75" x14ac:dyDescent="0.2">
      <c r="L598" s="81" t="s">
        <v>1550</v>
      </c>
      <c r="AS598" s="81" t="s">
        <v>1550</v>
      </c>
      <c r="BW598" s="81" t="s">
        <v>1550</v>
      </c>
    </row>
    <row r="599" spans="12:75" x14ac:dyDescent="0.2">
      <c r="L599" s="72" t="s">
        <v>1551</v>
      </c>
      <c r="AS599" s="72" t="s">
        <v>1551</v>
      </c>
      <c r="BW599" s="72" t="s">
        <v>1551</v>
      </c>
    </row>
    <row r="600" spans="12:75" x14ac:dyDescent="0.2">
      <c r="L600" s="72" t="s">
        <v>1552</v>
      </c>
      <c r="AS600" s="72" t="s">
        <v>1552</v>
      </c>
      <c r="BW600" s="72" t="s">
        <v>1552</v>
      </c>
    </row>
    <row r="601" spans="12:75" x14ac:dyDescent="0.2">
      <c r="L601" s="81" t="s">
        <v>1553</v>
      </c>
      <c r="AS601" s="81" t="s">
        <v>1553</v>
      </c>
      <c r="BW601" s="81" t="s">
        <v>1553</v>
      </c>
    </row>
    <row r="602" spans="12:75" x14ac:dyDescent="0.2">
      <c r="L602" s="81" t="s">
        <v>1554</v>
      </c>
      <c r="AS602" s="81" t="s">
        <v>1554</v>
      </c>
      <c r="BW602" s="81" t="s">
        <v>1554</v>
      </c>
    </row>
    <row r="603" spans="12:75" x14ac:dyDescent="0.2">
      <c r="L603" s="81" t="s">
        <v>1555</v>
      </c>
      <c r="AS603" s="81" t="s">
        <v>1555</v>
      </c>
      <c r="BW603" s="81" t="s">
        <v>1555</v>
      </c>
    </row>
    <row r="604" spans="12:75" x14ac:dyDescent="0.2">
      <c r="L604" s="81" t="s">
        <v>1556</v>
      </c>
      <c r="AS604" s="81" t="s">
        <v>1556</v>
      </c>
      <c r="BW604" s="81" t="s">
        <v>1556</v>
      </c>
    </row>
    <row r="605" spans="12:75" x14ac:dyDescent="0.2">
      <c r="L605" s="81" t="s">
        <v>1557</v>
      </c>
      <c r="AS605" s="81" t="s">
        <v>1557</v>
      </c>
      <c r="BW605" s="81" t="s">
        <v>1557</v>
      </c>
    </row>
    <row r="606" spans="12:75" x14ac:dyDescent="0.2">
      <c r="L606" s="81" t="s">
        <v>1558</v>
      </c>
      <c r="AS606" s="81" t="s">
        <v>1558</v>
      </c>
      <c r="BW606" s="81" t="s">
        <v>1558</v>
      </c>
    </row>
    <row r="607" spans="12:75" x14ac:dyDescent="0.2">
      <c r="L607" s="81" t="s">
        <v>1559</v>
      </c>
      <c r="AS607" s="81" t="s">
        <v>1559</v>
      </c>
      <c r="BW607" s="81" t="s">
        <v>1559</v>
      </c>
    </row>
    <row r="608" spans="12:75" x14ac:dyDescent="0.2">
      <c r="L608" s="72" t="s">
        <v>1560</v>
      </c>
      <c r="AS608" s="72" t="s">
        <v>1560</v>
      </c>
      <c r="BW608" s="72" t="s">
        <v>1560</v>
      </c>
    </row>
    <row r="609" spans="12:75" x14ac:dyDescent="0.2">
      <c r="L609" s="81" t="s">
        <v>1561</v>
      </c>
      <c r="AS609" s="81" t="s">
        <v>1561</v>
      </c>
      <c r="BW609" s="81" t="s">
        <v>1561</v>
      </c>
    </row>
    <row r="610" spans="12:75" x14ac:dyDescent="0.2">
      <c r="L610" s="72" t="s">
        <v>1562</v>
      </c>
      <c r="AS610" s="72" t="s">
        <v>1562</v>
      </c>
      <c r="BW610" s="72" t="s">
        <v>1562</v>
      </c>
    </row>
    <row r="611" spans="12:75" x14ac:dyDescent="0.2">
      <c r="L611" s="81" t="s">
        <v>1563</v>
      </c>
      <c r="AS611" s="81" t="s">
        <v>1563</v>
      </c>
      <c r="BW611" s="81" t="s">
        <v>1563</v>
      </c>
    </row>
    <row r="612" spans="12:75" x14ac:dyDescent="0.2">
      <c r="L612" s="81" t="s">
        <v>1564</v>
      </c>
      <c r="AS612" s="81" t="s">
        <v>1564</v>
      </c>
      <c r="BW612" s="81" t="s">
        <v>1564</v>
      </c>
    </row>
    <row r="613" spans="12:75" x14ac:dyDescent="0.2">
      <c r="L613" s="72" t="s">
        <v>1565</v>
      </c>
      <c r="AS613" s="72" t="s">
        <v>1565</v>
      </c>
      <c r="BW613" s="72" t="s">
        <v>1565</v>
      </c>
    </row>
    <row r="614" spans="12:75" x14ac:dyDescent="0.2">
      <c r="L614" s="81" t="s">
        <v>1566</v>
      </c>
      <c r="AS614" s="81" t="s">
        <v>1566</v>
      </c>
      <c r="BW614" s="81" t="s">
        <v>1566</v>
      </c>
    </row>
    <row r="615" spans="12:75" x14ac:dyDescent="0.2">
      <c r="L615" s="81" t="s">
        <v>1567</v>
      </c>
      <c r="AS615" s="81" t="s">
        <v>1567</v>
      </c>
      <c r="BW615" s="81" t="s">
        <v>1567</v>
      </c>
    </row>
    <row r="616" spans="12:75" x14ac:dyDescent="0.2">
      <c r="L616" s="81" t="s">
        <v>1568</v>
      </c>
      <c r="AS616" s="81" t="s">
        <v>1568</v>
      </c>
      <c r="BW616" s="81" t="s">
        <v>1568</v>
      </c>
    </row>
    <row r="617" spans="12:75" x14ac:dyDescent="0.2">
      <c r="L617" s="81" t="s">
        <v>1569</v>
      </c>
      <c r="AS617" s="81" t="s">
        <v>1569</v>
      </c>
      <c r="BW617" s="81" t="s">
        <v>1569</v>
      </c>
    </row>
    <row r="618" spans="12:75" x14ac:dyDescent="0.2">
      <c r="L618" s="81" t="s">
        <v>1570</v>
      </c>
      <c r="AS618" s="81" t="s">
        <v>1570</v>
      </c>
      <c r="BW618" s="81" t="s">
        <v>1570</v>
      </c>
    </row>
    <row r="619" spans="12:75" x14ac:dyDescent="0.2">
      <c r="L619" s="81" t="s">
        <v>1571</v>
      </c>
      <c r="AS619" s="81" t="s">
        <v>1571</v>
      </c>
      <c r="BW619" s="81" t="s">
        <v>1571</v>
      </c>
    </row>
    <row r="620" spans="12:75" x14ac:dyDescent="0.2">
      <c r="L620" s="81" t="s">
        <v>1572</v>
      </c>
      <c r="AS620" s="81" t="s">
        <v>1572</v>
      </c>
      <c r="BW620" s="81" t="s">
        <v>1572</v>
      </c>
    </row>
    <row r="621" spans="12:75" x14ac:dyDescent="0.2">
      <c r="L621" s="81" t="s">
        <v>1573</v>
      </c>
      <c r="AS621" s="81" t="s">
        <v>1573</v>
      </c>
      <c r="BW621" s="81" t="s">
        <v>1573</v>
      </c>
    </row>
    <row r="622" spans="12:75" x14ac:dyDescent="0.2">
      <c r="L622" s="81" t="s">
        <v>1574</v>
      </c>
      <c r="AS622" s="81" t="s">
        <v>1574</v>
      </c>
      <c r="BW622" s="81" t="s">
        <v>1574</v>
      </c>
    </row>
    <row r="623" spans="12:75" x14ac:dyDescent="0.2">
      <c r="L623" s="81" t="s">
        <v>1575</v>
      </c>
      <c r="AS623" s="81" t="s">
        <v>1575</v>
      </c>
      <c r="BW623" s="81" t="s">
        <v>1575</v>
      </c>
    </row>
    <row r="624" spans="12:75" x14ac:dyDescent="0.2">
      <c r="L624" s="72" t="s">
        <v>1576</v>
      </c>
      <c r="AS624" s="72" t="s">
        <v>1576</v>
      </c>
      <c r="BW624" s="72" t="s">
        <v>1576</v>
      </c>
    </row>
    <row r="625" spans="12:75" x14ac:dyDescent="0.2">
      <c r="L625" s="81" t="s">
        <v>1577</v>
      </c>
      <c r="AS625" s="81" t="s">
        <v>1577</v>
      </c>
      <c r="BW625" s="81" t="s">
        <v>1577</v>
      </c>
    </row>
    <row r="626" spans="12:75" x14ac:dyDescent="0.2">
      <c r="L626" s="81" t="s">
        <v>1578</v>
      </c>
      <c r="AS626" s="81" t="s">
        <v>1578</v>
      </c>
      <c r="BW626" s="81" t="s">
        <v>1578</v>
      </c>
    </row>
    <row r="627" spans="12:75" x14ac:dyDescent="0.2">
      <c r="L627" s="81" t="s">
        <v>1579</v>
      </c>
      <c r="AS627" s="81" t="s">
        <v>1579</v>
      </c>
      <c r="BW627" s="81" t="s">
        <v>1579</v>
      </c>
    </row>
    <row r="628" spans="12:75" x14ac:dyDescent="0.2">
      <c r="L628" s="81" t="s">
        <v>1580</v>
      </c>
      <c r="AS628" s="81" t="s">
        <v>1580</v>
      </c>
      <c r="BW628" s="81" t="s">
        <v>1580</v>
      </c>
    </row>
    <row r="629" spans="12:75" x14ac:dyDescent="0.2">
      <c r="L629" s="81" t="s">
        <v>1581</v>
      </c>
      <c r="AS629" s="81" t="s">
        <v>1581</v>
      </c>
      <c r="BW629" s="81" t="s">
        <v>1581</v>
      </c>
    </row>
    <row r="630" spans="12:75" x14ac:dyDescent="0.2">
      <c r="L630" s="81" t="s">
        <v>1582</v>
      </c>
      <c r="AS630" s="81" t="s">
        <v>1582</v>
      </c>
      <c r="BW630" s="81" t="s">
        <v>1582</v>
      </c>
    </row>
    <row r="631" spans="12:75" x14ac:dyDescent="0.2">
      <c r="L631" s="81" t="s">
        <v>1582</v>
      </c>
      <c r="AS631" s="81" t="s">
        <v>1582</v>
      </c>
      <c r="BW631" s="81" t="s">
        <v>1582</v>
      </c>
    </row>
    <row r="632" spans="12:75" x14ac:dyDescent="0.2">
      <c r="L632" s="81" t="s">
        <v>1583</v>
      </c>
      <c r="AS632" s="81" t="s">
        <v>1583</v>
      </c>
      <c r="BW632" s="81" t="s">
        <v>1583</v>
      </c>
    </row>
    <row r="633" spans="12:75" x14ac:dyDescent="0.2">
      <c r="L633" s="81" t="s">
        <v>1584</v>
      </c>
      <c r="AS633" s="81" t="s">
        <v>1584</v>
      </c>
      <c r="BW633" s="81" t="s">
        <v>1584</v>
      </c>
    </row>
    <row r="634" spans="12:75" x14ac:dyDescent="0.2">
      <c r="L634" s="72" t="s">
        <v>1585</v>
      </c>
      <c r="AS634" s="72" t="s">
        <v>1585</v>
      </c>
      <c r="BW634" s="72" t="s">
        <v>1585</v>
      </c>
    </row>
    <row r="635" spans="12:75" x14ac:dyDescent="0.2">
      <c r="L635" s="81" t="s">
        <v>1586</v>
      </c>
      <c r="AS635" s="81" t="s">
        <v>1586</v>
      </c>
      <c r="BW635" s="81" t="s">
        <v>1586</v>
      </c>
    </row>
    <row r="636" spans="12:75" x14ac:dyDescent="0.2">
      <c r="L636" s="81" t="s">
        <v>1587</v>
      </c>
      <c r="AS636" s="81" t="s">
        <v>1587</v>
      </c>
      <c r="BW636" s="81" t="s">
        <v>1587</v>
      </c>
    </row>
    <row r="637" spans="12:75" x14ac:dyDescent="0.2">
      <c r="L637" s="81" t="s">
        <v>1588</v>
      </c>
      <c r="AS637" s="81" t="s">
        <v>1588</v>
      </c>
      <c r="BW637" s="81" t="s">
        <v>1588</v>
      </c>
    </row>
    <row r="638" spans="12:75" x14ac:dyDescent="0.2">
      <c r="L638" s="81" t="s">
        <v>1589</v>
      </c>
      <c r="AS638" s="81" t="s">
        <v>1589</v>
      </c>
      <c r="BW638" s="81" t="s">
        <v>1589</v>
      </c>
    </row>
  </sheetData>
  <sheetProtection algorithmName="SHA-512" hashValue="1qg3aWnPZHAO5BEE9NGUxfN5XjbnnfWWzhaLp9ja6F4ZqYy9UO1JKlnUBR+ZT/JpuK72VYJ9uLI6kqen8YufSg==" saltValue="KWB0Rf4ogG8qiJDw8kMc4A==" spinCount="100000" sheet="1" objects="1" scenarios="1"/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2"/>
  <sheetViews>
    <sheetView zoomScale="157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6" x14ac:dyDescent="0.2"/>
  <cols>
    <col min="1" max="1" width="9.83203125" style="89" bestFit="1" customWidth="1"/>
    <col min="2" max="2" width="22.83203125" style="89" bestFit="1" customWidth="1"/>
    <col min="3" max="3" width="10.1640625" style="72" bestFit="1" customWidth="1"/>
    <col min="4" max="4" width="22.6640625" style="89" bestFit="1" customWidth="1"/>
    <col min="5" max="5" width="14.33203125" style="89" bestFit="1" customWidth="1"/>
    <col min="6" max="6" width="11.5" style="89" bestFit="1" customWidth="1"/>
    <col min="7" max="7" width="20.5" style="89" bestFit="1" customWidth="1"/>
    <col min="8" max="8" width="16.6640625" style="89" bestFit="1" customWidth="1"/>
    <col min="9" max="9" width="24.33203125" style="89" bestFit="1" customWidth="1"/>
    <col min="10" max="10" width="22.83203125" style="72" bestFit="1" customWidth="1"/>
    <col min="11" max="11" width="22" style="89" bestFit="1" customWidth="1"/>
    <col min="12" max="12" width="20" style="89" bestFit="1" customWidth="1"/>
    <col min="13" max="24" width="8.83203125" style="89" customWidth="1"/>
    <col min="25" max="16384" width="8.83203125" style="89"/>
  </cols>
  <sheetData>
    <row r="1" spans="1:12" x14ac:dyDescent="0.2">
      <c r="A1" s="70" t="s">
        <v>1590</v>
      </c>
      <c r="B1" s="70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7</v>
      </c>
      <c r="H1" s="71" t="s">
        <v>8</v>
      </c>
      <c r="I1" s="71" t="s">
        <v>5</v>
      </c>
      <c r="J1" s="71" t="s">
        <v>6</v>
      </c>
      <c r="K1" s="71" t="s">
        <v>9</v>
      </c>
      <c r="L1" s="71" t="s">
        <v>10</v>
      </c>
    </row>
    <row r="2" spans="1:12" x14ac:dyDescent="0.2">
      <c r="A2" s="89" t="s">
        <v>1591</v>
      </c>
      <c r="B2" s="89" t="s">
        <v>74</v>
      </c>
      <c r="C2" s="72" t="s">
        <v>75</v>
      </c>
      <c r="D2" s="89" t="s">
        <v>76</v>
      </c>
      <c r="J2" s="89"/>
      <c r="K2" s="72" t="s">
        <v>243</v>
      </c>
      <c r="L2" s="72" t="s">
        <v>244</v>
      </c>
    </row>
    <row r="3" spans="1:12" x14ac:dyDescent="0.2">
      <c r="A3" s="89" t="s">
        <v>1591</v>
      </c>
      <c r="B3" s="89" t="s">
        <v>83</v>
      </c>
      <c r="C3" s="72" t="s">
        <v>84</v>
      </c>
      <c r="D3" s="89" t="s">
        <v>85</v>
      </c>
      <c r="J3" s="89"/>
      <c r="K3" s="72" t="s">
        <v>243</v>
      </c>
      <c r="L3" s="72" t="s">
        <v>244</v>
      </c>
    </row>
    <row r="4" spans="1:12" x14ac:dyDescent="0.2">
      <c r="A4" s="89" t="s">
        <v>1591</v>
      </c>
      <c r="B4" s="89" t="s">
        <v>94</v>
      </c>
      <c r="C4" s="72" t="s">
        <v>95</v>
      </c>
      <c r="D4" s="89" t="s">
        <v>96</v>
      </c>
      <c r="J4" s="89"/>
      <c r="K4" s="72" t="s">
        <v>243</v>
      </c>
      <c r="L4" s="72" t="s">
        <v>244</v>
      </c>
    </row>
    <row r="5" spans="1:12" x14ac:dyDescent="0.2">
      <c r="A5" s="89" t="s">
        <v>1591</v>
      </c>
      <c r="B5" s="89" t="s">
        <v>105</v>
      </c>
      <c r="C5" s="72" t="s">
        <v>106</v>
      </c>
      <c r="D5" s="89" t="s">
        <v>107</v>
      </c>
      <c r="J5" s="89"/>
      <c r="K5" s="72" t="s">
        <v>243</v>
      </c>
      <c r="L5" s="72" t="s">
        <v>244</v>
      </c>
    </row>
    <row r="6" spans="1:12" x14ac:dyDescent="0.2">
      <c r="A6" s="89" t="s">
        <v>1591</v>
      </c>
      <c r="B6" s="89" t="s">
        <v>115</v>
      </c>
      <c r="C6" s="72" t="s">
        <v>116</v>
      </c>
      <c r="D6" s="89" t="s">
        <v>117</v>
      </c>
      <c r="J6" s="89"/>
      <c r="K6" s="72" t="s">
        <v>243</v>
      </c>
      <c r="L6" s="72" t="s">
        <v>244</v>
      </c>
    </row>
    <row r="7" spans="1:12" x14ac:dyDescent="0.2">
      <c r="A7" s="89" t="s">
        <v>1591</v>
      </c>
      <c r="B7" s="89" t="s">
        <v>131</v>
      </c>
      <c r="C7" s="72" t="s">
        <v>132</v>
      </c>
      <c r="D7" s="89" t="s">
        <v>133</v>
      </c>
      <c r="J7" s="89"/>
      <c r="K7" s="72" t="s">
        <v>243</v>
      </c>
      <c r="L7" s="72" t="s">
        <v>244</v>
      </c>
    </row>
    <row r="8" spans="1:12" x14ac:dyDescent="0.2">
      <c r="A8" s="89" t="s">
        <v>1591</v>
      </c>
      <c r="B8" s="89" t="s">
        <v>139</v>
      </c>
      <c r="C8" s="72" t="s">
        <v>140</v>
      </c>
      <c r="D8" s="89" t="s">
        <v>141</v>
      </c>
      <c r="J8" s="89"/>
      <c r="K8" s="72" t="s">
        <v>243</v>
      </c>
      <c r="L8" s="72" t="s">
        <v>244</v>
      </c>
    </row>
    <row r="9" spans="1:12" x14ac:dyDescent="0.2">
      <c r="A9" s="89" t="s">
        <v>1591</v>
      </c>
      <c r="B9" s="89" t="s">
        <v>146</v>
      </c>
      <c r="C9" s="72" t="s">
        <v>147</v>
      </c>
      <c r="D9" s="89" t="s">
        <v>148</v>
      </c>
      <c r="J9" s="89"/>
      <c r="K9" s="72" t="s">
        <v>243</v>
      </c>
      <c r="L9" s="72" t="s">
        <v>244</v>
      </c>
    </row>
    <row r="10" spans="1:12" x14ac:dyDescent="0.2">
      <c r="A10" s="89" t="s">
        <v>1591</v>
      </c>
      <c r="B10" s="89" t="s">
        <v>161</v>
      </c>
      <c r="C10" s="72" t="s">
        <v>162</v>
      </c>
      <c r="D10" s="89" t="s">
        <v>163</v>
      </c>
      <c r="J10" s="89"/>
      <c r="K10" s="72" t="s">
        <v>243</v>
      </c>
      <c r="L10" s="72" t="s">
        <v>244</v>
      </c>
    </row>
    <row r="11" spans="1:12" x14ac:dyDescent="0.2">
      <c r="A11" s="89" t="s">
        <v>1591</v>
      </c>
      <c r="B11" s="89" t="s">
        <v>175</v>
      </c>
      <c r="C11" s="72" t="s">
        <v>176</v>
      </c>
      <c r="D11" s="89" t="s">
        <v>177</v>
      </c>
      <c r="J11" s="89"/>
      <c r="K11" s="72" t="s">
        <v>243</v>
      </c>
      <c r="L11" s="72" t="s">
        <v>244</v>
      </c>
    </row>
    <row r="12" spans="1:12" x14ac:dyDescent="0.2">
      <c r="A12" s="89" t="s">
        <v>1591</v>
      </c>
      <c r="B12" s="89" t="s">
        <v>188</v>
      </c>
      <c r="C12" s="72" t="s">
        <v>189</v>
      </c>
      <c r="D12" s="89" t="s">
        <v>190</v>
      </c>
      <c r="J12" s="89"/>
      <c r="K12" s="72" t="s">
        <v>243</v>
      </c>
      <c r="L12" s="72" t="s">
        <v>244</v>
      </c>
    </row>
    <row r="13" spans="1:12" x14ac:dyDescent="0.2">
      <c r="A13" s="89" t="s">
        <v>1591</v>
      </c>
      <c r="B13" s="89" t="s">
        <v>207</v>
      </c>
      <c r="C13" s="72" t="s">
        <v>208</v>
      </c>
      <c r="D13" s="89" t="s">
        <v>209</v>
      </c>
      <c r="J13" s="89"/>
      <c r="K13" s="72" t="s">
        <v>243</v>
      </c>
      <c r="L13" s="72" t="s">
        <v>244</v>
      </c>
    </row>
    <row r="14" spans="1:12" x14ac:dyDescent="0.2">
      <c r="A14" s="89" t="s">
        <v>1591</v>
      </c>
      <c r="B14" s="89" t="s">
        <v>213</v>
      </c>
      <c r="C14" s="72" t="s">
        <v>214</v>
      </c>
      <c r="D14" s="89" t="s">
        <v>215</v>
      </c>
      <c r="J14" s="89"/>
      <c r="K14" s="72" t="s">
        <v>243</v>
      </c>
      <c r="L14" s="72" t="s">
        <v>244</v>
      </c>
    </row>
    <row r="15" spans="1:12" x14ac:dyDescent="0.2">
      <c r="A15" s="89" t="s">
        <v>1591</v>
      </c>
      <c r="B15" s="89" t="s">
        <v>225</v>
      </c>
      <c r="C15" s="72" t="s">
        <v>226</v>
      </c>
      <c r="D15" s="89" t="s">
        <v>227</v>
      </c>
      <c r="J15" s="89"/>
      <c r="K15" s="72" t="s">
        <v>243</v>
      </c>
      <c r="L15" s="72" t="s">
        <v>244</v>
      </c>
    </row>
    <row r="16" spans="1:12" x14ac:dyDescent="0.2">
      <c r="A16" s="89" t="s">
        <v>1591</v>
      </c>
      <c r="B16" s="89" t="s">
        <v>255</v>
      </c>
      <c r="C16" s="72" t="s">
        <v>256</v>
      </c>
      <c r="D16" s="89" t="s">
        <v>257</v>
      </c>
      <c r="J16" s="89"/>
      <c r="K16" s="72" t="s">
        <v>243</v>
      </c>
      <c r="L16" s="72" t="s">
        <v>244</v>
      </c>
    </row>
    <row r="17" spans="1:12" x14ac:dyDescent="0.2">
      <c r="A17" s="89" t="s">
        <v>1591</v>
      </c>
      <c r="B17" s="89" t="s">
        <v>273</v>
      </c>
      <c r="C17" s="72" t="s">
        <v>274</v>
      </c>
      <c r="D17" s="89" t="s">
        <v>275</v>
      </c>
      <c r="J17" s="89"/>
      <c r="K17" s="72" t="s">
        <v>243</v>
      </c>
      <c r="L17" s="72" t="s">
        <v>244</v>
      </c>
    </row>
    <row r="18" spans="1:12" x14ac:dyDescent="0.2">
      <c r="A18" s="89" t="s">
        <v>1591</v>
      </c>
      <c r="B18" s="89" t="s">
        <v>279</v>
      </c>
      <c r="C18" s="72" t="s">
        <v>280</v>
      </c>
      <c r="D18" s="89" t="s">
        <v>281</v>
      </c>
      <c r="J18" s="89"/>
      <c r="K18" s="72" t="s">
        <v>243</v>
      </c>
      <c r="L18" s="72" t="s">
        <v>244</v>
      </c>
    </row>
    <row r="19" spans="1:12" x14ac:dyDescent="0.2">
      <c r="A19" s="89" t="s">
        <v>1591</v>
      </c>
      <c r="B19" s="89" t="s">
        <v>285</v>
      </c>
      <c r="C19" s="72" t="s">
        <v>286</v>
      </c>
      <c r="D19" s="89" t="s">
        <v>287</v>
      </c>
      <c r="J19" s="89"/>
      <c r="K19" s="72" t="s">
        <v>243</v>
      </c>
      <c r="L19" s="72" t="s">
        <v>244</v>
      </c>
    </row>
    <row r="20" spans="1:12" x14ac:dyDescent="0.2">
      <c r="A20" s="89" t="s">
        <v>1591</v>
      </c>
      <c r="B20" s="89" t="s">
        <v>291</v>
      </c>
      <c r="C20" s="72" t="s">
        <v>292</v>
      </c>
      <c r="D20" s="89" t="s">
        <v>293</v>
      </c>
      <c r="J20" s="89"/>
      <c r="K20" s="72" t="s">
        <v>243</v>
      </c>
      <c r="L20" s="72" t="s">
        <v>244</v>
      </c>
    </row>
    <row r="21" spans="1:12" x14ac:dyDescent="0.2">
      <c r="A21" s="89" t="s">
        <v>1592</v>
      </c>
      <c r="B21" s="89" t="s">
        <v>308</v>
      </c>
      <c r="C21" s="72" t="s">
        <v>309</v>
      </c>
      <c r="D21" s="89" t="s">
        <v>310</v>
      </c>
      <c r="J21" s="89"/>
      <c r="K21" s="72" t="s">
        <v>458</v>
      </c>
      <c r="L21" s="72" t="s">
        <v>459</v>
      </c>
    </row>
    <row r="22" spans="1:12" x14ac:dyDescent="0.2">
      <c r="A22" s="89" t="s">
        <v>1592</v>
      </c>
      <c r="B22" s="89" t="s">
        <v>314</v>
      </c>
      <c r="C22" s="72" t="s">
        <v>315</v>
      </c>
      <c r="D22" s="89" t="s">
        <v>316</v>
      </c>
      <c r="J22" s="89"/>
      <c r="K22" s="72" t="s">
        <v>458</v>
      </c>
      <c r="L22" s="72" t="s">
        <v>459</v>
      </c>
    </row>
    <row r="23" spans="1:12" x14ac:dyDescent="0.2">
      <c r="A23" s="89" t="s">
        <v>1592</v>
      </c>
      <c r="B23" s="89" t="s">
        <v>320</v>
      </c>
      <c r="C23" s="72" t="s">
        <v>321</v>
      </c>
      <c r="D23" s="89" t="s">
        <v>322</v>
      </c>
      <c r="J23" s="89"/>
      <c r="K23" s="72" t="s">
        <v>458</v>
      </c>
      <c r="L23" s="72" t="s">
        <v>459</v>
      </c>
    </row>
    <row r="24" spans="1:12" x14ac:dyDescent="0.2">
      <c r="A24" s="89" t="s">
        <v>1592</v>
      </c>
      <c r="B24" s="89" t="s">
        <v>326</v>
      </c>
      <c r="C24" s="72" t="s">
        <v>327</v>
      </c>
      <c r="D24" s="89" t="s">
        <v>328</v>
      </c>
      <c r="J24" s="89"/>
      <c r="K24" s="72" t="s">
        <v>458</v>
      </c>
      <c r="L24" s="72" t="s">
        <v>459</v>
      </c>
    </row>
    <row r="25" spans="1:12" x14ac:dyDescent="0.2">
      <c r="A25" s="89" t="s">
        <v>1592</v>
      </c>
      <c r="B25" s="89" t="s">
        <v>332</v>
      </c>
      <c r="C25" s="72" t="s">
        <v>333</v>
      </c>
      <c r="D25" s="89" t="s">
        <v>334</v>
      </c>
      <c r="J25" s="89"/>
      <c r="K25" s="72" t="s">
        <v>458</v>
      </c>
      <c r="L25" s="72" t="s">
        <v>459</v>
      </c>
    </row>
    <row r="26" spans="1:12" x14ac:dyDescent="0.2">
      <c r="A26" s="89" t="s">
        <v>1592</v>
      </c>
      <c r="B26" s="89" t="s">
        <v>338</v>
      </c>
      <c r="C26" s="72" t="s">
        <v>339</v>
      </c>
      <c r="D26" s="89" t="s">
        <v>340</v>
      </c>
      <c r="J26" s="89"/>
      <c r="K26" s="72" t="s">
        <v>458</v>
      </c>
      <c r="L26" s="72" t="s">
        <v>459</v>
      </c>
    </row>
    <row r="27" spans="1:12" x14ac:dyDescent="0.2">
      <c r="A27" s="89" t="s">
        <v>1592</v>
      </c>
      <c r="B27" s="89" t="s">
        <v>61</v>
      </c>
      <c r="C27" s="72" t="s">
        <v>344</v>
      </c>
      <c r="D27" s="89" t="s">
        <v>345</v>
      </c>
      <c r="J27" s="89"/>
      <c r="K27" s="72" t="s">
        <v>458</v>
      </c>
      <c r="L27" s="72" t="s">
        <v>459</v>
      </c>
    </row>
    <row r="28" spans="1:12" x14ac:dyDescent="0.2">
      <c r="A28" s="89" t="s">
        <v>1592</v>
      </c>
      <c r="B28" s="89" t="s">
        <v>349</v>
      </c>
      <c r="C28" s="72" t="s">
        <v>350</v>
      </c>
      <c r="D28" s="89" t="s">
        <v>351</v>
      </c>
      <c r="J28" s="89"/>
      <c r="K28" s="72" t="s">
        <v>458</v>
      </c>
      <c r="L28" s="72" t="s">
        <v>459</v>
      </c>
    </row>
    <row r="29" spans="1:12" x14ac:dyDescent="0.2">
      <c r="A29" s="89" t="s">
        <v>1592</v>
      </c>
      <c r="B29" s="89" t="s">
        <v>361</v>
      </c>
      <c r="C29" s="72" t="s">
        <v>362</v>
      </c>
      <c r="D29" s="89" t="s">
        <v>363</v>
      </c>
      <c r="J29" s="89"/>
      <c r="K29" s="72" t="s">
        <v>458</v>
      </c>
      <c r="L29" s="72" t="s">
        <v>459</v>
      </c>
    </row>
    <row r="30" spans="1:12" x14ac:dyDescent="0.2">
      <c r="A30" s="89" t="s">
        <v>1592</v>
      </c>
      <c r="B30" s="89" t="s">
        <v>379</v>
      </c>
      <c r="C30" s="72" t="s">
        <v>380</v>
      </c>
      <c r="D30" s="89" t="s">
        <v>381</v>
      </c>
      <c r="J30" s="89"/>
      <c r="K30" s="72" t="s">
        <v>458</v>
      </c>
      <c r="L30" s="72" t="s">
        <v>459</v>
      </c>
    </row>
    <row r="31" spans="1:12" x14ac:dyDescent="0.2">
      <c r="A31" s="89" t="s">
        <v>1592</v>
      </c>
      <c r="B31" s="89" t="s">
        <v>390</v>
      </c>
      <c r="C31" s="72" t="s">
        <v>391</v>
      </c>
      <c r="D31" s="89" t="s">
        <v>392</v>
      </c>
      <c r="J31" s="89"/>
      <c r="K31" s="72" t="s">
        <v>458</v>
      </c>
      <c r="L31" s="72" t="s">
        <v>459</v>
      </c>
    </row>
    <row r="32" spans="1:12" x14ac:dyDescent="0.2">
      <c r="A32" s="89" t="s">
        <v>1592</v>
      </c>
      <c r="B32" s="89" t="s">
        <v>405</v>
      </c>
      <c r="C32" s="72" t="s">
        <v>406</v>
      </c>
      <c r="D32" s="89" t="s">
        <v>407</v>
      </c>
      <c r="J32" s="89"/>
      <c r="K32" s="72" t="s">
        <v>458</v>
      </c>
      <c r="L32" s="72" t="s">
        <v>459</v>
      </c>
    </row>
    <row r="33" spans="1:12" x14ac:dyDescent="0.2">
      <c r="A33" s="89" t="s">
        <v>1592</v>
      </c>
      <c r="B33" s="89" t="s">
        <v>415</v>
      </c>
      <c r="C33" s="72" t="s">
        <v>416</v>
      </c>
      <c r="D33" s="89" t="s">
        <v>417</v>
      </c>
      <c r="J33" s="89"/>
      <c r="K33" s="72" t="s">
        <v>458</v>
      </c>
      <c r="L33" s="72" t="s">
        <v>459</v>
      </c>
    </row>
    <row r="34" spans="1:12" x14ac:dyDescent="0.2">
      <c r="A34" s="89" t="s">
        <v>1592</v>
      </c>
      <c r="B34" s="89" t="s">
        <v>420</v>
      </c>
      <c r="C34" s="72" t="s">
        <v>421</v>
      </c>
      <c r="D34" s="89" t="s">
        <v>422</v>
      </c>
      <c r="J34" s="89"/>
      <c r="K34" s="72" t="s">
        <v>458</v>
      </c>
      <c r="L34" s="72" t="s">
        <v>459</v>
      </c>
    </row>
    <row r="35" spans="1:12" x14ac:dyDescent="0.2">
      <c r="A35" s="89" t="s">
        <v>1592</v>
      </c>
      <c r="B35" s="89" t="s">
        <v>440</v>
      </c>
      <c r="C35" s="72" t="s">
        <v>441</v>
      </c>
      <c r="D35" s="89" t="s">
        <v>442</v>
      </c>
      <c r="J35" s="89"/>
      <c r="K35" s="72" t="s">
        <v>458</v>
      </c>
      <c r="L35" s="72" t="s">
        <v>459</v>
      </c>
    </row>
    <row r="36" spans="1:12" x14ac:dyDescent="0.2">
      <c r="A36" s="89" t="s">
        <v>1592</v>
      </c>
      <c r="B36" s="89" t="s">
        <v>445</v>
      </c>
      <c r="C36" s="72" t="s">
        <v>446</v>
      </c>
      <c r="D36" s="89" t="s">
        <v>447</v>
      </c>
      <c r="J36" s="89"/>
      <c r="K36" s="72" t="s">
        <v>458</v>
      </c>
      <c r="L36" s="72" t="s">
        <v>459</v>
      </c>
    </row>
    <row r="37" spans="1:12" x14ac:dyDescent="0.2">
      <c r="A37" s="89" t="s">
        <v>1592</v>
      </c>
      <c r="B37" s="89" t="s">
        <v>449</v>
      </c>
      <c r="C37" s="72" t="s">
        <v>450</v>
      </c>
      <c r="D37" s="89" t="s">
        <v>451</v>
      </c>
      <c r="J37" s="89"/>
      <c r="K37" s="72" t="s">
        <v>458</v>
      </c>
      <c r="L37" s="72" t="s">
        <v>459</v>
      </c>
    </row>
    <row r="38" spans="1:12" x14ac:dyDescent="0.2">
      <c r="A38" s="89" t="s">
        <v>1592</v>
      </c>
      <c r="B38" s="89" t="s">
        <v>454</v>
      </c>
      <c r="C38" s="72" t="s">
        <v>455</v>
      </c>
      <c r="D38" s="89" t="s">
        <v>456</v>
      </c>
      <c r="J38" s="89"/>
      <c r="K38" s="72" t="s">
        <v>458</v>
      </c>
      <c r="L38" s="72" t="s">
        <v>459</v>
      </c>
    </row>
    <row r="39" spans="1:12" x14ac:dyDescent="0.2">
      <c r="A39" s="89" t="s">
        <v>1592</v>
      </c>
      <c r="B39" s="89" t="s">
        <v>458</v>
      </c>
      <c r="C39" s="72" t="s">
        <v>459</v>
      </c>
      <c r="D39" s="89" t="s">
        <v>460</v>
      </c>
      <c r="J39" s="89"/>
      <c r="K39" s="72" t="s">
        <v>458</v>
      </c>
      <c r="L39" s="72" t="s">
        <v>459</v>
      </c>
    </row>
    <row r="40" spans="1:12" x14ac:dyDescent="0.2">
      <c r="A40" s="89" t="s">
        <v>1592</v>
      </c>
      <c r="B40" s="89" t="s">
        <v>466</v>
      </c>
      <c r="C40" s="72" t="s">
        <v>467</v>
      </c>
      <c r="D40" s="89" t="s">
        <v>468</v>
      </c>
      <c r="J40" s="89"/>
      <c r="K40" s="72" t="s">
        <v>458</v>
      </c>
      <c r="L40" s="72" t="s">
        <v>459</v>
      </c>
    </row>
    <row r="41" spans="1:12" x14ac:dyDescent="0.2">
      <c r="A41" s="89" t="s">
        <v>1592</v>
      </c>
      <c r="B41" s="89" t="s">
        <v>470</v>
      </c>
      <c r="C41" s="72" t="s">
        <v>471</v>
      </c>
      <c r="D41" s="89" t="s">
        <v>472</v>
      </c>
      <c r="J41" s="89"/>
      <c r="K41" s="72" t="s">
        <v>458</v>
      </c>
      <c r="L41" s="72" t="s">
        <v>459</v>
      </c>
    </row>
    <row r="42" spans="1:12" x14ac:dyDescent="0.2">
      <c r="A42" s="89" t="s">
        <v>1592</v>
      </c>
      <c r="B42" s="89" t="s">
        <v>482</v>
      </c>
      <c r="C42" s="72" t="s">
        <v>483</v>
      </c>
      <c r="D42" s="89" t="s">
        <v>484</v>
      </c>
      <c r="J42" s="89"/>
      <c r="K42" s="72" t="s">
        <v>458</v>
      </c>
      <c r="L42" s="72" t="s">
        <v>459</v>
      </c>
    </row>
    <row r="43" spans="1:12" x14ac:dyDescent="0.2">
      <c r="A43" s="89" t="s">
        <v>1592</v>
      </c>
      <c r="B43" s="89" t="s">
        <v>486</v>
      </c>
      <c r="C43" s="72" t="s">
        <v>487</v>
      </c>
      <c r="D43" s="89" t="s">
        <v>488</v>
      </c>
      <c r="J43" s="89"/>
      <c r="K43" s="72" t="s">
        <v>458</v>
      </c>
      <c r="L43" s="72" t="s">
        <v>459</v>
      </c>
    </row>
    <row r="44" spans="1:12" x14ac:dyDescent="0.2">
      <c r="A44" s="89" t="s">
        <v>1592</v>
      </c>
      <c r="B44" s="89" t="s">
        <v>489</v>
      </c>
      <c r="C44" s="72" t="s">
        <v>490</v>
      </c>
      <c r="D44" s="89" t="s">
        <v>491</v>
      </c>
      <c r="J44" s="89"/>
      <c r="K44" s="72" t="s">
        <v>458</v>
      </c>
      <c r="L44" s="72" t="s">
        <v>459</v>
      </c>
    </row>
    <row r="45" spans="1:12" x14ac:dyDescent="0.2">
      <c r="A45" s="89" t="s">
        <v>1592</v>
      </c>
      <c r="B45" s="89" t="s">
        <v>492</v>
      </c>
      <c r="C45" s="72" t="s">
        <v>493</v>
      </c>
      <c r="D45" s="89" t="s">
        <v>494</v>
      </c>
      <c r="J45" s="89"/>
      <c r="K45" s="72" t="s">
        <v>458</v>
      </c>
      <c r="L45" s="72" t="s">
        <v>459</v>
      </c>
    </row>
    <row r="46" spans="1:12" x14ac:dyDescent="0.2">
      <c r="A46" s="89" t="s">
        <v>1592</v>
      </c>
      <c r="B46" s="89" t="s">
        <v>496</v>
      </c>
      <c r="C46" s="72" t="s">
        <v>497</v>
      </c>
      <c r="D46" s="89" t="s">
        <v>498</v>
      </c>
      <c r="J46" s="89"/>
      <c r="K46" s="72" t="s">
        <v>458</v>
      </c>
      <c r="L46" s="72" t="s">
        <v>459</v>
      </c>
    </row>
    <row r="47" spans="1:12" x14ac:dyDescent="0.2">
      <c r="A47" s="89" t="s">
        <v>1592</v>
      </c>
      <c r="B47" s="89" t="s">
        <v>500</v>
      </c>
      <c r="C47" s="72" t="s">
        <v>501</v>
      </c>
      <c r="D47" s="89" t="s">
        <v>502</v>
      </c>
      <c r="J47" s="89"/>
      <c r="K47" s="72" t="s">
        <v>458</v>
      </c>
      <c r="L47" s="72" t="s">
        <v>459</v>
      </c>
    </row>
    <row r="48" spans="1:12" x14ac:dyDescent="0.2">
      <c r="A48" s="89" t="s">
        <v>1592</v>
      </c>
      <c r="B48" s="89" t="s">
        <v>504</v>
      </c>
      <c r="C48" s="72" t="s">
        <v>505</v>
      </c>
      <c r="D48" s="89" t="s">
        <v>506</v>
      </c>
      <c r="J48" s="89"/>
      <c r="K48" s="72" t="s">
        <v>458</v>
      </c>
      <c r="L48" s="72" t="s">
        <v>459</v>
      </c>
    </row>
    <row r="49" spans="1:12" x14ac:dyDescent="0.2">
      <c r="A49" s="89" t="s">
        <v>1593</v>
      </c>
      <c r="B49" s="89" t="s">
        <v>508</v>
      </c>
      <c r="C49" s="72" t="s">
        <v>509</v>
      </c>
      <c r="D49" s="89" t="s">
        <v>510</v>
      </c>
      <c r="J49" s="89"/>
      <c r="K49" s="72" t="s">
        <v>528</v>
      </c>
      <c r="L49" s="72" t="s">
        <v>529</v>
      </c>
    </row>
    <row r="50" spans="1:12" x14ac:dyDescent="0.2">
      <c r="A50" s="89" t="s">
        <v>1593</v>
      </c>
      <c r="B50" s="89" t="s">
        <v>512</v>
      </c>
      <c r="C50" s="72" t="s">
        <v>513</v>
      </c>
      <c r="D50" s="89" t="s">
        <v>514</v>
      </c>
      <c r="J50" s="89"/>
      <c r="K50" s="72" t="s">
        <v>528</v>
      </c>
      <c r="L50" s="72" t="s">
        <v>529</v>
      </c>
    </row>
    <row r="51" spans="1:12" x14ac:dyDescent="0.2">
      <c r="A51" s="89" t="s">
        <v>1593</v>
      </c>
      <c r="B51" s="89" t="s">
        <v>516</v>
      </c>
      <c r="C51" s="72" t="s">
        <v>517</v>
      </c>
      <c r="D51" s="89" t="s">
        <v>518</v>
      </c>
      <c r="J51" s="89"/>
      <c r="K51" s="72" t="s">
        <v>528</v>
      </c>
      <c r="L51" s="72" t="s">
        <v>529</v>
      </c>
    </row>
    <row r="52" spans="1:12" x14ac:dyDescent="0.2">
      <c r="A52" s="89" t="s">
        <v>1593</v>
      </c>
      <c r="B52" s="89" t="s">
        <v>520</v>
      </c>
      <c r="C52" s="72" t="s">
        <v>521</v>
      </c>
      <c r="D52" s="89" t="s">
        <v>522</v>
      </c>
      <c r="J52" s="89"/>
      <c r="K52" s="72" t="s">
        <v>528</v>
      </c>
      <c r="L52" s="72" t="s">
        <v>529</v>
      </c>
    </row>
    <row r="53" spans="1:12" x14ac:dyDescent="0.2">
      <c r="A53" s="89" t="s">
        <v>1593</v>
      </c>
      <c r="B53" s="89" t="s">
        <v>528</v>
      </c>
      <c r="C53" s="72" t="s">
        <v>529</v>
      </c>
      <c r="D53" s="89" t="s">
        <v>530</v>
      </c>
      <c r="J53" s="89"/>
      <c r="K53" s="72" t="s">
        <v>528</v>
      </c>
      <c r="L53" s="72" t="s">
        <v>529</v>
      </c>
    </row>
    <row r="54" spans="1:12" x14ac:dyDescent="0.2">
      <c r="A54" s="89" t="s">
        <v>1593</v>
      </c>
      <c r="B54" s="89" t="s">
        <v>532</v>
      </c>
      <c r="C54" s="72" t="s">
        <v>533</v>
      </c>
      <c r="D54" s="89" t="s">
        <v>534</v>
      </c>
      <c r="J54" s="89"/>
      <c r="K54" s="72" t="s">
        <v>528</v>
      </c>
      <c r="L54" s="72" t="s">
        <v>529</v>
      </c>
    </row>
    <row r="55" spans="1:12" x14ac:dyDescent="0.2">
      <c r="A55" s="89" t="s">
        <v>1593</v>
      </c>
      <c r="B55" s="89" t="s">
        <v>536</v>
      </c>
      <c r="C55" s="72" t="s">
        <v>537</v>
      </c>
      <c r="D55" s="89" t="s">
        <v>538</v>
      </c>
      <c r="J55" s="89"/>
      <c r="K55" s="72" t="s">
        <v>528</v>
      </c>
      <c r="L55" s="72" t="s">
        <v>529</v>
      </c>
    </row>
    <row r="56" spans="1:12" x14ac:dyDescent="0.2">
      <c r="A56" s="89" t="s">
        <v>1593</v>
      </c>
      <c r="B56" s="89" t="s">
        <v>540</v>
      </c>
      <c r="C56" s="72" t="s">
        <v>541</v>
      </c>
      <c r="D56" s="89" t="s">
        <v>542</v>
      </c>
      <c r="J56" s="89"/>
      <c r="K56" s="72" t="s">
        <v>528</v>
      </c>
      <c r="L56" s="72" t="s">
        <v>529</v>
      </c>
    </row>
    <row r="57" spans="1:12" x14ac:dyDescent="0.2">
      <c r="A57" s="89" t="s">
        <v>1593</v>
      </c>
      <c r="B57" s="89" t="s">
        <v>544</v>
      </c>
      <c r="C57" s="72" t="s">
        <v>545</v>
      </c>
      <c r="D57" s="89" t="s">
        <v>546</v>
      </c>
      <c r="J57" s="89"/>
      <c r="K57" s="72" t="s">
        <v>528</v>
      </c>
      <c r="L57" s="72" t="s">
        <v>529</v>
      </c>
    </row>
    <row r="58" spans="1:12" x14ac:dyDescent="0.2">
      <c r="A58" s="89" t="s">
        <v>1593</v>
      </c>
      <c r="B58" s="89" t="s">
        <v>548</v>
      </c>
      <c r="C58" s="72" t="s">
        <v>549</v>
      </c>
      <c r="D58" s="89" t="s">
        <v>550</v>
      </c>
      <c r="J58" s="89"/>
      <c r="K58" s="72" t="s">
        <v>528</v>
      </c>
      <c r="L58" s="72" t="s">
        <v>529</v>
      </c>
    </row>
    <row r="59" spans="1:12" x14ac:dyDescent="0.2">
      <c r="A59" s="89" t="s">
        <v>1593</v>
      </c>
      <c r="B59" s="89" t="s">
        <v>556</v>
      </c>
      <c r="C59" s="72" t="s">
        <v>557</v>
      </c>
      <c r="D59" s="89" t="s">
        <v>558</v>
      </c>
      <c r="J59" s="89"/>
      <c r="K59" s="72" t="s">
        <v>528</v>
      </c>
      <c r="L59" s="72" t="s">
        <v>529</v>
      </c>
    </row>
    <row r="60" spans="1:12" x14ac:dyDescent="0.2">
      <c r="A60" s="89" t="s">
        <v>1593</v>
      </c>
      <c r="B60" s="89" t="s">
        <v>560</v>
      </c>
      <c r="C60" s="72" t="s">
        <v>561</v>
      </c>
      <c r="D60" s="89" t="s">
        <v>562</v>
      </c>
      <c r="J60" s="89"/>
      <c r="K60" s="72" t="s">
        <v>528</v>
      </c>
      <c r="L60" s="72" t="s">
        <v>529</v>
      </c>
    </row>
    <row r="61" spans="1:12" x14ac:dyDescent="0.2">
      <c r="A61" s="89" t="s">
        <v>1593</v>
      </c>
      <c r="B61" s="89" t="s">
        <v>564</v>
      </c>
      <c r="C61" s="72" t="s">
        <v>565</v>
      </c>
      <c r="D61" s="89" t="s">
        <v>566</v>
      </c>
      <c r="J61" s="89"/>
      <c r="K61" s="72" t="s">
        <v>528</v>
      </c>
      <c r="L61" s="72" t="s">
        <v>529</v>
      </c>
    </row>
    <row r="62" spans="1:12" x14ac:dyDescent="0.2">
      <c r="A62" s="89" t="s">
        <v>1593</v>
      </c>
      <c r="B62" s="89" t="s">
        <v>568</v>
      </c>
      <c r="C62" s="72" t="s">
        <v>569</v>
      </c>
      <c r="D62" s="89" t="s">
        <v>570</v>
      </c>
      <c r="J62" s="89"/>
      <c r="K62" s="72" t="s">
        <v>528</v>
      </c>
      <c r="L62" s="72" t="s">
        <v>529</v>
      </c>
    </row>
    <row r="63" spans="1:12" x14ac:dyDescent="0.2">
      <c r="A63" s="89" t="s">
        <v>1593</v>
      </c>
      <c r="B63" s="89" t="s">
        <v>572</v>
      </c>
      <c r="C63" s="72" t="s">
        <v>573</v>
      </c>
      <c r="D63" s="89" t="s">
        <v>574</v>
      </c>
      <c r="J63" s="89"/>
      <c r="K63" s="72" t="s">
        <v>528</v>
      </c>
      <c r="L63" s="72" t="s">
        <v>529</v>
      </c>
    </row>
    <row r="64" spans="1:12" x14ac:dyDescent="0.2">
      <c r="A64" s="89" t="s">
        <v>1593</v>
      </c>
      <c r="B64" s="89" t="s">
        <v>576</v>
      </c>
      <c r="C64" s="72" t="s">
        <v>577</v>
      </c>
      <c r="D64" s="89" t="s">
        <v>578</v>
      </c>
      <c r="J64" s="89"/>
      <c r="K64" s="72" t="s">
        <v>528</v>
      </c>
      <c r="L64" s="72" t="s">
        <v>529</v>
      </c>
    </row>
    <row r="65" spans="1:12" x14ac:dyDescent="0.2">
      <c r="A65" s="89" t="s">
        <v>1593</v>
      </c>
      <c r="B65" s="89" t="s">
        <v>580</v>
      </c>
      <c r="C65" s="72" t="s">
        <v>581</v>
      </c>
      <c r="D65" s="89" t="s">
        <v>582</v>
      </c>
      <c r="J65" s="89"/>
      <c r="K65" s="72" t="s">
        <v>528</v>
      </c>
      <c r="L65" s="72" t="s">
        <v>529</v>
      </c>
    </row>
    <row r="66" spans="1:12" x14ac:dyDescent="0.2">
      <c r="A66" s="89" t="s">
        <v>1593</v>
      </c>
      <c r="B66" s="89" t="s">
        <v>584</v>
      </c>
      <c r="C66" s="72" t="s">
        <v>585</v>
      </c>
      <c r="D66" s="89" t="s">
        <v>586</v>
      </c>
      <c r="J66" s="89"/>
      <c r="K66" s="72" t="s">
        <v>528</v>
      </c>
      <c r="L66" s="72" t="s">
        <v>529</v>
      </c>
    </row>
    <row r="67" spans="1:12" x14ac:dyDescent="0.2">
      <c r="A67" s="89" t="s">
        <v>1593</v>
      </c>
      <c r="B67" s="89" t="s">
        <v>588</v>
      </c>
      <c r="C67" s="72" t="s">
        <v>589</v>
      </c>
      <c r="D67" s="89" t="s">
        <v>590</v>
      </c>
      <c r="J67" s="89"/>
      <c r="K67" s="72" t="s">
        <v>528</v>
      </c>
      <c r="L67" s="72" t="s">
        <v>529</v>
      </c>
    </row>
    <row r="68" spans="1:12" x14ac:dyDescent="0.2">
      <c r="A68" s="89" t="s">
        <v>1593</v>
      </c>
      <c r="B68" s="89" t="s">
        <v>592</v>
      </c>
      <c r="C68" s="72" t="s">
        <v>593</v>
      </c>
      <c r="D68" s="89" t="s">
        <v>594</v>
      </c>
      <c r="J68" s="89"/>
      <c r="K68" s="72" t="s">
        <v>528</v>
      </c>
      <c r="L68" s="72" t="s">
        <v>529</v>
      </c>
    </row>
    <row r="69" spans="1:12" x14ac:dyDescent="0.2">
      <c r="A69" s="89" t="s">
        <v>1593</v>
      </c>
      <c r="B69" s="89" t="s">
        <v>600</v>
      </c>
      <c r="C69" s="72" t="s">
        <v>601</v>
      </c>
      <c r="D69" s="89" t="s">
        <v>602</v>
      </c>
      <c r="J69" s="89"/>
      <c r="K69" s="72" t="s">
        <v>528</v>
      </c>
      <c r="L69" s="72" t="s">
        <v>529</v>
      </c>
    </row>
    <row r="70" spans="1:12" x14ac:dyDescent="0.2">
      <c r="A70" s="89" t="s">
        <v>1593</v>
      </c>
      <c r="B70" s="89" t="s">
        <v>604</v>
      </c>
      <c r="C70" s="72" t="s">
        <v>605</v>
      </c>
      <c r="D70" s="89" t="s">
        <v>606</v>
      </c>
      <c r="J70" s="89"/>
      <c r="K70" s="72" t="s">
        <v>528</v>
      </c>
      <c r="L70" s="72" t="s">
        <v>529</v>
      </c>
    </row>
    <row r="71" spans="1:12" x14ac:dyDescent="0.2">
      <c r="A71" s="89" t="s">
        <v>1593</v>
      </c>
      <c r="B71" s="89" t="s">
        <v>608</v>
      </c>
      <c r="C71" s="72" t="s">
        <v>609</v>
      </c>
      <c r="D71" s="89" t="s">
        <v>610</v>
      </c>
      <c r="J71" s="89"/>
      <c r="K71" s="72" t="s">
        <v>528</v>
      </c>
      <c r="L71" s="72" t="s">
        <v>529</v>
      </c>
    </row>
    <row r="72" spans="1:12" x14ac:dyDescent="0.2">
      <c r="A72" s="89" t="s">
        <v>1593</v>
      </c>
      <c r="B72" s="89" t="s">
        <v>620</v>
      </c>
      <c r="C72" s="72" t="s">
        <v>621</v>
      </c>
      <c r="D72" s="89" t="s">
        <v>622</v>
      </c>
      <c r="J72" s="89"/>
      <c r="K72" s="72" t="s">
        <v>528</v>
      </c>
      <c r="L72" s="72" t="s">
        <v>529</v>
      </c>
    </row>
    <row r="73" spans="1:12" x14ac:dyDescent="0.2">
      <c r="A73" s="89" t="s">
        <v>1593</v>
      </c>
      <c r="B73" s="89" t="s">
        <v>624</v>
      </c>
      <c r="C73" s="72" t="s">
        <v>625</v>
      </c>
      <c r="D73" s="89" t="s">
        <v>626</v>
      </c>
      <c r="J73" s="89"/>
      <c r="K73" s="72" t="s">
        <v>528</v>
      </c>
      <c r="L73" s="72" t="s">
        <v>529</v>
      </c>
    </row>
    <row r="74" spans="1:12" x14ac:dyDescent="0.2">
      <c r="A74" s="89" t="s">
        <v>1593</v>
      </c>
      <c r="B74" s="89" t="s">
        <v>632</v>
      </c>
      <c r="C74" s="72" t="s">
        <v>633</v>
      </c>
      <c r="D74" s="89" t="s">
        <v>634</v>
      </c>
      <c r="J74" s="89"/>
      <c r="K74" s="72" t="s">
        <v>528</v>
      </c>
      <c r="L74" s="72" t="s">
        <v>529</v>
      </c>
    </row>
    <row r="75" spans="1:12" x14ac:dyDescent="0.2">
      <c r="A75" s="89" t="s">
        <v>1593</v>
      </c>
      <c r="B75" s="89" t="s">
        <v>640</v>
      </c>
      <c r="C75" s="72" t="s">
        <v>641</v>
      </c>
      <c r="D75" s="89" t="s">
        <v>642</v>
      </c>
      <c r="J75" s="89"/>
      <c r="K75" s="72" t="s">
        <v>528</v>
      </c>
      <c r="L75" s="72" t="s">
        <v>529</v>
      </c>
    </row>
    <row r="76" spans="1:12" x14ac:dyDescent="0.2">
      <c r="A76" s="89" t="s">
        <v>1593</v>
      </c>
      <c r="B76" s="89" t="s">
        <v>644</v>
      </c>
      <c r="C76" s="72" t="s">
        <v>645</v>
      </c>
      <c r="J76" s="89"/>
      <c r="K76" s="72" t="s">
        <v>528</v>
      </c>
      <c r="L76" s="72" t="s">
        <v>529</v>
      </c>
    </row>
    <row r="77" spans="1:12" x14ac:dyDescent="0.2">
      <c r="A77" s="89" t="s">
        <v>1593</v>
      </c>
      <c r="B77" s="89" t="s">
        <v>651</v>
      </c>
      <c r="C77" s="72" t="s">
        <v>652</v>
      </c>
      <c r="D77" s="89" t="s">
        <v>653</v>
      </c>
      <c r="J77" s="89"/>
      <c r="K77" s="72" t="s">
        <v>528</v>
      </c>
      <c r="L77" s="72" t="s">
        <v>529</v>
      </c>
    </row>
    <row r="78" spans="1:12" x14ac:dyDescent="0.2">
      <c r="A78" s="89" t="s">
        <v>1593</v>
      </c>
      <c r="B78" s="89" t="s">
        <v>655</v>
      </c>
      <c r="C78" s="72" t="s">
        <v>656</v>
      </c>
      <c r="D78" s="89" t="s">
        <v>657</v>
      </c>
      <c r="J78" s="89"/>
      <c r="K78" s="72" t="s">
        <v>528</v>
      </c>
      <c r="L78" s="72" t="s">
        <v>529</v>
      </c>
    </row>
    <row r="79" spans="1:12" x14ac:dyDescent="0.2">
      <c r="A79" s="89" t="s">
        <v>1594</v>
      </c>
      <c r="B79" s="89" t="s">
        <v>663</v>
      </c>
      <c r="C79" s="72" t="s">
        <v>664</v>
      </c>
      <c r="D79" s="89" t="s">
        <v>665</v>
      </c>
      <c r="J79" s="89"/>
      <c r="K79" s="72" t="s">
        <v>717</v>
      </c>
      <c r="L79" s="72" t="s">
        <v>718</v>
      </c>
    </row>
    <row r="80" spans="1:12" x14ac:dyDescent="0.2">
      <c r="A80" s="89" t="s">
        <v>1594</v>
      </c>
      <c r="B80" s="89" t="s">
        <v>667</v>
      </c>
      <c r="C80" s="72" t="s">
        <v>668</v>
      </c>
      <c r="D80" s="89" t="s">
        <v>669</v>
      </c>
      <c r="J80" s="89"/>
      <c r="K80" s="72" t="s">
        <v>717</v>
      </c>
      <c r="L80" s="72" t="s">
        <v>718</v>
      </c>
    </row>
    <row r="81" spans="1:12" x14ac:dyDescent="0.2">
      <c r="A81" s="89" t="s">
        <v>1594</v>
      </c>
      <c r="B81" s="89" t="s">
        <v>671</v>
      </c>
      <c r="C81" s="72" t="s">
        <v>672</v>
      </c>
      <c r="D81" s="89" t="s">
        <v>673</v>
      </c>
      <c r="J81" s="89"/>
      <c r="K81" s="72" t="s">
        <v>717</v>
      </c>
      <c r="L81" s="72" t="s">
        <v>718</v>
      </c>
    </row>
    <row r="82" spans="1:12" x14ac:dyDescent="0.2">
      <c r="A82" s="89" t="s">
        <v>1594</v>
      </c>
      <c r="B82" s="89" t="s">
        <v>675</v>
      </c>
      <c r="C82" s="72" t="s">
        <v>676</v>
      </c>
      <c r="D82" s="89" t="s">
        <v>677</v>
      </c>
      <c r="J82" s="89"/>
      <c r="K82" s="72" t="s">
        <v>717</v>
      </c>
      <c r="L82" s="72" t="s">
        <v>718</v>
      </c>
    </row>
    <row r="83" spans="1:12" x14ac:dyDescent="0.2">
      <c r="A83" s="89" t="s">
        <v>1594</v>
      </c>
      <c r="B83" s="89" t="s">
        <v>679</v>
      </c>
      <c r="C83" s="72" t="s">
        <v>680</v>
      </c>
      <c r="J83" s="89"/>
      <c r="K83" s="72" t="s">
        <v>717</v>
      </c>
      <c r="L83" s="72" t="s">
        <v>718</v>
      </c>
    </row>
    <row r="84" spans="1:12" x14ac:dyDescent="0.2">
      <c r="A84" s="89" t="s">
        <v>1594</v>
      </c>
      <c r="B84" s="89" t="s">
        <v>682</v>
      </c>
      <c r="C84" s="72" t="s">
        <v>683</v>
      </c>
      <c r="D84" s="89" t="s">
        <v>684</v>
      </c>
      <c r="J84" s="89"/>
      <c r="K84" s="72" t="s">
        <v>717</v>
      </c>
      <c r="L84" s="72" t="s">
        <v>718</v>
      </c>
    </row>
    <row r="85" spans="1:12" x14ac:dyDescent="0.2">
      <c r="A85" s="89" t="s">
        <v>1594</v>
      </c>
      <c r="B85" s="89" t="s">
        <v>686</v>
      </c>
      <c r="C85" s="72" t="s">
        <v>687</v>
      </c>
      <c r="D85" s="89" t="s">
        <v>688</v>
      </c>
      <c r="J85" s="89"/>
      <c r="K85" s="72" t="s">
        <v>717</v>
      </c>
      <c r="L85" s="72" t="s">
        <v>718</v>
      </c>
    </row>
    <row r="86" spans="1:12" x14ac:dyDescent="0.2">
      <c r="A86" s="89" t="s">
        <v>1594</v>
      </c>
      <c r="B86" s="89" t="s">
        <v>694</v>
      </c>
      <c r="C86" s="72" t="s">
        <v>695</v>
      </c>
      <c r="D86" s="89" t="s">
        <v>696</v>
      </c>
      <c r="J86" s="89"/>
      <c r="K86" s="72" t="s">
        <v>717</v>
      </c>
      <c r="L86" s="72" t="s">
        <v>718</v>
      </c>
    </row>
    <row r="87" spans="1:12" x14ac:dyDescent="0.2">
      <c r="A87" s="89" t="s">
        <v>1594</v>
      </c>
      <c r="B87" s="89" t="s">
        <v>698</v>
      </c>
      <c r="C87" s="72" t="s">
        <v>699</v>
      </c>
      <c r="D87" s="89" t="s">
        <v>700</v>
      </c>
      <c r="J87" s="89"/>
      <c r="K87" s="72" t="s">
        <v>717</v>
      </c>
      <c r="L87" s="72" t="s">
        <v>718</v>
      </c>
    </row>
    <row r="88" spans="1:12" x14ac:dyDescent="0.2">
      <c r="A88" s="89" t="s">
        <v>1594</v>
      </c>
      <c r="B88" s="89" t="s">
        <v>706</v>
      </c>
      <c r="C88" s="72" t="s">
        <v>707</v>
      </c>
      <c r="D88" s="89" t="s">
        <v>708</v>
      </c>
      <c r="J88" s="89"/>
      <c r="K88" s="72" t="s">
        <v>717</v>
      </c>
      <c r="L88" s="72" t="s">
        <v>718</v>
      </c>
    </row>
    <row r="89" spans="1:12" x14ac:dyDescent="0.2">
      <c r="A89" s="89" t="s">
        <v>1594</v>
      </c>
      <c r="B89" s="89" t="s">
        <v>49</v>
      </c>
      <c r="C89" s="72" t="s">
        <v>710</v>
      </c>
      <c r="D89" s="89" t="s">
        <v>711</v>
      </c>
      <c r="J89" s="89"/>
      <c r="K89" s="72" t="s">
        <v>717</v>
      </c>
      <c r="L89" s="72" t="s">
        <v>718</v>
      </c>
    </row>
    <row r="90" spans="1:12" x14ac:dyDescent="0.2">
      <c r="A90" s="89" t="s">
        <v>1594</v>
      </c>
      <c r="B90" s="89" t="s">
        <v>713</v>
      </c>
      <c r="C90" s="72" t="s">
        <v>714</v>
      </c>
      <c r="D90" s="89" t="s">
        <v>715</v>
      </c>
      <c r="J90" s="89"/>
      <c r="K90" s="72" t="s">
        <v>717</v>
      </c>
      <c r="L90" s="72" t="s">
        <v>718</v>
      </c>
    </row>
    <row r="91" spans="1:12" x14ac:dyDescent="0.2">
      <c r="A91" s="89" t="s">
        <v>1594</v>
      </c>
      <c r="B91" s="89" t="s">
        <v>717</v>
      </c>
      <c r="C91" s="72" t="s">
        <v>718</v>
      </c>
      <c r="D91" s="89" t="s">
        <v>719</v>
      </c>
      <c r="J91" s="89"/>
      <c r="K91" s="72" t="s">
        <v>717</v>
      </c>
      <c r="L91" s="72" t="s">
        <v>718</v>
      </c>
    </row>
    <row r="92" spans="1:12" x14ac:dyDescent="0.2">
      <c r="A92" s="89" t="s">
        <v>1594</v>
      </c>
      <c r="B92" s="89" t="s">
        <v>721</v>
      </c>
      <c r="C92" s="72" t="s">
        <v>722</v>
      </c>
      <c r="D92" s="89" t="s">
        <v>723</v>
      </c>
      <c r="J92" s="89"/>
      <c r="K92" s="72" t="s">
        <v>717</v>
      </c>
      <c r="L92" s="72" t="s">
        <v>718</v>
      </c>
    </row>
    <row r="93" spans="1:12" x14ac:dyDescent="0.2">
      <c r="A93" s="89" t="s">
        <v>1594</v>
      </c>
      <c r="B93" s="89" t="s">
        <v>725</v>
      </c>
      <c r="C93" s="72" t="s">
        <v>726</v>
      </c>
      <c r="D93" s="89" t="s">
        <v>727</v>
      </c>
      <c r="J93" s="89"/>
      <c r="K93" s="72" t="s">
        <v>717</v>
      </c>
      <c r="L93" s="72" t="s">
        <v>718</v>
      </c>
    </row>
    <row r="94" spans="1:12" x14ac:dyDescent="0.2">
      <c r="A94" s="89" t="s">
        <v>1594</v>
      </c>
      <c r="B94" s="89" t="s">
        <v>729</v>
      </c>
      <c r="C94" s="72" t="s">
        <v>730</v>
      </c>
      <c r="D94" s="89" t="s">
        <v>731</v>
      </c>
      <c r="J94" s="89"/>
      <c r="K94" s="72" t="s">
        <v>717</v>
      </c>
      <c r="L94" s="72" t="s">
        <v>718</v>
      </c>
    </row>
    <row r="95" spans="1:12" x14ac:dyDescent="0.2">
      <c r="A95" s="89" t="s">
        <v>1594</v>
      </c>
      <c r="B95" s="89" t="s">
        <v>733</v>
      </c>
      <c r="C95" s="72" t="s">
        <v>734</v>
      </c>
      <c r="D95" s="89" t="s">
        <v>735</v>
      </c>
      <c r="J95" s="89"/>
      <c r="K95" s="72" t="s">
        <v>717</v>
      </c>
      <c r="L95" s="72" t="s">
        <v>718</v>
      </c>
    </row>
    <row r="96" spans="1:12" x14ac:dyDescent="0.2">
      <c r="A96" s="89" t="s">
        <v>1594</v>
      </c>
      <c r="B96" s="89" t="s">
        <v>737</v>
      </c>
      <c r="C96" s="72" t="s">
        <v>738</v>
      </c>
      <c r="D96" s="89" t="s">
        <v>739</v>
      </c>
      <c r="J96" s="89"/>
      <c r="K96" s="72" t="s">
        <v>717</v>
      </c>
      <c r="L96" s="72" t="s">
        <v>718</v>
      </c>
    </row>
    <row r="97" spans="1:12" x14ac:dyDescent="0.2">
      <c r="A97" s="89" t="s">
        <v>1594</v>
      </c>
      <c r="B97" s="89" t="s">
        <v>741</v>
      </c>
      <c r="C97" s="72" t="s">
        <v>742</v>
      </c>
      <c r="D97" s="89" t="s">
        <v>743</v>
      </c>
      <c r="J97" s="89"/>
      <c r="K97" s="72" t="s">
        <v>717</v>
      </c>
      <c r="L97" s="72" t="s">
        <v>718</v>
      </c>
    </row>
    <row r="98" spans="1:12" x14ac:dyDescent="0.2">
      <c r="A98" s="89" t="s">
        <v>1594</v>
      </c>
      <c r="B98" s="89" t="s">
        <v>745</v>
      </c>
      <c r="C98" s="72" t="s">
        <v>746</v>
      </c>
      <c r="D98" s="89" t="s">
        <v>747</v>
      </c>
      <c r="J98" s="89"/>
      <c r="K98" s="72" t="s">
        <v>717</v>
      </c>
      <c r="L98" s="72" t="s">
        <v>718</v>
      </c>
    </row>
    <row r="99" spans="1:12" x14ac:dyDescent="0.2">
      <c r="A99" s="89" t="s">
        <v>1594</v>
      </c>
      <c r="B99" s="89" t="s">
        <v>749</v>
      </c>
      <c r="C99" s="72" t="s">
        <v>750</v>
      </c>
      <c r="J99" s="89"/>
      <c r="K99" s="72" t="s">
        <v>717</v>
      </c>
      <c r="L99" s="72" t="s">
        <v>718</v>
      </c>
    </row>
    <row r="100" spans="1:12" x14ac:dyDescent="0.2">
      <c r="A100" s="89" t="s">
        <v>1594</v>
      </c>
      <c r="B100" s="89" t="s">
        <v>752</v>
      </c>
      <c r="C100" s="72" t="s">
        <v>753</v>
      </c>
      <c r="D100" s="89" t="s">
        <v>754</v>
      </c>
      <c r="J100" s="89"/>
      <c r="K100" s="72" t="s">
        <v>717</v>
      </c>
      <c r="L100" s="72" t="s">
        <v>718</v>
      </c>
    </row>
    <row r="101" spans="1:12" x14ac:dyDescent="0.2">
      <c r="A101" s="89" t="s">
        <v>1594</v>
      </c>
      <c r="B101" s="89" t="s">
        <v>756</v>
      </c>
      <c r="C101" s="72" t="s">
        <v>757</v>
      </c>
      <c r="D101" s="89" t="s">
        <v>758</v>
      </c>
      <c r="J101" s="89"/>
      <c r="K101" s="72" t="s">
        <v>717</v>
      </c>
      <c r="L101" s="72" t="s">
        <v>718</v>
      </c>
    </row>
    <row r="102" spans="1:12" x14ac:dyDescent="0.2">
      <c r="A102" s="89" t="s">
        <v>1594</v>
      </c>
      <c r="B102" s="89" t="s">
        <v>764</v>
      </c>
      <c r="C102" s="72" t="s">
        <v>765</v>
      </c>
      <c r="D102" s="89" t="s">
        <v>766</v>
      </c>
      <c r="J102" s="89"/>
      <c r="K102" s="72" t="s">
        <v>717</v>
      </c>
      <c r="L102" s="72" t="s">
        <v>718</v>
      </c>
    </row>
    <row r="103" spans="1:12" x14ac:dyDescent="0.2">
      <c r="A103" s="89" t="s">
        <v>1594</v>
      </c>
      <c r="B103" s="89" t="s">
        <v>768</v>
      </c>
      <c r="C103" s="72" t="s">
        <v>769</v>
      </c>
      <c r="D103" s="89" t="s">
        <v>770</v>
      </c>
      <c r="J103" s="89"/>
      <c r="K103" s="72" t="s">
        <v>717</v>
      </c>
      <c r="L103" s="72" t="s">
        <v>718</v>
      </c>
    </row>
    <row r="104" spans="1:12" x14ac:dyDescent="0.2">
      <c r="A104" s="89" t="s">
        <v>1594</v>
      </c>
      <c r="B104" s="89" t="s">
        <v>772</v>
      </c>
      <c r="C104" s="72" t="s">
        <v>773</v>
      </c>
      <c r="D104" s="89" t="s">
        <v>774</v>
      </c>
      <c r="J104" s="89"/>
      <c r="K104" s="72" t="s">
        <v>717</v>
      </c>
      <c r="L104" s="72" t="s">
        <v>718</v>
      </c>
    </row>
    <row r="105" spans="1:12" x14ac:dyDescent="0.2">
      <c r="A105" s="89" t="s">
        <v>1594</v>
      </c>
      <c r="B105" s="89" t="s">
        <v>776</v>
      </c>
      <c r="C105" s="72" t="s">
        <v>777</v>
      </c>
      <c r="D105" s="89" t="s">
        <v>778</v>
      </c>
      <c r="J105" s="89"/>
      <c r="K105" s="72" t="s">
        <v>717</v>
      </c>
      <c r="L105" s="72" t="s">
        <v>718</v>
      </c>
    </row>
    <row r="106" spans="1:12" x14ac:dyDescent="0.2">
      <c r="A106" s="89" t="s">
        <v>1594</v>
      </c>
      <c r="B106" s="89" t="s">
        <v>780</v>
      </c>
      <c r="C106" s="72" t="s">
        <v>781</v>
      </c>
      <c r="D106" s="89" t="s">
        <v>782</v>
      </c>
      <c r="J106" s="89"/>
      <c r="K106" s="72" t="s">
        <v>717</v>
      </c>
      <c r="L106" s="72" t="s">
        <v>718</v>
      </c>
    </row>
    <row r="107" spans="1:12" x14ac:dyDescent="0.2">
      <c r="A107" s="89" t="s">
        <v>1594</v>
      </c>
      <c r="B107" s="89" t="s">
        <v>784</v>
      </c>
      <c r="C107" s="72" t="s">
        <v>785</v>
      </c>
      <c r="D107" s="89" t="s">
        <v>786</v>
      </c>
      <c r="J107" s="89"/>
      <c r="K107" s="72" t="s">
        <v>717</v>
      </c>
      <c r="L107" s="72" t="s">
        <v>718</v>
      </c>
    </row>
    <row r="108" spans="1:12" x14ac:dyDescent="0.2">
      <c r="A108" s="89" t="s">
        <v>1594</v>
      </c>
      <c r="B108" s="89" t="s">
        <v>788</v>
      </c>
      <c r="C108" s="72" t="s">
        <v>789</v>
      </c>
      <c r="D108" s="89" t="s">
        <v>790</v>
      </c>
      <c r="J108" s="89"/>
      <c r="K108" s="72" t="s">
        <v>717</v>
      </c>
      <c r="L108" s="72" t="s">
        <v>718</v>
      </c>
    </row>
    <row r="109" spans="1:12" x14ac:dyDescent="0.2">
      <c r="A109" s="89" t="s">
        <v>1594</v>
      </c>
      <c r="B109" s="89" t="s">
        <v>792</v>
      </c>
      <c r="C109" s="72" t="s">
        <v>793</v>
      </c>
      <c r="D109" s="89" t="s">
        <v>794</v>
      </c>
      <c r="J109" s="89"/>
      <c r="K109" s="72" t="s">
        <v>717</v>
      </c>
      <c r="L109" s="72" t="s">
        <v>718</v>
      </c>
    </row>
    <row r="110" spans="1:12" x14ac:dyDescent="0.2">
      <c r="A110" s="89" t="s">
        <v>1595</v>
      </c>
      <c r="B110" s="89" t="s">
        <v>796</v>
      </c>
      <c r="C110" s="72" t="s">
        <v>797</v>
      </c>
      <c r="D110" s="89" t="s">
        <v>798</v>
      </c>
      <c r="J110" s="89"/>
      <c r="K110" s="72" t="s">
        <v>355</v>
      </c>
      <c r="L110" s="72" t="s">
        <v>356</v>
      </c>
    </row>
    <row r="111" spans="1:12" x14ac:dyDescent="0.2">
      <c r="A111" s="89" t="s">
        <v>1595</v>
      </c>
      <c r="B111" s="89" t="s">
        <v>800</v>
      </c>
      <c r="C111" s="72" t="s">
        <v>801</v>
      </c>
      <c r="D111" s="89" t="s">
        <v>802</v>
      </c>
      <c r="J111" s="89"/>
      <c r="K111" s="72" t="s">
        <v>355</v>
      </c>
      <c r="L111" s="72" t="s">
        <v>356</v>
      </c>
    </row>
    <row r="112" spans="1:12" x14ac:dyDescent="0.2">
      <c r="A112" s="89" t="s">
        <v>1595</v>
      </c>
      <c r="B112" s="89" t="s">
        <v>804</v>
      </c>
      <c r="C112" s="72" t="s">
        <v>805</v>
      </c>
      <c r="D112" s="89" t="s">
        <v>806</v>
      </c>
      <c r="J112" s="89"/>
      <c r="K112" s="72" t="s">
        <v>355</v>
      </c>
      <c r="L112" s="72" t="s">
        <v>356</v>
      </c>
    </row>
    <row r="113" spans="1:12" x14ac:dyDescent="0.2">
      <c r="A113" s="89" t="s">
        <v>1595</v>
      </c>
      <c r="B113" s="89" t="s">
        <v>808</v>
      </c>
      <c r="C113" s="72" t="s">
        <v>809</v>
      </c>
      <c r="D113" s="89" t="s">
        <v>810</v>
      </c>
      <c r="J113" s="89"/>
      <c r="K113" s="72" t="s">
        <v>355</v>
      </c>
      <c r="L113" s="72" t="s">
        <v>356</v>
      </c>
    </row>
    <row r="114" spans="1:12" x14ac:dyDescent="0.2">
      <c r="A114" s="89" t="s">
        <v>1595</v>
      </c>
      <c r="B114" s="89" t="s">
        <v>812</v>
      </c>
      <c r="C114" s="72" t="s">
        <v>813</v>
      </c>
      <c r="D114" s="89" t="s">
        <v>814</v>
      </c>
      <c r="J114" s="89"/>
      <c r="K114" s="72" t="s">
        <v>355</v>
      </c>
      <c r="L114" s="72" t="s">
        <v>356</v>
      </c>
    </row>
    <row r="115" spans="1:12" x14ac:dyDescent="0.2">
      <c r="A115" s="89" t="s">
        <v>1595</v>
      </c>
      <c r="B115" s="89" t="s">
        <v>816</v>
      </c>
      <c r="C115" s="72" t="s">
        <v>817</v>
      </c>
      <c r="D115" s="89" t="s">
        <v>818</v>
      </c>
      <c r="J115" s="89"/>
      <c r="K115" s="72" t="s">
        <v>355</v>
      </c>
      <c r="L115" s="72" t="s">
        <v>356</v>
      </c>
    </row>
    <row r="116" spans="1:12" x14ac:dyDescent="0.2">
      <c r="A116" s="89" t="s">
        <v>1595</v>
      </c>
      <c r="B116" s="89" t="s">
        <v>820</v>
      </c>
      <c r="C116" s="72" t="s">
        <v>821</v>
      </c>
      <c r="D116" s="89" t="s">
        <v>822</v>
      </c>
      <c r="J116" s="89"/>
      <c r="K116" s="72" t="s">
        <v>355</v>
      </c>
      <c r="L116" s="72" t="s">
        <v>356</v>
      </c>
    </row>
    <row r="117" spans="1:12" x14ac:dyDescent="0.2">
      <c r="A117" s="89" t="s">
        <v>1595</v>
      </c>
      <c r="B117" s="89" t="s">
        <v>824</v>
      </c>
      <c r="C117" s="72" t="s">
        <v>825</v>
      </c>
      <c r="D117" s="89" t="s">
        <v>826</v>
      </c>
      <c r="J117" s="89"/>
      <c r="K117" s="72" t="s">
        <v>355</v>
      </c>
      <c r="L117" s="72" t="s">
        <v>356</v>
      </c>
    </row>
    <row r="118" spans="1:12" x14ac:dyDescent="0.2">
      <c r="A118" s="89" t="s">
        <v>1595</v>
      </c>
      <c r="B118" s="89" t="s">
        <v>828</v>
      </c>
      <c r="C118" s="72" t="s">
        <v>829</v>
      </c>
      <c r="D118" s="89" t="s">
        <v>830</v>
      </c>
      <c r="J118" s="89"/>
      <c r="K118" s="72" t="s">
        <v>355</v>
      </c>
      <c r="L118" s="72" t="s">
        <v>356</v>
      </c>
    </row>
    <row r="119" spans="1:12" x14ac:dyDescent="0.2">
      <c r="A119" s="89" t="s">
        <v>1595</v>
      </c>
      <c r="B119" s="89" t="s">
        <v>832</v>
      </c>
      <c r="C119" s="72" t="s">
        <v>833</v>
      </c>
      <c r="D119" s="89" t="s">
        <v>834</v>
      </c>
      <c r="J119" s="89"/>
      <c r="K119" s="72" t="s">
        <v>355</v>
      </c>
      <c r="L119" s="72" t="s">
        <v>356</v>
      </c>
    </row>
    <row r="120" spans="1:12" x14ac:dyDescent="0.2">
      <c r="A120" s="89" t="s">
        <v>1595</v>
      </c>
      <c r="B120" s="89" t="s">
        <v>836</v>
      </c>
      <c r="C120" s="72" t="s">
        <v>837</v>
      </c>
      <c r="D120" s="89" t="s">
        <v>838</v>
      </c>
      <c r="J120" s="89"/>
      <c r="K120" s="72" t="s">
        <v>355</v>
      </c>
      <c r="L120" s="72" t="s">
        <v>356</v>
      </c>
    </row>
    <row r="121" spans="1:12" x14ac:dyDescent="0.2">
      <c r="A121" s="89" t="s">
        <v>1595</v>
      </c>
      <c r="B121" s="89" t="s">
        <v>840</v>
      </c>
      <c r="C121" s="72" t="s">
        <v>841</v>
      </c>
      <c r="D121" s="89" t="s">
        <v>842</v>
      </c>
      <c r="J121" s="89"/>
      <c r="K121" s="72" t="s">
        <v>355</v>
      </c>
      <c r="L121" s="72" t="s">
        <v>356</v>
      </c>
    </row>
    <row r="122" spans="1:12" x14ac:dyDescent="0.2">
      <c r="A122" s="89" t="s">
        <v>1595</v>
      </c>
      <c r="B122" s="89" t="s">
        <v>844</v>
      </c>
      <c r="C122" s="72" t="s">
        <v>845</v>
      </c>
      <c r="D122" s="89" t="s">
        <v>846</v>
      </c>
      <c r="J122" s="89"/>
      <c r="K122" s="72" t="s">
        <v>355</v>
      </c>
      <c r="L122" s="72" t="s">
        <v>356</v>
      </c>
    </row>
    <row r="123" spans="1:12" x14ac:dyDescent="0.2">
      <c r="A123" s="89" t="s">
        <v>1595</v>
      </c>
      <c r="B123" s="89" t="s">
        <v>848</v>
      </c>
      <c r="C123" s="72" t="s">
        <v>849</v>
      </c>
      <c r="D123" s="89" t="s">
        <v>850</v>
      </c>
      <c r="J123" s="89"/>
      <c r="K123" s="72" t="s">
        <v>355</v>
      </c>
      <c r="L123" s="72" t="s">
        <v>356</v>
      </c>
    </row>
    <row r="124" spans="1:12" x14ac:dyDescent="0.2">
      <c r="A124" s="89" t="s">
        <v>1595</v>
      </c>
      <c r="B124" s="89" t="s">
        <v>852</v>
      </c>
      <c r="C124" s="72" t="s">
        <v>853</v>
      </c>
      <c r="D124" s="89" t="s">
        <v>854</v>
      </c>
      <c r="J124" s="89"/>
      <c r="K124" s="72" t="s">
        <v>355</v>
      </c>
      <c r="L124" s="72" t="s">
        <v>356</v>
      </c>
    </row>
    <row r="125" spans="1:12" x14ac:dyDescent="0.2">
      <c r="A125" s="89" t="s">
        <v>1595</v>
      </c>
      <c r="B125" s="89" t="s">
        <v>856</v>
      </c>
      <c r="C125" s="72" t="s">
        <v>857</v>
      </c>
      <c r="D125" s="89" t="s">
        <v>858</v>
      </c>
      <c r="J125" s="89"/>
      <c r="K125" s="72" t="s">
        <v>355</v>
      </c>
      <c r="L125" s="72" t="s">
        <v>356</v>
      </c>
    </row>
    <row r="126" spans="1:12" x14ac:dyDescent="0.2">
      <c r="A126" s="89" t="s">
        <v>1595</v>
      </c>
      <c r="B126" s="89" t="s">
        <v>860</v>
      </c>
      <c r="C126" s="72" t="s">
        <v>861</v>
      </c>
      <c r="D126" s="89" t="s">
        <v>862</v>
      </c>
      <c r="J126" s="89"/>
      <c r="K126" s="72" t="s">
        <v>355</v>
      </c>
      <c r="L126" s="72" t="s">
        <v>356</v>
      </c>
    </row>
    <row r="127" spans="1:12" x14ac:dyDescent="0.2">
      <c r="A127" s="89" t="s">
        <v>1595</v>
      </c>
      <c r="B127" s="89" t="s">
        <v>864</v>
      </c>
      <c r="C127" s="72" t="s">
        <v>865</v>
      </c>
      <c r="D127" s="89" t="s">
        <v>866</v>
      </c>
      <c r="J127" s="89"/>
      <c r="K127" s="72" t="s">
        <v>355</v>
      </c>
      <c r="L127" s="72" t="s">
        <v>356</v>
      </c>
    </row>
    <row r="128" spans="1:12" x14ac:dyDescent="0.2">
      <c r="A128" s="89" t="s">
        <v>1595</v>
      </c>
      <c r="B128" s="89" t="s">
        <v>868</v>
      </c>
      <c r="C128" s="72" t="s">
        <v>869</v>
      </c>
      <c r="D128" s="89" t="s">
        <v>870</v>
      </c>
      <c r="J128" s="89"/>
      <c r="K128" s="72" t="s">
        <v>355</v>
      </c>
      <c r="L128" s="72" t="s">
        <v>356</v>
      </c>
    </row>
    <row r="129" spans="1:12" x14ac:dyDescent="0.2">
      <c r="A129" s="89" t="s">
        <v>1595</v>
      </c>
      <c r="B129" s="89" t="s">
        <v>872</v>
      </c>
      <c r="C129" s="72" t="s">
        <v>873</v>
      </c>
      <c r="D129" s="89" t="s">
        <v>874</v>
      </c>
      <c r="J129" s="89"/>
      <c r="K129" s="72" t="s">
        <v>355</v>
      </c>
      <c r="L129" s="72" t="s">
        <v>356</v>
      </c>
    </row>
    <row r="130" spans="1:12" x14ac:dyDescent="0.2">
      <c r="A130" s="89" t="s">
        <v>1595</v>
      </c>
      <c r="B130" s="89" t="s">
        <v>876</v>
      </c>
      <c r="C130" s="72" t="s">
        <v>877</v>
      </c>
      <c r="D130" s="89" t="s">
        <v>878</v>
      </c>
      <c r="J130" s="89"/>
      <c r="K130" s="72" t="s">
        <v>355</v>
      </c>
      <c r="L130" s="72" t="s">
        <v>356</v>
      </c>
    </row>
    <row r="131" spans="1:12" x14ac:dyDescent="0.2">
      <c r="A131" s="89" t="s">
        <v>1595</v>
      </c>
      <c r="B131" s="89" t="s">
        <v>880</v>
      </c>
      <c r="C131" s="72" t="s">
        <v>881</v>
      </c>
      <c r="D131" s="89" t="s">
        <v>882</v>
      </c>
      <c r="J131" s="89"/>
      <c r="K131" s="72" t="s">
        <v>355</v>
      </c>
      <c r="L131" s="72" t="s">
        <v>356</v>
      </c>
    </row>
    <row r="132" spans="1:12" x14ac:dyDescent="0.2">
      <c r="A132" s="89" t="s">
        <v>1595</v>
      </c>
      <c r="B132" s="89" t="s">
        <v>884</v>
      </c>
      <c r="C132" s="72" t="s">
        <v>885</v>
      </c>
      <c r="D132" s="89" t="s">
        <v>886</v>
      </c>
      <c r="J132" s="89"/>
      <c r="K132" s="72" t="s">
        <v>355</v>
      </c>
      <c r="L132" s="72" t="s">
        <v>356</v>
      </c>
    </row>
    <row r="133" spans="1:12" x14ac:dyDescent="0.2">
      <c r="A133" s="89" t="s">
        <v>1595</v>
      </c>
      <c r="B133" s="89" t="s">
        <v>888</v>
      </c>
      <c r="C133" s="72" t="s">
        <v>889</v>
      </c>
      <c r="J133" s="89"/>
      <c r="K133" s="72" t="s">
        <v>355</v>
      </c>
      <c r="L133" s="72" t="s">
        <v>356</v>
      </c>
    </row>
    <row r="134" spans="1:12" x14ac:dyDescent="0.2">
      <c r="A134" s="89" t="s">
        <v>1595</v>
      </c>
      <c r="B134" s="89" t="s">
        <v>891</v>
      </c>
      <c r="C134" s="72" t="s">
        <v>892</v>
      </c>
      <c r="D134" s="89" t="s">
        <v>893</v>
      </c>
      <c r="J134" s="89"/>
      <c r="K134" s="72" t="s">
        <v>355</v>
      </c>
      <c r="L134" s="72" t="s">
        <v>356</v>
      </c>
    </row>
    <row r="135" spans="1:12" x14ac:dyDescent="0.2">
      <c r="A135" s="89" t="s">
        <v>1595</v>
      </c>
      <c r="B135" s="89" t="s">
        <v>895</v>
      </c>
      <c r="C135" s="72" t="s">
        <v>896</v>
      </c>
      <c r="D135" s="89" t="s">
        <v>897</v>
      </c>
      <c r="J135" s="89"/>
      <c r="K135" s="72" t="s">
        <v>355</v>
      </c>
      <c r="L135" s="72" t="s">
        <v>356</v>
      </c>
    </row>
    <row r="136" spans="1:12" x14ac:dyDescent="0.2">
      <c r="A136" s="89" t="s">
        <v>1595</v>
      </c>
      <c r="B136" s="89" t="s">
        <v>899</v>
      </c>
      <c r="C136" s="72" t="s">
        <v>900</v>
      </c>
      <c r="D136" s="89" t="s">
        <v>901</v>
      </c>
      <c r="J136" s="89"/>
      <c r="K136" s="72" t="s">
        <v>355</v>
      </c>
      <c r="L136" s="72" t="s">
        <v>356</v>
      </c>
    </row>
    <row r="137" spans="1:12" x14ac:dyDescent="0.2">
      <c r="A137" s="89" t="s">
        <v>1595</v>
      </c>
      <c r="B137" s="89" t="s">
        <v>903</v>
      </c>
      <c r="C137" s="72" t="s">
        <v>904</v>
      </c>
      <c r="D137" s="89" t="s">
        <v>905</v>
      </c>
      <c r="J137" s="89"/>
      <c r="K137" s="72" t="s">
        <v>355</v>
      </c>
      <c r="L137" s="72" t="s">
        <v>356</v>
      </c>
    </row>
    <row r="138" spans="1:12" x14ac:dyDescent="0.2">
      <c r="A138" s="89" t="s">
        <v>1595</v>
      </c>
      <c r="B138" s="89" t="s">
        <v>907</v>
      </c>
      <c r="C138" s="72" t="s">
        <v>908</v>
      </c>
      <c r="D138" s="89" t="s">
        <v>909</v>
      </c>
      <c r="J138" s="89"/>
      <c r="K138" s="72" t="s">
        <v>355</v>
      </c>
      <c r="L138" s="72" t="s">
        <v>356</v>
      </c>
    </row>
    <row r="139" spans="1:12" x14ac:dyDescent="0.2">
      <c r="A139" s="89" t="s">
        <v>1595</v>
      </c>
      <c r="B139" s="89" t="s">
        <v>911</v>
      </c>
      <c r="C139" s="72" t="s">
        <v>912</v>
      </c>
      <c r="D139" s="89" t="s">
        <v>913</v>
      </c>
      <c r="J139" s="89"/>
      <c r="K139" s="72" t="s">
        <v>355</v>
      </c>
      <c r="L139" s="72" t="s">
        <v>356</v>
      </c>
    </row>
    <row r="140" spans="1:12" x14ac:dyDescent="0.2">
      <c r="A140" s="89" t="s">
        <v>1595</v>
      </c>
      <c r="B140" s="89" t="s">
        <v>915</v>
      </c>
      <c r="C140" s="72" t="s">
        <v>916</v>
      </c>
      <c r="D140" s="89" t="s">
        <v>917</v>
      </c>
      <c r="J140" s="89"/>
      <c r="K140" s="72" t="s">
        <v>355</v>
      </c>
      <c r="L140" s="72" t="s">
        <v>356</v>
      </c>
    </row>
    <row r="141" spans="1:12" x14ac:dyDescent="0.2">
      <c r="A141" s="89" t="s">
        <v>1595</v>
      </c>
      <c r="B141" s="89" t="s">
        <v>919</v>
      </c>
      <c r="C141" s="72" t="s">
        <v>920</v>
      </c>
      <c r="D141" s="89" t="s">
        <v>921</v>
      </c>
      <c r="J141" s="89"/>
      <c r="K141" s="72" t="s">
        <v>355</v>
      </c>
      <c r="L141" s="72" t="s">
        <v>356</v>
      </c>
    </row>
    <row r="142" spans="1:12" x14ac:dyDescent="0.2">
      <c r="A142" s="89" t="s">
        <v>1595</v>
      </c>
      <c r="B142" s="89" t="s">
        <v>927</v>
      </c>
      <c r="C142" s="72" t="s">
        <v>928</v>
      </c>
      <c r="D142" s="89" t="s">
        <v>929</v>
      </c>
      <c r="J142" s="89"/>
      <c r="K142" s="72" t="s">
        <v>355</v>
      </c>
      <c r="L142" s="72" t="s">
        <v>356</v>
      </c>
    </row>
    <row r="143" spans="1:12" x14ac:dyDescent="0.2">
      <c r="A143" s="89" t="s">
        <v>1595</v>
      </c>
      <c r="B143" s="89" t="s">
        <v>930</v>
      </c>
      <c r="C143" s="72" t="s">
        <v>931</v>
      </c>
      <c r="D143" s="89" t="s">
        <v>932</v>
      </c>
      <c r="J143" s="89"/>
      <c r="K143" s="72" t="s">
        <v>355</v>
      </c>
      <c r="L143" s="72" t="s">
        <v>356</v>
      </c>
    </row>
    <row r="144" spans="1:12" x14ac:dyDescent="0.2">
      <c r="A144" s="89" t="s">
        <v>1595</v>
      </c>
      <c r="B144" s="89" t="s">
        <v>934</v>
      </c>
      <c r="C144" s="72" t="s">
        <v>935</v>
      </c>
      <c r="D144" s="89" t="s">
        <v>936</v>
      </c>
      <c r="J144" s="89"/>
      <c r="K144" s="72" t="s">
        <v>355</v>
      </c>
      <c r="L144" s="72" t="s">
        <v>356</v>
      </c>
    </row>
    <row r="145" spans="1:12" x14ac:dyDescent="0.2">
      <c r="A145" s="89" t="s">
        <v>1595</v>
      </c>
      <c r="B145" s="89" t="s">
        <v>938</v>
      </c>
      <c r="C145" s="72" t="s">
        <v>939</v>
      </c>
      <c r="J145" s="89"/>
      <c r="K145" s="72" t="s">
        <v>355</v>
      </c>
      <c r="L145" s="72" t="s">
        <v>356</v>
      </c>
    </row>
    <row r="146" spans="1:12" x14ac:dyDescent="0.2">
      <c r="A146" s="89" t="s">
        <v>1595</v>
      </c>
      <c r="B146" s="89" t="s">
        <v>941</v>
      </c>
      <c r="C146" s="72" t="s">
        <v>942</v>
      </c>
      <c r="D146" s="89" t="s">
        <v>943</v>
      </c>
      <c r="J146" s="89"/>
      <c r="K146" s="72" t="s">
        <v>355</v>
      </c>
      <c r="L146" s="72" t="s">
        <v>356</v>
      </c>
    </row>
    <row r="147" spans="1:12" x14ac:dyDescent="0.2">
      <c r="A147" s="89" t="s">
        <v>1595</v>
      </c>
      <c r="B147" s="89" t="s">
        <v>945</v>
      </c>
      <c r="C147" s="72" t="s">
        <v>946</v>
      </c>
      <c r="D147" s="89" t="s">
        <v>947</v>
      </c>
      <c r="J147" s="89"/>
      <c r="K147" s="72" t="s">
        <v>355</v>
      </c>
      <c r="L147" s="72" t="s">
        <v>356</v>
      </c>
    </row>
    <row r="148" spans="1:12" x14ac:dyDescent="0.2">
      <c r="A148" s="89" t="s">
        <v>1595</v>
      </c>
      <c r="B148" s="89" t="s">
        <v>949</v>
      </c>
      <c r="C148" s="72" t="s">
        <v>950</v>
      </c>
      <c r="D148" s="89" t="s">
        <v>951</v>
      </c>
      <c r="J148" s="89"/>
      <c r="K148" s="72" t="s">
        <v>355</v>
      </c>
      <c r="L148" s="72" t="s">
        <v>356</v>
      </c>
    </row>
    <row r="149" spans="1:12" x14ac:dyDescent="0.2">
      <c r="A149" s="89" t="s">
        <v>1595</v>
      </c>
      <c r="B149" s="89" t="s">
        <v>953</v>
      </c>
      <c r="C149" s="72" t="s">
        <v>954</v>
      </c>
      <c r="D149" s="89" t="s">
        <v>955</v>
      </c>
      <c r="J149" s="89"/>
      <c r="K149" s="72" t="s">
        <v>355</v>
      </c>
      <c r="L149" s="72" t="s">
        <v>356</v>
      </c>
    </row>
    <row r="150" spans="1:12" x14ac:dyDescent="0.2">
      <c r="A150" s="89" t="s">
        <v>1595</v>
      </c>
      <c r="B150" s="89" t="s">
        <v>957</v>
      </c>
      <c r="C150" s="72" t="s">
        <v>958</v>
      </c>
      <c r="D150" s="89" t="s">
        <v>959</v>
      </c>
      <c r="J150" s="89"/>
      <c r="K150" s="72" t="s">
        <v>355</v>
      </c>
      <c r="L150" s="72" t="s">
        <v>356</v>
      </c>
    </row>
    <row r="151" spans="1:12" x14ac:dyDescent="0.2">
      <c r="A151" s="89" t="s">
        <v>1595</v>
      </c>
      <c r="B151" s="89" t="s">
        <v>965</v>
      </c>
      <c r="C151" s="72" t="s">
        <v>966</v>
      </c>
      <c r="D151" s="89" t="s">
        <v>967</v>
      </c>
      <c r="J151" s="89"/>
      <c r="K151" s="72" t="s">
        <v>355</v>
      </c>
      <c r="L151" s="72" t="s">
        <v>356</v>
      </c>
    </row>
    <row r="152" spans="1:12" x14ac:dyDescent="0.2">
      <c r="A152" s="89" t="s">
        <v>1595</v>
      </c>
      <c r="B152" s="89" t="s">
        <v>968</v>
      </c>
      <c r="C152" s="72" t="s">
        <v>969</v>
      </c>
      <c r="D152" s="89" t="s">
        <v>970</v>
      </c>
      <c r="J152" s="89"/>
      <c r="K152" s="72" t="s">
        <v>355</v>
      </c>
      <c r="L152" s="72" t="s">
        <v>356</v>
      </c>
    </row>
    <row r="153" spans="1:12" x14ac:dyDescent="0.2">
      <c r="A153" s="89" t="s">
        <v>1595</v>
      </c>
      <c r="B153" s="89" t="s">
        <v>972</v>
      </c>
      <c r="C153" s="72" t="s">
        <v>973</v>
      </c>
      <c r="D153" s="89" t="s">
        <v>974</v>
      </c>
      <c r="J153" s="89"/>
      <c r="K153" s="72" t="s">
        <v>355</v>
      </c>
      <c r="L153" s="72" t="s">
        <v>356</v>
      </c>
    </row>
    <row r="154" spans="1:12" x14ac:dyDescent="0.2">
      <c r="A154" s="89" t="s">
        <v>1595</v>
      </c>
      <c r="B154" s="89" t="s">
        <v>976</v>
      </c>
      <c r="C154" s="72" t="s">
        <v>977</v>
      </c>
      <c r="D154" s="89" t="s">
        <v>978</v>
      </c>
      <c r="J154" s="89"/>
      <c r="K154" s="72" t="s">
        <v>355</v>
      </c>
      <c r="L154" s="72" t="s">
        <v>356</v>
      </c>
    </row>
    <row r="155" spans="1:12" x14ac:dyDescent="0.2">
      <c r="A155" s="89" t="s">
        <v>1595</v>
      </c>
      <c r="B155" s="89" t="s">
        <v>979</v>
      </c>
      <c r="C155" s="72" t="s">
        <v>980</v>
      </c>
      <c r="D155" s="89" t="s">
        <v>981</v>
      </c>
      <c r="J155" s="89"/>
      <c r="K155" s="72" t="s">
        <v>355</v>
      </c>
      <c r="L155" s="72" t="s">
        <v>356</v>
      </c>
    </row>
    <row r="156" spans="1:12" x14ac:dyDescent="0.2">
      <c r="A156" s="89" t="s">
        <v>1595</v>
      </c>
      <c r="B156" s="89" t="s">
        <v>983</v>
      </c>
      <c r="C156" s="72" t="s">
        <v>984</v>
      </c>
      <c r="D156" s="89" t="s">
        <v>985</v>
      </c>
      <c r="J156" s="89"/>
      <c r="K156" s="72" t="s">
        <v>355</v>
      </c>
      <c r="L156" s="72" t="s">
        <v>356</v>
      </c>
    </row>
    <row r="157" spans="1:12" x14ac:dyDescent="0.2">
      <c r="A157" s="89" t="s">
        <v>1595</v>
      </c>
      <c r="B157" s="89" t="s">
        <v>987</v>
      </c>
      <c r="C157" s="72" t="s">
        <v>988</v>
      </c>
      <c r="D157" s="89" t="s">
        <v>989</v>
      </c>
      <c r="J157" s="89"/>
      <c r="K157" s="72" t="s">
        <v>355</v>
      </c>
      <c r="L157" s="72" t="s">
        <v>356</v>
      </c>
    </row>
    <row r="158" spans="1:12" x14ac:dyDescent="0.2">
      <c r="A158" s="89" t="s">
        <v>1595</v>
      </c>
      <c r="B158" s="89" t="s">
        <v>991</v>
      </c>
      <c r="C158" s="72" t="s">
        <v>992</v>
      </c>
      <c r="D158" s="89" t="s">
        <v>993</v>
      </c>
      <c r="J158" s="89"/>
      <c r="K158" s="72" t="s">
        <v>355</v>
      </c>
      <c r="L158" s="72" t="s">
        <v>356</v>
      </c>
    </row>
    <row r="159" spans="1:12" x14ac:dyDescent="0.2">
      <c r="A159" s="89" t="s">
        <v>1596</v>
      </c>
      <c r="B159" s="89" t="s">
        <v>995</v>
      </c>
      <c r="C159" s="72" t="s">
        <v>996</v>
      </c>
      <c r="D159" s="89" t="s">
        <v>997</v>
      </c>
      <c r="J159" s="89"/>
      <c r="K159" s="72" t="s">
        <v>1053</v>
      </c>
      <c r="L159" s="72" t="s">
        <v>1054</v>
      </c>
    </row>
    <row r="160" spans="1:12" x14ac:dyDescent="0.2">
      <c r="A160" s="89" t="s">
        <v>1596</v>
      </c>
      <c r="B160" s="89" t="s">
        <v>999</v>
      </c>
      <c r="C160" s="72" t="s">
        <v>1000</v>
      </c>
      <c r="D160" s="89" t="s">
        <v>1001</v>
      </c>
      <c r="J160" s="89"/>
      <c r="K160" s="72" t="s">
        <v>1053</v>
      </c>
      <c r="L160" s="72" t="s">
        <v>1054</v>
      </c>
    </row>
    <row r="161" spans="1:12" x14ac:dyDescent="0.2">
      <c r="A161" s="89" t="s">
        <v>1596</v>
      </c>
      <c r="B161" s="89" t="s">
        <v>1003</v>
      </c>
      <c r="C161" s="72" t="s">
        <v>1004</v>
      </c>
      <c r="D161" s="89" t="s">
        <v>1005</v>
      </c>
      <c r="J161" s="89"/>
      <c r="K161" s="72" t="s">
        <v>1053</v>
      </c>
      <c r="L161" s="72" t="s">
        <v>1054</v>
      </c>
    </row>
    <row r="162" spans="1:12" x14ac:dyDescent="0.2">
      <c r="A162" s="89" t="s">
        <v>1596</v>
      </c>
      <c r="B162" s="89" t="s">
        <v>1007</v>
      </c>
      <c r="C162" s="72" t="s">
        <v>1008</v>
      </c>
      <c r="D162" s="89" t="s">
        <v>1009</v>
      </c>
      <c r="J162" s="89"/>
      <c r="K162" s="72" t="s">
        <v>1053</v>
      </c>
      <c r="L162" s="72" t="s">
        <v>1054</v>
      </c>
    </row>
    <row r="163" spans="1:12" x14ac:dyDescent="0.2">
      <c r="A163" s="89" t="s">
        <v>1596</v>
      </c>
      <c r="B163" s="89" t="s">
        <v>1011</v>
      </c>
      <c r="C163" s="72" t="s">
        <v>1012</v>
      </c>
      <c r="D163" s="89" t="s">
        <v>1013</v>
      </c>
      <c r="J163" s="89"/>
      <c r="K163" s="72" t="s">
        <v>1053</v>
      </c>
      <c r="L163" s="72" t="s">
        <v>1054</v>
      </c>
    </row>
    <row r="164" spans="1:12" x14ac:dyDescent="0.2">
      <c r="A164" s="89" t="s">
        <v>1596</v>
      </c>
      <c r="B164" s="89" t="s">
        <v>1019</v>
      </c>
      <c r="C164" s="72" t="s">
        <v>1020</v>
      </c>
      <c r="D164" s="89" t="s">
        <v>1021</v>
      </c>
      <c r="J164" s="89"/>
      <c r="K164" s="72" t="s">
        <v>1053</v>
      </c>
      <c r="L164" s="72" t="s">
        <v>1054</v>
      </c>
    </row>
    <row r="165" spans="1:12" x14ac:dyDescent="0.2">
      <c r="A165" s="89" t="s">
        <v>1596</v>
      </c>
      <c r="B165" s="89" t="s">
        <v>1022</v>
      </c>
      <c r="C165" s="72" t="s">
        <v>1023</v>
      </c>
      <c r="D165" s="89" t="s">
        <v>1024</v>
      </c>
      <c r="J165" s="89"/>
      <c r="K165" s="72" t="s">
        <v>1053</v>
      </c>
      <c r="L165" s="72" t="s">
        <v>1054</v>
      </c>
    </row>
    <row r="166" spans="1:12" x14ac:dyDescent="0.2">
      <c r="A166" s="89" t="s">
        <v>1596</v>
      </c>
      <c r="B166" s="89" t="s">
        <v>1026</v>
      </c>
      <c r="C166" s="72" t="s">
        <v>1027</v>
      </c>
      <c r="D166" s="89" t="s">
        <v>1028</v>
      </c>
      <c r="J166" s="89"/>
      <c r="K166" s="72" t="s">
        <v>1053</v>
      </c>
      <c r="L166" s="72" t="s">
        <v>1054</v>
      </c>
    </row>
    <row r="167" spans="1:12" x14ac:dyDescent="0.2">
      <c r="A167" s="89" t="s">
        <v>1596</v>
      </c>
      <c r="B167" s="89" t="s">
        <v>1030</v>
      </c>
      <c r="C167" s="72" t="s">
        <v>1031</v>
      </c>
      <c r="D167" s="89" t="s">
        <v>1032</v>
      </c>
      <c r="J167" s="89"/>
      <c r="K167" s="72" t="s">
        <v>1053</v>
      </c>
      <c r="L167" s="72" t="s">
        <v>1054</v>
      </c>
    </row>
    <row r="168" spans="1:12" x14ac:dyDescent="0.2">
      <c r="A168" s="89" t="s">
        <v>1596</v>
      </c>
      <c r="B168" s="89" t="s">
        <v>1034</v>
      </c>
      <c r="C168" s="72" t="s">
        <v>1035</v>
      </c>
      <c r="D168" s="89" t="s">
        <v>1036</v>
      </c>
      <c r="J168" s="89"/>
      <c r="K168" s="72" t="s">
        <v>1053</v>
      </c>
      <c r="L168" s="72" t="s">
        <v>1054</v>
      </c>
    </row>
    <row r="169" spans="1:12" x14ac:dyDescent="0.2">
      <c r="A169" s="89" t="s">
        <v>1596</v>
      </c>
      <c r="B169" s="89" t="s">
        <v>1038</v>
      </c>
      <c r="C169" s="72" t="s">
        <v>1039</v>
      </c>
      <c r="D169" s="89" t="s">
        <v>1040</v>
      </c>
      <c r="J169" s="89"/>
      <c r="K169" s="72" t="s">
        <v>1053</v>
      </c>
      <c r="L169" s="72" t="s">
        <v>1054</v>
      </c>
    </row>
    <row r="170" spans="1:12" x14ac:dyDescent="0.2">
      <c r="A170" s="89" t="s">
        <v>1596</v>
      </c>
      <c r="B170" s="89" t="s">
        <v>1042</v>
      </c>
      <c r="C170" s="72" t="s">
        <v>1043</v>
      </c>
      <c r="D170" s="89" t="s">
        <v>1044</v>
      </c>
      <c r="J170" s="89"/>
      <c r="K170" s="72" t="s">
        <v>1053</v>
      </c>
      <c r="L170" s="72" t="s">
        <v>1054</v>
      </c>
    </row>
    <row r="171" spans="1:12" x14ac:dyDescent="0.2">
      <c r="A171" s="89" t="s">
        <v>1596</v>
      </c>
      <c r="B171" s="89" t="s">
        <v>1046</v>
      </c>
      <c r="C171" s="72" t="s">
        <v>1047</v>
      </c>
      <c r="D171" s="89" t="s">
        <v>1048</v>
      </c>
      <c r="J171" s="89"/>
      <c r="K171" s="72" t="s">
        <v>1053</v>
      </c>
      <c r="L171" s="72" t="s">
        <v>1054</v>
      </c>
    </row>
    <row r="172" spans="1:12" x14ac:dyDescent="0.2">
      <c r="A172" s="89" t="s">
        <v>1596</v>
      </c>
      <c r="B172" s="89" t="s">
        <v>1050</v>
      </c>
      <c r="C172" s="72" t="s">
        <v>1051</v>
      </c>
      <c r="D172" s="89" t="s">
        <v>1052</v>
      </c>
      <c r="J172" s="89"/>
      <c r="K172" s="72" t="s">
        <v>1053</v>
      </c>
      <c r="L172" s="72" t="s">
        <v>1054</v>
      </c>
    </row>
    <row r="173" spans="1:12" x14ac:dyDescent="0.2">
      <c r="A173" s="89" t="s">
        <v>1596</v>
      </c>
      <c r="B173" s="89" t="s">
        <v>1056</v>
      </c>
      <c r="C173" s="72" t="s">
        <v>1057</v>
      </c>
      <c r="J173" s="89"/>
      <c r="K173" s="72" t="s">
        <v>1053</v>
      </c>
      <c r="L173" s="72" t="s">
        <v>1054</v>
      </c>
    </row>
    <row r="174" spans="1:12" x14ac:dyDescent="0.2">
      <c r="A174" s="89" t="s">
        <v>1596</v>
      </c>
      <c r="B174" s="89" t="s">
        <v>1059</v>
      </c>
      <c r="C174" s="72" t="s">
        <v>1060</v>
      </c>
      <c r="D174" s="89" t="s">
        <v>1061</v>
      </c>
      <c r="J174" s="89"/>
      <c r="K174" s="72" t="s">
        <v>1053</v>
      </c>
      <c r="L174" s="72" t="s">
        <v>1054</v>
      </c>
    </row>
    <row r="175" spans="1:12" x14ac:dyDescent="0.2">
      <c r="A175" s="89" t="s">
        <v>1596</v>
      </c>
      <c r="B175" s="89" t="s">
        <v>1063</v>
      </c>
      <c r="C175" s="72" t="s">
        <v>1064</v>
      </c>
      <c r="D175" s="89" t="s">
        <v>1065</v>
      </c>
      <c r="J175" s="89"/>
      <c r="K175" s="72" t="s">
        <v>1053</v>
      </c>
      <c r="L175" s="72" t="s">
        <v>1054</v>
      </c>
    </row>
    <row r="176" spans="1:12" x14ac:dyDescent="0.2">
      <c r="A176" s="89" t="s">
        <v>1596</v>
      </c>
      <c r="B176" s="89" t="s">
        <v>1067</v>
      </c>
      <c r="C176" s="72" t="s">
        <v>1068</v>
      </c>
      <c r="D176" s="89" t="s">
        <v>1069</v>
      </c>
      <c r="J176" s="89"/>
      <c r="K176" s="72" t="s">
        <v>1053</v>
      </c>
      <c r="L176" s="72" t="s">
        <v>1054</v>
      </c>
    </row>
    <row r="177" spans="1:12" x14ac:dyDescent="0.2">
      <c r="A177" s="89" t="s">
        <v>1596</v>
      </c>
      <c r="B177" s="89" t="s">
        <v>1071</v>
      </c>
      <c r="C177" s="72" t="s">
        <v>1072</v>
      </c>
      <c r="D177" s="89" t="s">
        <v>1073</v>
      </c>
      <c r="J177" s="89"/>
      <c r="K177" s="72" t="s">
        <v>1053</v>
      </c>
      <c r="L177" s="72" t="s">
        <v>1054</v>
      </c>
    </row>
    <row r="178" spans="1:12" x14ac:dyDescent="0.2">
      <c r="A178" s="89" t="s">
        <v>1596</v>
      </c>
      <c r="B178" s="89" t="s">
        <v>1075</v>
      </c>
      <c r="C178" s="72" t="s">
        <v>1076</v>
      </c>
      <c r="D178" s="89" t="s">
        <v>1077</v>
      </c>
      <c r="J178" s="89"/>
      <c r="K178" s="72" t="s">
        <v>1053</v>
      </c>
      <c r="L178" s="72" t="s">
        <v>1054</v>
      </c>
    </row>
    <row r="179" spans="1:12" x14ac:dyDescent="0.2">
      <c r="A179" s="89" t="s">
        <v>1596</v>
      </c>
      <c r="B179" s="89" t="s">
        <v>1079</v>
      </c>
      <c r="C179" s="72" t="s">
        <v>1080</v>
      </c>
      <c r="D179" s="89" t="s">
        <v>1081</v>
      </c>
      <c r="J179" s="89"/>
      <c r="K179" s="72" t="s">
        <v>1053</v>
      </c>
      <c r="L179" s="72" t="s">
        <v>1054</v>
      </c>
    </row>
    <row r="180" spans="1:12" x14ac:dyDescent="0.2">
      <c r="A180" s="89" t="s">
        <v>1596</v>
      </c>
      <c r="B180" s="89" t="s">
        <v>1083</v>
      </c>
      <c r="C180" s="72" t="s">
        <v>1084</v>
      </c>
      <c r="D180" s="89" t="s">
        <v>1085</v>
      </c>
      <c r="J180" s="89"/>
      <c r="K180" s="72" t="s">
        <v>1053</v>
      </c>
      <c r="L180" s="72" t="s">
        <v>1054</v>
      </c>
    </row>
    <row r="181" spans="1:12" x14ac:dyDescent="0.2">
      <c r="A181" s="89" t="s">
        <v>1596</v>
      </c>
      <c r="B181" s="89" t="s">
        <v>1087</v>
      </c>
      <c r="C181" s="72" t="s">
        <v>1088</v>
      </c>
      <c r="D181" s="89" t="s">
        <v>1089</v>
      </c>
      <c r="J181" s="89"/>
      <c r="K181" s="72" t="s">
        <v>1053</v>
      </c>
      <c r="L181" s="72" t="s">
        <v>1054</v>
      </c>
    </row>
    <row r="182" spans="1:12" x14ac:dyDescent="0.2">
      <c r="A182" s="89" t="s">
        <v>1596</v>
      </c>
      <c r="B182" s="89" t="s">
        <v>1091</v>
      </c>
      <c r="C182" s="72" t="s">
        <v>1092</v>
      </c>
      <c r="D182" s="89" t="s">
        <v>1093</v>
      </c>
      <c r="J182" s="89"/>
      <c r="K182" s="72" t="s">
        <v>1053</v>
      </c>
      <c r="L182" s="72" t="s">
        <v>1054</v>
      </c>
    </row>
    <row r="183" spans="1:12" x14ac:dyDescent="0.2">
      <c r="A183" s="89" t="s">
        <v>1596</v>
      </c>
      <c r="B183" s="89" t="s">
        <v>1095</v>
      </c>
      <c r="C183" s="72" t="s">
        <v>1096</v>
      </c>
      <c r="D183" s="89" t="s">
        <v>1097</v>
      </c>
      <c r="J183" s="89"/>
      <c r="K183" s="72" t="s">
        <v>1053</v>
      </c>
      <c r="L183" s="72" t="s">
        <v>1054</v>
      </c>
    </row>
    <row r="184" spans="1:12" x14ac:dyDescent="0.2">
      <c r="A184" s="89" t="s">
        <v>1596</v>
      </c>
      <c r="B184" s="89" t="s">
        <v>1099</v>
      </c>
      <c r="C184" s="72" t="s">
        <v>1100</v>
      </c>
      <c r="D184" s="89" t="s">
        <v>1101</v>
      </c>
      <c r="J184" s="89"/>
      <c r="K184" s="72" t="s">
        <v>1053</v>
      </c>
      <c r="L184" s="72" t="s">
        <v>1054</v>
      </c>
    </row>
    <row r="185" spans="1:12" x14ac:dyDescent="0.2">
      <c r="A185" s="89" t="s">
        <v>1596</v>
      </c>
      <c r="B185" s="89" t="s">
        <v>1103</v>
      </c>
      <c r="C185" s="72" t="s">
        <v>1104</v>
      </c>
      <c r="D185" s="89" t="s">
        <v>1105</v>
      </c>
      <c r="J185" s="89"/>
      <c r="K185" s="72" t="s">
        <v>1053</v>
      </c>
      <c r="L185" s="72" t="s">
        <v>1054</v>
      </c>
    </row>
    <row r="186" spans="1:12" x14ac:dyDescent="0.2">
      <c r="A186" s="89" t="s">
        <v>1597</v>
      </c>
      <c r="B186" s="89" t="s">
        <v>1107</v>
      </c>
      <c r="C186" s="72" t="s">
        <v>1108</v>
      </c>
      <c r="D186" s="89" t="s">
        <v>1109</v>
      </c>
      <c r="J186" s="89"/>
      <c r="K186" s="72" t="s">
        <v>961</v>
      </c>
      <c r="L186" s="72" t="s">
        <v>962</v>
      </c>
    </row>
    <row r="187" spans="1:12" x14ac:dyDescent="0.2">
      <c r="A187" s="89" t="s">
        <v>1597</v>
      </c>
      <c r="B187" s="89" t="s">
        <v>1111</v>
      </c>
      <c r="C187" s="72" t="s">
        <v>1112</v>
      </c>
      <c r="D187" s="89" t="s">
        <v>1113</v>
      </c>
      <c r="J187" s="89"/>
      <c r="K187" s="72" t="s">
        <v>961</v>
      </c>
      <c r="L187" s="72" t="s">
        <v>962</v>
      </c>
    </row>
    <row r="188" spans="1:12" x14ac:dyDescent="0.2">
      <c r="A188" s="89" t="s">
        <v>1597</v>
      </c>
      <c r="B188" s="89" t="s">
        <v>1115</v>
      </c>
      <c r="C188" s="72" t="s">
        <v>1116</v>
      </c>
      <c r="D188" s="89" t="s">
        <v>1117</v>
      </c>
      <c r="J188" s="89"/>
      <c r="K188" s="72" t="s">
        <v>961</v>
      </c>
      <c r="L188" s="72" t="s">
        <v>962</v>
      </c>
    </row>
    <row r="189" spans="1:12" x14ac:dyDescent="0.2">
      <c r="A189" s="89" t="s">
        <v>1597</v>
      </c>
      <c r="B189" s="89" t="s">
        <v>1118</v>
      </c>
      <c r="C189" s="72" t="s">
        <v>1119</v>
      </c>
      <c r="D189" s="89" t="s">
        <v>1120</v>
      </c>
      <c r="J189" s="89"/>
      <c r="K189" s="72" t="s">
        <v>961</v>
      </c>
      <c r="L189" s="72" t="s">
        <v>962</v>
      </c>
    </row>
    <row r="190" spans="1:12" x14ac:dyDescent="0.2">
      <c r="A190" s="89" t="s">
        <v>1597</v>
      </c>
      <c r="B190" s="89" t="s">
        <v>1122</v>
      </c>
      <c r="C190" s="72" t="s">
        <v>1123</v>
      </c>
      <c r="D190" s="89" t="s">
        <v>1124</v>
      </c>
      <c r="J190" s="89"/>
      <c r="K190" s="72" t="s">
        <v>961</v>
      </c>
      <c r="L190" s="72" t="s">
        <v>962</v>
      </c>
    </row>
    <row r="191" spans="1:12" x14ac:dyDescent="0.2">
      <c r="A191" s="89" t="s">
        <v>1597</v>
      </c>
      <c r="B191" s="89" t="s">
        <v>1126</v>
      </c>
      <c r="C191" s="72" t="s">
        <v>1127</v>
      </c>
      <c r="D191" s="89" t="s">
        <v>1128</v>
      </c>
      <c r="J191" s="89"/>
      <c r="K191" s="72" t="s">
        <v>961</v>
      </c>
      <c r="L191" s="72" t="s">
        <v>962</v>
      </c>
    </row>
    <row r="192" spans="1:12" x14ac:dyDescent="0.2">
      <c r="A192" s="89" t="s">
        <v>1597</v>
      </c>
      <c r="B192" s="89" t="s">
        <v>1130</v>
      </c>
      <c r="C192" s="72" t="s">
        <v>1131</v>
      </c>
      <c r="D192" s="89" t="s">
        <v>1132</v>
      </c>
      <c r="J192" s="89"/>
      <c r="K192" s="72" t="s">
        <v>961</v>
      </c>
      <c r="L192" s="72" t="s">
        <v>962</v>
      </c>
    </row>
    <row r="193" spans="1:12" x14ac:dyDescent="0.2">
      <c r="A193" s="89" t="s">
        <v>1597</v>
      </c>
      <c r="B193" s="89" t="s">
        <v>1134</v>
      </c>
      <c r="C193" s="72" t="s">
        <v>1135</v>
      </c>
      <c r="D193" s="89" t="s">
        <v>1136</v>
      </c>
      <c r="J193" s="89"/>
      <c r="K193" s="72" t="s">
        <v>961</v>
      </c>
      <c r="L193" s="72" t="s">
        <v>962</v>
      </c>
    </row>
    <row r="194" spans="1:12" x14ac:dyDescent="0.2">
      <c r="A194" s="89" t="s">
        <v>1597</v>
      </c>
      <c r="B194" s="89" t="s">
        <v>1138</v>
      </c>
      <c r="C194" s="72" t="s">
        <v>1139</v>
      </c>
      <c r="D194" s="89" t="s">
        <v>1140</v>
      </c>
      <c r="J194" s="89"/>
      <c r="K194" s="72" t="s">
        <v>961</v>
      </c>
      <c r="L194" s="72" t="s">
        <v>962</v>
      </c>
    </row>
    <row r="195" spans="1:12" x14ac:dyDescent="0.2">
      <c r="A195" s="89" t="s">
        <v>1597</v>
      </c>
      <c r="B195" s="89" t="s">
        <v>1142</v>
      </c>
      <c r="C195" s="72" t="s">
        <v>1143</v>
      </c>
      <c r="D195" s="89" t="s">
        <v>1144</v>
      </c>
      <c r="J195" s="89"/>
      <c r="K195" s="72" t="s">
        <v>961</v>
      </c>
      <c r="L195" s="72" t="s">
        <v>962</v>
      </c>
    </row>
    <row r="196" spans="1:12" x14ac:dyDescent="0.2">
      <c r="A196" s="89" t="s">
        <v>1597</v>
      </c>
      <c r="B196" s="89" t="s">
        <v>1146</v>
      </c>
      <c r="C196" s="72" t="s">
        <v>1147</v>
      </c>
      <c r="D196" s="89" t="s">
        <v>1148</v>
      </c>
      <c r="J196" s="89"/>
      <c r="K196" s="72" t="s">
        <v>961</v>
      </c>
      <c r="L196" s="72" t="s">
        <v>962</v>
      </c>
    </row>
    <row r="197" spans="1:12" x14ac:dyDescent="0.2">
      <c r="A197" s="89" t="s">
        <v>1597</v>
      </c>
      <c r="B197" s="89" t="s">
        <v>1150</v>
      </c>
      <c r="C197" s="72" t="s">
        <v>1151</v>
      </c>
      <c r="D197" s="89" t="s">
        <v>1152</v>
      </c>
      <c r="J197" s="89"/>
      <c r="K197" s="72" t="s">
        <v>961</v>
      </c>
      <c r="L197" s="72" t="s">
        <v>962</v>
      </c>
    </row>
    <row r="198" spans="1:12" x14ac:dyDescent="0.2">
      <c r="A198" s="89" t="s">
        <v>1597</v>
      </c>
      <c r="B198" s="89" t="s">
        <v>1154</v>
      </c>
      <c r="C198" s="72" t="s">
        <v>1155</v>
      </c>
      <c r="D198" s="89" t="s">
        <v>1156</v>
      </c>
      <c r="J198" s="89"/>
      <c r="K198" s="72" t="s">
        <v>961</v>
      </c>
      <c r="L198" s="72" t="s">
        <v>962</v>
      </c>
    </row>
    <row r="199" spans="1:12" x14ac:dyDescent="0.2">
      <c r="A199" s="89" t="s">
        <v>1597</v>
      </c>
      <c r="B199" s="89" t="s">
        <v>1158</v>
      </c>
      <c r="C199" s="72" t="s">
        <v>1159</v>
      </c>
      <c r="D199" s="89" t="s">
        <v>1160</v>
      </c>
      <c r="J199" s="89"/>
      <c r="K199" s="72" t="s">
        <v>961</v>
      </c>
      <c r="L199" s="72" t="s">
        <v>962</v>
      </c>
    </row>
    <row r="200" spans="1:12" x14ac:dyDescent="0.2">
      <c r="A200" s="89" t="s">
        <v>1597</v>
      </c>
      <c r="B200" s="89" t="s">
        <v>1162</v>
      </c>
      <c r="C200" s="72" t="s">
        <v>1163</v>
      </c>
      <c r="D200" s="89" t="s">
        <v>1164</v>
      </c>
      <c r="J200" s="89"/>
      <c r="K200" s="72" t="s">
        <v>961</v>
      </c>
      <c r="L200" s="72" t="s">
        <v>962</v>
      </c>
    </row>
    <row r="201" spans="1:12" x14ac:dyDescent="0.2">
      <c r="A201" s="89" t="s">
        <v>1597</v>
      </c>
      <c r="B201" s="89" t="s">
        <v>1166</v>
      </c>
      <c r="C201" s="72" t="s">
        <v>1167</v>
      </c>
      <c r="D201" s="89" t="s">
        <v>1168</v>
      </c>
      <c r="J201" s="89"/>
      <c r="K201" s="72" t="s">
        <v>961</v>
      </c>
      <c r="L201" s="72" t="s">
        <v>962</v>
      </c>
    </row>
    <row r="202" spans="1:12" x14ac:dyDescent="0.2">
      <c r="A202" s="89" t="s">
        <v>1597</v>
      </c>
      <c r="B202" s="89" t="s">
        <v>1170</v>
      </c>
      <c r="C202" s="72" t="s">
        <v>1171</v>
      </c>
      <c r="D202" s="89" t="s">
        <v>1172</v>
      </c>
      <c r="J202" s="89"/>
      <c r="K202" s="72" t="s">
        <v>961</v>
      </c>
      <c r="L202" s="72" t="s">
        <v>962</v>
      </c>
    </row>
    <row r="203" spans="1:12" x14ac:dyDescent="0.2">
      <c r="A203" s="89" t="s">
        <v>1597</v>
      </c>
      <c r="B203" s="89" t="s">
        <v>1174</v>
      </c>
      <c r="C203" s="72" t="s">
        <v>1175</v>
      </c>
      <c r="D203" s="89" t="s">
        <v>1176</v>
      </c>
      <c r="J203" s="89"/>
      <c r="K203" s="72" t="s">
        <v>961</v>
      </c>
      <c r="L203" s="72" t="s">
        <v>962</v>
      </c>
    </row>
    <row r="204" spans="1:12" x14ac:dyDescent="0.2">
      <c r="A204" s="89" t="s">
        <v>1597</v>
      </c>
      <c r="B204" s="89" t="s">
        <v>1178</v>
      </c>
      <c r="C204" s="72" t="s">
        <v>1179</v>
      </c>
      <c r="D204" s="89" t="s">
        <v>1180</v>
      </c>
      <c r="J204" s="89"/>
      <c r="K204" s="72" t="s">
        <v>961</v>
      </c>
      <c r="L204" s="72" t="s">
        <v>962</v>
      </c>
    </row>
    <row r="205" spans="1:12" x14ac:dyDescent="0.2">
      <c r="A205" s="89" t="s">
        <v>1597</v>
      </c>
      <c r="B205" s="89" t="s">
        <v>1182</v>
      </c>
      <c r="C205" s="72" t="s">
        <v>1183</v>
      </c>
      <c r="D205" s="89" t="s">
        <v>1184</v>
      </c>
      <c r="J205" s="89"/>
      <c r="K205" s="72" t="s">
        <v>961</v>
      </c>
      <c r="L205" s="72" t="s">
        <v>962</v>
      </c>
    </row>
    <row r="206" spans="1:12" x14ac:dyDescent="0.2">
      <c r="A206" s="89" t="s">
        <v>1597</v>
      </c>
      <c r="B206" s="89" t="s">
        <v>1186</v>
      </c>
      <c r="C206" s="72" t="s">
        <v>1187</v>
      </c>
      <c r="D206" s="89" t="s">
        <v>1188</v>
      </c>
      <c r="J206" s="89"/>
      <c r="K206" s="72" t="s">
        <v>961</v>
      </c>
      <c r="L206" s="72" t="s">
        <v>962</v>
      </c>
    </row>
    <row r="207" spans="1:12" x14ac:dyDescent="0.2">
      <c r="A207" s="89" t="s">
        <v>1597</v>
      </c>
      <c r="B207" s="89" t="s">
        <v>1190</v>
      </c>
      <c r="C207" s="72" t="s">
        <v>1191</v>
      </c>
      <c r="D207" s="89" t="s">
        <v>1192</v>
      </c>
      <c r="J207" s="89"/>
      <c r="K207" s="72" t="s">
        <v>961</v>
      </c>
      <c r="L207" s="72" t="s">
        <v>962</v>
      </c>
    </row>
    <row r="208" spans="1:12" x14ac:dyDescent="0.2">
      <c r="A208" s="89" t="s">
        <v>1597</v>
      </c>
      <c r="B208" s="89" t="s">
        <v>1194</v>
      </c>
      <c r="C208" s="72" t="s">
        <v>1195</v>
      </c>
      <c r="D208" s="89" t="s">
        <v>1196</v>
      </c>
      <c r="J208" s="89"/>
      <c r="K208" s="72" t="s">
        <v>961</v>
      </c>
      <c r="L208" s="72" t="s">
        <v>962</v>
      </c>
    </row>
    <row r="209" spans="1:12" x14ac:dyDescent="0.2">
      <c r="A209" s="89" t="s">
        <v>1597</v>
      </c>
      <c r="B209" s="89" t="s">
        <v>1198</v>
      </c>
      <c r="C209" s="72" t="s">
        <v>1199</v>
      </c>
      <c r="D209" s="89" t="s">
        <v>1200</v>
      </c>
      <c r="J209" s="89"/>
      <c r="K209" s="72" t="s">
        <v>961</v>
      </c>
      <c r="L209" s="72" t="s">
        <v>962</v>
      </c>
    </row>
    <row r="210" spans="1:12" x14ac:dyDescent="0.2">
      <c r="A210" s="89" t="s">
        <v>1597</v>
      </c>
      <c r="B210" s="89" t="s">
        <v>1202</v>
      </c>
      <c r="C210" s="72" t="s">
        <v>1203</v>
      </c>
      <c r="D210" s="89" t="s">
        <v>1204</v>
      </c>
      <c r="J210" s="89"/>
      <c r="K210" s="72" t="s">
        <v>961</v>
      </c>
      <c r="L210" s="72" t="s">
        <v>962</v>
      </c>
    </row>
    <row r="211" spans="1:12" x14ac:dyDescent="0.2">
      <c r="A211" s="89" t="s">
        <v>1597</v>
      </c>
      <c r="B211" s="89" t="s">
        <v>1206</v>
      </c>
      <c r="C211" s="72" t="s">
        <v>1207</v>
      </c>
      <c r="D211" s="89" t="s">
        <v>1208</v>
      </c>
      <c r="J211" s="89"/>
      <c r="K211" s="72" t="s">
        <v>961</v>
      </c>
      <c r="L211" s="72" t="s">
        <v>962</v>
      </c>
    </row>
    <row r="212" spans="1:12" x14ac:dyDescent="0.2">
      <c r="A212" s="89" t="s">
        <v>1597</v>
      </c>
      <c r="B212" s="89" t="s">
        <v>1210</v>
      </c>
      <c r="C212" s="72" t="s">
        <v>1211</v>
      </c>
      <c r="D212" s="89" t="s">
        <v>1212</v>
      </c>
      <c r="J212" s="89"/>
      <c r="K212" s="72" t="s">
        <v>961</v>
      </c>
      <c r="L212" s="72" t="s">
        <v>962</v>
      </c>
    </row>
    <row r="213" spans="1:12" x14ac:dyDescent="0.2">
      <c r="A213" s="89" t="s">
        <v>1597</v>
      </c>
      <c r="B213" s="89" t="s">
        <v>1214</v>
      </c>
      <c r="C213" s="72" t="s">
        <v>1215</v>
      </c>
      <c r="D213" s="89" t="s">
        <v>1216</v>
      </c>
      <c r="J213" s="89"/>
      <c r="K213" s="72" t="s">
        <v>961</v>
      </c>
      <c r="L213" s="72" t="s">
        <v>962</v>
      </c>
    </row>
    <row r="214" spans="1:12" x14ac:dyDescent="0.2">
      <c r="A214" s="89" t="s">
        <v>1597</v>
      </c>
      <c r="B214" s="89" t="s">
        <v>1218</v>
      </c>
      <c r="C214" s="72" t="s">
        <v>1219</v>
      </c>
      <c r="D214" s="89" t="s">
        <v>1220</v>
      </c>
      <c r="J214" s="89"/>
      <c r="K214" s="72" t="s">
        <v>961</v>
      </c>
      <c r="L214" s="72" t="s">
        <v>962</v>
      </c>
    </row>
    <row r="215" spans="1:12" x14ac:dyDescent="0.2">
      <c r="A215" s="89" t="s">
        <v>1596</v>
      </c>
      <c r="B215" s="89" t="s">
        <v>1015</v>
      </c>
      <c r="C215" s="72" t="s">
        <v>1016</v>
      </c>
      <c r="D215" s="89" t="s">
        <v>1017</v>
      </c>
      <c r="J215" s="89"/>
      <c r="K215" s="72" t="s">
        <v>1053</v>
      </c>
      <c r="L215" s="72" t="s">
        <v>1054</v>
      </c>
    </row>
    <row r="216" spans="1:12" x14ac:dyDescent="0.2">
      <c r="A216" s="89" t="s">
        <v>1597</v>
      </c>
      <c r="B216" s="89" t="s">
        <v>1015</v>
      </c>
      <c r="C216" s="72" t="s">
        <v>1016</v>
      </c>
      <c r="D216" s="89" t="s">
        <v>1017</v>
      </c>
      <c r="J216" s="89"/>
      <c r="K216" s="72" t="s">
        <v>961</v>
      </c>
      <c r="L216" s="72" t="s">
        <v>962</v>
      </c>
    </row>
    <row r="217" spans="1:12" x14ac:dyDescent="0.2">
      <c r="A217" s="89" t="s">
        <v>1591</v>
      </c>
      <c r="B217" s="89" t="s">
        <v>123</v>
      </c>
      <c r="C217" s="72" t="s">
        <v>124</v>
      </c>
      <c r="D217" s="89" t="s">
        <v>125</v>
      </c>
      <c r="J217" s="89"/>
      <c r="K217" s="72" t="s">
        <v>243</v>
      </c>
      <c r="L217" s="72" t="s">
        <v>244</v>
      </c>
    </row>
    <row r="218" spans="1:12" x14ac:dyDescent="0.2">
      <c r="A218" s="89" t="s">
        <v>1593</v>
      </c>
      <c r="B218" s="89" t="s">
        <v>524</v>
      </c>
      <c r="C218" s="72" t="s">
        <v>525</v>
      </c>
      <c r="D218" s="89" t="s">
        <v>526</v>
      </c>
      <c r="J218" s="89"/>
      <c r="K218" s="72" t="s">
        <v>528</v>
      </c>
      <c r="L218" s="72" t="s">
        <v>529</v>
      </c>
    </row>
    <row r="219" spans="1:12" x14ac:dyDescent="0.2">
      <c r="A219" s="89" t="s">
        <v>1595</v>
      </c>
      <c r="B219" s="89" t="s">
        <v>524</v>
      </c>
      <c r="C219" s="72" t="s">
        <v>525</v>
      </c>
      <c r="D219" s="89" t="s">
        <v>526</v>
      </c>
      <c r="J219" s="89"/>
      <c r="K219" s="72" t="s">
        <v>355</v>
      </c>
      <c r="L219" s="72" t="s">
        <v>356</v>
      </c>
    </row>
    <row r="220" spans="1:12" x14ac:dyDescent="0.2">
      <c r="A220" s="89" t="s">
        <v>1592</v>
      </c>
      <c r="B220" s="89" t="s">
        <v>478</v>
      </c>
      <c r="C220" s="72" t="s">
        <v>479</v>
      </c>
      <c r="D220" s="89" t="s">
        <v>480</v>
      </c>
      <c r="J220" s="89"/>
      <c r="K220" s="72" t="s">
        <v>458</v>
      </c>
      <c r="L220" s="72" t="s">
        <v>459</v>
      </c>
    </row>
    <row r="221" spans="1:12" x14ac:dyDescent="0.2">
      <c r="A221" s="89" t="s">
        <v>1595</v>
      </c>
      <c r="B221" s="89" t="s">
        <v>478</v>
      </c>
      <c r="C221" s="72" t="s">
        <v>479</v>
      </c>
      <c r="D221" s="89" t="s">
        <v>480</v>
      </c>
      <c r="J221" s="89"/>
      <c r="K221" s="72" t="s">
        <v>355</v>
      </c>
      <c r="L221" s="72" t="s">
        <v>356</v>
      </c>
    </row>
    <row r="222" spans="1:12" x14ac:dyDescent="0.2">
      <c r="A222" s="89" t="s">
        <v>1596</v>
      </c>
      <c r="B222" s="89" t="s">
        <v>690</v>
      </c>
      <c r="C222" s="72" t="s">
        <v>691</v>
      </c>
      <c r="D222" s="89" t="s">
        <v>692</v>
      </c>
      <c r="J222" s="89"/>
      <c r="K222" s="72" t="s">
        <v>1053</v>
      </c>
      <c r="L222" s="72" t="s">
        <v>1054</v>
      </c>
    </row>
    <row r="223" spans="1:12" x14ac:dyDescent="0.2">
      <c r="A223" s="89" t="s">
        <v>1594</v>
      </c>
      <c r="B223" s="89" t="s">
        <v>154</v>
      </c>
      <c r="C223" s="72" t="s">
        <v>155</v>
      </c>
      <c r="D223" s="89" t="s">
        <v>156</v>
      </c>
      <c r="J223" s="89"/>
      <c r="K223" s="72" t="s">
        <v>717</v>
      </c>
      <c r="L223" s="72" t="s">
        <v>718</v>
      </c>
    </row>
    <row r="224" spans="1:12" x14ac:dyDescent="0.2">
      <c r="A224" s="89" t="s">
        <v>1596</v>
      </c>
      <c r="B224" s="89" t="s">
        <v>168</v>
      </c>
      <c r="C224" s="72" t="s">
        <v>169</v>
      </c>
      <c r="D224" s="89" t="s">
        <v>170</v>
      </c>
      <c r="J224" s="89"/>
      <c r="K224" s="72" t="s">
        <v>1053</v>
      </c>
      <c r="L224" s="72" t="s">
        <v>1054</v>
      </c>
    </row>
    <row r="225" spans="1:12" x14ac:dyDescent="0.2">
      <c r="A225" s="89" t="s">
        <v>1594</v>
      </c>
      <c r="B225" s="89" t="s">
        <v>702</v>
      </c>
      <c r="C225" s="72" t="s">
        <v>703</v>
      </c>
      <c r="D225" s="89" t="s">
        <v>704</v>
      </c>
      <c r="J225" s="89"/>
      <c r="K225" s="72" t="s">
        <v>717</v>
      </c>
      <c r="L225" s="72" t="s">
        <v>718</v>
      </c>
    </row>
    <row r="226" spans="1:12" x14ac:dyDescent="0.2">
      <c r="A226" s="89" t="s">
        <v>1594</v>
      </c>
      <c r="B226" s="89" t="s">
        <v>66</v>
      </c>
      <c r="C226" s="72" t="s">
        <v>182</v>
      </c>
      <c r="D226" s="89" t="s">
        <v>183</v>
      </c>
      <c r="J226" s="89"/>
      <c r="K226" s="72" t="s">
        <v>717</v>
      </c>
      <c r="L226" s="72" t="s">
        <v>718</v>
      </c>
    </row>
    <row r="227" spans="1:12" x14ac:dyDescent="0.2">
      <c r="A227" s="89" t="s">
        <v>1595</v>
      </c>
      <c r="B227" s="89" t="s">
        <v>355</v>
      </c>
      <c r="C227" s="72" t="s">
        <v>356</v>
      </c>
      <c r="D227" s="89" t="s">
        <v>357</v>
      </c>
      <c r="J227" s="89"/>
      <c r="K227" s="72" t="s">
        <v>355</v>
      </c>
      <c r="L227" s="72" t="s">
        <v>356</v>
      </c>
    </row>
    <row r="228" spans="1:12" x14ac:dyDescent="0.2">
      <c r="A228" s="89" t="s">
        <v>1597</v>
      </c>
      <c r="B228" s="89" t="s">
        <v>367</v>
      </c>
      <c r="C228" s="72" t="s">
        <v>368</v>
      </c>
      <c r="D228" s="89" t="s">
        <v>369</v>
      </c>
      <c r="J228" s="89"/>
      <c r="K228" s="72" t="s">
        <v>961</v>
      </c>
      <c r="L228" s="72" t="s">
        <v>962</v>
      </c>
    </row>
    <row r="229" spans="1:12" x14ac:dyDescent="0.2">
      <c r="A229" s="89" t="s">
        <v>1594</v>
      </c>
      <c r="B229" s="89" t="s">
        <v>552</v>
      </c>
      <c r="C229" s="72" t="s">
        <v>553</v>
      </c>
      <c r="D229" s="89" t="s">
        <v>554</v>
      </c>
      <c r="J229" s="89"/>
      <c r="K229" s="72" t="s">
        <v>717</v>
      </c>
      <c r="L229" s="72" t="s">
        <v>718</v>
      </c>
    </row>
    <row r="230" spans="1:12" x14ac:dyDescent="0.2">
      <c r="A230" s="89" t="s">
        <v>1595</v>
      </c>
      <c r="B230" s="89" t="s">
        <v>373</v>
      </c>
      <c r="C230" s="72" t="s">
        <v>374</v>
      </c>
      <c r="D230" s="89" t="s">
        <v>375</v>
      </c>
      <c r="J230" s="89"/>
      <c r="K230" s="72" t="s">
        <v>355</v>
      </c>
      <c r="L230" s="72" t="s">
        <v>356</v>
      </c>
    </row>
    <row r="231" spans="1:12" x14ac:dyDescent="0.2">
      <c r="A231" s="89" t="s">
        <v>1591</v>
      </c>
      <c r="B231" s="89" t="s">
        <v>194</v>
      </c>
      <c r="C231" s="72" t="s">
        <v>195</v>
      </c>
      <c r="D231" s="89" t="s">
        <v>196</v>
      </c>
      <c r="J231" s="89"/>
      <c r="K231" s="72" t="s">
        <v>243</v>
      </c>
      <c r="L231" s="72" t="s">
        <v>244</v>
      </c>
    </row>
    <row r="232" spans="1:12" x14ac:dyDescent="0.2">
      <c r="A232" s="89" t="s">
        <v>1595</v>
      </c>
      <c r="B232" s="89" t="s">
        <v>385</v>
      </c>
      <c r="C232" s="72" t="s">
        <v>386</v>
      </c>
      <c r="D232" s="89" t="s">
        <v>387</v>
      </c>
      <c r="J232" s="89"/>
      <c r="K232" s="72" t="s">
        <v>355</v>
      </c>
      <c r="L232" s="72" t="s">
        <v>356</v>
      </c>
    </row>
    <row r="233" spans="1:12" x14ac:dyDescent="0.2">
      <c r="A233" s="89" t="s">
        <v>1596</v>
      </c>
      <c r="B233" s="89" t="s">
        <v>201</v>
      </c>
      <c r="C233" s="72" t="s">
        <v>202</v>
      </c>
      <c r="D233" s="89" t="s">
        <v>203</v>
      </c>
      <c r="J233" s="89"/>
      <c r="K233" s="72" t="s">
        <v>1053</v>
      </c>
      <c r="L233" s="72" t="s">
        <v>1054</v>
      </c>
    </row>
    <row r="234" spans="1:12" x14ac:dyDescent="0.2">
      <c r="A234" s="89" t="s">
        <v>1596</v>
      </c>
      <c r="B234" s="89" t="s">
        <v>1053</v>
      </c>
      <c r="C234" s="72" t="s">
        <v>1054</v>
      </c>
      <c r="D234" s="89" t="s">
        <v>1055</v>
      </c>
      <c r="J234" s="89"/>
      <c r="K234" s="72" t="s">
        <v>1053</v>
      </c>
      <c r="L234" s="72" t="s">
        <v>1054</v>
      </c>
    </row>
    <row r="235" spans="1:12" x14ac:dyDescent="0.2">
      <c r="A235" s="89" t="s">
        <v>1595</v>
      </c>
      <c r="B235" s="89" t="s">
        <v>395</v>
      </c>
      <c r="C235" s="72" t="s">
        <v>396</v>
      </c>
      <c r="D235" s="89" t="s">
        <v>397</v>
      </c>
      <c r="J235" s="89"/>
      <c r="K235" s="72" t="s">
        <v>355</v>
      </c>
      <c r="L235" s="72" t="s">
        <v>356</v>
      </c>
    </row>
    <row r="236" spans="1:12" x14ac:dyDescent="0.2">
      <c r="A236" s="89" t="s">
        <v>1596</v>
      </c>
      <c r="B236" s="89" t="s">
        <v>219</v>
      </c>
      <c r="C236" s="72" t="s">
        <v>220</v>
      </c>
      <c r="D236" s="89" t="s">
        <v>221</v>
      </c>
      <c r="J236" s="89"/>
      <c r="K236" s="72" t="s">
        <v>1053</v>
      </c>
      <c r="L236" s="72" t="s">
        <v>1054</v>
      </c>
    </row>
    <row r="237" spans="1:12" x14ac:dyDescent="0.2">
      <c r="A237" s="89" t="s">
        <v>1597</v>
      </c>
      <c r="B237" s="89" t="s">
        <v>923</v>
      </c>
      <c r="C237" s="72" t="s">
        <v>924</v>
      </c>
      <c r="D237" s="89" t="s">
        <v>925</v>
      </c>
      <c r="J237" s="89"/>
      <c r="K237" s="72" t="s">
        <v>961</v>
      </c>
      <c r="L237" s="72" t="s">
        <v>962</v>
      </c>
    </row>
    <row r="238" spans="1:12" x14ac:dyDescent="0.2">
      <c r="A238" s="89" t="s">
        <v>1595</v>
      </c>
      <c r="B238" s="89" t="s">
        <v>400</v>
      </c>
      <c r="C238" s="72" t="s">
        <v>401</v>
      </c>
      <c r="D238" s="89" t="s">
        <v>402</v>
      </c>
      <c r="J238" s="89"/>
      <c r="K238" s="72" t="s">
        <v>355</v>
      </c>
      <c r="L238" s="72" t="s">
        <v>356</v>
      </c>
    </row>
    <row r="239" spans="1:12" x14ac:dyDescent="0.2">
      <c r="A239" s="89" t="s">
        <v>1592</v>
      </c>
      <c r="B239" s="89" t="s">
        <v>410</v>
      </c>
      <c r="C239" s="72" t="s">
        <v>411</v>
      </c>
      <c r="D239" s="89" t="s">
        <v>412</v>
      </c>
      <c r="J239" s="89"/>
      <c r="K239" s="72" t="s">
        <v>458</v>
      </c>
      <c r="L239" s="72" t="s">
        <v>459</v>
      </c>
    </row>
    <row r="240" spans="1:12" x14ac:dyDescent="0.2">
      <c r="A240" s="89" t="s">
        <v>1591</v>
      </c>
      <c r="B240" s="89" t="s">
        <v>231</v>
      </c>
      <c r="C240" s="72" t="s">
        <v>232</v>
      </c>
      <c r="D240" s="89" t="s">
        <v>233</v>
      </c>
      <c r="J240" s="89"/>
      <c r="K240" s="72" t="s">
        <v>243</v>
      </c>
      <c r="L240" s="72" t="s">
        <v>244</v>
      </c>
    </row>
    <row r="241" spans="1:12" x14ac:dyDescent="0.2">
      <c r="A241" s="89" t="s">
        <v>1591</v>
      </c>
      <c r="B241" s="89" t="s">
        <v>237</v>
      </c>
      <c r="C241" s="72" t="s">
        <v>238</v>
      </c>
      <c r="D241" s="89" t="s">
        <v>239</v>
      </c>
      <c r="J241" s="89"/>
      <c r="K241" s="72" t="s">
        <v>243</v>
      </c>
      <c r="L241" s="72" t="s">
        <v>244</v>
      </c>
    </row>
    <row r="242" spans="1:12" x14ac:dyDescent="0.2">
      <c r="A242" s="89" t="s">
        <v>1594</v>
      </c>
      <c r="B242" s="89" t="s">
        <v>596</v>
      </c>
      <c r="C242" s="72" t="s">
        <v>597</v>
      </c>
      <c r="D242" s="89" t="s">
        <v>598</v>
      </c>
      <c r="J242" s="89"/>
      <c r="K242" s="72" t="s">
        <v>717</v>
      </c>
      <c r="L242" s="72" t="s">
        <v>718</v>
      </c>
    </row>
    <row r="243" spans="1:12" x14ac:dyDescent="0.2">
      <c r="A243" s="89" t="s">
        <v>1594</v>
      </c>
      <c r="B243" s="89" t="s">
        <v>612</v>
      </c>
      <c r="C243" s="72" t="s">
        <v>613</v>
      </c>
      <c r="D243" s="89" t="s">
        <v>614</v>
      </c>
      <c r="J243" s="89"/>
      <c r="K243" s="72" t="s">
        <v>717</v>
      </c>
      <c r="L243" s="72" t="s">
        <v>718</v>
      </c>
    </row>
    <row r="244" spans="1:12" x14ac:dyDescent="0.2">
      <c r="A244" s="89" t="s">
        <v>1593</v>
      </c>
      <c r="B244" s="89" t="s">
        <v>616</v>
      </c>
      <c r="C244" s="72" t="s">
        <v>617</v>
      </c>
      <c r="D244" s="89" t="s">
        <v>618</v>
      </c>
      <c r="J244" s="89"/>
      <c r="K244" s="72" t="s">
        <v>528</v>
      </c>
      <c r="L244" s="72" t="s">
        <v>529</v>
      </c>
    </row>
    <row r="245" spans="1:12" x14ac:dyDescent="0.2">
      <c r="A245" s="89" t="s">
        <v>1595</v>
      </c>
      <c r="B245" s="89" t="s">
        <v>425</v>
      </c>
      <c r="C245" s="72" t="s">
        <v>426</v>
      </c>
      <c r="D245" s="89" t="s">
        <v>427</v>
      </c>
      <c r="J245" s="89"/>
      <c r="K245" s="72" t="s">
        <v>355</v>
      </c>
      <c r="L245" s="72" t="s">
        <v>356</v>
      </c>
    </row>
    <row r="246" spans="1:12" x14ac:dyDescent="0.2">
      <c r="A246" s="89" t="s">
        <v>1591</v>
      </c>
      <c r="B246" s="89" t="s">
        <v>243</v>
      </c>
      <c r="C246" s="72" t="s">
        <v>244</v>
      </c>
      <c r="D246" s="89" t="s">
        <v>245</v>
      </c>
      <c r="J246" s="89"/>
      <c r="K246" s="72" t="s">
        <v>243</v>
      </c>
      <c r="L246" s="72" t="s">
        <v>244</v>
      </c>
    </row>
    <row r="247" spans="1:12" x14ac:dyDescent="0.2">
      <c r="A247" s="89" t="s">
        <v>1595</v>
      </c>
      <c r="B247" s="89" t="s">
        <v>430</v>
      </c>
      <c r="C247" s="72" t="s">
        <v>431</v>
      </c>
      <c r="D247" s="89" t="s">
        <v>432</v>
      </c>
      <c r="J247" s="89"/>
      <c r="K247" s="72" t="s">
        <v>355</v>
      </c>
      <c r="L247" s="72" t="s">
        <v>356</v>
      </c>
    </row>
    <row r="248" spans="1:12" x14ac:dyDescent="0.2">
      <c r="A248" s="89" t="s">
        <v>1591</v>
      </c>
      <c r="B248" s="89" t="s">
        <v>249</v>
      </c>
      <c r="C248" s="72" t="s">
        <v>250</v>
      </c>
      <c r="D248" s="89" t="s">
        <v>251</v>
      </c>
      <c r="J248" s="89"/>
      <c r="K248" s="72" t="s">
        <v>243</v>
      </c>
      <c r="L248" s="72" t="s">
        <v>244</v>
      </c>
    </row>
    <row r="249" spans="1:12" x14ac:dyDescent="0.2">
      <c r="A249" s="89" t="s">
        <v>1592</v>
      </c>
      <c r="B249" s="89" t="s">
        <v>435</v>
      </c>
      <c r="C249" s="72" t="s">
        <v>436</v>
      </c>
      <c r="D249" s="89" t="s">
        <v>437</v>
      </c>
      <c r="J249" s="89"/>
      <c r="K249" s="72" t="s">
        <v>458</v>
      </c>
      <c r="L249" s="72" t="s">
        <v>459</v>
      </c>
    </row>
    <row r="250" spans="1:12" x14ac:dyDescent="0.2">
      <c r="A250" s="89" t="s">
        <v>1594</v>
      </c>
      <c r="B250" s="89" t="s">
        <v>628</v>
      </c>
      <c r="C250" s="72" t="s">
        <v>629</v>
      </c>
      <c r="D250" s="89" t="s">
        <v>630</v>
      </c>
      <c r="J250" s="89"/>
      <c r="K250" s="72" t="s">
        <v>717</v>
      </c>
      <c r="L250" s="72" t="s">
        <v>718</v>
      </c>
    </row>
    <row r="251" spans="1:12" x14ac:dyDescent="0.2">
      <c r="A251" s="89" t="s">
        <v>1595</v>
      </c>
      <c r="B251" s="89" t="s">
        <v>760</v>
      </c>
      <c r="C251" s="72" t="s">
        <v>761</v>
      </c>
      <c r="D251" s="89" t="s">
        <v>762</v>
      </c>
      <c r="J251" s="89"/>
      <c r="K251" s="72" t="s">
        <v>355</v>
      </c>
      <c r="L251" s="72" t="s">
        <v>356</v>
      </c>
    </row>
    <row r="252" spans="1:12" x14ac:dyDescent="0.2">
      <c r="A252" s="89" t="s">
        <v>1591</v>
      </c>
      <c r="B252" s="89" t="s">
        <v>261</v>
      </c>
      <c r="C252" s="72" t="s">
        <v>262</v>
      </c>
      <c r="D252" s="89" t="s">
        <v>263</v>
      </c>
      <c r="J252" s="89"/>
      <c r="K252" s="72" t="s">
        <v>243</v>
      </c>
      <c r="L252" s="72" t="s">
        <v>244</v>
      </c>
    </row>
    <row r="253" spans="1:12" x14ac:dyDescent="0.2">
      <c r="A253" s="89" t="s">
        <v>1594</v>
      </c>
      <c r="B253" s="89" t="s">
        <v>636</v>
      </c>
      <c r="C253" s="72" t="s">
        <v>637</v>
      </c>
      <c r="D253" s="89" t="s">
        <v>638</v>
      </c>
      <c r="J253" s="89"/>
      <c r="K253" s="72" t="s">
        <v>717</v>
      </c>
      <c r="L253" s="72" t="s">
        <v>718</v>
      </c>
    </row>
    <row r="254" spans="1:12" x14ac:dyDescent="0.2">
      <c r="A254" s="89" t="s">
        <v>1591</v>
      </c>
      <c r="B254" s="89" t="s">
        <v>267</v>
      </c>
      <c r="C254" s="72" t="s">
        <v>268</v>
      </c>
      <c r="D254" s="89" t="s">
        <v>269</v>
      </c>
      <c r="J254" s="89"/>
      <c r="K254" s="72" t="s">
        <v>243</v>
      </c>
      <c r="L254" s="72" t="s">
        <v>244</v>
      </c>
    </row>
    <row r="255" spans="1:12" x14ac:dyDescent="0.2">
      <c r="A255" s="89" t="s">
        <v>1595</v>
      </c>
      <c r="B255" s="89" t="s">
        <v>474</v>
      </c>
      <c r="C255" s="72" t="s">
        <v>475</v>
      </c>
      <c r="D255" s="89" t="s">
        <v>476</v>
      </c>
      <c r="J255" s="89"/>
      <c r="K255" s="72" t="s">
        <v>355</v>
      </c>
      <c r="L255" s="72" t="s">
        <v>356</v>
      </c>
    </row>
    <row r="256" spans="1:12" x14ac:dyDescent="0.2">
      <c r="A256" s="89" t="s">
        <v>1597</v>
      </c>
      <c r="B256" s="89" t="s">
        <v>961</v>
      </c>
      <c r="C256" s="72" t="s">
        <v>962</v>
      </c>
      <c r="D256" s="89" t="s">
        <v>963</v>
      </c>
      <c r="J256" s="89"/>
      <c r="K256" s="72" t="s">
        <v>961</v>
      </c>
      <c r="L256" s="72" t="s">
        <v>962</v>
      </c>
    </row>
    <row r="257" spans="1:12" x14ac:dyDescent="0.2">
      <c r="A257" s="89" t="s">
        <v>1593</v>
      </c>
      <c r="B257" s="89" t="s">
        <v>647</v>
      </c>
      <c r="C257" s="72" t="s">
        <v>648</v>
      </c>
      <c r="D257" s="89" t="s">
        <v>649</v>
      </c>
      <c r="J257" s="89"/>
      <c r="K257" s="72" t="s">
        <v>528</v>
      </c>
      <c r="L257" s="72" t="s">
        <v>529</v>
      </c>
    </row>
    <row r="258" spans="1:12" x14ac:dyDescent="0.2">
      <c r="A258" s="89" t="s">
        <v>1595</v>
      </c>
      <c r="B258" s="89" t="s">
        <v>296</v>
      </c>
      <c r="C258" s="72" t="s">
        <v>297</v>
      </c>
      <c r="D258" s="89" t="s">
        <v>298</v>
      </c>
      <c r="J258" s="89"/>
      <c r="K258" s="72" t="s">
        <v>355</v>
      </c>
      <c r="L258" s="72" t="s">
        <v>356</v>
      </c>
    </row>
    <row r="259" spans="1:12" x14ac:dyDescent="0.2">
      <c r="A259" s="89" t="s">
        <v>1595</v>
      </c>
      <c r="B259" s="89" t="s">
        <v>302</v>
      </c>
      <c r="C259" s="72" t="s">
        <v>303</v>
      </c>
      <c r="D259" s="89" t="s">
        <v>304</v>
      </c>
      <c r="J259" s="89"/>
      <c r="K259" s="72" t="s">
        <v>355</v>
      </c>
      <c r="L259" s="72" t="s">
        <v>356</v>
      </c>
    </row>
    <row r="260" spans="1:12" x14ac:dyDescent="0.2">
      <c r="A260" s="89" t="s">
        <v>1592</v>
      </c>
      <c r="B260" s="89" t="s">
        <v>462</v>
      </c>
      <c r="C260" s="72" t="s">
        <v>463</v>
      </c>
      <c r="D260" s="89" t="s">
        <v>464</v>
      </c>
      <c r="J260" s="89"/>
      <c r="K260" s="72" t="s">
        <v>458</v>
      </c>
      <c r="L260" s="72" t="s">
        <v>459</v>
      </c>
    </row>
    <row r="261" spans="1:12" x14ac:dyDescent="0.2">
      <c r="A261" s="89" t="s">
        <v>1594</v>
      </c>
      <c r="B261" s="89" t="s">
        <v>659</v>
      </c>
      <c r="C261" s="72" t="s">
        <v>660</v>
      </c>
      <c r="D261" s="89" t="s">
        <v>661</v>
      </c>
      <c r="J261" s="89"/>
      <c r="K261" s="72" t="s">
        <v>717</v>
      </c>
      <c r="L261" s="72" t="s">
        <v>718</v>
      </c>
    </row>
    <row r="262" spans="1:12" x14ac:dyDescent="0.2">
      <c r="J262" s="89"/>
    </row>
  </sheetData>
  <sheetProtection algorithmName="SHA-512" hashValue="hrYh9FZZTyB1gz5gSufZQEBicUzT7v+ZY/Jjw3jDvbQXMnSLeMVdsMQ/V/9D9rEwnP+TOU6v4XCUr8zi7dfSZQ==" saltValue="L4I3lr8ajPC3nDlLlb8RVQ==" spinCount="100000" sheet="1" objects="1" scenarios="1"/>
  <autoFilter ref="A1:L26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779"/>
  <sheetViews>
    <sheetView workbookViewId="0">
      <pane ySplit="1" topLeftCell="A2" activePane="bottomLeft" state="frozen"/>
      <selection pane="bottomLeft" sqref="A1:A1048576"/>
    </sheetView>
  </sheetViews>
  <sheetFormatPr baseColWidth="10" defaultColWidth="10.83203125" defaultRowHeight="13" x14ac:dyDescent="0.15"/>
  <cols>
    <col min="1" max="1" width="8.83203125" style="68" customWidth="1"/>
    <col min="2" max="2" width="19" style="68" customWidth="1"/>
    <col min="3" max="38" width="10.83203125" style="69" customWidth="1"/>
    <col min="39" max="16384" width="10.83203125" style="69"/>
  </cols>
  <sheetData>
    <row r="1" spans="1:2" ht="16" customHeight="1" x14ac:dyDescent="0.2">
      <c r="A1" s="90" t="s">
        <v>1598</v>
      </c>
      <c r="B1" s="91" t="s">
        <v>1599</v>
      </c>
    </row>
    <row r="2" spans="1:2" x14ac:dyDescent="0.15">
      <c r="A2" s="67" t="s">
        <v>80</v>
      </c>
      <c r="B2" s="68" t="s">
        <v>1600</v>
      </c>
    </row>
    <row r="3" spans="1:2" x14ac:dyDescent="0.15">
      <c r="A3" s="67" t="s">
        <v>90</v>
      </c>
      <c r="B3" s="68" t="s">
        <v>1601</v>
      </c>
    </row>
    <row r="4" spans="1:2" x14ac:dyDescent="0.15">
      <c r="A4" s="67" t="s">
        <v>100</v>
      </c>
      <c r="B4" s="68" t="s">
        <v>1602</v>
      </c>
    </row>
    <row r="5" spans="1:2" x14ac:dyDescent="0.15">
      <c r="A5" s="67" t="s">
        <v>109</v>
      </c>
      <c r="B5" s="68" t="s">
        <v>1603</v>
      </c>
    </row>
    <row r="6" spans="1:2" x14ac:dyDescent="0.15">
      <c r="A6" s="67" t="s">
        <v>119</v>
      </c>
      <c r="B6" s="68" t="s">
        <v>1604</v>
      </c>
    </row>
    <row r="7" spans="1:2" x14ac:dyDescent="0.15">
      <c r="A7" s="67" t="s">
        <v>127</v>
      </c>
      <c r="B7" s="68" t="s">
        <v>1605</v>
      </c>
    </row>
    <row r="8" spans="1:2" x14ac:dyDescent="0.15">
      <c r="A8" s="67" t="s">
        <v>135</v>
      </c>
      <c r="B8" s="68" t="s">
        <v>1606</v>
      </c>
    </row>
    <row r="9" spans="1:2" x14ac:dyDescent="0.15">
      <c r="A9" s="67" t="s">
        <v>143</v>
      </c>
      <c r="B9" s="68" t="s">
        <v>1607</v>
      </c>
    </row>
    <row r="10" spans="1:2" x14ac:dyDescent="0.15">
      <c r="A10" s="67" t="s">
        <v>150</v>
      </c>
      <c r="B10" s="68" t="s">
        <v>1608</v>
      </c>
    </row>
    <row r="11" spans="1:2" x14ac:dyDescent="0.15">
      <c r="A11" s="67" t="s">
        <v>157</v>
      </c>
      <c r="B11" s="68" t="s">
        <v>1609</v>
      </c>
    </row>
    <row r="12" spans="1:2" x14ac:dyDescent="0.15">
      <c r="A12" s="67" t="s">
        <v>164</v>
      </c>
      <c r="B12" s="68" t="s">
        <v>1610</v>
      </c>
    </row>
    <row r="13" spans="1:2" x14ac:dyDescent="0.15">
      <c r="A13" s="67" t="s">
        <v>171</v>
      </c>
      <c r="B13" s="68" t="s">
        <v>1611</v>
      </c>
    </row>
    <row r="14" spans="1:2" x14ac:dyDescent="0.15">
      <c r="A14" s="67" t="s">
        <v>178</v>
      </c>
      <c r="B14" s="68" t="s">
        <v>1612</v>
      </c>
    </row>
    <row r="15" spans="1:2" x14ac:dyDescent="0.15">
      <c r="A15" s="67" t="s">
        <v>184</v>
      </c>
      <c r="B15" s="68" t="s">
        <v>1613</v>
      </c>
    </row>
    <row r="16" spans="1:2" x14ac:dyDescent="0.15">
      <c r="A16" s="67" t="s">
        <v>191</v>
      </c>
      <c r="B16" s="68" t="s">
        <v>1614</v>
      </c>
    </row>
    <row r="17" spans="1:2" x14ac:dyDescent="0.15">
      <c r="A17" s="67" t="s">
        <v>197</v>
      </c>
      <c r="B17" s="68" t="s">
        <v>1615</v>
      </c>
    </row>
    <row r="18" spans="1:2" x14ac:dyDescent="0.15">
      <c r="A18" s="67" t="s">
        <v>204</v>
      </c>
      <c r="B18" s="68" t="s">
        <v>1616</v>
      </c>
    </row>
    <row r="19" spans="1:2" x14ac:dyDescent="0.15">
      <c r="A19" s="67" t="s">
        <v>210</v>
      </c>
      <c r="B19" s="68" t="s">
        <v>1617</v>
      </c>
    </row>
    <row r="20" spans="1:2" x14ac:dyDescent="0.15">
      <c r="A20" s="67" t="s">
        <v>216</v>
      </c>
      <c r="B20" s="68" t="s">
        <v>1618</v>
      </c>
    </row>
    <row r="21" spans="1:2" x14ac:dyDescent="0.15">
      <c r="A21" s="67" t="s">
        <v>222</v>
      </c>
      <c r="B21" s="68" t="s">
        <v>1619</v>
      </c>
    </row>
    <row r="22" spans="1:2" x14ac:dyDescent="0.15">
      <c r="A22" s="67" t="s">
        <v>228</v>
      </c>
      <c r="B22" s="68" t="s">
        <v>1620</v>
      </c>
    </row>
    <row r="23" spans="1:2" x14ac:dyDescent="0.15">
      <c r="A23" s="67" t="s">
        <v>234</v>
      </c>
      <c r="B23" s="68" t="s">
        <v>1621</v>
      </c>
    </row>
    <row r="24" spans="1:2" x14ac:dyDescent="0.15">
      <c r="A24" s="67" t="s">
        <v>240</v>
      </c>
      <c r="B24" s="68" t="s">
        <v>1622</v>
      </c>
    </row>
    <row r="25" spans="1:2" x14ac:dyDescent="0.15">
      <c r="A25" s="67" t="s">
        <v>246</v>
      </c>
      <c r="B25" s="68" t="s">
        <v>1623</v>
      </c>
    </row>
    <row r="26" spans="1:2" x14ac:dyDescent="0.15">
      <c r="A26" s="67" t="s">
        <v>252</v>
      </c>
      <c r="B26" s="68" t="s">
        <v>1624</v>
      </c>
    </row>
    <row r="27" spans="1:2" x14ac:dyDescent="0.15">
      <c r="A27" s="67" t="s">
        <v>258</v>
      </c>
      <c r="B27" s="68" t="s">
        <v>1625</v>
      </c>
    </row>
    <row r="28" spans="1:2" x14ac:dyDescent="0.15">
      <c r="A28" s="67" t="s">
        <v>264</v>
      </c>
      <c r="B28" s="68" t="s">
        <v>1626</v>
      </c>
    </row>
    <row r="29" spans="1:2" x14ac:dyDescent="0.15">
      <c r="A29" s="67" t="s">
        <v>270</v>
      </c>
      <c r="B29" s="68" t="s">
        <v>1627</v>
      </c>
    </row>
    <row r="30" spans="1:2" x14ac:dyDescent="0.15">
      <c r="A30" s="67" t="s">
        <v>276</v>
      </c>
      <c r="B30" s="68" t="s">
        <v>1628</v>
      </c>
    </row>
    <row r="31" spans="1:2" x14ac:dyDescent="0.15">
      <c r="A31" s="67" t="s">
        <v>282</v>
      </c>
      <c r="B31" s="68" t="s">
        <v>1629</v>
      </c>
    </row>
    <row r="32" spans="1:2" x14ac:dyDescent="0.15">
      <c r="A32" s="67" t="s">
        <v>288</v>
      </c>
      <c r="B32" s="68" t="s">
        <v>1630</v>
      </c>
    </row>
    <row r="33" spans="1:2" x14ac:dyDescent="0.15">
      <c r="A33" s="67" t="s">
        <v>288</v>
      </c>
      <c r="B33" s="68" t="s">
        <v>1631</v>
      </c>
    </row>
    <row r="34" spans="1:2" x14ac:dyDescent="0.15">
      <c r="A34" s="67" t="s">
        <v>299</v>
      </c>
      <c r="B34" s="68" t="s">
        <v>1632</v>
      </c>
    </row>
    <row r="35" spans="1:2" x14ac:dyDescent="0.15">
      <c r="A35" s="67" t="s">
        <v>305</v>
      </c>
      <c r="B35" s="68" t="s">
        <v>1633</v>
      </c>
    </row>
    <row r="36" spans="1:2" x14ac:dyDescent="0.15">
      <c r="A36" s="67" t="s">
        <v>311</v>
      </c>
      <c r="B36" s="68" t="s">
        <v>1634</v>
      </c>
    </row>
    <row r="37" spans="1:2" x14ac:dyDescent="0.15">
      <c r="A37" s="67" t="s">
        <v>317</v>
      </c>
      <c r="B37" s="68" t="s">
        <v>1635</v>
      </c>
    </row>
    <row r="38" spans="1:2" x14ac:dyDescent="0.15">
      <c r="A38" s="67" t="s">
        <v>323</v>
      </c>
      <c r="B38" s="68" t="s">
        <v>1636</v>
      </c>
    </row>
    <row r="39" spans="1:2" x14ac:dyDescent="0.15">
      <c r="A39" s="67" t="s">
        <v>329</v>
      </c>
      <c r="B39" s="68" t="s">
        <v>1637</v>
      </c>
    </row>
    <row r="40" spans="1:2" x14ac:dyDescent="0.15">
      <c r="A40" s="67" t="s">
        <v>335</v>
      </c>
      <c r="B40" s="68" t="s">
        <v>1638</v>
      </c>
    </row>
    <row r="41" spans="1:2" x14ac:dyDescent="0.15">
      <c r="A41" s="67" t="s">
        <v>341</v>
      </c>
      <c r="B41" s="68" t="s">
        <v>1639</v>
      </c>
    </row>
    <row r="42" spans="1:2" x14ac:dyDescent="0.15">
      <c r="A42" s="67" t="s">
        <v>346</v>
      </c>
      <c r="B42" s="68" t="s">
        <v>1640</v>
      </c>
    </row>
    <row r="43" spans="1:2" x14ac:dyDescent="0.15">
      <c r="A43" s="67" t="s">
        <v>352</v>
      </c>
      <c r="B43" s="68" t="s">
        <v>1641</v>
      </c>
    </row>
    <row r="44" spans="1:2" x14ac:dyDescent="0.15">
      <c r="A44" s="67" t="s">
        <v>358</v>
      </c>
      <c r="B44" s="68" t="s">
        <v>1642</v>
      </c>
    </row>
    <row r="45" spans="1:2" x14ac:dyDescent="0.15">
      <c r="A45" s="67" t="s">
        <v>364</v>
      </c>
      <c r="B45" s="68" t="s">
        <v>1643</v>
      </c>
    </row>
    <row r="46" spans="1:2" x14ac:dyDescent="0.15">
      <c r="A46" s="67" t="s">
        <v>370</v>
      </c>
      <c r="B46" s="68" t="s">
        <v>1644</v>
      </c>
    </row>
    <row r="47" spans="1:2" x14ac:dyDescent="0.15">
      <c r="A47" s="67" t="s">
        <v>376</v>
      </c>
      <c r="B47" s="68" t="s">
        <v>1645</v>
      </c>
    </row>
    <row r="48" spans="1:2" x14ac:dyDescent="0.15">
      <c r="A48" s="67" t="s">
        <v>382</v>
      </c>
      <c r="B48" s="68" t="s">
        <v>1646</v>
      </c>
    </row>
    <row r="49" spans="1:2" x14ac:dyDescent="0.15">
      <c r="A49" s="67" t="s">
        <v>388</v>
      </c>
      <c r="B49" s="68" t="s">
        <v>1647</v>
      </c>
    </row>
    <row r="50" spans="1:2" x14ac:dyDescent="0.15">
      <c r="A50" s="67" t="s">
        <v>393</v>
      </c>
      <c r="B50" s="68" t="s">
        <v>1648</v>
      </c>
    </row>
    <row r="51" spans="1:2" x14ac:dyDescent="0.15">
      <c r="A51" s="67" t="s">
        <v>398</v>
      </c>
      <c r="B51" s="68" t="s">
        <v>1649</v>
      </c>
    </row>
    <row r="52" spans="1:2" x14ac:dyDescent="0.15">
      <c r="A52" s="67" t="s">
        <v>403</v>
      </c>
      <c r="B52" s="68" t="s">
        <v>1650</v>
      </c>
    </row>
    <row r="53" spans="1:2" x14ac:dyDescent="0.15">
      <c r="A53" s="67" t="s">
        <v>408</v>
      </c>
      <c r="B53" s="68" t="s">
        <v>1651</v>
      </c>
    </row>
    <row r="54" spans="1:2" x14ac:dyDescent="0.15">
      <c r="A54" s="67" t="s">
        <v>413</v>
      </c>
      <c r="B54" s="68" t="s">
        <v>1652</v>
      </c>
    </row>
    <row r="55" spans="1:2" x14ac:dyDescent="0.15">
      <c r="A55" s="67" t="s">
        <v>418</v>
      </c>
      <c r="B55" s="68" t="s">
        <v>1653</v>
      </c>
    </row>
    <row r="56" spans="1:2" x14ac:dyDescent="0.15">
      <c r="A56" s="67" t="s">
        <v>423</v>
      </c>
      <c r="B56" s="68" t="s">
        <v>1654</v>
      </c>
    </row>
    <row r="57" spans="1:2" x14ac:dyDescent="0.15">
      <c r="A57" s="67" t="s">
        <v>428</v>
      </c>
      <c r="B57" s="68" t="s">
        <v>1655</v>
      </c>
    </row>
    <row r="58" spans="1:2" x14ac:dyDescent="0.15">
      <c r="A58" s="67" t="s">
        <v>433</v>
      </c>
      <c r="B58" s="68" t="s">
        <v>1656</v>
      </c>
    </row>
    <row r="59" spans="1:2" x14ac:dyDescent="0.15">
      <c r="A59" s="67" t="s">
        <v>438</v>
      </c>
      <c r="B59" s="68" t="s">
        <v>1657</v>
      </c>
    </row>
    <row r="60" spans="1:2" x14ac:dyDescent="0.15">
      <c r="A60" s="67" t="s">
        <v>443</v>
      </c>
      <c r="B60" s="68" t="s">
        <v>1658</v>
      </c>
    </row>
    <row r="61" spans="1:2" x14ac:dyDescent="0.15">
      <c r="A61" s="67" t="s">
        <v>448</v>
      </c>
      <c r="B61" s="68" t="s">
        <v>1621</v>
      </c>
    </row>
    <row r="62" spans="1:2" x14ac:dyDescent="0.15">
      <c r="A62" s="67" t="s">
        <v>452</v>
      </c>
      <c r="B62" s="68" t="s">
        <v>1659</v>
      </c>
    </row>
    <row r="63" spans="1:2" x14ac:dyDescent="0.15">
      <c r="A63" s="67" t="s">
        <v>457</v>
      </c>
      <c r="B63" s="68" t="s">
        <v>1660</v>
      </c>
    </row>
    <row r="64" spans="1:2" x14ac:dyDescent="0.15">
      <c r="A64" s="67" t="s">
        <v>461</v>
      </c>
      <c r="B64" s="68" t="s">
        <v>1661</v>
      </c>
    </row>
    <row r="65" spans="1:2" x14ac:dyDescent="0.15">
      <c r="A65" s="67" t="s">
        <v>465</v>
      </c>
      <c r="B65" s="68" t="s">
        <v>1634</v>
      </c>
    </row>
    <row r="66" spans="1:2" x14ac:dyDescent="0.15">
      <c r="A66" s="67" t="s">
        <v>469</v>
      </c>
      <c r="B66" s="68" t="s">
        <v>1659</v>
      </c>
    </row>
    <row r="67" spans="1:2" x14ac:dyDescent="0.15">
      <c r="A67" s="67" t="s">
        <v>473</v>
      </c>
      <c r="B67" s="68" t="s">
        <v>1662</v>
      </c>
    </row>
    <row r="68" spans="1:2" x14ac:dyDescent="0.15">
      <c r="A68" s="67" t="s">
        <v>477</v>
      </c>
      <c r="B68" s="68" t="s">
        <v>1663</v>
      </c>
    </row>
    <row r="69" spans="1:2" x14ac:dyDescent="0.15">
      <c r="A69" s="67" t="s">
        <v>481</v>
      </c>
      <c r="B69" s="68" t="s">
        <v>1621</v>
      </c>
    </row>
    <row r="70" spans="1:2" x14ac:dyDescent="0.15">
      <c r="A70" s="67" t="s">
        <v>485</v>
      </c>
      <c r="B70" s="68" t="s">
        <v>1621</v>
      </c>
    </row>
    <row r="71" spans="1:2" x14ac:dyDescent="0.15">
      <c r="A71" s="67" t="s">
        <v>485</v>
      </c>
      <c r="B71" s="68" t="s">
        <v>1664</v>
      </c>
    </row>
    <row r="72" spans="1:2" x14ac:dyDescent="0.15">
      <c r="A72" s="67" t="s">
        <v>485</v>
      </c>
      <c r="B72" s="68" t="s">
        <v>1665</v>
      </c>
    </row>
    <row r="73" spans="1:2" x14ac:dyDescent="0.15">
      <c r="A73" s="67" t="s">
        <v>495</v>
      </c>
      <c r="B73" s="68" t="s">
        <v>1666</v>
      </c>
    </row>
    <row r="74" spans="1:2" x14ac:dyDescent="0.15">
      <c r="A74" s="67" t="s">
        <v>499</v>
      </c>
      <c r="B74" s="68" t="s">
        <v>1667</v>
      </c>
    </row>
    <row r="75" spans="1:2" x14ac:dyDescent="0.15">
      <c r="A75" s="67" t="s">
        <v>503</v>
      </c>
      <c r="B75" s="68" t="s">
        <v>1668</v>
      </c>
    </row>
    <row r="76" spans="1:2" x14ac:dyDescent="0.15">
      <c r="A76" s="67" t="s">
        <v>507</v>
      </c>
      <c r="B76" s="68" t="s">
        <v>1669</v>
      </c>
    </row>
    <row r="77" spans="1:2" x14ac:dyDescent="0.15">
      <c r="A77" s="67" t="s">
        <v>523</v>
      </c>
      <c r="B77" s="68" t="s">
        <v>1670</v>
      </c>
    </row>
    <row r="78" spans="1:2" x14ac:dyDescent="0.15">
      <c r="A78" s="67" t="s">
        <v>527</v>
      </c>
      <c r="B78" s="68" t="s">
        <v>1671</v>
      </c>
    </row>
    <row r="79" spans="1:2" x14ac:dyDescent="0.15">
      <c r="A79" s="67" t="s">
        <v>531</v>
      </c>
      <c r="B79" s="68" t="s">
        <v>1672</v>
      </c>
    </row>
    <row r="80" spans="1:2" x14ac:dyDescent="0.15">
      <c r="A80" s="67" t="s">
        <v>535</v>
      </c>
      <c r="B80" s="68" t="s">
        <v>1673</v>
      </c>
    </row>
    <row r="81" spans="1:2" x14ac:dyDescent="0.15">
      <c r="A81" s="67" t="s">
        <v>543</v>
      </c>
      <c r="B81" s="68" t="s">
        <v>1674</v>
      </c>
    </row>
    <row r="82" spans="1:2" x14ac:dyDescent="0.15">
      <c r="A82" s="67" t="s">
        <v>547</v>
      </c>
      <c r="B82" s="68" t="s">
        <v>1675</v>
      </c>
    </row>
    <row r="83" spans="1:2" x14ac:dyDescent="0.15">
      <c r="A83" s="67" t="s">
        <v>563</v>
      </c>
      <c r="B83" s="68" t="s">
        <v>1676</v>
      </c>
    </row>
    <row r="84" spans="1:2" x14ac:dyDescent="0.15">
      <c r="A84" s="67" t="s">
        <v>567</v>
      </c>
      <c r="B84" s="68" t="s">
        <v>1677</v>
      </c>
    </row>
    <row r="85" spans="1:2" x14ac:dyDescent="0.15">
      <c r="A85" s="67" t="s">
        <v>579</v>
      </c>
      <c r="B85" s="68" t="s">
        <v>1678</v>
      </c>
    </row>
    <row r="86" spans="1:2" x14ac:dyDescent="0.15">
      <c r="A86" s="67" t="s">
        <v>583</v>
      </c>
      <c r="B86" s="68" t="s">
        <v>1679</v>
      </c>
    </row>
    <row r="87" spans="1:2" x14ac:dyDescent="0.15">
      <c r="A87" s="67" t="s">
        <v>623</v>
      </c>
      <c r="B87" s="68" t="s">
        <v>1680</v>
      </c>
    </row>
    <row r="88" spans="1:2" x14ac:dyDescent="0.15">
      <c r="A88" s="67" t="s">
        <v>674</v>
      </c>
      <c r="B88" s="68" t="s">
        <v>1681</v>
      </c>
    </row>
    <row r="89" spans="1:2" x14ac:dyDescent="0.15">
      <c r="A89" s="67" t="s">
        <v>678</v>
      </c>
      <c r="B89" s="68" t="s">
        <v>1682</v>
      </c>
    </row>
    <row r="90" spans="1:2" x14ac:dyDescent="0.15">
      <c r="A90" s="67" t="s">
        <v>681</v>
      </c>
      <c r="B90" s="68" t="s">
        <v>1683</v>
      </c>
    </row>
    <row r="91" spans="1:2" x14ac:dyDescent="0.15">
      <c r="A91" s="67" t="s">
        <v>701</v>
      </c>
      <c r="B91" s="68" t="s">
        <v>1684</v>
      </c>
    </row>
    <row r="92" spans="1:2" x14ac:dyDescent="0.15">
      <c r="A92" s="67" t="s">
        <v>732</v>
      </c>
      <c r="B92" s="68" t="s">
        <v>1685</v>
      </c>
    </row>
    <row r="93" spans="1:2" x14ac:dyDescent="0.15">
      <c r="A93" s="67" t="s">
        <v>767</v>
      </c>
      <c r="B93" s="68" t="s">
        <v>1686</v>
      </c>
    </row>
    <row r="94" spans="1:2" x14ac:dyDescent="0.15">
      <c r="A94" s="67" t="s">
        <v>799</v>
      </c>
      <c r="B94" s="68" t="s">
        <v>1687</v>
      </c>
    </row>
    <row r="95" spans="1:2" x14ac:dyDescent="0.15">
      <c r="A95" s="67" t="s">
        <v>803</v>
      </c>
      <c r="B95" s="68" t="s">
        <v>1688</v>
      </c>
    </row>
    <row r="96" spans="1:2" x14ac:dyDescent="0.15">
      <c r="A96" s="67" t="s">
        <v>807</v>
      </c>
      <c r="B96" s="68" t="s">
        <v>1689</v>
      </c>
    </row>
    <row r="97" spans="1:2" x14ac:dyDescent="0.15">
      <c r="A97" s="67" t="s">
        <v>811</v>
      </c>
      <c r="B97" s="68" t="s">
        <v>1690</v>
      </c>
    </row>
    <row r="98" spans="1:2" x14ac:dyDescent="0.15">
      <c r="A98" s="67" t="s">
        <v>815</v>
      </c>
      <c r="B98" s="68" t="s">
        <v>1691</v>
      </c>
    </row>
    <row r="99" spans="1:2" x14ac:dyDescent="0.15">
      <c r="A99" s="67" t="s">
        <v>819</v>
      </c>
      <c r="B99" s="68" t="s">
        <v>1692</v>
      </c>
    </row>
    <row r="100" spans="1:2" x14ac:dyDescent="0.15">
      <c r="A100" s="67" t="s">
        <v>823</v>
      </c>
      <c r="B100" s="68" t="s">
        <v>1693</v>
      </c>
    </row>
    <row r="101" spans="1:2" x14ac:dyDescent="0.15">
      <c r="A101" s="67" t="s">
        <v>827</v>
      </c>
      <c r="B101" s="68" t="s">
        <v>1694</v>
      </c>
    </row>
    <row r="102" spans="1:2" x14ac:dyDescent="0.15">
      <c r="A102" s="67" t="s">
        <v>831</v>
      </c>
      <c r="B102" s="68" t="s">
        <v>1695</v>
      </c>
    </row>
    <row r="103" spans="1:2" x14ac:dyDescent="0.15">
      <c r="A103" s="67" t="s">
        <v>835</v>
      </c>
      <c r="B103" s="68" t="s">
        <v>1696</v>
      </c>
    </row>
    <row r="104" spans="1:2" x14ac:dyDescent="0.15">
      <c r="A104" s="67" t="s">
        <v>839</v>
      </c>
      <c r="B104" s="68" t="s">
        <v>1697</v>
      </c>
    </row>
    <row r="105" spans="1:2" x14ac:dyDescent="0.15">
      <c r="A105" s="67" t="s">
        <v>843</v>
      </c>
      <c r="B105" s="68" t="s">
        <v>1698</v>
      </c>
    </row>
    <row r="106" spans="1:2" x14ac:dyDescent="0.15">
      <c r="A106" s="67" t="s">
        <v>847</v>
      </c>
      <c r="B106" s="68" t="s">
        <v>1699</v>
      </c>
    </row>
    <row r="107" spans="1:2" x14ac:dyDescent="0.15">
      <c r="A107" s="67" t="s">
        <v>851</v>
      </c>
      <c r="B107" s="68" t="s">
        <v>1700</v>
      </c>
    </row>
    <row r="108" spans="1:2" x14ac:dyDescent="0.15">
      <c r="A108" s="67" t="s">
        <v>855</v>
      </c>
      <c r="B108" s="68" t="s">
        <v>1701</v>
      </c>
    </row>
    <row r="109" spans="1:2" x14ac:dyDescent="0.15">
      <c r="A109" s="67" t="s">
        <v>859</v>
      </c>
      <c r="B109" s="68" t="s">
        <v>1702</v>
      </c>
    </row>
    <row r="110" spans="1:2" x14ac:dyDescent="0.15">
      <c r="A110" s="67" t="s">
        <v>863</v>
      </c>
      <c r="B110" s="68" t="s">
        <v>1703</v>
      </c>
    </row>
    <row r="111" spans="1:2" x14ac:dyDescent="0.15">
      <c r="A111" s="67" t="s">
        <v>867</v>
      </c>
      <c r="B111" s="68" t="s">
        <v>1704</v>
      </c>
    </row>
    <row r="112" spans="1:2" x14ac:dyDescent="0.15">
      <c r="A112" s="67" t="s">
        <v>871</v>
      </c>
      <c r="B112" s="68" t="s">
        <v>1705</v>
      </c>
    </row>
    <row r="113" spans="1:2" x14ac:dyDescent="0.15">
      <c r="A113" s="67" t="s">
        <v>875</v>
      </c>
      <c r="B113" s="68" t="s">
        <v>1706</v>
      </c>
    </row>
    <row r="114" spans="1:2" x14ac:dyDescent="0.15">
      <c r="A114" s="67" t="s">
        <v>879</v>
      </c>
      <c r="B114" s="68" t="s">
        <v>1707</v>
      </c>
    </row>
    <row r="115" spans="1:2" x14ac:dyDescent="0.15">
      <c r="A115" s="67" t="s">
        <v>883</v>
      </c>
      <c r="B115" s="68" t="s">
        <v>1708</v>
      </c>
    </row>
    <row r="116" spans="1:2" x14ac:dyDescent="0.15">
      <c r="A116" s="67" t="s">
        <v>887</v>
      </c>
      <c r="B116" s="68" t="s">
        <v>1709</v>
      </c>
    </row>
    <row r="117" spans="1:2" x14ac:dyDescent="0.15">
      <c r="A117" s="67" t="s">
        <v>890</v>
      </c>
      <c r="B117" s="68" t="s">
        <v>1710</v>
      </c>
    </row>
    <row r="118" spans="1:2" x14ac:dyDescent="0.15">
      <c r="A118" s="67" t="s">
        <v>910</v>
      </c>
      <c r="B118" s="68" t="s">
        <v>1711</v>
      </c>
    </row>
    <row r="119" spans="1:2" x14ac:dyDescent="0.15">
      <c r="A119" s="67" t="s">
        <v>914</v>
      </c>
      <c r="B119" s="68" t="s">
        <v>1712</v>
      </c>
    </row>
    <row r="120" spans="1:2" x14ac:dyDescent="0.15">
      <c r="A120" s="67" t="s">
        <v>918</v>
      </c>
      <c r="B120" s="68" t="s">
        <v>1713</v>
      </c>
    </row>
    <row r="121" spans="1:2" x14ac:dyDescent="0.15">
      <c r="A121" s="67" t="s">
        <v>922</v>
      </c>
      <c r="B121" s="68" t="s">
        <v>1714</v>
      </c>
    </row>
    <row r="122" spans="1:2" x14ac:dyDescent="0.15">
      <c r="A122" s="67" t="s">
        <v>926</v>
      </c>
      <c r="B122" s="68" t="s">
        <v>1715</v>
      </c>
    </row>
    <row r="123" spans="1:2" x14ac:dyDescent="0.15">
      <c r="A123" s="67" t="s">
        <v>926</v>
      </c>
      <c r="B123" s="68" t="s">
        <v>1716</v>
      </c>
    </row>
    <row r="124" spans="1:2" x14ac:dyDescent="0.15">
      <c r="A124" s="67" t="s">
        <v>933</v>
      </c>
      <c r="B124" s="68" t="s">
        <v>1717</v>
      </c>
    </row>
    <row r="125" spans="1:2" x14ac:dyDescent="0.15">
      <c r="A125" s="67" t="s">
        <v>937</v>
      </c>
      <c r="B125" s="68" t="s">
        <v>1718</v>
      </c>
    </row>
    <row r="126" spans="1:2" x14ac:dyDescent="0.15">
      <c r="A126" s="67" t="s">
        <v>940</v>
      </c>
      <c r="B126" s="68" t="s">
        <v>1719</v>
      </c>
    </row>
    <row r="127" spans="1:2" x14ac:dyDescent="0.15">
      <c r="A127" s="67" t="s">
        <v>944</v>
      </c>
      <c r="B127" s="68" t="s">
        <v>1720</v>
      </c>
    </row>
    <row r="128" spans="1:2" x14ac:dyDescent="0.15">
      <c r="A128" s="67" t="s">
        <v>948</v>
      </c>
      <c r="B128" s="68" t="s">
        <v>1721</v>
      </c>
    </row>
    <row r="129" spans="1:2" x14ac:dyDescent="0.15">
      <c r="A129" s="67" t="s">
        <v>952</v>
      </c>
      <c r="B129" s="68" t="s">
        <v>1722</v>
      </c>
    </row>
    <row r="130" spans="1:2" x14ac:dyDescent="0.15">
      <c r="A130" s="67" t="s">
        <v>956</v>
      </c>
      <c r="B130" s="68" t="s">
        <v>1723</v>
      </c>
    </row>
    <row r="131" spans="1:2" x14ac:dyDescent="0.15">
      <c r="A131" s="67" t="s">
        <v>960</v>
      </c>
      <c r="B131" s="68" t="s">
        <v>1724</v>
      </c>
    </row>
    <row r="132" spans="1:2" x14ac:dyDescent="0.15">
      <c r="A132" s="67" t="s">
        <v>964</v>
      </c>
      <c r="B132" s="68" t="s">
        <v>1725</v>
      </c>
    </row>
    <row r="133" spans="1:2" x14ac:dyDescent="0.15">
      <c r="A133" s="67" t="s">
        <v>964</v>
      </c>
      <c r="B133" s="68" t="s">
        <v>1726</v>
      </c>
    </row>
    <row r="134" spans="1:2" x14ac:dyDescent="0.15">
      <c r="A134" s="67" t="s">
        <v>971</v>
      </c>
      <c r="B134" s="68" t="s">
        <v>1727</v>
      </c>
    </row>
    <row r="135" spans="1:2" x14ac:dyDescent="0.15">
      <c r="A135" s="67" t="s">
        <v>975</v>
      </c>
      <c r="B135" s="68" t="s">
        <v>1728</v>
      </c>
    </row>
    <row r="136" spans="1:2" x14ac:dyDescent="0.15">
      <c r="A136" s="67" t="s">
        <v>975</v>
      </c>
      <c r="B136" s="68" t="s">
        <v>1729</v>
      </c>
    </row>
    <row r="137" spans="1:2" x14ac:dyDescent="0.15">
      <c r="A137" s="67" t="s">
        <v>982</v>
      </c>
      <c r="B137" s="68" t="s">
        <v>1730</v>
      </c>
    </row>
    <row r="138" spans="1:2" x14ac:dyDescent="0.15">
      <c r="A138" s="67" t="s">
        <v>986</v>
      </c>
      <c r="B138" s="68" t="s">
        <v>1731</v>
      </c>
    </row>
    <row r="139" spans="1:2" x14ac:dyDescent="0.15">
      <c r="A139" s="67" t="s">
        <v>990</v>
      </c>
      <c r="B139" s="68" t="s">
        <v>1732</v>
      </c>
    </row>
    <row r="140" spans="1:2" x14ac:dyDescent="0.15">
      <c r="A140" s="67" t="s">
        <v>994</v>
      </c>
      <c r="B140" s="68" t="s">
        <v>1733</v>
      </c>
    </row>
    <row r="141" spans="1:2" x14ac:dyDescent="0.15">
      <c r="A141" s="67" t="s">
        <v>998</v>
      </c>
      <c r="B141" s="68" t="s">
        <v>1734</v>
      </c>
    </row>
    <row r="142" spans="1:2" x14ac:dyDescent="0.15">
      <c r="A142" s="67" t="s">
        <v>1002</v>
      </c>
      <c r="B142" s="68" t="s">
        <v>1735</v>
      </c>
    </row>
    <row r="143" spans="1:2" x14ac:dyDescent="0.15">
      <c r="A143" s="67" t="s">
        <v>1006</v>
      </c>
      <c r="B143" s="68" t="s">
        <v>1736</v>
      </c>
    </row>
    <row r="144" spans="1:2" x14ac:dyDescent="0.15">
      <c r="A144" s="67" t="s">
        <v>1010</v>
      </c>
      <c r="B144" s="68" t="s">
        <v>1737</v>
      </c>
    </row>
    <row r="145" spans="1:2" x14ac:dyDescent="0.15">
      <c r="A145" s="67" t="s">
        <v>1014</v>
      </c>
      <c r="B145" s="68" t="s">
        <v>1738</v>
      </c>
    </row>
    <row r="146" spans="1:2" x14ac:dyDescent="0.15">
      <c r="A146" s="67" t="s">
        <v>1018</v>
      </c>
      <c r="B146" s="68" t="s">
        <v>1739</v>
      </c>
    </row>
    <row r="147" spans="1:2" x14ac:dyDescent="0.15">
      <c r="A147" s="67" t="s">
        <v>64</v>
      </c>
      <c r="B147" s="68" t="s">
        <v>1740</v>
      </c>
    </row>
    <row r="148" spans="1:2" x14ac:dyDescent="0.15">
      <c r="A148" s="67" t="s">
        <v>1025</v>
      </c>
      <c r="B148" s="68" t="s">
        <v>1741</v>
      </c>
    </row>
    <row r="149" spans="1:2" x14ac:dyDescent="0.15">
      <c r="A149" s="67" t="s">
        <v>1029</v>
      </c>
      <c r="B149" s="68" t="s">
        <v>1742</v>
      </c>
    </row>
    <row r="150" spans="1:2" x14ac:dyDescent="0.15">
      <c r="A150" s="67" t="s">
        <v>1033</v>
      </c>
      <c r="B150" s="68" t="s">
        <v>1743</v>
      </c>
    </row>
    <row r="151" spans="1:2" x14ac:dyDescent="0.15">
      <c r="A151" s="67" t="s">
        <v>1037</v>
      </c>
      <c r="B151" s="68" t="s">
        <v>1744</v>
      </c>
    </row>
    <row r="152" spans="1:2" x14ac:dyDescent="0.15">
      <c r="A152" s="67" t="s">
        <v>1041</v>
      </c>
      <c r="B152" s="68" t="s">
        <v>1745</v>
      </c>
    </row>
    <row r="153" spans="1:2" x14ac:dyDescent="0.15">
      <c r="A153" s="67" t="s">
        <v>1045</v>
      </c>
      <c r="B153" s="68" t="s">
        <v>1746</v>
      </c>
    </row>
    <row r="154" spans="1:2" x14ac:dyDescent="0.15">
      <c r="A154" s="67" t="s">
        <v>1049</v>
      </c>
      <c r="B154" s="68" t="s">
        <v>1747</v>
      </c>
    </row>
    <row r="155" spans="1:2" x14ac:dyDescent="0.15">
      <c r="A155" s="67" t="s">
        <v>65</v>
      </c>
      <c r="B155" s="68" t="s">
        <v>1748</v>
      </c>
    </row>
    <row r="156" spans="1:2" x14ac:dyDescent="0.15">
      <c r="A156" s="67" t="s">
        <v>65</v>
      </c>
      <c r="B156" s="68" t="s">
        <v>1749</v>
      </c>
    </row>
    <row r="157" spans="1:2" x14ac:dyDescent="0.15">
      <c r="A157" s="67" t="s">
        <v>1058</v>
      </c>
      <c r="B157" s="68" t="s">
        <v>1750</v>
      </c>
    </row>
    <row r="158" spans="1:2" x14ac:dyDescent="0.15">
      <c r="A158" s="67" t="s">
        <v>1062</v>
      </c>
      <c r="B158" s="68" t="s">
        <v>1751</v>
      </c>
    </row>
    <row r="159" spans="1:2" x14ac:dyDescent="0.15">
      <c r="A159" s="67" t="s">
        <v>1066</v>
      </c>
      <c r="B159" s="68" t="s">
        <v>1621</v>
      </c>
    </row>
    <row r="160" spans="1:2" x14ac:dyDescent="0.15">
      <c r="A160" s="67" t="s">
        <v>1070</v>
      </c>
      <c r="B160" s="68" t="s">
        <v>1752</v>
      </c>
    </row>
    <row r="161" spans="1:2" x14ac:dyDescent="0.15">
      <c r="A161" s="67" t="s">
        <v>1074</v>
      </c>
      <c r="B161" s="68" t="s">
        <v>1753</v>
      </c>
    </row>
    <row r="162" spans="1:2" x14ac:dyDescent="0.15">
      <c r="A162" s="67" t="s">
        <v>1078</v>
      </c>
      <c r="B162" s="68" t="s">
        <v>1754</v>
      </c>
    </row>
    <row r="163" spans="1:2" x14ac:dyDescent="0.15">
      <c r="A163" s="67" t="s">
        <v>1082</v>
      </c>
      <c r="B163" s="68" t="s">
        <v>1755</v>
      </c>
    </row>
    <row r="164" spans="1:2" x14ac:dyDescent="0.15">
      <c r="A164" s="67" t="s">
        <v>1086</v>
      </c>
      <c r="B164" s="68" t="s">
        <v>1756</v>
      </c>
    </row>
    <row r="165" spans="1:2" x14ac:dyDescent="0.15">
      <c r="A165" s="67" t="s">
        <v>1090</v>
      </c>
      <c r="B165" s="68" t="s">
        <v>1757</v>
      </c>
    </row>
    <row r="166" spans="1:2" x14ac:dyDescent="0.15">
      <c r="A166" s="67" t="s">
        <v>1094</v>
      </c>
      <c r="B166" s="68" t="s">
        <v>1758</v>
      </c>
    </row>
    <row r="167" spans="1:2" x14ac:dyDescent="0.15">
      <c r="A167" s="67" t="s">
        <v>1098</v>
      </c>
      <c r="B167" s="68" t="s">
        <v>1759</v>
      </c>
    </row>
    <row r="168" spans="1:2" x14ac:dyDescent="0.15">
      <c r="A168" s="67" t="s">
        <v>1102</v>
      </c>
      <c r="B168" s="68" t="s">
        <v>1760</v>
      </c>
    </row>
    <row r="169" spans="1:2" x14ac:dyDescent="0.15">
      <c r="A169" s="67" t="s">
        <v>1106</v>
      </c>
      <c r="B169" s="68" t="s">
        <v>1761</v>
      </c>
    </row>
    <row r="170" spans="1:2" x14ac:dyDescent="0.15">
      <c r="A170" s="67" t="s">
        <v>1110</v>
      </c>
      <c r="B170" s="68" t="s">
        <v>1762</v>
      </c>
    </row>
    <row r="171" spans="1:2" x14ac:dyDescent="0.15">
      <c r="A171" s="67" t="s">
        <v>1114</v>
      </c>
      <c r="B171" s="68" t="s">
        <v>1749</v>
      </c>
    </row>
    <row r="172" spans="1:2" x14ac:dyDescent="0.15">
      <c r="A172" s="67" t="s">
        <v>62</v>
      </c>
      <c r="B172" s="68" t="s">
        <v>1763</v>
      </c>
    </row>
    <row r="173" spans="1:2" x14ac:dyDescent="0.15">
      <c r="A173" s="67" t="s">
        <v>1121</v>
      </c>
      <c r="B173" s="68" t="s">
        <v>1764</v>
      </c>
    </row>
    <row r="174" spans="1:2" x14ac:dyDescent="0.15">
      <c r="A174" s="67" t="s">
        <v>1125</v>
      </c>
      <c r="B174" s="68" t="s">
        <v>1765</v>
      </c>
    </row>
    <row r="175" spans="1:2" x14ac:dyDescent="0.15">
      <c r="A175" s="67" t="s">
        <v>1129</v>
      </c>
      <c r="B175" s="68" t="s">
        <v>1766</v>
      </c>
    </row>
    <row r="176" spans="1:2" x14ac:dyDescent="0.15">
      <c r="A176" s="67" t="s">
        <v>1133</v>
      </c>
      <c r="B176" s="68" t="s">
        <v>1767</v>
      </c>
    </row>
    <row r="177" spans="1:2" x14ac:dyDescent="0.15">
      <c r="A177" s="67" t="s">
        <v>1137</v>
      </c>
      <c r="B177" s="68" t="s">
        <v>1768</v>
      </c>
    </row>
    <row r="178" spans="1:2" x14ac:dyDescent="0.15">
      <c r="A178" s="67" t="s">
        <v>1141</v>
      </c>
      <c r="B178" s="68" t="s">
        <v>1711</v>
      </c>
    </row>
    <row r="179" spans="1:2" x14ac:dyDescent="0.15">
      <c r="A179" s="67" t="s">
        <v>1149</v>
      </c>
      <c r="B179" s="68" t="s">
        <v>1712</v>
      </c>
    </row>
    <row r="180" spans="1:2" x14ac:dyDescent="0.15">
      <c r="A180" s="67" t="s">
        <v>1153</v>
      </c>
      <c r="B180" s="68" t="s">
        <v>1713</v>
      </c>
    </row>
    <row r="181" spans="1:2" x14ac:dyDescent="0.15">
      <c r="A181" s="67" t="s">
        <v>1157</v>
      </c>
      <c r="B181" s="68" t="s">
        <v>1769</v>
      </c>
    </row>
    <row r="182" spans="1:2" x14ac:dyDescent="0.15">
      <c r="A182" s="67" t="s">
        <v>1181</v>
      </c>
      <c r="B182" s="68" t="s">
        <v>1721</v>
      </c>
    </row>
    <row r="183" spans="1:2" x14ac:dyDescent="0.15">
      <c r="A183" s="67" t="s">
        <v>1217</v>
      </c>
      <c r="B183" s="68" t="s">
        <v>1730</v>
      </c>
    </row>
    <row r="184" spans="1:2" x14ac:dyDescent="0.15">
      <c r="A184" s="67" t="s">
        <v>1231</v>
      </c>
      <c r="B184" s="68" t="s">
        <v>1746</v>
      </c>
    </row>
    <row r="185" spans="1:2" x14ac:dyDescent="0.15">
      <c r="A185" s="67" t="s">
        <v>1235</v>
      </c>
      <c r="B185" s="68" t="s">
        <v>1753</v>
      </c>
    </row>
    <row r="186" spans="1:2" x14ac:dyDescent="0.15">
      <c r="A186" s="67" t="s">
        <v>1236</v>
      </c>
      <c r="B186" s="68" t="s">
        <v>1770</v>
      </c>
    </row>
    <row r="187" spans="1:2" x14ac:dyDescent="0.15">
      <c r="A187" s="67" t="s">
        <v>1237</v>
      </c>
      <c r="B187" s="68" t="s">
        <v>1771</v>
      </c>
    </row>
    <row r="188" spans="1:2" x14ac:dyDescent="0.15">
      <c r="A188" s="67" t="s">
        <v>1238</v>
      </c>
      <c r="B188" s="68" t="s">
        <v>1754</v>
      </c>
    </row>
    <row r="189" spans="1:2" x14ac:dyDescent="0.15">
      <c r="A189" s="67" t="s">
        <v>1239</v>
      </c>
      <c r="B189" s="68" t="s">
        <v>1772</v>
      </c>
    </row>
    <row r="190" spans="1:2" x14ac:dyDescent="0.15">
      <c r="A190" s="67" t="s">
        <v>1240</v>
      </c>
      <c r="B190" s="68" t="s">
        <v>1773</v>
      </c>
    </row>
    <row r="191" spans="1:2" x14ac:dyDescent="0.15">
      <c r="A191" s="67" t="s">
        <v>1241</v>
      </c>
      <c r="B191" s="68" t="s">
        <v>1755</v>
      </c>
    </row>
    <row r="192" spans="1:2" x14ac:dyDescent="0.15">
      <c r="A192" s="67" t="s">
        <v>1242</v>
      </c>
      <c r="B192" s="68" t="s">
        <v>1756</v>
      </c>
    </row>
    <row r="193" spans="1:2" x14ac:dyDescent="0.15">
      <c r="A193" s="67" t="s">
        <v>1243</v>
      </c>
      <c r="B193" s="68" t="s">
        <v>1735</v>
      </c>
    </row>
    <row r="194" spans="1:2" x14ac:dyDescent="0.15">
      <c r="A194" s="67" t="s">
        <v>1244</v>
      </c>
      <c r="B194" s="68" t="s">
        <v>1774</v>
      </c>
    </row>
    <row r="195" spans="1:2" x14ac:dyDescent="0.15">
      <c r="A195" s="67" t="s">
        <v>1256</v>
      </c>
      <c r="B195" s="68" t="s">
        <v>1775</v>
      </c>
    </row>
    <row r="196" spans="1:2" x14ac:dyDescent="0.15">
      <c r="A196" s="67" t="s">
        <v>1257</v>
      </c>
      <c r="B196" s="68" t="s">
        <v>1776</v>
      </c>
    </row>
    <row r="197" spans="1:2" x14ac:dyDescent="0.15">
      <c r="A197" s="67" t="s">
        <v>1258</v>
      </c>
      <c r="B197" s="68" t="s">
        <v>1777</v>
      </c>
    </row>
    <row r="198" spans="1:2" x14ac:dyDescent="0.15">
      <c r="A198" s="67" t="s">
        <v>1259</v>
      </c>
      <c r="B198" s="68" t="s">
        <v>1778</v>
      </c>
    </row>
    <row r="199" spans="1:2" x14ac:dyDescent="0.15">
      <c r="A199" s="67" t="s">
        <v>1260</v>
      </c>
      <c r="B199" s="68" t="s">
        <v>1779</v>
      </c>
    </row>
    <row r="200" spans="1:2" x14ac:dyDescent="0.15">
      <c r="A200" s="67" t="s">
        <v>1261</v>
      </c>
      <c r="B200" s="68" t="s">
        <v>1780</v>
      </c>
    </row>
    <row r="201" spans="1:2" x14ac:dyDescent="0.15">
      <c r="A201" s="67" t="s">
        <v>1262</v>
      </c>
      <c r="B201" s="68" t="s">
        <v>1781</v>
      </c>
    </row>
    <row r="202" spans="1:2" x14ac:dyDescent="0.15">
      <c r="A202" s="67" t="s">
        <v>1262</v>
      </c>
      <c r="B202" s="68" t="s">
        <v>1782</v>
      </c>
    </row>
    <row r="203" spans="1:2" x14ac:dyDescent="0.15">
      <c r="A203" s="67" t="s">
        <v>1263</v>
      </c>
      <c r="B203" s="68" t="s">
        <v>1783</v>
      </c>
    </row>
    <row r="204" spans="1:2" x14ac:dyDescent="0.15">
      <c r="A204" s="67" t="s">
        <v>1264</v>
      </c>
      <c r="B204" s="68" t="s">
        <v>1784</v>
      </c>
    </row>
    <row r="205" spans="1:2" x14ac:dyDescent="0.15">
      <c r="A205" s="67" t="s">
        <v>1265</v>
      </c>
      <c r="B205" s="68" t="s">
        <v>1785</v>
      </c>
    </row>
    <row r="206" spans="1:2" x14ac:dyDescent="0.15">
      <c r="A206" s="67" t="s">
        <v>1266</v>
      </c>
      <c r="B206" s="68" t="s">
        <v>1786</v>
      </c>
    </row>
    <row r="207" spans="1:2" x14ac:dyDescent="0.15">
      <c r="A207" s="67" t="s">
        <v>1267</v>
      </c>
      <c r="B207" s="68" t="s">
        <v>1787</v>
      </c>
    </row>
    <row r="208" spans="1:2" x14ac:dyDescent="0.15">
      <c r="A208" s="67" t="s">
        <v>1268</v>
      </c>
      <c r="B208" s="68" t="s">
        <v>1788</v>
      </c>
    </row>
    <row r="209" spans="1:2" x14ac:dyDescent="0.15">
      <c r="A209" s="67" t="s">
        <v>1269</v>
      </c>
      <c r="B209" s="68" t="s">
        <v>1789</v>
      </c>
    </row>
    <row r="210" spans="1:2" x14ac:dyDescent="0.15">
      <c r="A210" s="67" t="s">
        <v>1270</v>
      </c>
      <c r="B210" s="68" t="s">
        <v>1790</v>
      </c>
    </row>
    <row r="211" spans="1:2" x14ac:dyDescent="0.15">
      <c r="A211" s="67" t="s">
        <v>1271</v>
      </c>
      <c r="B211" s="68" t="s">
        <v>1791</v>
      </c>
    </row>
    <row r="212" spans="1:2" x14ac:dyDescent="0.15">
      <c r="A212" s="67" t="s">
        <v>1272</v>
      </c>
      <c r="B212" s="68" t="s">
        <v>1792</v>
      </c>
    </row>
    <row r="213" spans="1:2" x14ac:dyDescent="0.15">
      <c r="A213" s="67" t="s">
        <v>1273</v>
      </c>
      <c r="B213" s="68" t="s">
        <v>1793</v>
      </c>
    </row>
    <row r="214" spans="1:2" x14ac:dyDescent="0.15">
      <c r="A214" s="67" t="s">
        <v>1274</v>
      </c>
      <c r="B214" s="68" t="s">
        <v>1794</v>
      </c>
    </row>
    <row r="215" spans="1:2" x14ac:dyDescent="0.15">
      <c r="A215" s="67" t="s">
        <v>1275</v>
      </c>
      <c r="B215" s="68" t="s">
        <v>1795</v>
      </c>
    </row>
    <row r="216" spans="1:2" x14ac:dyDescent="0.15">
      <c r="A216" s="67" t="s">
        <v>1276</v>
      </c>
      <c r="B216" s="68" t="s">
        <v>1796</v>
      </c>
    </row>
    <row r="217" spans="1:2" x14ac:dyDescent="0.15">
      <c r="A217" s="67" t="s">
        <v>1277</v>
      </c>
      <c r="B217" s="68" t="s">
        <v>1797</v>
      </c>
    </row>
    <row r="218" spans="1:2" x14ac:dyDescent="0.15">
      <c r="A218" s="67" t="s">
        <v>1278</v>
      </c>
      <c r="B218" s="68" t="s">
        <v>1621</v>
      </c>
    </row>
    <row r="219" spans="1:2" x14ac:dyDescent="0.15">
      <c r="A219" s="67" t="s">
        <v>1279</v>
      </c>
      <c r="B219" s="68" t="s">
        <v>1798</v>
      </c>
    </row>
    <row r="220" spans="1:2" x14ac:dyDescent="0.15">
      <c r="A220" s="67" t="s">
        <v>1280</v>
      </c>
      <c r="B220" s="68" t="s">
        <v>1799</v>
      </c>
    </row>
    <row r="221" spans="1:2" x14ac:dyDescent="0.15">
      <c r="A221" s="67" t="s">
        <v>1280</v>
      </c>
      <c r="B221" s="68" t="s">
        <v>1800</v>
      </c>
    </row>
    <row r="222" spans="1:2" x14ac:dyDescent="0.15">
      <c r="A222" s="67" t="s">
        <v>1281</v>
      </c>
      <c r="B222" s="68" t="s">
        <v>1801</v>
      </c>
    </row>
    <row r="223" spans="1:2" x14ac:dyDescent="0.15">
      <c r="A223" s="67" t="s">
        <v>1282</v>
      </c>
      <c r="B223" s="68" t="s">
        <v>1802</v>
      </c>
    </row>
    <row r="224" spans="1:2" x14ac:dyDescent="0.15">
      <c r="A224" s="67" t="s">
        <v>1283</v>
      </c>
      <c r="B224" s="68" t="s">
        <v>1803</v>
      </c>
    </row>
    <row r="225" spans="1:2" x14ac:dyDescent="0.15">
      <c r="A225" s="67" t="s">
        <v>1284</v>
      </c>
      <c r="B225" s="68" t="s">
        <v>1804</v>
      </c>
    </row>
    <row r="226" spans="1:2" x14ac:dyDescent="0.15">
      <c r="A226" s="67" t="s">
        <v>1285</v>
      </c>
      <c r="B226" s="68" t="s">
        <v>1805</v>
      </c>
    </row>
    <row r="227" spans="1:2" x14ac:dyDescent="0.15">
      <c r="A227" s="67" t="s">
        <v>1285</v>
      </c>
      <c r="B227" s="68" t="s">
        <v>1806</v>
      </c>
    </row>
    <row r="228" spans="1:2" x14ac:dyDescent="0.15">
      <c r="A228" s="67" t="s">
        <v>1286</v>
      </c>
      <c r="B228" s="68" t="s">
        <v>1807</v>
      </c>
    </row>
    <row r="229" spans="1:2" x14ac:dyDescent="0.15">
      <c r="A229" s="67" t="s">
        <v>1287</v>
      </c>
      <c r="B229" s="68" t="s">
        <v>1808</v>
      </c>
    </row>
    <row r="230" spans="1:2" x14ac:dyDescent="0.15">
      <c r="A230" s="67" t="s">
        <v>1288</v>
      </c>
      <c r="B230" s="68" t="s">
        <v>1809</v>
      </c>
    </row>
    <row r="231" spans="1:2" x14ac:dyDescent="0.15">
      <c r="A231" s="67" t="s">
        <v>1289</v>
      </c>
      <c r="B231" s="68" t="s">
        <v>1810</v>
      </c>
    </row>
    <row r="232" spans="1:2" x14ac:dyDescent="0.15">
      <c r="A232" s="67" t="s">
        <v>1290</v>
      </c>
      <c r="B232" s="68" t="s">
        <v>1621</v>
      </c>
    </row>
    <row r="233" spans="1:2" x14ac:dyDescent="0.15">
      <c r="A233" s="67" t="s">
        <v>1291</v>
      </c>
      <c r="B233" s="68" t="s">
        <v>1811</v>
      </c>
    </row>
    <row r="234" spans="1:2" x14ac:dyDescent="0.15">
      <c r="A234" s="67" t="s">
        <v>1292</v>
      </c>
      <c r="B234" s="68" t="s">
        <v>1812</v>
      </c>
    </row>
    <row r="235" spans="1:2" x14ac:dyDescent="0.15">
      <c r="A235" s="67" t="s">
        <v>1293</v>
      </c>
      <c r="B235" s="68" t="s">
        <v>1813</v>
      </c>
    </row>
    <row r="236" spans="1:2" x14ac:dyDescent="0.15">
      <c r="A236" s="67" t="s">
        <v>1294</v>
      </c>
      <c r="B236" s="68" t="s">
        <v>1759</v>
      </c>
    </row>
    <row r="237" spans="1:2" x14ac:dyDescent="0.15">
      <c r="A237" s="67" t="s">
        <v>1295</v>
      </c>
      <c r="B237" s="68" t="s">
        <v>1814</v>
      </c>
    </row>
    <row r="238" spans="1:2" x14ac:dyDescent="0.15">
      <c r="A238" s="67" t="s">
        <v>1296</v>
      </c>
      <c r="B238" s="68" t="s">
        <v>1815</v>
      </c>
    </row>
    <row r="239" spans="1:2" x14ac:dyDescent="0.15">
      <c r="A239" s="67" t="s">
        <v>1297</v>
      </c>
      <c r="B239" s="68" t="s">
        <v>1816</v>
      </c>
    </row>
    <row r="240" spans="1:2" x14ac:dyDescent="0.15">
      <c r="A240" s="67" t="s">
        <v>1298</v>
      </c>
      <c r="B240" s="68" t="s">
        <v>1817</v>
      </c>
    </row>
    <row r="241" spans="1:2" x14ac:dyDescent="0.15">
      <c r="A241" s="67" t="s">
        <v>1299</v>
      </c>
      <c r="B241" s="68" t="s">
        <v>1818</v>
      </c>
    </row>
    <row r="242" spans="1:2" x14ac:dyDescent="0.15">
      <c r="A242" s="67" t="s">
        <v>1300</v>
      </c>
      <c r="B242" s="68" t="s">
        <v>1819</v>
      </c>
    </row>
    <row r="243" spans="1:2" x14ac:dyDescent="0.15">
      <c r="A243" s="67" t="s">
        <v>1301</v>
      </c>
      <c r="B243" s="68" t="s">
        <v>1820</v>
      </c>
    </row>
    <row r="244" spans="1:2" x14ac:dyDescent="0.15">
      <c r="A244" s="67" t="s">
        <v>1302</v>
      </c>
      <c r="B244" s="68" t="s">
        <v>1821</v>
      </c>
    </row>
    <row r="245" spans="1:2" x14ac:dyDescent="0.15">
      <c r="A245" s="67" t="s">
        <v>1304</v>
      </c>
      <c r="B245" s="68" t="s">
        <v>1822</v>
      </c>
    </row>
    <row r="246" spans="1:2" x14ac:dyDescent="0.15">
      <c r="A246" s="67" t="s">
        <v>1305</v>
      </c>
      <c r="B246" s="68" t="s">
        <v>1823</v>
      </c>
    </row>
    <row r="247" spans="1:2" x14ac:dyDescent="0.15">
      <c r="A247" s="67" t="s">
        <v>1306</v>
      </c>
      <c r="B247" s="68" t="s">
        <v>1824</v>
      </c>
    </row>
    <row r="248" spans="1:2" x14ac:dyDescent="0.15">
      <c r="A248" s="67" t="s">
        <v>1307</v>
      </c>
      <c r="B248" s="68" t="s">
        <v>1825</v>
      </c>
    </row>
    <row r="249" spans="1:2" x14ac:dyDescent="0.15">
      <c r="A249" s="67" t="s">
        <v>1308</v>
      </c>
      <c r="B249" s="68" t="s">
        <v>1826</v>
      </c>
    </row>
    <row r="250" spans="1:2" x14ac:dyDescent="0.15">
      <c r="A250" s="67" t="s">
        <v>1309</v>
      </c>
      <c r="B250" s="68" t="s">
        <v>1827</v>
      </c>
    </row>
    <row r="251" spans="1:2" x14ac:dyDescent="0.15">
      <c r="A251" s="67" t="s">
        <v>1310</v>
      </c>
      <c r="B251" s="68" t="s">
        <v>1828</v>
      </c>
    </row>
    <row r="252" spans="1:2" x14ac:dyDescent="0.15">
      <c r="A252" s="67" t="s">
        <v>1311</v>
      </c>
      <c r="B252" s="68" t="s">
        <v>1829</v>
      </c>
    </row>
    <row r="253" spans="1:2" x14ac:dyDescent="0.15">
      <c r="A253" s="67" t="s">
        <v>1312</v>
      </c>
      <c r="B253" s="68" t="s">
        <v>1830</v>
      </c>
    </row>
    <row r="254" spans="1:2" x14ac:dyDescent="0.15">
      <c r="A254" s="67" t="s">
        <v>1313</v>
      </c>
      <c r="B254" s="68" t="s">
        <v>1831</v>
      </c>
    </row>
    <row r="255" spans="1:2" x14ac:dyDescent="0.15">
      <c r="A255" s="67" t="s">
        <v>1314</v>
      </c>
      <c r="B255" s="68" t="s">
        <v>1832</v>
      </c>
    </row>
    <row r="256" spans="1:2" x14ac:dyDescent="0.15">
      <c r="A256" s="67" t="s">
        <v>1315</v>
      </c>
      <c r="B256" s="68" t="s">
        <v>1833</v>
      </c>
    </row>
    <row r="257" spans="1:2" x14ac:dyDescent="0.15">
      <c r="A257" s="67" t="s">
        <v>1316</v>
      </c>
      <c r="B257" s="68" t="s">
        <v>1834</v>
      </c>
    </row>
    <row r="258" spans="1:2" x14ac:dyDescent="0.15">
      <c r="A258" s="67" t="s">
        <v>1317</v>
      </c>
      <c r="B258" s="68" t="s">
        <v>1835</v>
      </c>
    </row>
    <row r="259" spans="1:2" x14ac:dyDescent="0.15">
      <c r="A259" s="67" t="s">
        <v>1318</v>
      </c>
      <c r="B259" s="68" t="s">
        <v>1836</v>
      </c>
    </row>
    <row r="260" spans="1:2" x14ac:dyDescent="0.15">
      <c r="A260" s="67" t="s">
        <v>1319</v>
      </c>
      <c r="B260" s="68" t="s">
        <v>1837</v>
      </c>
    </row>
    <row r="261" spans="1:2" x14ac:dyDescent="0.15">
      <c r="A261" s="67" t="s">
        <v>1320</v>
      </c>
      <c r="B261" s="68" t="s">
        <v>1621</v>
      </c>
    </row>
    <row r="262" spans="1:2" x14ac:dyDescent="0.15">
      <c r="A262" s="67" t="s">
        <v>1321</v>
      </c>
      <c r="B262" s="68" t="s">
        <v>1838</v>
      </c>
    </row>
    <row r="263" spans="1:2" x14ac:dyDescent="0.15">
      <c r="A263" s="67" t="s">
        <v>1322</v>
      </c>
      <c r="B263" s="68" t="s">
        <v>1839</v>
      </c>
    </row>
    <row r="264" spans="1:2" x14ac:dyDescent="0.15">
      <c r="A264" s="67" t="s">
        <v>1323</v>
      </c>
      <c r="B264" s="68" t="s">
        <v>1840</v>
      </c>
    </row>
    <row r="265" spans="1:2" x14ac:dyDescent="0.15">
      <c r="A265" s="67" t="s">
        <v>1324</v>
      </c>
      <c r="B265" s="68" t="s">
        <v>1841</v>
      </c>
    </row>
    <row r="266" spans="1:2" x14ac:dyDescent="0.15">
      <c r="A266" s="67" t="s">
        <v>1325</v>
      </c>
      <c r="B266" s="68" t="s">
        <v>1842</v>
      </c>
    </row>
    <row r="267" spans="1:2" x14ac:dyDescent="0.15">
      <c r="A267" s="67" t="s">
        <v>1326</v>
      </c>
      <c r="B267" s="68" t="s">
        <v>1843</v>
      </c>
    </row>
    <row r="268" spans="1:2" x14ac:dyDescent="0.15">
      <c r="A268" s="67" t="s">
        <v>1327</v>
      </c>
      <c r="B268" s="68" t="s">
        <v>1844</v>
      </c>
    </row>
    <row r="269" spans="1:2" x14ac:dyDescent="0.15">
      <c r="A269" s="67" t="s">
        <v>1328</v>
      </c>
      <c r="B269" s="68" t="s">
        <v>1845</v>
      </c>
    </row>
    <row r="270" spans="1:2" x14ac:dyDescent="0.15">
      <c r="A270" s="67" t="s">
        <v>1329</v>
      </c>
      <c r="B270" s="68" t="s">
        <v>1846</v>
      </c>
    </row>
    <row r="271" spans="1:2" x14ac:dyDescent="0.15">
      <c r="A271" s="67" t="s">
        <v>1330</v>
      </c>
      <c r="B271" s="68" t="s">
        <v>1847</v>
      </c>
    </row>
    <row r="272" spans="1:2" x14ac:dyDescent="0.15">
      <c r="A272" s="67" t="s">
        <v>1331</v>
      </c>
      <c r="B272" s="68" t="s">
        <v>1744</v>
      </c>
    </row>
    <row r="273" spans="1:2" x14ac:dyDescent="0.15">
      <c r="A273" s="67" t="s">
        <v>1332</v>
      </c>
      <c r="B273" s="68" t="s">
        <v>1848</v>
      </c>
    </row>
    <row r="274" spans="1:2" x14ac:dyDescent="0.15">
      <c r="A274" s="67" t="s">
        <v>1333</v>
      </c>
      <c r="B274" s="68" t="s">
        <v>1849</v>
      </c>
    </row>
    <row r="275" spans="1:2" x14ac:dyDescent="0.15">
      <c r="A275" s="67" t="s">
        <v>1334</v>
      </c>
      <c r="B275" s="68" t="s">
        <v>1850</v>
      </c>
    </row>
    <row r="276" spans="1:2" x14ac:dyDescent="0.15">
      <c r="A276" s="67" t="s">
        <v>1335</v>
      </c>
      <c r="B276" s="68" t="s">
        <v>1851</v>
      </c>
    </row>
    <row r="277" spans="1:2" x14ac:dyDescent="0.15">
      <c r="A277" s="67" t="s">
        <v>1336</v>
      </c>
      <c r="B277" s="68" t="s">
        <v>1852</v>
      </c>
    </row>
    <row r="278" spans="1:2" x14ac:dyDescent="0.15">
      <c r="A278" s="67" t="s">
        <v>1337</v>
      </c>
      <c r="B278" s="68" t="s">
        <v>1853</v>
      </c>
    </row>
    <row r="279" spans="1:2" x14ac:dyDescent="0.15">
      <c r="A279" s="67" t="s">
        <v>1338</v>
      </c>
      <c r="B279" s="68" t="s">
        <v>1854</v>
      </c>
    </row>
    <row r="280" spans="1:2" x14ac:dyDescent="0.15">
      <c r="A280" s="67" t="s">
        <v>1339</v>
      </c>
      <c r="B280" s="68" t="s">
        <v>1855</v>
      </c>
    </row>
    <row r="281" spans="1:2" x14ac:dyDescent="0.15">
      <c r="A281" s="67" t="s">
        <v>1340</v>
      </c>
      <c r="B281" s="68" t="s">
        <v>1856</v>
      </c>
    </row>
    <row r="282" spans="1:2" x14ac:dyDescent="0.15">
      <c r="A282" s="67" t="s">
        <v>1341</v>
      </c>
      <c r="B282" s="68" t="s">
        <v>1857</v>
      </c>
    </row>
    <row r="283" spans="1:2" x14ac:dyDescent="0.15">
      <c r="A283" s="67" t="s">
        <v>1342</v>
      </c>
      <c r="B283" s="68" t="s">
        <v>1858</v>
      </c>
    </row>
    <row r="284" spans="1:2" x14ac:dyDescent="0.15">
      <c r="A284" s="67" t="s">
        <v>1343</v>
      </c>
      <c r="B284" s="68" t="s">
        <v>1859</v>
      </c>
    </row>
    <row r="285" spans="1:2" x14ac:dyDescent="0.15">
      <c r="A285" s="67" t="s">
        <v>1344</v>
      </c>
      <c r="B285" s="68" t="s">
        <v>1841</v>
      </c>
    </row>
    <row r="286" spans="1:2" x14ac:dyDescent="0.15">
      <c r="A286" s="67" t="s">
        <v>1345</v>
      </c>
      <c r="B286" s="68" t="s">
        <v>1860</v>
      </c>
    </row>
    <row r="287" spans="1:2" x14ac:dyDescent="0.15">
      <c r="A287" s="67" t="s">
        <v>1346</v>
      </c>
      <c r="B287" s="68" t="s">
        <v>1861</v>
      </c>
    </row>
    <row r="288" spans="1:2" x14ac:dyDescent="0.15">
      <c r="A288" s="67" t="s">
        <v>1347</v>
      </c>
      <c r="B288" s="68" t="s">
        <v>1862</v>
      </c>
    </row>
    <row r="289" spans="1:2" x14ac:dyDescent="0.15">
      <c r="A289" s="67" t="s">
        <v>1348</v>
      </c>
      <c r="B289" s="68" t="s">
        <v>1847</v>
      </c>
    </row>
    <row r="290" spans="1:2" x14ac:dyDescent="0.15">
      <c r="A290" s="67" t="s">
        <v>1349</v>
      </c>
      <c r="B290" s="68" t="s">
        <v>1710</v>
      </c>
    </row>
    <row r="291" spans="1:2" x14ac:dyDescent="0.15">
      <c r="A291" s="67" t="s">
        <v>1350</v>
      </c>
      <c r="B291" s="68" t="s">
        <v>1863</v>
      </c>
    </row>
    <row r="292" spans="1:2" x14ac:dyDescent="0.15">
      <c r="A292" s="67" t="s">
        <v>1351</v>
      </c>
      <c r="B292" s="68" t="s">
        <v>1864</v>
      </c>
    </row>
    <row r="293" spans="1:2" x14ac:dyDescent="0.15">
      <c r="A293" s="67" t="s">
        <v>1352</v>
      </c>
      <c r="B293" s="68" t="s">
        <v>1621</v>
      </c>
    </row>
    <row r="294" spans="1:2" x14ac:dyDescent="0.15">
      <c r="A294" s="67" t="s">
        <v>1353</v>
      </c>
      <c r="B294" s="68" t="s">
        <v>1865</v>
      </c>
    </row>
    <row r="295" spans="1:2" x14ac:dyDescent="0.15">
      <c r="A295" s="67" t="s">
        <v>1353</v>
      </c>
      <c r="B295" s="68" t="s">
        <v>1866</v>
      </c>
    </row>
    <row r="296" spans="1:2" x14ac:dyDescent="0.15">
      <c r="A296" s="67" t="s">
        <v>1354</v>
      </c>
      <c r="B296" s="68" t="s">
        <v>1867</v>
      </c>
    </row>
    <row r="297" spans="1:2" x14ac:dyDescent="0.15">
      <c r="A297" s="67" t="s">
        <v>1355</v>
      </c>
      <c r="B297" s="68" t="s">
        <v>1868</v>
      </c>
    </row>
    <row r="298" spans="1:2" x14ac:dyDescent="0.15">
      <c r="A298" s="67" t="s">
        <v>1356</v>
      </c>
      <c r="B298" s="68" t="s">
        <v>1869</v>
      </c>
    </row>
    <row r="299" spans="1:2" x14ac:dyDescent="0.15">
      <c r="A299" s="67" t="s">
        <v>1357</v>
      </c>
      <c r="B299" s="68" t="s">
        <v>1870</v>
      </c>
    </row>
    <row r="300" spans="1:2" x14ac:dyDescent="0.15">
      <c r="A300" s="67" t="s">
        <v>1358</v>
      </c>
      <c r="B300" s="68" t="s">
        <v>1871</v>
      </c>
    </row>
    <row r="301" spans="1:2" x14ac:dyDescent="0.15">
      <c r="A301" s="67" t="s">
        <v>1359</v>
      </c>
      <c r="B301" s="68" t="s">
        <v>1872</v>
      </c>
    </row>
    <row r="302" spans="1:2" x14ac:dyDescent="0.15">
      <c r="A302" s="67" t="s">
        <v>1360</v>
      </c>
      <c r="B302" s="68" t="s">
        <v>1873</v>
      </c>
    </row>
    <row r="303" spans="1:2" x14ac:dyDescent="0.15">
      <c r="A303" s="67" t="s">
        <v>1361</v>
      </c>
      <c r="B303" s="68" t="s">
        <v>1874</v>
      </c>
    </row>
    <row r="304" spans="1:2" x14ac:dyDescent="0.15">
      <c r="A304" s="67" t="s">
        <v>1361</v>
      </c>
      <c r="B304" s="68" t="s">
        <v>1875</v>
      </c>
    </row>
    <row r="305" spans="1:2" x14ac:dyDescent="0.15">
      <c r="A305" s="67" t="s">
        <v>1362</v>
      </c>
      <c r="B305" s="68" t="s">
        <v>1876</v>
      </c>
    </row>
    <row r="306" spans="1:2" x14ac:dyDescent="0.15">
      <c r="A306" s="67" t="s">
        <v>1363</v>
      </c>
      <c r="B306" s="68" t="s">
        <v>1877</v>
      </c>
    </row>
    <row r="307" spans="1:2" x14ac:dyDescent="0.15">
      <c r="A307" s="67" t="s">
        <v>1364</v>
      </c>
      <c r="B307" s="68" t="s">
        <v>1878</v>
      </c>
    </row>
    <row r="308" spans="1:2" x14ac:dyDescent="0.15">
      <c r="A308" s="67" t="s">
        <v>1365</v>
      </c>
      <c r="B308" s="68" t="s">
        <v>1879</v>
      </c>
    </row>
    <row r="309" spans="1:2" x14ac:dyDescent="0.15">
      <c r="A309" s="67" t="s">
        <v>1366</v>
      </c>
      <c r="B309" s="68" t="s">
        <v>1880</v>
      </c>
    </row>
    <row r="310" spans="1:2" x14ac:dyDescent="0.15">
      <c r="A310" s="67" t="s">
        <v>1367</v>
      </c>
      <c r="B310" s="68" t="s">
        <v>1881</v>
      </c>
    </row>
    <row r="311" spans="1:2" x14ac:dyDescent="0.15">
      <c r="A311" s="67" t="s">
        <v>1368</v>
      </c>
      <c r="B311" s="68" t="s">
        <v>1882</v>
      </c>
    </row>
    <row r="312" spans="1:2" x14ac:dyDescent="0.15">
      <c r="A312" s="67" t="s">
        <v>1369</v>
      </c>
      <c r="B312" s="68" t="s">
        <v>1883</v>
      </c>
    </row>
    <row r="313" spans="1:2" x14ac:dyDescent="0.15">
      <c r="A313" s="67" t="s">
        <v>1370</v>
      </c>
      <c r="B313" s="68" t="s">
        <v>1884</v>
      </c>
    </row>
    <row r="314" spans="1:2" x14ac:dyDescent="0.15">
      <c r="A314" s="67" t="s">
        <v>1371</v>
      </c>
      <c r="B314" s="68" t="s">
        <v>1885</v>
      </c>
    </row>
    <row r="315" spans="1:2" x14ac:dyDescent="0.15">
      <c r="A315" s="67" t="s">
        <v>1372</v>
      </c>
      <c r="B315" s="68" t="s">
        <v>1886</v>
      </c>
    </row>
    <row r="316" spans="1:2" x14ac:dyDescent="0.15">
      <c r="A316" s="67" t="s">
        <v>1373</v>
      </c>
      <c r="B316" s="68" t="s">
        <v>1887</v>
      </c>
    </row>
    <row r="317" spans="1:2" x14ac:dyDescent="0.15">
      <c r="A317" s="67" t="s">
        <v>1374</v>
      </c>
      <c r="B317" s="68" t="s">
        <v>1888</v>
      </c>
    </row>
    <row r="318" spans="1:2" x14ac:dyDescent="0.15">
      <c r="A318" s="67" t="s">
        <v>1375</v>
      </c>
      <c r="B318" s="68" t="s">
        <v>1889</v>
      </c>
    </row>
    <row r="319" spans="1:2" x14ac:dyDescent="0.15">
      <c r="A319" s="67" t="s">
        <v>1376</v>
      </c>
      <c r="B319" s="68" t="s">
        <v>1890</v>
      </c>
    </row>
    <row r="320" spans="1:2" x14ac:dyDescent="0.15">
      <c r="A320" s="67" t="s">
        <v>1377</v>
      </c>
      <c r="B320" s="68" t="s">
        <v>1891</v>
      </c>
    </row>
    <row r="321" spans="1:2" x14ac:dyDescent="0.15">
      <c r="A321" s="67" t="s">
        <v>1378</v>
      </c>
      <c r="B321" s="68" t="s">
        <v>1892</v>
      </c>
    </row>
    <row r="322" spans="1:2" x14ac:dyDescent="0.15">
      <c r="A322" s="67" t="s">
        <v>1379</v>
      </c>
      <c r="B322" s="68" t="s">
        <v>1893</v>
      </c>
    </row>
    <row r="323" spans="1:2" x14ac:dyDescent="0.15">
      <c r="A323" s="67" t="s">
        <v>1380</v>
      </c>
      <c r="B323" s="68" t="s">
        <v>1894</v>
      </c>
    </row>
    <row r="324" spans="1:2" x14ac:dyDescent="0.15">
      <c r="A324" s="67" t="s">
        <v>1381</v>
      </c>
      <c r="B324" s="68" t="s">
        <v>1895</v>
      </c>
    </row>
    <row r="325" spans="1:2" x14ac:dyDescent="0.15">
      <c r="A325" s="67" t="s">
        <v>1382</v>
      </c>
      <c r="B325" s="68" t="s">
        <v>1896</v>
      </c>
    </row>
    <row r="326" spans="1:2" x14ac:dyDescent="0.15">
      <c r="A326" s="67" t="s">
        <v>1383</v>
      </c>
      <c r="B326" s="68" t="s">
        <v>1897</v>
      </c>
    </row>
    <row r="327" spans="1:2" x14ac:dyDescent="0.15">
      <c r="A327" s="67" t="s">
        <v>1384</v>
      </c>
      <c r="B327" s="68" t="s">
        <v>1898</v>
      </c>
    </row>
    <row r="328" spans="1:2" x14ac:dyDescent="0.15">
      <c r="A328" s="67" t="s">
        <v>1385</v>
      </c>
      <c r="B328" s="68" t="s">
        <v>1871</v>
      </c>
    </row>
    <row r="329" spans="1:2" x14ac:dyDescent="0.15">
      <c r="A329" s="67" t="s">
        <v>1386</v>
      </c>
      <c r="B329" s="68" t="s">
        <v>1899</v>
      </c>
    </row>
    <row r="330" spans="1:2" x14ac:dyDescent="0.15">
      <c r="A330" s="67" t="s">
        <v>1387</v>
      </c>
      <c r="B330" s="68" t="s">
        <v>1900</v>
      </c>
    </row>
    <row r="331" spans="1:2" x14ac:dyDescent="0.15">
      <c r="A331" s="67" t="s">
        <v>1388</v>
      </c>
      <c r="B331" s="68" t="s">
        <v>1901</v>
      </c>
    </row>
    <row r="332" spans="1:2" x14ac:dyDescent="0.15">
      <c r="A332" s="67" t="s">
        <v>1389</v>
      </c>
      <c r="B332" s="68" t="s">
        <v>1902</v>
      </c>
    </row>
    <row r="333" spans="1:2" x14ac:dyDescent="0.15">
      <c r="A333" s="67" t="s">
        <v>1390</v>
      </c>
      <c r="B333" s="68" t="s">
        <v>1903</v>
      </c>
    </row>
    <row r="334" spans="1:2" x14ac:dyDescent="0.15">
      <c r="A334" s="67" t="s">
        <v>1391</v>
      </c>
      <c r="B334" s="68" t="s">
        <v>1904</v>
      </c>
    </row>
    <row r="335" spans="1:2" x14ac:dyDescent="0.15">
      <c r="A335" s="67" t="s">
        <v>1392</v>
      </c>
      <c r="B335" s="68" t="s">
        <v>1905</v>
      </c>
    </row>
    <row r="336" spans="1:2" x14ac:dyDescent="0.15">
      <c r="A336" s="67" t="s">
        <v>1393</v>
      </c>
      <c r="B336" s="68" t="s">
        <v>1906</v>
      </c>
    </row>
    <row r="337" spans="1:2" x14ac:dyDescent="0.15">
      <c r="A337" s="67" t="s">
        <v>1394</v>
      </c>
      <c r="B337" s="68" t="s">
        <v>1907</v>
      </c>
    </row>
    <row r="338" spans="1:2" x14ac:dyDescent="0.15">
      <c r="A338" s="67" t="s">
        <v>1395</v>
      </c>
      <c r="B338" s="68" t="s">
        <v>1908</v>
      </c>
    </row>
    <row r="339" spans="1:2" x14ac:dyDescent="0.15">
      <c r="A339" s="67" t="s">
        <v>1396</v>
      </c>
      <c r="B339" s="68" t="s">
        <v>1909</v>
      </c>
    </row>
    <row r="340" spans="1:2" x14ac:dyDescent="0.15">
      <c r="A340" s="67" t="s">
        <v>1397</v>
      </c>
      <c r="B340" s="68" t="s">
        <v>1910</v>
      </c>
    </row>
    <row r="341" spans="1:2" x14ac:dyDescent="0.15">
      <c r="A341" s="67" t="s">
        <v>1398</v>
      </c>
      <c r="B341" s="68" t="s">
        <v>1911</v>
      </c>
    </row>
    <row r="342" spans="1:2" x14ac:dyDescent="0.15">
      <c r="A342" s="67" t="s">
        <v>1399</v>
      </c>
      <c r="B342" s="68" t="s">
        <v>1621</v>
      </c>
    </row>
    <row r="343" spans="1:2" x14ac:dyDescent="0.15">
      <c r="A343" s="67" t="s">
        <v>1400</v>
      </c>
      <c r="B343" s="68" t="s">
        <v>1912</v>
      </c>
    </row>
    <row r="344" spans="1:2" x14ac:dyDescent="0.15">
      <c r="A344" s="67" t="s">
        <v>1401</v>
      </c>
      <c r="B344" s="68" t="s">
        <v>1913</v>
      </c>
    </row>
    <row r="345" spans="1:2" x14ac:dyDescent="0.15">
      <c r="A345" s="67" t="s">
        <v>1402</v>
      </c>
      <c r="B345" s="68" t="s">
        <v>1885</v>
      </c>
    </row>
    <row r="346" spans="1:2" x14ac:dyDescent="0.15">
      <c r="A346" s="67" t="s">
        <v>1403</v>
      </c>
      <c r="B346" s="68" t="s">
        <v>1662</v>
      </c>
    </row>
    <row r="347" spans="1:2" x14ac:dyDescent="0.15">
      <c r="A347" s="67" t="s">
        <v>1404</v>
      </c>
      <c r="B347" s="68" t="s">
        <v>1914</v>
      </c>
    </row>
    <row r="348" spans="1:2" x14ac:dyDescent="0.15">
      <c r="A348" s="67" t="s">
        <v>1405</v>
      </c>
      <c r="B348" s="68" t="s">
        <v>1915</v>
      </c>
    </row>
    <row r="349" spans="1:2" x14ac:dyDescent="0.15">
      <c r="A349" s="67" t="s">
        <v>1406</v>
      </c>
      <c r="B349" s="68" t="s">
        <v>1911</v>
      </c>
    </row>
    <row r="350" spans="1:2" x14ac:dyDescent="0.15">
      <c r="A350" s="67" t="s">
        <v>1407</v>
      </c>
      <c r="B350" s="68" t="s">
        <v>1916</v>
      </c>
    </row>
    <row r="351" spans="1:2" x14ac:dyDescent="0.15">
      <c r="A351" s="67" t="s">
        <v>1408</v>
      </c>
      <c r="B351" s="68" t="s">
        <v>1917</v>
      </c>
    </row>
    <row r="352" spans="1:2" x14ac:dyDescent="0.15">
      <c r="A352" s="67" t="s">
        <v>1409</v>
      </c>
      <c r="B352" s="68" t="s">
        <v>1918</v>
      </c>
    </row>
    <row r="353" spans="1:2" x14ac:dyDescent="0.15">
      <c r="A353" s="67" t="s">
        <v>1410</v>
      </c>
      <c r="B353" s="68" t="s">
        <v>1600</v>
      </c>
    </row>
    <row r="354" spans="1:2" x14ac:dyDescent="0.15">
      <c r="A354" s="67" t="s">
        <v>1411</v>
      </c>
      <c r="B354" s="68" t="s">
        <v>1919</v>
      </c>
    </row>
    <row r="355" spans="1:2" x14ac:dyDescent="0.15">
      <c r="A355" s="67" t="s">
        <v>1412</v>
      </c>
      <c r="B355" s="68" t="s">
        <v>1920</v>
      </c>
    </row>
    <row r="356" spans="1:2" x14ac:dyDescent="0.15">
      <c r="A356" s="67" t="s">
        <v>1413</v>
      </c>
      <c r="B356" s="68" t="s">
        <v>1921</v>
      </c>
    </row>
    <row r="357" spans="1:2" x14ac:dyDescent="0.15">
      <c r="A357" s="67" t="s">
        <v>1414</v>
      </c>
      <c r="B357" s="68" t="s">
        <v>1922</v>
      </c>
    </row>
    <row r="358" spans="1:2" x14ac:dyDescent="0.15">
      <c r="A358" s="67" t="s">
        <v>1415</v>
      </c>
      <c r="B358" s="68" t="s">
        <v>1923</v>
      </c>
    </row>
    <row r="359" spans="1:2" x14ac:dyDescent="0.15">
      <c r="A359" s="67" t="s">
        <v>50</v>
      </c>
      <c r="B359" s="68" t="s">
        <v>1924</v>
      </c>
    </row>
    <row r="360" spans="1:2" x14ac:dyDescent="0.15">
      <c r="A360" s="67" t="s">
        <v>60</v>
      </c>
      <c r="B360" s="68" t="s">
        <v>1925</v>
      </c>
    </row>
    <row r="361" spans="1:2" x14ac:dyDescent="0.15">
      <c r="A361" s="67" t="s">
        <v>1416</v>
      </c>
      <c r="B361" s="68" t="s">
        <v>1926</v>
      </c>
    </row>
    <row r="362" spans="1:2" x14ac:dyDescent="0.15">
      <c r="A362" s="67" t="s">
        <v>1417</v>
      </c>
      <c r="B362" s="68" t="s">
        <v>1927</v>
      </c>
    </row>
    <row r="363" spans="1:2" x14ac:dyDescent="0.15">
      <c r="A363" s="67" t="s">
        <v>1417</v>
      </c>
      <c r="B363" s="68" t="s">
        <v>1928</v>
      </c>
    </row>
    <row r="364" spans="1:2" x14ac:dyDescent="0.15">
      <c r="A364" s="67" t="s">
        <v>1418</v>
      </c>
      <c r="B364" s="68" t="s">
        <v>1929</v>
      </c>
    </row>
    <row r="365" spans="1:2" x14ac:dyDescent="0.15">
      <c r="A365" s="67" t="s">
        <v>1419</v>
      </c>
      <c r="B365" s="68" t="s">
        <v>1930</v>
      </c>
    </row>
    <row r="366" spans="1:2" x14ac:dyDescent="0.15">
      <c r="A366" s="67" t="s">
        <v>1419</v>
      </c>
      <c r="B366" s="68" t="s">
        <v>1931</v>
      </c>
    </row>
    <row r="367" spans="1:2" x14ac:dyDescent="0.15">
      <c r="A367" s="67" t="s">
        <v>1420</v>
      </c>
      <c r="B367" s="68" t="s">
        <v>1932</v>
      </c>
    </row>
    <row r="368" spans="1:2" x14ac:dyDescent="0.15">
      <c r="A368" s="67" t="s">
        <v>1421</v>
      </c>
      <c r="B368" s="68" t="s">
        <v>1933</v>
      </c>
    </row>
    <row r="369" spans="1:2" x14ac:dyDescent="0.15">
      <c r="A369" s="67" t="s">
        <v>1422</v>
      </c>
      <c r="B369" s="68" t="s">
        <v>1602</v>
      </c>
    </row>
    <row r="370" spans="1:2" x14ac:dyDescent="0.15">
      <c r="A370" s="67" t="s">
        <v>1423</v>
      </c>
      <c r="B370" s="68" t="s">
        <v>1934</v>
      </c>
    </row>
    <row r="371" spans="1:2" x14ac:dyDescent="0.15">
      <c r="A371" s="67" t="s">
        <v>1424</v>
      </c>
      <c r="B371" s="68" t="s">
        <v>1603</v>
      </c>
    </row>
    <row r="372" spans="1:2" x14ac:dyDescent="0.15">
      <c r="A372" s="67" t="s">
        <v>1425</v>
      </c>
      <c r="B372" s="68" t="s">
        <v>1605</v>
      </c>
    </row>
    <row r="373" spans="1:2" x14ac:dyDescent="0.15">
      <c r="A373" s="67" t="s">
        <v>1426</v>
      </c>
      <c r="B373" s="68" t="s">
        <v>1606</v>
      </c>
    </row>
    <row r="374" spans="1:2" x14ac:dyDescent="0.15">
      <c r="A374" s="67" t="s">
        <v>1427</v>
      </c>
      <c r="B374" s="68" t="s">
        <v>1935</v>
      </c>
    </row>
    <row r="375" spans="1:2" x14ac:dyDescent="0.15">
      <c r="A375" s="67" t="s">
        <v>1428</v>
      </c>
      <c r="B375" s="68" t="s">
        <v>1936</v>
      </c>
    </row>
    <row r="376" spans="1:2" x14ac:dyDescent="0.15">
      <c r="A376" s="67" t="s">
        <v>1429</v>
      </c>
      <c r="B376" s="68" t="s">
        <v>1937</v>
      </c>
    </row>
    <row r="377" spans="1:2" x14ac:dyDescent="0.15">
      <c r="A377" s="67" t="s">
        <v>1430</v>
      </c>
      <c r="B377" s="68" t="s">
        <v>1938</v>
      </c>
    </row>
    <row r="378" spans="1:2" x14ac:dyDescent="0.15">
      <c r="A378" s="67" t="s">
        <v>1431</v>
      </c>
      <c r="B378" s="68" t="s">
        <v>1939</v>
      </c>
    </row>
    <row r="379" spans="1:2" x14ac:dyDescent="0.15">
      <c r="A379" s="67" t="s">
        <v>1432</v>
      </c>
      <c r="B379" s="68" t="s">
        <v>1609</v>
      </c>
    </row>
    <row r="380" spans="1:2" x14ac:dyDescent="0.15">
      <c r="A380" s="67" t="s">
        <v>1433</v>
      </c>
      <c r="B380" s="68" t="s">
        <v>1893</v>
      </c>
    </row>
    <row r="381" spans="1:2" x14ac:dyDescent="0.15">
      <c r="A381" s="67" t="s">
        <v>1434</v>
      </c>
      <c r="B381" s="68" t="s">
        <v>1940</v>
      </c>
    </row>
    <row r="382" spans="1:2" x14ac:dyDescent="0.15">
      <c r="A382" s="67" t="s">
        <v>1435</v>
      </c>
      <c r="B382" s="68" t="s">
        <v>1941</v>
      </c>
    </row>
    <row r="383" spans="1:2" x14ac:dyDescent="0.15">
      <c r="A383" s="67" t="s">
        <v>1436</v>
      </c>
      <c r="B383" s="68" t="s">
        <v>1942</v>
      </c>
    </row>
    <row r="384" spans="1:2" x14ac:dyDescent="0.15">
      <c r="A384" s="67" t="s">
        <v>1437</v>
      </c>
      <c r="B384" s="68" t="s">
        <v>1943</v>
      </c>
    </row>
    <row r="385" spans="1:2" x14ac:dyDescent="0.15">
      <c r="A385" s="67" t="s">
        <v>1439</v>
      </c>
      <c r="B385" s="68" t="s">
        <v>1895</v>
      </c>
    </row>
    <row r="386" spans="1:2" x14ac:dyDescent="0.15">
      <c r="A386" s="67" t="s">
        <v>1440</v>
      </c>
      <c r="B386" s="68" t="s">
        <v>1944</v>
      </c>
    </row>
    <row r="387" spans="1:2" x14ac:dyDescent="0.15">
      <c r="A387" s="67" t="s">
        <v>1441</v>
      </c>
      <c r="B387" s="68" t="s">
        <v>1945</v>
      </c>
    </row>
    <row r="388" spans="1:2" x14ac:dyDescent="0.15">
      <c r="A388" s="67" t="s">
        <v>1442</v>
      </c>
      <c r="B388" s="68" t="s">
        <v>1946</v>
      </c>
    </row>
    <row r="389" spans="1:2" x14ac:dyDescent="0.15">
      <c r="A389" s="67" t="s">
        <v>1443</v>
      </c>
      <c r="B389" s="68" t="s">
        <v>1922</v>
      </c>
    </row>
    <row r="390" spans="1:2" x14ac:dyDescent="0.15">
      <c r="A390" s="67" t="s">
        <v>1444</v>
      </c>
      <c r="B390" s="68" t="s">
        <v>1947</v>
      </c>
    </row>
    <row r="391" spans="1:2" x14ac:dyDescent="0.15">
      <c r="A391" s="67" t="s">
        <v>1445</v>
      </c>
      <c r="B391" s="68" t="s">
        <v>1948</v>
      </c>
    </row>
    <row r="392" spans="1:2" x14ac:dyDescent="0.15">
      <c r="A392" s="67" t="s">
        <v>1446</v>
      </c>
      <c r="B392" s="68" t="s">
        <v>1949</v>
      </c>
    </row>
    <row r="393" spans="1:2" x14ac:dyDescent="0.15">
      <c r="A393" s="67" t="s">
        <v>67</v>
      </c>
      <c r="B393" s="68" t="s">
        <v>1950</v>
      </c>
    </row>
    <row r="394" spans="1:2" x14ac:dyDescent="0.15">
      <c r="A394" s="67" t="s">
        <v>1447</v>
      </c>
      <c r="B394" s="68" t="s">
        <v>1621</v>
      </c>
    </row>
    <row r="395" spans="1:2" x14ac:dyDescent="0.15">
      <c r="A395" s="67" t="s">
        <v>1448</v>
      </c>
      <c r="B395" s="68" t="s">
        <v>1951</v>
      </c>
    </row>
    <row r="396" spans="1:2" x14ac:dyDescent="0.15">
      <c r="A396" s="67" t="s">
        <v>1449</v>
      </c>
      <c r="B396" s="68" t="s">
        <v>1614</v>
      </c>
    </row>
    <row r="397" spans="1:2" x14ac:dyDescent="0.15">
      <c r="A397" s="67" t="s">
        <v>1450</v>
      </c>
      <c r="B397" s="68" t="s">
        <v>1952</v>
      </c>
    </row>
    <row r="398" spans="1:2" x14ac:dyDescent="0.15">
      <c r="A398" s="67" t="s">
        <v>1451</v>
      </c>
      <c r="B398" s="68" t="s">
        <v>1953</v>
      </c>
    </row>
    <row r="399" spans="1:2" x14ac:dyDescent="0.15">
      <c r="A399" s="67" t="s">
        <v>1452</v>
      </c>
      <c r="B399" s="68" t="s">
        <v>1942</v>
      </c>
    </row>
    <row r="400" spans="1:2" x14ac:dyDescent="0.15">
      <c r="A400" s="67" t="s">
        <v>1453</v>
      </c>
      <c r="B400" s="68" t="s">
        <v>1710</v>
      </c>
    </row>
    <row r="401" spans="1:2" x14ac:dyDescent="0.15">
      <c r="A401" s="67" t="s">
        <v>1454</v>
      </c>
      <c r="B401" s="68" t="s">
        <v>1954</v>
      </c>
    </row>
    <row r="402" spans="1:2" x14ac:dyDescent="0.15">
      <c r="A402" s="67" t="s">
        <v>1455</v>
      </c>
      <c r="B402" s="68" t="s">
        <v>1664</v>
      </c>
    </row>
    <row r="403" spans="1:2" x14ac:dyDescent="0.15">
      <c r="A403" s="67" t="s">
        <v>1456</v>
      </c>
      <c r="B403" s="68" t="s">
        <v>1955</v>
      </c>
    </row>
    <row r="404" spans="1:2" x14ac:dyDescent="0.15">
      <c r="A404" s="67" t="s">
        <v>1457</v>
      </c>
      <c r="B404" s="68" t="s">
        <v>1917</v>
      </c>
    </row>
    <row r="405" spans="1:2" x14ac:dyDescent="0.15">
      <c r="A405" s="67" t="s">
        <v>1458</v>
      </c>
      <c r="B405" s="68" t="s">
        <v>1956</v>
      </c>
    </row>
    <row r="406" spans="1:2" x14ac:dyDescent="0.15">
      <c r="A406" s="67" t="s">
        <v>1459</v>
      </c>
      <c r="B406" s="68" t="s">
        <v>1957</v>
      </c>
    </row>
    <row r="407" spans="1:2" x14ac:dyDescent="0.15">
      <c r="A407" s="67" t="s">
        <v>1460</v>
      </c>
      <c r="B407" s="68" t="s">
        <v>1670</v>
      </c>
    </row>
    <row r="408" spans="1:2" x14ac:dyDescent="0.15">
      <c r="A408" s="67" t="s">
        <v>1461</v>
      </c>
      <c r="B408" s="68" t="s">
        <v>1671</v>
      </c>
    </row>
    <row r="409" spans="1:2" x14ac:dyDescent="0.15">
      <c r="A409" s="67" t="s">
        <v>1462</v>
      </c>
      <c r="B409" s="68" t="s">
        <v>1672</v>
      </c>
    </row>
    <row r="410" spans="1:2" x14ac:dyDescent="0.15">
      <c r="A410" s="67" t="s">
        <v>1463</v>
      </c>
      <c r="B410" s="68" t="s">
        <v>1673</v>
      </c>
    </row>
    <row r="411" spans="1:2" x14ac:dyDescent="0.15">
      <c r="A411" s="67" t="s">
        <v>1464</v>
      </c>
      <c r="B411" s="68" t="s">
        <v>1674</v>
      </c>
    </row>
    <row r="412" spans="1:2" x14ac:dyDescent="0.15">
      <c r="A412" s="67" t="s">
        <v>1465</v>
      </c>
      <c r="B412" s="68" t="s">
        <v>1675</v>
      </c>
    </row>
    <row r="413" spans="1:2" x14ac:dyDescent="0.15">
      <c r="A413" s="67" t="s">
        <v>1466</v>
      </c>
      <c r="B413" s="68" t="s">
        <v>1958</v>
      </c>
    </row>
    <row r="414" spans="1:2" x14ac:dyDescent="0.15">
      <c r="A414" s="67" t="s">
        <v>1467</v>
      </c>
      <c r="B414" s="68" t="s">
        <v>1676</v>
      </c>
    </row>
    <row r="415" spans="1:2" x14ac:dyDescent="0.15">
      <c r="A415" s="67" t="s">
        <v>1468</v>
      </c>
      <c r="B415" s="68" t="s">
        <v>1959</v>
      </c>
    </row>
    <row r="416" spans="1:2" x14ac:dyDescent="0.15">
      <c r="A416" s="67" t="s">
        <v>1469</v>
      </c>
      <c r="B416" s="68" t="s">
        <v>1960</v>
      </c>
    </row>
    <row r="417" spans="1:2" x14ac:dyDescent="0.15">
      <c r="A417" s="67" t="s">
        <v>1470</v>
      </c>
      <c r="B417" s="68" t="s">
        <v>1678</v>
      </c>
    </row>
    <row r="418" spans="1:2" x14ac:dyDescent="0.15">
      <c r="A418" s="67" t="s">
        <v>1471</v>
      </c>
      <c r="B418" s="68" t="s">
        <v>1961</v>
      </c>
    </row>
    <row r="419" spans="1:2" x14ac:dyDescent="0.15">
      <c r="A419" s="67" t="s">
        <v>1472</v>
      </c>
      <c r="B419" s="68" t="s">
        <v>1962</v>
      </c>
    </row>
    <row r="420" spans="1:2" x14ac:dyDescent="0.15">
      <c r="A420" s="67" t="s">
        <v>1473</v>
      </c>
      <c r="B420" s="68" t="s">
        <v>1851</v>
      </c>
    </row>
    <row r="421" spans="1:2" x14ac:dyDescent="0.15">
      <c r="A421" s="67" t="s">
        <v>1474</v>
      </c>
      <c r="B421" s="68" t="s">
        <v>1963</v>
      </c>
    </row>
    <row r="422" spans="1:2" x14ac:dyDescent="0.15">
      <c r="A422" s="67" t="s">
        <v>1475</v>
      </c>
      <c r="B422" s="68" t="s">
        <v>1964</v>
      </c>
    </row>
    <row r="423" spans="1:2" x14ac:dyDescent="0.15">
      <c r="A423" s="67" t="s">
        <v>1476</v>
      </c>
      <c r="B423" s="68" t="s">
        <v>1965</v>
      </c>
    </row>
    <row r="424" spans="1:2" x14ac:dyDescent="0.15">
      <c r="A424" s="67" t="s">
        <v>1477</v>
      </c>
      <c r="B424" s="68" t="s">
        <v>1966</v>
      </c>
    </row>
    <row r="425" spans="1:2" x14ac:dyDescent="0.15">
      <c r="A425" s="67" t="s">
        <v>1478</v>
      </c>
      <c r="B425" s="68" t="s">
        <v>1967</v>
      </c>
    </row>
    <row r="426" spans="1:2" x14ac:dyDescent="0.15">
      <c r="A426" s="67" t="s">
        <v>1479</v>
      </c>
      <c r="B426" s="68" t="s">
        <v>1968</v>
      </c>
    </row>
    <row r="427" spans="1:2" x14ac:dyDescent="0.15">
      <c r="A427" s="67" t="s">
        <v>1480</v>
      </c>
      <c r="B427" s="68" t="s">
        <v>1969</v>
      </c>
    </row>
    <row r="428" spans="1:2" x14ac:dyDescent="0.15">
      <c r="A428" s="67" t="s">
        <v>1481</v>
      </c>
      <c r="B428" s="68" t="s">
        <v>1970</v>
      </c>
    </row>
    <row r="429" spans="1:2" x14ac:dyDescent="0.15">
      <c r="A429" s="67" t="s">
        <v>1482</v>
      </c>
      <c r="B429" s="68" t="s">
        <v>1971</v>
      </c>
    </row>
    <row r="430" spans="1:2" x14ac:dyDescent="0.15">
      <c r="A430" s="67" t="s">
        <v>1483</v>
      </c>
      <c r="B430" s="68" t="s">
        <v>1972</v>
      </c>
    </row>
    <row r="431" spans="1:2" x14ac:dyDescent="0.15">
      <c r="A431" s="67" t="s">
        <v>1484</v>
      </c>
      <c r="B431" s="68" t="s">
        <v>1973</v>
      </c>
    </row>
    <row r="432" spans="1:2" x14ac:dyDescent="0.15">
      <c r="A432" s="67" t="s">
        <v>1485</v>
      </c>
      <c r="B432" s="68" t="s">
        <v>1974</v>
      </c>
    </row>
    <row r="433" spans="1:2" x14ac:dyDescent="0.15">
      <c r="A433" s="67" t="s">
        <v>1486</v>
      </c>
      <c r="B433" s="68" t="s">
        <v>1681</v>
      </c>
    </row>
    <row r="434" spans="1:2" x14ac:dyDescent="0.15">
      <c r="A434" s="67" t="s">
        <v>1487</v>
      </c>
      <c r="B434" s="68" t="s">
        <v>1682</v>
      </c>
    </row>
    <row r="435" spans="1:2" x14ac:dyDescent="0.15">
      <c r="A435" s="67" t="s">
        <v>1488</v>
      </c>
      <c r="B435" s="68" t="s">
        <v>1683</v>
      </c>
    </row>
    <row r="436" spans="1:2" x14ac:dyDescent="0.15">
      <c r="A436" s="67" t="s">
        <v>1489</v>
      </c>
      <c r="B436" s="68" t="s">
        <v>1975</v>
      </c>
    </row>
    <row r="437" spans="1:2" x14ac:dyDescent="0.15">
      <c r="A437" s="67" t="s">
        <v>1490</v>
      </c>
      <c r="B437" s="68" t="s">
        <v>1976</v>
      </c>
    </row>
    <row r="438" spans="1:2" x14ac:dyDescent="0.15">
      <c r="A438" s="67" t="s">
        <v>1491</v>
      </c>
      <c r="B438" s="68" t="s">
        <v>1977</v>
      </c>
    </row>
    <row r="439" spans="1:2" x14ac:dyDescent="0.15">
      <c r="A439" s="67" t="s">
        <v>1492</v>
      </c>
      <c r="B439" s="68" t="s">
        <v>1978</v>
      </c>
    </row>
    <row r="440" spans="1:2" x14ac:dyDescent="0.15">
      <c r="A440" s="67" t="s">
        <v>1493</v>
      </c>
      <c r="B440" s="68" t="s">
        <v>1979</v>
      </c>
    </row>
    <row r="441" spans="1:2" x14ac:dyDescent="0.15">
      <c r="A441" s="67" t="s">
        <v>1494</v>
      </c>
      <c r="B441" s="68" t="s">
        <v>1980</v>
      </c>
    </row>
    <row r="442" spans="1:2" x14ac:dyDescent="0.15">
      <c r="A442" s="67" t="s">
        <v>1495</v>
      </c>
      <c r="B442" s="68" t="s">
        <v>1685</v>
      </c>
    </row>
    <row r="443" spans="1:2" x14ac:dyDescent="0.15">
      <c r="A443" s="67" t="s">
        <v>1496</v>
      </c>
      <c r="B443" s="68" t="s">
        <v>1981</v>
      </c>
    </row>
    <row r="444" spans="1:2" x14ac:dyDescent="0.15">
      <c r="A444" s="67" t="s">
        <v>1497</v>
      </c>
      <c r="B444" s="68" t="s">
        <v>1982</v>
      </c>
    </row>
    <row r="445" spans="1:2" x14ac:dyDescent="0.15">
      <c r="A445" s="67" t="s">
        <v>1498</v>
      </c>
      <c r="B445" s="68" t="s">
        <v>1983</v>
      </c>
    </row>
    <row r="446" spans="1:2" x14ac:dyDescent="0.15">
      <c r="A446" s="67" t="s">
        <v>1499</v>
      </c>
      <c r="B446" s="68" t="s">
        <v>1686</v>
      </c>
    </row>
    <row r="447" spans="1:2" x14ac:dyDescent="0.15">
      <c r="A447" s="67" t="s">
        <v>1500</v>
      </c>
      <c r="B447" s="68" t="s">
        <v>1749</v>
      </c>
    </row>
    <row r="448" spans="1:2" x14ac:dyDescent="0.15">
      <c r="A448" s="67" t="s">
        <v>1501</v>
      </c>
      <c r="B448" s="68" t="s">
        <v>1984</v>
      </c>
    </row>
    <row r="449" spans="1:2" x14ac:dyDescent="0.15">
      <c r="A449" s="67" t="s">
        <v>1502</v>
      </c>
      <c r="B449" s="68" t="s">
        <v>1688</v>
      </c>
    </row>
    <row r="450" spans="1:2" x14ac:dyDescent="0.15">
      <c r="A450" s="67" t="s">
        <v>1503</v>
      </c>
      <c r="B450" s="68" t="s">
        <v>1985</v>
      </c>
    </row>
    <row r="451" spans="1:2" x14ac:dyDescent="0.15">
      <c r="A451" s="67" t="s">
        <v>1504</v>
      </c>
      <c r="B451" s="68" t="s">
        <v>1986</v>
      </c>
    </row>
    <row r="452" spans="1:2" x14ac:dyDescent="0.15">
      <c r="A452" s="67" t="s">
        <v>1505</v>
      </c>
      <c r="B452" s="68" t="s">
        <v>1689</v>
      </c>
    </row>
    <row r="453" spans="1:2" x14ac:dyDescent="0.15">
      <c r="A453" s="67" t="s">
        <v>1506</v>
      </c>
      <c r="B453" s="68" t="s">
        <v>1987</v>
      </c>
    </row>
    <row r="454" spans="1:2" x14ac:dyDescent="0.15">
      <c r="A454" s="67" t="s">
        <v>1507</v>
      </c>
      <c r="B454" s="68" t="s">
        <v>1988</v>
      </c>
    </row>
    <row r="455" spans="1:2" x14ac:dyDescent="0.15">
      <c r="A455" s="67" t="s">
        <v>1508</v>
      </c>
      <c r="B455" s="68" t="s">
        <v>1989</v>
      </c>
    </row>
    <row r="456" spans="1:2" x14ac:dyDescent="0.15">
      <c r="A456" s="67" t="s">
        <v>1509</v>
      </c>
      <c r="B456" s="68" t="s">
        <v>1990</v>
      </c>
    </row>
    <row r="457" spans="1:2" x14ac:dyDescent="0.15">
      <c r="A457" s="67" t="s">
        <v>1510</v>
      </c>
      <c r="B457" s="68" t="s">
        <v>1991</v>
      </c>
    </row>
    <row r="458" spans="1:2" x14ac:dyDescent="0.15">
      <c r="A458" s="67" t="s">
        <v>1511</v>
      </c>
      <c r="B458" s="68" t="s">
        <v>1992</v>
      </c>
    </row>
    <row r="459" spans="1:2" x14ac:dyDescent="0.15">
      <c r="A459" s="67" t="s">
        <v>1512</v>
      </c>
      <c r="B459" s="68" t="s">
        <v>1693</v>
      </c>
    </row>
    <row r="460" spans="1:2" x14ac:dyDescent="0.15">
      <c r="A460" s="67" t="s">
        <v>1513</v>
      </c>
      <c r="B460" s="68" t="s">
        <v>1694</v>
      </c>
    </row>
    <row r="461" spans="1:2" x14ac:dyDescent="0.15">
      <c r="A461" s="67" t="s">
        <v>1514</v>
      </c>
      <c r="B461" s="68" t="s">
        <v>1695</v>
      </c>
    </row>
    <row r="462" spans="1:2" x14ac:dyDescent="0.15">
      <c r="A462" s="67" t="s">
        <v>1515</v>
      </c>
      <c r="B462" s="68" t="s">
        <v>1696</v>
      </c>
    </row>
    <row r="463" spans="1:2" x14ac:dyDescent="0.15">
      <c r="A463" s="67" t="s">
        <v>1516</v>
      </c>
      <c r="B463" s="68" t="s">
        <v>1697</v>
      </c>
    </row>
    <row r="464" spans="1:2" x14ac:dyDescent="0.15">
      <c r="A464" s="67" t="s">
        <v>1517</v>
      </c>
      <c r="B464" s="68" t="s">
        <v>1993</v>
      </c>
    </row>
    <row r="465" spans="1:2" x14ac:dyDescent="0.15">
      <c r="A465" s="67" t="s">
        <v>1518</v>
      </c>
      <c r="B465" s="68" t="s">
        <v>1994</v>
      </c>
    </row>
    <row r="466" spans="1:2" x14ac:dyDescent="0.15">
      <c r="A466" s="67" t="s">
        <v>1519</v>
      </c>
      <c r="B466" s="68" t="s">
        <v>1699</v>
      </c>
    </row>
    <row r="467" spans="1:2" x14ac:dyDescent="0.15">
      <c r="A467" s="67" t="s">
        <v>1520</v>
      </c>
      <c r="B467" s="68" t="s">
        <v>1995</v>
      </c>
    </row>
    <row r="468" spans="1:2" x14ac:dyDescent="0.15">
      <c r="A468" s="67" t="s">
        <v>1521</v>
      </c>
      <c r="B468" s="68" t="s">
        <v>1996</v>
      </c>
    </row>
    <row r="469" spans="1:2" x14ac:dyDescent="0.15">
      <c r="A469" s="67" t="s">
        <v>1522</v>
      </c>
      <c r="B469" s="68" t="s">
        <v>1702</v>
      </c>
    </row>
    <row r="470" spans="1:2" x14ac:dyDescent="0.15">
      <c r="A470" s="67" t="s">
        <v>1523</v>
      </c>
      <c r="B470" s="68" t="s">
        <v>1703</v>
      </c>
    </row>
    <row r="471" spans="1:2" x14ac:dyDescent="0.15">
      <c r="A471" s="67" t="s">
        <v>1524</v>
      </c>
      <c r="B471" s="68" t="s">
        <v>1704</v>
      </c>
    </row>
    <row r="472" spans="1:2" x14ac:dyDescent="0.15">
      <c r="A472" s="67" t="s">
        <v>1525</v>
      </c>
      <c r="B472" s="68" t="s">
        <v>1997</v>
      </c>
    </row>
    <row r="473" spans="1:2" x14ac:dyDescent="0.15">
      <c r="A473" s="67" t="s">
        <v>1526</v>
      </c>
      <c r="B473" s="68" t="s">
        <v>1705</v>
      </c>
    </row>
    <row r="474" spans="1:2" x14ac:dyDescent="0.15">
      <c r="A474" s="67" t="s">
        <v>1527</v>
      </c>
      <c r="B474" s="68" t="s">
        <v>1706</v>
      </c>
    </row>
    <row r="475" spans="1:2" x14ac:dyDescent="0.15">
      <c r="A475" s="67" t="s">
        <v>1528</v>
      </c>
      <c r="B475" s="68" t="s">
        <v>1707</v>
      </c>
    </row>
    <row r="476" spans="1:2" x14ac:dyDescent="0.15">
      <c r="A476" s="67" t="s">
        <v>1529</v>
      </c>
      <c r="B476" s="68" t="s">
        <v>1998</v>
      </c>
    </row>
    <row r="477" spans="1:2" x14ac:dyDescent="0.15">
      <c r="A477" s="67" t="s">
        <v>1530</v>
      </c>
      <c r="B477" s="68" t="s">
        <v>1999</v>
      </c>
    </row>
    <row r="478" spans="1:2" x14ac:dyDescent="0.15">
      <c r="A478" s="67" t="s">
        <v>1531</v>
      </c>
      <c r="B478" s="68" t="s">
        <v>2000</v>
      </c>
    </row>
    <row r="479" spans="1:2" x14ac:dyDescent="0.15">
      <c r="A479" s="67" t="s">
        <v>1532</v>
      </c>
      <c r="B479" s="68" t="s">
        <v>1708</v>
      </c>
    </row>
    <row r="480" spans="1:2" x14ac:dyDescent="0.15">
      <c r="A480" s="67" t="s">
        <v>1533</v>
      </c>
      <c r="B480" s="68" t="s">
        <v>1709</v>
      </c>
    </row>
    <row r="481" spans="1:2" x14ac:dyDescent="0.15">
      <c r="A481" s="67" t="s">
        <v>1534</v>
      </c>
      <c r="B481" s="68" t="s">
        <v>2001</v>
      </c>
    </row>
    <row r="482" spans="1:2" x14ac:dyDescent="0.15">
      <c r="A482" s="67" t="s">
        <v>1535</v>
      </c>
      <c r="B482" s="68" t="s">
        <v>2002</v>
      </c>
    </row>
    <row r="483" spans="1:2" x14ac:dyDescent="0.15">
      <c r="A483" s="67" t="s">
        <v>1536</v>
      </c>
      <c r="B483" s="68" t="s">
        <v>1621</v>
      </c>
    </row>
    <row r="484" spans="1:2" x14ac:dyDescent="0.15">
      <c r="A484" s="67" t="s">
        <v>1537</v>
      </c>
      <c r="B484" s="68" t="s">
        <v>2003</v>
      </c>
    </row>
    <row r="485" spans="1:2" x14ac:dyDescent="0.15">
      <c r="A485" s="67" t="s">
        <v>1538</v>
      </c>
      <c r="B485" s="68" t="s">
        <v>2004</v>
      </c>
    </row>
    <row r="486" spans="1:2" x14ac:dyDescent="0.15">
      <c r="A486" s="67" t="s">
        <v>1539</v>
      </c>
      <c r="B486" s="68" t="s">
        <v>2005</v>
      </c>
    </row>
    <row r="487" spans="1:2" x14ac:dyDescent="0.15">
      <c r="A487" s="67" t="s">
        <v>1540</v>
      </c>
      <c r="B487" s="68" t="s">
        <v>2006</v>
      </c>
    </row>
    <row r="488" spans="1:2" x14ac:dyDescent="0.15">
      <c r="A488" s="67" t="s">
        <v>1541</v>
      </c>
      <c r="B488" s="68" t="s">
        <v>2007</v>
      </c>
    </row>
    <row r="489" spans="1:2" x14ac:dyDescent="0.15">
      <c r="A489" s="67" t="s">
        <v>1542</v>
      </c>
      <c r="B489" s="68" t="s">
        <v>2008</v>
      </c>
    </row>
    <row r="490" spans="1:2" x14ac:dyDescent="0.15">
      <c r="A490" s="67" t="s">
        <v>1543</v>
      </c>
      <c r="B490" s="68" t="s">
        <v>2007</v>
      </c>
    </row>
    <row r="491" spans="1:2" x14ac:dyDescent="0.15">
      <c r="A491" s="67" t="s">
        <v>1544</v>
      </c>
      <c r="B491" s="68" t="s">
        <v>1790</v>
      </c>
    </row>
    <row r="492" spans="1:2" x14ac:dyDescent="0.15">
      <c r="A492" s="67" t="s">
        <v>1545</v>
      </c>
      <c r="B492" s="68" t="s">
        <v>2009</v>
      </c>
    </row>
    <row r="493" spans="1:2" x14ac:dyDescent="0.15">
      <c r="A493" s="67" t="s">
        <v>1545</v>
      </c>
      <c r="B493" s="68" t="s">
        <v>2010</v>
      </c>
    </row>
    <row r="494" spans="1:2" x14ac:dyDescent="0.15">
      <c r="A494" s="67" t="s">
        <v>1546</v>
      </c>
      <c r="B494" s="68" t="s">
        <v>2011</v>
      </c>
    </row>
    <row r="495" spans="1:2" x14ac:dyDescent="0.15">
      <c r="A495" s="67" t="s">
        <v>1547</v>
      </c>
      <c r="B495" s="68" t="s">
        <v>2012</v>
      </c>
    </row>
    <row r="496" spans="1:2" x14ac:dyDescent="0.15">
      <c r="A496" s="67" t="s">
        <v>1548</v>
      </c>
      <c r="B496" s="68" t="s">
        <v>2013</v>
      </c>
    </row>
    <row r="497" spans="1:2" x14ac:dyDescent="0.15">
      <c r="A497" s="67" t="s">
        <v>1549</v>
      </c>
      <c r="B497" s="68" t="s">
        <v>2014</v>
      </c>
    </row>
    <row r="498" spans="1:2" x14ac:dyDescent="0.15">
      <c r="A498" s="67" t="s">
        <v>1550</v>
      </c>
      <c r="B498" s="68" t="s">
        <v>2015</v>
      </c>
    </row>
    <row r="499" spans="1:2" x14ac:dyDescent="0.15">
      <c r="A499" s="67" t="s">
        <v>1551</v>
      </c>
      <c r="B499" s="68" t="s">
        <v>2016</v>
      </c>
    </row>
    <row r="500" spans="1:2" x14ac:dyDescent="0.15">
      <c r="A500" s="67" t="s">
        <v>1552</v>
      </c>
      <c r="B500" s="68" t="s">
        <v>2017</v>
      </c>
    </row>
    <row r="501" spans="1:2" x14ac:dyDescent="0.15">
      <c r="A501" s="67" t="s">
        <v>1553</v>
      </c>
      <c r="B501" s="68" t="s">
        <v>2018</v>
      </c>
    </row>
    <row r="502" spans="1:2" x14ac:dyDescent="0.15">
      <c r="A502" s="67" t="s">
        <v>1554</v>
      </c>
      <c r="B502" s="68" t="s">
        <v>2019</v>
      </c>
    </row>
    <row r="503" spans="1:2" x14ac:dyDescent="0.15">
      <c r="A503" s="67" t="s">
        <v>1555</v>
      </c>
      <c r="B503" s="68" t="s">
        <v>2020</v>
      </c>
    </row>
    <row r="504" spans="1:2" x14ac:dyDescent="0.15">
      <c r="A504" s="67" t="s">
        <v>1556</v>
      </c>
      <c r="B504" s="68" t="s">
        <v>2021</v>
      </c>
    </row>
    <row r="505" spans="1:2" x14ac:dyDescent="0.15">
      <c r="A505" s="67" t="s">
        <v>1557</v>
      </c>
      <c r="B505" s="68" t="s">
        <v>2022</v>
      </c>
    </row>
    <row r="506" spans="1:2" x14ac:dyDescent="0.15">
      <c r="A506" s="67" t="s">
        <v>1558</v>
      </c>
      <c r="B506" s="68" t="s">
        <v>2023</v>
      </c>
    </row>
    <row r="507" spans="1:2" x14ac:dyDescent="0.15">
      <c r="A507" s="67" t="s">
        <v>1559</v>
      </c>
      <c r="B507" s="68" t="s">
        <v>2024</v>
      </c>
    </row>
    <row r="508" spans="1:2" x14ac:dyDescent="0.15">
      <c r="A508" s="67" t="s">
        <v>1560</v>
      </c>
      <c r="B508" s="68" t="s">
        <v>2025</v>
      </c>
    </row>
    <row r="509" spans="1:2" x14ac:dyDescent="0.15">
      <c r="A509" s="67" t="s">
        <v>1561</v>
      </c>
      <c r="B509" s="68" t="s">
        <v>2026</v>
      </c>
    </row>
    <row r="510" spans="1:2" x14ac:dyDescent="0.15">
      <c r="A510" s="67" t="s">
        <v>1562</v>
      </c>
      <c r="B510" s="68" t="s">
        <v>2027</v>
      </c>
    </row>
    <row r="511" spans="1:2" x14ac:dyDescent="0.15">
      <c r="A511" s="67" t="s">
        <v>1563</v>
      </c>
      <c r="B511" s="68" t="s">
        <v>2028</v>
      </c>
    </row>
    <row r="512" spans="1:2" x14ac:dyDescent="0.15">
      <c r="A512" s="67" t="s">
        <v>1564</v>
      </c>
      <c r="B512" s="68" t="s">
        <v>2029</v>
      </c>
    </row>
    <row r="513" spans="1:2" x14ac:dyDescent="0.15">
      <c r="A513" s="67" t="s">
        <v>1565</v>
      </c>
      <c r="B513" s="68" t="s">
        <v>2006</v>
      </c>
    </row>
    <row r="514" spans="1:2" x14ac:dyDescent="0.15">
      <c r="A514" s="67" t="s">
        <v>1566</v>
      </c>
      <c r="B514" s="68" t="s">
        <v>2030</v>
      </c>
    </row>
    <row r="515" spans="1:2" x14ac:dyDescent="0.15">
      <c r="A515" s="67" t="s">
        <v>1567</v>
      </c>
      <c r="B515" s="68" t="s">
        <v>2031</v>
      </c>
    </row>
    <row r="516" spans="1:2" x14ac:dyDescent="0.15">
      <c r="A516" s="67" t="s">
        <v>1568</v>
      </c>
      <c r="B516" s="68" t="s">
        <v>2032</v>
      </c>
    </row>
    <row r="517" spans="1:2" x14ac:dyDescent="0.15">
      <c r="A517" s="67" t="s">
        <v>1569</v>
      </c>
      <c r="B517" s="68" t="s">
        <v>2033</v>
      </c>
    </row>
    <row r="518" spans="1:2" x14ac:dyDescent="0.15">
      <c r="A518" s="67" t="s">
        <v>1570</v>
      </c>
      <c r="B518" s="68" t="s">
        <v>2034</v>
      </c>
    </row>
    <row r="519" spans="1:2" x14ac:dyDescent="0.15">
      <c r="A519" s="67" t="s">
        <v>1571</v>
      </c>
      <c r="B519" s="68" t="s">
        <v>2035</v>
      </c>
    </row>
    <row r="520" spans="1:2" x14ac:dyDescent="0.15">
      <c r="A520" s="67" t="s">
        <v>1572</v>
      </c>
      <c r="B520" s="68" t="s">
        <v>2036</v>
      </c>
    </row>
    <row r="521" spans="1:2" x14ac:dyDescent="0.15">
      <c r="A521" s="67" t="s">
        <v>1573</v>
      </c>
      <c r="B521" s="68" t="s">
        <v>2037</v>
      </c>
    </row>
    <row r="522" spans="1:2" x14ac:dyDescent="0.15">
      <c r="A522" s="67" t="s">
        <v>1574</v>
      </c>
      <c r="B522" s="68" t="s">
        <v>2038</v>
      </c>
    </row>
    <row r="523" spans="1:2" x14ac:dyDescent="0.15">
      <c r="A523" s="67" t="s">
        <v>1575</v>
      </c>
      <c r="B523" s="68" t="s">
        <v>2039</v>
      </c>
    </row>
    <row r="524" spans="1:2" x14ac:dyDescent="0.15">
      <c r="A524" s="67" t="s">
        <v>1576</v>
      </c>
      <c r="B524" s="68" t="s">
        <v>2040</v>
      </c>
    </row>
    <row r="525" spans="1:2" x14ac:dyDescent="0.15">
      <c r="A525" s="67" t="s">
        <v>1577</v>
      </c>
      <c r="B525" s="68" t="s">
        <v>1621</v>
      </c>
    </row>
    <row r="526" spans="1:2" x14ac:dyDescent="0.15">
      <c r="A526" s="67" t="s">
        <v>1578</v>
      </c>
      <c r="B526" s="68" t="s">
        <v>1744</v>
      </c>
    </row>
    <row r="527" spans="1:2" x14ac:dyDescent="0.15">
      <c r="A527" s="67" t="s">
        <v>1579</v>
      </c>
      <c r="B527" s="68" t="s">
        <v>2041</v>
      </c>
    </row>
    <row r="528" spans="1:2" x14ac:dyDescent="0.15">
      <c r="A528" s="67" t="s">
        <v>1580</v>
      </c>
      <c r="B528" s="68" t="s">
        <v>2042</v>
      </c>
    </row>
    <row r="529" spans="1:2" x14ac:dyDescent="0.15">
      <c r="A529" s="67" t="s">
        <v>1581</v>
      </c>
      <c r="B529" s="68" t="s">
        <v>1744</v>
      </c>
    </row>
    <row r="530" spans="1:2" x14ac:dyDescent="0.15">
      <c r="A530" s="67" t="s">
        <v>1582</v>
      </c>
      <c r="B530" s="68" t="s">
        <v>2043</v>
      </c>
    </row>
    <row r="531" spans="1:2" x14ac:dyDescent="0.15">
      <c r="A531" s="67" t="s">
        <v>1582</v>
      </c>
      <c r="B531" s="68" t="s">
        <v>2044</v>
      </c>
    </row>
    <row r="532" spans="1:2" x14ac:dyDescent="0.15">
      <c r="A532" s="67" t="s">
        <v>1583</v>
      </c>
      <c r="B532" s="68" t="s">
        <v>2045</v>
      </c>
    </row>
    <row r="533" spans="1:2" x14ac:dyDescent="0.15">
      <c r="A533" s="67" t="s">
        <v>1584</v>
      </c>
      <c r="B533" s="68" t="s">
        <v>2046</v>
      </c>
    </row>
    <row r="534" spans="1:2" x14ac:dyDescent="0.15">
      <c r="A534" s="67" t="s">
        <v>1585</v>
      </c>
      <c r="B534" s="68" t="s">
        <v>1621</v>
      </c>
    </row>
    <row r="535" spans="1:2" x14ac:dyDescent="0.15">
      <c r="A535" s="67" t="s">
        <v>1586</v>
      </c>
      <c r="B535" s="68" t="s">
        <v>2047</v>
      </c>
    </row>
    <row r="536" spans="1:2" x14ac:dyDescent="0.15">
      <c r="A536" s="67" t="s">
        <v>1587</v>
      </c>
      <c r="B536" s="68" t="s">
        <v>2048</v>
      </c>
    </row>
    <row r="537" spans="1:2" x14ac:dyDescent="0.15">
      <c r="A537" s="67" t="s">
        <v>1588</v>
      </c>
      <c r="B537" s="68" t="s">
        <v>2034</v>
      </c>
    </row>
    <row r="538" spans="1:2" x14ac:dyDescent="0.15">
      <c r="A538" s="67" t="s">
        <v>1589</v>
      </c>
      <c r="B538" s="68" t="s">
        <v>2049</v>
      </c>
    </row>
    <row r="540" spans="1:2" x14ac:dyDescent="0.15">
      <c r="A540" s="69"/>
      <c r="B540" s="69"/>
    </row>
    <row r="541" spans="1:2" x14ac:dyDescent="0.15">
      <c r="A541" s="69"/>
      <c r="B541" s="69"/>
    </row>
    <row r="542" spans="1:2" x14ac:dyDescent="0.15">
      <c r="A542" s="69"/>
      <c r="B542" s="69"/>
    </row>
    <row r="543" spans="1:2" x14ac:dyDescent="0.15">
      <c r="A543" s="69"/>
      <c r="B543" s="69"/>
    </row>
    <row r="544" spans="1:2" x14ac:dyDescent="0.15">
      <c r="A544" s="69"/>
      <c r="B544" s="69"/>
    </row>
    <row r="545" s="69" customFormat="1" x14ac:dyDescent="0.15"/>
    <row r="546" s="69" customFormat="1" x14ac:dyDescent="0.15"/>
    <row r="547" s="69" customFormat="1" x14ac:dyDescent="0.15"/>
    <row r="548" s="69" customFormat="1" x14ac:dyDescent="0.15"/>
    <row r="549" s="69" customFormat="1" x14ac:dyDescent="0.15"/>
    <row r="550" s="69" customFormat="1" x14ac:dyDescent="0.15"/>
    <row r="551" s="69" customFormat="1" x14ac:dyDescent="0.15"/>
    <row r="552" s="69" customFormat="1" x14ac:dyDescent="0.15"/>
    <row r="553" s="69" customFormat="1" x14ac:dyDescent="0.15"/>
    <row r="554" s="69" customFormat="1" x14ac:dyDescent="0.15"/>
    <row r="555" s="69" customFormat="1" x14ac:dyDescent="0.15"/>
    <row r="556" s="69" customFormat="1" x14ac:dyDescent="0.15"/>
    <row r="557" s="69" customFormat="1" x14ac:dyDescent="0.15"/>
    <row r="558" s="69" customFormat="1" x14ac:dyDescent="0.15"/>
    <row r="559" s="69" customFormat="1" x14ac:dyDescent="0.15"/>
    <row r="560" s="69" customFormat="1" x14ac:dyDescent="0.15"/>
    <row r="561" s="69" customFormat="1" x14ac:dyDescent="0.15"/>
    <row r="562" s="69" customFormat="1" x14ac:dyDescent="0.15"/>
    <row r="563" s="69" customFormat="1" x14ac:dyDescent="0.15"/>
    <row r="564" s="69" customFormat="1" x14ac:dyDescent="0.15"/>
    <row r="565" s="69" customFormat="1" x14ac:dyDescent="0.15"/>
    <row r="566" s="69" customFormat="1" x14ac:dyDescent="0.15"/>
    <row r="567" s="69" customFormat="1" x14ac:dyDescent="0.15"/>
    <row r="568" s="69" customFormat="1" x14ac:dyDescent="0.15"/>
    <row r="569" s="69" customFormat="1" x14ac:dyDescent="0.15"/>
    <row r="570" s="69" customFormat="1" x14ac:dyDescent="0.15"/>
    <row r="571" s="69" customFormat="1" x14ac:dyDescent="0.15"/>
    <row r="572" s="69" customFormat="1" x14ac:dyDescent="0.15"/>
    <row r="573" s="69" customFormat="1" x14ac:dyDescent="0.15"/>
    <row r="574" s="69" customFormat="1" x14ac:dyDescent="0.15"/>
    <row r="575" s="69" customFormat="1" x14ac:dyDescent="0.15"/>
    <row r="576" s="69" customFormat="1" x14ac:dyDescent="0.15"/>
    <row r="577" s="69" customFormat="1" x14ac:dyDescent="0.15"/>
    <row r="578" s="69" customFormat="1" x14ac:dyDescent="0.15"/>
    <row r="579" s="69" customFormat="1" x14ac:dyDescent="0.15"/>
    <row r="580" s="69" customFormat="1" x14ac:dyDescent="0.15"/>
    <row r="581" s="69" customFormat="1" x14ac:dyDescent="0.15"/>
    <row r="582" s="69" customFormat="1" x14ac:dyDescent="0.15"/>
    <row r="583" s="69" customFormat="1" x14ac:dyDescent="0.15"/>
    <row r="584" s="69" customFormat="1" x14ac:dyDescent="0.15"/>
    <row r="585" s="69" customFormat="1" x14ac:dyDescent="0.15"/>
    <row r="586" s="69" customFormat="1" x14ac:dyDescent="0.15"/>
    <row r="587" s="69" customFormat="1" x14ac:dyDescent="0.15"/>
    <row r="588" s="69" customFormat="1" x14ac:dyDescent="0.15"/>
    <row r="589" s="69" customFormat="1" x14ac:dyDescent="0.15"/>
    <row r="590" s="69" customFormat="1" x14ac:dyDescent="0.15"/>
    <row r="591" s="69" customFormat="1" x14ac:dyDescent="0.15"/>
    <row r="592" s="69" customFormat="1" x14ac:dyDescent="0.15"/>
    <row r="593" s="69" customFormat="1" x14ac:dyDescent="0.15"/>
    <row r="594" s="69" customFormat="1" x14ac:dyDescent="0.15"/>
    <row r="595" s="69" customFormat="1" x14ac:dyDescent="0.15"/>
    <row r="596" s="69" customFormat="1" x14ac:dyDescent="0.15"/>
    <row r="597" s="69" customFormat="1" x14ac:dyDescent="0.15"/>
    <row r="598" s="69" customFormat="1" x14ac:dyDescent="0.15"/>
    <row r="599" s="69" customFormat="1" x14ac:dyDescent="0.15"/>
    <row r="600" s="69" customFormat="1" x14ac:dyDescent="0.15"/>
    <row r="601" s="69" customFormat="1" x14ac:dyDescent="0.15"/>
    <row r="602" s="69" customFormat="1" x14ac:dyDescent="0.15"/>
    <row r="603" s="69" customFormat="1" x14ac:dyDescent="0.15"/>
    <row r="604" s="69" customFormat="1" x14ac:dyDescent="0.15"/>
    <row r="605" s="69" customFormat="1" x14ac:dyDescent="0.15"/>
    <row r="606" s="69" customFormat="1" x14ac:dyDescent="0.15"/>
    <row r="607" s="69" customFormat="1" x14ac:dyDescent="0.15"/>
    <row r="608" s="69" customFormat="1" x14ac:dyDescent="0.15"/>
    <row r="609" s="69" customFormat="1" x14ac:dyDescent="0.15"/>
    <row r="610" s="69" customFormat="1" x14ac:dyDescent="0.15"/>
    <row r="611" s="69" customFormat="1" x14ac:dyDescent="0.15"/>
    <row r="612" s="69" customFormat="1" x14ac:dyDescent="0.15"/>
    <row r="613" s="69" customFormat="1" x14ac:dyDescent="0.15"/>
    <row r="614" s="69" customFormat="1" x14ac:dyDescent="0.15"/>
    <row r="615" s="69" customFormat="1" x14ac:dyDescent="0.15"/>
    <row r="616" s="69" customFormat="1" x14ac:dyDescent="0.15"/>
    <row r="617" s="69" customFormat="1" x14ac:dyDescent="0.15"/>
    <row r="618" s="69" customFormat="1" x14ac:dyDescent="0.15"/>
    <row r="619" s="69" customFormat="1" x14ac:dyDescent="0.15"/>
    <row r="620" s="69" customFormat="1" x14ac:dyDescent="0.15"/>
    <row r="621" s="69" customFormat="1" x14ac:dyDescent="0.15"/>
    <row r="622" s="69" customFormat="1" x14ac:dyDescent="0.15"/>
    <row r="623" s="69" customFormat="1" x14ac:dyDescent="0.15"/>
    <row r="624" s="69" customFormat="1" x14ac:dyDescent="0.15"/>
    <row r="625" s="69" customFormat="1" x14ac:dyDescent="0.15"/>
    <row r="626" s="69" customFormat="1" x14ac:dyDescent="0.15"/>
    <row r="627" s="69" customFormat="1" x14ac:dyDescent="0.15"/>
    <row r="628" s="69" customFormat="1" x14ac:dyDescent="0.15"/>
    <row r="629" s="69" customFormat="1" x14ac:dyDescent="0.15"/>
    <row r="630" s="69" customFormat="1" x14ac:dyDescent="0.15"/>
    <row r="631" s="69" customFormat="1" x14ac:dyDescent="0.15"/>
    <row r="632" s="69" customFormat="1" x14ac:dyDescent="0.15"/>
    <row r="633" s="69" customFormat="1" x14ac:dyDescent="0.15"/>
    <row r="634" s="69" customFormat="1" x14ac:dyDescent="0.15"/>
    <row r="635" s="69" customFormat="1" x14ac:dyDescent="0.15"/>
    <row r="636" s="69" customFormat="1" x14ac:dyDescent="0.15"/>
    <row r="637" s="69" customFormat="1" x14ac:dyDescent="0.15"/>
    <row r="638" s="69" customFormat="1" x14ac:dyDescent="0.15"/>
    <row r="639" s="69" customFormat="1" x14ac:dyDescent="0.15"/>
    <row r="640" s="69" customFormat="1" x14ac:dyDescent="0.15"/>
    <row r="641" s="69" customFormat="1" x14ac:dyDescent="0.15"/>
    <row r="642" s="69" customFormat="1" x14ac:dyDescent="0.15"/>
    <row r="643" s="69" customFormat="1" x14ac:dyDescent="0.15"/>
    <row r="644" s="69" customFormat="1" x14ac:dyDescent="0.15"/>
    <row r="645" s="69" customFormat="1" x14ac:dyDescent="0.15"/>
    <row r="646" s="69" customFormat="1" x14ac:dyDescent="0.15"/>
    <row r="647" s="69" customFormat="1" x14ac:dyDescent="0.15"/>
    <row r="648" s="69" customFormat="1" x14ac:dyDescent="0.15"/>
    <row r="649" s="69" customFormat="1" x14ac:dyDescent="0.15"/>
    <row r="650" s="69" customFormat="1" x14ac:dyDescent="0.15"/>
    <row r="651" s="69" customFormat="1" x14ac:dyDescent="0.15"/>
    <row r="652" s="69" customFormat="1" x14ac:dyDescent="0.15"/>
    <row r="653" s="69" customFormat="1" x14ac:dyDescent="0.15"/>
    <row r="654" s="69" customFormat="1" x14ac:dyDescent="0.15"/>
    <row r="655" s="69" customFormat="1" x14ac:dyDescent="0.15"/>
    <row r="656" s="69" customFormat="1" x14ac:dyDescent="0.15"/>
    <row r="657" s="69" customFormat="1" x14ac:dyDescent="0.15"/>
    <row r="658" s="69" customFormat="1" x14ac:dyDescent="0.15"/>
    <row r="659" s="69" customFormat="1" x14ac:dyDescent="0.15"/>
    <row r="660" s="69" customFormat="1" x14ac:dyDescent="0.15"/>
    <row r="661" s="69" customFormat="1" x14ac:dyDescent="0.15"/>
    <row r="662" s="69" customFormat="1" x14ac:dyDescent="0.15"/>
    <row r="663" s="69" customFormat="1" x14ac:dyDescent="0.15"/>
    <row r="664" s="69" customFormat="1" x14ac:dyDescent="0.15"/>
    <row r="665" s="69" customFormat="1" x14ac:dyDescent="0.15"/>
    <row r="666" s="69" customFormat="1" x14ac:dyDescent="0.15"/>
    <row r="667" s="69" customFormat="1" x14ac:dyDescent="0.15"/>
    <row r="668" s="69" customFormat="1" x14ac:dyDescent="0.15"/>
    <row r="669" s="69" customFormat="1" x14ac:dyDescent="0.15"/>
    <row r="670" s="69" customFormat="1" x14ac:dyDescent="0.15"/>
    <row r="671" s="69" customFormat="1" x14ac:dyDescent="0.15"/>
    <row r="672" s="69" customFormat="1" x14ac:dyDescent="0.15"/>
    <row r="673" s="69" customFormat="1" x14ac:dyDescent="0.15"/>
    <row r="674" s="69" customFormat="1" x14ac:dyDescent="0.15"/>
    <row r="675" s="69" customFormat="1" x14ac:dyDescent="0.15"/>
    <row r="676" s="69" customFormat="1" x14ac:dyDescent="0.15"/>
    <row r="677" s="69" customFormat="1" x14ac:dyDescent="0.15"/>
    <row r="678" s="69" customFormat="1" x14ac:dyDescent="0.15"/>
    <row r="679" s="69" customFormat="1" x14ac:dyDescent="0.15"/>
    <row r="680" s="69" customFormat="1" x14ac:dyDescent="0.15"/>
    <row r="681" s="69" customFormat="1" x14ac:dyDescent="0.15"/>
    <row r="682" s="69" customFormat="1" x14ac:dyDescent="0.15"/>
    <row r="683" s="69" customFormat="1" x14ac:dyDescent="0.15"/>
    <row r="684" s="69" customFormat="1" x14ac:dyDescent="0.15"/>
    <row r="685" s="69" customFormat="1" x14ac:dyDescent="0.15"/>
    <row r="686" s="69" customFormat="1" x14ac:dyDescent="0.15"/>
    <row r="687" s="69" customFormat="1" x14ac:dyDescent="0.15"/>
    <row r="688" s="69" customFormat="1" x14ac:dyDescent="0.15"/>
    <row r="689" s="69" customFormat="1" x14ac:dyDescent="0.15"/>
    <row r="690" s="69" customFormat="1" x14ac:dyDescent="0.15"/>
    <row r="691" s="69" customFormat="1" x14ac:dyDescent="0.15"/>
    <row r="692" s="69" customFormat="1" x14ac:dyDescent="0.15"/>
    <row r="693" s="69" customFormat="1" x14ac:dyDescent="0.15"/>
    <row r="694" s="69" customFormat="1" x14ac:dyDescent="0.15"/>
    <row r="695" s="69" customFormat="1" x14ac:dyDescent="0.15"/>
    <row r="696" s="69" customFormat="1" x14ac:dyDescent="0.15"/>
    <row r="697" s="69" customFormat="1" x14ac:dyDescent="0.15"/>
    <row r="698" s="69" customFormat="1" x14ac:dyDescent="0.15"/>
    <row r="699" s="69" customFormat="1" x14ac:dyDescent="0.15"/>
    <row r="700" s="69" customFormat="1" x14ac:dyDescent="0.15"/>
    <row r="701" s="69" customFormat="1" x14ac:dyDescent="0.15"/>
    <row r="702" s="69" customFormat="1" x14ac:dyDescent="0.15"/>
    <row r="703" s="69" customFormat="1" x14ac:dyDescent="0.15"/>
    <row r="704" s="69" customFormat="1" x14ac:dyDescent="0.15"/>
    <row r="705" s="69" customFormat="1" x14ac:dyDescent="0.15"/>
    <row r="706" s="69" customFormat="1" x14ac:dyDescent="0.15"/>
    <row r="707" s="69" customFormat="1" x14ac:dyDescent="0.15"/>
    <row r="708" s="69" customFormat="1" x14ac:dyDescent="0.15"/>
    <row r="709" s="69" customFormat="1" x14ac:dyDescent="0.15"/>
    <row r="710" s="69" customFormat="1" x14ac:dyDescent="0.15"/>
    <row r="711" s="69" customFormat="1" x14ac:dyDescent="0.15"/>
    <row r="712" s="69" customFormat="1" x14ac:dyDescent="0.15"/>
    <row r="713" s="69" customFormat="1" x14ac:dyDescent="0.15"/>
    <row r="714" s="69" customFormat="1" x14ac:dyDescent="0.15"/>
    <row r="715" s="69" customFormat="1" x14ac:dyDescent="0.15"/>
    <row r="716" s="69" customFormat="1" x14ac:dyDescent="0.15"/>
    <row r="717" s="69" customFormat="1" x14ac:dyDescent="0.15"/>
    <row r="718" s="69" customFormat="1" x14ac:dyDescent="0.15"/>
    <row r="719" s="69" customFormat="1" x14ac:dyDescent="0.15"/>
    <row r="720" s="69" customFormat="1" x14ac:dyDescent="0.15"/>
    <row r="721" s="69" customFormat="1" x14ac:dyDescent="0.15"/>
    <row r="722" s="69" customFormat="1" x14ac:dyDescent="0.15"/>
    <row r="723" s="69" customFormat="1" x14ac:dyDescent="0.15"/>
    <row r="724" s="69" customFormat="1" x14ac:dyDescent="0.15"/>
    <row r="725" s="69" customFormat="1" x14ac:dyDescent="0.15"/>
    <row r="726" s="69" customFormat="1" x14ac:dyDescent="0.15"/>
    <row r="727" s="69" customFormat="1" x14ac:dyDescent="0.15"/>
    <row r="728" s="69" customFormat="1" x14ac:dyDescent="0.15"/>
    <row r="729" s="69" customFormat="1" x14ac:dyDescent="0.15"/>
    <row r="730" s="69" customFormat="1" x14ac:dyDescent="0.15"/>
    <row r="731" s="69" customFormat="1" x14ac:dyDescent="0.15"/>
    <row r="732" s="69" customFormat="1" x14ac:dyDescent="0.15"/>
    <row r="733" s="69" customFormat="1" x14ac:dyDescent="0.15"/>
    <row r="734" s="69" customFormat="1" x14ac:dyDescent="0.15"/>
    <row r="735" s="69" customFormat="1" x14ac:dyDescent="0.15"/>
    <row r="736" s="69" customFormat="1" x14ac:dyDescent="0.15"/>
    <row r="737" s="69" customFormat="1" x14ac:dyDescent="0.15"/>
    <row r="738" s="69" customFormat="1" x14ac:dyDescent="0.15"/>
    <row r="739" s="69" customFormat="1" x14ac:dyDescent="0.15"/>
    <row r="740" s="69" customFormat="1" x14ac:dyDescent="0.15"/>
    <row r="741" s="69" customFormat="1" x14ac:dyDescent="0.15"/>
    <row r="742" s="69" customFormat="1" x14ac:dyDescent="0.15"/>
    <row r="743" s="69" customFormat="1" x14ac:dyDescent="0.15"/>
    <row r="744" s="69" customFormat="1" x14ac:dyDescent="0.15"/>
    <row r="745" s="69" customFormat="1" x14ac:dyDescent="0.15"/>
    <row r="746" s="69" customFormat="1" x14ac:dyDescent="0.15"/>
    <row r="747" s="69" customFormat="1" x14ac:dyDescent="0.15"/>
    <row r="748" s="69" customFormat="1" x14ac:dyDescent="0.15"/>
    <row r="749" s="69" customFormat="1" x14ac:dyDescent="0.15"/>
    <row r="750" s="69" customFormat="1" x14ac:dyDescent="0.15"/>
    <row r="751" s="69" customFormat="1" x14ac:dyDescent="0.15"/>
    <row r="752" s="69" customFormat="1" x14ac:dyDescent="0.15"/>
    <row r="753" s="69" customFormat="1" x14ac:dyDescent="0.15"/>
    <row r="754" s="69" customFormat="1" x14ac:dyDescent="0.15"/>
    <row r="755" s="69" customFormat="1" x14ac:dyDescent="0.15"/>
    <row r="756" s="69" customFormat="1" x14ac:dyDescent="0.15"/>
    <row r="757" s="69" customFormat="1" x14ac:dyDescent="0.15"/>
    <row r="758" s="69" customFormat="1" x14ac:dyDescent="0.15"/>
    <row r="759" s="69" customFormat="1" x14ac:dyDescent="0.15"/>
    <row r="760" s="69" customFormat="1" x14ac:dyDescent="0.15"/>
    <row r="761" s="69" customFormat="1" x14ac:dyDescent="0.15"/>
    <row r="762" s="69" customFormat="1" x14ac:dyDescent="0.15"/>
    <row r="763" s="69" customFormat="1" x14ac:dyDescent="0.15"/>
    <row r="764" s="69" customFormat="1" x14ac:dyDescent="0.15"/>
    <row r="765" s="69" customFormat="1" x14ac:dyDescent="0.15"/>
    <row r="766" s="69" customFormat="1" x14ac:dyDescent="0.15"/>
    <row r="767" s="69" customFormat="1" x14ac:dyDescent="0.15"/>
    <row r="768" s="69" customFormat="1" x14ac:dyDescent="0.15"/>
    <row r="769" s="69" customFormat="1" x14ac:dyDescent="0.15"/>
    <row r="770" s="69" customFormat="1" x14ac:dyDescent="0.15"/>
    <row r="771" s="69" customFormat="1" x14ac:dyDescent="0.15"/>
    <row r="772" s="69" customFormat="1" x14ac:dyDescent="0.15"/>
    <row r="773" s="69" customFormat="1" x14ac:dyDescent="0.15"/>
    <row r="774" s="69" customFormat="1" x14ac:dyDescent="0.15"/>
    <row r="775" s="69" customFormat="1" x14ac:dyDescent="0.15"/>
    <row r="776" s="69" customFormat="1" x14ac:dyDescent="0.15"/>
    <row r="777" s="69" customFormat="1" x14ac:dyDescent="0.15"/>
    <row r="778" s="69" customFormat="1" x14ac:dyDescent="0.15"/>
    <row r="779" s="69" customFormat="1" x14ac:dyDescent="0.15"/>
    <row r="780" s="69" customFormat="1" x14ac:dyDescent="0.15"/>
    <row r="781" s="69" customFormat="1" x14ac:dyDescent="0.15"/>
    <row r="782" s="69" customFormat="1" x14ac:dyDescent="0.15"/>
    <row r="783" s="69" customFormat="1" x14ac:dyDescent="0.15"/>
    <row r="784" s="69" customFormat="1" x14ac:dyDescent="0.15"/>
    <row r="785" s="69" customFormat="1" x14ac:dyDescent="0.15"/>
    <row r="786" s="69" customFormat="1" x14ac:dyDescent="0.15"/>
    <row r="787" s="69" customFormat="1" x14ac:dyDescent="0.15"/>
    <row r="788" s="69" customFormat="1" x14ac:dyDescent="0.15"/>
    <row r="789" s="69" customFormat="1" x14ac:dyDescent="0.15"/>
    <row r="790" s="69" customFormat="1" x14ac:dyDescent="0.15"/>
    <row r="791" s="69" customFormat="1" x14ac:dyDescent="0.15"/>
    <row r="792" s="69" customFormat="1" x14ac:dyDescent="0.15"/>
    <row r="793" s="69" customFormat="1" x14ac:dyDescent="0.15"/>
    <row r="794" s="69" customFormat="1" x14ac:dyDescent="0.15"/>
    <row r="795" s="69" customFormat="1" x14ac:dyDescent="0.15"/>
    <row r="796" s="69" customFormat="1" x14ac:dyDescent="0.15"/>
    <row r="797" s="69" customFormat="1" x14ac:dyDescent="0.15"/>
    <row r="798" s="69" customFormat="1" x14ac:dyDescent="0.15"/>
    <row r="799" s="69" customFormat="1" x14ac:dyDescent="0.15"/>
    <row r="800" s="69" customFormat="1" x14ac:dyDescent="0.15"/>
    <row r="801" s="69" customFormat="1" x14ac:dyDescent="0.15"/>
    <row r="802" s="69" customFormat="1" x14ac:dyDescent="0.15"/>
    <row r="803" s="69" customFormat="1" x14ac:dyDescent="0.15"/>
    <row r="804" s="69" customFormat="1" x14ac:dyDescent="0.15"/>
    <row r="805" s="69" customFormat="1" x14ac:dyDescent="0.15"/>
    <row r="806" s="69" customFormat="1" x14ac:dyDescent="0.15"/>
    <row r="807" s="69" customFormat="1" x14ac:dyDescent="0.15"/>
    <row r="808" s="69" customFormat="1" x14ac:dyDescent="0.15"/>
    <row r="809" s="69" customFormat="1" x14ac:dyDescent="0.15"/>
    <row r="810" s="69" customFormat="1" x14ac:dyDescent="0.15"/>
    <row r="811" s="69" customFormat="1" x14ac:dyDescent="0.15"/>
    <row r="812" s="69" customFormat="1" x14ac:dyDescent="0.15"/>
    <row r="813" s="69" customFormat="1" x14ac:dyDescent="0.15"/>
    <row r="814" s="69" customFormat="1" x14ac:dyDescent="0.15"/>
    <row r="815" s="69" customFormat="1" x14ac:dyDescent="0.15"/>
    <row r="816" s="69" customFormat="1" x14ac:dyDescent="0.15"/>
    <row r="817" s="69" customFormat="1" x14ac:dyDescent="0.15"/>
    <row r="818" s="69" customFormat="1" x14ac:dyDescent="0.15"/>
    <row r="819" s="69" customFormat="1" x14ac:dyDescent="0.15"/>
    <row r="820" s="69" customFormat="1" x14ac:dyDescent="0.15"/>
    <row r="821" s="69" customFormat="1" x14ac:dyDescent="0.15"/>
    <row r="822" s="69" customFormat="1" x14ac:dyDescent="0.15"/>
    <row r="823" s="69" customFormat="1" x14ac:dyDescent="0.15"/>
    <row r="824" s="69" customFormat="1" x14ac:dyDescent="0.15"/>
    <row r="825" s="69" customFormat="1" x14ac:dyDescent="0.15"/>
    <row r="826" s="69" customFormat="1" x14ac:dyDescent="0.15"/>
    <row r="827" s="69" customFormat="1" x14ac:dyDescent="0.15"/>
    <row r="828" s="69" customFormat="1" x14ac:dyDescent="0.15"/>
    <row r="829" s="69" customFormat="1" x14ac:dyDescent="0.15"/>
    <row r="830" s="69" customFormat="1" x14ac:dyDescent="0.15"/>
    <row r="831" s="69" customFormat="1" x14ac:dyDescent="0.15"/>
    <row r="832" s="69" customFormat="1" x14ac:dyDescent="0.15"/>
    <row r="833" s="69" customFormat="1" x14ac:dyDescent="0.15"/>
    <row r="834" s="69" customFormat="1" x14ac:dyDescent="0.15"/>
    <row r="835" s="69" customFormat="1" x14ac:dyDescent="0.15"/>
    <row r="836" s="69" customFormat="1" x14ac:dyDescent="0.15"/>
    <row r="837" s="69" customFormat="1" x14ac:dyDescent="0.15"/>
    <row r="838" s="69" customFormat="1" x14ac:dyDescent="0.15"/>
    <row r="839" s="69" customFormat="1" x14ac:dyDescent="0.15"/>
    <row r="840" s="69" customFormat="1" x14ac:dyDescent="0.15"/>
    <row r="841" s="69" customFormat="1" x14ac:dyDescent="0.15"/>
    <row r="842" s="69" customFormat="1" x14ac:dyDescent="0.15"/>
    <row r="843" s="69" customFormat="1" x14ac:dyDescent="0.15"/>
    <row r="844" s="69" customFormat="1" x14ac:dyDescent="0.15"/>
    <row r="845" s="69" customFormat="1" x14ac:dyDescent="0.15"/>
    <row r="846" s="69" customFormat="1" x14ac:dyDescent="0.15"/>
    <row r="847" s="69" customFormat="1" x14ac:dyDescent="0.15"/>
    <row r="848" s="69" customFormat="1" x14ac:dyDescent="0.15"/>
    <row r="849" s="69" customFormat="1" x14ac:dyDescent="0.15"/>
    <row r="850" s="69" customFormat="1" x14ac:dyDescent="0.15"/>
    <row r="851" s="69" customFormat="1" x14ac:dyDescent="0.15"/>
    <row r="852" s="69" customFormat="1" x14ac:dyDescent="0.15"/>
    <row r="853" s="69" customFormat="1" x14ac:dyDescent="0.15"/>
    <row r="854" s="69" customFormat="1" x14ac:dyDescent="0.15"/>
    <row r="855" s="69" customFormat="1" x14ac:dyDescent="0.15"/>
    <row r="856" s="69" customFormat="1" x14ac:dyDescent="0.15"/>
    <row r="857" s="69" customFormat="1" x14ac:dyDescent="0.15"/>
    <row r="858" s="69" customFormat="1" x14ac:dyDescent="0.15"/>
    <row r="859" s="69" customFormat="1" x14ac:dyDescent="0.15"/>
    <row r="860" s="69" customFormat="1" x14ac:dyDescent="0.15"/>
    <row r="861" s="69" customFormat="1" x14ac:dyDescent="0.15"/>
    <row r="862" s="69" customFormat="1" x14ac:dyDescent="0.15"/>
    <row r="863" s="69" customFormat="1" x14ac:dyDescent="0.15"/>
    <row r="864" s="69" customFormat="1" x14ac:dyDescent="0.15"/>
    <row r="865" s="69" customFormat="1" x14ac:dyDescent="0.15"/>
    <row r="866" s="69" customFormat="1" x14ac:dyDescent="0.15"/>
    <row r="867" s="69" customFormat="1" x14ac:dyDescent="0.15"/>
    <row r="868" s="69" customFormat="1" x14ac:dyDescent="0.15"/>
    <row r="869" s="69" customFormat="1" x14ac:dyDescent="0.15"/>
    <row r="870" s="69" customFormat="1" x14ac:dyDescent="0.15"/>
    <row r="871" s="69" customFormat="1" x14ac:dyDescent="0.15"/>
    <row r="872" s="69" customFormat="1" x14ac:dyDescent="0.15"/>
    <row r="873" s="69" customFormat="1" x14ac:dyDescent="0.15"/>
    <row r="874" s="69" customFormat="1" x14ac:dyDescent="0.15"/>
    <row r="875" s="69" customFormat="1" x14ac:dyDescent="0.15"/>
    <row r="876" s="69" customFormat="1" x14ac:dyDescent="0.15"/>
    <row r="877" s="69" customFormat="1" x14ac:dyDescent="0.15"/>
    <row r="878" s="69" customFormat="1" x14ac:dyDescent="0.15"/>
    <row r="879" s="69" customFormat="1" x14ac:dyDescent="0.15"/>
    <row r="880" s="69" customFormat="1" x14ac:dyDescent="0.15"/>
    <row r="881" s="69" customFormat="1" x14ac:dyDescent="0.15"/>
    <row r="882" s="69" customFormat="1" x14ac:dyDescent="0.15"/>
    <row r="883" s="69" customFormat="1" x14ac:dyDescent="0.15"/>
    <row r="884" s="69" customFormat="1" x14ac:dyDescent="0.15"/>
    <row r="885" s="69" customFormat="1" x14ac:dyDescent="0.15"/>
    <row r="886" s="69" customFormat="1" x14ac:dyDescent="0.15"/>
    <row r="887" s="69" customFormat="1" x14ac:dyDescent="0.15"/>
    <row r="888" s="69" customFormat="1" x14ac:dyDescent="0.15"/>
    <row r="889" s="69" customFormat="1" x14ac:dyDescent="0.15"/>
    <row r="890" s="69" customFormat="1" x14ac:dyDescent="0.15"/>
    <row r="891" s="69" customFormat="1" x14ac:dyDescent="0.15"/>
    <row r="892" s="69" customFormat="1" x14ac:dyDescent="0.15"/>
    <row r="893" s="69" customFormat="1" x14ac:dyDescent="0.15"/>
    <row r="894" s="69" customFormat="1" x14ac:dyDescent="0.15"/>
    <row r="895" s="69" customFormat="1" x14ac:dyDescent="0.15"/>
    <row r="896" s="69" customFormat="1" x14ac:dyDescent="0.15"/>
    <row r="897" s="69" customFormat="1" x14ac:dyDescent="0.15"/>
    <row r="898" s="69" customFormat="1" x14ac:dyDescent="0.15"/>
    <row r="899" s="69" customFormat="1" x14ac:dyDescent="0.15"/>
    <row r="900" s="69" customFormat="1" x14ac:dyDescent="0.15"/>
    <row r="901" s="69" customFormat="1" x14ac:dyDescent="0.15"/>
    <row r="902" s="69" customFormat="1" x14ac:dyDescent="0.15"/>
    <row r="903" s="69" customFormat="1" x14ac:dyDescent="0.15"/>
    <row r="904" s="69" customFormat="1" x14ac:dyDescent="0.15"/>
    <row r="905" s="69" customFormat="1" x14ac:dyDescent="0.15"/>
    <row r="906" s="69" customFormat="1" x14ac:dyDescent="0.15"/>
    <row r="907" s="69" customFormat="1" x14ac:dyDescent="0.15"/>
    <row r="908" s="69" customFormat="1" x14ac:dyDescent="0.15"/>
    <row r="909" s="69" customFormat="1" x14ac:dyDescent="0.15"/>
    <row r="910" s="69" customFormat="1" x14ac:dyDescent="0.15"/>
    <row r="911" s="69" customFormat="1" x14ac:dyDescent="0.15"/>
    <row r="912" s="69" customFormat="1" x14ac:dyDescent="0.15"/>
    <row r="913" s="69" customFormat="1" x14ac:dyDescent="0.15"/>
    <row r="914" s="69" customFormat="1" x14ac:dyDescent="0.15"/>
    <row r="915" s="69" customFormat="1" x14ac:dyDescent="0.15"/>
    <row r="916" s="69" customFormat="1" x14ac:dyDescent="0.15"/>
    <row r="917" s="69" customFormat="1" x14ac:dyDescent="0.15"/>
    <row r="918" s="69" customFormat="1" x14ac:dyDescent="0.15"/>
    <row r="919" s="69" customFormat="1" x14ac:dyDescent="0.15"/>
    <row r="920" s="69" customFormat="1" x14ac:dyDescent="0.15"/>
    <row r="921" s="69" customFormat="1" x14ac:dyDescent="0.15"/>
    <row r="922" s="69" customFormat="1" x14ac:dyDescent="0.15"/>
    <row r="923" s="69" customFormat="1" x14ac:dyDescent="0.15"/>
    <row r="924" s="69" customFormat="1" x14ac:dyDescent="0.15"/>
    <row r="925" s="69" customFormat="1" x14ac:dyDescent="0.15"/>
    <row r="926" s="69" customFormat="1" x14ac:dyDescent="0.15"/>
    <row r="927" s="69" customFormat="1" x14ac:dyDescent="0.15"/>
    <row r="928" s="69" customFormat="1" x14ac:dyDescent="0.15"/>
    <row r="929" s="69" customFormat="1" x14ac:dyDescent="0.15"/>
    <row r="930" s="69" customFormat="1" x14ac:dyDescent="0.15"/>
    <row r="931" s="69" customFormat="1" x14ac:dyDescent="0.15"/>
    <row r="932" s="69" customFormat="1" x14ac:dyDescent="0.15"/>
    <row r="933" s="69" customFormat="1" x14ac:dyDescent="0.15"/>
    <row r="934" s="69" customFormat="1" x14ac:dyDescent="0.15"/>
    <row r="935" s="69" customFormat="1" x14ac:dyDescent="0.15"/>
    <row r="936" s="69" customFormat="1" x14ac:dyDescent="0.15"/>
    <row r="937" s="69" customFormat="1" x14ac:dyDescent="0.15"/>
    <row r="938" s="69" customFormat="1" x14ac:dyDescent="0.15"/>
    <row r="939" s="69" customFormat="1" x14ac:dyDescent="0.15"/>
    <row r="940" s="69" customFormat="1" x14ac:dyDescent="0.15"/>
    <row r="941" s="69" customFormat="1" x14ac:dyDescent="0.15"/>
    <row r="942" s="69" customFormat="1" x14ac:dyDescent="0.15"/>
    <row r="943" s="69" customFormat="1" x14ac:dyDescent="0.15"/>
    <row r="944" s="69" customFormat="1" x14ac:dyDescent="0.15"/>
    <row r="945" s="69" customFormat="1" x14ac:dyDescent="0.15"/>
    <row r="946" s="69" customFormat="1" x14ac:dyDescent="0.15"/>
    <row r="947" s="69" customFormat="1" x14ac:dyDescent="0.15"/>
    <row r="948" s="69" customFormat="1" x14ac:dyDescent="0.15"/>
    <row r="949" s="69" customFormat="1" x14ac:dyDescent="0.15"/>
    <row r="950" s="69" customFormat="1" x14ac:dyDescent="0.15"/>
    <row r="951" s="69" customFormat="1" x14ac:dyDescent="0.15"/>
    <row r="952" s="69" customFormat="1" x14ac:dyDescent="0.15"/>
    <row r="953" s="69" customFormat="1" x14ac:dyDescent="0.15"/>
    <row r="954" s="69" customFormat="1" x14ac:dyDescent="0.15"/>
    <row r="955" s="69" customFormat="1" x14ac:dyDescent="0.15"/>
    <row r="956" s="69" customFormat="1" x14ac:dyDescent="0.15"/>
    <row r="957" s="69" customFormat="1" x14ac:dyDescent="0.15"/>
    <row r="958" s="69" customFormat="1" x14ac:dyDescent="0.15"/>
    <row r="959" s="69" customFormat="1" x14ac:dyDescent="0.15"/>
    <row r="960" s="69" customFormat="1" x14ac:dyDescent="0.15"/>
    <row r="961" s="69" customFormat="1" x14ac:dyDescent="0.15"/>
    <row r="962" s="69" customFormat="1" x14ac:dyDescent="0.15"/>
    <row r="963" s="69" customFormat="1" x14ac:dyDescent="0.15"/>
    <row r="964" s="69" customFormat="1" x14ac:dyDescent="0.15"/>
    <row r="965" s="69" customFormat="1" x14ac:dyDescent="0.15"/>
    <row r="966" s="69" customFormat="1" x14ac:dyDescent="0.15"/>
    <row r="967" s="69" customFormat="1" x14ac:dyDescent="0.15"/>
    <row r="968" s="69" customFormat="1" x14ac:dyDescent="0.15"/>
    <row r="969" s="69" customFormat="1" x14ac:dyDescent="0.15"/>
    <row r="970" s="69" customFormat="1" x14ac:dyDescent="0.15"/>
    <row r="971" s="69" customFormat="1" x14ac:dyDescent="0.15"/>
    <row r="972" s="69" customFormat="1" x14ac:dyDescent="0.15"/>
    <row r="973" s="69" customFormat="1" x14ac:dyDescent="0.15"/>
    <row r="974" s="69" customFormat="1" x14ac:dyDescent="0.15"/>
    <row r="975" s="69" customFormat="1" x14ac:dyDescent="0.15"/>
    <row r="976" s="69" customFormat="1" x14ac:dyDescent="0.15"/>
    <row r="977" s="69" customFormat="1" x14ac:dyDescent="0.15"/>
    <row r="978" s="69" customFormat="1" x14ac:dyDescent="0.15"/>
    <row r="979" s="69" customFormat="1" x14ac:dyDescent="0.15"/>
    <row r="980" s="69" customFormat="1" x14ac:dyDescent="0.15"/>
    <row r="981" s="69" customFormat="1" x14ac:dyDescent="0.15"/>
    <row r="982" s="69" customFormat="1" x14ac:dyDescent="0.15"/>
    <row r="983" s="69" customFormat="1" x14ac:dyDescent="0.15"/>
    <row r="984" s="69" customFormat="1" x14ac:dyDescent="0.15"/>
    <row r="985" s="69" customFormat="1" x14ac:dyDescent="0.15"/>
    <row r="986" s="69" customFormat="1" x14ac:dyDescent="0.15"/>
    <row r="987" s="69" customFormat="1" x14ac:dyDescent="0.15"/>
    <row r="988" s="69" customFormat="1" x14ac:dyDescent="0.15"/>
    <row r="989" s="69" customFormat="1" x14ac:dyDescent="0.15"/>
    <row r="990" s="69" customFormat="1" x14ac:dyDescent="0.15"/>
    <row r="991" s="69" customFormat="1" x14ac:dyDescent="0.15"/>
    <row r="992" s="69" customFormat="1" x14ac:dyDescent="0.15"/>
    <row r="993" s="69" customFormat="1" x14ac:dyDescent="0.15"/>
    <row r="994" s="69" customFormat="1" x14ac:dyDescent="0.15"/>
    <row r="995" s="69" customFormat="1" x14ac:dyDescent="0.15"/>
    <row r="996" s="69" customFormat="1" x14ac:dyDescent="0.15"/>
    <row r="997" s="69" customFormat="1" x14ac:dyDescent="0.15"/>
    <row r="998" s="69" customFormat="1" x14ac:dyDescent="0.15"/>
    <row r="999" s="69" customFormat="1" x14ac:dyDescent="0.15"/>
    <row r="1000" s="69" customFormat="1" x14ac:dyDescent="0.15"/>
    <row r="1001" s="69" customFormat="1" x14ac:dyDescent="0.15"/>
    <row r="1002" s="69" customFormat="1" x14ac:dyDescent="0.15"/>
    <row r="1003" s="69" customFormat="1" x14ac:dyDescent="0.15"/>
    <row r="1004" s="69" customFormat="1" x14ac:dyDescent="0.15"/>
    <row r="1005" s="69" customFormat="1" x14ac:dyDescent="0.15"/>
    <row r="1006" s="69" customFormat="1" x14ac:dyDescent="0.15"/>
    <row r="1007" s="69" customFormat="1" x14ac:dyDescent="0.15"/>
    <row r="1008" s="69" customFormat="1" x14ac:dyDescent="0.15"/>
    <row r="1009" s="69" customFormat="1" x14ac:dyDescent="0.15"/>
    <row r="1010" s="69" customFormat="1" x14ac:dyDescent="0.15"/>
    <row r="1011" s="69" customFormat="1" x14ac:dyDescent="0.15"/>
    <row r="1012" s="69" customFormat="1" x14ac:dyDescent="0.15"/>
    <row r="1013" s="69" customFormat="1" x14ac:dyDescent="0.15"/>
    <row r="1014" s="69" customFormat="1" x14ac:dyDescent="0.15"/>
    <row r="1015" s="69" customFormat="1" x14ac:dyDescent="0.15"/>
    <row r="1016" s="69" customFormat="1" x14ac:dyDescent="0.15"/>
    <row r="1017" s="69" customFormat="1" x14ac:dyDescent="0.15"/>
    <row r="1018" s="69" customFormat="1" x14ac:dyDescent="0.15"/>
    <row r="1019" s="69" customFormat="1" x14ac:dyDescent="0.15"/>
    <row r="1020" s="69" customFormat="1" x14ac:dyDescent="0.15"/>
    <row r="1021" s="69" customFormat="1" x14ac:dyDescent="0.15"/>
    <row r="1022" s="69" customFormat="1" x14ac:dyDescent="0.15"/>
    <row r="1023" s="69" customFormat="1" x14ac:dyDescent="0.15"/>
    <row r="1024" s="69" customFormat="1" x14ac:dyDescent="0.15"/>
    <row r="1025" s="69" customFormat="1" x14ac:dyDescent="0.15"/>
    <row r="1026" s="69" customFormat="1" x14ac:dyDescent="0.15"/>
    <row r="1027" s="69" customFormat="1" x14ac:dyDescent="0.15"/>
    <row r="1028" s="69" customFormat="1" x14ac:dyDescent="0.15"/>
    <row r="1029" s="69" customFormat="1" x14ac:dyDescent="0.15"/>
    <row r="1030" s="69" customFormat="1" x14ac:dyDescent="0.15"/>
    <row r="1031" s="69" customFormat="1" x14ac:dyDescent="0.15"/>
    <row r="1032" s="69" customFormat="1" x14ac:dyDescent="0.15"/>
    <row r="1033" s="69" customFormat="1" x14ac:dyDescent="0.15"/>
    <row r="1034" s="69" customFormat="1" x14ac:dyDescent="0.15"/>
    <row r="1035" s="69" customFormat="1" x14ac:dyDescent="0.15"/>
    <row r="1036" s="69" customFormat="1" x14ac:dyDescent="0.15"/>
    <row r="1037" s="69" customFormat="1" x14ac:dyDescent="0.15"/>
    <row r="1038" s="69" customFormat="1" x14ac:dyDescent="0.15"/>
    <row r="1039" s="69" customFormat="1" x14ac:dyDescent="0.15"/>
    <row r="1040" s="69" customFormat="1" x14ac:dyDescent="0.15"/>
    <row r="1041" s="69" customFormat="1" x14ac:dyDescent="0.15"/>
    <row r="1042" s="69" customFormat="1" x14ac:dyDescent="0.15"/>
    <row r="1043" s="69" customFormat="1" x14ac:dyDescent="0.15"/>
    <row r="1044" s="69" customFormat="1" x14ac:dyDescent="0.15"/>
    <row r="1045" s="69" customFormat="1" x14ac:dyDescent="0.15"/>
    <row r="1046" s="69" customFormat="1" x14ac:dyDescent="0.15"/>
    <row r="1047" s="69" customFormat="1" x14ac:dyDescent="0.15"/>
    <row r="1048" s="69" customFormat="1" x14ac:dyDescent="0.15"/>
    <row r="1049" s="69" customFormat="1" x14ac:dyDescent="0.15"/>
    <row r="1050" s="69" customFormat="1" x14ac:dyDescent="0.15"/>
    <row r="1051" s="69" customFormat="1" x14ac:dyDescent="0.15"/>
    <row r="1052" s="69" customFormat="1" x14ac:dyDescent="0.15"/>
    <row r="1053" s="69" customFormat="1" x14ac:dyDescent="0.15"/>
    <row r="1054" s="69" customFormat="1" x14ac:dyDescent="0.15"/>
    <row r="1055" s="69" customFormat="1" x14ac:dyDescent="0.15"/>
    <row r="1056" s="69" customFormat="1" x14ac:dyDescent="0.15"/>
    <row r="1057" s="69" customFormat="1" x14ac:dyDescent="0.15"/>
    <row r="1058" s="69" customFormat="1" x14ac:dyDescent="0.15"/>
    <row r="1059" s="69" customFormat="1" x14ac:dyDescent="0.15"/>
    <row r="1060" s="69" customFormat="1" x14ac:dyDescent="0.15"/>
    <row r="1061" s="69" customFormat="1" x14ac:dyDescent="0.15"/>
    <row r="1062" s="69" customFormat="1" x14ac:dyDescent="0.15"/>
    <row r="1063" s="69" customFormat="1" x14ac:dyDescent="0.15"/>
    <row r="1064" s="69" customFormat="1" x14ac:dyDescent="0.15"/>
    <row r="1065" s="69" customFormat="1" x14ac:dyDescent="0.15"/>
    <row r="1066" s="69" customFormat="1" x14ac:dyDescent="0.15"/>
    <row r="1067" s="69" customFormat="1" x14ac:dyDescent="0.15"/>
    <row r="1068" s="69" customFormat="1" x14ac:dyDescent="0.15"/>
    <row r="1069" s="69" customFormat="1" x14ac:dyDescent="0.15"/>
    <row r="1070" s="69" customFormat="1" x14ac:dyDescent="0.15"/>
    <row r="1071" s="69" customFormat="1" x14ac:dyDescent="0.15"/>
    <row r="1072" s="69" customFormat="1" x14ac:dyDescent="0.15"/>
    <row r="1073" s="69" customFormat="1" x14ac:dyDescent="0.15"/>
    <row r="1074" s="69" customFormat="1" x14ac:dyDescent="0.15"/>
    <row r="1075" s="69" customFormat="1" x14ac:dyDescent="0.15"/>
    <row r="1076" s="69" customFormat="1" x14ac:dyDescent="0.15"/>
    <row r="1077" s="69" customFormat="1" x14ac:dyDescent="0.15"/>
    <row r="1078" s="69" customFormat="1" x14ac:dyDescent="0.15"/>
    <row r="1079" s="69" customFormat="1" x14ac:dyDescent="0.15"/>
    <row r="1080" s="69" customFormat="1" x14ac:dyDescent="0.15"/>
    <row r="1081" s="69" customFormat="1" x14ac:dyDescent="0.15"/>
    <row r="1082" s="69" customFormat="1" x14ac:dyDescent="0.15"/>
    <row r="1083" s="69" customFormat="1" x14ac:dyDescent="0.15"/>
    <row r="1084" s="69" customFormat="1" x14ac:dyDescent="0.15"/>
    <row r="1085" s="69" customFormat="1" x14ac:dyDescent="0.15"/>
    <row r="1086" s="69" customFormat="1" x14ac:dyDescent="0.15"/>
    <row r="1087" s="69" customFormat="1" x14ac:dyDescent="0.15"/>
    <row r="1088" s="69" customFormat="1" x14ac:dyDescent="0.15"/>
    <row r="1089" s="69" customFormat="1" x14ac:dyDescent="0.15"/>
    <row r="1090" s="69" customFormat="1" x14ac:dyDescent="0.15"/>
    <row r="1091" s="69" customFormat="1" x14ac:dyDescent="0.15"/>
    <row r="1092" s="69" customFormat="1" x14ac:dyDescent="0.15"/>
    <row r="1093" s="69" customFormat="1" x14ac:dyDescent="0.15"/>
    <row r="1094" s="69" customFormat="1" x14ac:dyDescent="0.15"/>
    <row r="1095" s="69" customFormat="1" x14ac:dyDescent="0.15"/>
    <row r="1096" s="69" customFormat="1" x14ac:dyDescent="0.15"/>
    <row r="1097" s="69" customFormat="1" x14ac:dyDescent="0.15"/>
    <row r="1098" s="69" customFormat="1" x14ac:dyDescent="0.15"/>
    <row r="1099" s="69" customFormat="1" x14ac:dyDescent="0.15"/>
    <row r="1100" s="69" customFormat="1" x14ac:dyDescent="0.15"/>
    <row r="1101" s="69" customFormat="1" x14ac:dyDescent="0.15"/>
    <row r="1102" s="69" customFormat="1" x14ac:dyDescent="0.15"/>
    <row r="1103" s="69" customFormat="1" x14ac:dyDescent="0.15"/>
    <row r="1104" s="69" customFormat="1" x14ac:dyDescent="0.15"/>
    <row r="1105" s="69" customFormat="1" x14ac:dyDescent="0.15"/>
    <row r="1106" s="69" customFormat="1" x14ac:dyDescent="0.15"/>
    <row r="1107" s="69" customFormat="1" x14ac:dyDescent="0.15"/>
    <row r="1108" s="69" customFormat="1" x14ac:dyDescent="0.15"/>
    <row r="1109" s="69" customFormat="1" x14ac:dyDescent="0.15"/>
    <row r="1110" s="69" customFormat="1" x14ac:dyDescent="0.15"/>
    <row r="1111" s="69" customFormat="1" x14ac:dyDescent="0.15"/>
    <row r="1112" s="69" customFormat="1" x14ac:dyDescent="0.15"/>
    <row r="1113" s="69" customFormat="1" x14ac:dyDescent="0.15"/>
    <row r="1114" s="69" customFormat="1" x14ac:dyDescent="0.15"/>
    <row r="1115" s="69" customFormat="1" x14ac:dyDescent="0.15"/>
    <row r="1116" s="69" customFormat="1" x14ac:dyDescent="0.15"/>
    <row r="1117" s="69" customFormat="1" x14ac:dyDescent="0.15"/>
    <row r="1118" s="69" customFormat="1" x14ac:dyDescent="0.15"/>
    <row r="1119" s="69" customFormat="1" x14ac:dyDescent="0.15"/>
    <row r="1120" s="69" customFormat="1" x14ac:dyDescent="0.15"/>
    <row r="1121" s="69" customFormat="1" x14ac:dyDescent="0.15"/>
    <row r="1122" s="69" customFormat="1" x14ac:dyDescent="0.15"/>
    <row r="1123" s="69" customFormat="1" x14ac:dyDescent="0.15"/>
    <row r="1124" s="69" customFormat="1" x14ac:dyDescent="0.15"/>
    <row r="1125" s="69" customFormat="1" x14ac:dyDescent="0.15"/>
    <row r="1126" s="69" customFormat="1" x14ac:dyDescent="0.15"/>
    <row r="1127" s="69" customFormat="1" x14ac:dyDescent="0.15"/>
    <row r="1128" s="69" customFormat="1" x14ac:dyDescent="0.15"/>
    <row r="1129" s="69" customFormat="1" x14ac:dyDescent="0.15"/>
    <row r="1130" s="69" customFormat="1" x14ac:dyDescent="0.15"/>
    <row r="1131" s="69" customFormat="1" x14ac:dyDescent="0.15"/>
    <row r="1132" s="69" customFormat="1" x14ac:dyDescent="0.15"/>
    <row r="1133" s="69" customFormat="1" x14ac:dyDescent="0.15"/>
    <row r="1134" s="69" customFormat="1" x14ac:dyDescent="0.15"/>
    <row r="1135" s="69" customFormat="1" x14ac:dyDescent="0.15"/>
    <row r="1136" s="69" customFormat="1" x14ac:dyDescent="0.15"/>
    <row r="1137" s="69" customFormat="1" x14ac:dyDescent="0.15"/>
    <row r="1138" s="69" customFormat="1" x14ac:dyDescent="0.15"/>
    <row r="1139" s="69" customFormat="1" x14ac:dyDescent="0.15"/>
    <row r="1140" s="69" customFormat="1" x14ac:dyDescent="0.15"/>
    <row r="1141" s="69" customFormat="1" x14ac:dyDescent="0.15"/>
    <row r="1142" s="69" customFormat="1" x14ac:dyDescent="0.15"/>
    <row r="1143" s="69" customFormat="1" x14ac:dyDescent="0.15"/>
    <row r="1144" s="69" customFormat="1" x14ac:dyDescent="0.15"/>
    <row r="1145" s="69" customFormat="1" x14ac:dyDescent="0.15"/>
    <row r="1146" s="69" customFormat="1" x14ac:dyDescent="0.15"/>
    <row r="1147" s="69" customFormat="1" x14ac:dyDescent="0.15"/>
    <row r="1148" s="69" customFormat="1" x14ac:dyDescent="0.15"/>
    <row r="1149" s="69" customFormat="1" x14ac:dyDescent="0.15"/>
    <row r="1150" s="69" customFormat="1" x14ac:dyDescent="0.15"/>
    <row r="1151" s="69" customFormat="1" x14ac:dyDescent="0.15"/>
    <row r="1152" s="69" customFormat="1" x14ac:dyDescent="0.15"/>
    <row r="1153" s="69" customFormat="1" x14ac:dyDescent="0.15"/>
    <row r="1154" s="69" customFormat="1" x14ac:dyDescent="0.15"/>
    <row r="1155" s="69" customFormat="1" x14ac:dyDescent="0.15"/>
    <row r="1156" s="69" customFormat="1" x14ac:dyDescent="0.15"/>
    <row r="1157" s="69" customFormat="1" x14ac:dyDescent="0.15"/>
    <row r="1158" s="69" customFormat="1" x14ac:dyDescent="0.15"/>
    <row r="1159" s="69" customFormat="1" x14ac:dyDescent="0.15"/>
    <row r="1160" s="69" customFormat="1" x14ac:dyDescent="0.15"/>
    <row r="1161" s="69" customFormat="1" x14ac:dyDescent="0.15"/>
    <row r="1162" s="69" customFormat="1" x14ac:dyDescent="0.15"/>
    <row r="1163" s="69" customFormat="1" x14ac:dyDescent="0.15"/>
    <row r="1164" s="69" customFormat="1" x14ac:dyDescent="0.15"/>
    <row r="1165" s="69" customFormat="1" x14ac:dyDescent="0.15"/>
    <row r="1166" s="69" customFormat="1" x14ac:dyDescent="0.15"/>
    <row r="1167" s="69" customFormat="1" x14ac:dyDescent="0.15"/>
    <row r="1168" s="69" customFormat="1" x14ac:dyDescent="0.15"/>
    <row r="1169" s="69" customFormat="1" x14ac:dyDescent="0.15"/>
    <row r="1170" s="69" customFormat="1" x14ac:dyDescent="0.15"/>
    <row r="1171" s="69" customFormat="1" x14ac:dyDescent="0.15"/>
    <row r="1172" s="69" customFormat="1" x14ac:dyDescent="0.15"/>
    <row r="1173" s="69" customFormat="1" x14ac:dyDescent="0.15"/>
    <row r="1174" s="69" customFormat="1" x14ac:dyDescent="0.15"/>
    <row r="1175" s="69" customFormat="1" x14ac:dyDescent="0.15"/>
    <row r="1176" s="69" customFormat="1" x14ac:dyDescent="0.15"/>
    <row r="1177" s="69" customFormat="1" x14ac:dyDescent="0.15"/>
    <row r="1178" s="69" customFormat="1" x14ac:dyDescent="0.15"/>
    <row r="1179" s="69" customFormat="1" x14ac:dyDescent="0.15"/>
    <row r="1180" s="69" customFormat="1" x14ac:dyDescent="0.15"/>
    <row r="1181" s="69" customFormat="1" x14ac:dyDescent="0.15"/>
    <row r="1182" s="69" customFormat="1" x14ac:dyDescent="0.15"/>
    <row r="1183" s="69" customFormat="1" x14ac:dyDescent="0.15"/>
    <row r="1184" s="69" customFormat="1" x14ac:dyDescent="0.15"/>
    <row r="1185" s="69" customFormat="1" x14ac:dyDescent="0.15"/>
    <row r="1186" s="69" customFormat="1" x14ac:dyDescent="0.15"/>
    <row r="1187" s="69" customFormat="1" x14ac:dyDescent="0.15"/>
    <row r="1188" s="69" customFormat="1" x14ac:dyDescent="0.15"/>
    <row r="1189" s="69" customFormat="1" x14ac:dyDescent="0.15"/>
    <row r="1190" s="69" customFormat="1" x14ac:dyDescent="0.15"/>
    <row r="1191" s="69" customFormat="1" x14ac:dyDescent="0.15"/>
    <row r="1192" s="69" customFormat="1" x14ac:dyDescent="0.15"/>
    <row r="1193" s="69" customFormat="1" x14ac:dyDescent="0.15"/>
    <row r="1194" s="69" customFormat="1" x14ac:dyDescent="0.15"/>
    <row r="1195" s="69" customFormat="1" x14ac:dyDescent="0.15"/>
    <row r="1196" s="69" customFormat="1" x14ac:dyDescent="0.15"/>
    <row r="1197" s="69" customFormat="1" x14ac:dyDescent="0.15"/>
    <row r="1198" s="69" customFormat="1" x14ac:dyDescent="0.15"/>
    <row r="1199" s="69" customFormat="1" x14ac:dyDescent="0.15"/>
    <row r="1200" s="69" customFormat="1" x14ac:dyDescent="0.15"/>
    <row r="1201" s="69" customFormat="1" x14ac:dyDescent="0.15"/>
    <row r="1202" s="69" customFormat="1" x14ac:dyDescent="0.15"/>
    <row r="1203" s="69" customFormat="1" x14ac:dyDescent="0.15"/>
    <row r="1204" s="69" customFormat="1" x14ac:dyDescent="0.15"/>
    <row r="1205" s="69" customFormat="1" x14ac:dyDescent="0.15"/>
    <row r="1206" s="69" customFormat="1" x14ac:dyDescent="0.15"/>
    <row r="1207" s="69" customFormat="1" x14ac:dyDescent="0.15"/>
    <row r="1208" s="69" customFormat="1" x14ac:dyDescent="0.15"/>
    <row r="1209" s="69" customFormat="1" x14ac:dyDescent="0.15"/>
    <row r="1210" s="69" customFormat="1" x14ac:dyDescent="0.15"/>
    <row r="1211" s="69" customFormat="1" x14ac:dyDescent="0.15"/>
    <row r="1212" s="69" customFormat="1" x14ac:dyDescent="0.15"/>
    <row r="1213" s="69" customFormat="1" x14ac:dyDescent="0.15"/>
    <row r="1214" s="69" customFormat="1" x14ac:dyDescent="0.15"/>
    <row r="1215" s="69" customFormat="1" x14ac:dyDescent="0.15"/>
    <row r="1216" s="69" customFormat="1" x14ac:dyDescent="0.15"/>
    <row r="1217" s="69" customFormat="1" x14ac:dyDescent="0.15"/>
    <row r="1218" s="69" customFormat="1" x14ac:dyDescent="0.15"/>
    <row r="1219" s="69" customFormat="1" x14ac:dyDescent="0.15"/>
    <row r="1220" s="69" customFormat="1" x14ac:dyDescent="0.15"/>
    <row r="1221" s="69" customFormat="1" x14ac:dyDescent="0.15"/>
    <row r="1222" s="69" customFormat="1" x14ac:dyDescent="0.15"/>
    <row r="1223" s="69" customFormat="1" x14ac:dyDescent="0.15"/>
    <row r="1224" s="69" customFormat="1" x14ac:dyDescent="0.15"/>
    <row r="1225" s="69" customFormat="1" x14ac:dyDescent="0.15"/>
    <row r="1226" s="69" customFormat="1" x14ac:dyDescent="0.15"/>
    <row r="1227" s="69" customFormat="1" x14ac:dyDescent="0.15"/>
    <row r="1228" s="69" customFormat="1" x14ac:dyDescent="0.15"/>
    <row r="1229" s="69" customFormat="1" x14ac:dyDescent="0.15"/>
    <row r="1230" s="69" customFormat="1" x14ac:dyDescent="0.15"/>
    <row r="1231" s="69" customFormat="1" x14ac:dyDescent="0.15"/>
    <row r="1232" s="69" customFormat="1" x14ac:dyDescent="0.15"/>
    <row r="1233" s="69" customFormat="1" x14ac:dyDescent="0.15"/>
    <row r="1234" s="69" customFormat="1" x14ac:dyDescent="0.15"/>
    <row r="1235" s="69" customFormat="1" x14ac:dyDescent="0.15"/>
    <row r="1236" s="69" customFormat="1" x14ac:dyDescent="0.15"/>
    <row r="1237" s="69" customFormat="1" x14ac:dyDescent="0.15"/>
    <row r="1238" s="69" customFormat="1" x14ac:dyDescent="0.15"/>
    <row r="1239" s="69" customFormat="1" x14ac:dyDescent="0.15"/>
    <row r="1240" s="69" customFormat="1" x14ac:dyDescent="0.15"/>
    <row r="1241" s="69" customFormat="1" x14ac:dyDescent="0.15"/>
    <row r="1242" s="69" customFormat="1" x14ac:dyDescent="0.15"/>
    <row r="1243" s="69" customFormat="1" x14ac:dyDescent="0.15"/>
    <row r="1244" s="69" customFormat="1" x14ac:dyDescent="0.15"/>
    <row r="1245" s="69" customFormat="1" x14ac:dyDescent="0.15"/>
    <row r="1246" s="69" customFormat="1" x14ac:dyDescent="0.15"/>
    <row r="1247" s="69" customFormat="1" x14ac:dyDescent="0.15"/>
    <row r="1248" s="69" customFormat="1" x14ac:dyDescent="0.15"/>
    <row r="1249" s="69" customFormat="1" x14ac:dyDescent="0.15"/>
    <row r="1250" s="69" customFormat="1" x14ac:dyDescent="0.15"/>
    <row r="1251" s="69" customFormat="1" x14ac:dyDescent="0.15"/>
    <row r="1252" s="69" customFormat="1" x14ac:dyDescent="0.15"/>
    <row r="1253" s="69" customFormat="1" x14ac:dyDescent="0.15"/>
    <row r="1254" s="69" customFormat="1" x14ac:dyDescent="0.15"/>
    <row r="1255" s="69" customFormat="1" x14ac:dyDescent="0.15"/>
    <row r="1256" s="69" customFormat="1" x14ac:dyDescent="0.15"/>
    <row r="1257" s="69" customFormat="1" x14ac:dyDescent="0.15"/>
    <row r="1258" s="69" customFormat="1" x14ac:dyDescent="0.15"/>
    <row r="1259" s="69" customFormat="1" x14ac:dyDescent="0.15"/>
    <row r="1260" s="69" customFormat="1" x14ac:dyDescent="0.15"/>
    <row r="1261" s="69" customFormat="1" x14ac:dyDescent="0.15"/>
    <row r="1262" s="69" customFormat="1" x14ac:dyDescent="0.15"/>
    <row r="1263" s="69" customFormat="1" x14ac:dyDescent="0.15"/>
    <row r="1264" s="69" customFormat="1" x14ac:dyDescent="0.15"/>
    <row r="1265" s="69" customFormat="1" x14ac:dyDescent="0.15"/>
    <row r="1266" s="69" customFormat="1" x14ac:dyDescent="0.15"/>
    <row r="1267" s="69" customFormat="1" x14ac:dyDescent="0.15"/>
    <row r="1268" s="69" customFormat="1" x14ac:dyDescent="0.15"/>
    <row r="1269" s="69" customFormat="1" x14ac:dyDescent="0.15"/>
    <row r="1270" s="69" customFormat="1" x14ac:dyDescent="0.15"/>
    <row r="1271" s="69" customFormat="1" x14ac:dyDescent="0.15"/>
    <row r="1272" s="69" customFormat="1" x14ac:dyDescent="0.15"/>
    <row r="1273" s="69" customFormat="1" x14ac:dyDescent="0.15"/>
    <row r="1274" s="69" customFormat="1" x14ac:dyDescent="0.15"/>
    <row r="1275" s="69" customFormat="1" x14ac:dyDescent="0.15"/>
    <row r="1276" s="69" customFormat="1" x14ac:dyDescent="0.15"/>
    <row r="1277" s="69" customFormat="1" x14ac:dyDescent="0.15"/>
    <row r="1278" s="69" customFormat="1" x14ac:dyDescent="0.15"/>
    <row r="1279" s="69" customFormat="1" x14ac:dyDescent="0.15"/>
    <row r="1280" s="69" customFormat="1" x14ac:dyDescent="0.15"/>
    <row r="1281" s="69" customFormat="1" x14ac:dyDescent="0.15"/>
    <row r="1282" s="69" customFormat="1" x14ac:dyDescent="0.15"/>
    <row r="1283" s="69" customFormat="1" x14ac:dyDescent="0.15"/>
    <row r="1284" s="69" customFormat="1" x14ac:dyDescent="0.15"/>
    <row r="1285" s="69" customFormat="1" x14ac:dyDescent="0.15"/>
    <row r="1286" s="69" customFormat="1" x14ac:dyDescent="0.15"/>
    <row r="1287" s="69" customFormat="1" x14ac:dyDescent="0.15"/>
    <row r="1288" s="69" customFormat="1" x14ac:dyDescent="0.15"/>
    <row r="1289" s="69" customFormat="1" x14ac:dyDescent="0.15"/>
    <row r="1290" s="69" customFormat="1" x14ac:dyDescent="0.15"/>
    <row r="1291" s="69" customFormat="1" x14ac:dyDescent="0.15"/>
    <row r="1292" s="69" customFormat="1" x14ac:dyDescent="0.15"/>
    <row r="1293" s="69" customFormat="1" x14ac:dyDescent="0.15"/>
    <row r="1294" s="69" customFormat="1" x14ac:dyDescent="0.15"/>
    <row r="1295" s="69" customFormat="1" x14ac:dyDescent="0.15"/>
    <row r="1296" s="69" customFormat="1" x14ac:dyDescent="0.15"/>
    <row r="1297" s="69" customFormat="1" x14ac:dyDescent="0.15"/>
    <row r="1298" s="69" customFormat="1" x14ac:dyDescent="0.15"/>
    <row r="1299" s="69" customFormat="1" x14ac:dyDescent="0.15"/>
    <row r="1300" s="69" customFormat="1" x14ac:dyDescent="0.15"/>
    <row r="1301" s="69" customFormat="1" x14ac:dyDescent="0.15"/>
    <row r="1302" s="69" customFormat="1" x14ac:dyDescent="0.15"/>
    <row r="1303" s="69" customFormat="1" x14ac:dyDescent="0.15"/>
    <row r="1304" s="69" customFormat="1" x14ac:dyDescent="0.15"/>
    <row r="1305" s="69" customFormat="1" x14ac:dyDescent="0.15"/>
    <row r="1306" s="69" customFormat="1" x14ac:dyDescent="0.15"/>
    <row r="1307" s="69" customFormat="1" x14ac:dyDescent="0.15"/>
    <row r="1308" s="69" customFormat="1" x14ac:dyDescent="0.15"/>
    <row r="1309" s="69" customFormat="1" x14ac:dyDescent="0.15"/>
    <row r="1310" s="69" customFormat="1" x14ac:dyDescent="0.15"/>
    <row r="1311" s="69" customFormat="1" x14ac:dyDescent="0.15"/>
    <row r="1312" s="69" customFormat="1" x14ac:dyDescent="0.15"/>
    <row r="1313" s="69" customFormat="1" x14ac:dyDescent="0.15"/>
    <row r="1314" s="69" customFormat="1" x14ac:dyDescent="0.15"/>
    <row r="1315" s="69" customFormat="1" x14ac:dyDescent="0.15"/>
    <row r="1316" s="69" customFormat="1" x14ac:dyDescent="0.15"/>
    <row r="1317" s="69" customFormat="1" x14ac:dyDescent="0.15"/>
    <row r="1318" s="69" customFormat="1" x14ac:dyDescent="0.15"/>
    <row r="1319" s="69" customFormat="1" x14ac:dyDescent="0.15"/>
    <row r="1320" s="69" customFormat="1" x14ac:dyDescent="0.15"/>
    <row r="1321" s="69" customFormat="1" x14ac:dyDescent="0.15"/>
    <row r="1322" s="69" customFormat="1" x14ac:dyDescent="0.15"/>
    <row r="1323" s="69" customFormat="1" x14ac:dyDescent="0.15"/>
    <row r="1324" s="69" customFormat="1" x14ac:dyDescent="0.15"/>
    <row r="1325" s="69" customFormat="1" x14ac:dyDescent="0.15"/>
    <row r="1326" s="69" customFormat="1" x14ac:dyDescent="0.15"/>
    <row r="1327" s="69" customFormat="1" x14ac:dyDescent="0.15"/>
    <row r="1328" s="69" customFormat="1" x14ac:dyDescent="0.15"/>
    <row r="1329" s="69" customFormat="1" x14ac:dyDescent="0.15"/>
    <row r="1330" s="69" customFormat="1" x14ac:dyDescent="0.15"/>
    <row r="1331" s="69" customFormat="1" x14ac:dyDescent="0.15"/>
    <row r="1332" s="69" customFormat="1" x14ac:dyDescent="0.15"/>
    <row r="1333" s="69" customFormat="1" x14ac:dyDescent="0.15"/>
    <row r="1334" s="69" customFormat="1" x14ac:dyDescent="0.15"/>
    <row r="1335" s="69" customFormat="1" x14ac:dyDescent="0.15"/>
    <row r="1336" s="69" customFormat="1" x14ac:dyDescent="0.15"/>
    <row r="1337" s="69" customFormat="1" x14ac:dyDescent="0.15"/>
    <row r="1338" s="69" customFormat="1" x14ac:dyDescent="0.15"/>
    <row r="1339" s="69" customFormat="1" x14ac:dyDescent="0.15"/>
    <row r="1340" s="69" customFormat="1" x14ac:dyDescent="0.15"/>
    <row r="1341" s="69" customFormat="1" x14ac:dyDescent="0.15"/>
    <row r="1342" s="69" customFormat="1" x14ac:dyDescent="0.15"/>
    <row r="1343" s="69" customFormat="1" x14ac:dyDescent="0.15"/>
    <row r="1344" s="69" customFormat="1" x14ac:dyDescent="0.15"/>
    <row r="1345" s="69" customFormat="1" x14ac:dyDescent="0.15"/>
    <row r="1346" s="69" customFormat="1" x14ac:dyDescent="0.15"/>
    <row r="1347" s="69" customFormat="1" x14ac:dyDescent="0.15"/>
    <row r="1348" s="69" customFormat="1" x14ac:dyDescent="0.15"/>
    <row r="1349" s="69" customFormat="1" x14ac:dyDescent="0.15"/>
    <row r="1350" s="69" customFormat="1" x14ac:dyDescent="0.15"/>
    <row r="1351" s="69" customFormat="1" x14ac:dyDescent="0.15"/>
    <row r="1352" s="69" customFormat="1" x14ac:dyDescent="0.15"/>
    <row r="1353" s="69" customFormat="1" x14ac:dyDescent="0.15"/>
    <row r="1354" s="69" customFormat="1" x14ac:dyDescent="0.15"/>
    <row r="1355" s="69" customFormat="1" x14ac:dyDescent="0.15"/>
    <row r="1356" s="69" customFormat="1" x14ac:dyDescent="0.15"/>
    <row r="1357" s="69" customFormat="1" x14ac:dyDescent="0.15"/>
    <row r="1358" s="69" customFormat="1" x14ac:dyDescent="0.15"/>
    <row r="1359" s="69" customFormat="1" x14ac:dyDescent="0.15"/>
    <row r="1360" s="69" customFormat="1" x14ac:dyDescent="0.15"/>
    <row r="1361" s="69" customFormat="1" x14ac:dyDescent="0.15"/>
    <row r="1362" s="69" customFormat="1" x14ac:dyDescent="0.15"/>
    <row r="1363" s="69" customFormat="1" x14ac:dyDescent="0.15"/>
    <row r="1364" s="69" customFormat="1" x14ac:dyDescent="0.15"/>
    <row r="1365" s="69" customFormat="1" x14ac:dyDescent="0.15"/>
    <row r="1366" s="69" customFormat="1" x14ac:dyDescent="0.15"/>
    <row r="1367" s="69" customFormat="1" x14ac:dyDescent="0.15"/>
    <row r="1368" s="69" customFormat="1" x14ac:dyDescent="0.15"/>
    <row r="1369" s="69" customFormat="1" x14ac:dyDescent="0.15"/>
    <row r="1370" s="69" customFormat="1" x14ac:dyDescent="0.15"/>
    <row r="1371" s="69" customFormat="1" x14ac:dyDescent="0.15"/>
    <row r="1372" s="69" customFormat="1" x14ac:dyDescent="0.15"/>
    <row r="1373" s="69" customFormat="1" x14ac:dyDescent="0.15"/>
    <row r="1374" s="69" customFormat="1" x14ac:dyDescent="0.15"/>
    <row r="1375" s="69" customFormat="1" x14ac:dyDescent="0.15"/>
    <row r="1376" s="69" customFormat="1" x14ac:dyDescent="0.15"/>
    <row r="1377" s="69" customFormat="1" x14ac:dyDescent="0.15"/>
    <row r="1378" s="69" customFormat="1" x14ac:dyDescent="0.15"/>
    <row r="1379" s="69" customFormat="1" x14ac:dyDescent="0.15"/>
    <row r="1380" s="69" customFormat="1" x14ac:dyDescent="0.15"/>
    <row r="1381" s="69" customFormat="1" x14ac:dyDescent="0.15"/>
    <row r="1382" s="69" customFormat="1" x14ac:dyDescent="0.15"/>
    <row r="1383" s="69" customFormat="1" x14ac:dyDescent="0.15"/>
    <row r="1384" s="69" customFormat="1" x14ac:dyDescent="0.15"/>
    <row r="1385" s="69" customFormat="1" x14ac:dyDescent="0.15"/>
    <row r="1386" s="69" customFormat="1" x14ac:dyDescent="0.15"/>
    <row r="1387" s="69" customFormat="1" x14ac:dyDescent="0.15"/>
    <row r="1388" s="69" customFormat="1" x14ac:dyDescent="0.15"/>
    <row r="1389" s="69" customFormat="1" x14ac:dyDescent="0.15"/>
    <row r="1390" s="69" customFormat="1" x14ac:dyDescent="0.15"/>
    <row r="1391" s="69" customFormat="1" x14ac:dyDescent="0.15"/>
    <row r="1392" s="69" customFormat="1" x14ac:dyDescent="0.15"/>
    <row r="1393" s="69" customFormat="1" x14ac:dyDescent="0.15"/>
    <row r="1394" s="69" customFormat="1" x14ac:dyDescent="0.15"/>
    <row r="1395" s="69" customFormat="1" x14ac:dyDescent="0.15"/>
    <row r="1396" s="69" customFormat="1" x14ac:dyDescent="0.15"/>
    <row r="1397" s="69" customFormat="1" x14ac:dyDescent="0.15"/>
    <row r="1398" s="69" customFormat="1" x14ac:dyDescent="0.15"/>
    <row r="1399" s="69" customFormat="1" x14ac:dyDescent="0.15"/>
    <row r="1400" s="69" customFormat="1" x14ac:dyDescent="0.15"/>
    <row r="1401" s="69" customFormat="1" x14ac:dyDescent="0.15"/>
    <row r="1402" s="69" customFormat="1" x14ac:dyDescent="0.15"/>
    <row r="1403" s="69" customFormat="1" x14ac:dyDescent="0.15"/>
    <row r="1404" s="69" customFormat="1" x14ac:dyDescent="0.15"/>
    <row r="1405" s="69" customFormat="1" x14ac:dyDescent="0.15"/>
    <row r="1406" s="69" customFormat="1" x14ac:dyDescent="0.15"/>
    <row r="1407" s="69" customFormat="1" x14ac:dyDescent="0.15"/>
    <row r="1408" s="69" customFormat="1" x14ac:dyDescent="0.15"/>
    <row r="1409" s="69" customFormat="1" x14ac:dyDescent="0.15"/>
    <row r="1410" s="69" customFormat="1" x14ac:dyDescent="0.15"/>
    <row r="1411" s="69" customFormat="1" x14ac:dyDescent="0.15"/>
    <row r="1412" s="69" customFormat="1" x14ac:dyDescent="0.15"/>
    <row r="1413" s="69" customFormat="1" x14ac:dyDescent="0.15"/>
    <row r="1414" s="69" customFormat="1" x14ac:dyDescent="0.15"/>
    <row r="1415" s="69" customFormat="1" x14ac:dyDescent="0.15"/>
    <row r="1416" s="69" customFormat="1" x14ac:dyDescent="0.15"/>
    <row r="1417" s="69" customFormat="1" x14ac:dyDescent="0.15"/>
    <row r="1418" s="69" customFormat="1" x14ac:dyDescent="0.15"/>
    <row r="1419" s="69" customFormat="1" x14ac:dyDescent="0.15"/>
    <row r="1420" s="69" customFormat="1" x14ac:dyDescent="0.15"/>
    <row r="1421" s="69" customFormat="1" x14ac:dyDescent="0.15"/>
    <row r="1422" s="69" customFormat="1" x14ac:dyDescent="0.15"/>
    <row r="1423" s="69" customFormat="1" x14ac:dyDescent="0.15"/>
    <row r="1424" s="69" customFormat="1" x14ac:dyDescent="0.15"/>
    <row r="1425" s="69" customFormat="1" x14ac:dyDescent="0.15"/>
    <row r="1426" s="69" customFormat="1" x14ac:dyDescent="0.15"/>
    <row r="1427" s="69" customFormat="1" x14ac:dyDescent="0.15"/>
    <row r="1428" s="69" customFormat="1" x14ac:dyDescent="0.15"/>
    <row r="1429" s="69" customFormat="1" x14ac:dyDescent="0.15"/>
    <row r="1430" s="69" customFormat="1" x14ac:dyDescent="0.15"/>
    <row r="1431" s="69" customFormat="1" x14ac:dyDescent="0.15"/>
    <row r="1432" s="69" customFormat="1" x14ac:dyDescent="0.15"/>
    <row r="1433" s="69" customFormat="1" x14ac:dyDescent="0.15"/>
    <row r="1434" s="69" customFormat="1" x14ac:dyDescent="0.15"/>
    <row r="1435" s="69" customFormat="1" x14ac:dyDescent="0.15"/>
    <row r="1436" s="69" customFormat="1" x14ac:dyDescent="0.15"/>
    <row r="1437" s="69" customFormat="1" x14ac:dyDescent="0.15"/>
    <row r="1438" s="69" customFormat="1" x14ac:dyDescent="0.15"/>
    <row r="1439" s="69" customFormat="1" x14ac:dyDescent="0.15"/>
    <row r="1440" s="69" customFormat="1" x14ac:dyDescent="0.15"/>
    <row r="1441" s="69" customFormat="1" x14ac:dyDescent="0.15"/>
    <row r="1442" s="69" customFormat="1" x14ac:dyDescent="0.15"/>
    <row r="1443" s="69" customFormat="1" x14ac:dyDescent="0.15"/>
    <row r="1444" s="69" customFormat="1" x14ac:dyDescent="0.15"/>
    <row r="1445" s="69" customFormat="1" x14ac:dyDescent="0.15"/>
    <row r="1446" s="69" customFormat="1" x14ac:dyDescent="0.15"/>
    <row r="1447" s="69" customFormat="1" x14ac:dyDescent="0.15"/>
    <row r="1448" s="69" customFormat="1" x14ac:dyDescent="0.15"/>
    <row r="1449" s="69" customFormat="1" x14ac:dyDescent="0.15"/>
    <row r="1450" s="69" customFormat="1" x14ac:dyDescent="0.15"/>
    <row r="1451" s="69" customFormat="1" x14ac:dyDescent="0.15"/>
    <row r="1452" s="69" customFormat="1" x14ac:dyDescent="0.15"/>
    <row r="1453" s="69" customFormat="1" x14ac:dyDescent="0.15"/>
    <row r="1454" s="69" customFormat="1" x14ac:dyDescent="0.15"/>
    <row r="1455" s="69" customFormat="1" x14ac:dyDescent="0.15"/>
    <row r="1456" s="69" customFormat="1" x14ac:dyDescent="0.15"/>
    <row r="1457" s="69" customFormat="1" x14ac:dyDescent="0.15"/>
    <row r="1458" s="69" customFormat="1" x14ac:dyDescent="0.15"/>
    <row r="1459" s="69" customFormat="1" x14ac:dyDescent="0.15"/>
    <row r="1460" s="69" customFormat="1" x14ac:dyDescent="0.15"/>
    <row r="1461" s="69" customFormat="1" x14ac:dyDescent="0.15"/>
    <row r="1462" s="69" customFormat="1" x14ac:dyDescent="0.15"/>
    <row r="1463" s="69" customFormat="1" x14ac:dyDescent="0.15"/>
    <row r="1464" s="69" customFormat="1" x14ac:dyDescent="0.15"/>
    <row r="1465" s="69" customFormat="1" x14ac:dyDescent="0.15"/>
    <row r="1466" s="69" customFormat="1" x14ac:dyDescent="0.15"/>
    <row r="1467" s="69" customFormat="1" x14ac:dyDescent="0.15"/>
    <row r="1468" s="69" customFormat="1" x14ac:dyDescent="0.15"/>
    <row r="1469" s="69" customFormat="1" x14ac:dyDescent="0.15"/>
    <row r="1470" s="69" customFormat="1" x14ac:dyDescent="0.15"/>
    <row r="1471" s="69" customFormat="1" x14ac:dyDescent="0.15"/>
    <row r="1472" s="69" customFormat="1" x14ac:dyDescent="0.15"/>
    <row r="1473" s="69" customFormat="1" x14ac:dyDescent="0.15"/>
    <row r="1474" s="69" customFormat="1" x14ac:dyDescent="0.15"/>
    <row r="1475" s="69" customFormat="1" x14ac:dyDescent="0.15"/>
    <row r="1476" s="69" customFormat="1" x14ac:dyDescent="0.15"/>
    <row r="1477" s="69" customFormat="1" x14ac:dyDescent="0.15"/>
    <row r="1478" s="69" customFormat="1" x14ac:dyDescent="0.15"/>
    <row r="1479" s="69" customFormat="1" x14ac:dyDescent="0.15"/>
    <row r="1480" s="69" customFormat="1" x14ac:dyDescent="0.15"/>
    <row r="1481" s="69" customFormat="1" x14ac:dyDescent="0.15"/>
    <row r="1482" s="69" customFormat="1" x14ac:dyDescent="0.15"/>
    <row r="1483" s="69" customFormat="1" x14ac:dyDescent="0.15"/>
    <row r="1484" s="69" customFormat="1" x14ac:dyDescent="0.15"/>
    <row r="1485" s="69" customFormat="1" x14ac:dyDescent="0.15"/>
    <row r="1486" s="69" customFormat="1" x14ac:dyDescent="0.15"/>
    <row r="1487" s="69" customFormat="1" x14ac:dyDescent="0.15"/>
    <row r="1488" s="69" customFormat="1" x14ac:dyDescent="0.15"/>
    <row r="1489" s="69" customFormat="1" x14ac:dyDescent="0.15"/>
    <row r="1490" s="69" customFormat="1" x14ac:dyDescent="0.15"/>
    <row r="1491" s="69" customFormat="1" x14ac:dyDescent="0.15"/>
    <row r="1492" s="69" customFormat="1" x14ac:dyDescent="0.15"/>
    <row r="1493" s="69" customFormat="1" x14ac:dyDescent="0.15"/>
    <row r="1494" s="69" customFormat="1" x14ac:dyDescent="0.15"/>
    <row r="1495" s="69" customFormat="1" x14ac:dyDescent="0.15"/>
    <row r="1496" s="69" customFormat="1" x14ac:dyDescent="0.15"/>
    <row r="1497" s="69" customFormat="1" x14ac:dyDescent="0.15"/>
    <row r="1498" s="69" customFormat="1" x14ac:dyDescent="0.15"/>
    <row r="1499" s="69" customFormat="1" x14ac:dyDescent="0.15"/>
    <row r="1500" s="69" customFormat="1" x14ac:dyDescent="0.15"/>
    <row r="1501" s="69" customFormat="1" x14ac:dyDescent="0.15"/>
    <row r="1502" s="69" customFormat="1" x14ac:dyDescent="0.15"/>
    <row r="1503" s="69" customFormat="1" x14ac:dyDescent="0.15"/>
    <row r="1504" s="69" customFormat="1" x14ac:dyDescent="0.15"/>
    <row r="1505" s="69" customFormat="1" x14ac:dyDescent="0.15"/>
    <row r="1506" s="69" customFormat="1" x14ac:dyDescent="0.15"/>
    <row r="1507" s="69" customFormat="1" x14ac:dyDescent="0.15"/>
    <row r="1508" s="69" customFormat="1" x14ac:dyDescent="0.15"/>
    <row r="1509" s="69" customFormat="1" x14ac:dyDescent="0.15"/>
    <row r="1510" s="69" customFormat="1" x14ac:dyDescent="0.15"/>
    <row r="1511" s="69" customFormat="1" x14ac:dyDescent="0.15"/>
    <row r="1512" s="69" customFormat="1" x14ac:dyDescent="0.15"/>
    <row r="1513" s="69" customFormat="1" x14ac:dyDescent="0.15"/>
    <row r="1514" s="69" customFormat="1" x14ac:dyDescent="0.15"/>
    <row r="1515" s="69" customFormat="1" x14ac:dyDescent="0.15"/>
    <row r="1516" s="69" customFormat="1" x14ac:dyDescent="0.15"/>
    <row r="1517" s="69" customFormat="1" x14ac:dyDescent="0.15"/>
    <row r="1518" s="69" customFormat="1" x14ac:dyDescent="0.15"/>
    <row r="1519" s="69" customFormat="1" x14ac:dyDescent="0.15"/>
    <row r="1520" s="69" customFormat="1" x14ac:dyDescent="0.15"/>
    <row r="1521" s="69" customFormat="1" x14ac:dyDescent="0.15"/>
    <row r="1522" s="69" customFormat="1" x14ac:dyDescent="0.15"/>
    <row r="1523" s="69" customFormat="1" x14ac:dyDescent="0.15"/>
    <row r="1524" s="69" customFormat="1" x14ac:dyDescent="0.15"/>
    <row r="1525" s="69" customFormat="1" x14ac:dyDescent="0.15"/>
    <row r="1526" s="69" customFormat="1" x14ac:dyDescent="0.15"/>
    <row r="1527" s="69" customFormat="1" x14ac:dyDescent="0.15"/>
    <row r="1528" s="69" customFormat="1" x14ac:dyDescent="0.15"/>
    <row r="1529" s="69" customFormat="1" x14ac:dyDescent="0.15"/>
    <row r="1530" s="69" customFormat="1" x14ac:dyDescent="0.15"/>
    <row r="1531" s="69" customFormat="1" x14ac:dyDescent="0.15"/>
    <row r="1532" s="69" customFormat="1" x14ac:dyDescent="0.15"/>
    <row r="1533" s="69" customFormat="1" x14ac:dyDescent="0.15"/>
    <row r="1534" s="69" customFormat="1" x14ac:dyDescent="0.15"/>
    <row r="1535" s="69" customFormat="1" x14ac:dyDescent="0.15"/>
    <row r="1536" s="69" customFormat="1" x14ac:dyDescent="0.15"/>
    <row r="1537" s="69" customFormat="1" x14ac:dyDescent="0.15"/>
    <row r="1538" s="69" customFormat="1" x14ac:dyDescent="0.15"/>
    <row r="1539" s="69" customFormat="1" x14ac:dyDescent="0.15"/>
    <row r="1540" s="69" customFormat="1" x14ac:dyDescent="0.15"/>
    <row r="1541" s="69" customFormat="1" x14ac:dyDescent="0.15"/>
    <row r="1542" s="69" customFormat="1" x14ac:dyDescent="0.15"/>
    <row r="1543" s="69" customFormat="1" x14ac:dyDescent="0.15"/>
    <row r="1544" s="69" customFormat="1" x14ac:dyDescent="0.15"/>
    <row r="1545" s="69" customFormat="1" x14ac:dyDescent="0.15"/>
    <row r="1546" s="69" customFormat="1" x14ac:dyDescent="0.15"/>
    <row r="1547" s="69" customFormat="1" x14ac:dyDescent="0.15"/>
    <row r="1548" s="69" customFormat="1" x14ac:dyDescent="0.15"/>
    <row r="1549" s="69" customFormat="1" x14ac:dyDescent="0.15"/>
    <row r="1550" s="69" customFormat="1" x14ac:dyDescent="0.15"/>
    <row r="1551" s="69" customFormat="1" x14ac:dyDescent="0.15"/>
    <row r="1552" s="69" customFormat="1" x14ac:dyDescent="0.15"/>
    <row r="1553" s="69" customFormat="1" x14ac:dyDescent="0.15"/>
    <row r="1554" s="69" customFormat="1" x14ac:dyDescent="0.15"/>
    <row r="1555" s="69" customFormat="1" x14ac:dyDescent="0.15"/>
    <row r="1556" s="69" customFormat="1" x14ac:dyDescent="0.15"/>
    <row r="1557" s="69" customFormat="1" x14ac:dyDescent="0.15"/>
    <row r="1558" s="69" customFormat="1" x14ac:dyDescent="0.15"/>
    <row r="1559" s="69" customFormat="1" x14ac:dyDescent="0.15"/>
    <row r="1560" s="69" customFormat="1" x14ac:dyDescent="0.15"/>
    <row r="1561" s="69" customFormat="1" x14ac:dyDescent="0.15"/>
    <row r="1562" s="69" customFormat="1" x14ac:dyDescent="0.15"/>
    <row r="1563" s="69" customFormat="1" x14ac:dyDescent="0.15"/>
    <row r="1564" s="69" customFormat="1" x14ac:dyDescent="0.15"/>
    <row r="1565" s="69" customFormat="1" x14ac:dyDescent="0.15"/>
    <row r="1566" s="69" customFormat="1" x14ac:dyDescent="0.15"/>
    <row r="1567" s="69" customFormat="1" x14ac:dyDescent="0.15"/>
    <row r="1568" s="69" customFormat="1" x14ac:dyDescent="0.15"/>
    <row r="1569" s="69" customFormat="1" x14ac:dyDescent="0.15"/>
    <row r="1570" s="69" customFormat="1" x14ac:dyDescent="0.15"/>
    <row r="1571" s="69" customFormat="1" x14ac:dyDescent="0.15"/>
    <row r="1572" s="69" customFormat="1" x14ac:dyDescent="0.15"/>
    <row r="1573" s="69" customFormat="1" x14ac:dyDescent="0.15"/>
    <row r="1574" s="69" customFormat="1" x14ac:dyDescent="0.15"/>
    <row r="1575" s="69" customFormat="1" x14ac:dyDescent="0.15"/>
    <row r="1576" s="69" customFormat="1" x14ac:dyDescent="0.15"/>
    <row r="1577" s="69" customFormat="1" x14ac:dyDescent="0.15"/>
    <row r="1578" s="69" customFormat="1" x14ac:dyDescent="0.15"/>
    <row r="1579" s="69" customFormat="1" x14ac:dyDescent="0.15"/>
    <row r="1580" s="69" customFormat="1" x14ac:dyDescent="0.15"/>
    <row r="1581" s="69" customFormat="1" x14ac:dyDescent="0.15"/>
    <row r="1582" s="69" customFormat="1" x14ac:dyDescent="0.15"/>
    <row r="1583" s="69" customFormat="1" x14ac:dyDescent="0.15"/>
    <row r="1584" s="69" customFormat="1" x14ac:dyDescent="0.15"/>
    <row r="1585" s="69" customFormat="1" x14ac:dyDescent="0.15"/>
    <row r="1586" s="69" customFormat="1" x14ac:dyDescent="0.15"/>
    <row r="1587" s="69" customFormat="1" x14ac:dyDescent="0.15"/>
    <row r="1588" s="69" customFormat="1" x14ac:dyDescent="0.15"/>
    <row r="1589" s="69" customFormat="1" x14ac:dyDescent="0.15"/>
    <row r="1590" s="69" customFormat="1" x14ac:dyDescent="0.15"/>
    <row r="1591" s="69" customFormat="1" x14ac:dyDescent="0.15"/>
    <row r="1592" s="69" customFormat="1" x14ac:dyDescent="0.15"/>
    <row r="1593" s="69" customFormat="1" x14ac:dyDescent="0.15"/>
    <row r="1594" s="69" customFormat="1" x14ac:dyDescent="0.15"/>
    <row r="1595" s="69" customFormat="1" x14ac:dyDescent="0.15"/>
    <row r="1596" s="69" customFormat="1" x14ac:dyDescent="0.15"/>
    <row r="1597" s="69" customFormat="1" x14ac:dyDescent="0.15"/>
    <row r="1598" s="69" customFormat="1" x14ac:dyDescent="0.15"/>
    <row r="1599" s="69" customFormat="1" x14ac:dyDescent="0.15"/>
    <row r="1600" s="69" customFormat="1" x14ac:dyDescent="0.15"/>
    <row r="1601" s="69" customFormat="1" x14ac:dyDescent="0.15"/>
    <row r="1602" s="69" customFormat="1" x14ac:dyDescent="0.15"/>
    <row r="1603" s="69" customFormat="1" x14ac:dyDescent="0.15"/>
    <row r="1604" s="69" customFormat="1" x14ac:dyDescent="0.15"/>
    <row r="1605" s="69" customFormat="1" x14ac:dyDescent="0.15"/>
    <row r="1606" s="69" customFormat="1" x14ac:dyDescent="0.15"/>
    <row r="1607" s="69" customFormat="1" x14ac:dyDescent="0.15"/>
    <row r="1608" s="69" customFormat="1" x14ac:dyDescent="0.15"/>
    <row r="1609" s="69" customFormat="1" x14ac:dyDescent="0.15"/>
    <row r="1610" s="69" customFormat="1" x14ac:dyDescent="0.15"/>
    <row r="1611" s="69" customFormat="1" x14ac:dyDescent="0.15"/>
    <row r="1612" s="69" customFormat="1" x14ac:dyDescent="0.15"/>
    <row r="1613" s="69" customFormat="1" x14ac:dyDescent="0.15"/>
    <row r="1614" s="69" customFormat="1" x14ac:dyDescent="0.15"/>
    <row r="1615" s="69" customFormat="1" x14ac:dyDescent="0.15"/>
    <row r="1616" s="69" customFormat="1" x14ac:dyDescent="0.15"/>
    <row r="1617" s="69" customFormat="1" x14ac:dyDescent="0.15"/>
    <row r="1618" s="69" customFormat="1" x14ac:dyDescent="0.15"/>
    <row r="1619" s="69" customFormat="1" x14ac:dyDescent="0.15"/>
    <row r="1620" s="69" customFormat="1" x14ac:dyDescent="0.15"/>
    <row r="1621" s="69" customFormat="1" x14ac:dyDescent="0.15"/>
    <row r="1622" s="69" customFormat="1" x14ac:dyDescent="0.15"/>
    <row r="1623" s="69" customFormat="1" x14ac:dyDescent="0.15"/>
    <row r="1624" s="69" customFormat="1" x14ac:dyDescent="0.15"/>
    <row r="1625" s="69" customFormat="1" x14ac:dyDescent="0.15"/>
    <row r="1626" s="69" customFormat="1" x14ac:dyDescent="0.15"/>
    <row r="1627" s="69" customFormat="1" x14ac:dyDescent="0.15"/>
    <row r="1628" s="69" customFormat="1" x14ac:dyDescent="0.15"/>
    <row r="1629" s="69" customFormat="1" x14ac:dyDescent="0.15"/>
    <row r="1630" s="69" customFormat="1" x14ac:dyDescent="0.15"/>
    <row r="1631" s="69" customFormat="1" x14ac:dyDescent="0.15"/>
    <row r="1632" s="69" customFormat="1" x14ac:dyDescent="0.15"/>
    <row r="1633" s="69" customFormat="1" x14ac:dyDescent="0.15"/>
    <row r="1634" s="69" customFormat="1" x14ac:dyDescent="0.15"/>
    <row r="1635" s="69" customFormat="1" x14ac:dyDescent="0.15"/>
    <row r="1636" s="69" customFormat="1" x14ac:dyDescent="0.15"/>
    <row r="1637" s="69" customFormat="1" x14ac:dyDescent="0.15"/>
    <row r="1638" s="69" customFormat="1" x14ac:dyDescent="0.15"/>
    <row r="1639" s="69" customFormat="1" x14ac:dyDescent="0.15"/>
    <row r="1640" s="69" customFormat="1" x14ac:dyDescent="0.15"/>
    <row r="1641" s="69" customFormat="1" x14ac:dyDescent="0.15"/>
    <row r="1642" s="69" customFormat="1" x14ac:dyDescent="0.15"/>
    <row r="1643" s="69" customFormat="1" x14ac:dyDescent="0.15"/>
    <row r="1644" s="69" customFormat="1" x14ac:dyDescent="0.15"/>
    <row r="1645" s="69" customFormat="1" x14ac:dyDescent="0.15"/>
    <row r="1646" s="69" customFormat="1" x14ac:dyDescent="0.15"/>
    <row r="1647" s="69" customFormat="1" x14ac:dyDescent="0.15"/>
    <row r="1648" s="69" customFormat="1" x14ac:dyDescent="0.15"/>
    <row r="1649" s="69" customFormat="1" x14ac:dyDescent="0.15"/>
    <row r="1650" s="69" customFormat="1" x14ac:dyDescent="0.15"/>
    <row r="1651" s="69" customFormat="1" x14ac:dyDescent="0.15"/>
    <row r="1652" s="69" customFormat="1" x14ac:dyDescent="0.15"/>
    <row r="1653" s="69" customFormat="1" x14ac:dyDescent="0.15"/>
    <row r="1654" s="69" customFormat="1" x14ac:dyDescent="0.15"/>
    <row r="1655" s="69" customFormat="1" x14ac:dyDescent="0.15"/>
    <row r="1656" s="69" customFormat="1" x14ac:dyDescent="0.15"/>
    <row r="1657" s="69" customFormat="1" x14ac:dyDescent="0.15"/>
    <row r="1658" s="69" customFormat="1" x14ac:dyDescent="0.15"/>
    <row r="1659" s="69" customFormat="1" x14ac:dyDescent="0.15"/>
    <row r="1660" s="69" customFormat="1" x14ac:dyDescent="0.15"/>
    <row r="1661" s="69" customFormat="1" x14ac:dyDescent="0.15"/>
    <row r="1662" s="69" customFormat="1" x14ac:dyDescent="0.15"/>
    <row r="1663" s="69" customFormat="1" x14ac:dyDescent="0.15"/>
    <row r="1664" s="69" customFormat="1" x14ac:dyDescent="0.15"/>
    <row r="1665" s="69" customFormat="1" x14ac:dyDescent="0.15"/>
    <row r="1666" s="69" customFormat="1" x14ac:dyDescent="0.15"/>
    <row r="1667" s="69" customFormat="1" x14ac:dyDescent="0.15"/>
    <row r="1668" s="69" customFormat="1" x14ac:dyDescent="0.15"/>
    <row r="1669" s="69" customFormat="1" x14ac:dyDescent="0.15"/>
    <row r="1670" s="69" customFormat="1" x14ac:dyDescent="0.15"/>
    <row r="1671" s="69" customFormat="1" x14ac:dyDescent="0.15"/>
    <row r="1672" s="69" customFormat="1" x14ac:dyDescent="0.15"/>
    <row r="1673" s="69" customFormat="1" x14ac:dyDescent="0.15"/>
    <row r="1674" s="69" customFormat="1" x14ac:dyDescent="0.15"/>
    <row r="1675" s="69" customFormat="1" x14ac:dyDescent="0.15"/>
    <row r="1676" s="69" customFormat="1" x14ac:dyDescent="0.15"/>
    <row r="1677" s="69" customFormat="1" x14ac:dyDescent="0.15"/>
    <row r="1678" s="69" customFormat="1" x14ac:dyDescent="0.15"/>
    <row r="1679" s="69" customFormat="1" x14ac:dyDescent="0.15"/>
    <row r="1680" s="69" customFormat="1" x14ac:dyDescent="0.15"/>
    <row r="1681" s="69" customFormat="1" x14ac:dyDescent="0.15"/>
    <row r="1682" s="69" customFormat="1" x14ac:dyDescent="0.15"/>
    <row r="1683" s="69" customFormat="1" x14ac:dyDescent="0.15"/>
    <row r="1684" s="69" customFormat="1" x14ac:dyDescent="0.15"/>
    <row r="1685" s="69" customFormat="1" x14ac:dyDescent="0.15"/>
    <row r="1686" s="69" customFormat="1" x14ac:dyDescent="0.15"/>
    <row r="1687" s="69" customFormat="1" x14ac:dyDescent="0.15"/>
    <row r="1688" s="69" customFormat="1" x14ac:dyDescent="0.15"/>
    <row r="1689" s="69" customFormat="1" x14ac:dyDescent="0.15"/>
    <row r="1690" s="69" customFormat="1" x14ac:dyDescent="0.15"/>
    <row r="1691" s="69" customFormat="1" x14ac:dyDescent="0.15"/>
    <row r="1692" s="69" customFormat="1" x14ac:dyDescent="0.15"/>
    <row r="1693" s="69" customFormat="1" x14ac:dyDescent="0.15"/>
    <row r="1694" s="69" customFormat="1" x14ac:dyDescent="0.15"/>
    <row r="1695" s="69" customFormat="1" x14ac:dyDescent="0.15"/>
    <row r="1696" s="69" customFormat="1" x14ac:dyDescent="0.15"/>
    <row r="1697" s="69" customFormat="1" x14ac:dyDescent="0.15"/>
    <row r="1698" s="69" customFormat="1" x14ac:dyDescent="0.15"/>
    <row r="1699" s="69" customFormat="1" x14ac:dyDescent="0.15"/>
    <row r="1700" s="69" customFormat="1" x14ac:dyDescent="0.15"/>
    <row r="1701" s="69" customFormat="1" x14ac:dyDescent="0.15"/>
    <row r="1702" s="69" customFormat="1" x14ac:dyDescent="0.15"/>
    <row r="1703" s="69" customFormat="1" x14ac:dyDescent="0.15"/>
    <row r="1704" s="69" customFormat="1" x14ac:dyDescent="0.15"/>
    <row r="1705" s="69" customFormat="1" x14ac:dyDescent="0.15"/>
    <row r="1706" s="69" customFormat="1" x14ac:dyDescent="0.15"/>
    <row r="1707" s="69" customFormat="1" x14ac:dyDescent="0.15"/>
    <row r="1708" s="69" customFormat="1" x14ac:dyDescent="0.15"/>
    <row r="1709" s="69" customFormat="1" x14ac:dyDescent="0.15"/>
    <row r="1710" s="69" customFormat="1" x14ac:dyDescent="0.15"/>
    <row r="1711" s="69" customFormat="1" x14ac:dyDescent="0.15"/>
    <row r="1712" s="69" customFormat="1" x14ac:dyDescent="0.15"/>
    <row r="1713" s="69" customFormat="1" x14ac:dyDescent="0.15"/>
    <row r="1714" s="69" customFormat="1" x14ac:dyDescent="0.15"/>
    <row r="1715" s="69" customFormat="1" x14ac:dyDescent="0.15"/>
    <row r="1716" s="69" customFormat="1" x14ac:dyDescent="0.15"/>
    <row r="1717" s="69" customFormat="1" x14ac:dyDescent="0.15"/>
    <row r="1718" s="69" customFormat="1" x14ac:dyDescent="0.15"/>
    <row r="1719" s="69" customFormat="1" x14ac:dyDescent="0.15"/>
    <row r="1720" s="69" customFormat="1" x14ac:dyDescent="0.15"/>
    <row r="1721" s="69" customFormat="1" x14ac:dyDescent="0.15"/>
    <row r="1722" s="69" customFormat="1" x14ac:dyDescent="0.15"/>
    <row r="1723" s="69" customFormat="1" x14ac:dyDescent="0.15"/>
    <row r="1724" s="69" customFormat="1" x14ac:dyDescent="0.15"/>
    <row r="1725" s="69" customFormat="1" x14ac:dyDescent="0.15"/>
    <row r="1726" s="69" customFormat="1" x14ac:dyDescent="0.15"/>
    <row r="1727" s="69" customFormat="1" x14ac:dyDescent="0.15"/>
    <row r="1728" s="69" customFormat="1" x14ac:dyDescent="0.15"/>
    <row r="1729" s="69" customFormat="1" x14ac:dyDescent="0.15"/>
    <row r="1730" s="69" customFormat="1" x14ac:dyDescent="0.15"/>
    <row r="1731" s="69" customFormat="1" x14ac:dyDescent="0.15"/>
    <row r="1732" s="69" customFormat="1" x14ac:dyDescent="0.15"/>
    <row r="1733" s="69" customFormat="1" x14ac:dyDescent="0.15"/>
    <row r="1734" s="69" customFormat="1" x14ac:dyDescent="0.15"/>
    <row r="1735" s="69" customFormat="1" x14ac:dyDescent="0.15"/>
    <row r="1736" s="69" customFormat="1" x14ac:dyDescent="0.15"/>
    <row r="1737" s="69" customFormat="1" x14ac:dyDescent="0.15"/>
    <row r="1738" s="69" customFormat="1" x14ac:dyDescent="0.15"/>
    <row r="1739" s="69" customFormat="1" x14ac:dyDescent="0.15"/>
    <row r="1740" s="69" customFormat="1" x14ac:dyDescent="0.15"/>
    <row r="1741" s="69" customFormat="1" x14ac:dyDescent="0.15"/>
    <row r="1742" s="69" customFormat="1" x14ac:dyDescent="0.15"/>
    <row r="1743" s="69" customFormat="1" x14ac:dyDescent="0.15"/>
    <row r="1744" s="69" customFormat="1" x14ac:dyDescent="0.15"/>
    <row r="1745" s="69" customFormat="1" x14ac:dyDescent="0.15"/>
    <row r="1746" s="69" customFormat="1" x14ac:dyDescent="0.15"/>
    <row r="1747" s="69" customFormat="1" x14ac:dyDescent="0.15"/>
    <row r="1748" s="69" customFormat="1" x14ac:dyDescent="0.15"/>
    <row r="1749" s="69" customFormat="1" x14ac:dyDescent="0.15"/>
    <row r="1750" s="69" customFormat="1" x14ac:dyDescent="0.15"/>
    <row r="1751" s="69" customFormat="1" x14ac:dyDescent="0.15"/>
    <row r="1752" s="69" customFormat="1" x14ac:dyDescent="0.15"/>
    <row r="1753" s="69" customFormat="1" x14ac:dyDescent="0.15"/>
    <row r="1754" s="69" customFormat="1" x14ac:dyDescent="0.15"/>
    <row r="1755" s="69" customFormat="1" x14ac:dyDescent="0.15"/>
    <row r="1756" s="69" customFormat="1" x14ac:dyDescent="0.15"/>
    <row r="1757" s="69" customFormat="1" x14ac:dyDescent="0.15"/>
    <row r="1758" s="69" customFormat="1" x14ac:dyDescent="0.15"/>
    <row r="1759" s="69" customFormat="1" x14ac:dyDescent="0.15"/>
    <row r="1760" s="69" customFormat="1" x14ac:dyDescent="0.15"/>
    <row r="1761" s="69" customFormat="1" x14ac:dyDescent="0.15"/>
    <row r="1762" s="69" customFormat="1" x14ac:dyDescent="0.15"/>
    <row r="1763" s="69" customFormat="1" x14ac:dyDescent="0.15"/>
    <row r="1764" s="69" customFormat="1" x14ac:dyDescent="0.15"/>
    <row r="1765" s="69" customFormat="1" x14ac:dyDescent="0.15"/>
    <row r="1766" s="69" customFormat="1" x14ac:dyDescent="0.15"/>
    <row r="1767" s="69" customFormat="1" x14ac:dyDescent="0.15"/>
    <row r="1768" s="69" customFormat="1" x14ac:dyDescent="0.15"/>
    <row r="1769" s="69" customFormat="1" x14ac:dyDescent="0.15"/>
    <row r="1770" s="69" customFormat="1" x14ac:dyDescent="0.15"/>
    <row r="1771" s="69" customFormat="1" x14ac:dyDescent="0.15"/>
    <row r="1772" s="69" customFormat="1" x14ac:dyDescent="0.15"/>
    <row r="1773" s="69" customFormat="1" x14ac:dyDescent="0.15"/>
    <row r="1774" s="69" customFormat="1" x14ac:dyDescent="0.15"/>
    <row r="1775" s="69" customFormat="1" x14ac:dyDescent="0.15"/>
    <row r="1776" s="69" customFormat="1" x14ac:dyDescent="0.15"/>
    <row r="1777" s="69" customFormat="1" x14ac:dyDescent="0.15"/>
    <row r="1778" s="69" customFormat="1" x14ac:dyDescent="0.15"/>
    <row r="1779" s="69" customFormat="1" x14ac:dyDescent="0.15"/>
    <row r="1780" s="69" customFormat="1" x14ac:dyDescent="0.15"/>
    <row r="1781" s="69" customFormat="1" x14ac:dyDescent="0.15"/>
    <row r="1782" s="69" customFormat="1" x14ac:dyDescent="0.15"/>
    <row r="1783" s="69" customFormat="1" x14ac:dyDescent="0.15"/>
    <row r="1784" s="69" customFormat="1" x14ac:dyDescent="0.15"/>
    <row r="1785" s="69" customFormat="1" x14ac:dyDescent="0.15"/>
    <row r="1786" s="69" customFormat="1" x14ac:dyDescent="0.15"/>
    <row r="1787" s="69" customFormat="1" x14ac:dyDescent="0.15"/>
    <row r="1788" s="69" customFormat="1" x14ac:dyDescent="0.15"/>
    <row r="1789" s="69" customFormat="1" x14ac:dyDescent="0.15"/>
    <row r="1790" s="69" customFormat="1" x14ac:dyDescent="0.15"/>
    <row r="1791" s="69" customFormat="1" x14ac:dyDescent="0.15"/>
    <row r="1792" s="69" customFormat="1" x14ac:dyDescent="0.15"/>
    <row r="1793" s="69" customFormat="1" x14ac:dyDescent="0.15"/>
    <row r="1794" s="69" customFormat="1" x14ac:dyDescent="0.15"/>
    <row r="1795" s="69" customFormat="1" x14ac:dyDescent="0.15"/>
    <row r="1796" s="69" customFormat="1" x14ac:dyDescent="0.15"/>
    <row r="1797" s="69" customFormat="1" x14ac:dyDescent="0.15"/>
    <row r="1798" s="69" customFormat="1" x14ac:dyDescent="0.15"/>
    <row r="1799" s="69" customFormat="1" x14ac:dyDescent="0.15"/>
    <row r="1800" s="69" customFormat="1" x14ac:dyDescent="0.15"/>
    <row r="1801" s="69" customFormat="1" x14ac:dyDescent="0.15"/>
    <row r="1802" s="69" customFormat="1" x14ac:dyDescent="0.15"/>
    <row r="1803" s="69" customFormat="1" x14ac:dyDescent="0.15"/>
    <row r="1804" s="69" customFormat="1" x14ac:dyDescent="0.15"/>
    <row r="1805" s="69" customFormat="1" x14ac:dyDescent="0.15"/>
    <row r="1806" s="69" customFormat="1" x14ac:dyDescent="0.15"/>
    <row r="1807" s="69" customFormat="1" x14ac:dyDescent="0.15"/>
    <row r="1808" s="69" customFormat="1" x14ac:dyDescent="0.15"/>
    <row r="1809" s="69" customFormat="1" x14ac:dyDescent="0.15"/>
    <row r="1810" s="69" customFormat="1" x14ac:dyDescent="0.15"/>
    <row r="1811" s="69" customFormat="1" x14ac:dyDescent="0.15"/>
    <row r="1812" s="69" customFormat="1" x14ac:dyDescent="0.15"/>
    <row r="1813" s="69" customFormat="1" x14ac:dyDescent="0.15"/>
    <row r="1814" s="69" customFormat="1" x14ac:dyDescent="0.15"/>
    <row r="1815" s="69" customFormat="1" x14ac:dyDescent="0.15"/>
    <row r="1816" s="69" customFormat="1" x14ac:dyDescent="0.15"/>
    <row r="1817" s="69" customFormat="1" x14ac:dyDescent="0.15"/>
    <row r="1818" s="69" customFormat="1" x14ac:dyDescent="0.15"/>
    <row r="1819" s="69" customFormat="1" x14ac:dyDescent="0.15"/>
    <row r="1820" s="69" customFormat="1" x14ac:dyDescent="0.15"/>
    <row r="1821" s="69" customFormat="1" x14ac:dyDescent="0.15"/>
    <row r="1822" s="69" customFormat="1" x14ac:dyDescent="0.15"/>
    <row r="1823" s="69" customFormat="1" x14ac:dyDescent="0.15"/>
    <row r="1824" s="69" customFormat="1" x14ac:dyDescent="0.15"/>
    <row r="1825" s="69" customFormat="1" x14ac:dyDescent="0.15"/>
    <row r="1826" s="69" customFormat="1" x14ac:dyDescent="0.15"/>
    <row r="1827" s="69" customFormat="1" x14ac:dyDescent="0.15"/>
    <row r="1828" s="69" customFormat="1" x14ac:dyDescent="0.15"/>
    <row r="1829" s="69" customFormat="1" x14ac:dyDescent="0.15"/>
    <row r="1830" s="69" customFormat="1" x14ac:dyDescent="0.15"/>
    <row r="1831" s="69" customFormat="1" x14ac:dyDescent="0.15"/>
    <row r="1832" s="69" customFormat="1" x14ac:dyDescent="0.15"/>
    <row r="1833" s="69" customFormat="1" x14ac:dyDescent="0.15"/>
    <row r="1834" s="69" customFormat="1" x14ac:dyDescent="0.15"/>
    <row r="1835" s="69" customFormat="1" x14ac:dyDescent="0.15"/>
    <row r="1836" s="69" customFormat="1" x14ac:dyDescent="0.15"/>
    <row r="1837" s="69" customFormat="1" x14ac:dyDescent="0.15"/>
    <row r="1838" s="69" customFormat="1" x14ac:dyDescent="0.15"/>
    <row r="1839" s="69" customFormat="1" x14ac:dyDescent="0.15"/>
    <row r="1840" s="69" customFormat="1" x14ac:dyDescent="0.15"/>
    <row r="1841" s="69" customFormat="1" x14ac:dyDescent="0.15"/>
    <row r="1842" s="69" customFormat="1" x14ac:dyDescent="0.15"/>
    <row r="1843" s="69" customFormat="1" x14ac:dyDescent="0.15"/>
    <row r="1844" s="69" customFormat="1" x14ac:dyDescent="0.15"/>
    <row r="1845" s="69" customFormat="1" x14ac:dyDescent="0.15"/>
    <row r="1846" s="69" customFormat="1" x14ac:dyDescent="0.15"/>
    <row r="1847" s="69" customFormat="1" x14ac:dyDescent="0.15"/>
    <row r="1848" s="69" customFormat="1" x14ac:dyDescent="0.15"/>
    <row r="1849" s="69" customFormat="1" x14ac:dyDescent="0.15"/>
    <row r="1850" s="69" customFormat="1" x14ac:dyDescent="0.15"/>
    <row r="1851" s="69" customFormat="1" x14ac:dyDescent="0.15"/>
    <row r="1852" s="69" customFormat="1" x14ac:dyDescent="0.15"/>
    <row r="1853" s="69" customFormat="1" x14ac:dyDescent="0.15"/>
    <row r="1854" s="69" customFormat="1" x14ac:dyDescent="0.15"/>
    <row r="1855" s="69" customFormat="1" x14ac:dyDescent="0.15"/>
    <row r="1856" s="69" customFormat="1" x14ac:dyDescent="0.15"/>
    <row r="1857" s="69" customFormat="1" x14ac:dyDescent="0.15"/>
    <row r="1858" s="69" customFormat="1" x14ac:dyDescent="0.15"/>
    <row r="1859" s="69" customFormat="1" x14ac:dyDescent="0.15"/>
    <row r="1860" s="69" customFormat="1" x14ac:dyDescent="0.15"/>
    <row r="1861" s="69" customFormat="1" x14ac:dyDescent="0.15"/>
    <row r="1862" s="69" customFormat="1" x14ac:dyDescent="0.15"/>
    <row r="1863" s="69" customFormat="1" x14ac:dyDescent="0.15"/>
    <row r="1864" s="69" customFormat="1" x14ac:dyDescent="0.15"/>
    <row r="1865" s="69" customFormat="1" x14ac:dyDescent="0.15"/>
    <row r="1866" s="69" customFormat="1" x14ac:dyDescent="0.15"/>
    <row r="1867" s="69" customFormat="1" x14ac:dyDescent="0.15"/>
    <row r="1868" s="69" customFormat="1" x14ac:dyDescent="0.15"/>
    <row r="1869" s="69" customFormat="1" x14ac:dyDescent="0.15"/>
    <row r="1870" s="69" customFormat="1" x14ac:dyDescent="0.15"/>
    <row r="1871" s="69" customFormat="1" x14ac:dyDescent="0.15"/>
    <row r="1872" s="69" customFormat="1" x14ac:dyDescent="0.15"/>
    <row r="1873" s="69" customFormat="1" x14ac:dyDescent="0.15"/>
    <row r="1874" s="69" customFormat="1" x14ac:dyDescent="0.15"/>
    <row r="1875" s="69" customFormat="1" x14ac:dyDescent="0.15"/>
    <row r="1876" s="69" customFormat="1" x14ac:dyDescent="0.15"/>
    <row r="1877" s="69" customFormat="1" x14ac:dyDescent="0.15"/>
    <row r="1878" s="69" customFormat="1" x14ac:dyDescent="0.15"/>
    <row r="1879" s="69" customFormat="1" x14ac:dyDescent="0.15"/>
    <row r="1880" s="69" customFormat="1" x14ac:dyDescent="0.15"/>
    <row r="1881" s="69" customFormat="1" x14ac:dyDescent="0.15"/>
    <row r="1882" s="69" customFormat="1" x14ac:dyDescent="0.15"/>
    <row r="1883" s="69" customFormat="1" x14ac:dyDescent="0.15"/>
    <row r="1884" s="69" customFormat="1" x14ac:dyDescent="0.15"/>
    <row r="1885" s="69" customFormat="1" x14ac:dyDescent="0.15"/>
    <row r="1886" s="69" customFormat="1" x14ac:dyDescent="0.15"/>
    <row r="1887" s="69" customFormat="1" x14ac:dyDescent="0.15"/>
    <row r="1888" s="69" customFormat="1" x14ac:dyDescent="0.15"/>
    <row r="1889" s="69" customFormat="1" x14ac:dyDescent="0.15"/>
    <row r="1890" s="69" customFormat="1" x14ac:dyDescent="0.15"/>
    <row r="1891" s="69" customFormat="1" x14ac:dyDescent="0.15"/>
    <row r="1892" s="69" customFormat="1" x14ac:dyDescent="0.15"/>
    <row r="1893" s="69" customFormat="1" x14ac:dyDescent="0.15"/>
    <row r="1894" s="69" customFormat="1" x14ac:dyDescent="0.15"/>
    <row r="1895" s="69" customFormat="1" x14ac:dyDescent="0.15"/>
    <row r="1896" s="69" customFormat="1" x14ac:dyDescent="0.15"/>
    <row r="1897" s="69" customFormat="1" x14ac:dyDescent="0.15"/>
    <row r="1898" s="69" customFormat="1" x14ac:dyDescent="0.15"/>
    <row r="1899" s="69" customFormat="1" x14ac:dyDescent="0.15"/>
    <row r="1900" s="69" customFormat="1" x14ac:dyDescent="0.15"/>
    <row r="1901" s="69" customFormat="1" x14ac:dyDescent="0.15"/>
    <row r="1902" s="69" customFormat="1" x14ac:dyDescent="0.15"/>
    <row r="1903" s="69" customFormat="1" x14ac:dyDescent="0.15"/>
    <row r="1904" s="69" customFormat="1" x14ac:dyDescent="0.15"/>
    <row r="1905" s="69" customFormat="1" x14ac:dyDescent="0.15"/>
    <row r="1906" s="69" customFormat="1" x14ac:dyDescent="0.15"/>
    <row r="1907" s="69" customFormat="1" x14ac:dyDescent="0.15"/>
    <row r="1908" s="69" customFormat="1" x14ac:dyDescent="0.15"/>
    <row r="1909" s="69" customFormat="1" x14ac:dyDescent="0.15"/>
    <row r="1910" s="69" customFormat="1" x14ac:dyDescent="0.15"/>
    <row r="1911" s="69" customFormat="1" x14ac:dyDescent="0.15"/>
    <row r="1912" s="69" customFormat="1" x14ac:dyDescent="0.15"/>
    <row r="1913" s="69" customFormat="1" x14ac:dyDescent="0.15"/>
    <row r="1914" s="69" customFormat="1" x14ac:dyDescent="0.15"/>
    <row r="1915" s="69" customFormat="1" x14ac:dyDescent="0.15"/>
    <row r="1916" s="69" customFormat="1" x14ac:dyDescent="0.15"/>
    <row r="1917" s="69" customFormat="1" x14ac:dyDescent="0.15"/>
    <row r="1918" s="69" customFormat="1" x14ac:dyDescent="0.15"/>
    <row r="1919" s="69" customFormat="1" x14ac:dyDescent="0.15"/>
    <row r="1920" s="69" customFormat="1" x14ac:dyDescent="0.15"/>
    <row r="1921" s="69" customFormat="1" x14ac:dyDescent="0.15"/>
    <row r="1922" s="69" customFormat="1" x14ac:dyDescent="0.15"/>
    <row r="1923" s="69" customFormat="1" x14ac:dyDescent="0.15"/>
    <row r="1924" s="69" customFormat="1" x14ac:dyDescent="0.15"/>
    <row r="1925" s="69" customFormat="1" x14ac:dyDescent="0.15"/>
    <row r="1926" s="69" customFormat="1" x14ac:dyDescent="0.15"/>
    <row r="1927" s="69" customFormat="1" x14ac:dyDescent="0.15"/>
    <row r="1928" s="69" customFormat="1" x14ac:dyDescent="0.15"/>
    <row r="1929" s="69" customFormat="1" x14ac:dyDescent="0.15"/>
    <row r="1930" s="69" customFormat="1" x14ac:dyDescent="0.15"/>
    <row r="1931" s="69" customFormat="1" x14ac:dyDescent="0.15"/>
    <row r="1932" s="69" customFormat="1" x14ac:dyDescent="0.15"/>
    <row r="1933" s="69" customFormat="1" x14ac:dyDescent="0.15"/>
    <row r="1934" s="69" customFormat="1" x14ac:dyDescent="0.15"/>
    <row r="1935" s="69" customFormat="1" x14ac:dyDescent="0.15"/>
    <row r="1936" s="69" customFormat="1" x14ac:dyDescent="0.15"/>
    <row r="1937" s="69" customFormat="1" x14ac:dyDescent="0.15"/>
    <row r="1938" s="69" customFormat="1" x14ac:dyDescent="0.15"/>
    <row r="1939" s="69" customFormat="1" x14ac:dyDescent="0.15"/>
    <row r="1940" s="69" customFormat="1" x14ac:dyDescent="0.15"/>
    <row r="1941" s="69" customFormat="1" x14ac:dyDescent="0.15"/>
    <row r="1942" s="69" customFormat="1" x14ac:dyDescent="0.15"/>
    <row r="1943" s="69" customFormat="1" x14ac:dyDescent="0.15"/>
    <row r="1944" s="69" customFormat="1" x14ac:dyDescent="0.15"/>
    <row r="1945" s="69" customFormat="1" x14ac:dyDescent="0.15"/>
    <row r="1946" s="69" customFormat="1" x14ac:dyDescent="0.15"/>
    <row r="1947" s="69" customFormat="1" x14ac:dyDescent="0.15"/>
    <row r="1948" s="69" customFormat="1" x14ac:dyDescent="0.15"/>
    <row r="1949" s="69" customFormat="1" x14ac:dyDescent="0.15"/>
    <row r="1950" s="69" customFormat="1" x14ac:dyDescent="0.15"/>
    <row r="1951" s="69" customFormat="1" x14ac:dyDescent="0.15"/>
    <row r="1952" s="69" customFormat="1" x14ac:dyDescent="0.15"/>
    <row r="1953" s="69" customFormat="1" x14ac:dyDescent="0.15"/>
    <row r="1954" s="69" customFormat="1" x14ac:dyDescent="0.15"/>
    <row r="1955" s="69" customFormat="1" x14ac:dyDescent="0.15"/>
    <row r="1956" s="69" customFormat="1" x14ac:dyDescent="0.15"/>
    <row r="1957" s="69" customFormat="1" x14ac:dyDescent="0.15"/>
    <row r="1958" s="69" customFormat="1" x14ac:dyDescent="0.15"/>
    <row r="1959" s="69" customFormat="1" x14ac:dyDescent="0.15"/>
    <row r="1960" s="69" customFormat="1" x14ac:dyDescent="0.15"/>
    <row r="1961" s="69" customFormat="1" x14ac:dyDescent="0.15"/>
    <row r="1962" s="69" customFormat="1" x14ac:dyDescent="0.15"/>
    <row r="1963" s="69" customFormat="1" x14ac:dyDescent="0.15"/>
    <row r="1964" s="69" customFormat="1" x14ac:dyDescent="0.15"/>
    <row r="1965" s="69" customFormat="1" x14ac:dyDescent="0.15"/>
    <row r="1966" s="69" customFormat="1" x14ac:dyDescent="0.15"/>
    <row r="1967" s="69" customFormat="1" x14ac:dyDescent="0.15"/>
    <row r="1968" s="69" customFormat="1" x14ac:dyDescent="0.15"/>
    <row r="1969" s="69" customFormat="1" x14ac:dyDescent="0.15"/>
    <row r="1970" s="69" customFormat="1" x14ac:dyDescent="0.15"/>
    <row r="1971" s="69" customFormat="1" x14ac:dyDescent="0.15"/>
    <row r="1972" s="69" customFormat="1" x14ac:dyDescent="0.15"/>
    <row r="1973" s="69" customFormat="1" x14ac:dyDescent="0.15"/>
    <row r="1974" s="69" customFormat="1" x14ac:dyDescent="0.15"/>
    <row r="1975" s="69" customFormat="1" x14ac:dyDescent="0.15"/>
    <row r="1976" s="69" customFormat="1" x14ac:dyDescent="0.15"/>
    <row r="1977" s="69" customFormat="1" x14ac:dyDescent="0.15"/>
    <row r="1978" s="69" customFormat="1" x14ac:dyDescent="0.15"/>
    <row r="1979" s="69" customFormat="1" x14ac:dyDescent="0.15"/>
    <row r="1980" s="69" customFormat="1" x14ac:dyDescent="0.15"/>
    <row r="1981" s="69" customFormat="1" x14ac:dyDescent="0.15"/>
    <row r="1982" s="69" customFormat="1" x14ac:dyDescent="0.15"/>
    <row r="1983" s="69" customFormat="1" x14ac:dyDescent="0.15"/>
    <row r="1984" s="69" customFormat="1" x14ac:dyDescent="0.15"/>
    <row r="1985" s="69" customFormat="1" x14ac:dyDescent="0.15"/>
    <row r="1986" s="69" customFormat="1" x14ac:dyDescent="0.15"/>
    <row r="1987" s="69" customFormat="1" x14ac:dyDescent="0.15"/>
    <row r="1988" s="69" customFormat="1" x14ac:dyDescent="0.15"/>
    <row r="1989" s="69" customFormat="1" x14ac:dyDescent="0.15"/>
    <row r="1990" s="69" customFormat="1" x14ac:dyDescent="0.15"/>
    <row r="1991" s="69" customFormat="1" x14ac:dyDescent="0.15"/>
    <row r="1992" s="69" customFormat="1" x14ac:dyDescent="0.15"/>
    <row r="1993" s="69" customFormat="1" x14ac:dyDescent="0.15"/>
    <row r="1994" s="69" customFormat="1" x14ac:dyDescent="0.15"/>
    <row r="1995" s="69" customFormat="1" x14ac:dyDescent="0.15"/>
    <row r="1996" s="69" customFormat="1" x14ac:dyDescent="0.15"/>
    <row r="1997" s="69" customFormat="1" x14ac:dyDescent="0.15"/>
    <row r="1998" s="69" customFormat="1" x14ac:dyDescent="0.15"/>
    <row r="1999" s="69" customFormat="1" x14ac:dyDescent="0.15"/>
    <row r="2000" s="69" customFormat="1" x14ac:dyDescent="0.15"/>
    <row r="2001" s="69" customFormat="1" x14ac:dyDescent="0.15"/>
    <row r="2002" s="69" customFormat="1" x14ac:dyDescent="0.15"/>
    <row r="2003" s="69" customFormat="1" x14ac:dyDescent="0.15"/>
    <row r="2004" s="69" customFormat="1" x14ac:dyDescent="0.15"/>
    <row r="2005" s="69" customFormat="1" x14ac:dyDescent="0.15"/>
    <row r="2006" s="69" customFormat="1" x14ac:dyDescent="0.15"/>
    <row r="2007" s="69" customFormat="1" x14ac:dyDescent="0.15"/>
    <row r="2008" s="69" customFormat="1" x14ac:dyDescent="0.15"/>
    <row r="2009" s="69" customFormat="1" x14ac:dyDescent="0.15"/>
    <row r="2010" s="69" customFormat="1" x14ac:dyDescent="0.15"/>
    <row r="2011" s="69" customFormat="1" x14ac:dyDescent="0.15"/>
    <row r="2012" s="69" customFormat="1" x14ac:dyDescent="0.15"/>
    <row r="2013" s="69" customFormat="1" x14ac:dyDescent="0.15"/>
    <row r="2014" s="69" customFormat="1" x14ac:dyDescent="0.15"/>
    <row r="2015" s="69" customFormat="1" x14ac:dyDescent="0.15"/>
    <row r="2016" s="69" customFormat="1" x14ac:dyDescent="0.15"/>
    <row r="2017" s="69" customFormat="1" x14ac:dyDescent="0.15"/>
    <row r="2018" s="69" customFormat="1" x14ac:dyDescent="0.15"/>
    <row r="2019" s="69" customFormat="1" x14ac:dyDescent="0.15"/>
    <row r="2020" s="69" customFormat="1" x14ac:dyDescent="0.15"/>
    <row r="2021" s="69" customFormat="1" x14ac:dyDescent="0.15"/>
    <row r="2022" s="69" customFormat="1" x14ac:dyDescent="0.15"/>
    <row r="2023" s="69" customFormat="1" x14ac:dyDescent="0.15"/>
    <row r="2024" s="69" customFormat="1" x14ac:dyDescent="0.15"/>
    <row r="2025" s="69" customFormat="1" x14ac:dyDescent="0.15"/>
    <row r="2026" s="69" customFormat="1" x14ac:dyDescent="0.15"/>
    <row r="2027" s="69" customFormat="1" x14ac:dyDescent="0.15"/>
    <row r="2028" s="69" customFormat="1" x14ac:dyDescent="0.15"/>
    <row r="2029" s="69" customFormat="1" x14ac:dyDescent="0.15"/>
    <row r="2030" s="69" customFormat="1" x14ac:dyDescent="0.15"/>
    <row r="2031" s="69" customFormat="1" x14ac:dyDescent="0.15"/>
    <row r="2032" s="69" customFormat="1" x14ac:dyDescent="0.15"/>
    <row r="2033" s="69" customFormat="1" x14ac:dyDescent="0.15"/>
    <row r="2034" s="69" customFormat="1" x14ac:dyDescent="0.15"/>
    <row r="2035" s="69" customFormat="1" x14ac:dyDescent="0.15"/>
    <row r="2036" s="69" customFormat="1" x14ac:dyDescent="0.15"/>
    <row r="2037" s="69" customFormat="1" x14ac:dyDescent="0.15"/>
    <row r="2038" s="69" customFormat="1" x14ac:dyDescent="0.15"/>
    <row r="2039" s="69" customFormat="1" x14ac:dyDescent="0.15"/>
    <row r="2040" s="69" customFormat="1" x14ac:dyDescent="0.15"/>
    <row r="2041" s="69" customFormat="1" x14ac:dyDescent="0.15"/>
    <row r="2042" s="69" customFormat="1" x14ac:dyDescent="0.15"/>
    <row r="2043" s="69" customFormat="1" x14ac:dyDescent="0.15"/>
    <row r="2044" s="69" customFormat="1" x14ac:dyDescent="0.15"/>
    <row r="2045" s="69" customFormat="1" x14ac:dyDescent="0.15"/>
    <row r="2046" s="69" customFormat="1" x14ac:dyDescent="0.15"/>
    <row r="2047" s="69" customFormat="1" x14ac:dyDescent="0.15"/>
    <row r="2048" s="69" customFormat="1" x14ac:dyDescent="0.15"/>
    <row r="2049" s="69" customFormat="1" x14ac:dyDescent="0.15"/>
    <row r="2050" s="69" customFormat="1" x14ac:dyDescent="0.15"/>
    <row r="2051" s="69" customFormat="1" x14ac:dyDescent="0.15"/>
    <row r="2052" s="69" customFormat="1" x14ac:dyDescent="0.15"/>
    <row r="2053" s="69" customFormat="1" x14ac:dyDescent="0.15"/>
    <row r="2054" s="69" customFormat="1" x14ac:dyDescent="0.15"/>
    <row r="2055" s="69" customFormat="1" x14ac:dyDescent="0.15"/>
    <row r="2056" s="69" customFormat="1" x14ac:dyDescent="0.15"/>
    <row r="2057" s="69" customFormat="1" x14ac:dyDescent="0.15"/>
    <row r="2058" s="69" customFormat="1" x14ac:dyDescent="0.15"/>
    <row r="2059" s="69" customFormat="1" x14ac:dyDescent="0.15"/>
    <row r="2060" s="69" customFormat="1" x14ac:dyDescent="0.15"/>
    <row r="2061" s="69" customFormat="1" x14ac:dyDescent="0.15"/>
    <row r="2062" s="69" customFormat="1" x14ac:dyDescent="0.15"/>
    <row r="2063" s="69" customFormat="1" x14ac:dyDescent="0.15"/>
    <row r="2064" s="69" customFormat="1" x14ac:dyDescent="0.15"/>
    <row r="2065" s="69" customFormat="1" x14ac:dyDescent="0.15"/>
    <row r="2066" s="69" customFormat="1" x14ac:dyDescent="0.15"/>
    <row r="2067" s="69" customFormat="1" x14ac:dyDescent="0.15"/>
    <row r="2068" s="69" customFormat="1" x14ac:dyDescent="0.15"/>
    <row r="2069" s="69" customFormat="1" x14ac:dyDescent="0.15"/>
    <row r="2070" s="69" customFormat="1" x14ac:dyDescent="0.15"/>
    <row r="2071" s="69" customFormat="1" x14ac:dyDescent="0.15"/>
    <row r="2072" s="69" customFormat="1" x14ac:dyDescent="0.15"/>
    <row r="2073" s="69" customFormat="1" x14ac:dyDescent="0.15"/>
    <row r="2074" s="69" customFormat="1" x14ac:dyDescent="0.15"/>
    <row r="2075" s="69" customFormat="1" x14ac:dyDescent="0.15"/>
    <row r="2076" s="69" customFormat="1" x14ac:dyDescent="0.15"/>
    <row r="2077" s="69" customFormat="1" x14ac:dyDescent="0.15"/>
    <row r="2078" s="69" customFormat="1" x14ac:dyDescent="0.15"/>
    <row r="2079" s="69" customFormat="1" x14ac:dyDescent="0.15"/>
    <row r="2080" s="69" customFormat="1" x14ac:dyDescent="0.15"/>
    <row r="2081" s="69" customFormat="1" x14ac:dyDescent="0.15"/>
    <row r="2082" s="69" customFormat="1" x14ac:dyDescent="0.15"/>
    <row r="2083" s="69" customFormat="1" x14ac:dyDescent="0.15"/>
    <row r="2084" s="69" customFormat="1" x14ac:dyDescent="0.15"/>
    <row r="2085" s="69" customFormat="1" x14ac:dyDescent="0.15"/>
    <row r="2086" s="69" customFormat="1" x14ac:dyDescent="0.15"/>
    <row r="2087" s="69" customFormat="1" x14ac:dyDescent="0.15"/>
    <row r="2088" s="69" customFormat="1" x14ac:dyDescent="0.15"/>
    <row r="2089" s="69" customFormat="1" x14ac:dyDescent="0.15"/>
    <row r="2090" s="69" customFormat="1" x14ac:dyDescent="0.15"/>
    <row r="2091" s="69" customFormat="1" x14ac:dyDescent="0.15"/>
    <row r="2092" s="69" customFormat="1" x14ac:dyDescent="0.15"/>
    <row r="2093" s="69" customFormat="1" x14ac:dyDescent="0.15"/>
    <row r="2094" s="69" customFormat="1" x14ac:dyDescent="0.15"/>
    <row r="2095" s="69" customFormat="1" x14ac:dyDescent="0.15"/>
    <row r="2096" s="69" customFormat="1" x14ac:dyDescent="0.15"/>
    <row r="2097" s="69" customFormat="1" x14ac:dyDescent="0.15"/>
    <row r="2098" s="69" customFormat="1" x14ac:dyDescent="0.15"/>
    <row r="2099" s="69" customFormat="1" x14ac:dyDescent="0.15"/>
    <row r="2100" s="69" customFormat="1" x14ac:dyDescent="0.15"/>
    <row r="2101" s="69" customFormat="1" x14ac:dyDescent="0.15"/>
    <row r="2102" s="69" customFormat="1" x14ac:dyDescent="0.15"/>
    <row r="2103" s="69" customFormat="1" x14ac:dyDescent="0.15"/>
    <row r="2104" s="69" customFormat="1" x14ac:dyDescent="0.15"/>
    <row r="2105" s="69" customFormat="1" x14ac:dyDescent="0.15"/>
    <row r="2106" s="69" customFormat="1" x14ac:dyDescent="0.15"/>
    <row r="2107" s="69" customFormat="1" x14ac:dyDescent="0.15"/>
    <row r="2108" s="69" customFormat="1" x14ac:dyDescent="0.15"/>
    <row r="2109" s="69" customFormat="1" x14ac:dyDescent="0.15"/>
    <row r="2110" s="69" customFormat="1" x14ac:dyDescent="0.15"/>
    <row r="2111" s="69" customFormat="1" x14ac:dyDescent="0.15"/>
    <row r="2112" s="69" customFormat="1" x14ac:dyDescent="0.15"/>
    <row r="2113" s="69" customFormat="1" x14ac:dyDescent="0.15"/>
    <row r="2114" s="69" customFormat="1" x14ac:dyDescent="0.15"/>
    <row r="2115" s="69" customFormat="1" x14ac:dyDescent="0.15"/>
    <row r="2116" s="69" customFormat="1" x14ac:dyDescent="0.15"/>
    <row r="2117" s="69" customFormat="1" x14ac:dyDescent="0.15"/>
    <row r="2118" s="69" customFormat="1" x14ac:dyDescent="0.15"/>
    <row r="2119" s="69" customFormat="1" x14ac:dyDescent="0.15"/>
    <row r="2120" s="69" customFormat="1" x14ac:dyDescent="0.15"/>
    <row r="2121" s="69" customFormat="1" x14ac:dyDescent="0.15"/>
    <row r="2122" s="69" customFormat="1" x14ac:dyDescent="0.15"/>
    <row r="2123" s="69" customFormat="1" x14ac:dyDescent="0.15"/>
    <row r="2124" s="69" customFormat="1" x14ac:dyDescent="0.15"/>
    <row r="2125" s="69" customFormat="1" x14ac:dyDescent="0.15"/>
    <row r="2126" s="69" customFormat="1" x14ac:dyDescent="0.15"/>
    <row r="2127" s="69" customFormat="1" x14ac:dyDescent="0.15"/>
    <row r="2128" s="69" customFormat="1" x14ac:dyDescent="0.15"/>
    <row r="2129" s="69" customFormat="1" x14ac:dyDescent="0.15"/>
    <row r="2130" s="69" customFormat="1" x14ac:dyDescent="0.15"/>
    <row r="2131" s="69" customFormat="1" x14ac:dyDescent="0.15"/>
    <row r="2132" s="69" customFormat="1" x14ac:dyDescent="0.15"/>
    <row r="2133" s="69" customFormat="1" x14ac:dyDescent="0.15"/>
    <row r="2134" s="69" customFormat="1" x14ac:dyDescent="0.15"/>
    <row r="2135" s="69" customFormat="1" x14ac:dyDescent="0.15"/>
    <row r="2136" s="69" customFormat="1" x14ac:dyDescent="0.15"/>
    <row r="2137" s="69" customFormat="1" x14ac:dyDescent="0.15"/>
    <row r="2138" s="69" customFormat="1" x14ac:dyDescent="0.15"/>
    <row r="2139" s="69" customFormat="1" x14ac:dyDescent="0.15"/>
    <row r="2140" s="69" customFormat="1" x14ac:dyDescent="0.15"/>
    <row r="2141" s="69" customFormat="1" x14ac:dyDescent="0.15"/>
    <row r="2142" s="69" customFormat="1" x14ac:dyDescent="0.15"/>
    <row r="2143" s="69" customFormat="1" x14ac:dyDescent="0.15"/>
    <row r="2144" s="69" customFormat="1" x14ac:dyDescent="0.15"/>
    <row r="2145" s="69" customFormat="1" x14ac:dyDescent="0.15"/>
    <row r="2146" s="69" customFormat="1" x14ac:dyDescent="0.15"/>
    <row r="2147" s="69" customFormat="1" x14ac:dyDescent="0.15"/>
    <row r="2148" s="69" customFormat="1" x14ac:dyDescent="0.15"/>
    <row r="2149" s="69" customFormat="1" x14ac:dyDescent="0.15"/>
    <row r="2150" s="69" customFormat="1" x14ac:dyDescent="0.15"/>
    <row r="2151" s="69" customFormat="1" x14ac:dyDescent="0.15"/>
    <row r="2152" s="69" customFormat="1" x14ac:dyDescent="0.15"/>
    <row r="2153" s="69" customFormat="1" x14ac:dyDescent="0.15"/>
    <row r="2154" s="69" customFormat="1" x14ac:dyDescent="0.15"/>
    <row r="2155" s="69" customFormat="1" x14ac:dyDescent="0.15"/>
    <row r="2156" s="69" customFormat="1" x14ac:dyDescent="0.15"/>
    <row r="2157" s="69" customFormat="1" x14ac:dyDescent="0.15"/>
    <row r="2158" s="69" customFormat="1" x14ac:dyDescent="0.15"/>
    <row r="2159" s="69" customFormat="1" x14ac:dyDescent="0.15"/>
    <row r="2160" s="69" customFormat="1" x14ac:dyDescent="0.15"/>
    <row r="2161" s="69" customFormat="1" x14ac:dyDescent="0.15"/>
    <row r="2162" s="69" customFormat="1" x14ac:dyDescent="0.15"/>
    <row r="2163" s="69" customFormat="1" x14ac:dyDescent="0.15"/>
    <row r="2164" s="69" customFormat="1" x14ac:dyDescent="0.15"/>
    <row r="2165" s="69" customFormat="1" x14ac:dyDescent="0.15"/>
    <row r="2166" s="69" customFormat="1" x14ac:dyDescent="0.15"/>
    <row r="2167" s="69" customFormat="1" x14ac:dyDescent="0.15"/>
    <row r="2168" s="69" customFormat="1" x14ac:dyDescent="0.15"/>
    <row r="2169" s="69" customFormat="1" x14ac:dyDescent="0.15"/>
    <row r="2170" s="69" customFormat="1" x14ac:dyDescent="0.15"/>
    <row r="2171" s="69" customFormat="1" x14ac:dyDescent="0.15"/>
    <row r="2172" s="69" customFormat="1" x14ac:dyDescent="0.15"/>
    <row r="2173" s="69" customFormat="1" x14ac:dyDescent="0.15"/>
    <row r="2174" s="69" customFormat="1" x14ac:dyDescent="0.15"/>
    <row r="2175" s="69" customFormat="1" x14ac:dyDescent="0.15"/>
    <row r="2176" s="69" customFormat="1" x14ac:dyDescent="0.15"/>
    <row r="2177" s="69" customFormat="1" x14ac:dyDescent="0.15"/>
    <row r="2178" s="69" customFormat="1" x14ac:dyDescent="0.15"/>
    <row r="2179" s="69" customFormat="1" x14ac:dyDescent="0.15"/>
    <row r="2180" s="69" customFormat="1" x14ac:dyDescent="0.15"/>
    <row r="2181" s="69" customFormat="1" x14ac:dyDescent="0.15"/>
    <row r="2182" s="69" customFormat="1" x14ac:dyDescent="0.15"/>
    <row r="2183" s="69" customFormat="1" x14ac:dyDescent="0.15"/>
    <row r="2184" s="69" customFormat="1" x14ac:dyDescent="0.15"/>
    <row r="2185" s="69" customFormat="1" x14ac:dyDescent="0.15"/>
    <row r="2186" s="69" customFormat="1" x14ac:dyDescent="0.15"/>
    <row r="2187" s="69" customFormat="1" x14ac:dyDescent="0.15"/>
    <row r="2188" s="69" customFormat="1" x14ac:dyDescent="0.15"/>
    <row r="2189" s="69" customFormat="1" x14ac:dyDescent="0.15"/>
    <row r="2190" s="69" customFormat="1" x14ac:dyDescent="0.15"/>
    <row r="2191" s="69" customFormat="1" x14ac:dyDescent="0.15"/>
    <row r="2192" s="69" customFormat="1" x14ac:dyDescent="0.15"/>
    <row r="2193" s="69" customFormat="1" x14ac:dyDescent="0.15"/>
    <row r="2194" s="69" customFormat="1" x14ac:dyDescent="0.15"/>
    <row r="2195" s="69" customFormat="1" x14ac:dyDescent="0.15"/>
    <row r="2196" s="69" customFormat="1" x14ac:dyDescent="0.15"/>
    <row r="2197" s="69" customFormat="1" x14ac:dyDescent="0.15"/>
    <row r="2198" s="69" customFormat="1" x14ac:dyDescent="0.15"/>
    <row r="2199" s="69" customFormat="1" x14ac:dyDescent="0.15"/>
    <row r="2200" s="69" customFormat="1" x14ac:dyDescent="0.15"/>
    <row r="2201" s="69" customFormat="1" x14ac:dyDescent="0.15"/>
    <row r="2202" s="69" customFormat="1" x14ac:dyDescent="0.15"/>
    <row r="2203" s="69" customFormat="1" x14ac:dyDescent="0.15"/>
    <row r="2204" s="69" customFormat="1" x14ac:dyDescent="0.15"/>
    <row r="2205" s="69" customFormat="1" x14ac:dyDescent="0.15"/>
    <row r="2206" s="69" customFormat="1" x14ac:dyDescent="0.15"/>
    <row r="2207" s="69" customFormat="1" x14ac:dyDescent="0.15"/>
    <row r="2208" s="69" customFormat="1" x14ac:dyDescent="0.15"/>
    <row r="2209" s="69" customFormat="1" x14ac:dyDescent="0.15"/>
    <row r="2210" s="69" customFormat="1" x14ac:dyDescent="0.15"/>
    <row r="2211" s="69" customFormat="1" x14ac:dyDescent="0.15"/>
    <row r="2212" s="69" customFormat="1" x14ac:dyDescent="0.15"/>
    <row r="2213" s="69" customFormat="1" x14ac:dyDescent="0.15"/>
    <row r="2214" s="69" customFormat="1" x14ac:dyDescent="0.15"/>
    <row r="2215" s="69" customFormat="1" x14ac:dyDescent="0.15"/>
    <row r="2216" s="69" customFormat="1" x14ac:dyDescent="0.15"/>
    <row r="2217" s="69" customFormat="1" x14ac:dyDescent="0.15"/>
    <row r="2218" s="69" customFormat="1" x14ac:dyDescent="0.15"/>
    <row r="2219" s="69" customFormat="1" x14ac:dyDescent="0.15"/>
    <row r="2220" s="69" customFormat="1" x14ac:dyDescent="0.15"/>
    <row r="2221" s="69" customFormat="1" x14ac:dyDescent="0.15"/>
    <row r="2222" s="69" customFormat="1" x14ac:dyDescent="0.15"/>
    <row r="2223" s="69" customFormat="1" x14ac:dyDescent="0.15"/>
    <row r="2224" s="69" customFormat="1" x14ac:dyDescent="0.15"/>
    <row r="2225" s="69" customFormat="1" x14ac:dyDescent="0.15"/>
    <row r="2226" s="69" customFormat="1" x14ac:dyDescent="0.15"/>
    <row r="2227" s="69" customFormat="1" x14ac:dyDescent="0.15"/>
    <row r="2228" s="69" customFormat="1" x14ac:dyDescent="0.15"/>
    <row r="2229" s="69" customFormat="1" x14ac:dyDescent="0.15"/>
    <row r="2230" s="69" customFormat="1" x14ac:dyDescent="0.15"/>
    <row r="2231" s="69" customFormat="1" x14ac:dyDescent="0.15"/>
    <row r="2232" s="69" customFormat="1" x14ac:dyDescent="0.15"/>
    <row r="2233" s="69" customFormat="1" x14ac:dyDescent="0.15"/>
    <row r="2234" s="69" customFormat="1" x14ac:dyDescent="0.15"/>
    <row r="2235" s="69" customFormat="1" x14ac:dyDescent="0.15"/>
    <row r="2236" s="69" customFormat="1" x14ac:dyDescent="0.15"/>
    <row r="2237" s="69" customFormat="1" x14ac:dyDescent="0.15"/>
    <row r="2238" s="69" customFormat="1" x14ac:dyDescent="0.15"/>
    <row r="2239" s="69" customFormat="1" x14ac:dyDescent="0.15"/>
    <row r="2240" s="69" customFormat="1" x14ac:dyDescent="0.15"/>
    <row r="2241" s="69" customFormat="1" x14ac:dyDescent="0.15"/>
    <row r="2242" s="69" customFormat="1" x14ac:dyDescent="0.15"/>
    <row r="2243" s="69" customFormat="1" x14ac:dyDescent="0.15"/>
    <row r="2244" s="69" customFormat="1" x14ac:dyDescent="0.15"/>
    <row r="2245" s="69" customFormat="1" x14ac:dyDescent="0.15"/>
    <row r="2246" s="69" customFormat="1" x14ac:dyDescent="0.15"/>
    <row r="2247" s="69" customFormat="1" x14ac:dyDescent="0.15"/>
    <row r="2248" s="69" customFormat="1" x14ac:dyDescent="0.15"/>
    <row r="2249" s="69" customFormat="1" x14ac:dyDescent="0.15"/>
    <row r="2250" s="69" customFormat="1" x14ac:dyDescent="0.15"/>
    <row r="2251" s="69" customFormat="1" x14ac:dyDescent="0.15"/>
    <row r="2252" s="69" customFormat="1" x14ac:dyDescent="0.15"/>
    <row r="2253" s="69" customFormat="1" x14ac:dyDescent="0.15"/>
    <row r="2254" s="69" customFormat="1" x14ac:dyDescent="0.15"/>
    <row r="2255" s="69" customFormat="1" x14ac:dyDescent="0.15"/>
    <row r="2256" s="69" customFormat="1" x14ac:dyDescent="0.15"/>
    <row r="2257" s="69" customFormat="1" x14ac:dyDescent="0.15"/>
    <row r="2258" s="69" customFormat="1" x14ac:dyDescent="0.15"/>
    <row r="2259" s="69" customFormat="1" x14ac:dyDescent="0.15"/>
    <row r="2260" s="69" customFormat="1" x14ac:dyDescent="0.15"/>
    <row r="2261" s="69" customFormat="1" x14ac:dyDescent="0.15"/>
    <row r="2262" s="69" customFormat="1" x14ac:dyDescent="0.15"/>
    <row r="2263" s="69" customFormat="1" x14ac:dyDescent="0.15"/>
    <row r="2264" s="69" customFormat="1" x14ac:dyDescent="0.15"/>
    <row r="2265" s="69" customFormat="1" x14ac:dyDescent="0.15"/>
    <row r="2266" s="69" customFormat="1" x14ac:dyDescent="0.15"/>
    <row r="2267" s="69" customFormat="1" x14ac:dyDescent="0.15"/>
    <row r="2268" s="69" customFormat="1" x14ac:dyDescent="0.15"/>
    <row r="2269" s="69" customFormat="1" x14ac:dyDescent="0.15"/>
    <row r="2270" s="69" customFormat="1" x14ac:dyDescent="0.15"/>
    <row r="2271" s="69" customFormat="1" x14ac:dyDescent="0.15"/>
    <row r="2272" s="69" customFormat="1" x14ac:dyDescent="0.15"/>
    <row r="2273" s="69" customFormat="1" x14ac:dyDescent="0.15"/>
    <row r="2274" s="69" customFormat="1" x14ac:dyDescent="0.15"/>
    <row r="2275" s="69" customFormat="1" x14ac:dyDescent="0.15"/>
    <row r="2276" s="69" customFormat="1" x14ac:dyDescent="0.15"/>
    <row r="2277" s="69" customFormat="1" x14ac:dyDescent="0.15"/>
    <row r="2278" s="69" customFormat="1" x14ac:dyDescent="0.15"/>
    <row r="2279" s="69" customFormat="1" x14ac:dyDescent="0.15"/>
    <row r="2280" s="69" customFormat="1" x14ac:dyDescent="0.15"/>
    <row r="2281" s="69" customFormat="1" x14ac:dyDescent="0.15"/>
    <row r="2282" s="69" customFormat="1" x14ac:dyDescent="0.15"/>
    <row r="2283" s="69" customFormat="1" x14ac:dyDescent="0.15"/>
    <row r="2284" s="69" customFormat="1" x14ac:dyDescent="0.15"/>
    <row r="2285" s="69" customFormat="1" x14ac:dyDescent="0.15"/>
    <row r="2286" s="69" customFormat="1" x14ac:dyDescent="0.15"/>
    <row r="2287" s="69" customFormat="1" x14ac:dyDescent="0.15"/>
    <row r="2288" s="69" customFormat="1" x14ac:dyDescent="0.15"/>
    <row r="2289" s="69" customFormat="1" x14ac:dyDescent="0.15"/>
    <row r="2290" s="69" customFormat="1" x14ac:dyDescent="0.15"/>
    <row r="2291" s="69" customFormat="1" x14ac:dyDescent="0.15"/>
    <row r="2292" s="69" customFormat="1" x14ac:dyDescent="0.15"/>
    <row r="2293" s="69" customFormat="1" x14ac:dyDescent="0.15"/>
    <row r="2294" s="69" customFormat="1" x14ac:dyDescent="0.15"/>
    <row r="2295" s="69" customFormat="1" x14ac:dyDescent="0.15"/>
    <row r="2296" s="69" customFormat="1" x14ac:dyDescent="0.15"/>
    <row r="2297" s="69" customFormat="1" x14ac:dyDescent="0.15"/>
    <row r="2298" s="69" customFormat="1" x14ac:dyDescent="0.15"/>
    <row r="2299" s="69" customFormat="1" x14ac:dyDescent="0.15"/>
    <row r="2300" s="69" customFormat="1" x14ac:dyDescent="0.15"/>
    <row r="2301" s="69" customFormat="1" x14ac:dyDescent="0.15"/>
    <row r="2302" s="69" customFormat="1" x14ac:dyDescent="0.15"/>
    <row r="2303" s="69" customFormat="1" x14ac:dyDescent="0.15"/>
    <row r="2304" s="69" customFormat="1" x14ac:dyDescent="0.15"/>
    <row r="2305" s="69" customFormat="1" x14ac:dyDescent="0.15"/>
    <row r="2306" s="69" customFormat="1" x14ac:dyDescent="0.15"/>
    <row r="2307" s="69" customFormat="1" x14ac:dyDescent="0.15"/>
    <row r="2308" s="69" customFormat="1" x14ac:dyDescent="0.15"/>
    <row r="2309" s="69" customFormat="1" x14ac:dyDescent="0.15"/>
    <row r="2310" s="69" customFormat="1" x14ac:dyDescent="0.15"/>
    <row r="2311" s="69" customFormat="1" x14ac:dyDescent="0.15"/>
    <row r="2312" s="69" customFormat="1" x14ac:dyDescent="0.15"/>
    <row r="2313" s="69" customFormat="1" x14ac:dyDescent="0.15"/>
    <row r="2314" s="69" customFormat="1" x14ac:dyDescent="0.15"/>
    <row r="2315" s="69" customFormat="1" x14ac:dyDescent="0.15"/>
    <row r="2316" s="69" customFormat="1" x14ac:dyDescent="0.15"/>
    <row r="2317" s="69" customFormat="1" x14ac:dyDescent="0.15"/>
    <row r="2318" s="69" customFormat="1" x14ac:dyDescent="0.15"/>
    <row r="2319" s="69" customFormat="1" x14ac:dyDescent="0.15"/>
    <row r="2320" s="69" customFormat="1" x14ac:dyDescent="0.15"/>
    <row r="2321" s="69" customFormat="1" x14ac:dyDescent="0.15"/>
    <row r="2322" s="69" customFormat="1" x14ac:dyDescent="0.15"/>
    <row r="2323" s="69" customFormat="1" x14ac:dyDescent="0.15"/>
    <row r="2324" s="69" customFormat="1" x14ac:dyDescent="0.15"/>
    <row r="2325" s="69" customFormat="1" x14ac:dyDescent="0.15"/>
    <row r="2326" s="69" customFormat="1" x14ac:dyDescent="0.15"/>
    <row r="2327" s="69" customFormat="1" x14ac:dyDescent="0.15"/>
    <row r="2328" s="69" customFormat="1" x14ac:dyDescent="0.15"/>
    <row r="2329" s="69" customFormat="1" x14ac:dyDescent="0.15"/>
    <row r="2330" s="69" customFormat="1" x14ac:dyDescent="0.15"/>
    <row r="2331" s="69" customFormat="1" x14ac:dyDescent="0.15"/>
    <row r="2332" s="69" customFormat="1" x14ac:dyDescent="0.15"/>
    <row r="2333" s="69" customFormat="1" x14ac:dyDescent="0.15"/>
    <row r="2334" s="69" customFormat="1" x14ac:dyDescent="0.15"/>
    <row r="2335" s="69" customFormat="1" x14ac:dyDescent="0.15"/>
    <row r="2336" s="69" customFormat="1" x14ac:dyDescent="0.15"/>
    <row r="2337" s="69" customFormat="1" x14ac:dyDescent="0.15"/>
    <row r="2338" s="69" customFormat="1" x14ac:dyDescent="0.15"/>
    <row r="2339" s="69" customFormat="1" x14ac:dyDescent="0.15"/>
    <row r="2340" s="69" customFormat="1" x14ac:dyDescent="0.15"/>
    <row r="2341" s="69" customFormat="1" x14ac:dyDescent="0.15"/>
    <row r="2342" s="69" customFormat="1" x14ac:dyDescent="0.15"/>
    <row r="2343" s="69" customFormat="1" x14ac:dyDescent="0.15"/>
    <row r="2344" s="69" customFormat="1" x14ac:dyDescent="0.15"/>
    <row r="2345" s="69" customFormat="1" x14ac:dyDescent="0.15"/>
    <row r="2346" s="69" customFormat="1" x14ac:dyDescent="0.15"/>
    <row r="2347" s="69" customFormat="1" x14ac:dyDescent="0.15"/>
    <row r="2348" s="69" customFormat="1" x14ac:dyDescent="0.15"/>
    <row r="2349" s="69" customFormat="1" x14ac:dyDescent="0.15"/>
    <row r="2350" s="69" customFormat="1" x14ac:dyDescent="0.15"/>
    <row r="2351" s="69" customFormat="1" x14ac:dyDescent="0.15"/>
    <row r="2352" s="69" customFormat="1" x14ac:dyDescent="0.15"/>
    <row r="2353" s="69" customFormat="1" x14ac:dyDescent="0.15"/>
    <row r="2354" s="69" customFormat="1" x14ac:dyDescent="0.15"/>
    <row r="2355" s="69" customFormat="1" x14ac:dyDescent="0.15"/>
    <row r="2356" s="69" customFormat="1" x14ac:dyDescent="0.15"/>
    <row r="2357" s="69" customFormat="1" x14ac:dyDescent="0.15"/>
    <row r="2358" s="69" customFormat="1" x14ac:dyDescent="0.15"/>
    <row r="2359" s="69" customFormat="1" x14ac:dyDescent="0.15"/>
    <row r="2360" s="69" customFormat="1" x14ac:dyDescent="0.15"/>
    <row r="2361" s="69" customFormat="1" x14ac:dyDescent="0.15"/>
    <row r="2362" s="69" customFormat="1" x14ac:dyDescent="0.15"/>
    <row r="2363" s="69" customFormat="1" x14ac:dyDescent="0.15"/>
    <row r="2364" s="69" customFormat="1" x14ac:dyDescent="0.15"/>
    <row r="2365" s="69" customFormat="1" x14ac:dyDescent="0.15"/>
    <row r="2366" s="69" customFormat="1" x14ac:dyDescent="0.15"/>
    <row r="2367" s="69" customFormat="1" x14ac:dyDescent="0.15"/>
    <row r="2368" s="69" customFormat="1" x14ac:dyDescent="0.15"/>
    <row r="2369" s="69" customFormat="1" x14ac:dyDescent="0.15"/>
    <row r="2370" s="69" customFormat="1" x14ac:dyDescent="0.15"/>
    <row r="2371" s="69" customFormat="1" x14ac:dyDescent="0.15"/>
    <row r="2372" s="69" customFormat="1" x14ac:dyDescent="0.15"/>
    <row r="2373" s="69" customFormat="1" x14ac:dyDescent="0.15"/>
    <row r="2374" s="69" customFormat="1" x14ac:dyDescent="0.15"/>
    <row r="2375" s="69" customFormat="1" x14ac:dyDescent="0.15"/>
    <row r="2376" s="69" customFormat="1" x14ac:dyDescent="0.15"/>
    <row r="2377" s="69" customFormat="1" x14ac:dyDescent="0.15"/>
    <row r="2378" s="69" customFormat="1" x14ac:dyDescent="0.15"/>
    <row r="2379" s="69" customFormat="1" x14ac:dyDescent="0.15"/>
    <row r="2380" s="69" customFormat="1" x14ac:dyDescent="0.15"/>
    <row r="2381" s="69" customFormat="1" x14ac:dyDescent="0.15"/>
    <row r="2382" s="69" customFormat="1" x14ac:dyDescent="0.15"/>
    <row r="2383" s="69" customFormat="1" x14ac:dyDescent="0.15"/>
    <row r="2384" s="69" customFormat="1" x14ac:dyDescent="0.15"/>
    <row r="2385" s="69" customFormat="1" x14ac:dyDescent="0.15"/>
    <row r="2386" s="69" customFormat="1" x14ac:dyDescent="0.15"/>
    <row r="2387" s="69" customFormat="1" x14ac:dyDescent="0.15"/>
    <row r="2388" s="69" customFormat="1" x14ac:dyDescent="0.15"/>
    <row r="2389" s="69" customFormat="1" x14ac:dyDescent="0.15"/>
    <row r="2390" s="69" customFormat="1" x14ac:dyDescent="0.15"/>
    <row r="2391" s="69" customFormat="1" x14ac:dyDescent="0.15"/>
    <row r="2392" s="69" customFormat="1" x14ac:dyDescent="0.15"/>
    <row r="2393" s="69" customFormat="1" x14ac:dyDescent="0.15"/>
    <row r="2394" s="69" customFormat="1" x14ac:dyDescent="0.15"/>
    <row r="2395" s="69" customFormat="1" x14ac:dyDescent="0.15"/>
    <row r="2396" s="69" customFormat="1" x14ac:dyDescent="0.15"/>
    <row r="2397" s="69" customFormat="1" x14ac:dyDescent="0.15"/>
    <row r="2398" s="69" customFormat="1" x14ac:dyDescent="0.15"/>
    <row r="2399" s="69" customFormat="1" x14ac:dyDescent="0.15"/>
    <row r="2400" s="69" customFormat="1" x14ac:dyDescent="0.15"/>
    <row r="2401" s="69" customFormat="1" x14ac:dyDescent="0.15"/>
    <row r="2402" s="69" customFormat="1" x14ac:dyDescent="0.15"/>
    <row r="2403" s="69" customFormat="1" x14ac:dyDescent="0.15"/>
    <row r="2404" s="69" customFormat="1" x14ac:dyDescent="0.15"/>
    <row r="2405" s="69" customFormat="1" x14ac:dyDescent="0.15"/>
    <row r="2406" s="69" customFormat="1" x14ac:dyDescent="0.15"/>
    <row r="2407" s="69" customFormat="1" x14ac:dyDescent="0.15"/>
    <row r="2408" s="69" customFormat="1" x14ac:dyDescent="0.15"/>
    <row r="2409" s="69" customFormat="1" x14ac:dyDescent="0.15"/>
    <row r="2410" s="69" customFormat="1" x14ac:dyDescent="0.15"/>
    <row r="2411" s="69" customFormat="1" x14ac:dyDescent="0.15"/>
    <row r="2412" s="69" customFormat="1" x14ac:dyDescent="0.15"/>
    <row r="2413" s="69" customFormat="1" x14ac:dyDescent="0.15"/>
    <row r="2414" s="69" customFormat="1" x14ac:dyDescent="0.15"/>
    <row r="2415" s="69" customFormat="1" x14ac:dyDescent="0.15"/>
    <row r="2416" s="69" customFormat="1" x14ac:dyDescent="0.15"/>
    <row r="2417" s="69" customFormat="1" x14ac:dyDescent="0.15"/>
    <row r="2418" s="69" customFormat="1" x14ac:dyDescent="0.15"/>
    <row r="2419" s="69" customFormat="1" x14ac:dyDescent="0.15"/>
    <row r="2420" s="69" customFormat="1" x14ac:dyDescent="0.15"/>
    <row r="2421" s="69" customFormat="1" x14ac:dyDescent="0.15"/>
    <row r="2422" s="69" customFormat="1" x14ac:dyDescent="0.15"/>
    <row r="2423" s="69" customFormat="1" x14ac:dyDescent="0.15"/>
    <row r="2424" s="69" customFormat="1" x14ac:dyDescent="0.15"/>
    <row r="2425" s="69" customFormat="1" x14ac:dyDescent="0.15"/>
    <row r="2426" s="69" customFormat="1" x14ac:dyDescent="0.15"/>
    <row r="2427" s="69" customFormat="1" x14ac:dyDescent="0.15"/>
    <row r="2428" s="69" customFormat="1" x14ac:dyDescent="0.15"/>
    <row r="2429" s="69" customFormat="1" x14ac:dyDescent="0.15"/>
    <row r="2430" s="69" customFormat="1" x14ac:dyDescent="0.15"/>
    <row r="2431" s="69" customFormat="1" x14ac:dyDescent="0.15"/>
    <row r="2432" s="69" customFormat="1" x14ac:dyDescent="0.15"/>
    <row r="2433" s="69" customFormat="1" x14ac:dyDescent="0.15"/>
    <row r="2434" s="69" customFormat="1" x14ac:dyDescent="0.15"/>
    <row r="2435" s="69" customFormat="1" x14ac:dyDescent="0.15"/>
    <row r="2436" s="69" customFormat="1" x14ac:dyDescent="0.15"/>
    <row r="2437" s="69" customFormat="1" x14ac:dyDescent="0.15"/>
    <row r="2438" s="69" customFormat="1" x14ac:dyDescent="0.15"/>
    <row r="2439" s="69" customFormat="1" x14ac:dyDescent="0.15"/>
    <row r="2440" s="69" customFormat="1" x14ac:dyDescent="0.15"/>
    <row r="2441" s="69" customFormat="1" x14ac:dyDescent="0.15"/>
    <row r="2442" s="69" customFormat="1" x14ac:dyDescent="0.15"/>
    <row r="2443" s="69" customFormat="1" x14ac:dyDescent="0.15"/>
    <row r="2444" s="69" customFormat="1" x14ac:dyDescent="0.15"/>
    <row r="2445" s="69" customFormat="1" x14ac:dyDescent="0.15"/>
    <row r="2446" s="69" customFormat="1" x14ac:dyDescent="0.15"/>
    <row r="2447" s="69" customFormat="1" x14ac:dyDescent="0.15"/>
    <row r="2448" s="69" customFormat="1" x14ac:dyDescent="0.15"/>
    <row r="2449" s="69" customFormat="1" x14ac:dyDescent="0.15"/>
    <row r="2450" s="69" customFormat="1" x14ac:dyDescent="0.15"/>
    <row r="2451" s="69" customFormat="1" x14ac:dyDescent="0.15"/>
    <row r="2452" s="69" customFormat="1" x14ac:dyDescent="0.15"/>
    <row r="2453" s="69" customFormat="1" x14ac:dyDescent="0.15"/>
    <row r="2454" s="69" customFormat="1" x14ac:dyDescent="0.15"/>
    <row r="2455" s="69" customFormat="1" x14ac:dyDescent="0.15"/>
    <row r="2456" s="69" customFormat="1" x14ac:dyDescent="0.15"/>
    <row r="2457" s="69" customFormat="1" x14ac:dyDescent="0.15"/>
    <row r="2458" s="69" customFormat="1" x14ac:dyDescent="0.15"/>
    <row r="2459" s="69" customFormat="1" x14ac:dyDescent="0.15"/>
    <row r="2460" s="69" customFormat="1" x14ac:dyDescent="0.15"/>
    <row r="2461" s="69" customFormat="1" x14ac:dyDescent="0.15"/>
    <row r="2462" s="69" customFormat="1" x14ac:dyDescent="0.15"/>
    <row r="2463" s="69" customFormat="1" x14ac:dyDescent="0.15"/>
    <row r="2464" s="69" customFormat="1" x14ac:dyDescent="0.15"/>
    <row r="2465" s="69" customFormat="1" x14ac:dyDescent="0.15"/>
    <row r="2466" s="69" customFormat="1" x14ac:dyDescent="0.15"/>
    <row r="2467" s="69" customFormat="1" x14ac:dyDescent="0.15"/>
    <row r="2468" s="69" customFormat="1" x14ac:dyDescent="0.15"/>
    <row r="2469" s="69" customFormat="1" x14ac:dyDescent="0.15"/>
    <row r="2470" s="69" customFormat="1" x14ac:dyDescent="0.15"/>
    <row r="2471" s="69" customFormat="1" x14ac:dyDescent="0.15"/>
    <row r="2472" s="69" customFormat="1" x14ac:dyDescent="0.15"/>
    <row r="2473" s="69" customFormat="1" x14ac:dyDescent="0.15"/>
    <row r="2474" s="69" customFormat="1" x14ac:dyDescent="0.15"/>
    <row r="2475" s="69" customFormat="1" x14ac:dyDescent="0.15"/>
    <row r="2476" s="69" customFormat="1" x14ac:dyDescent="0.15"/>
    <row r="2477" s="69" customFormat="1" x14ac:dyDescent="0.15"/>
    <row r="2478" s="69" customFormat="1" x14ac:dyDescent="0.15"/>
    <row r="2479" s="69" customFormat="1" x14ac:dyDescent="0.15"/>
    <row r="2480" s="69" customFormat="1" x14ac:dyDescent="0.15"/>
    <row r="2481" s="69" customFormat="1" x14ac:dyDescent="0.15"/>
    <row r="2482" s="69" customFormat="1" x14ac:dyDescent="0.15"/>
    <row r="2483" s="69" customFormat="1" x14ac:dyDescent="0.15"/>
    <row r="2484" s="69" customFormat="1" x14ac:dyDescent="0.15"/>
    <row r="2485" s="69" customFormat="1" x14ac:dyDescent="0.15"/>
    <row r="2486" s="69" customFormat="1" x14ac:dyDescent="0.15"/>
    <row r="2487" s="69" customFormat="1" x14ac:dyDescent="0.15"/>
    <row r="2488" s="69" customFormat="1" x14ac:dyDescent="0.15"/>
    <row r="2489" s="69" customFormat="1" x14ac:dyDescent="0.15"/>
    <row r="2490" s="69" customFormat="1" x14ac:dyDescent="0.15"/>
    <row r="2491" s="69" customFormat="1" x14ac:dyDescent="0.15"/>
    <row r="2492" s="69" customFormat="1" x14ac:dyDescent="0.15"/>
    <row r="2493" s="69" customFormat="1" x14ac:dyDescent="0.15"/>
    <row r="2494" s="69" customFormat="1" x14ac:dyDescent="0.15"/>
    <row r="2495" s="69" customFormat="1" x14ac:dyDescent="0.15"/>
    <row r="2496" s="69" customFormat="1" x14ac:dyDescent="0.15"/>
    <row r="2497" s="69" customFormat="1" x14ac:dyDescent="0.15"/>
    <row r="2498" s="69" customFormat="1" x14ac:dyDescent="0.15"/>
    <row r="2499" s="69" customFormat="1" x14ac:dyDescent="0.15"/>
    <row r="2500" s="69" customFormat="1" x14ac:dyDescent="0.15"/>
    <row r="2501" s="69" customFormat="1" x14ac:dyDescent="0.15"/>
    <row r="2502" s="69" customFormat="1" x14ac:dyDescent="0.15"/>
    <row r="2503" s="69" customFormat="1" x14ac:dyDescent="0.15"/>
    <row r="2504" s="69" customFormat="1" x14ac:dyDescent="0.15"/>
    <row r="2505" s="69" customFormat="1" x14ac:dyDescent="0.15"/>
    <row r="2506" s="69" customFormat="1" x14ac:dyDescent="0.15"/>
    <row r="2507" s="69" customFormat="1" x14ac:dyDescent="0.15"/>
    <row r="2508" s="69" customFormat="1" x14ac:dyDescent="0.15"/>
    <row r="2509" s="69" customFormat="1" x14ac:dyDescent="0.15"/>
    <row r="2510" s="69" customFormat="1" x14ac:dyDescent="0.15"/>
    <row r="2511" s="69" customFormat="1" x14ac:dyDescent="0.15"/>
    <row r="2512" s="69" customFormat="1" x14ac:dyDescent="0.15"/>
    <row r="2513" s="69" customFormat="1" x14ac:dyDescent="0.15"/>
    <row r="2514" s="69" customFormat="1" x14ac:dyDescent="0.15"/>
    <row r="2515" s="69" customFormat="1" x14ac:dyDescent="0.15"/>
    <row r="2516" s="69" customFormat="1" x14ac:dyDescent="0.15"/>
    <row r="2517" s="69" customFormat="1" x14ac:dyDescent="0.15"/>
    <row r="2518" s="69" customFormat="1" x14ac:dyDescent="0.15"/>
    <row r="2519" s="69" customFormat="1" x14ac:dyDescent="0.15"/>
    <row r="2520" s="69" customFormat="1" x14ac:dyDescent="0.15"/>
    <row r="2521" s="69" customFormat="1" x14ac:dyDescent="0.15"/>
    <row r="2522" s="69" customFormat="1" x14ac:dyDescent="0.15"/>
    <row r="2523" s="69" customFormat="1" x14ac:dyDescent="0.15"/>
    <row r="2524" s="69" customFormat="1" x14ac:dyDescent="0.15"/>
    <row r="2525" s="69" customFormat="1" x14ac:dyDescent="0.15"/>
    <row r="2526" s="69" customFormat="1" x14ac:dyDescent="0.15"/>
    <row r="2527" s="69" customFormat="1" x14ac:dyDescent="0.15"/>
    <row r="2528" s="69" customFormat="1" x14ac:dyDescent="0.15"/>
    <row r="2529" s="69" customFormat="1" x14ac:dyDescent="0.15"/>
    <row r="2530" s="69" customFormat="1" x14ac:dyDescent="0.15"/>
    <row r="2531" s="69" customFormat="1" x14ac:dyDescent="0.15"/>
    <row r="2532" s="69" customFormat="1" x14ac:dyDescent="0.15"/>
    <row r="2533" s="69" customFormat="1" x14ac:dyDescent="0.15"/>
    <row r="2534" s="69" customFormat="1" x14ac:dyDescent="0.15"/>
    <row r="2535" s="69" customFormat="1" x14ac:dyDescent="0.15"/>
    <row r="2536" s="69" customFormat="1" x14ac:dyDescent="0.15"/>
    <row r="2537" s="69" customFormat="1" x14ac:dyDescent="0.15"/>
    <row r="2538" s="69" customFormat="1" x14ac:dyDescent="0.15"/>
    <row r="2539" s="69" customFormat="1" x14ac:dyDescent="0.15"/>
    <row r="2540" s="69" customFormat="1" x14ac:dyDescent="0.15"/>
    <row r="2541" s="69" customFormat="1" x14ac:dyDescent="0.15"/>
    <row r="2542" s="69" customFormat="1" x14ac:dyDescent="0.15"/>
    <row r="2543" s="69" customFormat="1" x14ac:dyDescent="0.15"/>
    <row r="2544" s="69" customFormat="1" x14ac:dyDescent="0.15"/>
    <row r="2545" s="69" customFormat="1" x14ac:dyDescent="0.15"/>
    <row r="2546" s="69" customFormat="1" x14ac:dyDescent="0.15"/>
    <row r="2547" s="69" customFormat="1" x14ac:dyDescent="0.15"/>
    <row r="2548" s="69" customFormat="1" x14ac:dyDescent="0.15"/>
    <row r="2549" s="69" customFormat="1" x14ac:dyDescent="0.15"/>
    <row r="2550" s="69" customFormat="1" x14ac:dyDescent="0.15"/>
    <row r="2551" s="69" customFormat="1" x14ac:dyDescent="0.15"/>
    <row r="2552" s="69" customFormat="1" x14ac:dyDescent="0.15"/>
    <row r="2553" s="69" customFormat="1" x14ac:dyDescent="0.15"/>
    <row r="2554" s="69" customFormat="1" x14ac:dyDescent="0.15"/>
    <row r="2555" s="69" customFormat="1" x14ac:dyDescent="0.15"/>
    <row r="2556" s="69" customFormat="1" x14ac:dyDescent="0.15"/>
    <row r="2557" s="69" customFormat="1" x14ac:dyDescent="0.15"/>
    <row r="2558" s="69" customFormat="1" x14ac:dyDescent="0.15"/>
    <row r="2559" s="69" customFormat="1" x14ac:dyDescent="0.15"/>
    <row r="2560" s="69" customFormat="1" x14ac:dyDescent="0.15"/>
    <row r="2561" s="69" customFormat="1" x14ac:dyDescent="0.15"/>
    <row r="2562" s="69" customFormat="1" x14ac:dyDescent="0.15"/>
    <row r="2563" s="69" customFormat="1" x14ac:dyDescent="0.15"/>
    <row r="2564" s="69" customFormat="1" x14ac:dyDescent="0.15"/>
    <row r="2565" s="69" customFormat="1" x14ac:dyDescent="0.15"/>
    <row r="2566" s="69" customFormat="1" x14ac:dyDescent="0.15"/>
    <row r="2567" s="69" customFormat="1" x14ac:dyDescent="0.15"/>
    <row r="2568" s="69" customFormat="1" x14ac:dyDescent="0.15"/>
    <row r="2569" s="69" customFormat="1" x14ac:dyDescent="0.15"/>
    <row r="2570" s="69" customFormat="1" x14ac:dyDescent="0.15"/>
    <row r="2571" s="69" customFormat="1" x14ac:dyDescent="0.15"/>
    <row r="2572" s="69" customFormat="1" x14ac:dyDescent="0.15"/>
    <row r="2573" s="69" customFormat="1" x14ac:dyDescent="0.15"/>
    <row r="2574" s="69" customFormat="1" x14ac:dyDescent="0.15"/>
    <row r="2575" s="69" customFormat="1" x14ac:dyDescent="0.15"/>
    <row r="2576" s="69" customFormat="1" x14ac:dyDescent="0.15"/>
    <row r="2577" s="69" customFormat="1" x14ac:dyDescent="0.15"/>
    <row r="2578" s="69" customFormat="1" x14ac:dyDescent="0.15"/>
    <row r="2579" s="69" customFormat="1" x14ac:dyDescent="0.15"/>
    <row r="2580" s="69" customFormat="1" x14ac:dyDescent="0.15"/>
    <row r="2581" s="69" customFormat="1" x14ac:dyDescent="0.15"/>
    <row r="2582" s="69" customFormat="1" x14ac:dyDescent="0.15"/>
    <row r="2583" s="69" customFormat="1" x14ac:dyDescent="0.15"/>
    <row r="2584" s="69" customFormat="1" x14ac:dyDescent="0.15"/>
    <row r="2585" s="69" customFormat="1" x14ac:dyDescent="0.15"/>
    <row r="2586" s="69" customFormat="1" x14ac:dyDescent="0.15"/>
    <row r="2587" s="69" customFormat="1" x14ac:dyDescent="0.15"/>
    <row r="2588" s="69" customFormat="1" x14ac:dyDescent="0.15"/>
    <row r="2589" s="69" customFormat="1" x14ac:dyDescent="0.15"/>
    <row r="2590" s="69" customFormat="1" x14ac:dyDescent="0.15"/>
    <row r="2591" s="69" customFormat="1" x14ac:dyDescent="0.15"/>
    <row r="2592" s="69" customFormat="1" x14ac:dyDescent="0.15"/>
    <row r="2593" s="69" customFormat="1" x14ac:dyDescent="0.15"/>
    <row r="2594" s="69" customFormat="1" x14ac:dyDescent="0.15"/>
    <row r="2595" s="69" customFormat="1" x14ac:dyDescent="0.15"/>
    <row r="2596" s="69" customFormat="1" x14ac:dyDescent="0.15"/>
    <row r="2597" s="69" customFormat="1" x14ac:dyDescent="0.15"/>
    <row r="2598" s="69" customFormat="1" x14ac:dyDescent="0.15"/>
    <row r="2599" s="69" customFormat="1" x14ac:dyDescent="0.15"/>
    <row r="2600" s="69" customFormat="1" x14ac:dyDescent="0.15"/>
    <row r="2601" s="69" customFormat="1" x14ac:dyDescent="0.15"/>
    <row r="2602" s="69" customFormat="1" x14ac:dyDescent="0.15"/>
    <row r="2603" s="69" customFormat="1" x14ac:dyDescent="0.15"/>
    <row r="2604" s="69" customFormat="1" x14ac:dyDescent="0.15"/>
    <row r="2605" s="69" customFormat="1" x14ac:dyDescent="0.15"/>
    <row r="2606" s="69" customFormat="1" x14ac:dyDescent="0.15"/>
    <row r="2607" s="69" customFormat="1" x14ac:dyDescent="0.15"/>
    <row r="2608" s="69" customFormat="1" x14ac:dyDescent="0.15"/>
    <row r="2609" s="69" customFormat="1" x14ac:dyDescent="0.15"/>
    <row r="2610" s="69" customFormat="1" x14ac:dyDescent="0.15"/>
    <row r="2611" s="69" customFormat="1" x14ac:dyDescent="0.15"/>
    <row r="2612" s="69" customFormat="1" x14ac:dyDescent="0.15"/>
    <row r="2613" s="69" customFormat="1" x14ac:dyDescent="0.15"/>
    <row r="2614" s="69" customFormat="1" x14ac:dyDescent="0.15"/>
    <row r="2615" s="69" customFormat="1" x14ac:dyDescent="0.15"/>
    <row r="2616" s="69" customFormat="1" x14ac:dyDescent="0.15"/>
    <row r="2617" s="69" customFormat="1" x14ac:dyDescent="0.15"/>
    <row r="2618" s="69" customFormat="1" x14ac:dyDescent="0.15"/>
    <row r="2619" s="69" customFormat="1" x14ac:dyDescent="0.15"/>
    <row r="2620" s="69" customFormat="1" x14ac:dyDescent="0.15"/>
    <row r="2621" s="69" customFormat="1" x14ac:dyDescent="0.15"/>
    <row r="2622" s="69" customFormat="1" x14ac:dyDescent="0.15"/>
    <row r="2623" s="69" customFormat="1" x14ac:dyDescent="0.15"/>
    <row r="2624" s="69" customFormat="1" x14ac:dyDescent="0.15"/>
    <row r="2625" s="69" customFormat="1" x14ac:dyDescent="0.15"/>
    <row r="2626" s="69" customFormat="1" x14ac:dyDescent="0.15"/>
    <row r="2627" s="69" customFormat="1" x14ac:dyDescent="0.15"/>
    <row r="2628" s="69" customFormat="1" x14ac:dyDescent="0.15"/>
    <row r="2629" s="69" customFormat="1" x14ac:dyDescent="0.15"/>
    <row r="2630" s="69" customFormat="1" x14ac:dyDescent="0.15"/>
    <row r="2631" s="69" customFormat="1" x14ac:dyDescent="0.15"/>
    <row r="2632" s="69" customFormat="1" x14ac:dyDescent="0.15"/>
    <row r="2633" s="69" customFormat="1" x14ac:dyDescent="0.15"/>
    <row r="2634" s="69" customFormat="1" x14ac:dyDescent="0.15"/>
    <row r="2635" s="69" customFormat="1" x14ac:dyDescent="0.15"/>
    <row r="2636" s="69" customFormat="1" x14ac:dyDescent="0.15"/>
    <row r="2637" s="69" customFormat="1" x14ac:dyDescent="0.15"/>
    <row r="2638" s="69" customFormat="1" x14ac:dyDescent="0.15"/>
    <row r="2639" s="69" customFormat="1" x14ac:dyDescent="0.15"/>
    <row r="2640" s="69" customFormat="1" x14ac:dyDescent="0.15"/>
    <row r="2641" s="69" customFormat="1" x14ac:dyDescent="0.15"/>
    <row r="2642" s="69" customFormat="1" x14ac:dyDescent="0.15"/>
    <row r="2643" s="69" customFormat="1" x14ac:dyDescent="0.15"/>
    <row r="2644" s="69" customFormat="1" x14ac:dyDescent="0.15"/>
    <row r="2645" s="69" customFormat="1" x14ac:dyDescent="0.15"/>
    <row r="2646" s="69" customFormat="1" x14ac:dyDescent="0.15"/>
    <row r="2647" s="69" customFormat="1" x14ac:dyDescent="0.15"/>
    <row r="2648" s="69" customFormat="1" x14ac:dyDescent="0.15"/>
    <row r="2649" s="69" customFormat="1" x14ac:dyDescent="0.15"/>
    <row r="2650" s="69" customFormat="1" x14ac:dyDescent="0.15"/>
    <row r="2651" s="69" customFormat="1" x14ac:dyDescent="0.15"/>
    <row r="2652" s="69" customFormat="1" x14ac:dyDescent="0.15"/>
    <row r="2653" s="69" customFormat="1" x14ac:dyDescent="0.15"/>
    <row r="2654" s="69" customFormat="1" x14ac:dyDescent="0.15"/>
    <row r="2655" s="69" customFormat="1" x14ac:dyDescent="0.15"/>
    <row r="2656" s="69" customFormat="1" x14ac:dyDescent="0.15"/>
    <row r="2657" s="69" customFormat="1" x14ac:dyDescent="0.15"/>
    <row r="2658" s="69" customFormat="1" x14ac:dyDescent="0.15"/>
    <row r="2659" s="69" customFormat="1" x14ac:dyDescent="0.15"/>
    <row r="2660" s="69" customFormat="1" x14ac:dyDescent="0.15"/>
    <row r="2661" s="69" customFormat="1" x14ac:dyDescent="0.15"/>
    <row r="2662" s="69" customFormat="1" x14ac:dyDescent="0.15"/>
    <row r="2663" s="69" customFormat="1" x14ac:dyDescent="0.15"/>
    <row r="2664" s="69" customFormat="1" x14ac:dyDescent="0.15"/>
    <row r="2665" s="69" customFormat="1" x14ac:dyDescent="0.15"/>
    <row r="2666" s="69" customFormat="1" x14ac:dyDescent="0.15"/>
    <row r="2667" s="69" customFormat="1" x14ac:dyDescent="0.15"/>
    <row r="2668" s="69" customFormat="1" x14ac:dyDescent="0.15"/>
    <row r="2669" s="69" customFormat="1" x14ac:dyDescent="0.15"/>
    <row r="2670" s="69" customFormat="1" x14ac:dyDescent="0.15"/>
    <row r="2671" s="69" customFormat="1" x14ac:dyDescent="0.15"/>
    <row r="2672" s="69" customFormat="1" x14ac:dyDescent="0.15"/>
    <row r="2673" s="69" customFormat="1" x14ac:dyDescent="0.15"/>
    <row r="2674" s="69" customFormat="1" x14ac:dyDescent="0.15"/>
    <row r="2675" s="69" customFormat="1" x14ac:dyDescent="0.15"/>
    <row r="2676" s="69" customFormat="1" x14ac:dyDescent="0.15"/>
    <row r="2677" s="69" customFormat="1" x14ac:dyDescent="0.15"/>
    <row r="2678" s="69" customFormat="1" x14ac:dyDescent="0.15"/>
    <row r="2679" s="69" customFormat="1" x14ac:dyDescent="0.15"/>
    <row r="2680" s="69" customFormat="1" x14ac:dyDescent="0.15"/>
    <row r="2681" s="69" customFormat="1" x14ac:dyDescent="0.15"/>
    <row r="2682" s="69" customFormat="1" x14ac:dyDescent="0.15"/>
    <row r="2683" s="69" customFormat="1" x14ac:dyDescent="0.15"/>
    <row r="2684" s="69" customFormat="1" x14ac:dyDescent="0.15"/>
    <row r="2685" s="69" customFormat="1" x14ac:dyDescent="0.15"/>
    <row r="2686" s="69" customFormat="1" x14ac:dyDescent="0.15"/>
    <row r="2687" s="69" customFormat="1" x14ac:dyDescent="0.15"/>
    <row r="2688" s="69" customFormat="1" x14ac:dyDescent="0.15"/>
    <row r="2689" s="69" customFormat="1" x14ac:dyDescent="0.15"/>
    <row r="2690" s="69" customFormat="1" x14ac:dyDescent="0.15"/>
    <row r="2691" s="69" customFormat="1" x14ac:dyDescent="0.15"/>
    <row r="2692" s="69" customFormat="1" x14ac:dyDescent="0.15"/>
    <row r="2693" s="69" customFormat="1" x14ac:dyDescent="0.15"/>
    <row r="2694" s="69" customFormat="1" x14ac:dyDescent="0.15"/>
    <row r="2695" s="69" customFormat="1" x14ac:dyDescent="0.15"/>
    <row r="2696" s="69" customFormat="1" x14ac:dyDescent="0.15"/>
    <row r="2697" s="69" customFormat="1" x14ac:dyDescent="0.15"/>
    <row r="2698" s="69" customFormat="1" x14ac:dyDescent="0.15"/>
    <row r="2699" s="69" customFormat="1" x14ac:dyDescent="0.15"/>
    <row r="2700" s="69" customFormat="1" x14ac:dyDescent="0.15"/>
    <row r="2701" s="69" customFormat="1" x14ac:dyDescent="0.15"/>
    <row r="2702" s="69" customFormat="1" x14ac:dyDescent="0.15"/>
    <row r="2703" s="69" customFormat="1" x14ac:dyDescent="0.15"/>
    <row r="2704" s="69" customFormat="1" x14ac:dyDescent="0.15"/>
    <row r="2705" s="69" customFormat="1" x14ac:dyDescent="0.15"/>
    <row r="2706" s="69" customFormat="1" x14ac:dyDescent="0.15"/>
    <row r="2707" s="69" customFormat="1" x14ac:dyDescent="0.15"/>
    <row r="2708" s="69" customFormat="1" x14ac:dyDescent="0.15"/>
    <row r="2709" s="69" customFormat="1" x14ac:dyDescent="0.15"/>
    <row r="2710" s="69" customFormat="1" x14ac:dyDescent="0.15"/>
    <row r="2711" s="69" customFormat="1" x14ac:dyDescent="0.15"/>
    <row r="2712" s="69" customFormat="1" x14ac:dyDescent="0.15"/>
    <row r="2713" s="69" customFormat="1" x14ac:dyDescent="0.15"/>
    <row r="2714" s="69" customFormat="1" x14ac:dyDescent="0.15"/>
    <row r="2715" s="69" customFormat="1" x14ac:dyDescent="0.15"/>
    <row r="2716" s="69" customFormat="1" x14ac:dyDescent="0.15"/>
    <row r="2717" s="69" customFormat="1" x14ac:dyDescent="0.15"/>
    <row r="2718" s="69" customFormat="1" x14ac:dyDescent="0.15"/>
    <row r="2719" s="69" customFormat="1" x14ac:dyDescent="0.15"/>
    <row r="2720" s="69" customFormat="1" x14ac:dyDescent="0.15"/>
    <row r="2721" s="69" customFormat="1" x14ac:dyDescent="0.15"/>
    <row r="2722" s="69" customFormat="1" x14ac:dyDescent="0.15"/>
    <row r="2723" s="69" customFormat="1" x14ac:dyDescent="0.15"/>
    <row r="2724" s="69" customFormat="1" x14ac:dyDescent="0.15"/>
    <row r="2725" s="69" customFormat="1" x14ac:dyDescent="0.15"/>
    <row r="2726" s="69" customFormat="1" x14ac:dyDescent="0.15"/>
    <row r="2727" s="69" customFormat="1" x14ac:dyDescent="0.15"/>
    <row r="2728" s="69" customFormat="1" x14ac:dyDescent="0.15"/>
    <row r="2729" s="69" customFormat="1" x14ac:dyDescent="0.15"/>
    <row r="2730" s="69" customFormat="1" x14ac:dyDescent="0.15"/>
    <row r="2731" s="69" customFormat="1" x14ac:dyDescent="0.15"/>
    <row r="2732" s="69" customFormat="1" x14ac:dyDescent="0.15"/>
    <row r="2733" s="69" customFormat="1" x14ac:dyDescent="0.15"/>
    <row r="2734" s="69" customFormat="1" x14ac:dyDescent="0.15"/>
    <row r="2735" s="69" customFormat="1" x14ac:dyDescent="0.15"/>
    <row r="2736" s="69" customFormat="1" x14ac:dyDescent="0.15"/>
    <row r="2737" s="69" customFormat="1" x14ac:dyDescent="0.15"/>
    <row r="2738" s="69" customFormat="1" x14ac:dyDescent="0.15"/>
    <row r="2739" s="69" customFormat="1" x14ac:dyDescent="0.15"/>
    <row r="2740" s="69" customFormat="1" x14ac:dyDescent="0.15"/>
    <row r="2741" s="69" customFormat="1" x14ac:dyDescent="0.15"/>
    <row r="2742" s="69" customFormat="1" x14ac:dyDescent="0.15"/>
    <row r="2743" s="69" customFormat="1" x14ac:dyDescent="0.15"/>
    <row r="2744" s="69" customFormat="1" x14ac:dyDescent="0.15"/>
    <row r="2745" s="69" customFormat="1" x14ac:dyDescent="0.15"/>
    <row r="2746" s="69" customFormat="1" x14ac:dyDescent="0.15"/>
    <row r="2747" s="69" customFormat="1" x14ac:dyDescent="0.15"/>
    <row r="2748" s="69" customFormat="1" x14ac:dyDescent="0.15"/>
    <row r="2749" s="69" customFormat="1" x14ac:dyDescent="0.15"/>
    <row r="2750" s="69" customFormat="1" x14ac:dyDescent="0.15"/>
    <row r="2751" s="69" customFormat="1" x14ac:dyDescent="0.15"/>
    <row r="2752" s="69" customFormat="1" x14ac:dyDescent="0.15"/>
    <row r="2753" s="69" customFormat="1" x14ac:dyDescent="0.15"/>
    <row r="2754" s="69" customFormat="1" x14ac:dyDescent="0.15"/>
    <row r="2755" s="69" customFormat="1" x14ac:dyDescent="0.15"/>
    <row r="2756" s="69" customFormat="1" x14ac:dyDescent="0.15"/>
    <row r="2757" s="69" customFormat="1" x14ac:dyDescent="0.15"/>
    <row r="2758" s="69" customFormat="1" x14ac:dyDescent="0.15"/>
    <row r="2759" s="69" customFormat="1" x14ac:dyDescent="0.15"/>
    <row r="2760" s="69" customFormat="1" x14ac:dyDescent="0.15"/>
    <row r="2761" s="69" customFormat="1" x14ac:dyDescent="0.15"/>
    <row r="2762" s="69" customFormat="1" x14ac:dyDescent="0.15"/>
    <row r="2763" s="69" customFormat="1" x14ac:dyDescent="0.15"/>
    <row r="2764" s="69" customFormat="1" x14ac:dyDescent="0.15"/>
    <row r="2765" s="69" customFormat="1" x14ac:dyDescent="0.15"/>
    <row r="2766" s="69" customFormat="1" x14ac:dyDescent="0.15"/>
    <row r="2767" s="69" customFormat="1" x14ac:dyDescent="0.15"/>
    <row r="2768" s="69" customFormat="1" x14ac:dyDescent="0.15"/>
    <row r="2769" s="69" customFormat="1" x14ac:dyDescent="0.15"/>
    <row r="2770" s="69" customFormat="1" x14ac:dyDescent="0.15"/>
    <row r="2771" s="69" customFormat="1" x14ac:dyDescent="0.15"/>
    <row r="2772" s="69" customFormat="1" x14ac:dyDescent="0.15"/>
    <row r="2773" s="69" customFormat="1" x14ac:dyDescent="0.15"/>
    <row r="2774" s="69" customFormat="1" x14ac:dyDescent="0.15"/>
    <row r="2775" s="69" customFormat="1" x14ac:dyDescent="0.15"/>
    <row r="2776" s="69" customFormat="1" x14ac:dyDescent="0.15"/>
    <row r="2777" s="69" customFormat="1" x14ac:dyDescent="0.15"/>
    <row r="2778" s="69" customFormat="1" x14ac:dyDescent="0.15"/>
    <row r="2779" s="69" customFormat="1" x14ac:dyDescent="0.15"/>
    <row r="2780" s="69" customFormat="1" x14ac:dyDescent="0.15"/>
    <row r="2781" s="69" customFormat="1" x14ac:dyDescent="0.15"/>
    <row r="2782" s="69" customFormat="1" x14ac:dyDescent="0.15"/>
    <row r="2783" s="69" customFormat="1" x14ac:dyDescent="0.15"/>
    <row r="2784" s="69" customFormat="1" x14ac:dyDescent="0.15"/>
    <row r="2785" s="69" customFormat="1" x14ac:dyDescent="0.15"/>
    <row r="2786" s="69" customFormat="1" x14ac:dyDescent="0.15"/>
    <row r="2787" s="69" customFormat="1" x14ac:dyDescent="0.15"/>
    <row r="2788" s="69" customFormat="1" x14ac:dyDescent="0.15"/>
    <row r="2789" s="69" customFormat="1" x14ac:dyDescent="0.15"/>
    <row r="2790" s="69" customFormat="1" x14ac:dyDescent="0.15"/>
    <row r="2791" s="69" customFormat="1" x14ac:dyDescent="0.15"/>
    <row r="2792" s="69" customFormat="1" x14ac:dyDescent="0.15"/>
    <row r="2793" s="69" customFormat="1" x14ac:dyDescent="0.15"/>
    <row r="2794" s="69" customFormat="1" x14ac:dyDescent="0.15"/>
    <row r="2795" s="69" customFormat="1" x14ac:dyDescent="0.15"/>
    <row r="2796" s="69" customFormat="1" x14ac:dyDescent="0.15"/>
    <row r="2797" s="69" customFormat="1" x14ac:dyDescent="0.15"/>
    <row r="2798" s="69" customFormat="1" x14ac:dyDescent="0.15"/>
    <row r="2799" s="69" customFormat="1" x14ac:dyDescent="0.15"/>
    <row r="2800" s="69" customFormat="1" x14ac:dyDescent="0.15"/>
    <row r="2801" s="69" customFormat="1" x14ac:dyDescent="0.15"/>
    <row r="2802" s="69" customFormat="1" x14ac:dyDescent="0.15"/>
    <row r="2803" s="69" customFormat="1" x14ac:dyDescent="0.15"/>
    <row r="2804" s="69" customFormat="1" x14ac:dyDescent="0.15"/>
    <row r="2805" s="69" customFormat="1" x14ac:dyDescent="0.15"/>
    <row r="2806" s="69" customFormat="1" x14ac:dyDescent="0.15"/>
    <row r="2807" s="69" customFormat="1" x14ac:dyDescent="0.15"/>
    <row r="2808" s="69" customFormat="1" x14ac:dyDescent="0.15"/>
    <row r="2809" s="69" customFormat="1" x14ac:dyDescent="0.15"/>
    <row r="2810" s="69" customFormat="1" x14ac:dyDescent="0.15"/>
    <row r="2811" s="69" customFormat="1" x14ac:dyDescent="0.15"/>
    <row r="2812" s="69" customFormat="1" x14ac:dyDescent="0.15"/>
    <row r="2813" s="69" customFormat="1" x14ac:dyDescent="0.15"/>
    <row r="2814" s="69" customFormat="1" x14ac:dyDescent="0.15"/>
    <row r="2815" s="69" customFormat="1" x14ac:dyDescent="0.15"/>
    <row r="2816" s="69" customFormat="1" x14ac:dyDescent="0.15"/>
    <row r="2817" s="69" customFormat="1" x14ac:dyDescent="0.15"/>
    <row r="2818" s="69" customFormat="1" x14ac:dyDescent="0.15"/>
    <row r="2819" s="69" customFormat="1" x14ac:dyDescent="0.15"/>
    <row r="2820" s="69" customFormat="1" x14ac:dyDescent="0.15"/>
    <row r="2821" s="69" customFormat="1" x14ac:dyDescent="0.15"/>
    <row r="2822" s="69" customFormat="1" x14ac:dyDescent="0.15"/>
    <row r="2823" s="69" customFormat="1" x14ac:dyDescent="0.15"/>
    <row r="2824" s="69" customFormat="1" x14ac:dyDescent="0.15"/>
    <row r="2825" s="69" customFormat="1" x14ac:dyDescent="0.15"/>
    <row r="2826" s="69" customFormat="1" x14ac:dyDescent="0.15"/>
    <row r="2827" s="69" customFormat="1" x14ac:dyDescent="0.15"/>
    <row r="2828" s="69" customFormat="1" x14ac:dyDescent="0.15"/>
    <row r="2829" s="69" customFormat="1" x14ac:dyDescent="0.15"/>
    <row r="2830" s="69" customFormat="1" x14ac:dyDescent="0.15"/>
    <row r="2831" s="69" customFormat="1" x14ac:dyDescent="0.15"/>
    <row r="2832" s="69" customFormat="1" x14ac:dyDescent="0.15"/>
    <row r="2833" s="69" customFormat="1" x14ac:dyDescent="0.15"/>
    <row r="2834" s="69" customFormat="1" x14ac:dyDescent="0.15"/>
    <row r="2835" s="69" customFormat="1" x14ac:dyDescent="0.15"/>
    <row r="2836" s="69" customFormat="1" x14ac:dyDescent="0.15"/>
    <row r="2837" s="69" customFormat="1" x14ac:dyDescent="0.15"/>
    <row r="2838" s="69" customFormat="1" x14ac:dyDescent="0.15"/>
    <row r="2839" s="69" customFormat="1" x14ac:dyDescent="0.15"/>
    <row r="2840" s="69" customFormat="1" x14ac:dyDescent="0.15"/>
    <row r="2841" s="69" customFormat="1" x14ac:dyDescent="0.15"/>
    <row r="2842" s="69" customFormat="1" x14ac:dyDescent="0.15"/>
    <row r="2843" s="69" customFormat="1" x14ac:dyDescent="0.15"/>
    <row r="2844" s="69" customFormat="1" x14ac:dyDescent="0.15"/>
    <row r="2845" s="69" customFormat="1" x14ac:dyDescent="0.15"/>
    <row r="2846" s="69" customFormat="1" x14ac:dyDescent="0.15"/>
    <row r="2847" s="69" customFormat="1" x14ac:dyDescent="0.15"/>
    <row r="2848" s="69" customFormat="1" x14ac:dyDescent="0.15"/>
    <row r="2849" s="69" customFormat="1" x14ac:dyDescent="0.15"/>
    <row r="2850" s="69" customFormat="1" x14ac:dyDescent="0.15"/>
    <row r="2851" s="69" customFormat="1" x14ac:dyDescent="0.15"/>
    <row r="2852" s="69" customFormat="1" x14ac:dyDescent="0.15"/>
    <row r="2853" s="69" customFormat="1" x14ac:dyDescent="0.15"/>
    <row r="2854" s="69" customFormat="1" x14ac:dyDescent="0.15"/>
    <row r="2855" s="69" customFormat="1" x14ac:dyDescent="0.15"/>
    <row r="2856" s="69" customFormat="1" x14ac:dyDescent="0.15"/>
    <row r="2857" s="69" customFormat="1" x14ac:dyDescent="0.15"/>
    <row r="2858" s="69" customFormat="1" x14ac:dyDescent="0.15"/>
    <row r="2859" s="69" customFormat="1" x14ac:dyDescent="0.15"/>
    <row r="2860" s="69" customFormat="1" x14ac:dyDescent="0.15"/>
    <row r="2861" s="69" customFormat="1" x14ac:dyDescent="0.15"/>
    <row r="2862" s="69" customFormat="1" x14ac:dyDescent="0.15"/>
    <row r="2863" s="69" customFormat="1" x14ac:dyDescent="0.15"/>
    <row r="2864" s="69" customFormat="1" x14ac:dyDescent="0.15"/>
    <row r="2865" s="69" customFormat="1" x14ac:dyDescent="0.15"/>
    <row r="2866" s="69" customFormat="1" x14ac:dyDescent="0.15"/>
    <row r="2867" s="69" customFormat="1" x14ac:dyDescent="0.15"/>
    <row r="2868" s="69" customFormat="1" x14ac:dyDescent="0.15"/>
    <row r="2869" s="69" customFormat="1" x14ac:dyDescent="0.15"/>
    <row r="2870" s="69" customFormat="1" x14ac:dyDescent="0.15"/>
    <row r="2871" s="69" customFormat="1" x14ac:dyDescent="0.15"/>
    <row r="2872" s="69" customFormat="1" x14ac:dyDescent="0.15"/>
    <row r="2873" s="69" customFormat="1" x14ac:dyDescent="0.15"/>
    <row r="2874" s="69" customFormat="1" x14ac:dyDescent="0.15"/>
    <row r="2875" s="69" customFormat="1" x14ac:dyDescent="0.15"/>
    <row r="2876" s="69" customFormat="1" x14ac:dyDescent="0.15"/>
    <row r="2877" s="69" customFormat="1" x14ac:dyDescent="0.15"/>
    <row r="2878" s="69" customFormat="1" x14ac:dyDescent="0.15"/>
    <row r="2879" s="69" customFormat="1" x14ac:dyDescent="0.15"/>
    <row r="2880" s="69" customFormat="1" x14ac:dyDescent="0.15"/>
    <row r="2881" s="69" customFormat="1" x14ac:dyDescent="0.15"/>
    <row r="2882" s="69" customFormat="1" x14ac:dyDescent="0.15"/>
    <row r="2883" s="69" customFormat="1" x14ac:dyDescent="0.15"/>
    <row r="2884" s="69" customFormat="1" x14ac:dyDescent="0.15"/>
    <row r="2885" s="69" customFormat="1" x14ac:dyDescent="0.15"/>
    <row r="2886" s="69" customFormat="1" x14ac:dyDescent="0.15"/>
    <row r="2887" s="69" customFormat="1" x14ac:dyDescent="0.15"/>
    <row r="2888" s="69" customFormat="1" x14ac:dyDescent="0.15"/>
    <row r="2889" s="69" customFormat="1" x14ac:dyDescent="0.15"/>
    <row r="2890" s="69" customFormat="1" x14ac:dyDescent="0.15"/>
    <row r="2891" s="69" customFormat="1" x14ac:dyDescent="0.15"/>
    <row r="2892" s="69" customFormat="1" x14ac:dyDescent="0.15"/>
    <row r="2893" s="69" customFormat="1" x14ac:dyDescent="0.15"/>
    <row r="2894" s="69" customFormat="1" x14ac:dyDescent="0.15"/>
    <row r="2895" s="69" customFormat="1" x14ac:dyDescent="0.15"/>
    <row r="2896" s="69" customFormat="1" x14ac:dyDescent="0.15"/>
    <row r="2897" s="69" customFormat="1" x14ac:dyDescent="0.15"/>
    <row r="2898" s="69" customFormat="1" x14ac:dyDescent="0.15"/>
    <row r="2899" s="69" customFormat="1" x14ac:dyDescent="0.15"/>
    <row r="2900" s="69" customFormat="1" x14ac:dyDescent="0.15"/>
    <row r="2901" s="69" customFormat="1" x14ac:dyDescent="0.15"/>
    <row r="2902" s="69" customFormat="1" x14ac:dyDescent="0.15"/>
    <row r="2903" s="69" customFormat="1" x14ac:dyDescent="0.15"/>
    <row r="2904" s="69" customFormat="1" x14ac:dyDescent="0.15"/>
    <row r="2905" s="69" customFormat="1" x14ac:dyDescent="0.15"/>
    <row r="2906" s="69" customFormat="1" x14ac:dyDescent="0.15"/>
    <row r="2907" s="69" customFormat="1" x14ac:dyDescent="0.15"/>
    <row r="2908" s="69" customFormat="1" x14ac:dyDescent="0.15"/>
    <row r="2909" s="69" customFormat="1" x14ac:dyDescent="0.15"/>
    <row r="2910" s="69" customFormat="1" x14ac:dyDescent="0.15"/>
    <row r="2911" s="69" customFormat="1" x14ac:dyDescent="0.15"/>
    <row r="2912" s="69" customFormat="1" x14ac:dyDescent="0.15"/>
    <row r="2913" s="69" customFormat="1" x14ac:dyDescent="0.15"/>
    <row r="2914" s="69" customFormat="1" x14ac:dyDescent="0.15"/>
    <row r="2915" s="69" customFormat="1" x14ac:dyDescent="0.15"/>
    <row r="2916" s="69" customFormat="1" x14ac:dyDescent="0.15"/>
    <row r="2917" s="69" customFormat="1" x14ac:dyDescent="0.15"/>
    <row r="2918" s="69" customFormat="1" x14ac:dyDescent="0.15"/>
    <row r="2919" s="69" customFormat="1" x14ac:dyDescent="0.15"/>
    <row r="2920" s="69" customFormat="1" x14ac:dyDescent="0.15"/>
    <row r="2921" s="69" customFormat="1" x14ac:dyDescent="0.15"/>
    <row r="2922" s="69" customFormat="1" x14ac:dyDescent="0.15"/>
    <row r="2923" s="69" customFormat="1" x14ac:dyDescent="0.15"/>
    <row r="2924" s="69" customFormat="1" x14ac:dyDescent="0.15"/>
    <row r="2925" s="69" customFormat="1" x14ac:dyDescent="0.15"/>
    <row r="2926" s="69" customFormat="1" x14ac:dyDescent="0.15"/>
    <row r="2927" s="69" customFormat="1" x14ac:dyDescent="0.15"/>
    <row r="2928" s="69" customFormat="1" x14ac:dyDescent="0.15"/>
    <row r="2929" s="69" customFormat="1" x14ac:dyDescent="0.15"/>
    <row r="2930" s="69" customFormat="1" x14ac:dyDescent="0.15"/>
    <row r="2931" s="69" customFormat="1" x14ac:dyDescent="0.15"/>
    <row r="2932" s="69" customFormat="1" x14ac:dyDescent="0.15"/>
    <row r="2933" s="69" customFormat="1" x14ac:dyDescent="0.15"/>
    <row r="2934" s="69" customFormat="1" x14ac:dyDescent="0.15"/>
    <row r="2935" s="69" customFormat="1" x14ac:dyDescent="0.15"/>
    <row r="2936" s="69" customFormat="1" x14ac:dyDescent="0.15"/>
    <row r="2937" s="69" customFormat="1" x14ac:dyDescent="0.15"/>
    <row r="2938" s="69" customFormat="1" x14ac:dyDescent="0.15"/>
    <row r="2939" s="69" customFormat="1" x14ac:dyDescent="0.15"/>
    <row r="2940" s="69" customFormat="1" x14ac:dyDescent="0.15"/>
    <row r="2941" s="69" customFormat="1" x14ac:dyDescent="0.15"/>
    <row r="2942" s="69" customFormat="1" x14ac:dyDescent="0.15"/>
    <row r="2943" s="69" customFormat="1" x14ac:dyDescent="0.15"/>
    <row r="2944" s="69" customFormat="1" x14ac:dyDescent="0.15"/>
    <row r="2945" s="69" customFormat="1" x14ac:dyDescent="0.15"/>
    <row r="2946" s="69" customFormat="1" x14ac:dyDescent="0.15"/>
    <row r="2947" s="69" customFormat="1" x14ac:dyDescent="0.15"/>
    <row r="2948" s="69" customFormat="1" x14ac:dyDescent="0.15"/>
    <row r="2949" s="69" customFormat="1" x14ac:dyDescent="0.15"/>
    <row r="2950" s="69" customFormat="1" x14ac:dyDescent="0.15"/>
    <row r="2951" s="69" customFormat="1" x14ac:dyDescent="0.15"/>
    <row r="2952" s="69" customFormat="1" x14ac:dyDescent="0.15"/>
    <row r="2953" s="69" customFormat="1" x14ac:dyDescent="0.15"/>
    <row r="2954" s="69" customFormat="1" x14ac:dyDescent="0.15"/>
    <row r="2955" s="69" customFormat="1" x14ac:dyDescent="0.15"/>
    <row r="2956" s="69" customFormat="1" x14ac:dyDescent="0.15"/>
    <row r="2957" s="69" customFormat="1" x14ac:dyDescent="0.15"/>
    <row r="2958" s="69" customFormat="1" x14ac:dyDescent="0.15"/>
    <row r="2959" s="69" customFormat="1" x14ac:dyDescent="0.15"/>
    <row r="2960" s="69" customFormat="1" x14ac:dyDescent="0.15"/>
    <row r="2961" s="69" customFormat="1" x14ac:dyDescent="0.15"/>
    <row r="2962" s="69" customFormat="1" x14ac:dyDescent="0.15"/>
    <row r="2963" s="69" customFormat="1" x14ac:dyDescent="0.15"/>
    <row r="2964" s="69" customFormat="1" x14ac:dyDescent="0.15"/>
    <row r="2965" s="69" customFormat="1" x14ac:dyDescent="0.15"/>
    <row r="2966" s="69" customFormat="1" x14ac:dyDescent="0.15"/>
    <row r="2967" s="69" customFormat="1" x14ac:dyDescent="0.15"/>
    <row r="2968" s="69" customFormat="1" x14ac:dyDescent="0.15"/>
    <row r="2969" s="69" customFormat="1" x14ac:dyDescent="0.15"/>
    <row r="2970" s="69" customFormat="1" x14ac:dyDescent="0.15"/>
    <row r="2971" s="69" customFormat="1" x14ac:dyDescent="0.15"/>
    <row r="2972" s="69" customFormat="1" x14ac:dyDescent="0.15"/>
    <row r="2973" s="69" customFormat="1" x14ac:dyDescent="0.15"/>
    <row r="2974" s="69" customFormat="1" x14ac:dyDescent="0.15"/>
    <row r="2975" s="69" customFormat="1" x14ac:dyDescent="0.15"/>
    <row r="2976" s="69" customFormat="1" x14ac:dyDescent="0.15"/>
    <row r="2977" s="69" customFormat="1" x14ac:dyDescent="0.15"/>
    <row r="2978" s="69" customFormat="1" x14ac:dyDescent="0.15"/>
    <row r="2979" s="69" customFormat="1" x14ac:dyDescent="0.15"/>
    <row r="2980" s="69" customFormat="1" x14ac:dyDescent="0.15"/>
    <row r="2981" s="69" customFormat="1" x14ac:dyDescent="0.15"/>
    <row r="2982" s="69" customFormat="1" x14ac:dyDescent="0.15"/>
    <row r="2983" s="69" customFormat="1" x14ac:dyDescent="0.15"/>
    <row r="2984" s="69" customFormat="1" x14ac:dyDescent="0.15"/>
    <row r="2985" s="69" customFormat="1" x14ac:dyDescent="0.15"/>
    <row r="2986" s="69" customFormat="1" x14ac:dyDescent="0.15"/>
    <row r="2987" s="69" customFormat="1" x14ac:dyDescent="0.15"/>
    <row r="2988" s="69" customFormat="1" x14ac:dyDescent="0.15"/>
    <row r="2989" s="69" customFormat="1" x14ac:dyDescent="0.15"/>
    <row r="2990" s="69" customFormat="1" x14ac:dyDescent="0.15"/>
    <row r="2991" s="69" customFormat="1" x14ac:dyDescent="0.15"/>
    <row r="2992" s="69" customFormat="1" x14ac:dyDescent="0.15"/>
    <row r="2993" s="69" customFormat="1" x14ac:dyDescent="0.15"/>
    <row r="2994" s="69" customFormat="1" x14ac:dyDescent="0.15"/>
    <row r="2995" s="69" customFormat="1" x14ac:dyDescent="0.15"/>
    <row r="2996" s="69" customFormat="1" x14ac:dyDescent="0.15"/>
    <row r="2997" s="69" customFormat="1" x14ac:dyDescent="0.15"/>
    <row r="2998" s="69" customFormat="1" x14ac:dyDescent="0.15"/>
    <row r="2999" s="69" customFormat="1" x14ac:dyDescent="0.15"/>
    <row r="3000" s="69" customFormat="1" x14ac:dyDescent="0.15"/>
    <row r="3001" s="69" customFormat="1" x14ac:dyDescent="0.15"/>
    <row r="3002" s="69" customFormat="1" x14ac:dyDescent="0.15"/>
    <row r="3003" s="69" customFormat="1" x14ac:dyDescent="0.15"/>
    <row r="3004" s="69" customFormat="1" x14ac:dyDescent="0.15"/>
    <row r="3005" s="69" customFormat="1" x14ac:dyDescent="0.15"/>
    <row r="3006" s="69" customFormat="1" x14ac:dyDescent="0.15"/>
    <row r="3007" s="69" customFormat="1" x14ac:dyDescent="0.15"/>
    <row r="3008" s="69" customFormat="1" x14ac:dyDescent="0.15"/>
    <row r="3009" s="69" customFormat="1" x14ac:dyDescent="0.15"/>
    <row r="3010" s="69" customFormat="1" x14ac:dyDescent="0.15"/>
    <row r="3011" s="69" customFormat="1" x14ac:dyDescent="0.15"/>
    <row r="3012" s="69" customFormat="1" x14ac:dyDescent="0.15"/>
    <row r="3013" s="69" customFormat="1" x14ac:dyDescent="0.15"/>
    <row r="3014" s="69" customFormat="1" x14ac:dyDescent="0.15"/>
    <row r="3015" s="69" customFormat="1" x14ac:dyDescent="0.15"/>
    <row r="3016" s="69" customFormat="1" x14ac:dyDescent="0.15"/>
    <row r="3017" s="69" customFormat="1" x14ac:dyDescent="0.15"/>
    <row r="3018" s="69" customFormat="1" x14ac:dyDescent="0.15"/>
    <row r="3019" s="69" customFormat="1" x14ac:dyDescent="0.15"/>
    <row r="3020" s="69" customFormat="1" x14ac:dyDescent="0.15"/>
    <row r="3021" s="69" customFormat="1" x14ac:dyDescent="0.15"/>
    <row r="3022" s="69" customFormat="1" x14ac:dyDescent="0.15"/>
    <row r="3023" s="69" customFormat="1" x14ac:dyDescent="0.15"/>
    <row r="3024" s="69" customFormat="1" x14ac:dyDescent="0.15"/>
    <row r="3025" s="69" customFormat="1" x14ac:dyDescent="0.15"/>
    <row r="3026" s="69" customFormat="1" x14ac:dyDescent="0.15"/>
    <row r="3027" s="69" customFormat="1" x14ac:dyDescent="0.15"/>
    <row r="3028" s="69" customFormat="1" x14ac:dyDescent="0.15"/>
    <row r="3029" s="69" customFormat="1" x14ac:dyDescent="0.15"/>
    <row r="3030" s="69" customFormat="1" x14ac:dyDescent="0.15"/>
    <row r="3031" s="69" customFormat="1" x14ac:dyDescent="0.15"/>
    <row r="3032" s="69" customFormat="1" x14ac:dyDescent="0.15"/>
    <row r="3033" s="69" customFormat="1" x14ac:dyDescent="0.15"/>
    <row r="3034" s="69" customFormat="1" x14ac:dyDescent="0.15"/>
    <row r="3035" s="69" customFormat="1" x14ac:dyDescent="0.15"/>
    <row r="3036" s="69" customFormat="1" x14ac:dyDescent="0.15"/>
    <row r="3037" s="69" customFormat="1" x14ac:dyDescent="0.15"/>
    <row r="3038" s="69" customFormat="1" x14ac:dyDescent="0.15"/>
    <row r="3039" s="69" customFormat="1" x14ac:dyDescent="0.15"/>
    <row r="3040" s="69" customFormat="1" x14ac:dyDescent="0.15"/>
    <row r="3041" s="69" customFormat="1" x14ac:dyDescent="0.15"/>
    <row r="3042" s="69" customFormat="1" x14ac:dyDescent="0.15"/>
    <row r="3043" s="69" customFormat="1" x14ac:dyDescent="0.15"/>
    <row r="3044" s="69" customFormat="1" x14ac:dyDescent="0.15"/>
    <row r="3045" s="69" customFormat="1" x14ac:dyDescent="0.15"/>
    <row r="3046" s="69" customFormat="1" x14ac:dyDescent="0.15"/>
    <row r="3047" s="69" customFormat="1" x14ac:dyDescent="0.15"/>
    <row r="3048" s="69" customFormat="1" x14ac:dyDescent="0.15"/>
    <row r="3049" s="69" customFormat="1" x14ac:dyDescent="0.15"/>
    <row r="3050" s="69" customFormat="1" x14ac:dyDescent="0.15"/>
    <row r="3051" s="69" customFormat="1" x14ac:dyDescent="0.15"/>
    <row r="3052" s="69" customFormat="1" x14ac:dyDescent="0.15"/>
    <row r="3053" s="69" customFormat="1" x14ac:dyDescent="0.15"/>
    <row r="3054" s="69" customFormat="1" x14ac:dyDescent="0.15"/>
    <row r="3055" s="69" customFormat="1" x14ac:dyDescent="0.15"/>
    <row r="3056" s="69" customFormat="1" x14ac:dyDescent="0.15"/>
    <row r="3057" s="69" customFormat="1" x14ac:dyDescent="0.15"/>
    <row r="3058" s="69" customFormat="1" x14ac:dyDescent="0.15"/>
    <row r="3059" s="69" customFormat="1" x14ac:dyDescent="0.15"/>
    <row r="3060" s="69" customFormat="1" x14ac:dyDescent="0.15"/>
    <row r="3061" s="69" customFormat="1" x14ac:dyDescent="0.15"/>
    <row r="3062" s="69" customFormat="1" x14ac:dyDescent="0.15"/>
    <row r="3063" s="69" customFormat="1" x14ac:dyDescent="0.15"/>
    <row r="3064" s="69" customFormat="1" x14ac:dyDescent="0.15"/>
    <row r="3065" s="69" customFormat="1" x14ac:dyDescent="0.15"/>
    <row r="3066" s="69" customFormat="1" x14ac:dyDescent="0.15"/>
    <row r="3067" s="69" customFormat="1" x14ac:dyDescent="0.15"/>
    <row r="3068" s="69" customFormat="1" x14ac:dyDescent="0.15"/>
    <row r="3069" s="69" customFormat="1" x14ac:dyDescent="0.15"/>
    <row r="3070" s="69" customFormat="1" x14ac:dyDescent="0.15"/>
    <row r="3071" s="69" customFormat="1" x14ac:dyDescent="0.15"/>
    <row r="3072" s="69" customFormat="1" x14ac:dyDescent="0.15"/>
    <row r="3073" s="69" customFormat="1" x14ac:dyDescent="0.15"/>
    <row r="3074" s="69" customFormat="1" x14ac:dyDescent="0.15"/>
    <row r="3075" s="69" customFormat="1" x14ac:dyDescent="0.15"/>
    <row r="3076" s="69" customFormat="1" x14ac:dyDescent="0.15"/>
    <row r="3077" s="69" customFormat="1" x14ac:dyDescent="0.15"/>
    <row r="3078" s="69" customFormat="1" x14ac:dyDescent="0.15"/>
    <row r="3079" s="69" customFormat="1" x14ac:dyDescent="0.15"/>
    <row r="3080" s="69" customFormat="1" x14ac:dyDescent="0.15"/>
    <row r="3081" s="69" customFormat="1" x14ac:dyDescent="0.15"/>
    <row r="3082" s="69" customFormat="1" x14ac:dyDescent="0.15"/>
    <row r="3083" s="69" customFormat="1" x14ac:dyDescent="0.15"/>
    <row r="3084" s="69" customFormat="1" x14ac:dyDescent="0.15"/>
    <row r="3085" s="69" customFormat="1" x14ac:dyDescent="0.15"/>
    <row r="3086" s="69" customFormat="1" x14ac:dyDescent="0.15"/>
    <row r="3087" s="69" customFormat="1" x14ac:dyDescent="0.15"/>
    <row r="3088" s="69" customFormat="1" x14ac:dyDescent="0.15"/>
    <row r="3089" s="69" customFormat="1" x14ac:dyDescent="0.15"/>
    <row r="3090" s="69" customFormat="1" x14ac:dyDescent="0.15"/>
    <row r="3091" s="69" customFormat="1" x14ac:dyDescent="0.15"/>
    <row r="3092" s="69" customFormat="1" x14ac:dyDescent="0.15"/>
    <row r="3093" s="69" customFormat="1" x14ac:dyDescent="0.15"/>
    <row r="3094" s="69" customFormat="1" x14ac:dyDescent="0.15"/>
    <row r="3095" s="69" customFormat="1" x14ac:dyDescent="0.15"/>
    <row r="3096" s="69" customFormat="1" x14ac:dyDescent="0.15"/>
    <row r="3097" s="69" customFormat="1" x14ac:dyDescent="0.15"/>
    <row r="3098" s="69" customFormat="1" x14ac:dyDescent="0.15"/>
    <row r="3099" s="69" customFormat="1" x14ac:dyDescent="0.15"/>
    <row r="3100" s="69" customFormat="1" x14ac:dyDescent="0.15"/>
    <row r="3101" s="69" customFormat="1" x14ac:dyDescent="0.15"/>
    <row r="3102" s="69" customFormat="1" x14ac:dyDescent="0.15"/>
    <row r="3103" s="69" customFormat="1" x14ac:dyDescent="0.15"/>
    <row r="3104" s="69" customFormat="1" x14ac:dyDescent="0.15"/>
    <row r="3105" s="69" customFormat="1" x14ac:dyDescent="0.15"/>
    <row r="3106" s="69" customFormat="1" x14ac:dyDescent="0.15"/>
    <row r="3107" s="69" customFormat="1" x14ac:dyDescent="0.15"/>
    <row r="3108" s="69" customFormat="1" x14ac:dyDescent="0.15"/>
    <row r="3109" s="69" customFormat="1" x14ac:dyDescent="0.15"/>
    <row r="3110" s="69" customFormat="1" x14ac:dyDescent="0.15"/>
    <row r="3111" s="69" customFormat="1" x14ac:dyDescent="0.15"/>
    <row r="3112" s="69" customFormat="1" x14ac:dyDescent="0.15"/>
    <row r="3113" s="69" customFormat="1" x14ac:dyDescent="0.15"/>
    <row r="3114" s="69" customFormat="1" x14ac:dyDescent="0.15"/>
    <row r="3115" s="69" customFormat="1" x14ac:dyDescent="0.15"/>
    <row r="3116" s="69" customFormat="1" x14ac:dyDescent="0.15"/>
    <row r="3117" s="69" customFormat="1" x14ac:dyDescent="0.15"/>
    <row r="3118" s="69" customFormat="1" x14ac:dyDescent="0.15"/>
    <row r="3119" s="69" customFormat="1" x14ac:dyDescent="0.15"/>
    <row r="3120" s="69" customFormat="1" x14ac:dyDescent="0.15"/>
    <row r="3121" s="69" customFormat="1" x14ac:dyDescent="0.15"/>
    <row r="3122" s="69" customFormat="1" x14ac:dyDescent="0.15"/>
    <row r="3123" s="69" customFormat="1" x14ac:dyDescent="0.15"/>
    <row r="3124" s="69" customFormat="1" x14ac:dyDescent="0.15"/>
    <row r="3125" s="69" customFormat="1" x14ac:dyDescent="0.15"/>
    <row r="3126" s="69" customFormat="1" x14ac:dyDescent="0.15"/>
    <row r="3127" s="69" customFormat="1" x14ac:dyDescent="0.15"/>
    <row r="3128" s="69" customFormat="1" x14ac:dyDescent="0.15"/>
    <row r="3129" s="69" customFormat="1" x14ac:dyDescent="0.15"/>
    <row r="3130" s="69" customFormat="1" x14ac:dyDescent="0.15"/>
    <row r="3131" s="69" customFormat="1" x14ac:dyDescent="0.15"/>
    <row r="3132" s="69" customFormat="1" x14ac:dyDescent="0.15"/>
    <row r="3133" s="69" customFormat="1" x14ac:dyDescent="0.15"/>
    <row r="3134" s="69" customFormat="1" x14ac:dyDescent="0.15"/>
    <row r="3135" s="69" customFormat="1" x14ac:dyDescent="0.15"/>
    <row r="3136" s="69" customFormat="1" x14ac:dyDescent="0.15"/>
    <row r="3137" s="69" customFormat="1" x14ac:dyDescent="0.15"/>
    <row r="3138" s="69" customFormat="1" x14ac:dyDescent="0.15"/>
    <row r="3139" s="69" customFormat="1" x14ac:dyDescent="0.15"/>
    <row r="3140" s="69" customFormat="1" x14ac:dyDescent="0.15"/>
    <row r="3141" s="69" customFormat="1" x14ac:dyDescent="0.15"/>
    <row r="3142" s="69" customFormat="1" x14ac:dyDescent="0.15"/>
    <row r="3143" s="69" customFormat="1" x14ac:dyDescent="0.15"/>
    <row r="3144" s="69" customFormat="1" x14ac:dyDescent="0.15"/>
    <row r="3145" s="69" customFormat="1" x14ac:dyDescent="0.15"/>
    <row r="3146" s="69" customFormat="1" x14ac:dyDescent="0.15"/>
    <row r="3147" s="69" customFormat="1" x14ac:dyDescent="0.15"/>
    <row r="3148" s="69" customFormat="1" x14ac:dyDescent="0.15"/>
    <row r="3149" s="69" customFormat="1" x14ac:dyDescent="0.15"/>
    <row r="3150" s="69" customFormat="1" x14ac:dyDescent="0.15"/>
    <row r="3151" s="69" customFormat="1" x14ac:dyDescent="0.15"/>
    <row r="3152" s="69" customFormat="1" x14ac:dyDescent="0.15"/>
    <row r="3153" s="69" customFormat="1" x14ac:dyDescent="0.15"/>
    <row r="3154" s="69" customFormat="1" x14ac:dyDescent="0.15"/>
    <row r="3155" s="69" customFormat="1" x14ac:dyDescent="0.15"/>
    <row r="3156" s="69" customFormat="1" x14ac:dyDescent="0.15"/>
    <row r="3157" s="69" customFormat="1" x14ac:dyDescent="0.15"/>
    <row r="3158" s="69" customFormat="1" x14ac:dyDescent="0.15"/>
    <row r="3159" s="69" customFormat="1" x14ac:dyDescent="0.15"/>
    <row r="3160" s="69" customFormat="1" x14ac:dyDescent="0.15"/>
    <row r="3161" s="69" customFormat="1" x14ac:dyDescent="0.15"/>
    <row r="3162" s="69" customFormat="1" x14ac:dyDescent="0.15"/>
    <row r="3163" s="69" customFormat="1" x14ac:dyDescent="0.15"/>
    <row r="3164" s="69" customFormat="1" x14ac:dyDescent="0.15"/>
    <row r="3165" s="69" customFormat="1" x14ac:dyDescent="0.15"/>
    <row r="3166" s="69" customFormat="1" x14ac:dyDescent="0.15"/>
    <row r="3167" s="69" customFormat="1" x14ac:dyDescent="0.15"/>
    <row r="3168" s="69" customFormat="1" x14ac:dyDescent="0.15"/>
    <row r="3169" s="69" customFormat="1" x14ac:dyDescent="0.15"/>
    <row r="3170" s="69" customFormat="1" x14ac:dyDescent="0.15"/>
    <row r="3171" s="69" customFormat="1" x14ac:dyDescent="0.15"/>
    <row r="3172" s="69" customFormat="1" x14ac:dyDescent="0.15"/>
    <row r="3173" s="69" customFormat="1" x14ac:dyDescent="0.15"/>
    <row r="3174" s="69" customFormat="1" x14ac:dyDescent="0.15"/>
    <row r="3175" s="69" customFormat="1" x14ac:dyDescent="0.15"/>
    <row r="3176" s="69" customFormat="1" x14ac:dyDescent="0.15"/>
    <row r="3177" s="69" customFormat="1" x14ac:dyDescent="0.15"/>
    <row r="3178" s="69" customFormat="1" x14ac:dyDescent="0.15"/>
    <row r="3179" s="69" customFormat="1" x14ac:dyDescent="0.15"/>
    <row r="3180" s="69" customFormat="1" x14ac:dyDescent="0.15"/>
    <row r="3181" s="69" customFormat="1" x14ac:dyDescent="0.15"/>
    <row r="3182" s="69" customFormat="1" x14ac:dyDescent="0.15"/>
    <row r="3183" s="69" customFormat="1" x14ac:dyDescent="0.15"/>
    <row r="3184" s="69" customFormat="1" x14ac:dyDescent="0.15"/>
    <row r="3185" s="69" customFormat="1" x14ac:dyDescent="0.15"/>
    <row r="3186" s="69" customFormat="1" x14ac:dyDescent="0.15"/>
    <row r="3187" s="69" customFormat="1" x14ac:dyDescent="0.15"/>
    <row r="3188" s="69" customFormat="1" x14ac:dyDescent="0.15"/>
    <row r="3189" s="69" customFormat="1" x14ac:dyDescent="0.15"/>
    <row r="3190" s="69" customFormat="1" x14ac:dyDescent="0.15"/>
    <row r="3191" s="69" customFormat="1" x14ac:dyDescent="0.15"/>
    <row r="3192" s="69" customFormat="1" x14ac:dyDescent="0.15"/>
    <row r="3193" s="69" customFormat="1" x14ac:dyDescent="0.15"/>
    <row r="3194" s="69" customFormat="1" x14ac:dyDescent="0.15"/>
    <row r="3195" s="69" customFormat="1" x14ac:dyDescent="0.15"/>
    <row r="3196" s="69" customFormat="1" x14ac:dyDescent="0.15"/>
    <row r="3197" s="69" customFormat="1" x14ac:dyDescent="0.15"/>
    <row r="3198" s="69" customFormat="1" x14ac:dyDescent="0.15"/>
    <row r="3199" s="69" customFormat="1" x14ac:dyDescent="0.15"/>
    <row r="3200" s="69" customFormat="1" x14ac:dyDescent="0.15"/>
    <row r="3201" s="69" customFormat="1" x14ac:dyDescent="0.15"/>
    <row r="3202" s="69" customFormat="1" x14ac:dyDescent="0.15"/>
    <row r="3203" s="69" customFormat="1" x14ac:dyDescent="0.15"/>
    <row r="3204" s="69" customFormat="1" x14ac:dyDescent="0.15"/>
    <row r="3205" s="69" customFormat="1" x14ac:dyDescent="0.15"/>
    <row r="3206" s="69" customFormat="1" x14ac:dyDescent="0.15"/>
    <row r="3207" s="69" customFormat="1" x14ac:dyDescent="0.15"/>
    <row r="3208" s="69" customFormat="1" x14ac:dyDescent="0.15"/>
    <row r="3209" s="69" customFormat="1" x14ac:dyDescent="0.15"/>
    <row r="3210" s="69" customFormat="1" x14ac:dyDescent="0.15"/>
    <row r="3211" s="69" customFormat="1" x14ac:dyDescent="0.15"/>
    <row r="3212" s="69" customFormat="1" x14ac:dyDescent="0.15"/>
    <row r="3213" s="69" customFormat="1" x14ac:dyDescent="0.15"/>
    <row r="3214" s="69" customFormat="1" x14ac:dyDescent="0.15"/>
    <row r="3215" s="69" customFormat="1" x14ac:dyDescent="0.15"/>
    <row r="3216" s="69" customFormat="1" x14ac:dyDescent="0.15"/>
    <row r="3217" s="69" customFormat="1" x14ac:dyDescent="0.15"/>
    <row r="3218" s="69" customFormat="1" x14ac:dyDescent="0.15"/>
    <row r="3219" s="69" customFormat="1" x14ac:dyDescent="0.15"/>
    <row r="3220" s="69" customFormat="1" x14ac:dyDescent="0.15"/>
    <row r="3221" s="69" customFormat="1" x14ac:dyDescent="0.15"/>
    <row r="3222" s="69" customFormat="1" x14ac:dyDescent="0.15"/>
    <row r="3223" s="69" customFormat="1" x14ac:dyDescent="0.15"/>
    <row r="3224" s="69" customFormat="1" x14ac:dyDescent="0.15"/>
    <row r="3225" s="69" customFormat="1" x14ac:dyDescent="0.15"/>
    <row r="3226" s="69" customFormat="1" x14ac:dyDescent="0.15"/>
    <row r="3227" s="69" customFormat="1" x14ac:dyDescent="0.15"/>
    <row r="3228" s="69" customFormat="1" x14ac:dyDescent="0.15"/>
    <row r="3229" s="69" customFormat="1" x14ac:dyDescent="0.15"/>
    <row r="3230" s="69" customFormat="1" x14ac:dyDescent="0.15"/>
    <row r="3231" s="69" customFormat="1" x14ac:dyDescent="0.15"/>
    <row r="3232" s="69" customFormat="1" x14ac:dyDescent="0.15"/>
    <row r="3233" s="69" customFormat="1" x14ac:dyDescent="0.15"/>
    <row r="3234" s="69" customFormat="1" x14ac:dyDescent="0.15"/>
    <row r="3235" s="69" customFormat="1" x14ac:dyDescent="0.15"/>
    <row r="3236" s="69" customFormat="1" x14ac:dyDescent="0.15"/>
    <row r="3237" s="69" customFormat="1" x14ac:dyDescent="0.15"/>
    <row r="3238" s="69" customFormat="1" x14ac:dyDescent="0.15"/>
    <row r="3239" s="69" customFormat="1" x14ac:dyDescent="0.15"/>
    <row r="3240" s="69" customFormat="1" x14ac:dyDescent="0.15"/>
    <row r="3241" s="69" customFormat="1" x14ac:dyDescent="0.15"/>
    <row r="3242" s="69" customFormat="1" x14ac:dyDescent="0.15"/>
    <row r="3243" s="69" customFormat="1" x14ac:dyDescent="0.15"/>
    <row r="3244" s="69" customFormat="1" x14ac:dyDescent="0.15"/>
    <row r="3245" s="69" customFormat="1" x14ac:dyDescent="0.15"/>
    <row r="3246" s="69" customFormat="1" x14ac:dyDescent="0.15"/>
    <row r="3247" s="69" customFormat="1" x14ac:dyDescent="0.15"/>
    <row r="3248" s="69" customFormat="1" x14ac:dyDescent="0.15"/>
    <row r="3249" s="69" customFormat="1" x14ac:dyDescent="0.15"/>
    <row r="3250" s="69" customFormat="1" x14ac:dyDescent="0.15"/>
    <row r="3251" s="69" customFormat="1" x14ac:dyDescent="0.15"/>
    <row r="3252" s="69" customFormat="1" x14ac:dyDescent="0.15"/>
    <row r="3253" s="69" customFormat="1" x14ac:dyDescent="0.15"/>
    <row r="3254" s="69" customFormat="1" x14ac:dyDescent="0.15"/>
    <row r="3255" s="69" customFormat="1" x14ac:dyDescent="0.15"/>
    <row r="3256" s="69" customFormat="1" x14ac:dyDescent="0.15"/>
    <row r="3257" s="69" customFormat="1" x14ac:dyDescent="0.15"/>
    <row r="3258" s="69" customFormat="1" x14ac:dyDescent="0.15"/>
    <row r="3259" s="69" customFormat="1" x14ac:dyDescent="0.15"/>
    <row r="3260" s="69" customFormat="1" x14ac:dyDescent="0.15"/>
    <row r="3261" s="69" customFormat="1" x14ac:dyDescent="0.15"/>
    <row r="3262" s="69" customFormat="1" x14ac:dyDescent="0.15"/>
    <row r="3263" s="69" customFormat="1" x14ac:dyDescent="0.15"/>
    <row r="3264" s="69" customFormat="1" x14ac:dyDescent="0.15"/>
    <row r="3265" s="69" customFormat="1" x14ac:dyDescent="0.15"/>
    <row r="3266" s="69" customFormat="1" x14ac:dyDescent="0.15"/>
    <row r="3267" s="69" customFormat="1" x14ac:dyDescent="0.15"/>
    <row r="3268" s="69" customFormat="1" x14ac:dyDescent="0.15"/>
    <row r="3269" s="69" customFormat="1" x14ac:dyDescent="0.15"/>
    <row r="3270" s="69" customFormat="1" x14ac:dyDescent="0.15"/>
    <row r="3271" s="69" customFormat="1" x14ac:dyDescent="0.15"/>
    <row r="3272" s="69" customFormat="1" x14ac:dyDescent="0.15"/>
    <row r="3273" s="69" customFormat="1" x14ac:dyDescent="0.15"/>
    <row r="3274" s="69" customFormat="1" x14ac:dyDescent="0.15"/>
    <row r="3275" s="69" customFormat="1" x14ac:dyDescent="0.15"/>
    <row r="3276" s="69" customFormat="1" x14ac:dyDescent="0.15"/>
    <row r="3277" s="69" customFormat="1" x14ac:dyDescent="0.15"/>
    <row r="3278" s="69" customFormat="1" x14ac:dyDescent="0.15"/>
    <row r="3279" s="69" customFormat="1" x14ac:dyDescent="0.15"/>
    <row r="3280" s="69" customFormat="1" x14ac:dyDescent="0.15"/>
    <row r="3281" s="69" customFormat="1" x14ac:dyDescent="0.15"/>
    <row r="3282" s="69" customFormat="1" x14ac:dyDescent="0.15"/>
    <row r="3283" s="69" customFormat="1" x14ac:dyDescent="0.15"/>
    <row r="3284" s="69" customFormat="1" x14ac:dyDescent="0.15"/>
    <row r="3285" s="69" customFormat="1" x14ac:dyDescent="0.15"/>
    <row r="3286" s="69" customFormat="1" x14ac:dyDescent="0.15"/>
    <row r="3287" s="69" customFormat="1" x14ac:dyDescent="0.15"/>
    <row r="3288" s="69" customFormat="1" x14ac:dyDescent="0.15"/>
    <row r="3289" s="69" customFormat="1" x14ac:dyDescent="0.15"/>
    <row r="3290" s="69" customFormat="1" x14ac:dyDescent="0.15"/>
    <row r="3291" s="69" customFormat="1" x14ac:dyDescent="0.15"/>
    <row r="3292" s="69" customFormat="1" x14ac:dyDescent="0.15"/>
    <row r="3293" s="69" customFormat="1" x14ac:dyDescent="0.15"/>
    <row r="3294" s="69" customFormat="1" x14ac:dyDescent="0.15"/>
    <row r="3295" s="69" customFormat="1" x14ac:dyDescent="0.15"/>
    <row r="3296" s="69" customFormat="1" x14ac:dyDescent="0.15"/>
    <row r="3297" s="69" customFormat="1" x14ac:dyDescent="0.15"/>
    <row r="3298" s="69" customFormat="1" x14ac:dyDescent="0.15"/>
    <row r="3299" s="69" customFormat="1" x14ac:dyDescent="0.15"/>
    <row r="3300" s="69" customFormat="1" x14ac:dyDescent="0.15"/>
    <row r="3301" s="69" customFormat="1" x14ac:dyDescent="0.15"/>
    <row r="3302" s="69" customFormat="1" x14ac:dyDescent="0.15"/>
    <row r="3303" s="69" customFormat="1" x14ac:dyDescent="0.15"/>
    <row r="3304" s="69" customFormat="1" x14ac:dyDescent="0.15"/>
    <row r="3305" s="69" customFormat="1" x14ac:dyDescent="0.15"/>
    <row r="3306" s="69" customFormat="1" x14ac:dyDescent="0.15"/>
    <row r="3307" s="69" customFormat="1" x14ac:dyDescent="0.15"/>
    <row r="3308" s="69" customFormat="1" x14ac:dyDescent="0.15"/>
    <row r="3309" s="69" customFormat="1" x14ac:dyDescent="0.15"/>
    <row r="3310" s="69" customFormat="1" x14ac:dyDescent="0.15"/>
    <row r="3311" s="69" customFormat="1" x14ac:dyDescent="0.15"/>
    <row r="3312" s="69" customFormat="1" x14ac:dyDescent="0.15"/>
    <row r="3313" s="69" customFormat="1" x14ac:dyDescent="0.15"/>
    <row r="3314" s="69" customFormat="1" x14ac:dyDescent="0.15"/>
    <row r="3315" s="69" customFormat="1" x14ac:dyDescent="0.15"/>
    <row r="3316" s="69" customFormat="1" x14ac:dyDescent="0.15"/>
    <row r="3317" s="69" customFormat="1" x14ac:dyDescent="0.15"/>
    <row r="3318" s="69" customFormat="1" x14ac:dyDescent="0.15"/>
    <row r="3319" s="69" customFormat="1" x14ac:dyDescent="0.15"/>
    <row r="3320" s="69" customFormat="1" x14ac:dyDescent="0.15"/>
    <row r="3321" s="69" customFormat="1" x14ac:dyDescent="0.15"/>
    <row r="3322" s="69" customFormat="1" x14ac:dyDescent="0.15"/>
    <row r="3323" s="69" customFormat="1" x14ac:dyDescent="0.15"/>
    <row r="3324" s="69" customFormat="1" x14ac:dyDescent="0.15"/>
    <row r="3325" s="69" customFormat="1" x14ac:dyDescent="0.15"/>
    <row r="3326" s="69" customFormat="1" x14ac:dyDescent="0.15"/>
    <row r="3327" s="69" customFormat="1" x14ac:dyDescent="0.15"/>
    <row r="3328" s="69" customFormat="1" x14ac:dyDescent="0.15"/>
    <row r="3329" s="69" customFormat="1" x14ac:dyDescent="0.15"/>
    <row r="3330" s="69" customFormat="1" x14ac:dyDescent="0.15"/>
    <row r="3331" s="69" customFormat="1" x14ac:dyDescent="0.15"/>
    <row r="3332" s="69" customFormat="1" x14ac:dyDescent="0.15"/>
    <row r="3333" s="69" customFormat="1" x14ac:dyDescent="0.15"/>
    <row r="3334" s="69" customFormat="1" x14ac:dyDescent="0.15"/>
    <row r="3335" s="69" customFormat="1" x14ac:dyDescent="0.15"/>
    <row r="3336" s="69" customFormat="1" x14ac:dyDescent="0.15"/>
    <row r="3337" s="69" customFormat="1" x14ac:dyDescent="0.15"/>
    <row r="3338" s="69" customFormat="1" x14ac:dyDescent="0.15"/>
    <row r="3339" s="69" customFormat="1" x14ac:dyDescent="0.15"/>
    <row r="3340" s="69" customFormat="1" x14ac:dyDescent="0.15"/>
    <row r="3341" s="69" customFormat="1" x14ac:dyDescent="0.15"/>
    <row r="3342" s="69" customFormat="1" x14ac:dyDescent="0.15"/>
    <row r="3343" s="69" customFormat="1" x14ac:dyDescent="0.15"/>
    <row r="3344" s="69" customFormat="1" x14ac:dyDescent="0.15"/>
    <row r="3345" s="69" customFormat="1" x14ac:dyDescent="0.15"/>
    <row r="3346" s="69" customFormat="1" x14ac:dyDescent="0.15"/>
    <row r="3347" s="69" customFormat="1" x14ac:dyDescent="0.15"/>
    <row r="3348" s="69" customFormat="1" x14ac:dyDescent="0.15"/>
    <row r="3349" s="69" customFormat="1" x14ac:dyDescent="0.15"/>
    <row r="3350" s="69" customFormat="1" x14ac:dyDescent="0.15"/>
    <row r="3351" s="69" customFormat="1" x14ac:dyDescent="0.15"/>
    <row r="3352" s="69" customFormat="1" x14ac:dyDescent="0.15"/>
    <row r="3353" s="69" customFormat="1" x14ac:dyDescent="0.15"/>
    <row r="3354" s="69" customFormat="1" x14ac:dyDescent="0.15"/>
    <row r="3355" s="69" customFormat="1" x14ac:dyDescent="0.15"/>
    <row r="3356" s="69" customFormat="1" x14ac:dyDescent="0.15"/>
    <row r="3357" s="69" customFormat="1" x14ac:dyDescent="0.15"/>
    <row r="3358" s="69" customFormat="1" x14ac:dyDescent="0.15"/>
    <row r="3359" s="69" customFormat="1" x14ac:dyDescent="0.15"/>
    <row r="3360" s="69" customFormat="1" x14ac:dyDescent="0.15"/>
    <row r="3361" s="69" customFormat="1" x14ac:dyDescent="0.15"/>
    <row r="3362" s="69" customFormat="1" x14ac:dyDescent="0.15"/>
    <row r="3363" s="69" customFormat="1" x14ac:dyDescent="0.15"/>
    <row r="3364" s="69" customFormat="1" x14ac:dyDescent="0.15"/>
    <row r="3365" s="69" customFormat="1" x14ac:dyDescent="0.15"/>
    <row r="3366" s="69" customFormat="1" x14ac:dyDescent="0.15"/>
    <row r="3367" s="69" customFormat="1" x14ac:dyDescent="0.15"/>
    <row r="3368" s="69" customFormat="1" x14ac:dyDescent="0.15"/>
    <row r="3369" s="69" customFormat="1" x14ac:dyDescent="0.15"/>
    <row r="3370" s="69" customFormat="1" x14ac:dyDescent="0.15"/>
    <row r="3371" s="69" customFormat="1" x14ac:dyDescent="0.15"/>
    <row r="3372" s="69" customFormat="1" x14ac:dyDescent="0.15"/>
    <row r="3373" s="69" customFormat="1" x14ac:dyDescent="0.15"/>
    <row r="3374" s="69" customFormat="1" x14ac:dyDescent="0.15"/>
    <row r="3375" s="69" customFormat="1" x14ac:dyDescent="0.15"/>
    <row r="3376" s="69" customFormat="1" x14ac:dyDescent="0.15"/>
    <row r="3377" s="69" customFormat="1" x14ac:dyDescent="0.15"/>
    <row r="3378" s="69" customFormat="1" x14ac:dyDescent="0.15"/>
    <row r="3379" s="69" customFormat="1" x14ac:dyDescent="0.15"/>
    <row r="3380" s="69" customFormat="1" x14ac:dyDescent="0.15"/>
    <row r="3381" s="69" customFormat="1" x14ac:dyDescent="0.15"/>
    <row r="3382" s="69" customFormat="1" x14ac:dyDescent="0.15"/>
    <row r="3383" s="69" customFormat="1" x14ac:dyDescent="0.15"/>
    <row r="3384" s="69" customFormat="1" x14ac:dyDescent="0.15"/>
    <row r="3385" s="69" customFormat="1" x14ac:dyDescent="0.15"/>
    <row r="3386" s="69" customFormat="1" x14ac:dyDescent="0.15"/>
    <row r="3387" s="69" customFormat="1" x14ac:dyDescent="0.15"/>
    <row r="3388" s="69" customFormat="1" x14ac:dyDescent="0.15"/>
    <row r="3389" s="69" customFormat="1" x14ac:dyDescent="0.15"/>
    <row r="3390" s="69" customFormat="1" x14ac:dyDescent="0.15"/>
    <row r="3391" s="69" customFormat="1" x14ac:dyDescent="0.15"/>
    <row r="3392" s="69" customFormat="1" x14ac:dyDescent="0.15"/>
    <row r="3393" s="69" customFormat="1" x14ac:dyDescent="0.15"/>
    <row r="3394" s="69" customFormat="1" x14ac:dyDescent="0.15"/>
    <row r="3395" s="69" customFormat="1" x14ac:dyDescent="0.15"/>
    <row r="3396" s="69" customFormat="1" x14ac:dyDescent="0.15"/>
    <row r="3397" s="69" customFormat="1" x14ac:dyDescent="0.15"/>
    <row r="3398" s="69" customFormat="1" x14ac:dyDescent="0.15"/>
    <row r="3399" s="69" customFormat="1" x14ac:dyDescent="0.15"/>
    <row r="3400" s="69" customFormat="1" x14ac:dyDescent="0.15"/>
    <row r="3401" s="69" customFormat="1" x14ac:dyDescent="0.15"/>
    <row r="3402" s="69" customFormat="1" x14ac:dyDescent="0.15"/>
    <row r="3403" s="69" customFormat="1" x14ac:dyDescent="0.15"/>
    <row r="3404" s="69" customFormat="1" x14ac:dyDescent="0.15"/>
    <row r="3405" s="69" customFormat="1" x14ac:dyDescent="0.15"/>
    <row r="3406" s="69" customFormat="1" x14ac:dyDescent="0.15"/>
    <row r="3407" s="69" customFormat="1" x14ac:dyDescent="0.15"/>
    <row r="3408" s="69" customFormat="1" x14ac:dyDescent="0.15"/>
    <row r="3409" s="69" customFormat="1" x14ac:dyDescent="0.15"/>
    <row r="3410" s="69" customFormat="1" x14ac:dyDescent="0.15"/>
    <row r="3411" s="69" customFormat="1" x14ac:dyDescent="0.15"/>
    <row r="3412" s="69" customFormat="1" x14ac:dyDescent="0.15"/>
    <row r="3413" s="69" customFormat="1" x14ac:dyDescent="0.15"/>
    <row r="3414" s="69" customFormat="1" x14ac:dyDescent="0.15"/>
    <row r="3415" s="69" customFormat="1" x14ac:dyDescent="0.15"/>
    <row r="3416" s="69" customFormat="1" x14ac:dyDescent="0.15"/>
    <row r="3417" s="69" customFormat="1" x14ac:dyDescent="0.15"/>
    <row r="3418" s="69" customFormat="1" x14ac:dyDescent="0.15"/>
    <row r="3419" s="69" customFormat="1" x14ac:dyDescent="0.15"/>
    <row r="3420" s="69" customFormat="1" x14ac:dyDescent="0.15"/>
    <row r="3421" s="69" customFormat="1" x14ac:dyDescent="0.15"/>
    <row r="3422" s="69" customFormat="1" x14ac:dyDescent="0.15"/>
    <row r="3423" s="69" customFormat="1" x14ac:dyDescent="0.15"/>
    <row r="3424" s="69" customFormat="1" x14ac:dyDescent="0.15"/>
    <row r="3425" s="69" customFormat="1" x14ac:dyDescent="0.15"/>
    <row r="3426" s="69" customFormat="1" x14ac:dyDescent="0.15"/>
    <row r="3427" s="69" customFormat="1" x14ac:dyDescent="0.15"/>
    <row r="3428" s="69" customFormat="1" x14ac:dyDescent="0.15"/>
    <row r="3429" s="69" customFormat="1" x14ac:dyDescent="0.15"/>
    <row r="3430" s="69" customFormat="1" x14ac:dyDescent="0.15"/>
    <row r="3431" s="69" customFormat="1" x14ac:dyDescent="0.15"/>
    <row r="3432" s="69" customFormat="1" x14ac:dyDescent="0.15"/>
    <row r="3433" s="69" customFormat="1" x14ac:dyDescent="0.15"/>
    <row r="3434" s="69" customFormat="1" x14ac:dyDescent="0.15"/>
    <row r="3435" s="69" customFormat="1" x14ac:dyDescent="0.15"/>
    <row r="3436" s="69" customFormat="1" x14ac:dyDescent="0.15"/>
    <row r="3437" s="69" customFormat="1" x14ac:dyDescent="0.15"/>
    <row r="3438" s="69" customFormat="1" x14ac:dyDescent="0.15"/>
    <row r="3439" s="69" customFormat="1" x14ac:dyDescent="0.15"/>
    <row r="3440" s="69" customFormat="1" x14ac:dyDescent="0.15"/>
    <row r="3441" s="69" customFormat="1" x14ac:dyDescent="0.15"/>
    <row r="3442" s="69" customFormat="1" x14ac:dyDescent="0.15"/>
    <row r="3443" s="69" customFormat="1" x14ac:dyDescent="0.15"/>
    <row r="3444" s="69" customFormat="1" x14ac:dyDescent="0.15"/>
    <row r="3445" s="69" customFormat="1" x14ac:dyDescent="0.15"/>
    <row r="3446" s="69" customFormat="1" x14ac:dyDescent="0.15"/>
    <row r="3447" s="69" customFormat="1" x14ac:dyDescent="0.15"/>
    <row r="3448" s="69" customFormat="1" x14ac:dyDescent="0.15"/>
    <row r="3449" s="69" customFormat="1" x14ac:dyDescent="0.15"/>
    <row r="3450" s="69" customFormat="1" x14ac:dyDescent="0.15"/>
    <row r="3451" s="69" customFormat="1" x14ac:dyDescent="0.15"/>
    <row r="3452" s="69" customFormat="1" x14ac:dyDescent="0.15"/>
    <row r="3453" s="69" customFormat="1" x14ac:dyDescent="0.15"/>
    <row r="3454" s="69" customFormat="1" x14ac:dyDescent="0.15"/>
    <row r="3455" s="69" customFormat="1" x14ac:dyDescent="0.15"/>
    <row r="3456" s="69" customFormat="1" x14ac:dyDescent="0.15"/>
    <row r="3457" s="69" customFormat="1" x14ac:dyDescent="0.15"/>
    <row r="3458" s="69" customFormat="1" x14ac:dyDescent="0.15"/>
    <row r="3459" s="69" customFormat="1" x14ac:dyDescent="0.15"/>
    <row r="3460" s="69" customFormat="1" x14ac:dyDescent="0.15"/>
    <row r="3461" s="69" customFormat="1" x14ac:dyDescent="0.15"/>
    <row r="3462" s="69" customFormat="1" x14ac:dyDescent="0.15"/>
    <row r="3463" s="69" customFormat="1" x14ac:dyDescent="0.15"/>
    <row r="3464" s="69" customFormat="1" x14ac:dyDescent="0.15"/>
    <row r="3465" s="69" customFormat="1" x14ac:dyDescent="0.15"/>
    <row r="3466" s="69" customFormat="1" x14ac:dyDescent="0.15"/>
    <row r="3467" s="69" customFormat="1" x14ac:dyDescent="0.15"/>
    <row r="3468" s="69" customFormat="1" x14ac:dyDescent="0.15"/>
    <row r="3469" s="69" customFormat="1" x14ac:dyDescent="0.15"/>
    <row r="3470" s="69" customFormat="1" x14ac:dyDescent="0.15"/>
    <row r="3471" s="69" customFormat="1" x14ac:dyDescent="0.15"/>
    <row r="3472" s="69" customFormat="1" x14ac:dyDescent="0.15"/>
    <row r="3473" s="69" customFormat="1" x14ac:dyDescent="0.15"/>
    <row r="3474" s="69" customFormat="1" x14ac:dyDescent="0.15"/>
    <row r="3475" s="69" customFormat="1" x14ac:dyDescent="0.15"/>
    <row r="3476" s="69" customFormat="1" x14ac:dyDescent="0.15"/>
    <row r="3477" s="69" customFormat="1" x14ac:dyDescent="0.15"/>
    <row r="3478" s="69" customFormat="1" x14ac:dyDescent="0.15"/>
    <row r="3479" s="69" customFormat="1" x14ac:dyDescent="0.15"/>
    <row r="3480" s="69" customFormat="1" x14ac:dyDescent="0.15"/>
    <row r="3481" s="69" customFormat="1" x14ac:dyDescent="0.15"/>
    <row r="3482" s="69" customFormat="1" x14ac:dyDescent="0.15"/>
    <row r="3483" s="69" customFormat="1" x14ac:dyDescent="0.15"/>
    <row r="3484" s="69" customFormat="1" x14ac:dyDescent="0.15"/>
    <row r="3485" s="69" customFormat="1" x14ac:dyDescent="0.15"/>
    <row r="3486" s="69" customFormat="1" x14ac:dyDescent="0.15"/>
    <row r="3487" s="69" customFormat="1" x14ac:dyDescent="0.15"/>
    <row r="3488" s="69" customFormat="1" x14ac:dyDescent="0.15"/>
    <row r="3489" s="69" customFormat="1" x14ac:dyDescent="0.15"/>
    <row r="3490" s="69" customFormat="1" x14ac:dyDescent="0.15"/>
    <row r="3491" s="69" customFormat="1" x14ac:dyDescent="0.15"/>
    <row r="3492" s="69" customFormat="1" x14ac:dyDescent="0.15"/>
    <row r="3493" s="69" customFormat="1" x14ac:dyDescent="0.15"/>
    <row r="3494" s="69" customFormat="1" x14ac:dyDescent="0.15"/>
    <row r="3495" s="69" customFormat="1" x14ac:dyDescent="0.15"/>
    <row r="3496" s="69" customFormat="1" x14ac:dyDescent="0.15"/>
    <row r="3497" s="69" customFormat="1" x14ac:dyDescent="0.15"/>
    <row r="3498" s="69" customFormat="1" x14ac:dyDescent="0.15"/>
    <row r="3499" s="69" customFormat="1" x14ac:dyDescent="0.15"/>
    <row r="3500" s="69" customFormat="1" x14ac:dyDescent="0.15"/>
    <row r="3501" s="69" customFormat="1" x14ac:dyDescent="0.15"/>
    <row r="3502" s="69" customFormat="1" x14ac:dyDescent="0.15"/>
    <row r="3503" s="69" customFormat="1" x14ac:dyDescent="0.15"/>
    <row r="3504" s="69" customFormat="1" x14ac:dyDescent="0.15"/>
    <row r="3505" s="69" customFormat="1" x14ac:dyDescent="0.15"/>
    <row r="3506" s="69" customFormat="1" x14ac:dyDescent="0.15"/>
    <row r="3507" s="69" customFormat="1" x14ac:dyDescent="0.15"/>
    <row r="3508" s="69" customFormat="1" x14ac:dyDescent="0.15"/>
    <row r="3509" s="69" customFormat="1" x14ac:dyDescent="0.15"/>
    <row r="3510" s="69" customFormat="1" x14ac:dyDescent="0.15"/>
    <row r="3511" s="69" customFormat="1" x14ac:dyDescent="0.15"/>
    <row r="3512" s="69" customFormat="1" x14ac:dyDescent="0.15"/>
    <row r="3513" s="69" customFormat="1" x14ac:dyDescent="0.15"/>
    <row r="3514" s="69" customFormat="1" x14ac:dyDescent="0.15"/>
    <row r="3515" s="69" customFormat="1" x14ac:dyDescent="0.15"/>
    <row r="3516" s="69" customFormat="1" x14ac:dyDescent="0.15"/>
    <row r="3517" s="69" customFormat="1" x14ac:dyDescent="0.15"/>
    <row r="3518" s="69" customFormat="1" x14ac:dyDescent="0.15"/>
    <row r="3519" s="69" customFormat="1" x14ac:dyDescent="0.15"/>
    <row r="3520" s="69" customFormat="1" x14ac:dyDescent="0.15"/>
    <row r="3521" s="69" customFormat="1" x14ac:dyDescent="0.15"/>
    <row r="3522" s="69" customFormat="1" x14ac:dyDescent="0.15"/>
    <row r="3523" s="69" customFormat="1" x14ac:dyDescent="0.15"/>
    <row r="3524" s="69" customFormat="1" x14ac:dyDescent="0.15"/>
    <row r="3525" s="69" customFormat="1" x14ac:dyDescent="0.15"/>
    <row r="3526" s="69" customFormat="1" x14ac:dyDescent="0.15"/>
    <row r="3527" s="69" customFormat="1" x14ac:dyDescent="0.15"/>
    <row r="3528" s="69" customFormat="1" x14ac:dyDescent="0.15"/>
    <row r="3529" s="69" customFormat="1" x14ac:dyDescent="0.15"/>
    <row r="3530" s="69" customFormat="1" x14ac:dyDescent="0.15"/>
    <row r="3531" s="69" customFormat="1" x14ac:dyDescent="0.15"/>
    <row r="3532" s="69" customFormat="1" x14ac:dyDescent="0.15"/>
    <row r="3533" s="69" customFormat="1" x14ac:dyDescent="0.15"/>
    <row r="3534" s="69" customFormat="1" x14ac:dyDescent="0.15"/>
    <row r="3535" s="69" customFormat="1" x14ac:dyDescent="0.15"/>
    <row r="3536" s="69" customFormat="1" x14ac:dyDescent="0.15"/>
    <row r="3537" s="69" customFormat="1" x14ac:dyDescent="0.15"/>
    <row r="3538" s="69" customFormat="1" x14ac:dyDescent="0.15"/>
    <row r="3539" s="69" customFormat="1" x14ac:dyDescent="0.15"/>
    <row r="3540" s="69" customFormat="1" x14ac:dyDescent="0.15"/>
    <row r="3541" s="69" customFormat="1" x14ac:dyDescent="0.15"/>
    <row r="3542" s="69" customFormat="1" x14ac:dyDescent="0.15"/>
    <row r="3543" s="69" customFormat="1" x14ac:dyDescent="0.15"/>
    <row r="3544" s="69" customFormat="1" x14ac:dyDescent="0.15"/>
    <row r="3545" s="69" customFormat="1" x14ac:dyDescent="0.15"/>
    <row r="3546" s="69" customFormat="1" x14ac:dyDescent="0.15"/>
    <row r="3547" s="69" customFormat="1" x14ac:dyDescent="0.15"/>
    <row r="3548" s="69" customFormat="1" x14ac:dyDescent="0.15"/>
    <row r="3549" s="69" customFormat="1" x14ac:dyDescent="0.15"/>
    <row r="3550" s="69" customFormat="1" x14ac:dyDescent="0.15"/>
    <row r="3551" s="69" customFormat="1" x14ac:dyDescent="0.15"/>
    <row r="3552" s="69" customFormat="1" x14ac:dyDescent="0.15"/>
    <row r="3553" s="69" customFormat="1" x14ac:dyDescent="0.15"/>
    <row r="3554" s="69" customFormat="1" x14ac:dyDescent="0.15"/>
    <row r="3555" s="69" customFormat="1" x14ac:dyDescent="0.15"/>
    <row r="3556" s="69" customFormat="1" x14ac:dyDescent="0.15"/>
    <row r="3557" s="69" customFormat="1" x14ac:dyDescent="0.15"/>
    <row r="3558" s="69" customFormat="1" x14ac:dyDescent="0.15"/>
    <row r="3559" s="69" customFormat="1" x14ac:dyDescent="0.15"/>
    <row r="3560" s="69" customFormat="1" x14ac:dyDescent="0.15"/>
    <row r="3561" s="69" customFormat="1" x14ac:dyDescent="0.15"/>
    <row r="3562" s="69" customFormat="1" x14ac:dyDescent="0.15"/>
    <row r="3563" s="69" customFormat="1" x14ac:dyDescent="0.15"/>
    <row r="3564" s="69" customFormat="1" x14ac:dyDescent="0.15"/>
    <row r="3565" s="69" customFormat="1" x14ac:dyDescent="0.15"/>
    <row r="3566" s="69" customFormat="1" x14ac:dyDescent="0.15"/>
    <row r="3567" s="69" customFormat="1" x14ac:dyDescent="0.15"/>
    <row r="3568" s="69" customFormat="1" x14ac:dyDescent="0.15"/>
    <row r="3569" s="69" customFormat="1" x14ac:dyDescent="0.15"/>
    <row r="3570" s="69" customFormat="1" x14ac:dyDescent="0.15"/>
    <row r="3571" s="69" customFormat="1" x14ac:dyDescent="0.15"/>
    <row r="3572" s="69" customFormat="1" x14ac:dyDescent="0.15"/>
    <row r="3573" s="69" customFormat="1" x14ac:dyDescent="0.15"/>
    <row r="3574" s="69" customFormat="1" x14ac:dyDescent="0.15"/>
    <row r="3575" s="69" customFormat="1" x14ac:dyDescent="0.15"/>
    <row r="3576" s="69" customFormat="1" x14ac:dyDescent="0.15"/>
    <row r="3577" s="69" customFormat="1" x14ac:dyDescent="0.15"/>
    <row r="3578" s="69" customFormat="1" x14ac:dyDescent="0.15"/>
    <row r="3579" s="69" customFormat="1" x14ac:dyDescent="0.15"/>
    <row r="3580" s="69" customFormat="1" x14ac:dyDescent="0.15"/>
    <row r="3581" s="69" customFormat="1" x14ac:dyDescent="0.15"/>
    <row r="3582" s="69" customFormat="1" x14ac:dyDescent="0.15"/>
    <row r="3583" s="69" customFormat="1" x14ac:dyDescent="0.15"/>
    <row r="3584" s="69" customFormat="1" x14ac:dyDescent="0.15"/>
    <row r="3585" s="69" customFormat="1" x14ac:dyDescent="0.15"/>
    <row r="3586" s="69" customFormat="1" x14ac:dyDescent="0.15"/>
    <row r="3587" s="69" customFormat="1" x14ac:dyDescent="0.15"/>
    <row r="3588" s="69" customFormat="1" x14ac:dyDescent="0.15"/>
    <row r="3589" s="69" customFormat="1" x14ac:dyDescent="0.15"/>
    <row r="3590" s="69" customFormat="1" x14ac:dyDescent="0.15"/>
    <row r="3591" s="69" customFormat="1" x14ac:dyDescent="0.15"/>
    <row r="3592" s="69" customFormat="1" x14ac:dyDescent="0.15"/>
    <row r="3593" s="69" customFormat="1" x14ac:dyDescent="0.15"/>
    <row r="3594" s="69" customFormat="1" x14ac:dyDescent="0.15"/>
    <row r="3595" s="69" customFormat="1" x14ac:dyDescent="0.15"/>
    <row r="3596" s="69" customFormat="1" x14ac:dyDescent="0.15"/>
    <row r="3597" s="69" customFormat="1" x14ac:dyDescent="0.15"/>
    <row r="3598" s="69" customFormat="1" x14ac:dyDescent="0.15"/>
    <row r="3599" s="69" customFormat="1" x14ac:dyDescent="0.15"/>
    <row r="3600" s="69" customFormat="1" x14ac:dyDescent="0.15"/>
    <row r="3601" s="69" customFormat="1" x14ac:dyDescent="0.15"/>
    <row r="3602" s="69" customFormat="1" x14ac:dyDescent="0.15"/>
    <row r="3603" s="69" customFormat="1" x14ac:dyDescent="0.15"/>
    <row r="3604" s="69" customFormat="1" x14ac:dyDescent="0.15"/>
    <row r="3605" s="69" customFormat="1" x14ac:dyDescent="0.15"/>
    <row r="3606" s="69" customFormat="1" x14ac:dyDescent="0.15"/>
    <row r="3607" s="69" customFormat="1" x14ac:dyDescent="0.15"/>
    <row r="3608" s="69" customFormat="1" x14ac:dyDescent="0.15"/>
    <row r="3609" s="69" customFormat="1" x14ac:dyDescent="0.15"/>
    <row r="3610" s="69" customFormat="1" x14ac:dyDescent="0.15"/>
    <row r="3611" s="69" customFormat="1" x14ac:dyDescent="0.15"/>
    <row r="3612" s="69" customFormat="1" x14ac:dyDescent="0.15"/>
    <row r="3613" s="69" customFormat="1" x14ac:dyDescent="0.15"/>
    <row r="3614" s="69" customFormat="1" x14ac:dyDescent="0.15"/>
    <row r="3615" s="69" customFormat="1" x14ac:dyDescent="0.15"/>
    <row r="3616" s="69" customFormat="1" x14ac:dyDescent="0.15"/>
    <row r="3617" s="69" customFormat="1" x14ac:dyDescent="0.15"/>
    <row r="3618" s="69" customFormat="1" x14ac:dyDescent="0.15"/>
    <row r="3619" s="69" customFormat="1" x14ac:dyDescent="0.15"/>
    <row r="3620" s="69" customFormat="1" x14ac:dyDescent="0.15"/>
    <row r="3621" s="69" customFormat="1" x14ac:dyDescent="0.15"/>
    <row r="3622" s="69" customFormat="1" x14ac:dyDescent="0.15"/>
    <row r="3623" s="69" customFormat="1" x14ac:dyDescent="0.15"/>
    <row r="3624" s="69" customFormat="1" x14ac:dyDescent="0.15"/>
    <row r="3625" s="69" customFormat="1" x14ac:dyDescent="0.15"/>
    <row r="3626" s="69" customFormat="1" x14ac:dyDescent="0.15"/>
    <row r="3627" s="69" customFormat="1" x14ac:dyDescent="0.15"/>
    <row r="3628" s="69" customFormat="1" x14ac:dyDescent="0.15"/>
    <row r="3629" s="69" customFormat="1" x14ac:dyDescent="0.15"/>
    <row r="3630" s="69" customFormat="1" x14ac:dyDescent="0.15"/>
    <row r="3631" s="69" customFormat="1" x14ac:dyDescent="0.15"/>
    <row r="3632" s="69" customFormat="1" x14ac:dyDescent="0.15"/>
    <row r="3633" s="69" customFormat="1" x14ac:dyDescent="0.15"/>
    <row r="3634" s="69" customFormat="1" x14ac:dyDescent="0.15"/>
    <row r="3635" s="69" customFormat="1" x14ac:dyDescent="0.15"/>
    <row r="3636" s="69" customFormat="1" x14ac:dyDescent="0.15"/>
    <row r="3637" s="69" customFormat="1" x14ac:dyDescent="0.15"/>
    <row r="3638" s="69" customFormat="1" x14ac:dyDescent="0.15"/>
    <row r="3639" s="69" customFormat="1" x14ac:dyDescent="0.15"/>
    <row r="3640" s="69" customFormat="1" x14ac:dyDescent="0.15"/>
    <row r="3641" s="69" customFormat="1" x14ac:dyDescent="0.15"/>
    <row r="3642" s="69" customFormat="1" x14ac:dyDescent="0.15"/>
    <row r="3643" s="69" customFormat="1" x14ac:dyDescent="0.15"/>
    <row r="3644" s="69" customFormat="1" x14ac:dyDescent="0.15"/>
    <row r="3645" s="69" customFormat="1" x14ac:dyDescent="0.15"/>
    <row r="3646" s="69" customFormat="1" x14ac:dyDescent="0.15"/>
    <row r="3647" s="69" customFormat="1" x14ac:dyDescent="0.15"/>
    <row r="3648" s="69" customFormat="1" x14ac:dyDescent="0.15"/>
    <row r="3649" s="69" customFormat="1" x14ac:dyDescent="0.15"/>
    <row r="3650" s="69" customFormat="1" x14ac:dyDescent="0.15"/>
    <row r="3651" s="69" customFormat="1" x14ac:dyDescent="0.15"/>
    <row r="3652" s="69" customFormat="1" x14ac:dyDescent="0.15"/>
    <row r="3653" s="69" customFormat="1" x14ac:dyDescent="0.15"/>
    <row r="3654" s="69" customFormat="1" x14ac:dyDescent="0.15"/>
    <row r="3655" s="69" customFormat="1" x14ac:dyDescent="0.15"/>
    <row r="3656" s="69" customFormat="1" x14ac:dyDescent="0.15"/>
    <row r="3657" s="69" customFormat="1" x14ac:dyDescent="0.15"/>
    <row r="3658" s="69" customFormat="1" x14ac:dyDescent="0.15"/>
    <row r="3659" s="69" customFormat="1" x14ac:dyDescent="0.15"/>
    <row r="3660" s="69" customFormat="1" x14ac:dyDescent="0.15"/>
    <row r="3661" s="69" customFormat="1" x14ac:dyDescent="0.15"/>
    <row r="3662" s="69" customFormat="1" x14ac:dyDescent="0.15"/>
    <row r="3663" s="69" customFormat="1" x14ac:dyDescent="0.15"/>
    <row r="3664" s="69" customFormat="1" x14ac:dyDescent="0.15"/>
    <row r="3665" s="69" customFormat="1" x14ac:dyDescent="0.15"/>
    <row r="3666" s="69" customFormat="1" x14ac:dyDescent="0.15"/>
    <row r="3667" s="69" customFormat="1" x14ac:dyDescent="0.15"/>
    <row r="3668" s="69" customFormat="1" x14ac:dyDescent="0.15"/>
    <row r="3669" s="69" customFormat="1" x14ac:dyDescent="0.15"/>
    <row r="3670" s="69" customFormat="1" x14ac:dyDescent="0.15"/>
    <row r="3671" s="69" customFormat="1" x14ac:dyDescent="0.15"/>
    <row r="3672" s="69" customFormat="1" x14ac:dyDescent="0.15"/>
    <row r="3673" s="69" customFormat="1" x14ac:dyDescent="0.15"/>
    <row r="3674" s="69" customFormat="1" x14ac:dyDescent="0.15"/>
    <row r="3675" s="69" customFormat="1" x14ac:dyDescent="0.15"/>
    <row r="3676" s="69" customFormat="1" x14ac:dyDescent="0.15"/>
    <row r="3677" s="69" customFormat="1" x14ac:dyDescent="0.15"/>
    <row r="3678" s="69" customFormat="1" x14ac:dyDescent="0.15"/>
    <row r="3679" s="69" customFormat="1" x14ac:dyDescent="0.15"/>
    <row r="3680" s="69" customFormat="1" x14ac:dyDescent="0.15"/>
    <row r="3681" s="69" customFormat="1" x14ac:dyDescent="0.15"/>
    <row r="3682" s="69" customFormat="1" x14ac:dyDescent="0.15"/>
    <row r="3683" s="69" customFormat="1" x14ac:dyDescent="0.15"/>
    <row r="3684" s="69" customFormat="1" x14ac:dyDescent="0.15"/>
    <row r="3685" s="69" customFormat="1" x14ac:dyDescent="0.15"/>
    <row r="3686" s="69" customFormat="1" x14ac:dyDescent="0.15"/>
    <row r="3687" s="69" customFormat="1" x14ac:dyDescent="0.15"/>
    <row r="3688" s="69" customFormat="1" x14ac:dyDescent="0.15"/>
    <row r="3689" s="69" customFormat="1" x14ac:dyDescent="0.15"/>
    <row r="3690" s="69" customFormat="1" x14ac:dyDescent="0.15"/>
    <row r="3691" s="69" customFormat="1" x14ac:dyDescent="0.15"/>
    <row r="3692" s="69" customFormat="1" x14ac:dyDescent="0.15"/>
    <row r="3693" s="69" customFormat="1" x14ac:dyDescent="0.15"/>
    <row r="3694" s="69" customFormat="1" x14ac:dyDescent="0.15"/>
    <row r="3695" s="69" customFormat="1" x14ac:dyDescent="0.15"/>
    <row r="3696" s="69" customFormat="1" x14ac:dyDescent="0.15"/>
    <row r="3697" s="69" customFormat="1" x14ac:dyDescent="0.15"/>
    <row r="3698" s="69" customFormat="1" x14ac:dyDescent="0.15"/>
    <row r="3699" s="69" customFormat="1" x14ac:dyDescent="0.15"/>
    <row r="3700" s="69" customFormat="1" x14ac:dyDescent="0.15"/>
    <row r="3701" s="69" customFormat="1" x14ac:dyDescent="0.15"/>
    <row r="3702" s="69" customFormat="1" x14ac:dyDescent="0.15"/>
    <row r="3703" s="69" customFormat="1" x14ac:dyDescent="0.15"/>
    <row r="3704" s="69" customFormat="1" x14ac:dyDescent="0.15"/>
    <row r="3705" s="69" customFormat="1" x14ac:dyDescent="0.15"/>
    <row r="3706" s="69" customFormat="1" x14ac:dyDescent="0.15"/>
    <row r="3707" s="69" customFormat="1" x14ac:dyDescent="0.15"/>
    <row r="3708" s="69" customFormat="1" x14ac:dyDescent="0.15"/>
    <row r="3709" s="69" customFormat="1" x14ac:dyDescent="0.15"/>
    <row r="3710" s="69" customFormat="1" x14ac:dyDescent="0.15"/>
    <row r="3711" s="69" customFormat="1" x14ac:dyDescent="0.15"/>
    <row r="3712" s="69" customFormat="1" x14ac:dyDescent="0.15"/>
    <row r="3713" s="69" customFormat="1" x14ac:dyDescent="0.15"/>
    <row r="3714" s="69" customFormat="1" x14ac:dyDescent="0.15"/>
    <row r="3715" s="69" customFormat="1" x14ac:dyDescent="0.15"/>
    <row r="3716" s="69" customFormat="1" x14ac:dyDescent="0.15"/>
    <row r="3717" s="69" customFormat="1" x14ac:dyDescent="0.15"/>
    <row r="3718" s="69" customFormat="1" x14ac:dyDescent="0.15"/>
    <row r="3719" s="69" customFormat="1" x14ac:dyDescent="0.15"/>
    <row r="3720" s="69" customFormat="1" x14ac:dyDescent="0.15"/>
    <row r="3721" s="69" customFormat="1" x14ac:dyDescent="0.15"/>
    <row r="3722" s="69" customFormat="1" x14ac:dyDescent="0.15"/>
    <row r="3723" s="69" customFormat="1" x14ac:dyDescent="0.15"/>
    <row r="3724" s="69" customFormat="1" x14ac:dyDescent="0.15"/>
    <row r="3725" s="69" customFormat="1" x14ac:dyDescent="0.15"/>
    <row r="3726" s="69" customFormat="1" x14ac:dyDescent="0.15"/>
    <row r="3727" s="69" customFormat="1" x14ac:dyDescent="0.15"/>
    <row r="3728" s="69" customFormat="1" x14ac:dyDescent="0.15"/>
    <row r="3729" s="69" customFormat="1" x14ac:dyDescent="0.15"/>
    <row r="3730" s="69" customFormat="1" x14ac:dyDescent="0.15"/>
    <row r="3731" s="69" customFormat="1" x14ac:dyDescent="0.15"/>
    <row r="3732" s="69" customFormat="1" x14ac:dyDescent="0.15"/>
    <row r="3733" s="69" customFormat="1" x14ac:dyDescent="0.15"/>
    <row r="3734" s="69" customFormat="1" x14ac:dyDescent="0.15"/>
    <row r="3735" s="69" customFormat="1" x14ac:dyDescent="0.15"/>
    <row r="3736" s="69" customFormat="1" x14ac:dyDescent="0.15"/>
    <row r="3737" s="69" customFormat="1" x14ac:dyDescent="0.15"/>
    <row r="3738" s="69" customFormat="1" x14ac:dyDescent="0.15"/>
    <row r="3739" s="69" customFormat="1" x14ac:dyDescent="0.15"/>
    <row r="3740" s="69" customFormat="1" x14ac:dyDescent="0.15"/>
    <row r="3741" s="69" customFormat="1" x14ac:dyDescent="0.15"/>
    <row r="3742" s="69" customFormat="1" x14ac:dyDescent="0.15"/>
    <row r="3743" s="69" customFormat="1" x14ac:dyDescent="0.15"/>
    <row r="3744" s="69" customFormat="1" x14ac:dyDescent="0.15"/>
    <row r="3745" s="69" customFormat="1" x14ac:dyDescent="0.15"/>
    <row r="3746" s="69" customFormat="1" x14ac:dyDescent="0.15"/>
    <row r="3747" s="69" customFormat="1" x14ac:dyDescent="0.15"/>
    <row r="3748" s="69" customFormat="1" x14ac:dyDescent="0.15"/>
    <row r="3749" s="69" customFormat="1" x14ac:dyDescent="0.15"/>
    <row r="3750" s="69" customFormat="1" x14ac:dyDescent="0.15"/>
    <row r="3751" s="69" customFormat="1" x14ac:dyDescent="0.15"/>
    <row r="3752" s="69" customFormat="1" x14ac:dyDescent="0.15"/>
    <row r="3753" s="69" customFormat="1" x14ac:dyDescent="0.15"/>
    <row r="3754" s="69" customFormat="1" x14ac:dyDescent="0.15"/>
    <row r="3755" s="69" customFormat="1" x14ac:dyDescent="0.15"/>
    <row r="3756" s="69" customFormat="1" x14ac:dyDescent="0.15"/>
    <row r="3757" s="69" customFormat="1" x14ac:dyDescent="0.15"/>
    <row r="3758" s="69" customFormat="1" x14ac:dyDescent="0.15"/>
    <row r="3759" s="69" customFormat="1" x14ac:dyDescent="0.15"/>
    <row r="3760" s="69" customFormat="1" x14ac:dyDescent="0.15"/>
    <row r="3761" s="69" customFormat="1" x14ac:dyDescent="0.15"/>
    <row r="3762" s="69" customFormat="1" x14ac:dyDescent="0.15"/>
    <row r="3763" s="69" customFormat="1" x14ac:dyDescent="0.15"/>
    <row r="3764" s="69" customFormat="1" x14ac:dyDescent="0.15"/>
    <row r="3765" s="69" customFormat="1" x14ac:dyDescent="0.15"/>
    <row r="3766" s="69" customFormat="1" x14ac:dyDescent="0.15"/>
    <row r="3767" s="69" customFormat="1" x14ac:dyDescent="0.15"/>
    <row r="3768" s="69" customFormat="1" x14ac:dyDescent="0.15"/>
    <row r="3769" s="69" customFormat="1" x14ac:dyDescent="0.15"/>
    <row r="3770" s="69" customFormat="1" x14ac:dyDescent="0.15"/>
    <row r="3771" s="69" customFormat="1" x14ac:dyDescent="0.15"/>
    <row r="3772" s="69" customFormat="1" x14ac:dyDescent="0.15"/>
    <row r="3773" s="69" customFormat="1" x14ac:dyDescent="0.15"/>
    <row r="3774" s="69" customFormat="1" x14ac:dyDescent="0.15"/>
    <row r="3775" s="69" customFormat="1" x14ac:dyDescent="0.15"/>
    <row r="3776" s="69" customFormat="1" x14ac:dyDescent="0.15"/>
    <row r="3777" s="69" customFormat="1" x14ac:dyDescent="0.15"/>
    <row r="3778" s="69" customFormat="1" x14ac:dyDescent="0.15"/>
    <row r="3779" s="69" customFormat="1" x14ac:dyDescent="0.15"/>
    <row r="3780" s="69" customFormat="1" x14ac:dyDescent="0.15"/>
    <row r="3781" s="69" customFormat="1" x14ac:dyDescent="0.15"/>
    <row r="3782" s="69" customFormat="1" x14ac:dyDescent="0.15"/>
    <row r="3783" s="69" customFormat="1" x14ac:dyDescent="0.15"/>
    <row r="3784" s="69" customFormat="1" x14ac:dyDescent="0.15"/>
    <row r="3785" s="69" customFormat="1" x14ac:dyDescent="0.15"/>
    <row r="3786" s="69" customFormat="1" x14ac:dyDescent="0.15"/>
    <row r="3787" s="69" customFormat="1" x14ac:dyDescent="0.15"/>
    <row r="3788" s="69" customFormat="1" x14ac:dyDescent="0.15"/>
    <row r="3789" s="69" customFormat="1" x14ac:dyDescent="0.15"/>
    <row r="3790" s="69" customFormat="1" x14ac:dyDescent="0.15"/>
    <row r="3791" s="69" customFormat="1" x14ac:dyDescent="0.15"/>
    <row r="3792" s="69" customFormat="1" x14ac:dyDescent="0.15"/>
    <row r="3793" s="69" customFormat="1" x14ac:dyDescent="0.15"/>
    <row r="3794" s="69" customFormat="1" x14ac:dyDescent="0.15"/>
    <row r="3795" s="69" customFormat="1" x14ac:dyDescent="0.15"/>
    <row r="3796" s="69" customFormat="1" x14ac:dyDescent="0.15"/>
    <row r="3797" s="69" customFormat="1" x14ac:dyDescent="0.15"/>
    <row r="3798" s="69" customFormat="1" x14ac:dyDescent="0.15"/>
    <row r="3799" s="69" customFormat="1" x14ac:dyDescent="0.15"/>
    <row r="3800" s="69" customFormat="1" x14ac:dyDescent="0.15"/>
    <row r="3801" s="69" customFormat="1" x14ac:dyDescent="0.15"/>
    <row r="3802" s="69" customFormat="1" x14ac:dyDescent="0.15"/>
    <row r="3803" s="69" customFormat="1" x14ac:dyDescent="0.15"/>
    <row r="3804" s="69" customFormat="1" x14ac:dyDescent="0.15"/>
    <row r="3805" s="69" customFormat="1" x14ac:dyDescent="0.15"/>
    <row r="3806" s="69" customFormat="1" x14ac:dyDescent="0.15"/>
    <row r="3807" s="69" customFormat="1" x14ac:dyDescent="0.15"/>
    <row r="3808" s="69" customFormat="1" x14ac:dyDescent="0.15"/>
    <row r="3809" s="69" customFormat="1" x14ac:dyDescent="0.15"/>
    <row r="3810" s="69" customFormat="1" x14ac:dyDescent="0.15"/>
    <row r="3811" s="69" customFormat="1" x14ac:dyDescent="0.15"/>
    <row r="3812" s="69" customFormat="1" x14ac:dyDescent="0.15"/>
    <row r="3813" s="69" customFormat="1" x14ac:dyDescent="0.15"/>
    <row r="3814" s="69" customFormat="1" x14ac:dyDescent="0.15"/>
    <row r="3815" s="69" customFormat="1" x14ac:dyDescent="0.15"/>
    <row r="3816" s="69" customFormat="1" x14ac:dyDescent="0.15"/>
    <row r="3817" s="69" customFormat="1" x14ac:dyDescent="0.15"/>
    <row r="3818" s="69" customFormat="1" x14ac:dyDescent="0.15"/>
    <row r="3819" s="69" customFormat="1" x14ac:dyDescent="0.15"/>
    <row r="3820" s="69" customFormat="1" x14ac:dyDescent="0.15"/>
    <row r="3821" s="69" customFormat="1" x14ac:dyDescent="0.15"/>
    <row r="3822" s="69" customFormat="1" x14ac:dyDescent="0.15"/>
    <row r="3823" s="69" customFormat="1" x14ac:dyDescent="0.15"/>
    <row r="3824" s="69" customFormat="1" x14ac:dyDescent="0.15"/>
    <row r="3825" s="69" customFormat="1" x14ac:dyDescent="0.15"/>
    <row r="3826" s="69" customFormat="1" x14ac:dyDescent="0.15"/>
    <row r="3827" s="69" customFormat="1" x14ac:dyDescent="0.15"/>
    <row r="3828" s="69" customFormat="1" x14ac:dyDescent="0.15"/>
    <row r="3829" s="69" customFormat="1" x14ac:dyDescent="0.15"/>
    <row r="3830" s="69" customFormat="1" x14ac:dyDescent="0.15"/>
    <row r="3831" s="69" customFormat="1" x14ac:dyDescent="0.15"/>
    <row r="3832" s="69" customFormat="1" x14ac:dyDescent="0.15"/>
    <row r="3833" s="69" customFormat="1" x14ac:dyDescent="0.15"/>
    <row r="3834" s="69" customFormat="1" x14ac:dyDescent="0.15"/>
    <row r="3835" s="69" customFormat="1" x14ac:dyDescent="0.15"/>
    <row r="3836" s="69" customFormat="1" x14ac:dyDescent="0.15"/>
    <row r="3837" s="69" customFormat="1" x14ac:dyDescent="0.15"/>
    <row r="3838" s="69" customFormat="1" x14ac:dyDescent="0.15"/>
    <row r="3839" s="69" customFormat="1" x14ac:dyDescent="0.15"/>
    <row r="3840" s="69" customFormat="1" x14ac:dyDescent="0.15"/>
    <row r="3841" s="69" customFormat="1" x14ac:dyDescent="0.15"/>
    <row r="3842" s="69" customFormat="1" x14ac:dyDescent="0.15"/>
    <row r="3843" s="69" customFormat="1" x14ac:dyDescent="0.15"/>
    <row r="3844" s="69" customFormat="1" x14ac:dyDescent="0.15"/>
    <row r="3845" s="69" customFormat="1" x14ac:dyDescent="0.15"/>
    <row r="3846" s="69" customFormat="1" x14ac:dyDescent="0.15"/>
    <row r="3847" s="69" customFormat="1" x14ac:dyDescent="0.15"/>
    <row r="3848" s="69" customFormat="1" x14ac:dyDescent="0.15"/>
    <row r="3849" s="69" customFormat="1" x14ac:dyDescent="0.15"/>
    <row r="3850" s="69" customFormat="1" x14ac:dyDescent="0.15"/>
    <row r="3851" s="69" customFormat="1" x14ac:dyDescent="0.15"/>
    <row r="3852" s="69" customFormat="1" x14ac:dyDescent="0.15"/>
    <row r="3853" s="69" customFormat="1" x14ac:dyDescent="0.15"/>
    <row r="3854" s="69" customFormat="1" x14ac:dyDescent="0.15"/>
    <row r="3855" s="69" customFormat="1" x14ac:dyDescent="0.15"/>
    <row r="3856" s="69" customFormat="1" x14ac:dyDescent="0.15"/>
    <row r="3857" s="69" customFormat="1" x14ac:dyDescent="0.15"/>
    <row r="3858" s="69" customFormat="1" x14ac:dyDescent="0.15"/>
    <row r="3859" s="69" customFormat="1" x14ac:dyDescent="0.15"/>
    <row r="3860" s="69" customFormat="1" x14ac:dyDescent="0.15"/>
    <row r="3861" s="69" customFormat="1" x14ac:dyDescent="0.15"/>
    <row r="3862" s="69" customFormat="1" x14ac:dyDescent="0.15"/>
    <row r="3863" s="69" customFormat="1" x14ac:dyDescent="0.15"/>
    <row r="3864" s="69" customFormat="1" x14ac:dyDescent="0.15"/>
    <row r="3865" s="69" customFormat="1" x14ac:dyDescent="0.15"/>
    <row r="3866" s="69" customFormat="1" x14ac:dyDescent="0.15"/>
    <row r="3867" s="69" customFormat="1" x14ac:dyDescent="0.15"/>
    <row r="3868" s="69" customFormat="1" x14ac:dyDescent="0.15"/>
    <row r="3869" s="69" customFormat="1" x14ac:dyDescent="0.15"/>
    <row r="3870" s="69" customFormat="1" x14ac:dyDescent="0.15"/>
    <row r="3871" s="69" customFormat="1" x14ac:dyDescent="0.15"/>
    <row r="3872" s="69" customFormat="1" x14ac:dyDescent="0.15"/>
    <row r="3873" s="69" customFormat="1" x14ac:dyDescent="0.15"/>
    <row r="3874" s="69" customFormat="1" x14ac:dyDescent="0.15"/>
    <row r="3875" s="69" customFormat="1" x14ac:dyDescent="0.15"/>
    <row r="3876" s="69" customFormat="1" x14ac:dyDescent="0.15"/>
    <row r="3877" s="69" customFormat="1" x14ac:dyDescent="0.15"/>
    <row r="3878" s="69" customFormat="1" x14ac:dyDescent="0.15"/>
    <row r="3879" s="69" customFormat="1" x14ac:dyDescent="0.15"/>
    <row r="3880" s="69" customFormat="1" x14ac:dyDescent="0.15"/>
    <row r="3881" s="69" customFormat="1" x14ac:dyDescent="0.15"/>
    <row r="3882" s="69" customFormat="1" x14ac:dyDescent="0.15"/>
    <row r="3883" s="69" customFormat="1" x14ac:dyDescent="0.15"/>
    <row r="3884" s="69" customFormat="1" x14ac:dyDescent="0.15"/>
    <row r="3885" s="69" customFormat="1" x14ac:dyDescent="0.15"/>
    <row r="3886" s="69" customFormat="1" x14ac:dyDescent="0.15"/>
    <row r="3887" s="69" customFormat="1" x14ac:dyDescent="0.15"/>
    <row r="3888" s="69" customFormat="1" x14ac:dyDescent="0.15"/>
    <row r="3889" s="69" customFormat="1" x14ac:dyDescent="0.15"/>
    <row r="3890" s="69" customFormat="1" x14ac:dyDescent="0.15"/>
    <row r="3891" s="69" customFormat="1" x14ac:dyDescent="0.15"/>
    <row r="3892" s="69" customFormat="1" x14ac:dyDescent="0.15"/>
    <row r="3893" s="69" customFormat="1" x14ac:dyDescent="0.15"/>
    <row r="3894" s="69" customFormat="1" x14ac:dyDescent="0.15"/>
    <row r="3895" s="69" customFormat="1" x14ac:dyDescent="0.15"/>
    <row r="3896" s="69" customFormat="1" x14ac:dyDescent="0.15"/>
    <row r="3897" s="69" customFormat="1" x14ac:dyDescent="0.15"/>
    <row r="3898" s="69" customFormat="1" x14ac:dyDescent="0.15"/>
    <row r="3899" s="69" customFormat="1" x14ac:dyDescent="0.15"/>
    <row r="3900" s="69" customFormat="1" x14ac:dyDescent="0.15"/>
    <row r="3901" s="69" customFormat="1" x14ac:dyDescent="0.15"/>
    <row r="3902" s="69" customFormat="1" x14ac:dyDescent="0.15"/>
    <row r="3903" s="69" customFormat="1" x14ac:dyDescent="0.15"/>
    <row r="3904" s="69" customFormat="1" x14ac:dyDescent="0.15"/>
    <row r="3905" s="69" customFormat="1" x14ac:dyDescent="0.15"/>
    <row r="3906" s="69" customFormat="1" x14ac:dyDescent="0.15"/>
    <row r="3907" s="69" customFormat="1" x14ac:dyDescent="0.15"/>
    <row r="3908" s="69" customFormat="1" x14ac:dyDescent="0.15"/>
    <row r="3909" s="69" customFormat="1" x14ac:dyDescent="0.15"/>
    <row r="3910" s="69" customFormat="1" x14ac:dyDescent="0.15"/>
    <row r="3911" s="69" customFormat="1" x14ac:dyDescent="0.15"/>
    <row r="3912" s="69" customFormat="1" x14ac:dyDescent="0.15"/>
    <row r="3913" s="69" customFormat="1" x14ac:dyDescent="0.15"/>
    <row r="3914" s="69" customFormat="1" x14ac:dyDescent="0.15"/>
    <row r="3915" s="69" customFormat="1" x14ac:dyDescent="0.15"/>
    <row r="3916" s="69" customFormat="1" x14ac:dyDescent="0.15"/>
    <row r="3917" s="69" customFormat="1" x14ac:dyDescent="0.15"/>
    <row r="3918" s="69" customFormat="1" x14ac:dyDescent="0.15"/>
    <row r="3919" s="69" customFormat="1" x14ac:dyDescent="0.15"/>
    <row r="3920" s="69" customFormat="1" x14ac:dyDescent="0.15"/>
    <row r="3921" s="69" customFormat="1" x14ac:dyDescent="0.15"/>
    <row r="3922" s="69" customFormat="1" x14ac:dyDescent="0.15"/>
    <row r="3923" s="69" customFormat="1" x14ac:dyDescent="0.15"/>
    <row r="3924" s="69" customFormat="1" x14ac:dyDescent="0.15"/>
    <row r="3925" s="69" customFormat="1" x14ac:dyDescent="0.15"/>
    <row r="3926" s="69" customFormat="1" x14ac:dyDescent="0.15"/>
    <row r="3927" s="69" customFormat="1" x14ac:dyDescent="0.15"/>
    <row r="3928" s="69" customFormat="1" x14ac:dyDescent="0.15"/>
    <row r="3929" s="69" customFormat="1" x14ac:dyDescent="0.15"/>
    <row r="3930" s="69" customFormat="1" x14ac:dyDescent="0.15"/>
    <row r="3931" s="69" customFormat="1" x14ac:dyDescent="0.15"/>
    <row r="3932" s="69" customFormat="1" x14ac:dyDescent="0.15"/>
    <row r="3933" s="69" customFormat="1" x14ac:dyDescent="0.15"/>
    <row r="3934" s="69" customFormat="1" x14ac:dyDescent="0.15"/>
    <row r="3935" s="69" customFormat="1" x14ac:dyDescent="0.15"/>
    <row r="3936" s="69" customFormat="1" x14ac:dyDescent="0.15"/>
    <row r="3937" s="69" customFormat="1" x14ac:dyDescent="0.15"/>
    <row r="3938" s="69" customFormat="1" x14ac:dyDescent="0.15"/>
    <row r="3939" s="69" customFormat="1" x14ac:dyDescent="0.15"/>
    <row r="3940" s="69" customFormat="1" x14ac:dyDescent="0.15"/>
    <row r="3941" s="69" customFormat="1" x14ac:dyDescent="0.15"/>
    <row r="3942" s="69" customFormat="1" x14ac:dyDescent="0.15"/>
    <row r="3943" s="69" customFormat="1" x14ac:dyDescent="0.15"/>
    <row r="3944" s="69" customFormat="1" x14ac:dyDescent="0.15"/>
    <row r="3945" s="69" customFormat="1" x14ac:dyDescent="0.15"/>
    <row r="3946" s="69" customFormat="1" x14ac:dyDescent="0.15"/>
    <row r="3947" s="69" customFormat="1" x14ac:dyDescent="0.15"/>
    <row r="3948" s="69" customFormat="1" x14ac:dyDescent="0.15"/>
    <row r="3949" s="69" customFormat="1" x14ac:dyDescent="0.15"/>
    <row r="3950" s="69" customFormat="1" x14ac:dyDescent="0.15"/>
    <row r="3951" s="69" customFormat="1" x14ac:dyDescent="0.15"/>
    <row r="3952" s="69" customFormat="1" x14ac:dyDescent="0.15"/>
    <row r="3953" s="69" customFormat="1" x14ac:dyDescent="0.15"/>
    <row r="3954" s="69" customFormat="1" x14ac:dyDescent="0.15"/>
    <row r="3955" s="69" customFormat="1" x14ac:dyDescent="0.15"/>
    <row r="3956" s="69" customFormat="1" x14ac:dyDescent="0.15"/>
    <row r="3957" s="69" customFormat="1" x14ac:dyDescent="0.15"/>
    <row r="3958" s="69" customFormat="1" x14ac:dyDescent="0.15"/>
    <row r="3959" s="69" customFormat="1" x14ac:dyDescent="0.15"/>
    <row r="3960" s="69" customFormat="1" x14ac:dyDescent="0.15"/>
    <row r="3961" s="69" customFormat="1" x14ac:dyDescent="0.15"/>
    <row r="3962" s="69" customFormat="1" x14ac:dyDescent="0.15"/>
    <row r="3963" s="69" customFormat="1" x14ac:dyDescent="0.15"/>
    <row r="3964" s="69" customFormat="1" x14ac:dyDescent="0.15"/>
    <row r="3965" s="69" customFormat="1" x14ac:dyDescent="0.15"/>
    <row r="3966" s="69" customFormat="1" x14ac:dyDescent="0.15"/>
    <row r="3967" s="69" customFormat="1" x14ac:dyDescent="0.15"/>
    <row r="3968" s="69" customFormat="1" x14ac:dyDescent="0.15"/>
    <row r="3969" s="69" customFormat="1" x14ac:dyDescent="0.15"/>
    <row r="3970" s="69" customFormat="1" x14ac:dyDescent="0.15"/>
    <row r="3971" s="69" customFormat="1" x14ac:dyDescent="0.15"/>
    <row r="3972" s="69" customFormat="1" x14ac:dyDescent="0.15"/>
    <row r="3973" s="69" customFormat="1" x14ac:dyDescent="0.15"/>
    <row r="3974" s="69" customFormat="1" x14ac:dyDescent="0.15"/>
    <row r="3975" s="69" customFormat="1" x14ac:dyDescent="0.15"/>
    <row r="3976" s="69" customFormat="1" x14ac:dyDescent="0.15"/>
    <row r="3977" s="69" customFormat="1" x14ac:dyDescent="0.15"/>
    <row r="3978" s="69" customFormat="1" x14ac:dyDescent="0.15"/>
    <row r="3979" s="69" customFormat="1" x14ac:dyDescent="0.15"/>
    <row r="3980" s="69" customFormat="1" x14ac:dyDescent="0.15"/>
    <row r="3981" s="69" customFormat="1" x14ac:dyDescent="0.15"/>
    <row r="3982" s="69" customFormat="1" x14ac:dyDescent="0.15"/>
    <row r="3983" s="69" customFormat="1" x14ac:dyDescent="0.15"/>
    <row r="3984" s="69" customFormat="1" x14ac:dyDescent="0.15"/>
    <row r="3985" s="69" customFormat="1" x14ac:dyDescent="0.15"/>
    <row r="3986" s="69" customFormat="1" x14ac:dyDescent="0.15"/>
    <row r="3987" s="69" customFormat="1" x14ac:dyDescent="0.15"/>
    <row r="3988" s="69" customFormat="1" x14ac:dyDescent="0.15"/>
    <row r="3989" s="69" customFormat="1" x14ac:dyDescent="0.15"/>
    <row r="3990" s="69" customFormat="1" x14ac:dyDescent="0.15"/>
    <row r="3991" s="69" customFormat="1" x14ac:dyDescent="0.15"/>
    <row r="3992" s="69" customFormat="1" x14ac:dyDescent="0.15"/>
    <row r="3993" s="69" customFormat="1" x14ac:dyDescent="0.15"/>
    <row r="3994" s="69" customFormat="1" x14ac:dyDescent="0.15"/>
    <row r="3995" s="69" customFormat="1" x14ac:dyDescent="0.15"/>
    <row r="3996" s="69" customFormat="1" x14ac:dyDescent="0.15"/>
    <row r="3997" s="69" customFormat="1" x14ac:dyDescent="0.15"/>
    <row r="3998" s="69" customFormat="1" x14ac:dyDescent="0.15"/>
    <row r="3999" s="69" customFormat="1" x14ac:dyDescent="0.15"/>
    <row r="4000" s="69" customFormat="1" x14ac:dyDescent="0.15"/>
    <row r="4001" s="69" customFormat="1" x14ac:dyDescent="0.15"/>
    <row r="4002" s="69" customFormat="1" x14ac:dyDescent="0.15"/>
    <row r="4003" s="69" customFormat="1" x14ac:dyDescent="0.15"/>
    <row r="4004" s="69" customFormat="1" x14ac:dyDescent="0.15"/>
    <row r="4005" s="69" customFormat="1" x14ac:dyDescent="0.15"/>
    <row r="4006" s="69" customFormat="1" x14ac:dyDescent="0.15"/>
    <row r="4007" s="69" customFormat="1" x14ac:dyDescent="0.15"/>
    <row r="4008" s="69" customFormat="1" x14ac:dyDescent="0.15"/>
    <row r="4009" s="69" customFormat="1" x14ac:dyDescent="0.15"/>
    <row r="4010" s="69" customFormat="1" x14ac:dyDescent="0.15"/>
    <row r="4011" s="69" customFormat="1" x14ac:dyDescent="0.15"/>
    <row r="4012" s="69" customFormat="1" x14ac:dyDescent="0.15"/>
    <row r="4013" s="69" customFormat="1" x14ac:dyDescent="0.15"/>
    <row r="4014" s="69" customFormat="1" x14ac:dyDescent="0.15"/>
    <row r="4015" s="69" customFormat="1" x14ac:dyDescent="0.15"/>
    <row r="4016" s="69" customFormat="1" x14ac:dyDescent="0.15"/>
    <row r="4017" s="69" customFormat="1" x14ac:dyDescent="0.15"/>
    <row r="4018" s="69" customFormat="1" x14ac:dyDescent="0.15"/>
    <row r="4019" s="69" customFormat="1" x14ac:dyDescent="0.15"/>
    <row r="4020" s="69" customFormat="1" x14ac:dyDescent="0.15"/>
    <row r="4021" s="69" customFormat="1" x14ac:dyDescent="0.15"/>
    <row r="4022" s="69" customFormat="1" x14ac:dyDescent="0.15"/>
    <row r="4023" s="69" customFormat="1" x14ac:dyDescent="0.15"/>
    <row r="4024" s="69" customFormat="1" x14ac:dyDescent="0.15"/>
    <row r="4025" s="69" customFormat="1" x14ac:dyDescent="0.15"/>
    <row r="4026" s="69" customFormat="1" x14ac:dyDescent="0.15"/>
    <row r="4027" s="69" customFormat="1" x14ac:dyDescent="0.15"/>
    <row r="4028" s="69" customFormat="1" x14ac:dyDescent="0.15"/>
    <row r="4029" s="69" customFormat="1" x14ac:dyDescent="0.15"/>
    <row r="4030" s="69" customFormat="1" x14ac:dyDescent="0.15"/>
    <row r="4031" s="69" customFormat="1" x14ac:dyDescent="0.15"/>
    <row r="4032" s="69" customFormat="1" x14ac:dyDescent="0.15"/>
    <row r="4033" s="69" customFormat="1" x14ac:dyDescent="0.15"/>
    <row r="4034" s="69" customFormat="1" x14ac:dyDescent="0.15"/>
    <row r="4035" s="69" customFormat="1" x14ac:dyDescent="0.15"/>
    <row r="4036" s="69" customFormat="1" x14ac:dyDescent="0.15"/>
    <row r="4037" s="69" customFormat="1" x14ac:dyDescent="0.15"/>
    <row r="4038" s="69" customFormat="1" x14ac:dyDescent="0.15"/>
    <row r="4039" s="69" customFormat="1" x14ac:dyDescent="0.15"/>
    <row r="4040" s="69" customFormat="1" x14ac:dyDescent="0.15"/>
    <row r="4041" s="69" customFormat="1" x14ac:dyDescent="0.15"/>
    <row r="4042" s="69" customFormat="1" x14ac:dyDescent="0.15"/>
    <row r="4043" s="69" customFormat="1" x14ac:dyDescent="0.15"/>
    <row r="4044" s="69" customFormat="1" x14ac:dyDescent="0.15"/>
    <row r="4045" s="69" customFormat="1" x14ac:dyDescent="0.15"/>
    <row r="4046" s="69" customFormat="1" x14ac:dyDescent="0.15"/>
    <row r="4047" s="69" customFormat="1" x14ac:dyDescent="0.15"/>
    <row r="4048" s="69" customFormat="1" x14ac:dyDescent="0.15"/>
    <row r="4049" s="69" customFormat="1" x14ac:dyDescent="0.15"/>
    <row r="4050" s="69" customFormat="1" x14ac:dyDescent="0.15"/>
    <row r="4051" s="69" customFormat="1" x14ac:dyDescent="0.15"/>
    <row r="4052" s="69" customFormat="1" x14ac:dyDescent="0.15"/>
    <row r="4053" s="69" customFormat="1" x14ac:dyDescent="0.15"/>
    <row r="4054" s="69" customFormat="1" x14ac:dyDescent="0.15"/>
    <row r="4055" s="69" customFormat="1" x14ac:dyDescent="0.15"/>
    <row r="4056" s="69" customFormat="1" x14ac:dyDescent="0.15"/>
    <row r="4057" s="69" customFormat="1" x14ac:dyDescent="0.15"/>
    <row r="4058" s="69" customFormat="1" x14ac:dyDescent="0.15"/>
    <row r="4059" s="69" customFormat="1" x14ac:dyDescent="0.15"/>
    <row r="4060" s="69" customFormat="1" x14ac:dyDescent="0.15"/>
    <row r="4061" s="69" customFormat="1" x14ac:dyDescent="0.15"/>
    <row r="4062" s="69" customFormat="1" x14ac:dyDescent="0.15"/>
    <row r="4063" s="69" customFormat="1" x14ac:dyDescent="0.15"/>
    <row r="4064" s="69" customFormat="1" x14ac:dyDescent="0.15"/>
    <row r="4065" s="69" customFormat="1" x14ac:dyDescent="0.15"/>
    <row r="4066" s="69" customFormat="1" x14ac:dyDescent="0.15"/>
    <row r="4067" s="69" customFormat="1" x14ac:dyDescent="0.15"/>
    <row r="4068" s="69" customFormat="1" x14ac:dyDescent="0.15"/>
    <row r="4069" s="69" customFormat="1" x14ac:dyDescent="0.15"/>
    <row r="4070" s="69" customFormat="1" x14ac:dyDescent="0.15"/>
    <row r="4071" s="69" customFormat="1" x14ac:dyDescent="0.15"/>
    <row r="4072" s="69" customFormat="1" x14ac:dyDescent="0.15"/>
    <row r="4073" s="69" customFormat="1" x14ac:dyDescent="0.15"/>
    <row r="4074" s="69" customFormat="1" x14ac:dyDescent="0.15"/>
    <row r="4075" s="69" customFormat="1" x14ac:dyDescent="0.15"/>
    <row r="4076" s="69" customFormat="1" x14ac:dyDescent="0.15"/>
    <row r="4077" s="69" customFormat="1" x14ac:dyDescent="0.15"/>
    <row r="4078" s="69" customFormat="1" x14ac:dyDescent="0.15"/>
    <row r="4079" s="69" customFormat="1" x14ac:dyDescent="0.15"/>
    <row r="4080" s="69" customFormat="1" x14ac:dyDescent="0.15"/>
    <row r="4081" s="69" customFormat="1" x14ac:dyDescent="0.15"/>
    <row r="4082" s="69" customFormat="1" x14ac:dyDescent="0.15"/>
    <row r="4083" s="69" customFormat="1" x14ac:dyDescent="0.15"/>
    <row r="4084" s="69" customFormat="1" x14ac:dyDescent="0.15"/>
    <row r="4085" s="69" customFormat="1" x14ac:dyDescent="0.15"/>
    <row r="4086" s="69" customFormat="1" x14ac:dyDescent="0.15"/>
    <row r="4087" s="69" customFormat="1" x14ac:dyDescent="0.15"/>
    <row r="4088" s="69" customFormat="1" x14ac:dyDescent="0.15"/>
    <row r="4089" s="69" customFormat="1" x14ac:dyDescent="0.15"/>
    <row r="4090" s="69" customFormat="1" x14ac:dyDescent="0.15"/>
    <row r="4091" s="69" customFormat="1" x14ac:dyDescent="0.15"/>
    <row r="4092" s="69" customFormat="1" x14ac:dyDescent="0.15"/>
    <row r="4093" s="69" customFormat="1" x14ac:dyDescent="0.15"/>
    <row r="4094" s="69" customFormat="1" x14ac:dyDescent="0.15"/>
    <row r="4095" s="69" customFormat="1" x14ac:dyDescent="0.15"/>
    <row r="4096" s="69" customFormat="1" x14ac:dyDescent="0.15"/>
    <row r="4097" s="69" customFormat="1" x14ac:dyDescent="0.15"/>
    <row r="4098" s="69" customFormat="1" x14ac:dyDescent="0.15"/>
    <row r="4099" s="69" customFormat="1" x14ac:dyDescent="0.15"/>
    <row r="4100" s="69" customFormat="1" x14ac:dyDescent="0.15"/>
    <row r="4101" s="69" customFormat="1" x14ac:dyDescent="0.15"/>
    <row r="4102" s="69" customFormat="1" x14ac:dyDescent="0.15"/>
    <row r="4103" s="69" customFormat="1" x14ac:dyDescent="0.15"/>
    <row r="4104" s="69" customFormat="1" x14ac:dyDescent="0.15"/>
    <row r="4105" s="69" customFormat="1" x14ac:dyDescent="0.15"/>
    <row r="4106" s="69" customFormat="1" x14ac:dyDescent="0.15"/>
    <row r="4107" s="69" customFormat="1" x14ac:dyDescent="0.15"/>
    <row r="4108" s="69" customFormat="1" x14ac:dyDescent="0.15"/>
    <row r="4109" s="69" customFormat="1" x14ac:dyDescent="0.15"/>
    <row r="4110" s="69" customFormat="1" x14ac:dyDescent="0.15"/>
    <row r="4111" s="69" customFormat="1" x14ac:dyDescent="0.15"/>
    <row r="4112" s="69" customFormat="1" x14ac:dyDescent="0.15"/>
    <row r="4113" s="69" customFormat="1" x14ac:dyDescent="0.15"/>
    <row r="4114" s="69" customFormat="1" x14ac:dyDescent="0.15"/>
    <row r="4115" s="69" customFormat="1" x14ac:dyDescent="0.15"/>
    <row r="4116" s="69" customFormat="1" x14ac:dyDescent="0.15"/>
    <row r="4117" s="69" customFormat="1" x14ac:dyDescent="0.15"/>
    <row r="4118" s="69" customFormat="1" x14ac:dyDescent="0.15"/>
    <row r="4119" s="69" customFormat="1" x14ac:dyDescent="0.15"/>
    <row r="4120" s="69" customFormat="1" x14ac:dyDescent="0.15"/>
    <row r="4121" s="69" customFormat="1" x14ac:dyDescent="0.15"/>
    <row r="4122" s="69" customFormat="1" x14ac:dyDescent="0.15"/>
    <row r="4123" s="69" customFormat="1" x14ac:dyDescent="0.15"/>
    <row r="4124" s="69" customFormat="1" x14ac:dyDescent="0.15"/>
    <row r="4125" s="69" customFormat="1" x14ac:dyDescent="0.15"/>
    <row r="4126" s="69" customFormat="1" x14ac:dyDescent="0.15"/>
    <row r="4127" s="69" customFormat="1" x14ac:dyDescent="0.15"/>
    <row r="4128" s="69" customFormat="1" x14ac:dyDescent="0.15"/>
    <row r="4129" s="69" customFormat="1" x14ac:dyDescent="0.15"/>
    <row r="4130" s="69" customFormat="1" x14ac:dyDescent="0.15"/>
    <row r="4131" s="69" customFormat="1" x14ac:dyDescent="0.15"/>
    <row r="4132" s="69" customFormat="1" x14ac:dyDescent="0.15"/>
    <row r="4133" s="69" customFormat="1" x14ac:dyDescent="0.15"/>
    <row r="4134" s="69" customFormat="1" x14ac:dyDescent="0.15"/>
    <row r="4135" s="69" customFormat="1" x14ac:dyDescent="0.15"/>
    <row r="4136" s="69" customFormat="1" x14ac:dyDescent="0.15"/>
    <row r="4137" s="69" customFormat="1" x14ac:dyDescent="0.15"/>
    <row r="4138" s="69" customFormat="1" x14ac:dyDescent="0.15"/>
    <row r="4139" s="69" customFormat="1" x14ac:dyDescent="0.15"/>
    <row r="4140" s="69" customFormat="1" x14ac:dyDescent="0.15"/>
    <row r="4141" s="69" customFormat="1" x14ac:dyDescent="0.15"/>
    <row r="4142" s="69" customFormat="1" x14ac:dyDescent="0.15"/>
    <row r="4143" s="69" customFormat="1" x14ac:dyDescent="0.15"/>
    <row r="4144" s="69" customFormat="1" x14ac:dyDescent="0.15"/>
    <row r="4145" s="69" customFormat="1" x14ac:dyDescent="0.15"/>
    <row r="4146" s="69" customFormat="1" x14ac:dyDescent="0.15"/>
    <row r="4147" s="69" customFormat="1" x14ac:dyDescent="0.15"/>
    <row r="4148" s="69" customFormat="1" x14ac:dyDescent="0.15"/>
    <row r="4149" s="69" customFormat="1" x14ac:dyDescent="0.15"/>
    <row r="4150" s="69" customFormat="1" x14ac:dyDescent="0.15"/>
    <row r="4151" s="69" customFormat="1" x14ac:dyDescent="0.15"/>
    <row r="4152" s="69" customFormat="1" x14ac:dyDescent="0.15"/>
    <row r="4153" s="69" customFormat="1" x14ac:dyDescent="0.15"/>
    <row r="4154" s="69" customFormat="1" x14ac:dyDescent="0.15"/>
    <row r="4155" s="69" customFormat="1" x14ac:dyDescent="0.15"/>
    <row r="4156" s="69" customFormat="1" x14ac:dyDescent="0.15"/>
    <row r="4157" s="69" customFormat="1" x14ac:dyDescent="0.15"/>
    <row r="4158" s="69" customFormat="1" x14ac:dyDescent="0.15"/>
    <row r="4159" s="69" customFormat="1" x14ac:dyDescent="0.15"/>
    <row r="4160" s="69" customFormat="1" x14ac:dyDescent="0.15"/>
    <row r="4161" s="69" customFormat="1" x14ac:dyDescent="0.15"/>
    <row r="4162" s="69" customFormat="1" x14ac:dyDescent="0.15"/>
    <row r="4163" s="69" customFormat="1" x14ac:dyDescent="0.15"/>
    <row r="4164" s="69" customFormat="1" x14ac:dyDescent="0.15"/>
    <row r="4165" s="69" customFormat="1" x14ac:dyDescent="0.15"/>
    <row r="4166" s="69" customFormat="1" x14ac:dyDescent="0.15"/>
    <row r="4167" s="69" customFormat="1" x14ac:dyDescent="0.15"/>
    <row r="4168" s="69" customFormat="1" x14ac:dyDescent="0.15"/>
    <row r="4169" s="69" customFormat="1" x14ac:dyDescent="0.15"/>
    <row r="4170" s="69" customFormat="1" x14ac:dyDescent="0.15"/>
    <row r="4171" s="69" customFormat="1" x14ac:dyDescent="0.15"/>
    <row r="4172" s="69" customFormat="1" x14ac:dyDescent="0.15"/>
    <row r="4173" s="69" customFormat="1" x14ac:dyDescent="0.15"/>
    <row r="4174" s="69" customFormat="1" x14ac:dyDescent="0.15"/>
    <row r="4175" s="69" customFormat="1" x14ac:dyDescent="0.15"/>
    <row r="4176" s="69" customFormat="1" x14ac:dyDescent="0.15"/>
    <row r="4177" s="69" customFormat="1" x14ac:dyDescent="0.15"/>
    <row r="4178" s="69" customFormat="1" x14ac:dyDescent="0.15"/>
    <row r="4179" s="69" customFormat="1" x14ac:dyDescent="0.15"/>
    <row r="4180" s="69" customFormat="1" x14ac:dyDescent="0.15"/>
    <row r="4181" s="69" customFormat="1" x14ac:dyDescent="0.15"/>
    <row r="4182" s="69" customFormat="1" x14ac:dyDescent="0.15"/>
    <row r="4183" s="69" customFormat="1" x14ac:dyDescent="0.15"/>
    <row r="4184" s="69" customFormat="1" x14ac:dyDescent="0.15"/>
    <row r="4185" s="69" customFormat="1" x14ac:dyDescent="0.15"/>
    <row r="4186" s="69" customFormat="1" x14ac:dyDescent="0.15"/>
    <row r="4187" s="69" customFormat="1" x14ac:dyDescent="0.15"/>
    <row r="4188" s="69" customFormat="1" x14ac:dyDescent="0.15"/>
    <row r="4189" s="69" customFormat="1" x14ac:dyDescent="0.15"/>
    <row r="4190" s="69" customFormat="1" x14ac:dyDescent="0.15"/>
    <row r="4191" s="69" customFormat="1" x14ac:dyDescent="0.15"/>
    <row r="4192" s="69" customFormat="1" x14ac:dyDescent="0.15"/>
    <row r="4193" s="69" customFormat="1" x14ac:dyDescent="0.15"/>
    <row r="4194" s="69" customFormat="1" x14ac:dyDescent="0.15"/>
    <row r="4195" s="69" customFormat="1" x14ac:dyDescent="0.15"/>
    <row r="4196" s="69" customFormat="1" x14ac:dyDescent="0.15"/>
    <row r="4197" s="69" customFormat="1" x14ac:dyDescent="0.15"/>
    <row r="4198" s="69" customFormat="1" x14ac:dyDescent="0.15"/>
    <row r="4199" s="69" customFormat="1" x14ac:dyDescent="0.15"/>
    <row r="4200" s="69" customFormat="1" x14ac:dyDescent="0.15"/>
    <row r="4201" s="69" customFormat="1" x14ac:dyDescent="0.15"/>
    <row r="4202" s="69" customFormat="1" x14ac:dyDescent="0.15"/>
    <row r="4203" s="69" customFormat="1" x14ac:dyDescent="0.15"/>
    <row r="4204" s="69" customFormat="1" x14ac:dyDescent="0.15"/>
    <row r="4205" s="69" customFormat="1" x14ac:dyDescent="0.15"/>
    <row r="4206" s="69" customFormat="1" x14ac:dyDescent="0.15"/>
    <row r="4207" s="69" customFormat="1" x14ac:dyDescent="0.15"/>
    <row r="4208" s="69" customFormat="1" x14ac:dyDescent="0.15"/>
    <row r="4209" s="69" customFormat="1" x14ac:dyDescent="0.15"/>
    <row r="4210" s="69" customFormat="1" x14ac:dyDescent="0.15"/>
    <row r="4211" s="69" customFormat="1" x14ac:dyDescent="0.15"/>
    <row r="4212" s="69" customFormat="1" x14ac:dyDescent="0.15"/>
    <row r="4213" s="69" customFormat="1" x14ac:dyDescent="0.15"/>
    <row r="4214" s="69" customFormat="1" x14ac:dyDescent="0.15"/>
    <row r="4215" s="69" customFormat="1" x14ac:dyDescent="0.15"/>
    <row r="4216" s="69" customFormat="1" x14ac:dyDescent="0.15"/>
    <row r="4217" s="69" customFormat="1" x14ac:dyDescent="0.15"/>
    <row r="4218" s="69" customFormat="1" x14ac:dyDescent="0.15"/>
    <row r="4219" s="69" customFormat="1" x14ac:dyDescent="0.15"/>
    <row r="4220" s="69" customFormat="1" x14ac:dyDescent="0.15"/>
    <row r="4221" s="69" customFormat="1" x14ac:dyDescent="0.15"/>
    <row r="4222" s="69" customFormat="1" x14ac:dyDescent="0.15"/>
    <row r="4223" s="69" customFormat="1" x14ac:dyDescent="0.15"/>
    <row r="4224" s="69" customFormat="1" x14ac:dyDescent="0.15"/>
    <row r="4225" s="69" customFormat="1" x14ac:dyDescent="0.15"/>
    <row r="4226" s="69" customFormat="1" x14ac:dyDescent="0.15"/>
    <row r="4227" s="69" customFormat="1" x14ac:dyDescent="0.15"/>
    <row r="4228" s="69" customFormat="1" x14ac:dyDescent="0.15"/>
    <row r="4229" s="69" customFormat="1" x14ac:dyDescent="0.15"/>
    <row r="4230" s="69" customFormat="1" x14ac:dyDescent="0.15"/>
    <row r="4231" s="69" customFormat="1" x14ac:dyDescent="0.15"/>
    <row r="4232" s="69" customFormat="1" x14ac:dyDescent="0.15"/>
    <row r="4233" s="69" customFormat="1" x14ac:dyDescent="0.15"/>
    <row r="4234" s="69" customFormat="1" x14ac:dyDescent="0.15"/>
    <row r="4235" s="69" customFormat="1" x14ac:dyDescent="0.15"/>
    <row r="4236" s="69" customFormat="1" x14ac:dyDescent="0.15"/>
    <row r="4237" s="69" customFormat="1" x14ac:dyDescent="0.15"/>
    <row r="4238" s="69" customFormat="1" x14ac:dyDescent="0.15"/>
    <row r="4239" s="69" customFormat="1" x14ac:dyDescent="0.15"/>
    <row r="4240" s="69" customFormat="1" x14ac:dyDescent="0.15"/>
    <row r="4241" s="69" customFormat="1" x14ac:dyDescent="0.15"/>
    <row r="4242" s="69" customFormat="1" x14ac:dyDescent="0.15"/>
    <row r="4243" s="69" customFormat="1" x14ac:dyDescent="0.15"/>
    <row r="4244" s="69" customFormat="1" x14ac:dyDescent="0.15"/>
    <row r="4245" s="69" customFormat="1" x14ac:dyDescent="0.15"/>
    <row r="4246" s="69" customFormat="1" x14ac:dyDescent="0.15"/>
    <row r="4247" s="69" customFormat="1" x14ac:dyDescent="0.15"/>
    <row r="4248" s="69" customFormat="1" x14ac:dyDescent="0.15"/>
    <row r="4249" s="69" customFormat="1" x14ac:dyDescent="0.15"/>
    <row r="4250" s="69" customFormat="1" x14ac:dyDescent="0.15"/>
    <row r="4251" s="69" customFormat="1" x14ac:dyDescent="0.15"/>
    <row r="4252" s="69" customFormat="1" x14ac:dyDescent="0.15"/>
    <row r="4253" s="69" customFormat="1" x14ac:dyDescent="0.15"/>
    <row r="4254" s="69" customFormat="1" x14ac:dyDescent="0.15"/>
    <row r="4255" s="69" customFormat="1" x14ac:dyDescent="0.15"/>
    <row r="4256" s="69" customFormat="1" x14ac:dyDescent="0.15"/>
    <row r="4257" s="69" customFormat="1" x14ac:dyDescent="0.15"/>
    <row r="4258" s="69" customFormat="1" x14ac:dyDescent="0.15"/>
    <row r="4259" s="69" customFormat="1" x14ac:dyDescent="0.15"/>
    <row r="4260" s="69" customFormat="1" x14ac:dyDescent="0.15"/>
    <row r="4261" s="69" customFormat="1" x14ac:dyDescent="0.15"/>
    <row r="4262" s="69" customFormat="1" x14ac:dyDescent="0.15"/>
    <row r="4263" s="69" customFormat="1" x14ac:dyDescent="0.15"/>
    <row r="4264" s="69" customFormat="1" x14ac:dyDescent="0.15"/>
    <row r="4265" s="69" customFormat="1" x14ac:dyDescent="0.15"/>
    <row r="4266" s="69" customFormat="1" x14ac:dyDescent="0.15"/>
    <row r="4267" s="69" customFormat="1" x14ac:dyDescent="0.15"/>
    <row r="4268" s="69" customFormat="1" x14ac:dyDescent="0.15"/>
    <row r="4269" s="69" customFormat="1" x14ac:dyDescent="0.15"/>
    <row r="4270" s="69" customFormat="1" x14ac:dyDescent="0.15"/>
    <row r="4271" s="69" customFormat="1" x14ac:dyDescent="0.15"/>
    <row r="4272" s="69" customFormat="1" x14ac:dyDescent="0.15"/>
    <row r="4273" s="69" customFormat="1" x14ac:dyDescent="0.15"/>
    <row r="4274" s="69" customFormat="1" x14ac:dyDescent="0.15"/>
    <row r="4275" s="69" customFormat="1" x14ac:dyDescent="0.15"/>
    <row r="4276" s="69" customFormat="1" x14ac:dyDescent="0.15"/>
    <row r="4277" s="69" customFormat="1" x14ac:dyDescent="0.15"/>
    <row r="4278" s="69" customFormat="1" x14ac:dyDescent="0.15"/>
    <row r="4279" s="69" customFormat="1" x14ac:dyDescent="0.15"/>
    <row r="4280" s="69" customFormat="1" x14ac:dyDescent="0.15"/>
    <row r="4281" s="69" customFormat="1" x14ac:dyDescent="0.15"/>
    <row r="4282" s="69" customFormat="1" x14ac:dyDescent="0.15"/>
    <row r="4283" s="69" customFormat="1" x14ac:dyDescent="0.15"/>
    <row r="4284" s="69" customFormat="1" x14ac:dyDescent="0.15"/>
    <row r="4285" s="69" customFormat="1" x14ac:dyDescent="0.15"/>
    <row r="4286" s="69" customFormat="1" x14ac:dyDescent="0.15"/>
    <row r="4287" s="69" customFormat="1" x14ac:dyDescent="0.15"/>
    <row r="4288" s="69" customFormat="1" x14ac:dyDescent="0.15"/>
    <row r="4289" s="69" customFormat="1" x14ac:dyDescent="0.15"/>
    <row r="4290" s="69" customFormat="1" x14ac:dyDescent="0.15"/>
    <row r="4291" s="69" customFormat="1" x14ac:dyDescent="0.15"/>
    <row r="4292" s="69" customFormat="1" x14ac:dyDescent="0.15"/>
    <row r="4293" s="69" customFormat="1" x14ac:dyDescent="0.15"/>
    <row r="4294" s="69" customFormat="1" x14ac:dyDescent="0.15"/>
    <row r="4295" s="69" customFormat="1" x14ac:dyDescent="0.15"/>
    <row r="4296" s="69" customFormat="1" x14ac:dyDescent="0.15"/>
    <row r="4297" s="69" customFormat="1" x14ac:dyDescent="0.15"/>
    <row r="4298" s="69" customFormat="1" x14ac:dyDescent="0.15"/>
    <row r="4299" s="69" customFormat="1" x14ac:dyDescent="0.15"/>
    <row r="4300" s="69" customFormat="1" x14ac:dyDescent="0.15"/>
    <row r="4301" s="69" customFormat="1" x14ac:dyDescent="0.15"/>
    <row r="4302" s="69" customFormat="1" x14ac:dyDescent="0.15"/>
    <row r="4303" s="69" customFormat="1" x14ac:dyDescent="0.15"/>
    <row r="4304" s="69" customFormat="1" x14ac:dyDescent="0.15"/>
    <row r="4305" s="69" customFormat="1" x14ac:dyDescent="0.15"/>
    <row r="4306" s="69" customFormat="1" x14ac:dyDescent="0.15"/>
    <row r="4307" s="69" customFormat="1" x14ac:dyDescent="0.15"/>
    <row r="4308" s="69" customFormat="1" x14ac:dyDescent="0.15"/>
    <row r="4309" s="69" customFormat="1" x14ac:dyDescent="0.15"/>
    <row r="4310" s="69" customFormat="1" x14ac:dyDescent="0.15"/>
    <row r="4311" s="69" customFormat="1" x14ac:dyDescent="0.15"/>
    <row r="4312" s="69" customFormat="1" x14ac:dyDescent="0.15"/>
    <row r="4313" s="69" customFormat="1" x14ac:dyDescent="0.15"/>
    <row r="4314" s="69" customFormat="1" x14ac:dyDescent="0.15"/>
    <row r="4315" s="69" customFormat="1" x14ac:dyDescent="0.15"/>
    <row r="4316" s="69" customFormat="1" x14ac:dyDescent="0.15"/>
    <row r="4317" s="69" customFormat="1" x14ac:dyDescent="0.15"/>
    <row r="4318" s="69" customFormat="1" x14ac:dyDescent="0.15"/>
    <row r="4319" s="69" customFormat="1" x14ac:dyDescent="0.15"/>
    <row r="4320" s="69" customFormat="1" x14ac:dyDescent="0.15"/>
    <row r="4321" s="69" customFormat="1" x14ac:dyDescent="0.15"/>
    <row r="4322" s="69" customFormat="1" x14ac:dyDescent="0.15"/>
    <row r="4323" s="69" customFormat="1" x14ac:dyDescent="0.15"/>
    <row r="4324" s="69" customFormat="1" x14ac:dyDescent="0.15"/>
    <row r="4325" s="69" customFormat="1" x14ac:dyDescent="0.15"/>
    <row r="4326" s="69" customFormat="1" x14ac:dyDescent="0.15"/>
    <row r="4327" s="69" customFormat="1" x14ac:dyDescent="0.15"/>
    <row r="4328" s="69" customFormat="1" x14ac:dyDescent="0.15"/>
    <row r="4329" s="69" customFormat="1" x14ac:dyDescent="0.15"/>
    <row r="4330" s="69" customFormat="1" x14ac:dyDescent="0.15"/>
    <row r="4331" s="69" customFormat="1" x14ac:dyDescent="0.15"/>
    <row r="4332" s="69" customFormat="1" x14ac:dyDescent="0.15"/>
    <row r="4333" s="69" customFormat="1" x14ac:dyDescent="0.15"/>
    <row r="4334" s="69" customFormat="1" x14ac:dyDescent="0.15"/>
    <row r="4335" s="69" customFormat="1" x14ac:dyDescent="0.15"/>
    <row r="4336" s="69" customFormat="1" x14ac:dyDescent="0.15"/>
    <row r="4337" s="69" customFormat="1" x14ac:dyDescent="0.15"/>
    <row r="4338" s="69" customFormat="1" x14ac:dyDescent="0.15"/>
    <row r="4339" s="69" customFormat="1" x14ac:dyDescent="0.15"/>
    <row r="4340" s="69" customFormat="1" x14ac:dyDescent="0.15"/>
    <row r="4341" s="69" customFormat="1" x14ac:dyDescent="0.15"/>
    <row r="4342" s="69" customFormat="1" x14ac:dyDescent="0.15"/>
    <row r="4343" s="69" customFormat="1" x14ac:dyDescent="0.15"/>
    <row r="4344" s="69" customFormat="1" x14ac:dyDescent="0.15"/>
    <row r="4345" s="69" customFormat="1" x14ac:dyDescent="0.15"/>
    <row r="4346" s="69" customFormat="1" x14ac:dyDescent="0.15"/>
    <row r="4347" s="69" customFormat="1" x14ac:dyDescent="0.15"/>
    <row r="4348" s="69" customFormat="1" x14ac:dyDescent="0.15"/>
    <row r="4349" s="69" customFormat="1" x14ac:dyDescent="0.15"/>
    <row r="4350" s="69" customFormat="1" x14ac:dyDescent="0.15"/>
    <row r="4351" s="69" customFormat="1" x14ac:dyDescent="0.15"/>
    <row r="4352" s="69" customFormat="1" x14ac:dyDescent="0.15"/>
    <row r="4353" s="69" customFormat="1" x14ac:dyDescent="0.15"/>
    <row r="4354" s="69" customFormat="1" x14ac:dyDescent="0.15"/>
    <row r="4355" s="69" customFormat="1" x14ac:dyDescent="0.15"/>
    <row r="4356" s="69" customFormat="1" x14ac:dyDescent="0.15"/>
    <row r="4357" s="69" customFormat="1" x14ac:dyDescent="0.15"/>
    <row r="4358" s="69" customFormat="1" x14ac:dyDescent="0.15"/>
    <row r="4359" s="69" customFormat="1" x14ac:dyDescent="0.15"/>
    <row r="4360" s="69" customFormat="1" x14ac:dyDescent="0.15"/>
    <row r="4361" s="69" customFormat="1" x14ac:dyDescent="0.15"/>
    <row r="4362" s="69" customFormat="1" x14ac:dyDescent="0.15"/>
    <row r="4363" s="69" customFormat="1" x14ac:dyDescent="0.15"/>
    <row r="4364" s="69" customFormat="1" x14ac:dyDescent="0.15"/>
    <row r="4365" s="69" customFormat="1" x14ac:dyDescent="0.15"/>
    <row r="4366" s="69" customFormat="1" x14ac:dyDescent="0.15"/>
    <row r="4367" s="69" customFormat="1" x14ac:dyDescent="0.15"/>
    <row r="4368" s="69" customFormat="1" x14ac:dyDescent="0.15"/>
    <row r="4369" s="69" customFormat="1" x14ac:dyDescent="0.15"/>
    <row r="4370" s="69" customFormat="1" x14ac:dyDescent="0.15"/>
    <row r="4371" s="69" customFormat="1" x14ac:dyDescent="0.15"/>
    <row r="4372" s="69" customFormat="1" x14ac:dyDescent="0.15"/>
    <row r="4373" s="69" customFormat="1" x14ac:dyDescent="0.15"/>
    <row r="4374" s="69" customFormat="1" x14ac:dyDescent="0.15"/>
    <row r="4375" s="69" customFormat="1" x14ac:dyDescent="0.15"/>
    <row r="4376" s="69" customFormat="1" x14ac:dyDescent="0.15"/>
    <row r="4377" s="69" customFormat="1" x14ac:dyDescent="0.15"/>
    <row r="4378" s="69" customFormat="1" x14ac:dyDescent="0.15"/>
    <row r="4379" s="69" customFormat="1" x14ac:dyDescent="0.15"/>
    <row r="4380" s="69" customFormat="1" x14ac:dyDescent="0.15"/>
    <row r="4381" s="69" customFormat="1" x14ac:dyDescent="0.15"/>
    <row r="4382" s="69" customFormat="1" x14ac:dyDescent="0.15"/>
    <row r="4383" s="69" customFormat="1" x14ac:dyDescent="0.15"/>
    <row r="4384" s="69" customFormat="1" x14ac:dyDescent="0.15"/>
    <row r="4385" s="69" customFormat="1" x14ac:dyDescent="0.15"/>
    <row r="4386" s="69" customFormat="1" x14ac:dyDescent="0.15"/>
    <row r="4387" s="69" customFormat="1" x14ac:dyDescent="0.15"/>
    <row r="4388" s="69" customFormat="1" x14ac:dyDescent="0.15"/>
    <row r="4389" s="69" customFormat="1" x14ac:dyDescent="0.15"/>
    <row r="4390" s="69" customFormat="1" x14ac:dyDescent="0.15"/>
    <row r="4391" s="69" customFormat="1" x14ac:dyDescent="0.15"/>
    <row r="4392" s="69" customFormat="1" x14ac:dyDescent="0.15"/>
    <row r="4393" s="69" customFormat="1" x14ac:dyDescent="0.15"/>
    <row r="4394" s="69" customFormat="1" x14ac:dyDescent="0.15"/>
    <row r="4395" s="69" customFormat="1" x14ac:dyDescent="0.15"/>
    <row r="4396" s="69" customFormat="1" x14ac:dyDescent="0.15"/>
    <row r="4397" s="69" customFormat="1" x14ac:dyDescent="0.15"/>
    <row r="4398" s="69" customFormat="1" x14ac:dyDescent="0.15"/>
    <row r="4399" s="69" customFormat="1" x14ac:dyDescent="0.15"/>
    <row r="4400" s="69" customFormat="1" x14ac:dyDescent="0.15"/>
    <row r="4401" s="69" customFormat="1" x14ac:dyDescent="0.15"/>
    <row r="4402" s="69" customFormat="1" x14ac:dyDescent="0.15"/>
    <row r="4403" s="69" customFormat="1" x14ac:dyDescent="0.15"/>
    <row r="4404" s="69" customFormat="1" x14ac:dyDescent="0.15"/>
    <row r="4405" s="69" customFormat="1" x14ac:dyDescent="0.15"/>
    <row r="4406" s="69" customFormat="1" x14ac:dyDescent="0.15"/>
    <row r="4407" s="69" customFormat="1" x14ac:dyDescent="0.15"/>
    <row r="4408" s="69" customFormat="1" x14ac:dyDescent="0.15"/>
    <row r="4409" s="69" customFormat="1" x14ac:dyDescent="0.15"/>
    <row r="4410" s="69" customFormat="1" x14ac:dyDescent="0.15"/>
    <row r="4411" s="69" customFormat="1" x14ac:dyDescent="0.15"/>
    <row r="4412" s="69" customFormat="1" x14ac:dyDescent="0.15"/>
    <row r="4413" s="69" customFormat="1" x14ac:dyDescent="0.15"/>
    <row r="4414" s="69" customFormat="1" x14ac:dyDescent="0.15"/>
    <row r="4415" s="69" customFormat="1" x14ac:dyDescent="0.15"/>
    <row r="4416" s="69" customFormat="1" x14ac:dyDescent="0.15"/>
    <row r="4417" s="69" customFormat="1" x14ac:dyDescent="0.15"/>
    <row r="4418" s="69" customFormat="1" x14ac:dyDescent="0.15"/>
    <row r="4419" s="69" customFormat="1" x14ac:dyDescent="0.15"/>
    <row r="4420" s="69" customFormat="1" x14ac:dyDescent="0.15"/>
    <row r="4421" s="69" customFormat="1" x14ac:dyDescent="0.15"/>
    <row r="4422" s="69" customFormat="1" x14ac:dyDescent="0.15"/>
    <row r="4423" s="69" customFormat="1" x14ac:dyDescent="0.15"/>
    <row r="4424" s="69" customFormat="1" x14ac:dyDescent="0.15"/>
    <row r="4425" s="69" customFormat="1" x14ac:dyDescent="0.15"/>
    <row r="4426" s="69" customFormat="1" x14ac:dyDescent="0.15"/>
    <row r="4427" s="69" customFormat="1" x14ac:dyDescent="0.15"/>
    <row r="4428" s="69" customFormat="1" x14ac:dyDescent="0.15"/>
    <row r="4429" s="69" customFormat="1" x14ac:dyDescent="0.15"/>
    <row r="4430" s="69" customFormat="1" x14ac:dyDescent="0.15"/>
    <row r="4431" s="69" customFormat="1" x14ac:dyDescent="0.15"/>
    <row r="4432" s="69" customFormat="1" x14ac:dyDescent="0.15"/>
    <row r="4433" s="69" customFormat="1" x14ac:dyDescent="0.15"/>
    <row r="4434" s="69" customFormat="1" x14ac:dyDescent="0.15"/>
    <row r="4435" s="69" customFormat="1" x14ac:dyDescent="0.15"/>
    <row r="4436" s="69" customFormat="1" x14ac:dyDescent="0.15"/>
    <row r="4437" s="69" customFormat="1" x14ac:dyDescent="0.15"/>
    <row r="4438" s="69" customFormat="1" x14ac:dyDescent="0.15"/>
    <row r="4439" s="69" customFormat="1" x14ac:dyDescent="0.15"/>
    <row r="4440" s="69" customFormat="1" x14ac:dyDescent="0.15"/>
    <row r="4441" s="69" customFormat="1" x14ac:dyDescent="0.15"/>
    <row r="4442" s="69" customFormat="1" x14ac:dyDescent="0.15"/>
    <row r="4443" s="69" customFormat="1" x14ac:dyDescent="0.15"/>
    <row r="4444" s="69" customFormat="1" x14ac:dyDescent="0.15"/>
    <row r="4445" s="69" customFormat="1" x14ac:dyDescent="0.15"/>
    <row r="4446" s="69" customFormat="1" x14ac:dyDescent="0.15"/>
    <row r="4447" s="69" customFormat="1" x14ac:dyDescent="0.15"/>
    <row r="4448" s="69" customFormat="1" x14ac:dyDescent="0.15"/>
    <row r="4449" s="69" customFormat="1" x14ac:dyDescent="0.15"/>
    <row r="4450" s="69" customFormat="1" x14ac:dyDescent="0.15"/>
    <row r="4451" s="69" customFormat="1" x14ac:dyDescent="0.15"/>
    <row r="4452" s="69" customFormat="1" x14ac:dyDescent="0.15"/>
    <row r="4453" s="69" customFormat="1" x14ac:dyDescent="0.15"/>
    <row r="4454" s="69" customFormat="1" x14ac:dyDescent="0.15"/>
    <row r="4455" s="69" customFormat="1" x14ac:dyDescent="0.15"/>
    <row r="4456" s="69" customFormat="1" x14ac:dyDescent="0.15"/>
    <row r="4457" s="69" customFormat="1" x14ac:dyDescent="0.15"/>
    <row r="4458" s="69" customFormat="1" x14ac:dyDescent="0.15"/>
    <row r="4459" s="69" customFormat="1" x14ac:dyDescent="0.15"/>
    <row r="4460" s="69" customFormat="1" x14ac:dyDescent="0.15"/>
    <row r="4461" s="69" customFormat="1" x14ac:dyDescent="0.15"/>
    <row r="4462" s="69" customFormat="1" x14ac:dyDescent="0.15"/>
    <row r="4463" s="69" customFormat="1" x14ac:dyDescent="0.15"/>
    <row r="4464" s="69" customFormat="1" x14ac:dyDescent="0.15"/>
    <row r="4465" s="69" customFormat="1" x14ac:dyDescent="0.15"/>
    <row r="4466" s="69" customFormat="1" x14ac:dyDescent="0.15"/>
    <row r="4467" s="69" customFormat="1" x14ac:dyDescent="0.15"/>
    <row r="4468" s="69" customFormat="1" x14ac:dyDescent="0.15"/>
    <row r="4469" s="69" customFormat="1" x14ac:dyDescent="0.15"/>
    <row r="4470" s="69" customFormat="1" x14ac:dyDescent="0.15"/>
    <row r="4471" s="69" customFormat="1" x14ac:dyDescent="0.15"/>
    <row r="4472" s="69" customFormat="1" x14ac:dyDescent="0.15"/>
    <row r="4473" s="69" customFormat="1" x14ac:dyDescent="0.15"/>
    <row r="4474" s="69" customFormat="1" x14ac:dyDescent="0.15"/>
    <row r="4475" s="69" customFormat="1" x14ac:dyDescent="0.15"/>
    <row r="4476" s="69" customFormat="1" x14ac:dyDescent="0.15"/>
    <row r="4477" s="69" customFormat="1" x14ac:dyDescent="0.15"/>
    <row r="4478" s="69" customFormat="1" x14ac:dyDescent="0.15"/>
    <row r="4479" s="69" customFormat="1" x14ac:dyDescent="0.15"/>
    <row r="4480" s="69" customFormat="1" x14ac:dyDescent="0.15"/>
    <row r="4481" s="69" customFormat="1" x14ac:dyDescent="0.15"/>
    <row r="4482" s="69" customFormat="1" x14ac:dyDescent="0.15"/>
    <row r="4483" s="69" customFormat="1" x14ac:dyDescent="0.15"/>
    <row r="4484" s="69" customFormat="1" x14ac:dyDescent="0.15"/>
    <row r="4485" s="69" customFormat="1" x14ac:dyDescent="0.15"/>
    <row r="4486" s="69" customFormat="1" x14ac:dyDescent="0.15"/>
    <row r="4487" s="69" customFormat="1" x14ac:dyDescent="0.15"/>
    <row r="4488" s="69" customFormat="1" x14ac:dyDescent="0.15"/>
    <row r="4489" s="69" customFormat="1" x14ac:dyDescent="0.15"/>
    <row r="4490" s="69" customFormat="1" x14ac:dyDescent="0.15"/>
    <row r="4491" s="69" customFormat="1" x14ac:dyDescent="0.15"/>
    <row r="4492" s="69" customFormat="1" x14ac:dyDescent="0.15"/>
    <row r="4493" s="69" customFormat="1" x14ac:dyDescent="0.15"/>
    <row r="4494" s="69" customFormat="1" x14ac:dyDescent="0.15"/>
    <row r="4495" s="69" customFormat="1" x14ac:dyDescent="0.15"/>
    <row r="4496" s="69" customFormat="1" x14ac:dyDescent="0.15"/>
    <row r="4497" s="69" customFormat="1" x14ac:dyDescent="0.15"/>
    <row r="4498" s="69" customFormat="1" x14ac:dyDescent="0.15"/>
    <row r="4499" s="69" customFormat="1" x14ac:dyDescent="0.15"/>
    <row r="4500" s="69" customFormat="1" x14ac:dyDescent="0.15"/>
    <row r="4501" s="69" customFormat="1" x14ac:dyDescent="0.15"/>
    <row r="4502" s="69" customFormat="1" x14ac:dyDescent="0.15"/>
    <row r="4503" s="69" customFormat="1" x14ac:dyDescent="0.15"/>
    <row r="4504" s="69" customFormat="1" x14ac:dyDescent="0.15"/>
    <row r="4505" s="69" customFormat="1" x14ac:dyDescent="0.15"/>
    <row r="4506" s="69" customFormat="1" x14ac:dyDescent="0.15"/>
    <row r="4507" s="69" customFormat="1" x14ac:dyDescent="0.15"/>
    <row r="4508" s="69" customFormat="1" x14ac:dyDescent="0.15"/>
    <row r="4509" s="69" customFormat="1" x14ac:dyDescent="0.15"/>
    <row r="4510" s="69" customFormat="1" x14ac:dyDescent="0.15"/>
    <row r="4511" s="69" customFormat="1" x14ac:dyDescent="0.15"/>
    <row r="4512" s="69" customFormat="1" x14ac:dyDescent="0.15"/>
    <row r="4513" s="69" customFormat="1" x14ac:dyDescent="0.15"/>
    <row r="4514" s="69" customFormat="1" x14ac:dyDescent="0.15"/>
    <row r="4515" s="69" customFormat="1" x14ac:dyDescent="0.15"/>
    <row r="4516" s="69" customFormat="1" x14ac:dyDescent="0.15"/>
    <row r="4517" s="69" customFormat="1" x14ac:dyDescent="0.15"/>
    <row r="4518" s="69" customFormat="1" x14ac:dyDescent="0.15"/>
    <row r="4519" s="69" customFormat="1" x14ac:dyDescent="0.15"/>
    <row r="4520" s="69" customFormat="1" x14ac:dyDescent="0.15"/>
    <row r="4521" s="69" customFormat="1" x14ac:dyDescent="0.15"/>
    <row r="4522" s="69" customFormat="1" x14ac:dyDescent="0.15"/>
    <row r="4523" s="69" customFormat="1" x14ac:dyDescent="0.15"/>
    <row r="4524" s="69" customFormat="1" x14ac:dyDescent="0.15"/>
    <row r="4525" s="69" customFormat="1" x14ac:dyDescent="0.15"/>
    <row r="4526" s="69" customFormat="1" x14ac:dyDescent="0.15"/>
    <row r="4527" s="69" customFormat="1" x14ac:dyDescent="0.15"/>
    <row r="4528" s="69" customFormat="1" x14ac:dyDescent="0.15"/>
    <row r="4529" s="69" customFormat="1" x14ac:dyDescent="0.15"/>
    <row r="4530" s="69" customFormat="1" x14ac:dyDescent="0.15"/>
    <row r="4531" s="69" customFormat="1" x14ac:dyDescent="0.15"/>
    <row r="4532" s="69" customFormat="1" x14ac:dyDescent="0.15"/>
    <row r="4533" s="69" customFormat="1" x14ac:dyDescent="0.15"/>
    <row r="4534" s="69" customFormat="1" x14ac:dyDescent="0.15"/>
    <row r="4535" s="69" customFormat="1" x14ac:dyDescent="0.15"/>
    <row r="4536" s="69" customFormat="1" x14ac:dyDescent="0.15"/>
    <row r="4537" s="69" customFormat="1" x14ac:dyDescent="0.15"/>
    <row r="4538" s="69" customFormat="1" x14ac:dyDescent="0.15"/>
    <row r="4539" s="69" customFormat="1" x14ac:dyDescent="0.15"/>
    <row r="4540" s="69" customFormat="1" x14ac:dyDescent="0.15"/>
    <row r="4541" s="69" customFormat="1" x14ac:dyDescent="0.15"/>
    <row r="4542" s="69" customFormat="1" x14ac:dyDescent="0.15"/>
    <row r="4543" s="69" customFormat="1" x14ac:dyDescent="0.15"/>
    <row r="4544" s="69" customFormat="1" x14ac:dyDescent="0.15"/>
    <row r="4545" s="69" customFormat="1" x14ac:dyDescent="0.15"/>
    <row r="4546" s="69" customFormat="1" x14ac:dyDescent="0.15"/>
    <row r="4547" s="69" customFormat="1" x14ac:dyDescent="0.15"/>
    <row r="4548" s="69" customFormat="1" x14ac:dyDescent="0.15"/>
    <row r="4549" s="69" customFormat="1" x14ac:dyDescent="0.15"/>
    <row r="4550" s="69" customFormat="1" x14ac:dyDescent="0.15"/>
    <row r="4551" s="69" customFormat="1" x14ac:dyDescent="0.15"/>
    <row r="4552" s="69" customFormat="1" x14ac:dyDescent="0.15"/>
    <row r="4553" s="69" customFormat="1" x14ac:dyDescent="0.15"/>
    <row r="4554" s="69" customFormat="1" x14ac:dyDescent="0.15"/>
    <row r="4555" s="69" customFormat="1" x14ac:dyDescent="0.15"/>
    <row r="4556" s="69" customFormat="1" x14ac:dyDescent="0.15"/>
    <row r="4557" s="69" customFormat="1" x14ac:dyDescent="0.15"/>
    <row r="4558" s="69" customFormat="1" x14ac:dyDescent="0.15"/>
    <row r="4559" s="69" customFormat="1" x14ac:dyDescent="0.15"/>
    <row r="4560" s="69" customFormat="1" x14ac:dyDescent="0.15"/>
    <row r="4561" s="69" customFormat="1" x14ac:dyDescent="0.15"/>
    <row r="4562" s="69" customFormat="1" x14ac:dyDescent="0.15"/>
    <row r="4563" s="69" customFormat="1" x14ac:dyDescent="0.15"/>
    <row r="4564" s="69" customFormat="1" x14ac:dyDescent="0.15"/>
    <row r="4565" s="69" customFormat="1" x14ac:dyDescent="0.15"/>
    <row r="4566" s="69" customFormat="1" x14ac:dyDescent="0.15"/>
    <row r="4567" s="69" customFormat="1" x14ac:dyDescent="0.15"/>
    <row r="4568" s="69" customFormat="1" x14ac:dyDescent="0.15"/>
    <row r="4569" s="69" customFormat="1" x14ac:dyDescent="0.15"/>
    <row r="4570" s="69" customFormat="1" x14ac:dyDescent="0.15"/>
    <row r="4571" s="69" customFormat="1" x14ac:dyDescent="0.15"/>
    <row r="4572" s="69" customFormat="1" x14ac:dyDescent="0.15"/>
    <row r="4573" s="69" customFormat="1" x14ac:dyDescent="0.15"/>
    <row r="4574" s="69" customFormat="1" x14ac:dyDescent="0.15"/>
    <row r="4575" s="69" customFormat="1" x14ac:dyDescent="0.15"/>
    <row r="4576" s="69" customFormat="1" x14ac:dyDescent="0.15"/>
    <row r="4577" s="69" customFormat="1" x14ac:dyDescent="0.15"/>
    <row r="4578" s="69" customFormat="1" x14ac:dyDescent="0.15"/>
    <row r="4579" s="69" customFormat="1" x14ac:dyDescent="0.15"/>
    <row r="4580" s="69" customFormat="1" x14ac:dyDescent="0.15"/>
    <row r="4581" s="69" customFormat="1" x14ac:dyDescent="0.15"/>
    <row r="4582" s="69" customFormat="1" x14ac:dyDescent="0.15"/>
    <row r="4583" s="69" customFormat="1" x14ac:dyDescent="0.15"/>
    <row r="4584" s="69" customFormat="1" x14ac:dyDescent="0.15"/>
    <row r="4585" s="69" customFormat="1" x14ac:dyDescent="0.15"/>
    <row r="4586" s="69" customFormat="1" x14ac:dyDescent="0.15"/>
    <row r="4587" s="69" customFormat="1" x14ac:dyDescent="0.15"/>
    <row r="4588" s="69" customFormat="1" x14ac:dyDescent="0.15"/>
    <row r="4589" s="69" customFormat="1" x14ac:dyDescent="0.15"/>
    <row r="4590" s="69" customFormat="1" x14ac:dyDescent="0.15"/>
    <row r="4591" s="69" customFormat="1" x14ac:dyDescent="0.15"/>
    <row r="4592" s="69" customFormat="1" x14ac:dyDescent="0.15"/>
    <row r="4593" s="69" customFormat="1" x14ac:dyDescent="0.15"/>
    <row r="4594" s="69" customFormat="1" x14ac:dyDescent="0.15"/>
    <row r="4595" s="69" customFormat="1" x14ac:dyDescent="0.15"/>
    <row r="4596" s="69" customFormat="1" x14ac:dyDescent="0.15"/>
    <row r="4597" s="69" customFormat="1" x14ac:dyDescent="0.15"/>
    <row r="4598" s="69" customFormat="1" x14ac:dyDescent="0.15"/>
    <row r="4599" s="69" customFormat="1" x14ac:dyDescent="0.15"/>
    <row r="4600" s="69" customFormat="1" x14ac:dyDescent="0.15"/>
    <row r="4601" s="69" customFormat="1" x14ac:dyDescent="0.15"/>
    <row r="4602" s="69" customFormat="1" x14ac:dyDescent="0.15"/>
    <row r="4603" s="69" customFormat="1" x14ac:dyDescent="0.15"/>
    <row r="4604" s="69" customFormat="1" x14ac:dyDescent="0.15"/>
    <row r="4605" s="69" customFormat="1" x14ac:dyDescent="0.15"/>
    <row r="4606" s="69" customFormat="1" x14ac:dyDescent="0.15"/>
    <row r="4607" s="69" customFormat="1" x14ac:dyDescent="0.15"/>
    <row r="4608" s="69" customFormat="1" x14ac:dyDescent="0.15"/>
    <row r="4609" s="69" customFormat="1" x14ac:dyDescent="0.15"/>
    <row r="4610" s="69" customFormat="1" x14ac:dyDescent="0.15"/>
    <row r="4611" s="69" customFormat="1" x14ac:dyDescent="0.15"/>
    <row r="4612" s="69" customFormat="1" x14ac:dyDescent="0.15"/>
    <row r="4613" s="69" customFormat="1" x14ac:dyDescent="0.15"/>
    <row r="4614" s="69" customFormat="1" x14ac:dyDescent="0.15"/>
    <row r="4615" s="69" customFormat="1" x14ac:dyDescent="0.15"/>
    <row r="4616" s="69" customFormat="1" x14ac:dyDescent="0.15"/>
    <row r="4617" s="69" customFormat="1" x14ac:dyDescent="0.15"/>
    <row r="4618" s="69" customFormat="1" x14ac:dyDescent="0.15"/>
    <row r="4619" s="69" customFormat="1" x14ac:dyDescent="0.15"/>
    <row r="4620" s="69" customFormat="1" x14ac:dyDescent="0.15"/>
    <row r="4621" s="69" customFormat="1" x14ac:dyDescent="0.15"/>
    <row r="4622" s="69" customFormat="1" x14ac:dyDescent="0.15"/>
    <row r="4623" s="69" customFormat="1" x14ac:dyDescent="0.15"/>
    <row r="4624" s="69" customFormat="1" x14ac:dyDescent="0.15"/>
    <row r="4625" s="69" customFormat="1" x14ac:dyDescent="0.15"/>
    <row r="4626" s="69" customFormat="1" x14ac:dyDescent="0.15"/>
    <row r="4627" s="69" customFormat="1" x14ac:dyDescent="0.15"/>
    <row r="4628" s="69" customFormat="1" x14ac:dyDescent="0.15"/>
    <row r="4629" s="69" customFormat="1" x14ac:dyDescent="0.15"/>
    <row r="4630" s="69" customFormat="1" x14ac:dyDescent="0.15"/>
    <row r="4631" s="69" customFormat="1" x14ac:dyDescent="0.15"/>
    <row r="4632" s="69" customFormat="1" x14ac:dyDescent="0.15"/>
    <row r="4633" s="69" customFormat="1" x14ac:dyDescent="0.15"/>
    <row r="4634" s="69" customFormat="1" x14ac:dyDescent="0.15"/>
    <row r="4635" s="69" customFormat="1" x14ac:dyDescent="0.15"/>
    <row r="4636" s="69" customFormat="1" x14ac:dyDescent="0.15"/>
    <row r="4637" s="69" customFormat="1" x14ac:dyDescent="0.15"/>
    <row r="4638" s="69" customFormat="1" x14ac:dyDescent="0.15"/>
    <row r="4639" s="69" customFormat="1" x14ac:dyDescent="0.15"/>
    <row r="4640" s="69" customFormat="1" x14ac:dyDescent="0.15"/>
    <row r="4641" s="69" customFormat="1" x14ac:dyDescent="0.15"/>
    <row r="4642" s="69" customFormat="1" x14ac:dyDescent="0.15"/>
    <row r="4643" s="69" customFormat="1" x14ac:dyDescent="0.15"/>
    <row r="4644" s="69" customFormat="1" x14ac:dyDescent="0.15"/>
    <row r="4645" s="69" customFormat="1" x14ac:dyDescent="0.15"/>
    <row r="4646" s="69" customFormat="1" x14ac:dyDescent="0.15"/>
    <row r="4647" s="69" customFormat="1" x14ac:dyDescent="0.15"/>
    <row r="4648" s="69" customFormat="1" x14ac:dyDescent="0.15"/>
    <row r="4649" s="69" customFormat="1" x14ac:dyDescent="0.15"/>
    <row r="4650" s="69" customFormat="1" x14ac:dyDescent="0.15"/>
    <row r="4651" s="69" customFormat="1" x14ac:dyDescent="0.15"/>
    <row r="4652" s="69" customFormat="1" x14ac:dyDescent="0.15"/>
    <row r="4653" s="69" customFormat="1" x14ac:dyDescent="0.15"/>
    <row r="4654" s="69" customFormat="1" x14ac:dyDescent="0.15"/>
    <row r="4655" s="69" customFormat="1" x14ac:dyDescent="0.15"/>
    <row r="4656" s="69" customFormat="1" x14ac:dyDescent="0.15"/>
    <row r="4657" s="69" customFormat="1" x14ac:dyDescent="0.15"/>
    <row r="4658" s="69" customFormat="1" x14ac:dyDescent="0.15"/>
    <row r="4659" s="69" customFormat="1" x14ac:dyDescent="0.15"/>
    <row r="4660" s="69" customFormat="1" x14ac:dyDescent="0.15"/>
    <row r="4661" s="69" customFormat="1" x14ac:dyDescent="0.15"/>
    <row r="4662" s="69" customFormat="1" x14ac:dyDescent="0.15"/>
    <row r="4663" s="69" customFormat="1" x14ac:dyDescent="0.15"/>
    <row r="4664" s="69" customFormat="1" x14ac:dyDescent="0.15"/>
    <row r="4665" s="69" customFormat="1" x14ac:dyDescent="0.15"/>
    <row r="4666" s="69" customFormat="1" x14ac:dyDescent="0.15"/>
    <row r="4667" s="69" customFormat="1" x14ac:dyDescent="0.15"/>
    <row r="4668" s="69" customFormat="1" x14ac:dyDescent="0.15"/>
    <row r="4669" s="69" customFormat="1" x14ac:dyDescent="0.15"/>
    <row r="4670" s="69" customFormat="1" x14ac:dyDescent="0.15"/>
    <row r="4671" s="69" customFormat="1" x14ac:dyDescent="0.15"/>
    <row r="4672" s="69" customFormat="1" x14ac:dyDescent="0.15"/>
    <row r="4673" s="69" customFormat="1" x14ac:dyDescent="0.15"/>
    <row r="4674" s="69" customFormat="1" x14ac:dyDescent="0.15"/>
    <row r="4675" s="69" customFormat="1" x14ac:dyDescent="0.15"/>
    <row r="4676" s="69" customFormat="1" x14ac:dyDescent="0.15"/>
    <row r="4677" s="69" customFormat="1" x14ac:dyDescent="0.15"/>
    <row r="4678" s="69" customFormat="1" x14ac:dyDescent="0.15"/>
    <row r="4679" s="69" customFormat="1" x14ac:dyDescent="0.15"/>
    <row r="4680" s="69" customFormat="1" x14ac:dyDescent="0.15"/>
    <row r="4681" s="69" customFormat="1" x14ac:dyDescent="0.15"/>
    <row r="4682" s="69" customFormat="1" x14ac:dyDescent="0.15"/>
    <row r="4683" s="69" customFormat="1" x14ac:dyDescent="0.15"/>
    <row r="4684" s="69" customFormat="1" x14ac:dyDescent="0.15"/>
    <row r="4685" s="69" customFormat="1" x14ac:dyDescent="0.15"/>
    <row r="4686" s="69" customFormat="1" x14ac:dyDescent="0.15"/>
    <row r="4687" s="69" customFormat="1" x14ac:dyDescent="0.15"/>
    <row r="4688" s="69" customFormat="1" x14ac:dyDescent="0.15"/>
    <row r="4689" s="69" customFormat="1" x14ac:dyDescent="0.15"/>
    <row r="4690" s="69" customFormat="1" x14ac:dyDescent="0.15"/>
    <row r="4691" s="69" customFormat="1" x14ac:dyDescent="0.15"/>
    <row r="4692" s="69" customFormat="1" x14ac:dyDescent="0.15"/>
    <row r="4693" s="69" customFormat="1" x14ac:dyDescent="0.15"/>
    <row r="4694" s="69" customFormat="1" x14ac:dyDescent="0.15"/>
    <row r="4695" s="69" customFormat="1" x14ac:dyDescent="0.15"/>
    <row r="4696" s="69" customFormat="1" x14ac:dyDescent="0.15"/>
    <row r="4697" s="69" customFormat="1" x14ac:dyDescent="0.15"/>
    <row r="4698" s="69" customFormat="1" x14ac:dyDescent="0.15"/>
    <row r="4699" s="69" customFormat="1" x14ac:dyDescent="0.15"/>
    <row r="4700" s="69" customFormat="1" x14ac:dyDescent="0.15"/>
    <row r="4701" s="69" customFormat="1" x14ac:dyDescent="0.15"/>
    <row r="4702" s="69" customFormat="1" x14ac:dyDescent="0.15"/>
    <row r="4703" s="69" customFormat="1" x14ac:dyDescent="0.15"/>
    <row r="4704" s="69" customFormat="1" x14ac:dyDescent="0.15"/>
    <row r="4705" s="69" customFormat="1" x14ac:dyDescent="0.15"/>
    <row r="4706" s="69" customFormat="1" x14ac:dyDescent="0.15"/>
    <row r="4707" s="69" customFormat="1" x14ac:dyDescent="0.15"/>
    <row r="4708" s="69" customFormat="1" x14ac:dyDescent="0.15"/>
    <row r="4709" s="69" customFormat="1" x14ac:dyDescent="0.15"/>
    <row r="4710" s="69" customFormat="1" x14ac:dyDescent="0.15"/>
    <row r="4711" s="69" customFormat="1" x14ac:dyDescent="0.15"/>
    <row r="4712" s="69" customFormat="1" x14ac:dyDescent="0.15"/>
    <row r="4713" s="69" customFormat="1" x14ac:dyDescent="0.15"/>
    <row r="4714" s="69" customFormat="1" x14ac:dyDescent="0.15"/>
    <row r="4715" s="69" customFormat="1" x14ac:dyDescent="0.15"/>
    <row r="4716" s="69" customFormat="1" x14ac:dyDescent="0.15"/>
    <row r="4717" s="69" customFormat="1" x14ac:dyDescent="0.15"/>
    <row r="4718" s="69" customFormat="1" x14ac:dyDescent="0.15"/>
    <row r="4719" s="69" customFormat="1" x14ac:dyDescent="0.15"/>
    <row r="4720" s="69" customFormat="1" x14ac:dyDescent="0.15"/>
    <row r="4721" s="69" customFormat="1" x14ac:dyDescent="0.15"/>
    <row r="4722" s="69" customFormat="1" x14ac:dyDescent="0.15"/>
    <row r="4723" s="69" customFormat="1" x14ac:dyDescent="0.15"/>
    <row r="4724" s="69" customFormat="1" x14ac:dyDescent="0.15"/>
    <row r="4725" s="69" customFormat="1" x14ac:dyDescent="0.15"/>
    <row r="4726" s="69" customFormat="1" x14ac:dyDescent="0.15"/>
    <row r="4727" s="69" customFormat="1" x14ac:dyDescent="0.15"/>
    <row r="4728" s="69" customFormat="1" x14ac:dyDescent="0.15"/>
    <row r="4729" s="69" customFormat="1" x14ac:dyDescent="0.15"/>
    <row r="4730" s="69" customFormat="1" x14ac:dyDescent="0.15"/>
    <row r="4731" s="69" customFormat="1" x14ac:dyDescent="0.15"/>
    <row r="4732" s="69" customFormat="1" x14ac:dyDescent="0.15"/>
    <row r="4733" s="69" customFormat="1" x14ac:dyDescent="0.15"/>
    <row r="4734" s="69" customFormat="1" x14ac:dyDescent="0.15"/>
    <row r="4735" s="69" customFormat="1" x14ac:dyDescent="0.15"/>
    <row r="4736" s="69" customFormat="1" x14ac:dyDescent="0.15"/>
    <row r="4737" s="69" customFormat="1" x14ac:dyDescent="0.15"/>
    <row r="4738" s="69" customFormat="1" x14ac:dyDescent="0.15"/>
    <row r="4739" s="69" customFormat="1" x14ac:dyDescent="0.15"/>
    <row r="4740" s="69" customFormat="1" x14ac:dyDescent="0.15"/>
    <row r="4741" s="69" customFormat="1" x14ac:dyDescent="0.15"/>
    <row r="4742" s="69" customFormat="1" x14ac:dyDescent="0.15"/>
    <row r="4743" s="69" customFormat="1" x14ac:dyDescent="0.15"/>
    <row r="4744" s="69" customFormat="1" x14ac:dyDescent="0.15"/>
    <row r="4745" s="69" customFormat="1" x14ac:dyDescent="0.15"/>
    <row r="4746" s="69" customFormat="1" x14ac:dyDescent="0.15"/>
    <row r="4747" s="69" customFormat="1" x14ac:dyDescent="0.15"/>
    <row r="4748" s="69" customFormat="1" x14ac:dyDescent="0.15"/>
    <row r="4749" s="69" customFormat="1" x14ac:dyDescent="0.15"/>
    <row r="4750" s="69" customFormat="1" x14ac:dyDescent="0.15"/>
    <row r="4751" s="69" customFormat="1" x14ac:dyDescent="0.15"/>
    <row r="4752" s="69" customFormat="1" x14ac:dyDescent="0.15"/>
    <row r="4753" s="69" customFormat="1" x14ac:dyDescent="0.15"/>
    <row r="4754" s="69" customFormat="1" x14ac:dyDescent="0.15"/>
    <row r="4755" s="69" customFormat="1" x14ac:dyDescent="0.15"/>
    <row r="4756" s="69" customFormat="1" x14ac:dyDescent="0.15"/>
    <row r="4757" s="69" customFormat="1" x14ac:dyDescent="0.15"/>
    <row r="4758" s="69" customFormat="1" x14ac:dyDescent="0.15"/>
    <row r="4759" s="69" customFormat="1" x14ac:dyDescent="0.15"/>
    <row r="4760" s="69" customFormat="1" x14ac:dyDescent="0.15"/>
    <row r="4761" s="69" customFormat="1" x14ac:dyDescent="0.15"/>
    <row r="4762" s="69" customFormat="1" x14ac:dyDescent="0.15"/>
    <row r="4763" s="69" customFormat="1" x14ac:dyDescent="0.15"/>
    <row r="4764" s="69" customFormat="1" x14ac:dyDescent="0.15"/>
    <row r="4765" s="69" customFormat="1" x14ac:dyDescent="0.15"/>
    <row r="4766" s="69" customFormat="1" x14ac:dyDescent="0.15"/>
    <row r="4767" s="69" customFormat="1" x14ac:dyDescent="0.15"/>
    <row r="4768" s="69" customFormat="1" x14ac:dyDescent="0.15"/>
    <row r="4769" s="69" customFormat="1" x14ac:dyDescent="0.15"/>
    <row r="4770" s="69" customFormat="1" x14ac:dyDescent="0.15"/>
    <row r="4771" s="69" customFormat="1" x14ac:dyDescent="0.15"/>
    <row r="4772" s="69" customFormat="1" x14ac:dyDescent="0.15"/>
    <row r="4773" s="69" customFormat="1" x14ac:dyDescent="0.15"/>
    <row r="4774" s="69" customFormat="1" x14ac:dyDescent="0.15"/>
    <row r="4775" s="69" customFormat="1" x14ac:dyDescent="0.15"/>
    <row r="4776" s="69" customFormat="1" x14ac:dyDescent="0.15"/>
    <row r="4777" s="69" customFormat="1" x14ac:dyDescent="0.15"/>
    <row r="4778" s="69" customFormat="1" x14ac:dyDescent="0.15"/>
    <row r="4779" s="69" customFormat="1" x14ac:dyDescent="0.15"/>
    <row r="4780" s="69" customFormat="1" x14ac:dyDescent="0.15"/>
    <row r="4781" s="69" customFormat="1" x14ac:dyDescent="0.15"/>
    <row r="4782" s="69" customFormat="1" x14ac:dyDescent="0.15"/>
    <row r="4783" s="69" customFormat="1" x14ac:dyDescent="0.15"/>
    <row r="4784" s="69" customFormat="1" x14ac:dyDescent="0.15"/>
    <row r="4785" s="69" customFormat="1" x14ac:dyDescent="0.15"/>
    <row r="4786" s="69" customFormat="1" x14ac:dyDescent="0.15"/>
    <row r="4787" s="69" customFormat="1" x14ac:dyDescent="0.15"/>
    <row r="4788" s="69" customFormat="1" x14ac:dyDescent="0.15"/>
    <row r="4789" s="69" customFormat="1" x14ac:dyDescent="0.15"/>
    <row r="4790" s="69" customFormat="1" x14ac:dyDescent="0.15"/>
    <row r="4791" s="69" customFormat="1" x14ac:dyDescent="0.15"/>
    <row r="4792" s="69" customFormat="1" x14ac:dyDescent="0.15"/>
    <row r="4793" s="69" customFormat="1" x14ac:dyDescent="0.15"/>
    <row r="4794" s="69" customFormat="1" x14ac:dyDescent="0.15"/>
    <row r="4795" s="69" customFormat="1" x14ac:dyDescent="0.15"/>
    <row r="4796" s="69" customFormat="1" x14ac:dyDescent="0.15"/>
    <row r="4797" s="69" customFormat="1" x14ac:dyDescent="0.15"/>
    <row r="4798" s="69" customFormat="1" x14ac:dyDescent="0.15"/>
    <row r="4799" s="69" customFormat="1" x14ac:dyDescent="0.15"/>
    <row r="4800" s="69" customFormat="1" x14ac:dyDescent="0.15"/>
    <row r="4801" s="69" customFormat="1" x14ac:dyDescent="0.15"/>
    <row r="4802" s="69" customFormat="1" x14ac:dyDescent="0.15"/>
    <row r="4803" s="69" customFormat="1" x14ac:dyDescent="0.15"/>
    <row r="4804" s="69" customFormat="1" x14ac:dyDescent="0.15"/>
    <row r="4805" s="69" customFormat="1" x14ac:dyDescent="0.15"/>
    <row r="4806" s="69" customFormat="1" x14ac:dyDescent="0.15"/>
    <row r="4807" s="69" customFormat="1" x14ac:dyDescent="0.15"/>
    <row r="4808" s="69" customFormat="1" x14ac:dyDescent="0.15"/>
    <row r="4809" s="69" customFormat="1" x14ac:dyDescent="0.15"/>
    <row r="4810" s="69" customFormat="1" x14ac:dyDescent="0.15"/>
    <row r="4811" s="69" customFormat="1" x14ac:dyDescent="0.15"/>
    <row r="4812" s="69" customFormat="1" x14ac:dyDescent="0.15"/>
    <row r="4813" s="69" customFormat="1" x14ac:dyDescent="0.15"/>
    <row r="4814" s="69" customFormat="1" x14ac:dyDescent="0.15"/>
    <row r="4815" s="69" customFormat="1" x14ac:dyDescent="0.15"/>
    <row r="4816" s="69" customFormat="1" x14ac:dyDescent="0.15"/>
    <row r="4817" s="69" customFormat="1" x14ac:dyDescent="0.15"/>
    <row r="4818" s="69" customFormat="1" x14ac:dyDescent="0.15"/>
    <row r="4819" s="69" customFormat="1" x14ac:dyDescent="0.15"/>
    <row r="4820" s="69" customFormat="1" x14ac:dyDescent="0.15"/>
    <row r="4821" s="69" customFormat="1" x14ac:dyDescent="0.15"/>
    <row r="4822" s="69" customFormat="1" x14ac:dyDescent="0.15"/>
    <row r="4823" s="69" customFormat="1" x14ac:dyDescent="0.15"/>
    <row r="4824" s="69" customFormat="1" x14ac:dyDescent="0.15"/>
    <row r="4825" s="69" customFormat="1" x14ac:dyDescent="0.15"/>
    <row r="4826" s="69" customFormat="1" x14ac:dyDescent="0.15"/>
    <row r="4827" s="69" customFormat="1" x14ac:dyDescent="0.15"/>
    <row r="4828" s="69" customFormat="1" x14ac:dyDescent="0.15"/>
    <row r="4829" s="69" customFormat="1" x14ac:dyDescent="0.15"/>
    <row r="4830" s="69" customFormat="1" x14ac:dyDescent="0.15"/>
    <row r="4831" s="69" customFormat="1" x14ac:dyDescent="0.15"/>
    <row r="4832" s="69" customFormat="1" x14ac:dyDescent="0.15"/>
    <row r="4833" s="69" customFormat="1" x14ac:dyDescent="0.15"/>
    <row r="4834" s="69" customFormat="1" x14ac:dyDescent="0.15"/>
    <row r="4835" s="69" customFormat="1" x14ac:dyDescent="0.15"/>
    <row r="4836" s="69" customFormat="1" x14ac:dyDescent="0.15"/>
    <row r="4837" s="69" customFormat="1" x14ac:dyDescent="0.15"/>
    <row r="4838" s="69" customFormat="1" x14ac:dyDescent="0.15"/>
    <row r="4839" s="69" customFormat="1" x14ac:dyDescent="0.15"/>
    <row r="4840" s="69" customFormat="1" x14ac:dyDescent="0.15"/>
    <row r="4841" s="69" customFormat="1" x14ac:dyDescent="0.15"/>
    <row r="4842" s="69" customFormat="1" x14ac:dyDescent="0.15"/>
    <row r="4843" s="69" customFormat="1" x14ac:dyDescent="0.15"/>
    <row r="4844" s="69" customFormat="1" x14ac:dyDescent="0.15"/>
    <row r="4845" s="69" customFormat="1" x14ac:dyDescent="0.15"/>
    <row r="4846" s="69" customFormat="1" x14ac:dyDescent="0.15"/>
    <row r="4847" s="69" customFormat="1" x14ac:dyDescent="0.15"/>
    <row r="4848" s="69" customFormat="1" x14ac:dyDescent="0.15"/>
    <row r="4849" s="69" customFormat="1" x14ac:dyDescent="0.15"/>
    <row r="4850" s="69" customFormat="1" x14ac:dyDescent="0.15"/>
    <row r="4851" s="69" customFormat="1" x14ac:dyDescent="0.15"/>
    <row r="4852" s="69" customFormat="1" x14ac:dyDescent="0.15"/>
    <row r="4853" s="69" customFormat="1" x14ac:dyDescent="0.15"/>
    <row r="4854" s="69" customFormat="1" x14ac:dyDescent="0.15"/>
    <row r="4855" s="69" customFormat="1" x14ac:dyDescent="0.15"/>
    <row r="4856" s="69" customFormat="1" x14ac:dyDescent="0.15"/>
    <row r="4857" s="69" customFormat="1" x14ac:dyDescent="0.15"/>
    <row r="4858" s="69" customFormat="1" x14ac:dyDescent="0.15"/>
    <row r="4859" s="69" customFormat="1" x14ac:dyDescent="0.15"/>
    <row r="4860" s="69" customFormat="1" x14ac:dyDescent="0.15"/>
    <row r="4861" s="69" customFormat="1" x14ac:dyDescent="0.15"/>
    <row r="4862" s="69" customFormat="1" x14ac:dyDescent="0.15"/>
    <row r="4863" s="69" customFormat="1" x14ac:dyDescent="0.15"/>
    <row r="4864" s="69" customFormat="1" x14ac:dyDescent="0.15"/>
    <row r="4865" s="69" customFormat="1" x14ac:dyDescent="0.15"/>
    <row r="4866" s="69" customFormat="1" x14ac:dyDescent="0.15"/>
    <row r="4867" s="69" customFormat="1" x14ac:dyDescent="0.15"/>
    <row r="4868" s="69" customFormat="1" x14ac:dyDescent="0.15"/>
    <row r="4869" s="69" customFormat="1" x14ac:dyDescent="0.15"/>
    <row r="4870" s="69" customFormat="1" x14ac:dyDescent="0.15"/>
    <row r="4871" s="69" customFormat="1" x14ac:dyDescent="0.15"/>
    <row r="4872" s="69" customFormat="1" x14ac:dyDescent="0.15"/>
    <row r="4873" s="69" customFormat="1" x14ac:dyDescent="0.15"/>
    <row r="4874" s="69" customFormat="1" x14ac:dyDescent="0.15"/>
    <row r="4875" s="69" customFormat="1" x14ac:dyDescent="0.15"/>
    <row r="4876" s="69" customFormat="1" x14ac:dyDescent="0.15"/>
    <row r="4877" s="69" customFormat="1" x14ac:dyDescent="0.15"/>
    <row r="4878" s="69" customFormat="1" x14ac:dyDescent="0.15"/>
    <row r="4879" s="69" customFormat="1" x14ac:dyDescent="0.15"/>
    <row r="4880" s="69" customFormat="1" x14ac:dyDescent="0.15"/>
    <row r="4881" s="69" customFormat="1" x14ac:dyDescent="0.15"/>
    <row r="4882" s="69" customFormat="1" x14ac:dyDescent="0.15"/>
    <row r="4883" s="69" customFormat="1" x14ac:dyDescent="0.15"/>
    <row r="4884" s="69" customFormat="1" x14ac:dyDescent="0.15"/>
    <row r="4885" s="69" customFormat="1" x14ac:dyDescent="0.15"/>
    <row r="4886" s="69" customFormat="1" x14ac:dyDescent="0.15"/>
    <row r="4887" s="69" customFormat="1" x14ac:dyDescent="0.15"/>
    <row r="4888" s="69" customFormat="1" x14ac:dyDescent="0.15"/>
    <row r="4889" s="69" customFormat="1" x14ac:dyDescent="0.15"/>
    <row r="4890" s="69" customFormat="1" x14ac:dyDescent="0.15"/>
    <row r="4891" s="69" customFormat="1" x14ac:dyDescent="0.15"/>
    <row r="4892" s="69" customFormat="1" x14ac:dyDescent="0.15"/>
    <row r="4893" s="69" customFormat="1" x14ac:dyDescent="0.15"/>
    <row r="4894" s="69" customFormat="1" x14ac:dyDescent="0.15"/>
    <row r="4895" s="69" customFormat="1" x14ac:dyDescent="0.15"/>
    <row r="4896" s="69" customFormat="1" x14ac:dyDescent="0.15"/>
    <row r="4897" s="69" customFormat="1" x14ac:dyDescent="0.15"/>
    <row r="4898" s="69" customFormat="1" x14ac:dyDescent="0.15"/>
    <row r="4899" s="69" customFormat="1" x14ac:dyDescent="0.15"/>
    <row r="4900" s="69" customFormat="1" x14ac:dyDescent="0.15"/>
    <row r="4901" s="69" customFormat="1" x14ac:dyDescent="0.15"/>
    <row r="4902" s="69" customFormat="1" x14ac:dyDescent="0.15"/>
    <row r="4903" s="69" customFormat="1" x14ac:dyDescent="0.15"/>
    <row r="4904" s="69" customFormat="1" x14ac:dyDescent="0.15"/>
    <row r="4905" s="69" customFormat="1" x14ac:dyDescent="0.15"/>
    <row r="4906" s="69" customFormat="1" x14ac:dyDescent="0.15"/>
    <row r="4907" s="69" customFormat="1" x14ac:dyDescent="0.15"/>
    <row r="4908" s="69" customFormat="1" x14ac:dyDescent="0.15"/>
    <row r="4909" s="69" customFormat="1" x14ac:dyDescent="0.15"/>
    <row r="4910" s="69" customFormat="1" x14ac:dyDescent="0.15"/>
    <row r="4911" s="69" customFormat="1" x14ac:dyDescent="0.15"/>
    <row r="4912" s="69" customFormat="1" x14ac:dyDescent="0.15"/>
    <row r="4913" s="69" customFormat="1" x14ac:dyDescent="0.15"/>
    <row r="4914" s="69" customFormat="1" x14ac:dyDescent="0.15"/>
    <row r="4915" s="69" customFormat="1" x14ac:dyDescent="0.15"/>
    <row r="4916" s="69" customFormat="1" x14ac:dyDescent="0.15"/>
    <row r="4917" s="69" customFormat="1" x14ac:dyDescent="0.15"/>
    <row r="4918" s="69" customFormat="1" x14ac:dyDescent="0.15"/>
    <row r="4919" s="69" customFormat="1" x14ac:dyDescent="0.15"/>
    <row r="4920" s="69" customFormat="1" x14ac:dyDescent="0.15"/>
    <row r="4921" s="69" customFormat="1" x14ac:dyDescent="0.15"/>
    <row r="4922" s="69" customFormat="1" x14ac:dyDescent="0.15"/>
    <row r="4923" s="69" customFormat="1" x14ac:dyDescent="0.15"/>
    <row r="4924" s="69" customFormat="1" x14ac:dyDescent="0.15"/>
    <row r="4925" s="69" customFormat="1" x14ac:dyDescent="0.15"/>
    <row r="4926" s="69" customFormat="1" x14ac:dyDescent="0.15"/>
    <row r="4927" s="69" customFormat="1" x14ac:dyDescent="0.15"/>
    <row r="4928" s="69" customFormat="1" x14ac:dyDescent="0.15"/>
    <row r="4929" s="69" customFormat="1" x14ac:dyDescent="0.15"/>
    <row r="4930" s="69" customFormat="1" x14ac:dyDescent="0.15"/>
    <row r="4931" s="69" customFormat="1" x14ac:dyDescent="0.15"/>
    <row r="4932" s="69" customFormat="1" x14ac:dyDescent="0.15"/>
    <row r="4933" s="69" customFormat="1" x14ac:dyDescent="0.15"/>
    <row r="4934" s="69" customFormat="1" x14ac:dyDescent="0.15"/>
    <row r="4935" s="69" customFormat="1" x14ac:dyDescent="0.15"/>
    <row r="4936" s="69" customFormat="1" x14ac:dyDescent="0.15"/>
    <row r="4937" s="69" customFormat="1" x14ac:dyDescent="0.15"/>
    <row r="4938" s="69" customFormat="1" x14ac:dyDescent="0.15"/>
    <row r="4939" s="69" customFormat="1" x14ac:dyDescent="0.15"/>
    <row r="4940" s="69" customFormat="1" x14ac:dyDescent="0.15"/>
    <row r="4941" s="69" customFormat="1" x14ac:dyDescent="0.15"/>
    <row r="4942" s="69" customFormat="1" x14ac:dyDescent="0.15"/>
    <row r="4943" s="69" customFormat="1" x14ac:dyDescent="0.15"/>
    <row r="4944" s="69" customFormat="1" x14ac:dyDescent="0.15"/>
    <row r="4945" s="69" customFormat="1" x14ac:dyDescent="0.15"/>
    <row r="4946" s="69" customFormat="1" x14ac:dyDescent="0.15"/>
    <row r="4947" s="69" customFormat="1" x14ac:dyDescent="0.15"/>
    <row r="4948" s="69" customFormat="1" x14ac:dyDescent="0.15"/>
    <row r="4949" s="69" customFormat="1" x14ac:dyDescent="0.15"/>
    <row r="4950" s="69" customFormat="1" x14ac:dyDescent="0.15"/>
    <row r="4951" s="69" customFormat="1" x14ac:dyDescent="0.15"/>
    <row r="4952" s="69" customFormat="1" x14ac:dyDescent="0.15"/>
    <row r="4953" s="69" customFormat="1" x14ac:dyDescent="0.15"/>
    <row r="4954" s="69" customFormat="1" x14ac:dyDescent="0.15"/>
    <row r="4955" s="69" customFormat="1" x14ac:dyDescent="0.15"/>
    <row r="4956" s="69" customFormat="1" x14ac:dyDescent="0.15"/>
    <row r="4957" s="69" customFormat="1" x14ac:dyDescent="0.15"/>
    <row r="4958" s="69" customFormat="1" x14ac:dyDescent="0.15"/>
    <row r="4959" s="69" customFormat="1" x14ac:dyDescent="0.15"/>
    <row r="4960" s="69" customFormat="1" x14ac:dyDescent="0.15"/>
    <row r="4961" s="69" customFormat="1" x14ac:dyDescent="0.15"/>
    <row r="4962" s="69" customFormat="1" x14ac:dyDescent="0.15"/>
    <row r="4963" s="69" customFormat="1" x14ac:dyDescent="0.15"/>
    <row r="4964" s="69" customFormat="1" x14ac:dyDescent="0.15"/>
    <row r="4965" s="69" customFormat="1" x14ac:dyDescent="0.15"/>
    <row r="4966" s="69" customFormat="1" x14ac:dyDescent="0.15"/>
    <row r="4967" s="69" customFormat="1" x14ac:dyDescent="0.15"/>
    <row r="4968" s="69" customFormat="1" x14ac:dyDescent="0.15"/>
    <row r="4969" s="69" customFormat="1" x14ac:dyDescent="0.15"/>
    <row r="4970" s="69" customFormat="1" x14ac:dyDescent="0.15"/>
    <row r="4971" s="69" customFormat="1" x14ac:dyDescent="0.15"/>
    <row r="4972" s="69" customFormat="1" x14ac:dyDescent="0.15"/>
    <row r="4973" s="69" customFormat="1" x14ac:dyDescent="0.15"/>
    <row r="4974" s="69" customFormat="1" x14ac:dyDescent="0.15"/>
    <row r="4975" s="69" customFormat="1" x14ac:dyDescent="0.15"/>
    <row r="4976" s="69" customFormat="1" x14ac:dyDescent="0.15"/>
    <row r="4977" s="69" customFormat="1" x14ac:dyDescent="0.15"/>
    <row r="4978" s="69" customFormat="1" x14ac:dyDescent="0.15"/>
    <row r="4979" s="69" customFormat="1" x14ac:dyDescent="0.15"/>
    <row r="4980" s="69" customFormat="1" x14ac:dyDescent="0.15"/>
    <row r="4981" s="69" customFormat="1" x14ac:dyDescent="0.15"/>
    <row r="4982" s="69" customFormat="1" x14ac:dyDescent="0.15"/>
    <row r="4983" s="69" customFormat="1" x14ac:dyDescent="0.15"/>
    <row r="4984" s="69" customFormat="1" x14ac:dyDescent="0.15"/>
    <row r="4985" s="69" customFormat="1" x14ac:dyDescent="0.15"/>
    <row r="4986" s="69" customFormat="1" x14ac:dyDescent="0.15"/>
    <row r="4987" s="69" customFormat="1" x14ac:dyDescent="0.15"/>
    <row r="4988" s="69" customFormat="1" x14ac:dyDescent="0.15"/>
    <row r="4989" s="69" customFormat="1" x14ac:dyDescent="0.15"/>
    <row r="4990" s="69" customFormat="1" x14ac:dyDescent="0.15"/>
    <row r="4991" s="69" customFormat="1" x14ac:dyDescent="0.15"/>
    <row r="4992" s="69" customFormat="1" x14ac:dyDescent="0.15"/>
    <row r="4993" s="69" customFormat="1" x14ac:dyDescent="0.15"/>
    <row r="4994" s="69" customFormat="1" x14ac:dyDescent="0.15"/>
    <row r="4995" s="69" customFormat="1" x14ac:dyDescent="0.15"/>
    <row r="4996" s="69" customFormat="1" x14ac:dyDescent="0.15"/>
    <row r="4997" s="69" customFormat="1" x14ac:dyDescent="0.15"/>
    <row r="4998" s="69" customFormat="1" x14ac:dyDescent="0.15"/>
    <row r="4999" s="69" customFormat="1" x14ac:dyDescent="0.15"/>
    <row r="5000" s="69" customFormat="1" x14ac:dyDescent="0.15"/>
    <row r="5001" s="69" customFormat="1" x14ac:dyDescent="0.15"/>
    <row r="5002" s="69" customFormat="1" x14ac:dyDescent="0.15"/>
    <row r="5003" s="69" customFormat="1" x14ac:dyDescent="0.15"/>
    <row r="5004" s="69" customFormat="1" x14ac:dyDescent="0.15"/>
    <row r="5005" s="69" customFormat="1" x14ac:dyDescent="0.15"/>
    <row r="5006" s="69" customFormat="1" x14ac:dyDescent="0.15"/>
    <row r="5007" s="69" customFormat="1" x14ac:dyDescent="0.15"/>
    <row r="5008" s="69" customFormat="1" x14ac:dyDescent="0.15"/>
    <row r="5009" s="69" customFormat="1" x14ac:dyDescent="0.15"/>
    <row r="5010" s="69" customFormat="1" x14ac:dyDescent="0.15"/>
    <row r="5011" s="69" customFormat="1" x14ac:dyDescent="0.15"/>
    <row r="5012" s="69" customFormat="1" x14ac:dyDescent="0.15"/>
    <row r="5013" s="69" customFormat="1" x14ac:dyDescent="0.15"/>
    <row r="5014" s="69" customFormat="1" x14ac:dyDescent="0.15"/>
    <row r="5015" s="69" customFormat="1" x14ac:dyDescent="0.15"/>
    <row r="5016" s="69" customFormat="1" x14ac:dyDescent="0.15"/>
    <row r="5017" s="69" customFormat="1" x14ac:dyDescent="0.15"/>
    <row r="5018" s="69" customFormat="1" x14ac:dyDescent="0.15"/>
    <row r="5019" s="69" customFormat="1" x14ac:dyDescent="0.15"/>
    <row r="5020" s="69" customFormat="1" x14ac:dyDescent="0.15"/>
    <row r="5021" s="69" customFormat="1" x14ac:dyDescent="0.15"/>
    <row r="5022" s="69" customFormat="1" x14ac:dyDescent="0.15"/>
    <row r="5023" s="69" customFormat="1" x14ac:dyDescent="0.15"/>
    <row r="5024" s="69" customFormat="1" x14ac:dyDescent="0.15"/>
    <row r="5025" s="69" customFormat="1" x14ac:dyDescent="0.15"/>
    <row r="5026" s="69" customFormat="1" x14ac:dyDescent="0.15"/>
    <row r="5027" s="69" customFormat="1" x14ac:dyDescent="0.15"/>
    <row r="5028" s="69" customFormat="1" x14ac:dyDescent="0.15"/>
    <row r="5029" s="69" customFormat="1" x14ac:dyDescent="0.15"/>
    <row r="5030" s="69" customFormat="1" x14ac:dyDescent="0.15"/>
    <row r="5031" s="69" customFormat="1" x14ac:dyDescent="0.15"/>
    <row r="5032" s="69" customFormat="1" x14ac:dyDescent="0.15"/>
    <row r="5033" s="69" customFormat="1" x14ac:dyDescent="0.15"/>
    <row r="5034" s="69" customFormat="1" x14ac:dyDescent="0.15"/>
    <row r="5035" s="69" customFormat="1" x14ac:dyDescent="0.15"/>
    <row r="5036" s="69" customFormat="1" x14ac:dyDescent="0.15"/>
    <row r="5037" s="69" customFormat="1" x14ac:dyDescent="0.15"/>
    <row r="5038" s="69" customFormat="1" x14ac:dyDescent="0.15"/>
    <row r="5039" s="69" customFormat="1" x14ac:dyDescent="0.15"/>
    <row r="5040" s="69" customFormat="1" x14ac:dyDescent="0.15"/>
    <row r="5041" s="69" customFormat="1" x14ac:dyDescent="0.15"/>
    <row r="5042" s="69" customFormat="1" x14ac:dyDescent="0.15"/>
    <row r="5043" s="69" customFormat="1" x14ac:dyDescent="0.15"/>
    <row r="5044" s="69" customFormat="1" x14ac:dyDescent="0.15"/>
    <row r="5045" s="69" customFormat="1" x14ac:dyDescent="0.15"/>
    <row r="5046" s="69" customFormat="1" x14ac:dyDescent="0.15"/>
    <row r="5047" s="69" customFormat="1" x14ac:dyDescent="0.15"/>
    <row r="5048" s="69" customFormat="1" x14ac:dyDescent="0.15"/>
    <row r="5049" s="69" customFormat="1" x14ac:dyDescent="0.15"/>
    <row r="5050" s="69" customFormat="1" x14ac:dyDescent="0.15"/>
    <row r="5051" s="69" customFormat="1" x14ac:dyDescent="0.15"/>
    <row r="5052" s="69" customFormat="1" x14ac:dyDescent="0.15"/>
    <row r="5053" s="69" customFormat="1" x14ac:dyDescent="0.15"/>
    <row r="5054" s="69" customFormat="1" x14ac:dyDescent="0.15"/>
    <row r="5055" s="69" customFormat="1" x14ac:dyDescent="0.15"/>
    <row r="5056" s="69" customFormat="1" x14ac:dyDescent="0.15"/>
    <row r="5057" s="69" customFormat="1" x14ac:dyDescent="0.15"/>
    <row r="5058" s="69" customFormat="1" x14ac:dyDescent="0.15"/>
    <row r="5059" s="69" customFormat="1" x14ac:dyDescent="0.15"/>
    <row r="5060" s="69" customFormat="1" x14ac:dyDescent="0.15"/>
    <row r="5061" s="69" customFormat="1" x14ac:dyDescent="0.15"/>
    <row r="5062" s="69" customFormat="1" x14ac:dyDescent="0.15"/>
    <row r="5063" s="69" customFormat="1" x14ac:dyDescent="0.15"/>
    <row r="5064" s="69" customFormat="1" x14ac:dyDescent="0.15"/>
    <row r="5065" s="69" customFormat="1" x14ac:dyDescent="0.15"/>
    <row r="5066" s="69" customFormat="1" x14ac:dyDescent="0.15"/>
    <row r="5067" s="69" customFormat="1" x14ac:dyDescent="0.15"/>
    <row r="5068" s="69" customFormat="1" x14ac:dyDescent="0.15"/>
    <row r="5069" s="69" customFormat="1" x14ac:dyDescent="0.15"/>
    <row r="5070" s="69" customFormat="1" x14ac:dyDescent="0.15"/>
    <row r="5071" s="69" customFormat="1" x14ac:dyDescent="0.15"/>
    <row r="5072" s="69" customFormat="1" x14ac:dyDescent="0.15"/>
    <row r="5073" s="69" customFormat="1" x14ac:dyDescent="0.15"/>
    <row r="5074" s="69" customFormat="1" x14ac:dyDescent="0.15"/>
    <row r="5075" s="69" customFormat="1" x14ac:dyDescent="0.15"/>
    <row r="5076" s="69" customFormat="1" x14ac:dyDescent="0.15"/>
    <row r="5077" s="69" customFormat="1" x14ac:dyDescent="0.15"/>
    <row r="5078" s="69" customFormat="1" x14ac:dyDescent="0.15"/>
    <row r="5079" s="69" customFormat="1" x14ac:dyDescent="0.15"/>
    <row r="5080" s="69" customFormat="1" x14ac:dyDescent="0.15"/>
    <row r="5081" s="69" customFormat="1" x14ac:dyDescent="0.15"/>
    <row r="5082" s="69" customFormat="1" x14ac:dyDescent="0.15"/>
    <row r="5083" s="69" customFormat="1" x14ac:dyDescent="0.15"/>
    <row r="5084" s="69" customFormat="1" x14ac:dyDescent="0.15"/>
    <row r="5085" s="69" customFormat="1" x14ac:dyDescent="0.15"/>
    <row r="5086" s="69" customFormat="1" x14ac:dyDescent="0.15"/>
    <row r="5087" s="69" customFormat="1" x14ac:dyDescent="0.15"/>
    <row r="5088" s="69" customFormat="1" x14ac:dyDescent="0.15"/>
    <row r="5089" s="69" customFormat="1" x14ac:dyDescent="0.15"/>
    <row r="5090" s="69" customFormat="1" x14ac:dyDescent="0.15"/>
    <row r="5091" s="69" customFormat="1" x14ac:dyDescent="0.15"/>
    <row r="5092" s="69" customFormat="1" x14ac:dyDescent="0.15"/>
    <row r="5093" s="69" customFormat="1" x14ac:dyDescent="0.15"/>
    <row r="5094" s="69" customFormat="1" x14ac:dyDescent="0.15"/>
    <row r="5095" s="69" customFormat="1" x14ac:dyDescent="0.15"/>
    <row r="5096" s="69" customFormat="1" x14ac:dyDescent="0.15"/>
    <row r="5097" s="69" customFormat="1" x14ac:dyDescent="0.15"/>
    <row r="5098" s="69" customFormat="1" x14ac:dyDescent="0.15"/>
    <row r="5099" s="69" customFormat="1" x14ac:dyDescent="0.15"/>
    <row r="5100" s="69" customFormat="1" x14ac:dyDescent="0.15"/>
    <row r="5101" s="69" customFormat="1" x14ac:dyDescent="0.15"/>
    <row r="5102" s="69" customFormat="1" x14ac:dyDescent="0.15"/>
    <row r="5103" s="69" customFormat="1" x14ac:dyDescent="0.15"/>
    <row r="5104" s="69" customFormat="1" x14ac:dyDescent="0.15"/>
    <row r="5105" s="69" customFormat="1" x14ac:dyDescent="0.15"/>
    <row r="5106" s="69" customFormat="1" x14ac:dyDescent="0.15"/>
    <row r="5107" s="69" customFormat="1" x14ac:dyDescent="0.15"/>
    <row r="5108" s="69" customFormat="1" x14ac:dyDescent="0.15"/>
    <row r="5109" s="69" customFormat="1" x14ac:dyDescent="0.15"/>
    <row r="5110" s="69" customFormat="1" x14ac:dyDescent="0.15"/>
    <row r="5111" s="69" customFormat="1" x14ac:dyDescent="0.15"/>
    <row r="5112" s="69" customFormat="1" x14ac:dyDescent="0.15"/>
    <row r="5113" s="69" customFormat="1" x14ac:dyDescent="0.15"/>
    <row r="5114" s="69" customFormat="1" x14ac:dyDescent="0.15"/>
    <row r="5115" s="69" customFormat="1" x14ac:dyDescent="0.15"/>
    <row r="5116" s="69" customFormat="1" x14ac:dyDescent="0.15"/>
    <row r="5117" s="69" customFormat="1" x14ac:dyDescent="0.15"/>
    <row r="5118" s="69" customFormat="1" x14ac:dyDescent="0.15"/>
    <row r="5119" s="69" customFormat="1" x14ac:dyDescent="0.15"/>
    <row r="5120" s="69" customFormat="1" x14ac:dyDescent="0.15"/>
    <row r="5121" s="69" customFormat="1" x14ac:dyDescent="0.15"/>
    <row r="5122" s="69" customFormat="1" x14ac:dyDescent="0.15"/>
    <row r="5123" s="69" customFormat="1" x14ac:dyDescent="0.15"/>
    <row r="5124" s="69" customFormat="1" x14ac:dyDescent="0.15"/>
    <row r="5125" s="69" customFormat="1" x14ac:dyDescent="0.15"/>
    <row r="5126" s="69" customFormat="1" x14ac:dyDescent="0.15"/>
    <row r="5127" s="69" customFormat="1" x14ac:dyDescent="0.15"/>
    <row r="5128" s="69" customFormat="1" x14ac:dyDescent="0.15"/>
    <row r="5129" s="69" customFormat="1" x14ac:dyDescent="0.15"/>
    <row r="5130" s="69" customFormat="1" x14ac:dyDescent="0.15"/>
    <row r="5131" s="69" customFormat="1" x14ac:dyDescent="0.15"/>
    <row r="5132" s="69" customFormat="1" x14ac:dyDescent="0.15"/>
    <row r="5133" s="69" customFormat="1" x14ac:dyDescent="0.15"/>
    <row r="5134" s="69" customFormat="1" x14ac:dyDescent="0.15"/>
    <row r="5135" s="69" customFormat="1" x14ac:dyDescent="0.15"/>
    <row r="5136" s="69" customFormat="1" x14ac:dyDescent="0.15"/>
    <row r="5137" s="69" customFormat="1" x14ac:dyDescent="0.15"/>
    <row r="5138" s="69" customFormat="1" x14ac:dyDescent="0.15"/>
    <row r="5139" s="69" customFormat="1" x14ac:dyDescent="0.15"/>
    <row r="5140" s="69" customFormat="1" x14ac:dyDescent="0.15"/>
    <row r="5141" s="69" customFormat="1" x14ac:dyDescent="0.15"/>
    <row r="5142" s="69" customFormat="1" x14ac:dyDescent="0.15"/>
    <row r="5143" s="69" customFormat="1" x14ac:dyDescent="0.15"/>
    <row r="5144" s="69" customFormat="1" x14ac:dyDescent="0.15"/>
    <row r="5145" s="69" customFormat="1" x14ac:dyDescent="0.15"/>
    <row r="5146" s="69" customFormat="1" x14ac:dyDescent="0.15"/>
    <row r="5147" s="69" customFormat="1" x14ac:dyDescent="0.15"/>
    <row r="5148" s="69" customFormat="1" x14ac:dyDescent="0.15"/>
    <row r="5149" s="69" customFormat="1" x14ac:dyDescent="0.15"/>
    <row r="5150" s="69" customFormat="1" x14ac:dyDescent="0.15"/>
    <row r="5151" s="69" customFormat="1" x14ac:dyDescent="0.15"/>
    <row r="5152" s="69" customFormat="1" x14ac:dyDescent="0.15"/>
    <row r="5153" s="69" customFormat="1" x14ac:dyDescent="0.15"/>
    <row r="5154" s="69" customFormat="1" x14ac:dyDescent="0.15"/>
    <row r="5155" s="69" customFormat="1" x14ac:dyDescent="0.15"/>
    <row r="5156" s="69" customFormat="1" x14ac:dyDescent="0.15"/>
    <row r="5157" s="69" customFormat="1" x14ac:dyDescent="0.15"/>
    <row r="5158" s="69" customFormat="1" x14ac:dyDescent="0.15"/>
    <row r="5159" s="69" customFormat="1" x14ac:dyDescent="0.15"/>
    <row r="5160" s="69" customFormat="1" x14ac:dyDescent="0.15"/>
    <row r="5161" s="69" customFormat="1" x14ac:dyDescent="0.15"/>
    <row r="5162" s="69" customFormat="1" x14ac:dyDescent="0.15"/>
    <row r="5163" s="69" customFormat="1" x14ac:dyDescent="0.15"/>
    <row r="5164" s="69" customFormat="1" x14ac:dyDescent="0.15"/>
    <row r="5165" s="69" customFormat="1" x14ac:dyDescent="0.15"/>
    <row r="5166" s="69" customFormat="1" x14ac:dyDescent="0.15"/>
    <row r="5167" s="69" customFormat="1" x14ac:dyDescent="0.15"/>
    <row r="5168" s="69" customFormat="1" x14ac:dyDescent="0.15"/>
    <row r="5169" s="69" customFormat="1" x14ac:dyDescent="0.15"/>
    <row r="5170" s="69" customFormat="1" x14ac:dyDescent="0.15"/>
    <row r="5171" s="69" customFormat="1" x14ac:dyDescent="0.15"/>
    <row r="5172" s="69" customFormat="1" x14ac:dyDescent="0.15"/>
    <row r="5173" s="69" customFormat="1" x14ac:dyDescent="0.15"/>
    <row r="5174" s="69" customFormat="1" x14ac:dyDescent="0.15"/>
    <row r="5175" s="69" customFormat="1" x14ac:dyDescent="0.15"/>
    <row r="5176" s="69" customFormat="1" x14ac:dyDescent="0.15"/>
    <row r="5177" s="69" customFormat="1" x14ac:dyDescent="0.15"/>
    <row r="5178" s="69" customFormat="1" x14ac:dyDescent="0.15"/>
    <row r="5179" s="69" customFormat="1" x14ac:dyDescent="0.15"/>
    <row r="5180" s="69" customFormat="1" x14ac:dyDescent="0.15"/>
    <row r="5181" s="69" customFormat="1" x14ac:dyDescent="0.15"/>
    <row r="5182" s="69" customFormat="1" x14ac:dyDescent="0.15"/>
    <row r="5183" s="69" customFormat="1" x14ac:dyDescent="0.15"/>
    <row r="5184" s="69" customFormat="1" x14ac:dyDescent="0.15"/>
    <row r="5185" s="69" customFormat="1" x14ac:dyDescent="0.15"/>
    <row r="5186" s="69" customFormat="1" x14ac:dyDescent="0.15"/>
    <row r="5187" s="69" customFormat="1" x14ac:dyDescent="0.15"/>
    <row r="5188" s="69" customFormat="1" x14ac:dyDescent="0.15"/>
    <row r="5189" s="69" customFormat="1" x14ac:dyDescent="0.15"/>
    <row r="5190" s="69" customFormat="1" x14ac:dyDescent="0.15"/>
    <row r="5191" s="69" customFormat="1" x14ac:dyDescent="0.15"/>
    <row r="5192" s="69" customFormat="1" x14ac:dyDescent="0.15"/>
    <row r="5193" s="69" customFormat="1" x14ac:dyDescent="0.15"/>
    <row r="5194" s="69" customFormat="1" x14ac:dyDescent="0.15"/>
    <row r="5195" s="69" customFormat="1" x14ac:dyDescent="0.15"/>
    <row r="5196" s="69" customFormat="1" x14ac:dyDescent="0.15"/>
    <row r="5197" s="69" customFormat="1" x14ac:dyDescent="0.15"/>
    <row r="5198" s="69" customFormat="1" x14ac:dyDescent="0.15"/>
    <row r="5199" s="69" customFormat="1" x14ac:dyDescent="0.15"/>
    <row r="5200" s="69" customFormat="1" x14ac:dyDescent="0.15"/>
    <row r="5201" s="69" customFormat="1" x14ac:dyDescent="0.15"/>
    <row r="5202" s="69" customFormat="1" x14ac:dyDescent="0.15"/>
    <row r="5203" s="69" customFormat="1" x14ac:dyDescent="0.15"/>
    <row r="5204" s="69" customFormat="1" x14ac:dyDescent="0.15"/>
    <row r="5205" s="69" customFormat="1" x14ac:dyDescent="0.15"/>
    <row r="5206" s="69" customFormat="1" x14ac:dyDescent="0.15"/>
    <row r="5207" s="69" customFormat="1" x14ac:dyDescent="0.15"/>
    <row r="5208" s="69" customFormat="1" x14ac:dyDescent="0.15"/>
    <row r="5209" s="69" customFormat="1" x14ac:dyDescent="0.15"/>
    <row r="5210" s="69" customFormat="1" x14ac:dyDescent="0.15"/>
    <row r="5211" s="69" customFormat="1" x14ac:dyDescent="0.15"/>
    <row r="5212" s="69" customFormat="1" x14ac:dyDescent="0.15"/>
    <row r="5213" s="69" customFormat="1" x14ac:dyDescent="0.15"/>
    <row r="5214" s="69" customFormat="1" x14ac:dyDescent="0.15"/>
    <row r="5215" s="69" customFormat="1" x14ac:dyDescent="0.15"/>
    <row r="5216" s="69" customFormat="1" x14ac:dyDescent="0.15"/>
    <row r="5217" s="69" customFormat="1" x14ac:dyDescent="0.15"/>
    <row r="5218" s="69" customFormat="1" x14ac:dyDescent="0.15"/>
    <row r="5219" s="69" customFormat="1" x14ac:dyDescent="0.15"/>
    <row r="5220" s="69" customFormat="1" x14ac:dyDescent="0.15"/>
    <row r="5221" s="69" customFormat="1" x14ac:dyDescent="0.15"/>
    <row r="5222" s="69" customFormat="1" x14ac:dyDescent="0.15"/>
    <row r="5223" s="69" customFormat="1" x14ac:dyDescent="0.15"/>
    <row r="5224" s="69" customFormat="1" x14ac:dyDescent="0.15"/>
    <row r="5225" s="69" customFormat="1" x14ac:dyDescent="0.15"/>
    <row r="5226" s="69" customFormat="1" x14ac:dyDescent="0.15"/>
    <row r="5227" s="69" customFormat="1" x14ac:dyDescent="0.15"/>
    <row r="5228" s="69" customFormat="1" x14ac:dyDescent="0.15"/>
    <row r="5229" s="69" customFormat="1" x14ac:dyDescent="0.15"/>
    <row r="5230" s="69" customFormat="1" x14ac:dyDescent="0.15"/>
    <row r="5231" s="69" customFormat="1" x14ac:dyDescent="0.15"/>
    <row r="5232" s="69" customFormat="1" x14ac:dyDescent="0.15"/>
    <row r="5233" s="69" customFormat="1" x14ac:dyDescent="0.15"/>
    <row r="5234" s="69" customFormat="1" x14ac:dyDescent="0.15"/>
    <row r="5235" s="69" customFormat="1" x14ac:dyDescent="0.15"/>
    <row r="5236" s="69" customFormat="1" x14ac:dyDescent="0.15"/>
    <row r="5237" s="69" customFormat="1" x14ac:dyDescent="0.15"/>
    <row r="5238" s="69" customFormat="1" x14ac:dyDescent="0.15"/>
    <row r="5239" s="69" customFormat="1" x14ac:dyDescent="0.15"/>
    <row r="5240" s="69" customFormat="1" x14ac:dyDescent="0.15"/>
    <row r="5241" s="69" customFormat="1" x14ac:dyDescent="0.15"/>
    <row r="5242" s="69" customFormat="1" x14ac:dyDescent="0.15"/>
    <row r="5243" s="69" customFormat="1" x14ac:dyDescent="0.15"/>
    <row r="5244" s="69" customFormat="1" x14ac:dyDescent="0.15"/>
    <row r="5245" s="69" customFormat="1" x14ac:dyDescent="0.15"/>
    <row r="5246" s="69" customFormat="1" x14ac:dyDescent="0.15"/>
    <row r="5247" s="69" customFormat="1" x14ac:dyDescent="0.15"/>
    <row r="5248" s="69" customFormat="1" x14ac:dyDescent="0.15"/>
    <row r="5249" s="69" customFormat="1" x14ac:dyDescent="0.15"/>
    <row r="5250" s="69" customFormat="1" x14ac:dyDescent="0.15"/>
    <row r="5251" s="69" customFormat="1" x14ac:dyDescent="0.15"/>
    <row r="5252" s="69" customFormat="1" x14ac:dyDescent="0.15"/>
    <row r="5253" s="69" customFormat="1" x14ac:dyDescent="0.15"/>
    <row r="5254" s="69" customFormat="1" x14ac:dyDescent="0.15"/>
    <row r="5255" s="69" customFormat="1" x14ac:dyDescent="0.15"/>
    <row r="5256" s="69" customFormat="1" x14ac:dyDescent="0.15"/>
    <row r="5257" s="69" customFormat="1" x14ac:dyDescent="0.15"/>
    <row r="5258" s="69" customFormat="1" x14ac:dyDescent="0.15"/>
    <row r="5259" s="69" customFormat="1" x14ac:dyDescent="0.15"/>
    <row r="5260" s="69" customFormat="1" x14ac:dyDescent="0.15"/>
    <row r="5261" s="69" customFormat="1" x14ac:dyDescent="0.15"/>
    <row r="5262" s="69" customFormat="1" x14ac:dyDescent="0.15"/>
    <row r="5263" s="69" customFormat="1" x14ac:dyDescent="0.15"/>
    <row r="5264" s="69" customFormat="1" x14ac:dyDescent="0.15"/>
    <row r="5265" s="69" customFormat="1" x14ac:dyDescent="0.15"/>
    <row r="5266" s="69" customFormat="1" x14ac:dyDescent="0.15"/>
    <row r="5267" s="69" customFormat="1" x14ac:dyDescent="0.15"/>
    <row r="5268" s="69" customFormat="1" x14ac:dyDescent="0.15"/>
    <row r="5269" s="69" customFormat="1" x14ac:dyDescent="0.15"/>
    <row r="5270" s="69" customFormat="1" x14ac:dyDescent="0.15"/>
    <row r="5271" s="69" customFormat="1" x14ac:dyDescent="0.15"/>
    <row r="5272" s="69" customFormat="1" x14ac:dyDescent="0.15"/>
    <row r="5273" s="69" customFormat="1" x14ac:dyDescent="0.15"/>
    <row r="5274" s="69" customFormat="1" x14ac:dyDescent="0.15"/>
    <row r="5275" s="69" customFormat="1" x14ac:dyDescent="0.15"/>
    <row r="5276" s="69" customFormat="1" x14ac:dyDescent="0.15"/>
    <row r="5277" s="69" customFormat="1" x14ac:dyDescent="0.15"/>
    <row r="5278" s="69" customFormat="1" x14ac:dyDescent="0.15"/>
    <row r="5279" s="69" customFormat="1" x14ac:dyDescent="0.15"/>
    <row r="5280" s="69" customFormat="1" x14ac:dyDescent="0.15"/>
    <row r="5281" s="69" customFormat="1" x14ac:dyDescent="0.15"/>
    <row r="5282" s="69" customFormat="1" x14ac:dyDescent="0.15"/>
    <row r="5283" s="69" customFormat="1" x14ac:dyDescent="0.15"/>
    <row r="5284" s="69" customFormat="1" x14ac:dyDescent="0.15"/>
    <row r="5285" s="69" customFormat="1" x14ac:dyDescent="0.15"/>
    <row r="5286" s="69" customFormat="1" x14ac:dyDescent="0.15"/>
    <row r="5287" s="69" customFormat="1" x14ac:dyDescent="0.15"/>
    <row r="5288" s="69" customFormat="1" x14ac:dyDescent="0.15"/>
    <row r="5289" s="69" customFormat="1" x14ac:dyDescent="0.15"/>
    <row r="5290" s="69" customFormat="1" x14ac:dyDescent="0.15"/>
    <row r="5291" s="69" customFormat="1" x14ac:dyDescent="0.15"/>
    <row r="5292" s="69" customFormat="1" x14ac:dyDescent="0.15"/>
    <row r="5293" s="69" customFormat="1" x14ac:dyDescent="0.15"/>
    <row r="5294" s="69" customFormat="1" x14ac:dyDescent="0.15"/>
    <row r="5295" s="69" customFormat="1" x14ac:dyDescent="0.15"/>
    <row r="5296" s="69" customFormat="1" x14ac:dyDescent="0.15"/>
    <row r="5297" s="69" customFormat="1" x14ac:dyDescent="0.15"/>
    <row r="5298" s="69" customFormat="1" x14ac:dyDescent="0.15"/>
    <row r="5299" s="69" customFormat="1" x14ac:dyDescent="0.15"/>
    <row r="5300" s="69" customFormat="1" x14ac:dyDescent="0.15"/>
    <row r="5301" s="69" customFormat="1" x14ac:dyDescent="0.15"/>
    <row r="5302" s="69" customFormat="1" x14ac:dyDescent="0.15"/>
    <row r="5303" s="69" customFormat="1" x14ac:dyDescent="0.15"/>
    <row r="5304" s="69" customFormat="1" x14ac:dyDescent="0.15"/>
    <row r="5305" s="69" customFormat="1" x14ac:dyDescent="0.15"/>
    <row r="5306" s="69" customFormat="1" x14ac:dyDescent="0.15"/>
    <row r="5307" s="69" customFormat="1" x14ac:dyDescent="0.15"/>
    <row r="5308" s="69" customFormat="1" x14ac:dyDescent="0.15"/>
    <row r="5309" s="69" customFormat="1" x14ac:dyDescent="0.15"/>
    <row r="5310" s="69" customFormat="1" x14ac:dyDescent="0.15"/>
    <row r="5311" s="69" customFormat="1" x14ac:dyDescent="0.15"/>
    <row r="5312" s="69" customFormat="1" x14ac:dyDescent="0.15"/>
    <row r="5313" s="69" customFormat="1" x14ac:dyDescent="0.15"/>
    <row r="5314" s="69" customFormat="1" x14ac:dyDescent="0.15"/>
    <row r="5315" s="69" customFormat="1" x14ac:dyDescent="0.15"/>
    <row r="5316" s="69" customFormat="1" x14ac:dyDescent="0.15"/>
    <row r="5317" s="69" customFormat="1" x14ac:dyDescent="0.15"/>
    <row r="5318" s="69" customFormat="1" x14ac:dyDescent="0.15"/>
    <row r="5319" s="69" customFormat="1" x14ac:dyDescent="0.15"/>
    <row r="5320" s="69" customFormat="1" x14ac:dyDescent="0.15"/>
    <row r="5321" s="69" customFormat="1" x14ac:dyDescent="0.15"/>
    <row r="5322" s="69" customFormat="1" x14ac:dyDescent="0.15"/>
    <row r="5323" s="69" customFormat="1" x14ac:dyDescent="0.15"/>
    <row r="5324" s="69" customFormat="1" x14ac:dyDescent="0.15"/>
    <row r="5325" s="69" customFormat="1" x14ac:dyDescent="0.15"/>
    <row r="5326" s="69" customFormat="1" x14ac:dyDescent="0.15"/>
    <row r="5327" s="69" customFormat="1" x14ac:dyDescent="0.15"/>
    <row r="5328" s="69" customFormat="1" x14ac:dyDescent="0.15"/>
    <row r="5329" s="69" customFormat="1" x14ac:dyDescent="0.15"/>
    <row r="5330" s="69" customFormat="1" x14ac:dyDescent="0.15"/>
    <row r="5331" s="69" customFormat="1" x14ac:dyDescent="0.15"/>
    <row r="5332" s="69" customFormat="1" x14ac:dyDescent="0.15"/>
    <row r="5333" s="69" customFormat="1" x14ac:dyDescent="0.15"/>
    <row r="5334" s="69" customFormat="1" x14ac:dyDescent="0.15"/>
    <row r="5335" s="69" customFormat="1" x14ac:dyDescent="0.15"/>
    <row r="5336" s="69" customFormat="1" x14ac:dyDescent="0.15"/>
    <row r="5337" s="69" customFormat="1" x14ac:dyDescent="0.15"/>
    <row r="5338" s="69" customFormat="1" x14ac:dyDescent="0.15"/>
    <row r="5339" s="69" customFormat="1" x14ac:dyDescent="0.15"/>
    <row r="5340" s="69" customFormat="1" x14ac:dyDescent="0.15"/>
    <row r="5341" s="69" customFormat="1" x14ac:dyDescent="0.15"/>
    <row r="5342" s="69" customFormat="1" x14ac:dyDescent="0.15"/>
    <row r="5343" s="69" customFormat="1" x14ac:dyDescent="0.15"/>
    <row r="5344" s="69" customFormat="1" x14ac:dyDescent="0.15"/>
    <row r="5345" s="69" customFormat="1" x14ac:dyDescent="0.15"/>
    <row r="5346" s="69" customFormat="1" x14ac:dyDescent="0.15"/>
    <row r="5347" s="69" customFormat="1" x14ac:dyDescent="0.15"/>
    <row r="5348" s="69" customFormat="1" x14ac:dyDescent="0.15"/>
    <row r="5349" s="69" customFormat="1" x14ac:dyDescent="0.15"/>
    <row r="5350" s="69" customFormat="1" x14ac:dyDescent="0.15"/>
    <row r="5351" s="69" customFormat="1" x14ac:dyDescent="0.15"/>
    <row r="5352" s="69" customFormat="1" x14ac:dyDescent="0.15"/>
    <row r="5353" s="69" customFormat="1" x14ac:dyDescent="0.15"/>
    <row r="5354" s="69" customFormat="1" x14ac:dyDescent="0.15"/>
    <row r="5355" s="69" customFormat="1" x14ac:dyDescent="0.15"/>
    <row r="5356" s="69" customFormat="1" x14ac:dyDescent="0.15"/>
    <row r="5357" s="69" customFormat="1" x14ac:dyDescent="0.15"/>
    <row r="5358" s="69" customFormat="1" x14ac:dyDescent="0.15"/>
    <row r="5359" s="69" customFormat="1" x14ac:dyDescent="0.15"/>
    <row r="5360" s="69" customFormat="1" x14ac:dyDescent="0.15"/>
    <row r="5361" s="69" customFormat="1" x14ac:dyDescent="0.15"/>
    <row r="5362" s="69" customFormat="1" x14ac:dyDescent="0.15"/>
    <row r="5363" s="69" customFormat="1" x14ac:dyDescent="0.15"/>
    <row r="5364" s="69" customFormat="1" x14ac:dyDescent="0.15"/>
    <row r="5365" s="69" customFormat="1" x14ac:dyDescent="0.15"/>
    <row r="5366" s="69" customFormat="1" x14ac:dyDescent="0.15"/>
    <row r="5367" s="69" customFormat="1" x14ac:dyDescent="0.15"/>
    <row r="5368" s="69" customFormat="1" x14ac:dyDescent="0.15"/>
    <row r="5369" s="69" customFormat="1" x14ac:dyDescent="0.15"/>
    <row r="5370" s="69" customFormat="1" x14ac:dyDescent="0.15"/>
    <row r="5371" s="69" customFormat="1" x14ac:dyDescent="0.15"/>
    <row r="5372" s="69" customFormat="1" x14ac:dyDescent="0.15"/>
    <row r="5373" s="69" customFormat="1" x14ac:dyDescent="0.15"/>
    <row r="5374" s="69" customFormat="1" x14ac:dyDescent="0.15"/>
    <row r="5375" s="69" customFormat="1" x14ac:dyDescent="0.15"/>
    <row r="5376" s="69" customFormat="1" x14ac:dyDescent="0.15"/>
    <row r="5377" s="69" customFormat="1" x14ac:dyDescent="0.15"/>
    <row r="5378" s="69" customFormat="1" x14ac:dyDescent="0.15"/>
    <row r="5379" s="69" customFormat="1" x14ac:dyDescent="0.15"/>
    <row r="5380" s="69" customFormat="1" x14ac:dyDescent="0.15"/>
    <row r="5381" s="69" customFormat="1" x14ac:dyDescent="0.15"/>
    <row r="5382" s="69" customFormat="1" x14ac:dyDescent="0.15"/>
    <row r="5383" s="69" customFormat="1" x14ac:dyDescent="0.15"/>
    <row r="5384" s="69" customFormat="1" x14ac:dyDescent="0.15"/>
    <row r="5385" s="69" customFormat="1" x14ac:dyDescent="0.15"/>
    <row r="5386" s="69" customFormat="1" x14ac:dyDescent="0.15"/>
    <row r="5387" s="69" customFormat="1" x14ac:dyDescent="0.15"/>
    <row r="5388" s="69" customFormat="1" x14ac:dyDescent="0.15"/>
    <row r="5389" s="69" customFormat="1" x14ac:dyDescent="0.15"/>
    <row r="5390" s="69" customFormat="1" x14ac:dyDescent="0.15"/>
    <row r="5391" s="69" customFormat="1" x14ac:dyDescent="0.15"/>
    <row r="5392" s="69" customFormat="1" x14ac:dyDescent="0.15"/>
    <row r="5393" s="69" customFormat="1" x14ac:dyDescent="0.15"/>
    <row r="5394" s="69" customFormat="1" x14ac:dyDescent="0.15"/>
    <row r="5395" s="69" customFormat="1" x14ac:dyDescent="0.15"/>
    <row r="5396" s="69" customFormat="1" x14ac:dyDescent="0.15"/>
    <row r="5397" s="69" customFormat="1" x14ac:dyDescent="0.15"/>
    <row r="5398" s="69" customFormat="1" x14ac:dyDescent="0.15"/>
    <row r="5399" s="69" customFormat="1" x14ac:dyDescent="0.15"/>
    <row r="5400" s="69" customFormat="1" x14ac:dyDescent="0.15"/>
    <row r="5401" s="69" customFormat="1" x14ac:dyDescent="0.15"/>
    <row r="5402" s="69" customFormat="1" x14ac:dyDescent="0.15"/>
    <row r="5403" s="69" customFormat="1" x14ac:dyDescent="0.15"/>
    <row r="5404" s="69" customFormat="1" x14ac:dyDescent="0.15"/>
    <row r="5405" s="69" customFormat="1" x14ac:dyDescent="0.15"/>
    <row r="5406" s="69" customFormat="1" x14ac:dyDescent="0.15"/>
    <row r="5407" s="69" customFormat="1" x14ac:dyDescent="0.15"/>
    <row r="5408" s="69" customFormat="1" x14ac:dyDescent="0.15"/>
    <row r="5409" s="69" customFormat="1" x14ac:dyDescent="0.15"/>
    <row r="5410" s="69" customFormat="1" x14ac:dyDescent="0.15"/>
    <row r="5411" s="69" customFormat="1" x14ac:dyDescent="0.15"/>
    <row r="5412" s="69" customFormat="1" x14ac:dyDescent="0.15"/>
    <row r="5413" s="69" customFormat="1" x14ac:dyDescent="0.15"/>
    <row r="5414" s="69" customFormat="1" x14ac:dyDescent="0.15"/>
    <row r="5415" s="69" customFormat="1" x14ac:dyDescent="0.15"/>
    <row r="5416" s="69" customFormat="1" x14ac:dyDescent="0.15"/>
    <row r="5417" s="69" customFormat="1" x14ac:dyDescent="0.15"/>
    <row r="5418" s="69" customFormat="1" x14ac:dyDescent="0.15"/>
    <row r="5419" s="69" customFormat="1" x14ac:dyDescent="0.15"/>
    <row r="5420" s="69" customFormat="1" x14ac:dyDescent="0.15"/>
    <row r="5421" s="69" customFormat="1" x14ac:dyDescent="0.15"/>
    <row r="5422" s="69" customFormat="1" x14ac:dyDescent="0.15"/>
    <row r="5423" s="69" customFormat="1" x14ac:dyDescent="0.15"/>
    <row r="5424" s="69" customFormat="1" x14ac:dyDescent="0.15"/>
    <row r="5425" s="69" customFormat="1" x14ac:dyDescent="0.15"/>
    <row r="5426" s="69" customFormat="1" x14ac:dyDescent="0.15"/>
    <row r="5427" s="69" customFormat="1" x14ac:dyDescent="0.15"/>
    <row r="5428" s="69" customFormat="1" x14ac:dyDescent="0.15"/>
    <row r="5429" s="69" customFormat="1" x14ac:dyDescent="0.15"/>
    <row r="5430" s="69" customFormat="1" x14ac:dyDescent="0.15"/>
    <row r="5431" s="69" customFormat="1" x14ac:dyDescent="0.15"/>
    <row r="5432" s="69" customFormat="1" x14ac:dyDescent="0.15"/>
    <row r="5433" s="69" customFormat="1" x14ac:dyDescent="0.15"/>
    <row r="5434" s="69" customFormat="1" x14ac:dyDescent="0.15"/>
    <row r="5435" s="69" customFormat="1" x14ac:dyDescent="0.15"/>
    <row r="5436" s="69" customFormat="1" x14ac:dyDescent="0.15"/>
    <row r="5437" s="69" customFormat="1" x14ac:dyDescent="0.15"/>
    <row r="5438" s="69" customFormat="1" x14ac:dyDescent="0.15"/>
    <row r="5439" s="69" customFormat="1" x14ac:dyDescent="0.15"/>
    <row r="5440" s="69" customFormat="1" x14ac:dyDescent="0.15"/>
    <row r="5441" s="69" customFormat="1" x14ac:dyDescent="0.15"/>
    <row r="5442" s="69" customFormat="1" x14ac:dyDescent="0.15"/>
    <row r="5443" s="69" customFormat="1" x14ac:dyDescent="0.15"/>
    <row r="5444" s="69" customFormat="1" x14ac:dyDescent="0.15"/>
    <row r="5445" s="69" customFormat="1" x14ac:dyDescent="0.15"/>
    <row r="5446" s="69" customFormat="1" x14ac:dyDescent="0.15"/>
    <row r="5447" s="69" customFormat="1" x14ac:dyDescent="0.15"/>
    <row r="5448" s="69" customFormat="1" x14ac:dyDescent="0.15"/>
    <row r="5449" s="69" customFormat="1" x14ac:dyDescent="0.15"/>
    <row r="5450" s="69" customFormat="1" x14ac:dyDescent="0.15"/>
    <row r="5451" s="69" customFormat="1" x14ac:dyDescent="0.15"/>
    <row r="5452" s="69" customFormat="1" x14ac:dyDescent="0.15"/>
    <row r="5453" s="69" customFormat="1" x14ac:dyDescent="0.15"/>
    <row r="5454" s="69" customFormat="1" x14ac:dyDescent="0.15"/>
    <row r="5455" s="69" customFormat="1" x14ac:dyDescent="0.15"/>
    <row r="5456" s="69" customFormat="1" x14ac:dyDescent="0.15"/>
    <row r="5457" s="69" customFormat="1" x14ac:dyDescent="0.15"/>
    <row r="5458" s="69" customFormat="1" x14ac:dyDescent="0.15"/>
    <row r="5459" s="69" customFormat="1" x14ac:dyDescent="0.15"/>
    <row r="5460" s="69" customFormat="1" x14ac:dyDescent="0.15"/>
    <row r="5461" s="69" customFormat="1" x14ac:dyDescent="0.15"/>
    <row r="5462" s="69" customFormat="1" x14ac:dyDescent="0.15"/>
    <row r="5463" s="69" customFormat="1" x14ac:dyDescent="0.15"/>
    <row r="5464" s="69" customFormat="1" x14ac:dyDescent="0.15"/>
    <row r="5465" s="69" customFormat="1" x14ac:dyDescent="0.15"/>
    <row r="5466" s="69" customFormat="1" x14ac:dyDescent="0.15"/>
    <row r="5467" s="69" customFormat="1" x14ac:dyDescent="0.15"/>
    <row r="5468" s="69" customFormat="1" x14ac:dyDescent="0.15"/>
    <row r="5469" s="69" customFormat="1" x14ac:dyDescent="0.15"/>
    <row r="5470" s="69" customFormat="1" x14ac:dyDescent="0.15"/>
    <row r="5471" s="69" customFormat="1" x14ac:dyDescent="0.15"/>
    <row r="5472" s="69" customFormat="1" x14ac:dyDescent="0.15"/>
    <row r="5473" s="69" customFormat="1" x14ac:dyDescent="0.15"/>
    <row r="5474" s="69" customFormat="1" x14ac:dyDescent="0.15"/>
    <row r="5475" s="69" customFormat="1" x14ac:dyDescent="0.15"/>
    <row r="5476" s="69" customFormat="1" x14ac:dyDescent="0.15"/>
    <row r="5477" s="69" customFormat="1" x14ac:dyDescent="0.15"/>
    <row r="5478" s="69" customFormat="1" x14ac:dyDescent="0.15"/>
    <row r="5479" s="69" customFormat="1" x14ac:dyDescent="0.15"/>
    <row r="5480" s="69" customFormat="1" x14ac:dyDescent="0.15"/>
    <row r="5481" s="69" customFormat="1" x14ac:dyDescent="0.15"/>
    <row r="5482" s="69" customFormat="1" x14ac:dyDescent="0.15"/>
    <row r="5483" s="69" customFormat="1" x14ac:dyDescent="0.15"/>
    <row r="5484" s="69" customFormat="1" x14ac:dyDescent="0.15"/>
    <row r="5485" s="69" customFormat="1" x14ac:dyDescent="0.15"/>
    <row r="5486" s="69" customFormat="1" x14ac:dyDescent="0.15"/>
    <row r="5487" s="69" customFormat="1" x14ac:dyDescent="0.15"/>
    <row r="5488" s="69" customFormat="1" x14ac:dyDescent="0.15"/>
    <row r="5489" s="69" customFormat="1" x14ac:dyDescent="0.15"/>
    <row r="5490" s="69" customFormat="1" x14ac:dyDescent="0.15"/>
    <row r="5491" s="69" customFormat="1" x14ac:dyDescent="0.15"/>
    <row r="5492" s="69" customFormat="1" x14ac:dyDescent="0.15"/>
    <row r="5493" s="69" customFormat="1" x14ac:dyDescent="0.15"/>
    <row r="5494" s="69" customFormat="1" x14ac:dyDescent="0.15"/>
    <row r="5495" s="69" customFormat="1" x14ac:dyDescent="0.15"/>
    <row r="5496" s="69" customFormat="1" x14ac:dyDescent="0.15"/>
    <row r="5497" s="69" customFormat="1" x14ac:dyDescent="0.15"/>
    <row r="5498" s="69" customFormat="1" x14ac:dyDescent="0.15"/>
    <row r="5499" s="69" customFormat="1" x14ac:dyDescent="0.15"/>
    <row r="5500" s="69" customFormat="1" x14ac:dyDescent="0.15"/>
    <row r="5501" s="69" customFormat="1" x14ac:dyDescent="0.15"/>
    <row r="5502" s="69" customFormat="1" x14ac:dyDescent="0.15"/>
    <row r="5503" s="69" customFormat="1" x14ac:dyDescent="0.15"/>
    <row r="5504" s="69" customFormat="1" x14ac:dyDescent="0.15"/>
    <row r="5505" s="69" customFormat="1" x14ac:dyDescent="0.15"/>
    <row r="5506" s="69" customFormat="1" x14ac:dyDescent="0.15"/>
    <row r="5507" s="69" customFormat="1" x14ac:dyDescent="0.15"/>
    <row r="5508" s="69" customFormat="1" x14ac:dyDescent="0.15"/>
    <row r="5509" s="69" customFormat="1" x14ac:dyDescent="0.15"/>
    <row r="5510" s="69" customFormat="1" x14ac:dyDescent="0.15"/>
    <row r="5511" s="69" customFormat="1" x14ac:dyDescent="0.15"/>
    <row r="5512" s="69" customFormat="1" x14ac:dyDescent="0.15"/>
    <row r="5513" s="69" customFormat="1" x14ac:dyDescent="0.15"/>
    <row r="5514" s="69" customFormat="1" x14ac:dyDescent="0.15"/>
    <row r="5515" s="69" customFormat="1" x14ac:dyDescent="0.15"/>
    <row r="5516" s="69" customFormat="1" x14ac:dyDescent="0.15"/>
    <row r="5517" s="69" customFormat="1" x14ac:dyDescent="0.15"/>
    <row r="5518" s="69" customFormat="1" x14ac:dyDescent="0.15"/>
    <row r="5519" s="69" customFormat="1" x14ac:dyDescent="0.15"/>
    <row r="5520" s="69" customFormat="1" x14ac:dyDescent="0.15"/>
    <row r="5521" s="69" customFormat="1" x14ac:dyDescent="0.15"/>
    <row r="5522" s="69" customFormat="1" x14ac:dyDescent="0.15"/>
    <row r="5523" s="69" customFormat="1" x14ac:dyDescent="0.15"/>
    <row r="5524" s="69" customFormat="1" x14ac:dyDescent="0.15"/>
    <row r="5525" s="69" customFormat="1" x14ac:dyDescent="0.15"/>
    <row r="5526" s="69" customFormat="1" x14ac:dyDescent="0.15"/>
    <row r="5527" s="69" customFormat="1" x14ac:dyDescent="0.15"/>
    <row r="5528" s="69" customFormat="1" x14ac:dyDescent="0.15"/>
    <row r="5529" s="69" customFormat="1" x14ac:dyDescent="0.15"/>
    <row r="5530" s="69" customFormat="1" x14ac:dyDescent="0.15"/>
    <row r="5531" s="69" customFormat="1" x14ac:dyDescent="0.15"/>
    <row r="5532" s="69" customFormat="1" x14ac:dyDescent="0.15"/>
    <row r="5533" s="69" customFormat="1" x14ac:dyDescent="0.15"/>
    <row r="5534" s="69" customFormat="1" x14ac:dyDescent="0.15"/>
    <row r="5535" s="69" customFormat="1" x14ac:dyDescent="0.15"/>
    <row r="5536" s="69" customFormat="1" x14ac:dyDescent="0.15"/>
    <row r="5537" s="69" customFormat="1" x14ac:dyDescent="0.15"/>
    <row r="5538" s="69" customFormat="1" x14ac:dyDescent="0.15"/>
    <row r="5539" s="69" customFormat="1" x14ac:dyDescent="0.15"/>
    <row r="5540" s="69" customFormat="1" x14ac:dyDescent="0.15"/>
    <row r="5541" s="69" customFormat="1" x14ac:dyDescent="0.15"/>
    <row r="5542" s="69" customFormat="1" x14ac:dyDescent="0.15"/>
    <row r="5543" s="69" customFormat="1" x14ac:dyDescent="0.15"/>
    <row r="5544" s="69" customFormat="1" x14ac:dyDescent="0.15"/>
    <row r="5545" s="69" customFormat="1" x14ac:dyDescent="0.15"/>
    <row r="5546" s="69" customFormat="1" x14ac:dyDescent="0.15"/>
    <row r="5547" s="69" customFormat="1" x14ac:dyDescent="0.15"/>
    <row r="5548" s="69" customFormat="1" x14ac:dyDescent="0.15"/>
    <row r="5549" s="69" customFormat="1" x14ac:dyDescent="0.15"/>
    <row r="5550" s="69" customFormat="1" x14ac:dyDescent="0.15"/>
    <row r="5551" s="69" customFormat="1" x14ac:dyDescent="0.15"/>
    <row r="5552" s="69" customFormat="1" x14ac:dyDescent="0.15"/>
    <row r="5553" s="69" customFormat="1" x14ac:dyDescent="0.15"/>
    <row r="5554" s="69" customFormat="1" x14ac:dyDescent="0.15"/>
    <row r="5555" s="69" customFormat="1" x14ac:dyDescent="0.15"/>
    <row r="5556" s="69" customFormat="1" x14ac:dyDescent="0.15"/>
    <row r="5557" s="69" customFormat="1" x14ac:dyDescent="0.15"/>
    <row r="5558" s="69" customFormat="1" x14ac:dyDescent="0.15"/>
    <row r="5559" s="69" customFormat="1" x14ac:dyDescent="0.15"/>
    <row r="5560" s="69" customFormat="1" x14ac:dyDescent="0.15"/>
    <row r="5561" s="69" customFormat="1" x14ac:dyDescent="0.15"/>
    <row r="5562" s="69" customFormat="1" x14ac:dyDescent="0.15"/>
    <row r="5563" s="69" customFormat="1" x14ac:dyDescent="0.15"/>
    <row r="5564" s="69" customFormat="1" x14ac:dyDescent="0.15"/>
    <row r="5565" s="69" customFormat="1" x14ac:dyDescent="0.15"/>
    <row r="5566" s="69" customFormat="1" x14ac:dyDescent="0.15"/>
    <row r="5567" s="69" customFormat="1" x14ac:dyDescent="0.15"/>
    <row r="5568" s="69" customFormat="1" x14ac:dyDescent="0.15"/>
    <row r="5569" s="69" customFormat="1" x14ac:dyDescent="0.15"/>
    <row r="5570" s="69" customFormat="1" x14ac:dyDescent="0.15"/>
    <row r="5571" s="69" customFormat="1" x14ac:dyDescent="0.15"/>
    <row r="5572" s="69" customFormat="1" x14ac:dyDescent="0.15"/>
    <row r="5573" s="69" customFormat="1" x14ac:dyDescent="0.15"/>
    <row r="5574" s="69" customFormat="1" x14ac:dyDescent="0.15"/>
    <row r="5575" s="69" customFormat="1" x14ac:dyDescent="0.15"/>
    <row r="5576" s="69" customFormat="1" x14ac:dyDescent="0.15"/>
    <row r="5577" s="69" customFormat="1" x14ac:dyDescent="0.15"/>
    <row r="5578" s="69" customFormat="1" x14ac:dyDescent="0.15"/>
    <row r="5579" s="69" customFormat="1" x14ac:dyDescent="0.15"/>
    <row r="5580" s="69" customFormat="1" x14ac:dyDescent="0.15"/>
    <row r="5581" s="69" customFormat="1" x14ac:dyDescent="0.15"/>
    <row r="5582" s="69" customFormat="1" x14ac:dyDescent="0.15"/>
    <row r="5583" s="69" customFormat="1" x14ac:dyDescent="0.15"/>
    <row r="5584" s="69" customFormat="1" x14ac:dyDescent="0.15"/>
    <row r="5585" s="69" customFormat="1" x14ac:dyDescent="0.15"/>
    <row r="5586" s="69" customFormat="1" x14ac:dyDescent="0.15"/>
    <row r="5587" s="69" customFormat="1" x14ac:dyDescent="0.15"/>
    <row r="5588" s="69" customFormat="1" x14ac:dyDescent="0.15"/>
    <row r="5589" s="69" customFormat="1" x14ac:dyDescent="0.15"/>
    <row r="5590" s="69" customFormat="1" x14ac:dyDescent="0.15"/>
    <row r="5591" s="69" customFormat="1" x14ac:dyDescent="0.15"/>
    <row r="5592" s="69" customFormat="1" x14ac:dyDescent="0.15"/>
    <row r="5593" s="69" customFormat="1" x14ac:dyDescent="0.15"/>
    <row r="5594" s="69" customFormat="1" x14ac:dyDescent="0.15"/>
    <row r="5595" s="69" customFormat="1" x14ac:dyDescent="0.15"/>
    <row r="5596" s="69" customFormat="1" x14ac:dyDescent="0.15"/>
    <row r="5597" s="69" customFormat="1" x14ac:dyDescent="0.15"/>
    <row r="5598" s="69" customFormat="1" x14ac:dyDescent="0.15"/>
    <row r="5599" s="69" customFormat="1" x14ac:dyDescent="0.15"/>
    <row r="5600" s="69" customFormat="1" x14ac:dyDescent="0.15"/>
    <row r="5601" s="69" customFormat="1" x14ac:dyDescent="0.15"/>
    <row r="5602" s="69" customFormat="1" x14ac:dyDescent="0.15"/>
    <row r="5603" s="69" customFormat="1" x14ac:dyDescent="0.15"/>
    <row r="5604" s="69" customFormat="1" x14ac:dyDescent="0.15"/>
    <row r="5605" s="69" customFormat="1" x14ac:dyDescent="0.15"/>
    <row r="5606" s="69" customFormat="1" x14ac:dyDescent="0.15"/>
    <row r="5607" s="69" customFormat="1" x14ac:dyDescent="0.15"/>
    <row r="5608" s="69" customFormat="1" x14ac:dyDescent="0.15"/>
    <row r="5609" s="69" customFormat="1" x14ac:dyDescent="0.15"/>
    <row r="5610" s="69" customFormat="1" x14ac:dyDescent="0.15"/>
    <row r="5611" s="69" customFormat="1" x14ac:dyDescent="0.15"/>
    <row r="5612" s="69" customFormat="1" x14ac:dyDescent="0.15"/>
    <row r="5613" s="69" customFormat="1" x14ac:dyDescent="0.15"/>
    <row r="5614" s="69" customFormat="1" x14ac:dyDescent="0.15"/>
    <row r="5615" s="69" customFormat="1" x14ac:dyDescent="0.15"/>
    <row r="5616" s="69" customFormat="1" x14ac:dyDescent="0.15"/>
    <row r="5617" s="69" customFormat="1" x14ac:dyDescent="0.15"/>
    <row r="5618" s="69" customFormat="1" x14ac:dyDescent="0.15"/>
    <row r="5619" s="69" customFormat="1" x14ac:dyDescent="0.15"/>
    <row r="5620" s="69" customFormat="1" x14ac:dyDescent="0.15"/>
    <row r="5621" s="69" customFormat="1" x14ac:dyDescent="0.15"/>
    <row r="5622" s="69" customFormat="1" x14ac:dyDescent="0.15"/>
    <row r="5623" s="69" customFormat="1" x14ac:dyDescent="0.15"/>
    <row r="5624" s="69" customFormat="1" x14ac:dyDescent="0.15"/>
    <row r="5625" s="69" customFormat="1" x14ac:dyDescent="0.15"/>
    <row r="5626" s="69" customFormat="1" x14ac:dyDescent="0.15"/>
    <row r="5627" s="69" customFormat="1" x14ac:dyDescent="0.15"/>
    <row r="5628" s="69" customFormat="1" x14ac:dyDescent="0.15"/>
    <row r="5629" s="69" customFormat="1" x14ac:dyDescent="0.15"/>
    <row r="5630" s="69" customFormat="1" x14ac:dyDescent="0.15"/>
    <row r="5631" s="69" customFormat="1" x14ac:dyDescent="0.15"/>
    <row r="5632" s="69" customFormat="1" x14ac:dyDescent="0.15"/>
    <row r="5633" s="69" customFormat="1" x14ac:dyDescent="0.15"/>
    <row r="5634" s="69" customFormat="1" x14ac:dyDescent="0.15"/>
    <row r="5635" s="69" customFormat="1" x14ac:dyDescent="0.15"/>
    <row r="5636" s="69" customFormat="1" x14ac:dyDescent="0.15"/>
    <row r="5637" s="69" customFormat="1" x14ac:dyDescent="0.15"/>
    <row r="5638" s="69" customFormat="1" x14ac:dyDescent="0.15"/>
    <row r="5639" s="69" customFormat="1" x14ac:dyDescent="0.15"/>
    <row r="5640" s="69" customFormat="1" x14ac:dyDescent="0.15"/>
    <row r="5641" s="69" customFormat="1" x14ac:dyDescent="0.15"/>
    <row r="5642" s="69" customFormat="1" x14ac:dyDescent="0.15"/>
    <row r="5643" s="69" customFormat="1" x14ac:dyDescent="0.15"/>
    <row r="5644" s="69" customFormat="1" x14ac:dyDescent="0.15"/>
    <row r="5645" s="69" customFormat="1" x14ac:dyDescent="0.15"/>
    <row r="5646" s="69" customFormat="1" x14ac:dyDescent="0.15"/>
    <row r="5647" s="69" customFormat="1" x14ac:dyDescent="0.15"/>
    <row r="5648" s="69" customFormat="1" x14ac:dyDescent="0.15"/>
    <row r="5649" s="69" customFormat="1" x14ac:dyDescent="0.15"/>
    <row r="5650" s="69" customFormat="1" x14ac:dyDescent="0.15"/>
    <row r="5651" s="69" customFormat="1" x14ac:dyDescent="0.15"/>
    <row r="5652" s="69" customFormat="1" x14ac:dyDescent="0.15"/>
    <row r="5653" s="69" customFormat="1" x14ac:dyDescent="0.15"/>
    <row r="5654" s="69" customFormat="1" x14ac:dyDescent="0.15"/>
    <row r="5655" s="69" customFormat="1" x14ac:dyDescent="0.15"/>
    <row r="5656" s="69" customFormat="1" x14ac:dyDescent="0.15"/>
    <row r="5657" s="69" customFormat="1" x14ac:dyDescent="0.15"/>
    <row r="5658" s="69" customFormat="1" x14ac:dyDescent="0.15"/>
    <row r="5659" s="69" customFormat="1" x14ac:dyDescent="0.15"/>
    <row r="5660" s="69" customFormat="1" x14ac:dyDescent="0.15"/>
    <row r="5661" s="69" customFormat="1" x14ac:dyDescent="0.15"/>
    <row r="5662" s="69" customFormat="1" x14ac:dyDescent="0.15"/>
    <row r="5663" s="69" customFormat="1" x14ac:dyDescent="0.15"/>
    <row r="5664" s="69" customFormat="1" x14ac:dyDescent="0.15"/>
    <row r="5665" s="69" customFormat="1" x14ac:dyDescent="0.15"/>
    <row r="5666" s="69" customFormat="1" x14ac:dyDescent="0.15"/>
    <row r="5667" s="69" customFormat="1" x14ac:dyDescent="0.15"/>
    <row r="5668" s="69" customFormat="1" x14ac:dyDescent="0.15"/>
    <row r="5669" s="69" customFormat="1" x14ac:dyDescent="0.15"/>
    <row r="5670" s="69" customFormat="1" x14ac:dyDescent="0.15"/>
    <row r="5671" s="69" customFormat="1" x14ac:dyDescent="0.15"/>
    <row r="5672" s="69" customFormat="1" x14ac:dyDescent="0.15"/>
    <row r="5673" s="69" customFormat="1" x14ac:dyDescent="0.15"/>
    <row r="5674" s="69" customFormat="1" x14ac:dyDescent="0.15"/>
    <row r="5675" s="69" customFormat="1" x14ac:dyDescent="0.15"/>
    <row r="5676" s="69" customFormat="1" x14ac:dyDescent="0.15"/>
    <row r="5677" s="69" customFormat="1" x14ac:dyDescent="0.15"/>
    <row r="5678" s="69" customFormat="1" x14ac:dyDescent="0.15"/>
    <row r="5679" s="69" customFormat="1" x14ac:dyDescent="0.15"/>
    <row r="5680" s="69" customFormat="1" x14ac:dyDescent="0.15"/>
    <row r="5681" s="69" customFormat="1" x14ac:dyDescent="0.15"/>
    <row r="5682" s="69" customFormat="1" x14ac:dyDescent="0.15"/>
    <row r="5683" s="69" customFormat="1" x14ac:dyDescent="0.15"/>
    <row r="5684" s="69" customFormat="1" x14ac:dyDescent="0.15"/>
    <row r="5685" s="69" customFormat="1" x14ac:dyDescent="0.15"/>
    <row r="5686" s="69" customFormat="1" x14ac:dyDescent="0.15"/>
    <row r="5687" s="69" customFormat="1" x14ac:dyDescent="0.15"/>
    <row r="5688" s="69" customFormat="1" x14ac:dyDescent="0.15"/>
    <row r="5689" s="69" customFormat="1" x14ac:dyDescent="0.15"/>
    <row r="5690" s="69" customFormat="1" x14ac:dyDescent="0.15"/>
    <row r="5691" s="69" customFormat="1" x14ac:dyDescent="0.15"/>
    <row r="5692" s="69" customFormat="1" x14ac:dyDescent="0.15"/>
    <row r="5693" s="69" customFormat="1" x14ac:dyDescent="0.15"/>
    <row r="5694" s="69" customFormat="1" x14ac:dyDescent="0.15"/>
    <row r="5695" s="69" customFormat="1" x14ac:dyDescent="0.15"/>
    <row r="5696" s="69" customFormat="1" x14ac:dyDescent="0.15"/>
    <row r="5697" s="69" customFormat="1" x14ac:dyDescent="0.15"/>
    <row r="5698" s="69" customFormat="1" x14ac:dyDescent="0.15"/>
    <row r="5699" s="69" customFormat="1" x14ac:dyDescent="0.15"/>
    <row r="5700" s="69" customFormat="1" x14ac:dyDescent="0.15"/>
    <row r="5701" s="69" customFormat="1" x14ac:dyDescent="0.15"/>
    <row r="5702" s="69" customFormat="1" x14ac:dyDescent="0.15"/>
    <row r="5703" s="69" customFormat="1" x14ac:dyDescent="0.15"/>
    <row r="5704" s="69" customFormat="1" x14ac:dyDescent="0.15"/>
    <row r="5705" s="69" customFormat="1" x14ac:dyDescent="0.15"/>
    <row r="5706" s="69" customFormat="1" x14ac:dyDescent="0.15"/>
    <row r="5707" s="69" customFormat="1" x14ac:dyDescent="0.15"/>
    <row r="5708" s="69" customFormat="1" x14ac:dyDescent="0.15"/>
    <row r="5709" s="69" customFormat="1" x14ac:dyDescent="0.15"/>
    <row r="5710" s="69" customFormat="1" x14ac:dyDescent="0.15"/>
    <row r="5711" s="69" customFormat="1" x14ac:dyDescent="0.15"/>
    <row r="5712" s="69" customFormat="1" x14ac:dyDescent="0.15"/>
    <row r="5713" s="69" customFormat="1" x14ac:dyDescent="0.15"/>
    <row r="5714" s="69" customFormat="1" x14ac:dyDescent="0.15"/>
    <row r="5715" s="69" customFormat="1" x14ac:dyDescent="0.15"/>
    <row r="5716" s="69" customFormat="1" x14ac:dyDescent="0.15"/>
    <row r="5717" s="69" customFormat="1" x14ac:dyDescent="0.15"/>
    <row r="5718" s="69" customFormat="1" x14ac:dyDescent="0.15"/>
    <row r="5719" s="69" customFormat="1" x14ac:dyDescent="0.15"/>
    <row r="5720" s="69" customFormat="1" x14ac:dyDescent="0.15"/>
    <row r="5721" s="69" customFormat="1" x14ac:dyDescent="0.15"/>
    <row r="5722" s="69" customFormat="1" x14ac:dyDescent="0.15"/>
    <row r="5723" s="69" customFormat="1" x14ac:dyDescent="0.15"/>
    <row r="5724" s="69" customFormat="1" x14ac:dyDescent="0.15"/>
    <row r="5725" s="69" customFormat="1" x14ac:dyDescent="0.15"/>
    <row r="5726" s="69" customFormat="1" x14ac:dyDescent="0.15"/>
    <row r="5727" s="69" customFormat="1" x14ac:dyDescent="0.15"/>
    <row r="5728" s="69" customFormat="1" x14ac:dyDescent="0.15"/>
    <row r="5729" s="69" customFormat="1" x14ac:dyDescent="0.15"/>
    <row r="5730" s="69" customFormat="1" x14ac:dyDescent="0.15"/>
    <row r="5731" s="69" customFormat="1" x14ac:dyDescent="0.15"/>
    <row r="5732" s="69" customFormat="1" x14ac:dyDescent="0.15"/>
    <row r="5733" s="69" customFormat="1" x14ac:dyDescent="0.15"/>
    <row r="5734" s="69" customFormat="1" x14ac:dyDescent="0.15"/>
    <row r="5735" s="69" customFormat="1" x14ac:dyDescent="0.15"/>
    <row r="5736" s="69" customFormat="1" x14ac:dyDescent="0.15"/>
    <row r="5737" s="69" customFormat="1" x14ac:dyDescent="0.15"/>
    <row r="5738" s="69" customFormat="1" x14ac:dyDescent="0.15"/>
    <row r="5739" s="69" customFormat="1" x14ac:dyDescent="0.15"/>
    <row r="5740" s="69" customFormat="1" x14ac:dyDescent="0.15"/>
    <row r="5741" s="69" customFormat="1" x14ac:dyDescent="0.15"/>
    <row r="5742" s="69" customFormat="1" x14ac:dyDescent="0.15"/>
    <row r="5743" s="69" customFormat="1" x14ac:dyDescent="0.15"/>
    <row r="5744" s="69" customFormat="1" x14ac:dyDescent="0.15"/>
    <row r="5745" s="69" customFormat="1" x14ac:dyDescent="0.15"/>
    <row r="5746" s="69" customFormat="1" x14ac:dyDescent="0.15"/>
    <row r="5747" s="69" customFormat="1" x14ac:dyDescent="0.15"/>
    <row r="5748" s="69" customFormat="1" x14ac:dyDescent="0.15"/>
    <row r="5749" s="69" customFormat="1" x14ac:dyDescent="0.15"/>
    <row r="5750" s="69" customFormat="1" x14ac:dyDescent="0.15"/>
    <row r="5751" s="69" customFormat="1" x14ac:dyDescent="0.15"/>
    <row r="5752" s="69" customFormat="1" x14ac:dyDescent="0.15"/>
    <row r="5753" s="69" customFormat="1" x14ac:dyDescent="0.15"/>
    <row r="5754" s="69" customFormat="1" x14ac:dyDescent="0.15"/>
    <row r="5755" s="69" customFormat="1" x14ac:dyDescent="0.15"/>
    <row r="5756" s="69" customFormat="1" x14ac:dyDescent="0.15"/>
    <row r="5757" s="69" customFormat="1" x14ac:dyDescent="0.15"/>
    <row r="5758" s="69" customFormat="1" x14ac:dyDescent="0.15"/>
    <row r="5759" s="69" customFormat="1" x14ac:dyDescent="0.15"/>
    <row r="5760" s="69" customFormat="1" x14ac:dyDescent="0.15"/>
    <row r="5761" s="69" customFormat="1" x14ac:dyDescent="0.15"/>
    <row r="5762" s="69" customFormat="1" x14ac:dyDescent="0.15"/>
    <row r="5763" s="69" customFormat="1" x14ac:dyDescent="0.15"/>
    <row r="5764" s="69" customFormat="1" x14ac:dyDescent="0.15"/>
    <row r="5765" s="69" customFormat="1" x14ac:dyDescent="0.15"/>
    <row r="5766" s="69" customFormat="1" x14ac:dyDescent="0.15"/>
    <row r="5767" s="69" customFormat="1" x14ac:dyDescent="0.15"/>
    <row r="5768" s="69" customFormat="1" x14ac:dyDescent="0.15"/>
    <row r="5769" s="69" customFormat="1" x14ac:dyDescent="0.15"/>
    <row r="5770" s="69" customFormat="1" x14ac:dyDescent="0.15"/>
    <row r="5771" s="69" customFormat="1" x14ac:dyDescent="0.15"/>
    <row r="5772" s="69" customFormat="1" x14ac:dyDescent="0.15"/>
    <row r="5773" s="69" customFormat="1" x14ac:dyDescent="0.15"/>
    <row r="5774" s="69" customFormat="1" x14ac:dyDescent="0.15"/>
    <row r="5775" s="69" customFormat="1" x14ac:dyDescent="0.15"/>
    <row r="5776" s="69" customFormat="1" x14ac:dyDescent="0.15"/>
    <row r="5777" s="69" customFormat="1" x14ac:dyDescent="0.15"/>
    <row r="5778" s="69" customFormat="1" x14ac:dyDescent="0.15"/>
    <row r="5779" s="69" customFormat="1" x14ac:dyDescent="0.15"/>
    <row r="5780" s="69" customFormat="1" x14ac:dyDescent="0.15"/>
    <row r="5781" s="69" customFormat="1" x14ac:dyDescent="0.15"/>
    <row r="5782" s="69" customFormat="1" x14ac:dyDescent="0.15"/>
    <row r="5783" s="69" customFormat="1" x14ac:dyDescent="0.15"/>
    <row r="5784" s="69" customFormat="1" x14ac:dyDescent="0.15"/>
    <row r="5785" s="69" customFormat="1" x14ac:dyDescent="0.15"/>
    <row r="5786" s="69" customFormat="1" x14ac:dyDescent="0.15"/>
    <row r="5787" s="69" customFormat="1" x14ac:dyDescent="0.15"/>
    <row r="5788" s="69" customFormat="1" x14ac:dyDescent="0.15"/>
    <row r="5789" s="69" customFormat="1" x14ac:dyDescent="0.15"/>
    <row r="5790" s="69" customFormat="1" x14ac:dyDescent="0.15"/>
    <row r="5791" s="69" customFormat="1" x14ac:dyDescent="0.15"/>
    <row r="5792" s="69" customFormat="1" x14ac:dyDescent="0.15"/>
    <row r="5793" s="69" customFormat="1" x14ac:dyDescent="0.15"/>
    <row r="5794" s="69" customFormat="1" x14ac:dyDescent="0.15"/>
    <row r="5795" s="69" customFormat="1" x14ac:dyDescent="0.15"/>
    <row r="5796" s="69" customFormat="1" x14ac:dyDescent="0.15"/>
    <row r="5797" s="69" customFormat="1" x14ac:dyDescent="0.15"/>
    <row r="5798" s="69" customFormat="1" x14ac:dyDescent="0.15"/>
    <row r="5799" s="69" customFormat="1" x14ac:dyDescent="0.15"/>
    <row r="5800" s="69" customFormat="1" x14ac:dyDescent="0.15"/>
    <row r="5801" s="69" customFormat="1" x14ac:dyDescent="0.15"/>
    <row r="5802" s="69" customFormat="1" x14ac:dyDescent="0.15"/>
    <row r="5803" s="69" customFormat="1" x14ac:dyDescent="0.15"/>
    <row r="5804" s="69" customFormat="1" x14ac:dyDescent="0.15"/>
    <row r="5805" s="69" customFormat="1" x14ac:dyDescent="0.15"/>
    <row r="5806" s="69" customFormat="1" x14ac:dyDescent="0.15"/>
    <row r="5807" s="69" customFormat="1" x14ac:dyDescent="0.15"/>
    <row r="5808" s="69" customFormat="1" x14ac:dyDescent="0.15"/>
    <row r="5809" s="69" customFormat="1" x14ac:dyDescent="0.15"/>
    <row r="5810" s="69" customFormat="1" x14ac:dyDescent="0.15"/>
    <row r="5811" s="69" customFormat="1" x14ac:dyDescent="0.15"/>
    <row r="5812" s="69" customFormat="1" x14ac:dyDescent="0.15"/>
    <row r="5813" s="69" customFormat="1" x14ac:dyDescent="0.15"/>
    <row r="5814" s="69" customFormat="1" x14ac:dyDescent="0.15"/>
    <row r="5815" s="69" customFormat="1" x14ac:dyDescent="0.15"/>
    <row r="5816" s="69" customFormat="1" x14ac:dyDescent="0.15"/>
    <row r="5817" s="69" customFormat="1" x14ac:dyDescent="0.15"/>
    <row r="5818" s="69" customFormat="1" x14ac:dyDescent="0.15"/>
    <row r="5819" s="69" customFormat="1" x14ac:dyDescent="0.15"/>
    <row r="5820" s="69" customFormat="1" x14ac:dyDescent="0.15"/>
    <row r="5821" s="69" customFormat="1" x14ac:dyDescent="0.15"/>
    <row r="5822" s="69" customFormat="1" x14ac:dyDescent="0.15"/>
    <row r="5823" s="69" customFormat="1" x14ac:dyDescent="0.15"/>
    <row r="5824" s="69" customFormat="1" x14ac:dyDescent="0.15"/>
    <row r="5825" s="69" customFormat="1" x14ac:dyDescent="0.15"/>
    <row r="5826" s="69" customFormat="1" x14ac:dyDescent="0.15"/>
    <row r="5827" s="69" customFormat="1" x14ac:dyDescent="0.15"/>
    <row r="5828" s="69" customFormat="1" x14ac:dyDescent="0.15"/>
    <row r="5829" s="69" customFormat="1" x14ac:dyDescent="0.15"/>
    <row r="5830" s="69" customFormat="1" x14ac:dyDescent="0.15"/>
    <row r="5831" s="69" customFormat="1" x14ac:dyDescent="0.15"/>
    <row r="5832" s="69" customFormat="1" x14ac:dyDescent="0.15"/>
    <row r="5833" s="69" customFormat="1" x14ac:dyDescent="0.15"/>
    <row r="5834" s="69" customFormat="1" x14ac:dyDescent="0.15"/>
    <row r="5835" s="69" customFormat="1" x14ac:dyDescent="0.15"/>
    <row r="5836" s="69" customFormat="1" x14ac:dyDescent="0.15"/>
    <row r="5837" s="69" customFormat="1" x14ac:dyDescent="0.15"/>
    <row r="5838" s="69" customFormat="1" x14ac:dyDescent="0.15"/>
    <row r="5839" s="69" customFormat="1" x14ac:dyDescent="0.15"/>
    <row r="5840" s="69" customFormat="1" x14ac:dyDescent="0.15"/>
    <row r="5841" s="69" customFormat="1" x14ac:dyDescent="0.15"/>
    <row r="5842" s="69" customFormat="1" x14ac:dyDescent="0.15"/>
    <row r="5843" s="69" customFormat="1" x14ac:dyDescent="0.15"/>
    <row r="5844" s="69" customFormat="1" x14ac:dyDescent="0.15"/>
    <row r="5845" s="69" customFormat="1" x14ac:dyDescent="0.15"/>
    <row r="5846" s="69" customFormat="1" x14ac:dyDescent="0.15"/>
    <row r="5847" s="69" customFormat="1" x14ac:dyDescent="0.15"/>
    <row r="5848" s="69" customFormat="1" x14ac:dyDescent="0.15"/>
    <row r="5849" s="69" customFormat="1" x14ac:dyDescent="0.15"/>
    <row r="5850" s="69" customFormat="1" x14ac:dyDescent="0.15"/>
    <row r="5851" s="69" customFormat="1" x14ac:dyDescent="0.15"/>
    <row r="5852" s="69" customFormat="1" x14ac:dyDescent="0.15"/>
    <row r="5853" s="69" customFormat="1" x14ac:dyDescent="0.15"/>
    <row r="5854" s="69" customFormat="1" x14ac:dyDescent="0.15"/>
    <row r="5855" s="69" customFormat="1" x14ac:dyDescent="0.15"/>
    <row r="5856" s="69" customFormat="1" x14ac:dyDescent="0.15"/>
    <row r="5857" s="69" customFormat="1" x14ac:dyDescent="0.15"/>
    <row r="5858" s="69" customFormat="1" x14ac:dyDescent="0.15"/>
    <row r="5859" s="69" customFormat="1" x14ac:dyDescent="0.15"/>
    <row r="5860" s="69" customFormat="1" x14ac:dyDescent="0.15"/>
    <row r="5861" s="69" customFormat="1" x14ac:dyDescent="0.15"/>
    <row r="5862" s="69" customFormat="1" x14ac:dyDescent="0.15"/>
    <row r="5863" s="69" customFormat="1" x14ac:dyDescent="0.15"/>
    <row r="5864" s="69" customFormat="1" x14ac:dyDescent="0.15"/>
    <row r="5865" s="69" customFormat="1" x14ac:dyDescent="0.15"/>
    <row r="5866" s="69" customFormat="1" x14ac:dyDescent="0.15"/>
    <row r="5867" s="69" customFormat="1" x14ac:dyDescent="0.15"/>
    <row r="5868" s="69" customFormat="1" x14ac:dyDescent="0.15"/>
    <row r="5869" s="69" customFormat="1" x14ac:dyDescent="0.15"/>
    <row r="5870" s="69" customFormat="1" x14ac:dyDescent="0.15"/>
    <row r="5871" s="69" customFormat="1" x14ac:dyDescent="0.15"/>
    <row r="5872" s="69" customFormat="1" x14ac:dyDescent="0.15"/>
    <row r="5873" s="69" customFormat="1" x14ac:dyDescent="0.15"/>
    <row r="5874" s="69" customFormat="1" x14ac:dyDescent="0.15"/>
    <row r="5875" s="69" customFormat="1" x14ac:dyDescent="0.15"/>
    <row r="5876" s="69" customFormat="1" x14ac:dyDescent="0.15"/>
    <row r="5877" s="69" customFormat="1" x14ac:dyDescent="0.15"/>
    <row r="5878" s="69" customFormat="1" x14ac:dyDescent="0.15"/>
    <row r="5879" s="69" customFormat="1" x14ac:dyDescent="0.15"/>
    <row r="5880" s="69" customFormat="1" x14ac:dyDescent="0.15"/>
    <row r="5881" s="69" customFormat="1" x14ac:dyDescent="0.15"/>
    <row r="5882" s="69" customFormat="1" x14ac:dyDescent="0.15"/>
    <row r="5883" s="69" customFormat="1" x14ac:dyDescent="0.15"/>
    <row r="5884" s="69" customFormat="1" x14ac:dyDescent="0.15"/>
    <row r="5885" s="69" customFormat="1" x14ac:dyDescent="0.15"/>
    <row r="5886" s="69" customFormat="1" x14ac:dyDescent="0.15"/>
    <row r="5887" s="69" customFormat="1" x14ac:dyDescent="0.15"/>
    <row r="5888" s="69" customFormat="1" x14ac:dyDescent="0.15"/>
    <row r="5889" s="69" customFormat="1" x14ac:dyDescent="0.15"/>
    <row r="5890" s="69" customFormat="1" x14ac:dyDescent="0.15"/>
    <row r="5891" s="69" customFormat="1" x14ac:dyDescent="0.15"/>
    <row r="5892" s="69" customFormat="1" x14ac:dyDescent="0.15"/>
    <row r="5893" s="69" customFormat="1" x14ac:dyDescent="0.15"/>
    <row r="5894" s="69" customFormat="1" x14ac:dyDescent="0.15"/>
    <row r="5895" s="69" customFormat="1" x14ac:dyDescent="0.15"/>
    <row r="5896" s="69" customFormat="1" x14ac:dyDescent="0.15"/>
    <row r="5897" s="69" customFormat="1" x14ac:dyDescent="0.15"/>
    <row r="5898" s="69" customFormat="1" x14ac:dyDescent="0.15"/>
    <row r="5899" s="69" customFormat="1" x14ac:dyDescent="0.15"/>
    <row r="5900" s="69" customFormat="1" x14ac:dyDescent="0.15"/>
    <row r="5901" s="69" customFormat="1" x14ac:dyDescent="0.15"/>
    <row r="5902" s="69" customFormat="1" x14ac:dyDescent="0.15"/>
    <row r="5903" s="69" customFormat="1" x14ac:dyDescent="0.15"/>
    <row r="5904" s="69" customFormat="1" x14ac:dyDescent="0.15"/>
    <row r="5905" s="69" customFormat="1" x14ac:dyDescent="0.15"/>
    <row r="5906" s="69" customFormat="1" x14ac:dyDescent="0.15"/>
    <row r="5907" s="69" customFormat="1" x14ac:dyDescent="0.15"/>
    <row r="5908" s="69" customFormat="1" x14ac:dyDescent="0.15"/>
    <row r="5909" s="69" customFormat="1" x14ac:dyDescent="0.15"/>
    <row r="5910" s="69" customFormat="1" x14ac:dyDescent="0.15"/>
    <row r="5911" s="69" customFormat="1" x14ac:dyDescent="0.15"/>
    <row r="5912" s="69" customFormat="1" x14ac:dyDescent="0.15"/>
    <row r="5913" s="69" customFormat="1" x14ac:dyDescent="0.15"/>
    <row r="5914" s="69" customFormat="1" x14ac:dyDescent="0.15"/>
    <row r="5915" s="69" customFormat="1" x14ac:dyDescent="0.15"/>
    <row r="5916" s="69" customFormat="1" x14ac:dyDescent="0.15"/>
    <row r="5917" s="69" customFormat="1" x14ac:dyDescent="0.15"/>
    <row r="5918" s="69" customFormat="1" x14ac:dyDescent="0.15"/>
    <row r="5919" s="69" customFormat="1" x14ac:dyDescent="0.15"/>
    <row r="5920" s="69" customFormat="1" x14ac:dyDescent="0.15"/>
    <row r="5921" s="69" customFormat="1" x14ac:dyDescent="0.15"/>
    <row r="5922" s="69" customFormat="1" x14ac:dyDescent="0.15"/>
    <row r="5923" s="69" customFormat="1" x14ac:dyDescent="0.15"/>
    <row r="5924" s="69" customFormat="1" x14ac:dyDescent="0.15"/>
    <row r="5925" s="69" customFormat="1" x14ac:dyDescent="0.15"/>
    <row r="5926" s="69" customFormat="1" x14ac:dyDescent="0.15"/>
    <row r="5927" s="69" customFormat="1" x14ac:dyDescent="0.15"/>
    <row r="5928" s="69" customFormat="1" x14ac:dyDescent="0.15"/>
    <row r="5929" s="69" customFormat="1" x14ac:dyDescent="0.15"/>
    <row r="5930" s="69" customFormat="1" x14ac:dyDescent="0.15"/>
    <row r="5931" s="69" customFormat="1" x14ac:dyDescent="0.15"/>
    <row r="5932" s="69" customFormat="1" x14ac:dyDescent="0.15"/>
    <row r="5933" s="69" customFormat="1" x14ac:dyDescent="0.15"/>
    <row r="5934" s="69" customFormat="1" x14ac:dyDescent="0.15"/>
    <row r="5935" s="69" customFormat="1" x14ac:dyDescent="0.15"/>
    <row r="5936" s="69" customFormat="1" x14ac:dyDescent="0.15"/>
    <row r="5937" s="69" customFormat="1" x14ac:dyDescent="0.15"/>
    <row r="5938" s="69" customFormat="1" x14ac:dyDescent="0.15"/>
    <row r="5939" s="69" customFormat="1" x14ac:dyDescent="0.15"/>
    <row r="5940" s="69" customFormat="1" x14ac:dyDescent="0.15"/>
    <row r="5941" s="69" customFormat="1" x14ac:dyDescent="0.15"/>
    <row r="5942" s="69" customFormat="1" x14ac:dyDescent="0.15"/>
    <row r="5943" s="69" customFormat="1" x14ac:dyDescent="0.15"/>
    <row r="5944" s="69" customFormat="1" x14ac:dyDescent="0.15"/>
    <row r="5945" s="69" customFormat="1" x14ac:dyDescent="0.15"/>
    <row r="5946" s="69" customFormat="1" x14ac:dyDescent="0.15"/>
    <row r="5947" s="69" customFormat="1" x14ac:dyDescent="0.15"/>
    <row r="5948" s="69" customFormat="1" x14ac:dyDescent="0.15"/>
    <row r="5949" s="69" customFormat="1" x14ac:dyDescent="0.15"/>
    <row r="5950" s="69" customFormat="1" x14ac:dyDescent="0.15"/>
    <row r="5951" s="69" customFormat="1" x14ac:dyDescent="0.15"/>
    <row r="5952" s="69" customFormat="1" x14ac:dyDescent="0.15"/>
    <row r="5953" s="69" customFormat="1" x14ac:dyDescent="0.15"/>
    <row r="5954" s="69" customFormat="1" x14ac:dyDescent="0.15"/>
    <row r="5955" s="69" customFormat="1" x14ac:dyDescent="0.15"/>
    <row r="5956" s="69" customFormat="1" x14ac:dyDescent="0.15"/>
    <row r="5957" s="69" customFormat="1" x14ac:dyDescent="0.15"/>
    <row r="5958" s="69" customFormat="1" x14ac:dyDescent="0.15"/>
    <row r="5959" s="69" customFormat="1" x14ac:dyDescent="0.15"/>
    <row r="5960" s="69" customFormat="1" x14ac:dyDescent="0.15"/>
    <row r="5961" s="69" customFormat="1" x14ac:dyDescent="0.15"/>
    <row r="5962" s="69" customFormat="1" x14ac:dyDescent="0.15"/>
    <row r="5963" s="69" customFormat="1" x14ac:dyDescent="0.15"/>
    <row r="5964" s="69" customFormat="1" x14ac:dyDescent="0.15"/>
    <row r="5965" s="69" customFormat="1" x14ac:dyDescent="0.15"/>
    <row r="5966" s="69" customFormat="1" x14ac:dyDescent="0.15"/>
    <row r="5967" s="69" customFormat="1" x14ac:dyDescent="0.15"/>
    <row r="5968" s="69" customFormat="1" x14ac:dyDescent="0.15"/>
    <row r="5969" s="69" customFormat="1" x14ac:dyDescent="0.15"/>
    <row r="5970" s="69" customFormat="1" x14ac:dyDescent="0.15"/>
    <row r="5971" s="69" customFormat="1" x14ac:dyDescent="0.15"/>
    <row r="5972" s="69" customFormat="1" x14ac:dyDescent="0.15"/>
    <row r="5973" s="69" customFormat="1" x14ac:dyDescent="0.15"/>
    <row r="5974" s="69" customFormat="1" x14ac:dyDescent="0.15"/>
    <row r="5975" s="69" customFormat="1" x14ac:dyDescent="0.15"/>
    <row r="5976" s="69" customFormat="1" x14ac:dyDescent="0.15"/>
    <row r="5977" s="69" customFormat="1" x14ac:dyDescent="0.15"/>
    <row r="5978" s="69" customFormat="1" x14ac:dyDescent="0.15"/>
    <row r="5979" s="69" customFormat="1" x14ac:dyDescent="0.15"/>
    <row r="5980" s="69" customFormat="1" x14ac:dyDescent="0.15"/>
    <row r="5981" s="69" customFormat="1" x14ac:dyDescent="0.15"/>
    <row r="5982" s="69" customFormat="1" x14ac:dyDescent="0.15"/>
    <row r="5983" s="69" customFormat="1" x14ac:dyDescent="0.15"/>
    <row r="5984" s="69" customFormat="1" x14ac:dyDescent="0.15"/>
    <row r="5985" s="69" customFormat="1" x14ac:dyDescent="0.15"/>
    <row r="5986" s="69" customFormat="1" x14ac:dyDescent="0.15"/>
    <row r="5987" s="69" customFormat="1" x14ac:dyDescent="0.15"/>
    <row r="5988" s="69" customFormat="1" x14ac:dyDescent="0.15"/>
    <row r="5989" s="69" customFormat="1" x14ac:dyDescent="0.15"/>
    <row r="5990" s="69" customFormat="1" x14ac:dyDescent="0.15"/>
    <row r="5991" s="69" customFormat="1" x14ac:dyDescent="0.15"/>
    <row r="5992" s="69" customFormat="1" x14ac:dyDescent="0.15"/>
    <row r="5993" s="69" customFormat="1" x14ac:dyDescent="0.15"/>
    <row r="5994" s="69" customFormat="1" x14ac:dyDescent="0.15"/>
    <row r="5995" s="69" customFormat="1" x14ac:dyDescent="0.15"/>
    <row r="5996" s="69" customFormat="1" x14ac:dyDescent="0.15"/>
    <row r="5997" s="69" customFormat="1" x14ac:dyDescent="0.15"/>
    <row r="5998" s="69" customFormat="1" x14ac:dyDescent="0.15"/>
    <row r="5999" s="69" customFormat="1" x14ac:dyDescent="0.15"/>
    <row r="6000" s="69" customFormat="1" x14ac:dyDescent="0.15"/>
    <row r="6001" s="69" customFormat="1" x14ac:dyDescent="0.15"/>
    <row r="6002" s="69" customFormat="1" x14ac:dyDescent="0.15"/>
    <row r="6003" s="69" customFormat="1" x14ac:dyDescent="0.15"/>
    <row r="6004" s="69" customFormat="1" x14ac:dyDescent="0.15"/>
    <row r="6005" s="69" customFormat="1" x14ac:dyDescent="0.15"/>
    <row r="6006" s="69" customFormat="1" x14ac:dyDescent="0.15"/>
    <row r="6007" s="69" customFormat="1" x14ac:dyDescent="0.15"/>
    <row r="6008" s="69" customFormat="1" x14ac:dyDescent="0.15"/>
    <row r="6009" s="69" customFormat="1" x14ac:dyDescent="0.15"/>
    <row r="6010" s="69" customFormat="1" x14ac:dyDescent="0.15"/>
    <row r="6011" s="69" customFormat="1" x14ac:dyDescent="0.15"/>
    <row r="6012" s="69" customFormat="1" x14ac:dyDescent="0.15"/>
    <row r="6013" s="69" customFormat="1" x14ac:dyDescent="0.15"/>
    <row r="6014" s="69" customFormat="1" x14ac:dyDescent="0.15"/>
    <row r="6015" s="69" customFormat="1" x14ac:dyDescent="0.15"/>
    <row r="6016" s="69" customFormat="1" x14ac:dyDescent="0.15"/>
    <row r="6017" s="69" customFormat="1" x14ac:dyDescent="0.15"/>
    <row r="6018" s="69" customFormat="1" x14ac:dyDescent="0.15"/>
    <row r="6019" s="69" customFormat="1" x14ac:dyDescent="0.15"/>
    <row r="6020" s="69" customFormat="1" x14ac:dyDescent="0.15"/>
    <row r="6021" s="69" customFormat="1" x14ac:dyDescent="0.15"/>
    <row r="6022" s="69" customFormat="1" x14ac:dyDescent="0.15"/>
    <row r="6023" s="69" customFormat="1" x14ac:dyDescent="0.15"/>
    <row r="6024" s="69" customFormat="1" x14ac:dyDescent="0.15"/>
    <row r="6025" s="69" customFormat="1" x14ac:dyDescent="0.15"/>
    <row r="6026" s="69" customFormat="1" x14ac:dyDescent="0.15"/>
    <row r="6027" s="69" customFormat="1" x14ac:dyDescent="0.15"/>
    <row r="6028" s="69" customFormat="1" x14ac:dyDescent="0.15"/>
    <row r="6029" s="69" customFormat="1" x14ac:dyDescent="0.15"/>
    <row r="6030" s="69" customFormat="1" x14ac:dyDescent="0.15"/>
    <row r="6031" s="69" customFormat="1" x14ac:dyDescent="0.15"/>
    <row r="6032" s="69" customFormat="1" x14ac:dyDescent="0.15"/>
    <row r="6033" s="69" customFormat="1" x14ac:dyDescent="0.15"/>
    <row r="6034" s="69" customFormat="1" x14ac:dyDescent="0.15"/>
    <row r="6035" s="69" customFormat="1" x14ac:dyDescent="0.15"/>
    <row r="6036" s="69" customFormat="1" x14ac:dyDescent="0.15"/>
    <row r="6037" s="69" customFormat="1" x14ac:dyDescent="0.15"/>
    <row r="6038" s="69" customFormat="1" x14ac:dyDescent="0.15"/>
    <row r="6039" s="69" customFormat="1" x14ac:dyDescent="0.15"/>
    <row r="6040" s="69" customFormat="1" x14ac:dyDescent="0.15"/>
    <row r="6041" s="69" customFormat="1" x14ac:dyDescent="0.15"/>
    <row r="6042" s="69" customFormat="1" x14ac:dyDescent="0.15"/>
    <row r="6043" s="69" customFormat="1" x14ac:dyDescent="0.15"/>
    <row r="6044" s="69" customFormat="1" x14ac:dyDescent="0.15"/>
    <row r="6045" s="69" customFormat="1" x14ac:dyDescent="0.15"/>
    <row r="6046" s="69" customFormat="1" x14ac:dyDescent="0.15"/>
    <row r="6047" s="69" customFormat="1" x14ac:dyDescent="0.15"/>
    <row r="6048" s="69" customFormat="1" x14ac:dyDescent="0.15"/>
    <row r="6049" s="69" customFormat="1" x14ac:dyDescent="0.15"/>
    <row r="6050" s="69" customFormat="1" x14ac:dyDescent="0.15"/>
    <row r="6051" s="69" customFormat="1" x14ac:dyDescent="0.15"/>
    <row r="6052" s="69" customFormat="1" x14ac:dyDescent="0.15"/>
    <row r="6053" s="69" customFormat="1" x14ac:dyDescent="0.15"/>
    <row r="6054" s="69" customFormat="1" x14ac:dyDescent="0.15"/>
    <row r="6055" s="69" customFormat="1" x14ac:dyDescent="0.15"/>
    <row r="6056" s="69" customFormat="1" x14ac:dyDescent="0.15"/>
    <row r="6057" s="69" customFormat="1" x14ac:dyDescent="0.15"/>
    <row r="6058" s="69" customFormat="1" x14ac:dyDescent="0.15"/>
    <row r="6059" s="69" customFormat="1" x14ac:dyDescent="0.15"/>
    <row r="6060" s="69" customFormat="1" x14ac:dyDescent="0.15"/>
    <row r="6061" s="69" customFormat="1" x14ac:dyDescent="0.15"/>
    <row r="6062" s="69" customFormat="1" x14ac:dyDescent="0.15"/>
    <row r="6063" s="69" customFormat="1" x14ac:dyDescent="0.15"/>
    <row r="6064" s="69" customFormat="1" x14ac:dyDescent="0.15"/>
    <row r="6065" s="69" customFormat="1" x14ac:dyDescent="0.15"/>
    <row r="6066" s="69" customFormat="1" x14ac:dyDescent="0.15"/>
    <row r="6067" s="69" customFormat="1" x14ac:dyDescent="0.15"/>
    <row r="6068" s="69" customFormat="1" x14ac:dyDescent="0.15"/>
    <row r="6069" s="69" customFormat="1" x14ac:dyDescent="0.15"/>
    <row r="6070" s="69" customFormat="1" x14ac:dyDescent="0.15"/>
    <row r="6071" s="69" customFormat="1" x14ac:dyDescent="0.15"/>
    <row r="6072" s="69" customFormat="1" x14ac:dyDescent="0.15"/>
    <row r="6073" s="69" customFormat="1" x14ac:dyDescent="0.15"/>
    <row r="6074" s="69" customFormat="1" x14ac:dyDescent="0.15"/>
    <row r="6075" s="69" customFormat="1" x14ac:dyDescent="0.15"/>
    <row r="6076" s="69" customFormat="1" x14ac:dyDescent="0.15"/>
    <row r="6077" s="69" customFormat="1" x14ac:dyDescent="0.15"/>
    <row r="6078" s="69" customFormat="1" x14ac:dyDescent="0.15"/>
    <row r="6079" s="69" customFormat="1" x14ac:dyDescent="0.15"/>
    <row r="6080" s="69" customFormat="1" x14ac:dyDescent="0.15"/>
    <row r="6081" s="69" customFormat="1" x14ac:dyDescent="0.15"/>
    <row r="6082" s="69" customFormat="1" x14ac:dyDescent="0.15"/>
    <row r="6083" s="69" customFormat="1" x14ac:dyDescent="0.15"/>
    <row r="6084" s="69" customFormat="1" x14ac:dyDescent="0.15"/>
    <row r="6085" s="69" customFormat="1" x14ac:dyDescent="0.15"/>
    <row r="6086" s="69" customFormat="1" x14ac:dyDescent="0.15"/>
    <row r="6087" s="69" customFormat="1" x14ac:dyDescent="0.15"/>
    <row r="6088" s="69" customFormat="1" x14ac:dyDescent="0.15"/>
    <row r="6089" s="69" customFormat="1" x14ac:dyDescent="0.15"/>
    <row r="6090" s="69" customFormat="1" x14ac:dyDescent="0.15"/>
    <row r="6091" s="69" customFormat="1" x14ac:dyDescent="0.15"/>
    <row r="6092" s="69" customFormat="1" x14ac:dyDescent="0.15"/>
    <row r="6093" s="69" customFormat="1" x14ac:dyDescent="0.15"/>
    <row r="6094" s="69" customFormat="1" x14ac:dyDescent="0.15"/>
    <row r="6095" s="69" customFormat="1" x14ac:dyDescent="0.15"/>
    <row r="6096" s="69" customFormat="1" x14ac:dyDescent="0.15"/>
    <row r="6097" s="69" customFormat="1" x14ac:dyDescent="0.15"/>
    <row r="6098" s="69" customFormat="1" x14ac:dyDescent="0.15"/>
    <row r="6099" s="69" customFormat="1" x14ac:dyDescent="0.15"/>
    <row r="6100" s="69" customFormat="1" x14ac:dyDescent="0.15"/>
    <row r="6101" s="69" customFormat="1" x14ac:dyDescent="0.15"/>
    <row r="6102" s="69" customFormat="1" x14ac:dyDescent="0.15"/>
    <row r="6103" s="69" customFormat="1" x14ac:dyDescent="0.15"/>
    <row r="6104" s="69" customFormat="1" x14ac:dyDescent="0.15"/>
    <row r="6105" s="69" customFormat="1" x14ac:dyDescent="0.15"/>
    <row r="6106" s="69" customFormat="1" x14ac:dyDescent="0.15"/>
    <row r="6107" s="69" customFormat="1" x14ac:dyDescent="0.15"/>
    <row r="6108" s="69" customFormat="1" x14ac:dyDescent="0.15"/>
    <row r="6109" s="69" customFormat="1" x14ac:dyDescent="0.15"/>
    <row r="6110" s="69" customFormat="1" x14ac:dyDescent="0.15"/>
    <row r="6111" s="69" customFormat="1" x14ac:dyDescent="0.15"/>
    <row r="6112" s="69" customFormat="1" x14ac:dyDescent="0.15"/>
    <row r="6113" s="69" customFormat="1" x14ac:dyDescent="0.15"/>
    <row r="6114" s="69" customFormat="1" x14ac:dyDescent="0.15"/>
    <row r="6115" s="69" customFormat="1" x14ac:dyDescent="0.15"/>
    <row r="6116" s="69" customFormat="1" x14ac:dyDescent="0.15"/>
    <row r="6117" s="69" customFormat="1" x14ac:dyDescent="0.15"/>
    <row r="6118" s="69" customFormat="1" x14ac:dyDescent="0.15"/>
    <row r="6119" s="69" customFormat="1" x14ac:dyDescent="0.15"/>
    <row r="6120" s="69" customFormat="1" x14ac:dyDescent="0.15"/>
    <row r="6121" s="69" customFormat="1" x14ac:dyDescent="0.15"/>
    <row r="6122" s="69" customFormat="1" x14ac:dyDescent="0.15"/>
    <row r="6123" s="69" customFormat="1" x14ac:dyDescent="0.15"/>
    <row r="6124" s="69" customFormat="1" x14ac:dyDescent="0.15"/>
    <row r="6125" s="69" customFormat="1" x14ac:dyDescent="0.15"/>
    <row r="6126" s="69" customFormat="1" x14ac:dyDescent="0.15"/>
    <row r="6127" s="69" customFormat="1" x14ac:dyDescent="0.15"/>
    <row r="6128" s="69" customFormat="1" x14ac:dyDescent="0.15"/>
    <row r="6129" s="69" customFormat="1" x14ac:dyDescent="0.15"/>
    <row r="6130" s="69" customFormat="1" x14ac:dyDescent="0.15"/>
    <row r="6131" s="69" customFormat="1" x14ac:dyDescent="0.15"/>
    <row r="6132" s="69" customFormat="1" x14ac:dyDescent="0.15"/>
    <row r="6133" s="69" customFormat="1" x14ac:dyDescent="0.15"/>
    <row r="6134" s="69" customFormat="1" x14ac:dyDescent="0.15"/>
    <row r="6135" s="69" customFormat="1" x14ac:dyDescent="0.15"/>
    <row r="6136" s="69" customFormat="1" x14ac:dyDescent="0.15"/>
    <row r="6137" s="69" customFormat="1" x14ac:dyDescent="0.15"/>
    <row r="6138" s="69" customFormat="1" x14ac:dyDescent="0.15"/>
    <row r="6139" s="69" customFormat="1" x14ac:dyDescent="0.15"/>
    <row r="6140" s="69" customFormat="1" x14ac:dyDescent="0.15"/>
    <row r="6141" s="69" customFormat="1" x14ac:dyDescent="0.15"/>
    <row r="6142" s="69" customFormat="1" x14ac:dyDescent="0.15"/>
    <row r="6143" s="69" customFormat="1" x14ac:dyDescent="0.15"/>
    <row r="6144" s="69" customFormat="1" x14ac:dyDescent="0.15"/>
    <row r="6145" s="69" customFormat="1" x14ac:dyDescent="0.15"/>
    <row r="6146" s="69" customFormat="1" x14ac:dyDescent="0.15"/>
    <row r="6147" s="69" customFormat="1" x14ac:dyDescent="0.15"/>
    <row r="6148" s="69" customFormat="1" x14ac:dyDescent="0.15"/>
    <row r="6149" s="69" customFormat="1" x14ac:dyDescent="0.15"/>
    <row r="6150" s="69" customFormat="1" x14ac:dyDescent="0.15"/>
    <row r="6151" s="69" customFormat="1" x14ac:dyDescent="0.15"/>
    <row r="6152" s="69" customFormat="1" x14ac:dyDescent="0.15"/>
    <row r="6153" s="69" customFormat="1" x14ac:dyDescent="0.15"/>
    <row r="6154" s="69" customFormat="1" x14ac:dyDescent="0.15"/>
    <row r="6155" s="69" customFormat="1" x14ac:dyDescent="0.15"/>
    <row r="6156" s="69" customFormat="1" x14ac:dyDescent="0.15"/>
    <row r="6157" s="69" customFormat="1" x14ac:dyDescent="0.15"/>
    <row r="6158" s="69" customFormat="1" x14ac:dyDescent="0.15"/>
    <row r="6159" s="69" customFormat="1" x14ac:dyDescent="0.15"/>
    <row r="6160" s="69" customFormat="1" x14ac:dyDescent="0.15"/>
    <row r="6161" s="69" customFormat="1" x14ac:dyDescent="0.15"/>
    <row r="6162" s="69" customFormat="1" x14ac:dyDescent="0.15"/>
    <row r="6163" s="69" customFormat="1" x14ac:dyDescent="0.15"/>
    <row r="6164" s="69" customFormat="1" x14ac:dyDescent="0.15"/>
    <row r="6165" s="69" customFormat="1" x14ac:dyDescent="0.15"/>
    <row r="6166" s="69" customFormat="1" x14ac:dyDescent="0.15"/>
    <row r="6167" s="69" customFormat="1" x14ac:dyDescent="0.15"/>
    <row r="6168" s="69" customFormat="1" x14ac:dyDescent="0.15"/>
    <row r="6169" s="69" customFormat="1" x14ac:dyDescent="0.15"/>
    <row r="6170" s="69" customFormat="1" x14ac:dyDescent="0.15"/>
    <row r="6171" s="69" customFormat="1" x14ac:dyDescent="0.15"/>
    <row r="6172" s="69" customFormat="1" x14ac:dyDescent="0.15"/>
    <row r="6173" s="69" customFormat="1" x14ac:dyDescent="0.15"/>
    <row r="6174" s="69" customFormat="1" x14ac:dyDescent="0.15"/>
    <row r="6175" s="69" customFormat="1" x14ac:dyDescent="0.15"/>
    <row r="6176" s="69" customFormat="1" x14ac:dyDescent="0.15"/>
    <row r="6177" s="69" customFormat="1" x14ac:dyDescent="0.15"/>
    <row r="6178" s="69" customFormat="1" x14ac:dyDescent="0.15"/>
    <row r="6179" s="69" customFormat="1" x14ac:dyDescent="0.15"/>
    <row r="6180" s="69" customFormat="1" x14ac:dyDescent="0.15"/>
    <row r="6181" s="69" customFormat="1" x14ac:dyDescent="0.15"/>
    <row r="6182" s="69" customFormat="1" x14ac:dyDescent="0.15"/>
    <row r="6183" s="69" customFormat="1" x14ac:dyDescent="0.15"/>
    <row r="6184" s="69" customFormat="1" x14ac:dyDescent="0.15"/>
    <row r="6185" s="69" customFormat="1" x14ac:dyDescent="0.15"/>
    <row r="6186" s="69" customFormat="1" x14ac:dyDescent="0.15"/>
    <row r="6187" s="69" customFormat="1" x14ac:dyDescent="0.15"/>
    <row r="6188" s="69" customFormat="1" x14ac:dyDescent="0.15"/>
    <row r="6189" s="69" customFormat="1" x14ac:dyDescent="0.15"/>
    <row r="6190" s="69" customFormat="1" x14ac:dyDescent="0.15"/>
    <row r="6191" s="69" customFormat="1" x14ac:dyDescent="0.15"/>
    <row r="6192" s="69" customFormat="1" x14ac:dyDescent="0.15"/>
    <row r="6193" s="69" customFormat="1" x14ac:dyDescent="0.15"/>
    <row r="6194" s="69" customFormat="1" x14ac:dyDescent="0.15"/>
    <row r="6195" s="69" customFormat="1" x14ac:dyDescent="0.15"/>
    <row r="6196" s="69" customFormat="1" x14ac:dyDescent="0.15"/>
    <row r="6197" s="69" customFormat="1" x14ac:dyDescent="0.15"/>
    <row r="6198" s="69" customFormat="1" x14ac:dyDescent="0.15"/>
    <row r="6199" s="69" customFormat="1" x14ac:dyDescent="0.15"/>
    <row r="6200" s="69" customFormat="1" x14ac:dyDescent="0.15"/>
    <row r="6201" s="69" customFormat="1" x14ac:dyDescent="0.15"/>
    <row r="6202" s="69" customFormat="1" x14ac:dyDescent="0.15"/>
    <row r="6203" s="69" customFormat="1" x14ac:dyDescent="0.15"/>
    <row r="6204" s="69" customFormat="1" x14ac:dyDescent="0.15"/>
    <row r="6205" s="69" customFormat="1" x14ac:dyDescent="0.15"/>
    <row r="6206" s="69" customFormat="1" x14ac:dyDescent="0.15"/>
    <row r="6207" s="69" customFormat="1" x14ac:dyDescent="0.15"/>
    <row r="6208" s="69" customFormat="1" x14ac:dyDescent="0.15"/>
    <row r="6209" s="69" customFormat="1" x14ac:dyDescent="0.15"/>
    <row r="6210" s="69" customFormat="1" x14ac:dyDescent="0.15"/>
    <row r="6211" s="69" customFormat="1" x14ac:dyDescent="0.15"/>
    <row r="6212" s="69" customFormat="1" x14ac:dyDescent="0.15"/>
    <row r="6213" s="69" customFormat="1" x14ac:dyDescent="0.15"/>
    <row r="6214" s="69" customFormat="1" x14ac:dyDescent="0.15"/>
    <row r="6215" s="69" customFormat="1" x14ac:dyDescent="0.15"/>
    <row r="6216" s="69" customFormat="1" x14ac:dyDescent="0.15"/>
    <row r="6217" s="69" customFormat="1" x14ac:dyDescent="0.15"/>
    <row r="6218" s="69" customFormat="1" x14ac:dyDescent="0.15"/>
    <row r="6219" s="69" customFormat="1" x14ac:dyDescent="0.15"/>
    <row r="6220" s="69" customFormat="1" x14ac:dyDescent="0.15"/>
    <row r="6221" s="69" customFormat="1" x14ac:dyDescent="0.15"/>
    <row r="6222" s="69" customFormat="1" x14ac:dyDescent="0.15"/>
    <row r="6223" s="69" customFormat="1" x14ac:dyDescent="0.15"/>
    <row r="6224" s="69" customFormat="1" x14ac:dyDescent="0.15"/>
    <row r="6225" s="69" customFormat="1" x14ac:dyDescent="0.15"/>
    <row r="6226" s="69" customFormat="1" x14ac:dyDescent="0.15"/>
    <row r="6227" s="69" customFormat="1" x14ac:dyDescent="0.15"/>
    <row r="6228" s="69" customFormat="1" x14ac:dyDescent="0.15"/>
    <row r="6229" s="69" customFormat="1" x14ac:dyDescent="0.15"/>
    <row r="6230" s="69" customFormat="1" x14ac:dyDescent="0.15"/>
    <row r="6231" s="69" customFormat="1" x14ac:dyDescent="0.15"/>
    <row r="6232" s="69" customFormat="1" x14ac:dyDescent="0.15"/>
    <row r="6233" s="69" customFormat="1" x14ac:dyDescent="0.15"/>
    <row r="6234" s="69" customFormat="1" x14ac:dyDescent="0.15"/>
    <row r="6235" s="69" customFormat="1" x14ac:dyDescent="0.15"/>
    <row r="6236" s="69" customFormat="1" x14ac:dyDescent="0.15"/>
    <row r="6237" s="69" customFormat="1" x14ac:dyDescent="0.15"/>
    <row r="6238" s="69" customFormat="1" x14ac:dyDescent="0.15"/>
    <row r="6239" s="69" customFormat="1" x14ac:dyDescent="0.15"/>
    <row r="6240" s="69" customFormat="1" x14ac:dyDescent="0.15"/>
    <row r="6241" s="69" customFormat="1" x14ac:dyDescent="0.15"/>
    <row r="6242" s="69" customFormat="1" x14ac:dyDescent="0.15"/>
    <row r="6243" s="69" customFormat="1" x14ac:dyDescent="0.15"/>
    <row r="6244" s="69" customFormat="1" x14ac:dyDescent="0.15"/>
    <row r="6245" s="69" customFormat="1" x14ac:dyDescent="0.15"/>
    <row r="6246" s="69" customFormat="1" x14ac:dyDescent="0.15"/>
    <row r="6247" s="69" customFormat="1" x14ac:dyDescent="0.15"/>
    <row r="6248" s="69" customFormat="1" x14ac:dyDescent="0.15"/>
    <row r="6249" s="69" customFormat="1" x14ac:dyDescent="0.15"/>
    <row r="6250" s="69" customFormat="1" x14ac:dyDescent="0.15"/>
    <row r="6251" s="69" customFormat="1" x14ac:dyDescent="0.15"/>
    <row r="6252" s="69" customFormat="1" x14ac:dyDescent="0.15"/>
    <row r="6253" s="69" customFormat="1" x14ac:dyDescent="0.15"/>
    <row r="6254" s="69" customFormat="1" x14ac:dyDescent="0.15"/>
    <row r="6255" s="69" customFormat="1" x14ac:dyDescent="0.15"/>
    <row r="6256" s="69" customFormat="1" x14ac:dyDescent="0.15"/>
    <row r="6257" s="69" customFormat="1" x14ac:dyDescent="0.15"/>
    <row r="6258" s="69" customFormat="1" x14ac:dyDescent="0.15"/>
    <row r="6259" s="69" customFormat="1" x14ac:dyDescent="0.15"/>
    <row r="6260" s="69" customFormat="1" x14ac:dyDescent="0.15"/>
    <row r="6261" s="69" customFormat="1" x14ac:dyDescent="0.15"/>
    <row r="6262" s="69" customFormat="1" x14ac:dyDescent="0.15"/>
    <row r="6263" s="69" customFormat="1" x14ac:dyDescent="0.15"/>
    <row r="6264" s="69" customFormat="1" x14ac:dyDescent="0.15"/>
    <row r="6265" s="69" customFormat="1" x14ac:dyDescent="0.15"/>
    <row r="6266" s="69" customFormat="1" x14ac:dyDescent="0.15"/>
    <row r="6267" s="69" customFormat="1" x14ac:dyDescent="0.15"/>
    <row r="6268" s="69" customFormat="1" x14ac:dyDescent="0.15"/>
    <row r="6269" s="69" customFormat="1" x14ac:dyDescent="0.15"/>
    <row r="6270" s="69" customFormat="1" x14ac:dyDescent="0.15"/>
    <row r="6271" s="69" customFormat="1" x14ac:dyDescent="0.15"/>
    <row r="6272" s="69" customFormat="1" x14ac:dyDescent="0.15"/>
    <row r="6273" s="69" customFormat="1" x14ac:dyDescent="0.15"/>
    <row r="6274" s="69" customFormat="1" x14ac:dyDescent="0.15"/>
    <row r="6275" s="69" customFormat="1" x14ac:dyDescent="0.15"/>
    <row r="6276" s="69" customFormat="1" x14ac:dyDescent="0.15"/>
    <row r="6277" s="69" customFormat="1" x14ac:dyDescent="0.15"/>
    <row r="6278" s="69" customFormat="1" x14ac:dyDescent="0.15"/>
    <row r="6279" s="69" customFormat="1" x14ac:dyDescent="0.15"/>
    <row r="6280" s="69" customFormat="1" x14ac:dyDescent="0.15"/>
    <row r="6281" s="69" customFormat="1" x14ac:dyDescent="0.15"/>
    <row r="6282" s="69" customFormat="1" x14ac:dyDescent="0.15"/>
    <row r="6283" s="69" customFormat="1" x14ac:dyDescent="0.15"/>
    <row r="6284" s="69" customFormat="1" x14ac:dyDescent="0.15"/>
    <row r="6285" s="69" customFormat="1" x14ac:dyDescent="0.15"/>
    <row r="6286" s="69" customFormat="1" x14ac:dyDescent="0.15"/>
    <row r="6287" s="69" customFormat="1" x14ac:dyDescent="0.15"/>
    <row r="6288" s="69" customFormat="1" x14ac:dyDescent="0.15"/>
    <row r="6289" s="69" customFormat="1" x14ac:dyDescent="0.15"/>
    <row r="6290" s="69" customFormat="1" x14ac:dyDescent="0.15"/>
    <row r="6291" s="69" customFormat="1" x14ac:dyDescent="0.15"/>
    <row r="6292" s="69" customFormat="1" x14ac:dyDescent="0.15"/>
    <row r="6293" s="69" customFormat="1" x14ac:dyDescent="0.15"/>
    <row r="6294" s="69" customFormat="1" x14ac:dyDescent="0.15"/>
    <row r="6295" s="69" customFormat="1" x14ac:dyDescent="0.15"/>
    <row r="6296" s="69" customFormat="1" x14ac:dyDescent="0.15"/>
    <row r="6297" s="69" customFormat="1" x14ac:dyDescent="0.15"/>
    <row r="6298" s="69" customFormat="1" x14ac:dyDescent="0.15"/>
    <row r="6299" s="69" customFormat="1" x14ac:dyDescent="0.15"/>
    <row r="6300" s="69" customFormat="1" x14ac:dyDescent="0.15"/>
    <row r="6301" s="69" customFormat="1" x14ac:dyDescent="0.15"/>
    <row r="6302" s="69" customFormat="1" x14ac:dyDescent="0.15"/>
    <row r="6303" s="69" customFormat="1" x14ac:dyDescent="0.15"/>
    <row r="6304" s="69" customFormat="1" x14ac:dyDescent="0.15"/>
    <row r="6305" s="69" customFormat="1" x14ac:dyDescent="0.15"/>
    <row r="6306" s="69" customFormat="1" x14ac:dyDescent="0.15"/>
    <row r="6307" s="69" customFormat="1" x14ac:dyDescent="0.15"/>
    <row r="6308" s="69" customFormat="1" x14ac:dyDescent="0.15"/>
    <row r="6309" s="69" customFormat="1" x14ac:dyDescent="0.15"/>
    <row r="6310" s="69" customFormat="1" x14ac:dyDescent="0.15"/>
    <row r="6311" s="69" customFormat="1" x14ac:dyDescent="0.15"/>
    <row r="6312" s="69" customFormat="1" x14ac:dyDescent="0.15"/>
    <row r="6313" s="69" customFormat="1" x14ac:dyDescent="0.15"/>
    <row r="6314" s="69" customFormat="1" x14ac:dyDescent="0.15"/>
    <row r="6315" s="69" customFormat="1" x14ac:dyDescent="0.15"/>
    <row r="6316" s="69" customFormat="1" x14ac:dyDescent="0.15"/>
    <row r="6317" s="69" customFormat="1" x14ac:dyDescent="0.15"/>
    <row r="6318" s="69" customFormat="1" x14ac:dyDescent="0.15"/>
    <row r="6319" s="69" customFormat="1" x14ac:dyDescent="0.15"/>
    <row r="6320" s="69" customFormat="1" x14ac:dyDescent="0.15"/>
    <row r="6321" s="69" customFormat="1" x14ac:dyDescent="0.15"/>
    <row r="6322" s="69" customFormat="1" x14ac:dyDescent="0.15"/>
    <row r="6323" s="69" customFormat="1" x14ac:dyDescent="0.15"/>
    <row r="6324" s="69" customFormat="1" x14ac:dyDescent="0.15"/>
    <row r="6325" s="69" customFormat="1" x14ac:dyDescent="0.15"/>
    <row r="6326" s="69" customFormat="1" x14ac:dyDescent="0.15"/>
    <row r="6327" s="69" customFormat="1" x14ac:dyDescent="0.15"/>
    <row r="6328" s="69" customFormat="1" x14ac:dyDescent="0.15"/>
    <row r="6329" s="69" customFormat="1" x14ac:dyDescent="0.15"/>
    <row r="6330" s="69" customFormat="1" x14ac:dyDescent="0.15"/>
    <row r="6331" s="69" customFormat="1" x14ac:dyDescent="0.15"/>
    <row r="6332" s="69" customFormat="1" x14ac:dyDescent="0.15"/>
    <row r="6333" s="69" customFormat="1" x14ac:dyDescent="0.15"/>
    <row r="6334" s="69" customFormat="1" x14ac:dyDescent="0.15"/>
    <row r="6335" s="69" customFormat="1" x14ac:dyDescent="0.15"/>
    <row r="6336" s="69" customFormat="1" x14ac:dyDescent="0.15"/>
    <row r="6337" s="69" customFormat="1" x14ac:dyDescent="0.15"/>
    <row r="6338" s="69" customFormat="1" x14ac:dyDescent="0.15"/>
    <row r="6339" s="69" customFormat="1" x14ac:dyDescent="0.15"/>
    <row r="6340" s="69" customFormat="1" x14ac:dyDescent="0.15"/>
    <row r="6341" s="69" customFormat="1" x14ac:dyDescent="0.15"/>
    <row r="6342" s="69" customFormat="1" x14ac:dyDescent="0.15"/>
    <row r="6343" s="69" customFormat="1" x14ac:dyDescent="0.15"/>
    <row r="6344" s="69" customFormat="1" x14ac:dyDescent="0.15"/>
    <row r="6345" s="69" customFormat="1" x14ac:dyDescent="0.15"/>
    <row r="6346" s="69" customFormat="1" x14ac:dyDescent="0.15"/>
    <row r="6347" s="69" customFormat="1" x14ac:dyDescent="0.15"/>
    <row r="6348" s="69" customFormat="1" x14ac:dyDescent="0.15"/>
    <row r="6349" s="69" customFormat="1" x14ac:dyDescent="0.15"/>
    <row r="6350" s="69" customFormat="1" x14ac:dyDescent="0.15"/>
    <row r="6351" s="69" customFormat="1" x14ac:dyDescent="0.15"/>
    <row r="6352" s="69" customFormat="1" x14ac:dyDescent="0.15"/>
    <row r="6353" s="69" customFormat="1" x14ac:dyDescent="0.15"/>
    <row r="6354" s="69" customFormat="1" x14ac:dyDescent="0.15"/>
    <row r="6355" s="69" customFormat="1" x14ac:dyDescent="0.15"/>
    <row r="6356" s="69" customFormat="1" x14ac:dyDescent="0.15"/>
    <row r="6357" s="69" customFormat="1" x14ac:dyDescent="0.15"/>
    <row r="6358" s="69" customFormat="1" x14ac:dyDescent="0.15"/>
    <row r="6359" s="69" customFormat="1" x14ac:dyDescent="0.15"/>
    <row r="6360" s="69" customFormat="1" x14ac:dyDescent="0.15"/>
    <row r="6361" s="69" customFormat="1" x14ac:dyDescent="0.15"/>
    <row r="6362" s="69" customFormat="1" x14ac:dyDescent="0.15"/>
    <row r="6363" s="69" customFormat="1" x14ac:dyDescent="0.15"/>
    <row r="6364" s="69" customFormat="1" x14ac:dyDescent="0.15"/>
    <row r="6365" s="69" customFormat="1" x14ac:dyDescent="0.15"/>
    <row r="6366" s="69" customFormat="1" x14ac:dyDescent="0.15"/>
    <row r="6367" s="69" customFormat="1" x14ac:dyDescent="0.15"/>
    <row r="6368" s="69" customFormat="1" x14ac:dyDescent="0.15"/>
    <row r="6369" s="69" customFormat="1" x14ac:dyDescent="0.15"/>
    <row r="6370" s="69" customFormat="1" x14ac:dyDescent="0.15"/>
    <row r="6371" s="69" customFormat="1" x14ac:dyDescent="0.15"/>
    <row r="6372" s="69" customFormat="1" x14ac:dyDescent="0.15"/>
    <row r="6373" s="69" customFormat="1" x14ac:dyDescent="0.15"/>
    <row r="6374" s="69" customFormat="1" x14ac:dyDescent="0.15"/>
    <row r="6375" s="69" customFormat="1" x14ac:dyDescent="0.15"/>
    <row r="6376" s="69" customFormat="1" x14ac:dyDescent="0.15"/>
    <row r="6377" s="69" customFormat="1" x14ac:dyDescent="0.15"/>
    <row r="6378" s="69" customFormat="1" x14ac:dyDescent="0.15"/>
    <row r="6379" s="69" customFormat="1" x14ac:dyDescent="0.15"/>
    <row r="6380" s="69" customFormat="1" x14ac:dyDescent="0.15"/>
    <row r="6381" s="69" customFormat="1" x14ac:dyDescent="0.15"/>
    <row r="6382" s="69" customFormat="1" x14ac:dyDescent="0.15"/>
    <row r="6383" s="69" customFormat="1" x14ac:dyDescent="0.15"/>
    <row r="6384" s="69" customFormat="1" x14ac:dyDescent="0.15"/>
    <row r="6385" s="69" customFormat="1" x14ac:dyDescent="0.15"/>
    <row r="6386" s="69" customFormat="1" x14ac:dyDescent="0.15"/>
    <row r="6387" s="69" customFormat="1" x14ac:dyDescent="0.15"/>
    <row r="6388" s="69" customFormat="1" x14ac:dyDescent="0.15"/>
    <row r="6389" s="69" customFormat="1" x14ac:dyDescent="0.15"/>
    <row r="6390" s="69" customFormat="1" x14ac:dyDescent="0.15"/>
    <row r="6391" s="69" customFormat="1" x14ac:dyDescent="0.15"/>
    <row r="6392" s="69" customFormat="1" x14ac:dyDescent="0.15"/>
    <row r="6393" s="69" customFormat="1" x14ac:dyDescent="0.15"/>
    <row r="6394" s="69" customFormat="1" x14ac:dyDescent="0.15"/>
    <row r="6395" s="69" customFormat="1" x14ac:dyDescent="0.15"/>
    <row r="6396" s="69" customFormat="1" x14ac:dyDescent="0.15"/>
    <row r="6397" s="69" customFormat="1" x14ac:dyDescent="0.15"/>
    <row r="6398" s="69" customFormat="1" x14ac:dyDescent="0.15"/>
    <row r="6399" s="69" customFormat="1" x14ac:dyDescent="0.15"/>
    <row r="6400" s="69" customFormat="1" x14ac:dyDescent="0.15"/>
    <row r="6401" s="69" customFormat="1" x14ac:dyDescent="0.15"/>
    <row r="6402" s="69" customFormat="1" x14ac:dyDescent="0.15"/>
    <row r="6403" s="69" customFormat="1" x14ac:dyDescent="0.15"/>
    <row r="6404" s="69" customFormat="1" x14ac:dyDescent="0.15"/>
    <row r="6405" s="69" customFormat="1" x14ac:dyDescent="0.15"/>
    <row r="6406" s="69" customFormat="1" x14ac:dyDescent="0.15"/>
    <row r="6407" s="69" customFormat="1" x14ac:dyDescent="0.15"/>
    <row r="6408" s="69" customFormat="1" x14ac:dyDescent="0.15"/>
    <row r="6409" s="69" customFormat="1" x14ac:dyDescent="0.15"/>
    <row r="6410" s="69" customFormat="1" x14ac:dyDescent="0.15"/>
    <row r="6411" s="69" customFormat="1" x14ac:dyDescent="0.15"/>
    <row r="6412" s="69" customFormat="1" x14ac:dyDescent="0.15"/>
    <row r="6413" s="69" customFormat="1" x14ac:dyDescent="0.15"/>
    <row r="6414" s="69" customFormat="1" x14ac:dyDescent="0.15"/>
    <row r="6415" s="69" customFormat="1" x14ac:dyDescent="0.15"/>
    <row r="6416" s="69" customFormat="1" x14ac:dyDescent="0.15"/>
    <row r="6417" s="69" customFormat="1" x14ac:dyDescent="0.15"/>
    <row r="6418" s="69" customFormat="1" x14ac:dyDescent="0.15"/>
    <row r="6419" s="69" customFormat="1" x14ac:dyDescent="0.15"/>
    <row r="6420" s="69" customFormat="1" x14ac:dyDescent="0.15"/>
    <row r="6421" s="69" customFormat="1" x14ac:dyDescent="0.15"/>
    <row r="6422" s="69" customFormat="1" x14ac:dyDescent="0.15"/>
    <row r="6423" s="69" customFormat="1" x14ac:dyDescent="0.15"/>
    <row r="6424" s="69" customFormat="1" x14ac:dyDescent="0.15"/>
    <row r="6425" s="69" customFormat="1" x14ac:dyDescent="0.15"/>
    <row r="6426" s="69" customFormat="1" x14ac:dyDescent="0.15"/>
    <row r="6427" s="69" customFormat="1" x14ac:dyDescent="0.15"/>
    <row r="6428" s="69" customFormat="1" x14ac:dyDescent="0.15"/>
    <row r="6429" s="69" customFormat="1" x14ac:dyDescent="0.15"/>
    <row r="6430" s="69" customFormat="1" x14ac:dyDescent="0.15"/>
    <row r="6431" s="69" customFormat="1" x14ac:dyDescent="0.15"/>
    <row r="6432" s="69" customFormat="1" x14ac:dyDescent="0.15"/>
    <row r="6433" s="69" customFormat="1" x14ac:dyDescent="0.15"/>
    <row r="6434" s="69" customFormat="1" x14ac:dyDescent="0.15"/>
    <row r="6435" s="69" customFormat="1" x14ac:dyDescent="0.15"/>
    <row r="6436" s="69" customFormat="1" x14ac:dyDescent="0.15"/>
    <row r="6437" s="69" customFormat="1" x14ac:dyDescent="0.15"/>
    <row r="6438" s="69" customFormat="1" x14ac:dyDescent="0.15"/>
    <row r="6439" s="69" customFormat="1" x14ac:dyDescent="0.15"/>
    <row r="6440" s="69" customFormat="1" x14ac:dyDescent="0.15"/>
    <row r="6441" s="69" customFormat="1" x14ac:dyDescent="0.15"/>
    <row r="6442" s="69" customFormat="1" x14ac:dyDescent="0.15"/>
    <row r="6443" s="69" customFormat="1" x14ac:dyDescent="0.15"/>
    <row r="6444" s="69" customFormat="1" x14ac:dyDescent="0.15"/>
    <row r="6445" s="69" customFormat="1" x14ac:dyDescent="0.15"/>
    <row r="6446" s="69" customFormat="1" x14ac:dyDescent="0.15"/>
    <row r="6447" s="69" customFormat="1" x14ac:dyDescent="0.15"/>
    <row r="6448" s="69" customFormat="1" x14ac:dyDescent="0.15"/>
    <row r="6449" s="69" customFormat="1" x14ac:dyDescent="0.15"/>
    <row r="6450" s="69" customFormat="1" x14ac:dyDescent="0.15"/>
    <row r="6451" s="69" customFormat="1" x14ac:dyDescent="0.15"/>
    <row r="6452" s="69" customFormat="1" x14ac:dyDescent="0.15"/>
    <row r="6453" s="69" customFormat="1" x14ac:dyDescent="0.15"/>
    <row r="6454" s="69" customFormat="1" x14ac:dyDescent="0.15"/>
    <row r="6455" s="69" customFormat="1" x14ac:dyDescent="0.15"/>
    <row r="6456" s="69" customFormat="1" x14ac:dyDescent="0.15"/>
    <row r="6457" s="69" customFormat="1" x14ac:dyDescent="0.15"/>
    <row r="6458" s="69" customFormat="1" x14ac:dyDescent="0.15"/>
    <row r="6459" s="69" customFormat="1" x14ac:dyDescent="0.15"/>
    <row r="6460" s="69" customFormat="1" x14ac:dyDescent="0.15"/>
    <row r="6461" s="69" customFormat="1" x14ac:dyDescent="0.15"/>
    <row r="6462" s="69" customFormat="1" x14ac:dyDescent="0.15"/>
    <row r="6463" s="69" customFormat="1" x14ac:dyDescent="0.15"/>
    <row r="6464" s="69" customFormat="1" x14ac:dyDescent="0.15"/>
    <row r="6465" s="69" customFormat="1" x14ac:dyDescent="0.15"/>
    <row r="6466" s="69" customFormat="1" x14ac:dyDescent="0.15"/>
    <row r="6467" s="69" customFormat="1" x14ac:dyDescent="0.15"/>
    <row r="6468" s="69" customFormat="1" x14ac:dyDescent="0.15"/>
    <row r="6469" s="69" customFormat="1" x14ac:dyDescent="0.15"/>
    <row r="6470" s="69" customFormat="1" x14ac:dyDescent="0.15"/>
    <row r="6471" s="69" customFormat="1" x14ac:dyDescent="0.15"/>
    <row r="6472" s="69" customFormat="1" x14ac:dyDescent="0.15"/>
    <row r="6473" s="69" customFormat="1" x14ac:dyDescent="0.15"/>
    <row r="6474" s="69" customFormat="1" x14ac:dyDescent="0.15"/>
    <row r="6475" s="69" customFormat="1" x14ac:dyDescent="0.15"/>
    <row r="6476" s="69" customFormat="1" x14ac:dyDescent="0.15"/>
    <row r="6477" s="69" customFormat="1" x14ac:dyDescent="0.15"/>
    <row r="6478" s="69" customFormat="1" x14ac:dyDescent="0.15"/>
    <row r="6479" s="69" customFormat="1" x14ac:dyDescent="0.15"/>
    <row r="6480" s="69" customFormat="1" x14ac:dyDescent="0.15"/>
    <row r="6481" s="69" customFormat="1" x14ac:dyDescent="0.15"/>
    <row r="6482" s="69" customFormat="1" x14ac:dyDescent="0.15"/>
    <row r="6483" s="69" customFormat="1" x14ac:dyDescent="0.15"/>
    <row r="6484" s="69" customFormat="1" x14ac:dyDescent="0.15"/>
    <row r="6485" s="69" customFormat="1" x14ac:dyDescent="0.15"/>
    <row r="6486" s="69" customFormat="1" x14ac:dyDescent="0.15"/>
    <row r="6487" s="69" customFormat="1" x14ac:dyDescent="0.15"/>
    <row r="6488" s="69" customFormat="1" x14ac:dyDescent="0.15"/>
    <row r="6489" s="69" customFormat="1" x14ac:dyDescent="0.15"/>
    <row r="6490" s="69" customFormat="1" x14ac:dyDescent="0.15"/>
    <row r="6491" s="69" customFormat="1" x14ac:dyDescent="0.15"/>
    <row r="6492" s="69" customFormat="1" x14ac:dyDescent="0.15"/>
    <row r="6493" s="69" customFormat="1" x14ac:dyDescent="0.15"/>
    <row r="6494" s="69" customFormat="1" x14ac:dyDescent="0.15"/>
    <row r="6495" s="69" customFormat="1" x14ac:dyDescent="0.15"/>
    <row r="6496" s="69" customFormat="1" x14ac:dyDescent="0.15"/>
    <row r="6497" s="69" customFormat="1" x14ac:dyDescent="0.15"/>
    <row r="6498" s="69" customFormat="1" x14ac:dyDescent="0.15"/>
    <row r="6499" s="69" customFormat="1" x14ac:dyDescent="0.15"/>
    <row r="6500" s="69" customFormat="1" x14ac:dyDescent="0.15"/>
    <row r="6501" s="69" customFormat="1" x14ac:dyDescent="0.15"/>
    <row r="6502" s="69" customFormat="1" x14ac:dyDescent="0.15"/>
    <row r="6503" s="69" customFormat="1" x14ac:dyDescent="0.15"/>
    <row r="6504" s="69" customFormat="1" x14ac:dyDescent="0.15"/>
    <row r="6505" s="69" customFormat="1" x14ac:dyDescent="0.15"/>
    <row r="6506" s="69" customFormat="1" x14ac:dyDescent="0.15"/>
    <row r="6507" s="69" customFormat="1" x14ac:dyDescent="0.15"/>
    <row r="6508" s="69" customFormat="1" x14ac:dyDescent="0.15"/>
    <row r="6509" s="69" customFormat="1" x14ac:dyDescent="0.15"/>
    <row r="6510" s="69" customFormat="1" x14ac:dyDescent="0.15"/>
    <row r="6511" s="69" customFormat="1" x14ac:dyDescent="0.15"/>
    <row r="6512" s="69" customFormat="1" x14ac:dyDescent="0.15"/>
    <row r="6513" s="69" customFormat="1" x14ac:dyDescent="0.15"/>
    <row r="6514" s="69" customFormat="1" x14ac:dyDescent="0.15"/>
    <row r="6515" s="69" customFormat="1" x14ac:dyDescent="0.15"/>
    <row r="6516" s="69" customFormat="1" x14ac:dyDescent="0.15"/>
    <row r="6517" s="69" customFormat="1" x14ac:dyDescent="0.15"/>
    <row r="6518" s="69" customFormat="1" x14ac:dyDescent="0.15"/>
    <row r="6519" s="69" customFormat="1" x14ac:dyDescent="0.15"/>
    <row r="6520" s="69" customFormat="1" x14ac:dyDescent="0.15"/>
    <row r="6521" s="69" customFormat="1" x14ac:dyDescent="0.15"/>
    <row r="6522" s="69" customFormat="1" x14ac:dyDescent="0.15"/>
    <row r="6523" s="69" customFormat="1" x14ac:dyDescent="0.15"/>
    <row r="6524" s="69" customFormat="1" x14ac:dyDescent="0.15"/>
    <row r="6525" s="69" customFormat="1" x14ac:dyDescent="0.15"/>
    <row r="6526" s="69" customFormat="1" x14ac:dyDescent="0.15"/>
    <row r="6527" s="69" customFormat="1" x14ac:dyDescent="0.15"/>
    <row r="6528" s="69" customFormat="1" x14ac:dyDescent="0.15"/>
    <row r="6529" s="69" customFormat="1" x14ac:dyDescent="0.15"/>
    <row r="6530" s="69" customFormat="1" x14ac:dyDescent="0.15"/>
    <row r="6531" s="69" customFormat="1" x14ac:dyDescent="0.15"/>
    <row r="6532" s="69" customFormat="1" x14ac:dyDescent="0.15"/>
    <row r="6533" s="69" customFormat="1" x14ac:dyDescent="0.15"/>
    <row r="6534" s="69" customFormat="1" x14ac:dyDescent="0.15"/>
    <row r="6535" s="69" customFormat="1" x14ac:dyDescent="0.15"/>
    <row r="6536" s="69" customFormat="1" x14ac:dyDescent="0.15"/>
    <row r="6537" s="69" customFormat="1" x14ac:dyDescent="0.15"/>
    <row r="6538" s="69" customFormat="1" x14ac:dyDescent="0.15"/>
    <row r="6539" s="69" customFormat="1" x14ac:dyDescent="0.15"/>
    <row r="6540" s="69" customFormat="1" x14ac:dyDescent="0.15"/>
    <row r="6541" s="69" customFormat="1" x14ac:dyDescent="0.15"/>
    <row r="6542" s="69" customFormat="1" x14ac:dyDescent="0.15"/>
    <row r="6543" s="69" customFormat="1" x14ac:dyDescent="0.15"/>
    <row r="6544" s="69" customFormat="1" x14ac:dyDescent="0.15"/>
    <row r="6545" s="69" customFormat="1" x14ac:dyDescent="0.15"/>
    <row r="6546" s="69" customFormat="1" x14ac:dyDescent="0.15"/>
    <row r="6547" s="69" customFormat="1" x14ac:dyDescent="0.15"/>
    <row r="6548" s="69" customFormat="1" x14ac:dyDescent="0.15"/>
    <row r="6549" s="69" customFormat="1" x14ac:dyDescent="0.15"/>
    <row r="6550" s="69" customFormat="1" x14ac:dyDescent="0.15"/>
    <row r="6551" s="69" customFormat="1" x14ac:dyDescent="0.15"/>
    <row r="6552" s="69" customFormat="1" x14ac:dyDescent="0.15"/>
    <row r="6553" s="69" customFormat="1" x14ac:dyDescent="0.15"/>
    <row r="6554" s="69" customFormat="1" x14ac:dyDescent="0.15"/>
    <row r="6555" s="69" customFormat="1" x14ac:dyDescent="0.15"/>
    <row r="6556" s="69" customFormat="1" x14ac:dyDescent="0.15"/>
    <row r="6557" s="69" customFormat="1" x14ac:dyDescent="0.15"/>
    <row r="6558" s="69" customFormat="1" x14ac:dyDescent="0.15"/>
    <row r="6559" s="69" customFormat="1" x14ac:dyDescent="0.15"/>
    <row r="6560" s="69" customFormat="1" x14ac:dyDescent="0.15"/>
    <row r="6561" s="69" customFormat="1" x14ac:dyDescent="0.15"/>
    <row r="6562" s="69" customFormat="1" x14ac:dyDescent="0.15"/>
    <row r="6563" s="69" customFormat="1" x14ac:dyDescent="0.15"/>
    <row r="6564" s="69" customFormat="1" x14ac:dyDescent="0.15"/>
    <row r="6565" s="69" customFormat="1" x14ac:dyDescent="0.15"/>
    <row r="6566" s="69" customFormat="1" x14ac:dyDescent="0.15"/>
    <row r="6567" s="69" customFormat="1" x14ac:dyDescent="0.15"/>
    <row r="6568" s="69" customFormat="1" x14ac:dyDescent="0.15"/>
    <row r="6569" s="69" customFormat="1" x14ac:dyDescent="0.15"/>
    <row r="6570" s="69" customFormat="1" x14ac:dyDescent="0.15"/>
    <row r="6571" s="69" customFormat="1" x14ac:dyDescent="0.15"/>
    <row r="6572" s="69" customFormat="1" x14ac:dyDescent="0.15"/>
    <row r="6573" s="69" customFormat="1" x14ac:dyDescent="0.15"/>
    <row r="6574" s="69" customFormat="1" x14ac:dyDescent="0.15"/>
    <row r="6575" s="69" customFormat="1" x14ac:dyDescent="0.15"/>
    <row r="6576" s="69" customFormat="1" x14ac:dyDescent="0.15"/>
    <row r="6577" s="69" customFormat="1" x14ac:dyDescent="0.15"/>
    <row r="6578" s="69" customFormat="1" x14ac:dyDescent="0.15"/>
    <row r="6579" s="69" customFormat="1" x14ac:dyDescent="0.15"/>
    <row r="6580" s="69" customFormat="1" x14ac:dyDescent="0.15"/>
    <row r="6581" s="69" customFormat="1" x14ac:dyDescent="0.15"/>
    <row r="6582" s="69" customFormat="1" x14ac:dyDescent="0.15"/>
    <row r="6583" s="69" customFormat="1" x14ac:dyDescent="0.15"/>
    <row r="6584" s="69" customFormat="1" x14ac:dyDescent="0.15"/>
    <row r="6585" s="69" customFormat="1" x14ac:dyDescent="0.15"/>
    <row r="6586" s="69" customFormat="1" x14ac:dyDescent="0.15"/>
    <row r="6587" s="69" customFormat="1" x14ac:dyDescent="0.15"/>
    <row r="6588" s="69" customFormat="1" x14ac:dyDescent="0.15"/>
    <row r="6589" s="69" customFormat="1" x14ac:dyDescent="0.15"/>
    <row r="6590" s="69" customFormat="1" x14ac:dyDescent="0.15"/>
    <row r="6591" s="69" customFormat="1" x14ac:dyDescent="0.15"/>
    <row r="6592" s="69" customFormat="1" x14ac:dyDescent="0.15"/>
    <row r="6593" s="69" customFormat="1" x14ac:dyDescent="0.15"/>
    <row r="6594" s="69" customFormat="1" x14ac:dyDescent="0.15"/>
    <row r="6595" s="69" customFormat="1" x14ac:dyDescent="0.15"/>
    <row r="6596" s="69" customFormat="1" x14ac:dyDescent="0.15"/>
    <row r="6597" s="69" customFormat="1" x14ac:dyDescent="0.15"/>
    <row r="6598" s="69" customFormat="1" x14ac:dyDescent="0.15"/>
    <row r="6599" s="69" customFormat="1" x14ac:dyDescent="0.15"/>
    <row r="6600" s="69" customFormat="1" x14ac:dyDescent="0.15"/>
    <row r="6601" s="69" customFormat="1" x14ac:dyDescent="0.15"/>
    <row r="6602" s="69" customFormat="1" x14ac:dyDescent="0.15"/>
    <row r="6603" s="69" customFormat="1" x14ac:dyDescent="0.15"/>
    <row r="6604" s="69" customFormat="1" x14ac:dyDescent="0.15"/>
    <row r="6605" s="69" customFormat="1" x14ac:dyDescent="0.15"/>
    <row r="6606" s="69" customFormat="1" x14ac:dyDescent="0.15"/>
    <row r="6607" s="69" customFormat="1" x14ac:dyDescent="0.15"/>
    <row r="6608" s="69" customFormat="1" x14ac:dyDescent="0.15"/>
    <row r="6609" s="69" customFormat="1" x14ac:dyDescent="0.15"/>
    <row r="6610" s="69" customFormat="1" x14ac:dyDescent="0.15"/>
    <row r="6611" s="69" customFormat="1" x14ac:dyDescent="0.15"/>
    <row r="6612" s="69" customFormat="1" x14ac:dyDescent="0.15"/>
    <row r="6613" s="69" customFormat="1" x14ac:dyDescent="0.15"/>
    <row r="6614" s="69" customFormat="1" x14ac:dyDescent="0.15"/>
    <row r="6615" s="69" customFormat="1" x14ac:dyDescent="0.15"/>
    <row r="6616" s="69" customFormat="1" x14ac:dyDescent="0.15"/>
    <row r="6617" s="69" customFormat="1" x14ac:dyDescent="0.15"/>
    <row r="6618" s="69" customFormat="1" x14ac:dyDescent="0.15"/>
    <row r="6619" s="69" customFormat="1" x14ac:dyDescent="0.15"/>
    <row r="6620" s="69" customFormat="1" x14ac:dyDescent="0.15"/>
    <row r="6621" s="69" customFormat="1" x14ac:dyDescent="0.15"/>
    <row r="6622" s="69" customFormat="1" x14ac:dyDescent="0.15"/>
    <row r="6623" s="69" customFormat="1" x14ac:dyDescent="0.15"/>
    <row r="6624" s="69" customFormat="1" x14ac:dyDescent="0.15"/>
    <row r="6625" s="69" customFormat="1" x14ac:dyDescent="0.15"/>
    <row r="6626" s="69" customFormat="1" x14ac:dyDescent="0.15"/>
    <row r="6627" s="69" customFormat="1" x14ac:dyDescent="0.15"/>
    <row r="6628" s="69" customFormat="1" x14ac:dyDescent="0.15"/>
    <row r="6629" s="69" customFormat="1" x14ac:dyDescent="0.15"/>
    <row r="6630" s="69" customFormat="1" x14ac:dyDescent="0.15"/>
    <row r="6631" s="69" customFormat="1" x14ac:dyDescent="0.15"/>
    <row r="6632" s="69" customFormat="1" x14ac:dyDescent="0.15"/>
    <row r="6633" s="69" customFormat="1" x14ac:dyDescent="0.15"/>
    <row r="6634" s="69" customFormat="1" x14ac:dyDescent="0.15"/>
    <row r="6635" s="69" customFormat="1" x14ac:dyDescent="0.15"/>
    <row r="6636" s="69" customFormat="1" x14ac:dyDescent="0.15"/>
    <row r="6637" s="69" customFormat="1" x14ac:dyDescent="0.15"/>
    <row r="6638" s="69" customFormat="1" x14ac:dyDescent="0.15"/>
    <row r="6639" s="69" customFormat="1" x14ac:dyDescent="0.15"/>
    <row r="6640" s="69" customFormat="1" x14ac:dyDescent="0.15"/>
    <row r="6641" s="69" customFormat="1" x14ac:dyDescent="0.15"/>
    <row r="6642" s="69" customFormat="1" x14ac:dyDescent="0.15"/>
    <row r="6643" s="69" customFormat="1" x14ac:dyDescent="0.15"/>
    <row r="6644" s="69" customFormat="1" x14ac:dyDescent="0.15"/>
    <row r="6645" s="69" customFormat="1" x14ac:dyDescent="0.15"/>
    <row r="6646" s="69" customFormat="1" x14ac:dyDescent="0.15"/>
    <row r="6647" s="69" customFormat="1" x14ac:dyDescent="0.15"/>
    <row r="6648" s="69" customFormat="1" x14ac:dyDescent="0.15"/>
    <row r="6649" s="69" customFormat="1" x14ac:dyDescent="0.15"/>
    <row r="6650" s="69" customFormat="1" x14ac:dyDescent="0.15"/>
    <row r="6651" s="69" customFormat="1" x14ac:dyDescent="0.15"/>
    <row r="6652" s="69" customFormat="1" x14ac:dyDescent="0.15"/>
    <row r="6653" s="69" customFormat="1" x14ac:dyDescent="0.15"/>
    <row r="6654" s="69" customFormat="1" x14ac:dyDescent="0.15"/>
    <row r="6655" s="69" customFormat="1" x14ac:dyDescent="0.15"/>
    <row r="6656" s="69" customFormat="1" x14ac:dyDescent="0.15"/>
    <row r="6657" s="69" customFormat="1" x14ac:dyDescent="0.15"/>
    <row r="6658" s="69" customFormat="1" x14ac:dyDescent="0.15"/>
    <row r="6659" s="69" customFormat="1" x14ac:dyDescent="0.15"/>
    <row r="6660" s="69" customFormat="1" x14ac:dyDescent="0.15"/>
    <row r="6661" s="69" customFormat="1" x14ac:dyDescent="0.15"/>
    <row r="6662" s="69" customFormat="1" x14ac:dyDescent="0.15"/>
    <row r="6663" s="69" customFormat="1" x14ac:dyDescent="0.15"/>
    <row r="6664" s="69" customFormat="1" x14ac:dyDescent="0.15"/>
    <row r="6665" s="69" customFormat="1" x14ac:dyDescent="0.15"/>
    <row r="6666" s="69" customFormat="1" x14ac:dyDescent="0.15"/>
    <row r="6667" s="69" customFormat="1" x14ac:dyDescent="0.15"/>
    <row r="6668" s="69" customFormat="1" x14ac:dyDescent="0.15"/>
    <row r="6669" s="69" customFormat="1" x14ac:dyDescent="0.15"/>
    <row r="6670" s="69" customFormat="1" x14ac:dyDescent="0.15"/>
    <row r="6671" s="69" customFormat="1" x14ac:dyDescent="0.15"/>
    <row r="6672" s="69" customFormat="1" x14ac:dyDescent="0.15"/>
    <row r="6673" s="69" customFormat="1" x14ac:dyDescent="0.15"/>
    <row r="6674" s="69" customFormat="1" x14ac:dyDescent="0.15"/>
    <row r="6675" s="69" customFormat="1" x14ac:dyDescent="0.15"/>
    <row r="6676" s="69" customFormat="1" x14ac:dyDescent="0.15"/>
    <row r="6677" s="69" customFormat="1" x14ac:dyDescent="0.15"/>
    <row r="6678" s="69" customFormat="1" x14ac:dyDescent="0.15"/>
    <row r="6679" s="69" customFormat="1" x14ac:dyDescent="0.15"/>
    <row r="6680" s="69" customFormat="1" x14ac:dyDescent="0.15"/>
    <row r="6681" s="69" customFormat="1" x14ac:dyDescent="0.15"/>
    <row r="6682" s="69" customFormat="1" x14ac:dyDescent="0.15"/>
    <row r="6683" s="69" customFormat="1" x14ac:dyDescent="0.15"/>
    <row r="6684" s="69" customFormat="1" x14ac:dyDescent="0.15"/>
    <row r="6685" s="69" customFormat="1" x14ac:dyDescent="0.15"/>
    <row r="6686" s="69" customFormat="1" x14ac:dyDescent="0.15"/>
    <row r="6687" s="69" customFormat="1" x14ac:dyDescent="0.15"/>
    <row r="6688" s="69" customFormat="1" x14ac:dyDescent="0.15"/>
    <row r="6689" s="69" customFormat="1" x14ac:dyDescent="0.15"/>
    <row r="6690" s="69" customFormat="1" x14ac:dyDescent="0.15"/>
    <row r="6691" s="69" customFormat="1" x14ac:dyDescent="0.15"/>
    <row r="6692" s="69" customFormat="1" x14ac:dyDescent="0.15"/>
    <row r="6693" s="69" customFormat="1" x14ac:dyDescent="0.15"/>
    <row r="6694" s="69" customFormat="1" x14ac:dyDescent="0.15"/>
    <row r="6695" s="69" customFormat="1" x14ac:dyDescent="0.15"/>
    <row r="6696" s="69" customFormat="1" x14ac:dyDescent="0.15"/>
    <row r="6697" s="69" customFormat="1" x14ac:dyDescent="0.15"/>
    <row r="6698" s="69" customFormat="1" x14ac:dyDescent="0.15"/>
    <row r="6699" s="69" customFormat="1" x14ac:dyDescent="0.15"/>
    <row r="6700" s="69" customFormat="1" x14ac:dyDescent="0.15"/>
    <row r="6701" s="69" customFormat="1" x14ac:dyDescent="0.15"/>
    <row r="6702" s="69" customFormat="1" x14ac:dyDescent="0.15"/>
    <row r="6703" s="69" customFormat="1" x14ac:dyDescent="0.15"/>
    <row r="6704" s="69" customFormat="1" x14ac:dyDescent="0.15"/>
    <row r="6705" s="69" customFormat="1" x14ac:dyDescent="0.15"/>
    <row r="6706" s="69" customFormat="1" x14ac:dyDescent="0.15"/>
    <row r="6707" s="69" customFormat="1" x14ac:dyDescent="0.15"/>
    <row r="6708" s="69" customFormat="1" x14ac:dyDescent="0.15"/>
    <row r="6709" s="69" customFormat="1" x14ac:dyDescent="0.15"/>
    <row r="6710" s="69" customFormat="1" x14ac:dyDescent="0.15"/>
    <row r="6711" s="69" customFormat="1" x14ac:dyDescent="0.15"/>
    <row r="6712" s="69" customFormat="1" x14ac:dyDescent="0.15"/>
    <row r="6713" s="69" customFormat="1" x14ac:dyDescent="0.15"/>
    <row r="6714" s="69" customFormat="1" x14ac:dyDescent="0.15"/>
    <row r="6715" s="69" customFormat="1" x14ac:dyDescent="0.15"/>
    <row r="6716" s="69" customFormat="1" x14ac:dyDescent="0.15"/>
    <row r="6717" s="69" customFormat="1" x14ac:dyDescent="0.15"/>
    <row r="6718" s="69" customFormat="1" x14ac:dyDescent="0.15"/>
    <row r="6719" s="69" customFormat="1" x14ac:dyDescent="0.15"/>
    <row r="6720" s="69" customFormat="1" x14ac:dyDescent="0.15"/>
    <row r="6721" s="69" customFormat="1" x14ac:dyDescent="0.15"/>
    <row r="6722" s="69" customFormat="1" x14ac:dyDescent="0.15"/>
    <row r="6723" s="69" customFormat="1" x14ac:dyDescent="0.15"/>
    <row r="6724" s="69" customFormat="1" x14ac:dyDescent="0.15"/>
    <row r="6725" s="69" customFormat="1" x14ac:dyDescent="0.15"/>
    <row r="6726" s="69" customFormat="1" x14ac:dyDescent="0.15"/>
    <row r="6727" s="69" customFormat="1" x14ac:dyDescent="0.15"/>
    <row r="6728" s="69" customFormat="1" x14ac:dyDescent="0.15"/>
    <row r="6729" s="69" customFormat="1" x14ac:dyDescent="0.15"/>
    <row r="6730" s="69" customFormat="1" x14ac:dyDescent="0.15"/>
    <row r="6731" s="69" customFormat="1" x14ac:dyDescent="0.15"/>
    <row r="6732" s="69" customFormat="1" x14ac:dyDescent="0.15"/>
    <row r="6733" s="69" customFormat="1" x14ac:dyDescent="0.15"/>
    <row r="6734" s="69" customFormat="1" x14ac:dyDescent="0.15"/>
    <row r="6735" s="69" customFormat="1" x14ac:dyDescent="0.15"/>
    <row r="6736" s="69" customFormat="1" x14ac:dyDescent="0.15"/>
    <row r="6737" s="69" customFormat="1" x14ac:dyDescent="0.15"/>
    <row r="6738" s="69" customFormat="1" x14ac:dyDescent="0.15"/>
    <row r="6739" s="69" customFormat="1" x14ac:dyDescent="0.15"/>
    <row r="6740" s="69" customFormat="1" x14ac:dyDescent="0.15"/>
    <row r="6741" s="69" customFormat="1" x14ac:dyDescent="0.15"/>
    <row r="6742" s="69" customFormat="1" x14ac:dyDescent="0.15"/>
    <row r="6743" s="69" customFormat="1" x14ac:dyDescent="0.15"/>
    <row r="6744" s="69" customFormat="1" x14ac:dyDescent="0.15"/>
    <row r="6745" s="69" customFormat="1" x14ac:dyDescent="0.15"/>
    <row r="6746" s="69" customFormat="1" x14ac:dyDescent="0.15"/>
    <row r="6747" s="69" customFormat="1" x14ac:dyDescent="0.15"/>
    <row r="6748" s="69" customFormat="1" x14ac:dyDescent="0.15"/>
    <row r="6749" s="69" customFormat="1" x14ac:dyDescent="0.15"/>
    <row r="6750" s="69" customFormat="1" x14ac:dyDescent="0.15"/>
    <row r="6751" s="69" customFormat="1" x14ac:dyDescent="0.15"/>
    <row r="6752" s="69" customFormat="1" x14ac:dyDescent="0.15"/>
    <row r="6753" s="69" customFormat="1" x14ac:dyDescent="0.15"/>
    <row r="6754" s="69" customFormat="1" x14ac:dyDescent="0.15"/>
    <row r="6755" s="69" customFormat="1" x14ac:dyDescent="0.15"/>
    <row r="6756" s="69" customFormat="1" x14ac:dyDescent="0.15"/>
    <row r="6757" s="69" customFormat="1" x14ac:dyDescent="0.15"/>
    <row r="6758" s="69" customFormat="1" x14ac:dyDescent="0.15"/>
    <row r="6759" s="69" customFormat="1" x14ac:dyDescent="0.15"/>
    <row r="6760" s="69" customFormat="1" x14ac:dyDescent="0.15"/>
    <row r="6761" s="69" customFormat="1" x14ac:dyDescent="0.15"/>
    <row r="6762" s="69" customFormat="1" x14ac:dyDescent="0.15"/>
    <row r="6763" s="69" customFormat="1" x14ac:dyDescent="0.15"/>
    <row r="6764" s="69" customFormat="1" x14ac:dyDescent="0.15"/>
    <row r="6765" s="69" customFormat="1" x14ac:dyDescent="0.15"/>
    <row r="6766" s="69" customFormat="1" x14ac:dyDescent="0.15"/>
    <row r="6767" s="69" customFormat="1" x14ac:dyDescent="0.15"/>
    <row r="6768" s="69" customFormat="1" x14ac:dyDescent="0.15"/>
    <row r="6769" s="69" customFormat="1" x14ac:dyDescent="0.15"/>
    <row r="6770" s="69" customFormat="1" x14ac:dyDescent="0.15"/>
    <row r="6771" s="69" customFormat="1" x14ac:dyDescent="0.15"/>
    <row r="6772" s="69" customFormat="1" x14ac:dyDescent="0.15"/>
    <row r="6773" s="69" customFormat="1" x14ac:dyDescent="0.15"/>
    <row r="6774" s="69" customFormat="1" x14ac:dyDescent="0.15"/>
    <row r="6775" s="69" customFormat="1" x14ac:dyDescent="0.15"/>
    <row r="6776" s="69" customFormat="1" x14ac:dyDescent="0.15"/>
    <row r="6777" s="69" customFormat="1" x14ac:dyDescent="0.15"/>
    <row r="6778" s="69" customFormat="1" x14ac:dyDescent="0.15"/>
    <row r="6779" s="69" customFormat="1" x14ac:dyDescent="0.15"/>
    <row r="6780" s="69" customFormat="1" x14ac:dyDescent="0.15"/>
    <row r="6781" s="69" customFormat="1" x14ac:dyDescent="0.15"/>
    <row r="6782" s="69" customFormat="1" x14ac:dyDescent="0.15"/>
    <row r="6783" s="69" customFormat="1" x14ac:dyDescent="0.15"/>
    <row r="6784" s="69" customFormat="1" x14ac:dyDescent="0.15"/>
    <row r="6785" s="69" customFormat="1" x14ac:dyDescent="0.15"/>
    <row r="6786" s="69" customFormat="1" x14ac:dyDescent="0.15"/>
    <row r="6787" s="69" customFormat="1" x14ac:dyDescent="0.15"/>
    <row r="6788" s="69" customFormat="1" x14ac:dyDescent="0.15"/>
    <row r="6789" s="69" customFormat="1" x14ac:dyDescent="0.15"/>
    <row r="6790" s="69" customFormat="1" x14ac:dyDescent="0.15"/>
    <row r="6791" s="69" customFormat="1" x14ac:dyDescent="0.15"/>
    <row r="6792" s="69" customFormat="1" x14ac:dyDescent="0.15"/>
    <row r="6793" s="69" customFormat="1" x14ac:dyDescent="0.15"/>
    <row r="6794" s="69" customFormat="1" x14ac:dyDescent="0.15"/>
    <row r="6795" s="69" customFormat="1" x14ac:dyDescent="0.15"/>
    <row r="6796" s="69" customFormat="1" x14ac:dyDescent="0.15"/>
    <row r="6797" s="69" customFormat="1" x14ac:dyDescent="0.15"/>
    <row r="6798" s="69" customFormat="1" x14ac:dyDescent="0.15"/>
    <row r="6799" s="69" customFormat="1" x14ac:dyDescent="0.15"/>
    <row r="6800" s="69" customFormat="1" x14ac:dyDescent="0.15"/>
    <row r="6801" s="69" customFormat="1" x14ac:dyDescent="0.15"/>
    <row r="6802" s="69" customFormat="1" x14ac:dyDescent="0.15"/>
    <row r="6803" s="69" customFormat="1" x14ac:dyDescent="0.15"/>
    <row r="6804" s="69" customFormat="1" x14ac:dyDescent="0.15"/>
    <row r="6805" s="69" customFormat="1" x14ac:dyDescent="0.15"/>
    <row r="6806" s="69" customFormat="1" x14ac:dyDescent="0.15"/>
    <row r="6807" s="69" customFormat="1" x14ac:dyDescent="0.15"/>
    <row r="6808" s="69" customFormat="1" x14ac:dyDescent="0.15"/>
    <row r="6809" s="69" customFormat="1" x14ac:dyDescent="0.15"/>
    <row r="6810" s="69" customFormat="1" x14ac:dyDescent="0.15"/>
    <row r="6811" s="69" customFormat="1" x14ac:dyDescent="0.15"/>
    <row r="6812" s="69" customFormat="1" x14ac:dyDescent="0.15"/>
    <row r="6813" s="69" customFormat="1" x14ac:dyDescent="0.15"/>
    <row r="6814" s="69" customFormat="1" x14ac:dyDescent="0.15"/>
    <row r="6815" s="69" customFormat="1" x14ac:dyDescent="0.15"/>
    <row r="6816" s="69" customFormat="1" x14ac:dyDescent="0.15"/>
    <row r="6817" s="69" customFormat="1" x14ac:dyDescent="0.15"/>
    <row r="6818" s="69" customFormat="1" x14ac:dyDescent="0.15"/>
    <row r="6819" s="69" customFormat="1" x14ac:dyDescent="0.15"/>
    <row r="6820" s="69" customFormat="1" x14ac:dyDescent="0.15"/>
    <row r="6821" s="69" customFormat="1" x14ac:dyDescent="0.15"/>
    <row r="6822" s="69" customFormat="1" x14ac:dyDescent="0.15"/>
    <row r="6823" s="69" customFormat="1" x14ac:dyDescent="0.15"/>
    <row r="6824" s="69" customFormat="1" x14ac:dyDescent="0.15"/>
    <row r="6825" s="69" customFormat="1" x14ac:dyDescent="0.15"/>
    <row r="6826" s="69" customFormat="1" x14ac:dyDescent="0.15"/>
    <row r="6827" s="69" customFormat="1" x14ac:dyDescent="0.15"/>
    <row r="6828" s="69" customFormat="1" x14ac:dyDescent="0.15"/>
    <row r="6829" s="69" customFormat="1" x14ac:dyDescent="0.15"/>
    <row r="6830" s="69" customFormat="1" x14ac:dyDescent="0.15"/>
    <row r="6831" s="69" customFormat="1" x14ac:dyDescent="0.15"/>
    <row r="6832" s="69" customFormat="1" x14ac:dyDescent="0.15"/>
    <row r="6833" s="69" customFormat="1" x14ac:dyDescent="0.15"/>
    <row r="6834" s="69" customFormat="1" x14ac:dyDescent="0.15"/>
    <row r="6835" s="69" customFormat="1" x14ac:dyDescent="0.15"/>
    <row r="6836" s="69" customFormat="1" x14ac:dyDescent="0.15"/>
    <row r="6837" s="69" customFormat="1" x14ac:dyDescent="0.15"/>
    <row r="6838" s="69" customFormat="1" x14ac:dyDescent="0.15"/>
    <row r="6839" s="69" customFormat="1" x14ac:dyDescent="0.15"/>
    <row r="6840" s="69" customFormat="1" x14ac:dyDescent="0.15"/>
    <row r="6841" s="69" customFormat="1" x14ac:dyDescent="0.15"/>
    <row r="6842" s="69" customFormat="1" x14ac:dyDescent="0.15"/>
    <row r="6843" s="69" customFormat="1" x14ac:dyDescent="0.15"/>
    <row r="6844" s="69" customFormat="1" x14ac:dyDescent="0.15"/>
    <row r="6845" s="69" customFormat="1" x14ac:dyDescent="0.15"/>
    <row r="6846" s="69" customFormat="1" x14ac:dyDescent="0.15"/>
    <row r="6847" s="69" customFormat="1" x14ac:dyDescent="0.15"/>
    <row r="6848" s="69" customFormat="1" x14ac:dyDescent="0.15"/>
    <row r="6849" s="69" customFormat="1" x14ac:dyDescent="0.15"/>
    <row r="6850" s="69" customFormat="1" x14ac:dyDescent="0.15"/>
    <row r="6851" s="69" customFormat="1" x14ac:dyDescent="0.15"/>
    <row r="6852" s="69" customFormat="1" x14ac:dyDescent="0.15"/>
    <row r="6853" s="69" customFormat="1" x14ac:dyDescent="0.15"/>
    <row r="6854" s="69" customFormat="1" x14ac:dyDescent="0.15"/>
    <row r="6855" s="69" customFormat="1" x14ac:dyDescent="0.15"/>
    <row r="6856" s="69" customFormat="1" x14ac:dyDescent="0.15"/>
    <row r="6857" s="69" customFormat="1" x14ac:dyDescent="0.15"/>
    <row r="6858" s="69" customFormat="1" x14ac:dyDescent="0.15"/>
    <row r="6859" s="69" customFormat="1" x14ac:dyDescent="0.15"/>
    <row r="6860" s="69" customFormat="1" x14ac:dyDescent="0.15"/>
    <row r="6861" s="69" customFormat="1" x14ac:dyDescent="0.15"/>
    <row r="6862" s="69" customFormat="1" x14ac:dyDescent="0.15"/>
    <row r="6863" s="69" customFormat="1" x14ac:dyDescent="0.15"/>
    <row r="6864" s="69" customFormat="1" x14ac:dyDescent="0.15"/>
    <row r="6865" s="69" customFormat="1" x14ac:dyDescent="0.15"/>
    <row r="6866" s="69" customFormat="1" x14ac:dyDescent="0.15"/>
    <row r="6867" s="69" customFormat="1" x14ac:dyDescent="0.15"/>
    <row r="6868" s="69" customFormat="1" x14ac:dyDescent="0.15"/>
    <row r="6869" s="69" customFormat="1" x14ac:dyDescent="0.15"/>
    <row r="6870" s="69" customFormat="1" x14ac:dyDescent="0.15"/>
    <row r="6871" s="69" customFormat="1" x14ac:dyDescent="0.15"/>
    <row r="6872" s="69" customFormat="1" x14ac:dyDescent="0.15"/>
    <row r="6873" s="69" customFormat="1" x14ac:dyDescent="0.15"/>
    <row r="6874" s="69" customFormat="1" x14ac:dyDescent="0.15"/>
    <row r="6875" s="69" customFormat="1" x14ac:dyDescent="0.15"/>
    <row r="6876" s="69" customFormat="1" x14ac:dyDescent="0.15"/>
    <row r="6877" s="69" customFormat="1" x14ac:dyDescent="0.15"/>
    <row r="6878" s="69" customFormat="1" x14ac:dyDescent="0.15"/>
    <row r="6879" s="69" customFormat="1" x14ac:dyDescent="0.15"/>
    <row r="6880" s="69" customFormat="1" x14ac:dyDescent="0.15"/>
    <row r="6881" s="69" customFormat="1" x14ac:dyDescent="0.15"/>
    <row r="6882" s="69" customFormat="1" x14ac:dyDescent="0.15"/>
    <row r="6883" s="69" customFormat="1" x14ac:dyDescent="0.15"/>
    <row r="6884" s="69" customFormat="1" x14ac:dyDescent="0.15"/>
    <row r="6885" s="69" customFormat="1" x14ac:dyDescent="0.15"/>
    <row r="6886" s="69" customFormat="1" x14ac:dyDescent="0.15"/>
    <row r="6887" s="69" customFormat="1" x14ac:dyDescent="0.15"/>
    <row r="6888" s="69" customFormat="1" x14ac:dyDescent="0.15"/>
    <row r="6889" s="69" customFormat="1" x14ac:dyDescent="0.15"/>
    <row r="6890" s="69" customFormat="1" x14ac:dyDescent="0.15"/>
    <row r="6891" s="69" customFormat="1" x14ac:dyDescent="0.15"/>
    <row r="6892" s="69" customFormat="1" x14ac:dyDescent="0.15"/>
    <row r="6893" s="69" customFormat="1" x14ac:dyDescent="0.15"/>
    <row r="6894" s="69" customFormat="1" x14ac:dyDescent="0.15"/>
    <row r="6895" s="69" customFormat="1" x14ac:dyDescent="0.15"/>
    <row r="6896" s="69" customFormat="1" x14ac:dyDescent="0.15"/>
    <row r="6897" s="69" customFormat="1" x14ac:dyDescent="0.15"/>
    <row r="6898" s="69" customFormat="1" x14ac:dyDescent="0.15"/>
    <row r="6899" s="69" customFormat="1" x14ac:dyDescent="0.15"/>
    <row r="6900" s="69" customFormat="1" x14ac:dyDescent="0.15"/>
    <row r="6901" s="69" customFormat="1" x14ac:dyDescent="0.15"/>
    <row r="6902" s="69" customFormat="1" x14ac:dyDescent="0.15"/>
    <row r="6903" s="69" customFormat="1" x14ac:dyDescent="0.15"/>
    <row r="6904" s="69" customFormat="1" x14ac:dyDescent="0.15"/>
    <row r="6905" s="69" customFormat="1" x14ac:dyDescent="0.15"/>
    <row r="6906" s="69" customFormat="1" x14ac:dyDescent="0.15"/>
    <row r="6907" s="69" customFormat="1" x14ac:dyDescent="0.15"/>
    <row r="6908" s="69" customFormat="1" x14ac:dyDescent="0.15"/>
    <row r="6909" s="69" customFormat="1" x14ac:dyDescent="0.15"/>
    <row r="6910" s="69" customFormat="1" x14ac:dyDescent="0.15"/>
    <row r="6911" s="69" customFormat="1" x14ac:dyDescent="0.15"/>
    <row r="6912" s="69" customFormat="1" x14ac:dyDescent="0.15"/>
    <row r="6913" s="69" customFormat="1" x14ac:dyDescent="0.15"/>
    <row r="6914" s="69" customFormat="1" x14ac:dyDescent="0.15"/>
    <row r="6915" s="69" customFormat="1" x14ac:dyDescent="0.15"/>
    <row r="6916" s="69" customFormat="1" x14ac:dyDescent="0.15"/>
    <row r="6917" s="69" customFormat="1" x14ac:dyDescent="0.15"/>
    <row r="6918" s="69" customFormat="1" x14ac:dyDescent="0.15"/>
    <row r="6919" s="69" customFormat="1" x14ac:dyDescent="0.15"/>
    <row r="6920" s="69" customFormat="1" x14ac:dyDescent="0.15"/>
    <row r="6921" s="69" customFormat="1" x14ac:dyDescent="0.15"/>
    <row r="6922" s="69" customFormat="1" x14ac:dyDescent="0.15"/>
    <row r="6923" s="69" customFormat="1" x14ac:dyDescent="0.15"/>
    <row r="6924" s="69" customFormat="1" x14ac:dyDescent="0.15"/>
    <row r="6925" s="69" customFormat="1" x14ac:dyDescent="0.15"/>
    <row r="6926" s="69" customFormat="1" x14ac:dyDescent="0.15"/>
    <row r="6927" s="69" customFormat="1" x14ac:dyDescent="0.15"/>
    <row r="6928" s="69" customFormat="1" x14ac:dyDescent="0.15"/>
    <row r="6929" s="69" customFormat="1" x14ac:dyDescent="0.15"/>
    <row r="6930" s="69" customFormat="1" x14ac:dyDescent="0.15"/>
    <row r="6931" s="69" customFormat="1" x14ac:dyDescent="0.15"/>
    <row r="6932" s="69" customFormat="1" x14ac:dyDescent="0.15"/>
    <row r="6933" s="69" customFormat="1" x14ac:dyDescent="0.15"/>
    <row r="6934" s="69" customFormat="1" x14ac:dyDescent="0.15"/>
    <row r="6935" s="69" customFormat="1" x14ac:dyDescent="0.15"/>
    <row r="6936" s="69" customFormat="1" x14ac:dyDescent="0.15"/>
    <row r="6937" s="69" customFormat="1" x14ac:dyDescent="0.15"/>
    <row r="6938" s="69" customFormat="1" x14ac:dyDescent="0.15"/>
    <row r="6939" s="69" customFormat="1" x14ac:dyDescent="0.15"/>
    <row r="6940" s="69" customFormat="1" x14ac:dyDescent="0.15"/>
    <row r="6941" s="69" customFormat="1" x14ac:dyDescent="0.15"/>
    <row r="6942" s="69" customFormat="1" x14ac:dyDescent="0.15"/>
    <row r="6943" s="69" customFormat="1" x14ac:dyDescent="0.15"/>
    <row r="6944" s="69" customFormat="1" x14ac:dyDescent="0.15"/>
    <row r="6945" s="69" customFormat="1" x14ac:dyDescent="0.15"/>
    <row r="6946" s="69" customFormat="1" x14ac:dyDescent="0.15"/>
    <row r="6947" s="69" customFormat="1" x14ac:dyDescent="0.15"/>
    <row r="6948" s="69" customFormat="1" x14ac:dyDescent="0.15"/>
    <row r="6949" s="69" customFormat="1" x14ac:dyDescent="0.15"/>
    <row r="6950" s="69" customFormat="1" x14ac:dyDescent="0.15"/>
    <row r="6951" s="69" customFormat="1" x14ac:dyDescent="0.15"/>
    <row r="6952" s="69" customFormat="1" x14ac:dyDescent="0.15"/>
    <row r="6953" s="69" customFormat="1" x14ac:dyDescent="0.15"/>
    <row r="6954" s="69" customFormat="1" x14ac:dyDescent="0.15"/>
    <row r="6955" s="69" customFormat="1" x14ac:dyDescent="0.15"/>
    <row r="6956" s="69" customFormat="1" x14ac:dyDescent="0.15"/>
    <row r="6957" s="69" customFormat="1" x14ac:dyDescent="0.15"/>
    <row r="6958" s="69" customFormat="1" x14ac:dyDescent="0.15"/>
    <row r="6959" s="69" customFormat="1" x14ac:dyDescent="0.15"/>
    <row r="6960" s="69" customFormat="1" x14ac:dyDescent="0.15"/>
    <row r="6961" s="69" customFormat="1" x14ac:dyDescent="0.15"/>
    <row r="6962" s="69" customFormat="1" x14ac:dyDescent="0.15"/>
    <row r="6963" s="69" customFormat="1" x14ac:dyDescent="0.15"/>
    <row r="6964" s="69" customFormat="1" x14ac:dyDescent="0.15"/>
    <row r="6965" s="69" customFormat="1" x14ac:dyDescent="0.15"/>
    <row r="6966" s="69" customFormat="1" x14ac:dyDescent="0.15"/>
    <row r="6967" s="69" customFormat="1" x14ac:dyDescent="0.15"/>
    <row r="6968" s="69" customFormat="1" x14ac:dyDescent="0.15"/>
    <row r="6969" s="69" customFormat="1" x14ac:dyDescent="0.15"/>
    <row r="6970" s="69" customFormat="1" x14ac:dyDescent="0.15"/>
    <row r="6971" s="69" customFormat="1" x14ac:dyDescent="0.15"/>
    <row r="6972" s="69" customFormat="1" x14ac:dyDescent="0.15"/>
    <row r="6973" s="69" customFormat="1" x14ac:dyDescent="0.15"/>
    <row r="6974" s="69" customFormat="1" x14ac:dyDescent="0.15"/>
    <row r="6975" s="69" customFormat="1" x14ac:dyDescent="0.15"/>
    <row r="6976" s="69" customFormat="1" x14ac:dyDescent="0.15"/>
    <row r="6977" s="69" customFormat="1" x14ac:dyDescent="0.15"/>
    <row r="6978" s="69" customFormat="1" x14ac:dyDescent="0.15"/>
    <row r="6979" s="69" customFormat="1" x14ac:dyDescent="0.15"/>
    <row r="6980" s="69" customFormat="1" x14ac:dyDescent="0.15"/>
    <row r="6981" s="69" customFormat="1" x14ac:dyDescent="0.15"/>
    <row r="6982" s="69" customFormat="1" x14ac:dyDescent="0.15"/>
    <row r="6983" s="69" customFormat="1" x14ac:dyDescent="0.15"/>
    <row r="6984" s="69" customFormat="1" x14ac:dyDescent="0.15"/>
    <row r="6985" s="69" customFormat="1" x14ac:dyDescent="0.15"/>
    <row r="6986" s="69" customFormat="1" x14ac:dyDescent="0.15"/>
    <row r="6987" s="69" customFormat="1" x14ac:dyDescent="0.15"/>
    <row r="6988" s="69" customFormat="1" x14ac:dyDescent="0.15"/>
    <row r="6989" s="69" customFormat="1" x14ac:dyDescent="0.15"/>
    <row r="6990" s="69" customFormat="1" x14ac:dyDescent="0.15"/>
    <row r="6991" s="69" customFormat="1" x14ac:dyDescent="0.15"/>
    <row r="6992" s="69" customFormat="1" x14ac:dyDescent="0.15"/>
    <row r="6993" s="69" customFormat="1" x14ac:dyDescent="0.15"/>
    <row r="6994" s="69" customFormat="1" x14ac:dyDescent="0.15"/>
    <row r="6995" s="69" customFormat="1" x14ac:dyDescent="0.15"/>
    <row r="6996" s="69" customFormat="1" x14ac:dyDescent="0.15"/>
    <row r="6997" s="69" customFormat="1" x14ac:dyDescent="0.15"/>
    <row r="6998" s="69" customFormat="1" x14ac:dyDescent="0.15"/>
    <row r="6999" s="69" customFormat="1" x14ac:dyDescent="0.15"/>
    <row r="7000" s="69" customFormat="1" x14ac:dyDescent="0.15"/>
    <row r="7001" s="69" customFormat="1" x14ac:dyDescent="0.15"/>
    <row r="7002" s="69" customFormat="1" x14ac:dyDescent="0.15"/>
    <row r="7003" s="69" customFormat="1" x14ac:dyDescent="0.15"/>
    <row r="7004" s="69" customFormat="1" x14ac:dyDescent="0.15"/>
    <row r="7005" s="69" customFormat="1" x14ac:dyDescent="0.15"/>
    <row r="7006" s="69" customFormat="1" x14ac:dyDescent="0.15"/>
    <row r="7007" s="69" customFormat="1" x14ac:dyDescent="0.15"/>
    <row r="7008" s="69" customFormat="1" x14ac:dyDescent="0.15"/>
    <row r="7009" s="69" customFormat="1" x14ac:dyDescent="0.15"/>
    <row r="7010" s="69" customFormat="1" x14ac:dyDescent="0.15"/>
    <row r="7011" s="69" customFormat="1" x14ac:dyDescent="0.15"/>
    <row r="7012" s="69" customFormat="1" x14ac:dyDescent="0.15"/>
    <row r="7013" s="69" customFormat="1" x14ac:dyDescent="0.15"/>
    <row r="7014" s="69" customFormat="1" x14ac:dyDescent="0.15"/>
    <row r="7015" s="69" customFormat="1" x14ac:dyDescent="0.15"/>
    <row r="7016" s="69" customFormat="1" x14ac:dyDescent="0.15"/>
    <row r="7017" s="69" customFormat="1" x14ac:dyDescent="0.15"/>
    <row r="7018" s="69" customFormat="1" x14ac:dyDescent="0.15"/>
    <row r="7019" s="69" customFormat="1" x14ac:dyDescent="0.15"/>
    <row r="7020" s="69" customFormat="1" x14ac:dyDescent="0.15"/>
    <row r="7021" s="69" customFormat="1" x14ac:dyDescent="0.15"/>
    <row r="7022" s="69" customFormat="1" x14ac:dyDescent="0.15"/>
    <row r="7023" s="69" customFormat="1" x14ac:dyDescent="0.15"/>
    <row r="7024" s="69" customFormat="1" x14ac:dyDescent="0.15"/>
    <row r="7025" s="69" customFormat="1" x14ac:dyDescent="0.15"/>
    <row r="7026" s="69" customFormat="1" x14ac:dyDescent="0.15"/>
    <row r="7027" s="69" customFormat="1" x14ac:dyDescent="0.15"/>
    <row r="7028" s="69" customFormat="1" x14ac:dyDescent="0.15"/>
    <row r="7029" s="69" customFormat="1" x14ac:dyDescent="0.15"/>
    <row r="7030" s="69" customFormat="1" x14ac:dyDescent="0.15"/>
    <row r="7031" s="69" customFormat="1" x14ac:dyDescent="0.15"/>
    <row r="7032" s="69" customFormat="1" x14ac:dyDescent="0.15"/>
    <row r="7033" s="69" customFormat="1" x14ac:dyDescent="0.15"/>
    <row r="7034" s="69" customFormat="1" x14ac:dyDescent="0.15"/>
    <row r="7035" s="69" customFormat="1" x14ac:dyDescent="0.15"/>
    <row r="7036" s="69" customFormat="1" x14ac:dyDescent="0.15"/>
    <row r="7037" s="69" customFormat="1" x14ac:dyDescent="0.15"/>
    <row r="7038" s="69" customFormat="1" x14ac:dyDescent="0.15"/>
    <row r="7039" s="69" customFormat="1" x14ac:dyDescent="0.15"/>
    <row r="7040" s="69" customFormat="1" x14ac:dyDescent="0.15"/>
    <row r="7041" s="69" customFormat="1" x14ac:dyDescent="0.15"/>
    <row r="7042" s="69" customFormat="1" x14ac:dyDescent="0.15"/>
    <row r="7043" s="69" customFormat="1" x14ac:dyDescent="0.15"/>
    <row r="7044" s="69" customFormat="1" x14ac:dyDescent="0.15"/>
    <row r="7045" s="69" customFormat="1" x14ac:dyDescent="0.15"/>
    <row r="7046" s="69" customFormat="1" x14ac:dyDescent="0.15"/>
    <row r="7047" s="69" customFormat="1" x14ac:dyDescent="0.15"/>
    <row r="7048" s="69" customFormat="1" x14ac:dyDescent="0.15"/>
    <row r="7049" s="69" customFormat="1" x14ac:dyDescent="0.15"/>
    <row r="7050" s="69" customFormat="1" x14ac:dyDescent="0.15"/>
    <row r="7051" s="69" customFormat="1" x14ac:dyDescent="0.15"/>
    <row r="7052" s="69" customFormat="1" x14ac:dyDescent="0.15"/>
    <row r="7053" s="69" customFormat="1" x14ac:dyDescent="0.15"/>
    <row r="7054" s="69" customFormat="1" x14ac:dyDescent="0.15"/>
    <row r="7055" s="69" customFormat="1" x14ac:dyDescent="0.15"/>
    <row r="7056" s="69" customFormat="1" x14ac:dyDescent="0.15"/>
    <row r="7057" s="69" customFormat="1" x14ac:dyDescent="0.15"/>
    <row r="7058" s="69" customFormat="1" x14ac:dyDescent="0.15"/>
    <row r="7059" s="69" customFormat="1" x14ac:dyDescent="0.15"/>
    <row r="7060" s="69" customFormat="1" x14ac:dyDescent="0.15"/>
    <row r="7061" s="69" customFormat="1" x14ac:dyDescent="0.15"/>
    <row r="7062" s="69" customFormat="1" x14ac:dyDescent="0.15"/>
    <row r="7063" s="69" customFormat="1" x14ac:dyDescent="0.15"/>
    <row r="7064" s="69" customFormat="1" x14ac:dyDescent="0.15"/>
    <row r="7065" s="69" customFormat="1" x14ac:dyDescent="0.15"/>
    <row r="7066" s="69" customFormat="1" x14ac:dyDescent="0.15"/>
    <row r="7067" s="69" customFormat="1" x14ac:dyDescent="0.15"/>
    <row r="7068" s="69" customFormat="1" x14ac:dyDescent="0.15"/>
    <row r="7069" s="69" customFormat="1" x14ac:dyDescent="0.15"/>
    <row r="7070" s="69" customFormat="1" x14ac:dyDescent="0.15"/>
    <row r="7071" s="69" customFormat="1" x14ac:dyDescent="0.15"/>
    <row r="7072" s="69" customFormat="1" x14ac:dyDescent="0.15"/>
    <row r="7073" s="69" customFormat="1" x14ac:dyDescent="0.15"/>
    <row r="7074" s="69" customFormat="1" x14ac:dyDescent="0.15"/>
    <row r="7075" s="69" customFormat="1" x14ac:dyDescent="0.15"/>
    <row r="7076" s="69" customFormat="1" x14ac:dyDescent="0.15"/>
    <row r="7077" s="69" customFormat="1" x14ac:dyDescent="0.15"/>
    <row r="7078" s="69" customFormat="1" x14ac:dyDescent="0.15"/>
    <row r="7079" s="69" customFormat="1" x14ac:dyDescent="0.15"/>
    <row r="7080" s="69" customFormat="1" x14ac:dyDescent="0.15"/>
    <row r="7081" s="69" customFormat="1" x14ac:dyDescent="0.15"/>
    <row r="7082" s="69" customFormat="1" x14ac:dyDescent="0.15"/>
    <row r="7083" s="69" customFormat="1" x14ac:dyDescent="0.15"/>
    <row r="7084" s="69" customFormat="1" x14ac:dyDescent="0.15"/>
    <row r="7085" s="69" customFormat="1" x14ac:dyDescent="0.15"/>
    <row r="7086" s="69" customFormat="1" x14ac:dyDescent="0.15"/>
    <row r="7087" s="69" customFormat="1" x14ac:dyDescent="0.15"/>
    <row r="7088" s="69" customFormat="1" x14ac:dyDescent="0.15"/>
    <row r="7089" s="69" customFormat="1" x14ac:dyDescent="0.15"/>
    <row r="7090" s="69" customFormat="1" x14ac:dyDescent="0.15"/>
    <row r="7091" s="69" customFormat="1" x14ac:dyDescent="0.15"/>
    <row r="7092" s="69" customFormat="1" x14ac:dyDescent="0.15"/>
    <row r="7093" s="69" customFormat="1" x14ac:dyDescent="0.15"/>
    <row r="7094" s="69" customFormat="1" x14ac:dyDescent="0.15"/>
    <row r="7095" s="69" customFormat="1" x14ac:dyDescent="0.15"/>
    <row r="7096" s="69" customFormat="1" x14ac:dyDescent="0.15"/>
    <row r="7097" s="69" customFormat="1" x14ac:dyDescent="0.15"/>
    <row r="7098" s="69" customFormat="1" x14ac:dyDescent="0.15"/>
    <row r="7099" s="69" customFormat="1" x14ac:dyDescent="0.15"/>
    <row r="7100" s="69" customFormat="1" x14ac:dyDescent="0.15"/>
    <row r="7101" s="69" customFormat="1" x14ac:dyDescent="0.15"/>
    <row r="7102" s="69" customFormat="1" x14ac:dyDescent="0.15"/>
    <row r="7103" s="69" customFormat="1" x14ac:dyDescent="0.15"/>
    <row r="7104" s="69" customFormat="1" x14ac:dyDescent="0.15"/>
    <row r="7105" s="69" customFormat="1" x14ac:dyDescent="0.15"/>
    <row r="7106" s="69" customFormat="1" x14ac:dyDescent="0.15"/>
    <row r="7107" s="69" customFormat="1" x14ac:dyDescent="0.15"/>
    <row r="7108" s="69" customFormat="1" x14ac:dyDescent="0.15"/>
    <row r="7109" s="69" customFormat="1" x14ac:dyDescent="0.15"/>
    <row r="7110" s="69" customFormat="1" x14ac:dyDescent="0.15"/>
    <row r="7111" s="69" customFormat="1" x14ac:dyDescent="0.15"/>
    <row r="7112" s="69" customFormat="1" x14ac:dyDescent="0.15"/>
    <row r="7113" s="69" customFormat="1" x14ac:dyDescent="0.15"/>
    <row r="7114" s="69" customFormat="1" x14ac:dyDescent="0.15"/>
    <row r="7115" s="69" customFormat="1" x14ac:dyDescent="0.15"/>
    <row r="7116" s="69" customFormat="1" x14ac:dyDescent="0.15"/>
    <row r="7117" s="69" customFormat="1" x14ac:dyDescent="0.15"/>
    <row r="7118" s="69" customFormat="1" x14ac:dyDescent="0.15"/>
    <row r="7119" s="69" customFormat="1" x14ac:dyDescent="0.15"/>
    <row r="7120" s="69" customFormat="1" x14ac:dyDescent="0.15"/>
    <row r="7121" s="69" customFormat="1" x14ac:dyDescent="0.15"/>
    <row r="7122" s="69" customFormat="1" x14ac:dyDescent="0.15"/>
    <row r="7123" s="69" customFormat="1" x14ac:dyDescent="0.15"/>
    <row r="7124" s="69" customFormat="1" x14ac:dyDescent="0.15"/>
    <row r="7125" s="69" customFormat="1" x14ac:dyDescent="0.15"/>
    <row r="7126" s="69" customFormat="1" x14ac:dyDescent="0.15"/>
    <row r="7127" s="69" customFormat="1" x14ac:dyDescent="0.15"/>
    <row r="7128" s="69" customFormat="1" x14ac:dyDescent="0.15"/>
    <row r="7129" s="69" customFormat="1" x14ac:dyDescent="0.15"/>
    <row r="7130" s="69" customFormat="1" x14ac:dyDescent="0.15"/>
    <row r="7131" s="69" customFormat="1" x14ac:dyDescent="0.15"/>
    <row r="7132" s="69" customFormat="1" x14ac:dyDescent="0.15"/>
    <row r="7133" s="69" customFormat="1" x14ac:dyDescent="0.15"/>
    <row r="7134" s="69" customFormat="1" x14ac:dyDescent="0.15"/>
    <row r="7135" s="69" customFormat="1" x14ac:dyDescent="0.15"/>
    <row r="7136" s="69" customFormat="1" x14ac:dyDescent="0.15"/>
    <row r="7137" s="69" customFormat="1" x14ac:dyDescent="0.15"/>
    <row r="7138" s="69" customFormat="1" x14ac:dyDescent="0.15"/>
    <row r="7139" s="69" customFormat="1" x14ac:dyDescent="0.15"/>
    <row r="7140" s="69" customFormat="1" x14ac:dyDescent="0.15"/>
    <row r="7141" s="69" customFormat="1" x14ac:dyDescent="0.15"/>
    <row r="7142" s="69" customFormat="1" x14ac:dyDescent="0.15"/>
    <row r="7143" s="69" customFormat="1" x14ac:dyDescent="0.15"/>
    <row r="7144" s="69" customFormat="1" x14ac:dyDescent="0.15"/>
    <row r="7145" s="69" customFormat="1" x14ac:dyDescent="0.15"/>
    <row r="7146" s="69" customFormat="1" x14ac:dyDescent="0.15"/>
    <row r="7147" s="69" customFormat="1" x14ac:dyDescent="0.15"/>
    <row r="7148" s="69" customFormat="1" x14ac:dyDescent="0.15"/>
    <row r="7149" s="69" customFormat="1" x14ac:dyDescent="0.15"/>
    <row r="7150" s="69" customFormat="1" x14ac:dyDescent="0.15"/>
    <row r="7151" s="69" customFormat="1" x14ac:dyDescent="0.15"/>
    <row r="7152" s="69" customFormat="1" x14ac:dyDescent="0.15"/>
    <row r="7153" s="69" customFormat="1" x14ac:dyDescent="0.15"/>
    <row r="7154" s="69" customFormat="1" x14ac:dyDescent="0.15"/>
    <row r="7155" s="69" customFormat="1" x14ac:dyDescent="0.15"/>
    <row r="7156" s="69" customFormat="1" x14ac:dyDescent="0.15"/>
    <row r="7157" s="69" customFormat="1" x14ac:dyDescent="0.15"/>
    <row r="7158" s="69" customFormat="1" x14ac:dyDescent="0.15"/>
    <row r="7159" s="69" customFormat="1" x14ac:dyDescent="0.15"/>
    <row r="7160" s="69" customFormat="1" x14ac:dyDescent="0.15"/>
    <row r="7161" s="69" customFormat="1" x14ac:dyDescent="0.15"/>
    <row r="7162" s="69" customFormat="1" x14ac:dyDescent="0.15"/>
    <row r="7163" s="69" customFormat="1" x14ac:dyDescent="0.15"/>
    <row r="7164" s="69" customFormat="1" x14ac:dyDescent="0.15"/>
    <row r="7165" s="69" customFormat="1" x14ac:dyDescent="0.15"/>
    <row r="7166" s="69" customFormat="1" x14ac:dyDescent="0.15"/>
    <row r="7167" s="69" customFormat="1" x14ac:dyDescent="0.15"/>
    <row r="7168" s="69" customFormat="1" x14ac:dyDescent="0.15"/>
    <row r="7169" s="69" customFormat="1" x14ac:dyDescent="0.15"/>
    <row r="7170" s="69" customFormat="1" x14ac:dyDescent="0.15"/>
    <row r="7171" s="69" customFormat="1" x14ac:dyDescent="0.15"/>
    <row r="7172" s="69" customFormat="1" x14ac:dyDescent="0.15"/>
    <row r="7173" s="69" customFormat="1" x14ac:dyDescent="0.15"/>
    <row r="7174" s="69" customFormat="1" x14ac:dyDescent="0.15"/>
    <row r="7175" s="69" customFormat="1" x14ac:dyDescent="0.15"/>
    <row r="7176" s="69" customFormat="1" x14ac:dyDescent="0.15"/>
    <row r="7177" s="69" customFormat="1" x14ac:dyDescent="0.15"/>
    <row r="7178" s="69" customFormat="1" x14ac:dyDescent="0.15"/>
    <row r="7179" s="69" customFormat="1" x14ac:dyDescent="0.15"/>
    <row r="7180" s="69" customFormat="1" x14ac:dyDescent="0.15"/>
    <row r="7181" s="69" customFormat="1" x14ac:dyDescent="0.15"/>
    <row r="7182" s="69" customFormat="1" x14ac:dyDescent="0.15"/>
    <row r="7183" s="69" customFormat="1" x14ac:dyDescent="0.15"/>
    <row r="7184" s="69" customFormat="1" x14ac:dyDescent="0.15"/>
    <row r="7185" s="69" customFormat="1" x14ac:dyDescent="0.15"/>
    <row r="7186" s="69" customFormat="1" x14ac:dyDescent="0.15"/>
    <row r="7187" s="69" customFormat="1" x14ac:dyDescent="0.15"/>
    <row r="7188" s="69" customFormat="1" x14ac:dyDescent="0.15"/>
    <row r="7189" s="69" customFormat="1" x14ac:dyDescent="0.15"/>
    <row r="7190" s="69" customFormat="1" x14ac:dyDescent="0.15"/>
    <row r="7191" s="69" customFormat="1" x14ac:dyDescent="0.15"/>
    <row r="7192" s="69" customFormat="1" x14ac:dyDescent="0.15"/>
    <row r="7193" s="69" customFormat="1" x14ac:dyDescent="0.15"/>
    <row r="7194" s="69" customFormat="1" x14ac:dyDescent="0.15"/>
    <row r="7195" s="69" customFormat="1" x14ac:dyDescent="0.15"/>
    <row r="7196" s="69" customFormat="1" x14ac:dyDescent="0.15"/>
    <row r="7197" s="69" customFormat="1" x14ac:dyDescent="0.15"/>
    <row r="7198" s="69" customFormat="1" x14ac:dyDescent="0.15"/>
    <row r="7199" s="69" customFormat="1" x14ac:dyDescent="0.15"/>
    <row r="7200" s="69" customFormat="1" x14ac:dyDescent="0.15"/>
    <row r="7201" s="69" customFormat="1" x14ac:dyDescent="0.15"/>
    <row r="7202" s="69" customFormat="1" x14ac:dyDescent="0.15"/>
    <row r="7203" s="69" customFormat="1" x14ac:dyDescent="0.15"/>
    <row r="7204" s="69" customFormat="1" x14ac:dyDescent="0.15"/>
    <row r="7205" s="69" customFormat="1" x14ac:dyDescent="0.15"/>
    <row r="7206" s="69" customFormat="1" x14ac:dyDescent="0.15"/>
    <row r="7207" s="69" customFormat="1" x14ac:dyDescent="0.15"/>
    <row r="7208" s="69" customFormat="1" x14ac:dyDescent="0.15"/>
    <row r="7209" s="69" customFormat="1" x14ac:dyDescent="0.15"/>
    <row r="7210" s="69" customFormat="1" x14ac:dyDescent="0.15"/>
    <row r="7211" s="69" customFormat="1" x14ac:dyDescent="0.15"/>
    <row r="7212" s="69" customFormat="1" x14ac:dyDescent="0.15"/>
    <row r="7213" s="69" customFormat="1" x14ac:dyDescent="0.15"/>
    <row r="7214" s="69" customFormat="1" x14ac:dyDescent="0.15"/>
    <row r="7215" s="69" customFormat="1" x14ac:dyDescent="0.15"/>
    <row r="7216" s="69" customFormat="1" x14ac:dyDescent="0.15"/>
    <row r="7217" s="69" customFormat="1" x14ac:dyDescent="0.15"/>
    <row r="7218" s="69" customFormat="1" x14ac:dyDescent="0.15"/>
    <row r="7219" s="69" customFormat="1" x14ac:dyDescent="0.15"/>
    <row r="7220" s="69" customFormat="1" x14ac:dyDescent="0.15"/>
    <row r="7221" s="69" customFormat="1" x14ac:dyDescent="0.15"/>
    <row r="7222" s="69" customFormat="1" x14ac:dyDescent="0.15"/>
    <row r="7223" s="69" customFormat="1" x14ac:dyDescent="0.15"/>
    <row r="7224" s="69" customFormat="1" x14ac:dyDescent="0.15"/>
    <row r="7225" s="69" customFormat="1" x14ac:dyDescent="0.15"/>
    <row r="7226" s="69" customFormat="1" x14ac:dyDescent="0.15"/>
    <row r="7227" s="69" customFormat="1" x14ac:dyDescent="0.15"/>
    <row r="7228" s="69" customFormat="1" x14ac:dyDescent="0.15"/>
    <row r="7229" s="69" customFormat="1" x14ac:dyDescent="0.15"/>
    <row r="7230" s="69" customFormat="1" x14ac:dyDescent="0.15"/>
    <row r="7231" s="69" customFormat="1" x14ac:dyDescent="0.15"/>
    <row r="7232" s="69" customFormat="1" x14ac:dyDescent="0.15"/>
    <row r="7233" s="69" customFormat="1" x14ac:dyDescent="0.15"/>
    <row r="7234" s="69" customFormat="1" x14ac:dyDescent="0.15"/>
    <row r="7235" s="69" customFormat="1" x14ac:dyDescent="0.15"/>
    <row r="7236" s="69" customFormat="1" x14ac:dyDescent="0.15"/>
    <row r="7237" s="69" customFormat="1" x14ac:dyDescent="0.15"/>
    <row r="7238" s="69" customFormat="1" x14ac:dyDescent="0.15"/>
    <row r="7239" s="69" customFormat="1" x14ac:dyDescent="0.15"/>
    <row r="7240" s="69" customFormat="1" x14ac:dyDescent="0.15"/>
    <row r="7241" s="69" customFormat="1" x14ac:dyDescent="0.15"/>
    <row r="7242" s="69" customFormat="1" x14ac:dyDescent="0.15"/>
    <row r="7243" s="69" customFormat="1" x14ac:dyDescent="0.15"/>
    <row r="7244" s="69" customFormat="1" x14ac:dyDescent="0.15"/>
    <row r="7245" s="69" customFormat="1" x14ac:dyDescent="0.15"/>
    <row r="7246" s="69" customFormat="1" x14ac:dyDescent="0.15"/>
    <row r="7247" s="69" customFormat="1" x14ac:dyDescent="0.15"/>
    <row r="7248" s="69" customFormat="1" x14ac:dyDescent="0.15"/>
    <row r="7249" s="69" customFormat="1" x14ac:dyDescent="0.15"/>
    <row r="7250" s="69" customFormat="1" x14ac:dyDescent="0.15"/>
    <row r="7251" s="69" customFormat="1" x14ac:dyDescent="0.15"/>
    <row r="7252" s="69" customFormat="1" x14ac:dyDescent="0.15"/>
    <row r="7253" s="69" customFormat="1" x14ac:dyDescent="0.15"/>
    <row r="7254" s="69" customFormat="1" x14ac:dyDescent="0.15"/>
    <row r="7255" s="69" customFormat="1" x14ac:dyDescent="0.15"/>
    <row r="7256" s="69" customFormat="1" x14ac:dyDescent="0.15"/>
    <row r="7257" s="69" customFormat="1" x14ac:dyDescent="0.15"/>
    <row r="7258" s="69" customFormat="1" x14ac:dyDescent="0.15"/>
    <row r="7259" s="69" customFormat="1" x14ac:dyDescent="0.15"/>
    <row r="7260" s="69" customFormat="1" x14ac:dyDescent="0.15"/>
    <row r="7261" s="69" customFormat="1" x14ac:dyDescent="0.15"/>
    <row r="7262" s="69" customFormat="1" x14ac:dyDescent="0.15"/>
    <row r="7263" s="69" customFormat="1" x14ac:dyDescent="0.15"/>
    <row r="7264" s="69" customFormat="1" x14ac:dyDescent="0.15"/>
    <row r="7265" s="69" customFormat="1" x14ac:dyDescent="0.15"/>
    <row r="7266" s="69" customFormat="1" x14ac:dyDescent="0.15"/>
    <row r="7267" s="69" customFormat="1" x14ac:dyDescent="0.15"/>
    <row r="7268" s="69" customFormat="1" x14ac:dyDescent="0.15"/>
    <row r="7269" s="69" customFormat="1" x14ac:dyDescent="0.15"/>
    <row r="7270" s="69" customFormat="1" x14ac:dyDescent="0.15"/>
    <row r="7271" s="69" customFormat="1" x14ac:dyDescent="0.15"/>
    <row r="7272" s="69" customFormat="1" x14ac:dyDescent="0.15"/>
    <row r="7273" s="69" customFormat="1" x14ac:dyDescent="0.15"/>
    <row r="7274" s="69" customFormat="1" x14ac:dyDescent="0.15"/>
    <row r="7275" s="69" customFormat="1" x14ac:dyDescent="0.15"/>
    <row r="7276" s="69" customFormat="1" x14ac:dyDescent="0.15"/>
    <row r="7277" s="69" customFormat="1" x14ac:dyDescent="0.15"/>
    <row r="7278" s="69" customFormat="1" x14ac:dyDescent="0.15"/>
    <row r="7279" s="69" customFormat="1" x14ac:dyDescent="0.15"/>
    <row r="7280" s="69" customFormat="1" x14ac:dyDescent="0.15"/>
    <row r="7281" s="69" customFormat="1" x14ac:dyDescent="0.15"/>
    <row r="7282" s="69" customFormat="1" x14ac:dyDescent="0.15"/>
    <row r="7283" s="69" customFormat="1" x14ac:dyDescent="0.15"/>
    <row r="7284" s="69" customFormat="1" x14ac:dyDescent="0.15"/>
    <row r="7285" s="69" customFormat="1" x14ac:dyDescent="0.15"/>
    <row r="7286" s="69" customFormat="1" x14ac:dyDescent="0.15"/>
    <row r="7287" s="69" customFormat="1" x14ac:dyDescent="0.15"/>
    <row r="7288" s="69" customFormat="1" x14ac:dyDescent="0.15"/>
    <row r="7289" s="69" customFormat="1" x14ac:dyDescent="0.15"/>
    <row r="7290" s="69" customFormat="1" x14ac:dyDescent="0.15"/>
    <row r="7291" s="69" customFormat="1" x14ac:dyDescent="0.15"/>
    <row r="7292" s="69" customFormat="1" x14ac:dyDescent="0.15"/>
    <row r="7293" s="69" customFormat="1" x14ac:dyDescent="0.15"/>
    <row r="7294" s="69" customFormat="1" x14ac:dyDescent="0.15"/>
    <row r="7295" s="69" customFormat="1" x14ac:dyDescent="0.15"/>
    <row r="7296" s="69" customFormat="1" x14ac:dyDescent="0.15"/>
    <row r="7297" s="69" customFormat="1" x14ac:dyDescent="0.15"/>
    <row r="7298" s="69" customFormat="1" x14ac:dyDescent="0.15"/>
    <row r="7299" s="69" customFormat="1" x14ac:dyDescent="0.15"/>
    <row r="7300" s="69" customFormat="1" x14ac:dyDescent="0.15"/>
    <row r="7301" s="69" customFormat="1" x14ac:dyDescent="0.15"/>
    <row r="7302" s="69" customFormat="1" x14ac:dyDescent="0.15"/>
    <row r="7303" s="69" customFormat="1" x14ac:dyDescent="0.15"/>
    <row r="7304" s="69" customFormat="1" x14ac:dyDescent="0.15"/>
    <row r="7305" s="69" customFormat="1" x14ac:dyDescent="0.15"/>
    <row r="7306" s="69" customFormat="1" x14ac:dyDescent="0.15"/>
    <row r="7307" s="69" customFormat="1" x14ac:dyDescent="0.15"/>
    <row r="7308" s="69" customFormat="1" x14ac:dyDescent="0.15"/>
    <row r="7309" s="69" customFormat="1" x14ac:dyDescent="0.15"/>
    <row r="7310" s="69" customFormat="1" x14ac:dyDescent="0.15"/>
    <row r="7311" s="69" customFormat="1" x14ac:dyDescent="0.15"/>
    <row r="7312" s="69" customFormat="1" x14ac:dyDescent="0.15"/>
    <row r="7313" s="69" customFormat="1" x14ac:dyDescent="0.15"/>
    <row r="7314" s="69" customFormat="1" x14ac:dyDescent="0.15"/>
    <row r="7315" s="69" customFormat="1" x14ac:dyDescent="0.15"/>
    <row r="7316" s="69" customFormat="1" x14ac:dyDescent="0.15"/>
    <row r="7317" s="69" customFormat="1" x14ac:dyDescent="0.15"/>
    <row r="7318" s="69" customFormat="1" x14ac:dyDescent="0.15"/>
    <row r="7319" s="69" customFormat="1" x14ac:dyDescent="0.15"/>
    <row r="7320" s="69" customFormat="1" x14ac:dyDescent="0.15"/>
    <row r="7321" s="69" customFormat="1" x14ac:dyDescent="0.15"/>
    <row r="7322" s="69" customFormat="1" x14ac:dyDescent="0.15"/>
    <row r="7323" s="69" customFormat="1" x14ac:dyDescent="0.15"/>
    <row r="7324" s="69" customFormat="1" x14ac:dyDescent="0.15"/>
    <row r="7325" s="69" customFormat="1" x14ac:dyDescent="0.15"/>
    <row r="7326" s="69" customFormat="1" x14ac:dyDescent="0.15"/>
    <row r="7327" s="69" customFormat="1" x14ac:dyDescent="0.15"/>
    <row r="7328" s="69" customFormat="1" x14ac:dyDescent="0.15"/>
    <row r="7329" s="69" customFormat="1" x14ac:dyDescent="0.15"/>
    <row r="7330" s="69" customFormat="1" x14ac:dyDescent="0.15"/>
    <row r="7331" s="69" customFormat="1" x14ac:dyDescent="0.15"/>
    <row r="7332" s="69" customFormat="1" x14ac:dyDescent="0.15"/>
    <row r="7333" s="69" customFormat="1" x14ac:dyDescent="0.15"/>
    <row r="7334" s="69" customFormat="1" x14ac:dyDescent="0.15"/>
    <row r="7335" s="69" customFormat="1" x14ac:dyDescent="0.15"/>
    <row r="7336" s="69" customFormat="1" x14ac:dyDescent="0.15"/>
    <row r="7337" s="69" customFormat="1" x14ac:dyDescent="0.15"/>
    <row r="7338" s="69" customFormat="1" x14ac:dyDescent="0.15"/>
    <row r="7339" s="69" customFormat="1" x14ac:dyDescent="0.15"/>
    <row r="7340" s="69" customFormat="1" x14ac:dyDescent="0.15"/>
    <row r="7341" s="69" customFormat="1" x14ac:dyDescent="0.15"/>
    <row r="7342" s="69" customFormat="1" x14ac:dyDescent="0.15"/>
    <row r="7343" s="69" customFormat="1" x14ac:dyDescent="0.15"/>
    <row r="7344" s="69" customFormat="1" x14ac:dyDescent="0.15"/>
    <row r="7345" s="69" customFormat="1" x14ac:dyDescent="0.15"/>
    <row r="7346" s="69" customFormat="1" x14ac:dyDescent="0.15"/>
    <row r="7347" s="69" customFormat="1" x14ac:dyDescent="0.15"/>
    <row r="7348" s="69" customFormat="1" x14ac:dyDescent="0.15"/>
    <row r="7349" s="69" customFormat="1" x14ac:dyDescent="0.15"/>
    <row r="7350" s="69" customFormat="1" x14ac:dyDescent="0.15"/>
    <row r="7351" s="69" customFormat="1" x14ac:dyDescent="0.15"/>
    <row r="7352" s="69" customFormat="1" x14ac:dyDescent="0.15"/>
    <row r="7353" s="69" customFormat="1" x14ac:dyDescent="0.15"/>
    <row r="7354" s="69" customFormat="1" x14ac:dyDescent="0.15"/>
    <row r="7355" s="69" customFormat="1" x14ac:dyDescent="0.15"/>
    <row r="7356" s="69" customFormat="1" x14ac:dyDescent="0.15"/>
    <row r="7357" s="69" customFormat="1" x14ac:dyDescent="0.15"/>
    <row r="7358" s="69" customFormat="1" x14ac:dyDescent="0.15"/>
    <row r="7359" s="69" customFormat="1" x14ac:dyDescent="0.15"/>
    <row r="7360" s="69" customFormat="1" x14ac:dyDescent="0.15"/>
    <row r="7361" s="69" customFormat="1" x14ac:dyDescent="0.15"/>
    <row r="7362" s="69" customFormat="1" x14ac:dyDescent="0.15"/>
    <row r="7363" s="69" customFormat="1" x14ac:dyDescent="0.15"/>
    <row r="7364" s="69" customFormat="1" x14ac:dyDescent="0.15"/>
    <row r="7365" s="69" customFormat="1" x14ac:dyDescent="0.15"/>
    <row r="7366" s="69" customFormat="1" x14ac:dyDescent="0.15"/>
    <row r="7367" s="69" customFormat="1" x14ac:dyDescent="0.15"/>
    <row r="7368" s="69" customFormat="1" x14ac:dyDescent="0.15"/>
    <row r="7369" s="69" customFormat="1" x14ac:dyDescent="0.15"/>
    <row r="7370" s="69" customFormat="1" x14ac:dyDescent="0.15"/>
    <row r="7371" s="69" customFormat="1" x14ac:dyDescent="0.15"/>
    <row r="7372" s="69" customFormat="1" x14ac:dyDescent="0.15"/>
    <row r="7373" s="69" customFormat="1" x14ac:dyDescent="0.15"/>
    <row r="7374" s="69" customFormat="1" x14ac:dyDescent="0.15"/>
    <row r="7375" s="69" customFormat="1" x14ac:dyDescent="0.15"/>
    <row r="7376" s="69" customFormat="1" x14ac:dyDescent="0.15"/>
    <row r="7377" s="69" customFormat="1" x14ac:dyDescent="0.15"/>
    <row r="7378" s="69" customFormat="1" x14ac:dyDescent="0.15"/>
    <row r="7379" s="69" customFormat="1" x14ac:dyDescent="0.15"/>
    <row r="7380" s="69" customFormat="1" x14ac:dyDescent="0.15"/>
    <row r="7381" s="69" customFormat="1" x14ac:dyDescent="0.15"/>
    <row r="7382" s="69" customFormat="1" x14ac:dyDescent="0.15"/>
    <row r="7383" s="69" customFormat="1" x14ac:dyDescent="0.15"/>
    <row r="7384" s="69" customFormat="1" x14ac:dyDescent="0.15"/>
    <row r="7385" s="69" customFormat="1" x14ac:dyDescent="0.15"/>
    <row r="7386" s="69" customFormat="1" x14ac:dyDescent="0.15"/>
    <row r="7387" s="69" customFormat="1" x14ac:dyDescent="0.15"/>
    <row r="7388" s="69" customFormat="1" x14ac:dyDescent="0.15"/>
    <row r="7389" s="69" customFormat="1" x14ac:dyDescent="0.15"/>
    <row r="7390" s="69" customFormat="1" x14ac:dyDescent="0.15"/>
    <row r="7391" s="69" customFormat="1" x14ac:dyDescent="0.15"/>
    <row r="7392" s="69" customFormat="1" x14ac:dyDescent="0.15"/>
    <row r="7393" s="69" customFormat="1" x14ac:dyDescent="0.15"/>
    <row r="7394" s="69" customFormat="1" x14ac:dyDescent="0.15"/>
    <row r="7395" s="69" customFormat="1" x14ac:dyDescent="0.15"/>
    <row r="7396" s="69" customFormat="1" x14ac:dyDescent="0.15"/>
    <row r="7397" s="69" customFormat="1" x14ac:dyDescent="0.15"/>
    <row r="7398" s="69" customFormat="1" x14ac:dyDescent="0.15"/>
    <row r="7399" s="69" customFormat="1" x14ac:dyDescent="0.15"/>
    <row r="7400" s="69" customFormat="1" x14ac:dyDescent="0.15"/>
    <row r="7401" s="69" customFormat="1" x14ac:dyDescent="0.15"/>
    <row r="7402" s="69" customFormat="1" x14ac:dyDescent="0.15"/>
    <row r="7403" s="69" customFormat="1" x14ac:dyDescent="0.15"/>
    <row r="7404" s="69" customFormat="1" x14ac:dyDescent="0.15"/>
    <row r="7405" s="69" customFormat="1" x14ac:dyDescent="0.15"/>
    <row r="7406" s="69" customFormat="1" x14ac:dyDescent="0.15"/>
    <row r="7407" s="69" customFormat="1" x14ac:dyDescent="0.15"/>
    <row r="7408" s="69" customFormat="1" x14ac:dyDescent="0.15"/>
    <row r="7409" s="69" customFormat="1" x14ac:dyDescent="0.15"/>
    <row r="7410" s="69" customFormat="1" x14ac:dyDescent="0.15"/>
    <row r="7411" s="69" customFormat="1" x14ac:dyDescent="0.15"/>
    <row r="7412" s="69" customFormat="1" x14ac:dyDescent="0.15"/>
    <row r="7413" s="69" customFormat="1" x14ac:dyDescent="0.15"/>
    <row r="7414" s="69" customFormat="1" x14ac:dyDescent="0.15"/>
    <row r="7415" s="69" customFormat="1" x14ac:dyDescent="0.15"/>
    <row r="7416" s="69" customFormat="1" x14ac:dyDescent="0.15"/>
    <row r="7417" s="69" customFormat="1" x14ac:dyDescent="0.15"/>
    <row r="7418" s="69" customFormat="1" x14ac:dyDescent="0.15"/>
    <row r="7419" s="69" customFormat="1" x14ac:dyDescent="0.15"/>
    <row r="7420" s="69" customFormat="1" x14ac:dyDescent="0.15"/>
    <row r="7421" s="69" customFormat="1" x14ac:dyDescent="0.15"/>
    <row r="7422" s="69" customFormat="1" x14ac:dyDescent="0.15"/>
    <row r="7423" s="69" customFormat="1" x14ac:dyDescent="0.15"/>
    <row r="7424" s="69" customFormat="1" x14ac:dyDescent="0.15"/>
    <row r="7425" s="69" customFormat="1" x14ac:dyDescent="0.15"/>
    <row r="7426" s="69" customFormat="1" x14ac:dyDescent="0.15"/>
    <row r="7427" s="69" customFormat="1" x14ac:dyDescent="0.15"/>
    <row r="7428" s="69" customFormat="1" x14ac:dyDescent="0.15"/>
    <row r="7429" s="69" customFormat="1" x14ac:dyDescent="0.15"/>
    <row r="7430" s="69" customFormat="1" x14ac:dyDescent="0.15"/>
    <row r="7431" s="69" customFormat="1" x14ac:dyDescent="0.15"/>
    <row r="7432" s="69" customFormat="1" x14ac:dyDescent="0.15"/>
    <row r="7433" s="69" customFormat="1" x14ac:dyDescent="0.15"/>
    <row r="7434" s="69" customFormat="1" x14ac:dyDescent="0.15"/>
    <row r="7435" s="69" customFormat="1" x14ac:dyDescent="0.15"/>
    <row r="7436" s="69" customFormat="1" x14ac:dyDescent="0.15"/>
    <row r="7437" s="69" customFormat="1" x14ac:dyDescent="0.15"/>
    <row r="7438" s="69" customFormat="1" x14ac:dyDescent="0.15"/>
    <row r="7439" s="69" customFormat="1" x14ac:dyDescent="0.15"/>
    <row r="7440" s="69" customFormat="1" x14ac:dyDescent="0.15"/>
    <row r="7441" s="69" customFormat="1" x14ac:dyDescent="0.15"/>
    <row r="7442" s="69" customFormat="1" x14ac:dyDescent="0.15"/>
    <row r="7443" s="69" customFormat="1" x14ac:dyDescent="0.15"/>
    <row r="7444" s="69" customFormat="1" x14ac:dyDescent="0.15"/>
    <row r="7445" s="69" customFormat="1" x14ac:dyDescent="0.15"/>
    <row r="7446" s="69" customFormat="1" x14ac:dyDescent="0.15"/>
    <row r="7447" s="69" customFormat="1" x14ac:dyDescent="0.15"/>
    <row r="7448" s="69" customFormat="1" x14ac:dyDescent="0.15"/>
    <row r="7449" s="69" customFormat="1" x14ac:dyDescent="0.15"/>
    <row r="7450" s="69" customFormat="1" x14ac:dyDescent="0.15"/>
    <row r="7451" s="69" customFormat="1" x14ac:dyDescent="0.15"/>
    <row r="7452" s="69" customFormat="1" x14ac:dyDescent="0.15"/>
    <row r="7453" s="69" customFormat="1" x14ac:dyDescent="0.15"/>
    <row r="7454" s="69" customFormat="1" x14ac:dyDescent="0.15"/>
    <row r="7455" s="69" customFormat="1" x14ac:dyDescent="0.15"/>
    <row r="7456" s="69" customFormat="1" x14ac:dyDescent="0.15"/>
    <row r="7457" s="69" customFormat="1" x14ac:dyDescent="0.15"/>
    <row r="7458" s="69" customFormat="1" x14ac:dyDescent="0.15"/>
    <row r="7459" s="69" customFormat="1" x14ac:dyDescent="0.15"/>
    <row r="7460" s="69" customFormat="1" x14ac:dyDescent="0.15"/>
    <row r="7461" s="69" customFormat="1" x14ac:dyDescent="0.15"/>
    <row r="7462" s="69" customFormat="1" x14ac:dyDescent="0.15"/>
    <row r="7463" s="69" customFormat="1" x14ac:dyDescent="0.15"/>
    <row r="7464" s="69" customFormat="1" x14ac:dyDescent="0.15"/>
    <row r="7465" s="69" customFormat="1" x14ac:dyDescent="0.15"/>
    <row r="7466" s="69" customFormat="1" x14ac:dyDescent="0.15"/>
    <row r="7467" s="69" customFormat="1" x14ac:dyDescent="0.15"/>
    <row r="7468" s="69" customFormat="1" x14ac:dyDescent="0.15"/>
    <row r="7469" s="69" customFormat="1" x14ac:dyDescent="0.15"/>
    <row r="7470" s="69" customFormat="1" x14ac:dyDescent="0.15"/>
    <row r="7471" s="69" customFormat="1" x14ac:dyDescent="0.15"/>
    <row r="7472" s="69" customFormat="1" x14ac:dyDescent="0.15"/>
    <row r="7473" s="69" customFormat="1" x14ac:dyDescent="0.15"/>
    <row r="7474" s="69" customFormat="1" x14ac:dyDescent="0.15"/>
    <row r="7475" s="69" customFormat="1" x14ac:dyDescent="0.15"/>
    <row r="7476" s="69" customFormat="1" x14ac:dyDescent="0.15"/>
    <row r="7477" s="69" customFormat="1" x14ac:dyDescent="0.15"/>
    <row r="7478" s="69" customFormat="1" x14ac:dyDescent="0.15"/>
    <row r="7479" s="69" customFormat="1" x14ac:dyDescent="0.15"/>
    <row r="7480" s="69" customFormat="1" x14ac:dyDescent="0.15"/>
    <row r="7481" s="69" customFormat="1" x14ac:dyDescent="0.15"/>
    <row r="7482" s="69" customFormat="1" x14ac:dyDescent="0.15"/>
    <row r="7483" s="69" customFormat="1" x14ac:dyDescent="0.15"/>
    <row r="7484" s="69" customFormat="1" x14ac:dyDescent="0.15"/>
    <row r="7485" s="69" customFormat="1" x14ac:dyDescent="0.15"/>
    <row r="7486" s="69" customFormat="1" x14ac:dyDescent="0.15"/>
    <row r="7487" s="69" customFormat="1" x14ac:dyDescent="0.15"/>
    <row r="7488" s="69" customFormat="1" x14ac:dyDescent="0.15"/>
    <row r="7489" s="69" customFormat="1" x14ac:dyDescent="0.15"/>
    <row r="7490" s="69" customFormat="1" x14ac:dyDescent="0.15"/>
    <row r="7491" s="69" customFormat="1" x14ac:dyDescent="0.15"/>
    <row r="7492" s="69" customFormat="1" x14ac:dyDescent="0.15"/>
    <row r="7493" s="69" customFormat="1" x14ac:dyDescent="0.15"/>
    <row r="7494" s="69" customFormat="1" x14ac:dyDescent="0.15"/>
    <row r="7495" s="69" customFormat="1" x14ac:dyDescent="0.15"/>
    <row r="7496" s="69" customFormat="1" x14ac:dyDescent="0.15"/>
    <row r="7497" s="69" customFormat="1" x14ac:dyDescent="0.15"/>
    <row r="7498" s="69" customFormat="1" x14ac:dyDescent="0.15"/>
    <row r="7499" s="69" customFormat="1" x14ac:dyDescent="0.15"/>
    <row r="7500" s="69" customFormat="1" x14ac:dyDescent="0.15"/>
    <row r="7501" s="69" customFormat="1" x14ac:dyDescent="0.15"/>
    <row r="7502" s="69" customFormat="1" x14ac:dyDescent="0.15"/>
    <row r="7503" s="69" customFormat="1" x14ac:dyDescent="0.15"/>
    <row r="7504" s="69" customFormat="1" x14ac:dyDescent="0.15"/>
    <row r="7505" s="69" customFormat="1" x14ac:dyDescent="0.15"/>
    <row r="7506" s="69" customFormat="1" x14ac:dyDescent="0.15"/>
    <row r="7507" s="69" customFormat="1" x14ac:dyDescent="0.15"/>
    <row r="7508" s="69" customFormat="1" x14ac:dyDescent="0.15"/>
    <row r="7509" s="69" customFormat="1" x14ac:dyDescent="0.15"/>
    <row r="7510" s="69" customFormat="1" x14ac:dyDescent="0.15"/>
    <row r="7511" s="69" customFormat="1" x14ac:dyDescent="0.15"/>
    <row r="7512" s="69" customFormat="1" x14ac:dyDescent="0.15"/>
    <row r="7513" s="69" customFormat="1" x14ac:dyDescent="0.15"/>
    <row r="7514" s="69" customFormat="1" x14ac:dyDescent="0.15"/>
    <row r="7515" s="69" customFormat="1" x14ac:dyDescent="0.15"/>
    <row r="7516" s="69" customFormat="1" x14ac:dyDescent="0.15"/>
    <row r="7517" s="69" customFormat="1" x14ac:dyDescent="0.15"/>
    <row r="7518" s="69" customFormat="1" x14ac:dyDescent="0.15"/>
    <row r="7519" s="69" customFormat="1" x14ac:dyDescent="0.15"/>
    <row r="7520" s="69" customFormat="1" x14ac:dyDescent="0.15"/>
    <row r="7521" s="69" customFormat="1" x14ac:dyDescent="0.15"/>
    <row r="7522" s="69" customFormat="1" x14ac:dyDescent="0.15"/>
    <row r="7523" s="69" customFormat="1" x14ac:dyDescent="0.15"/>
    <row r="7524" s="69" customFormat="1" x14ac:dyDescent="0.15"/>
    <row r="7525" s="69" customFormat="1" x14ac:dyDescent="0.15"/>
    <row r="7526" s="69" customFormat="1" x14ac:dyDescent="0.15"/>
    <row r="7527" s="69" customFormat="1" x14ac:dyDescent="0.15"/>
    <row r="7528" s="69" customFormat="1" x14ac:dyDescent="0.15"/>
    <row r="7529" s="69" customFormat="1" x14ac:dyDescent="0.15"/>
    <row r="7530" s="69" customFormat="1" x14ac:dyDescent="0.15"/>
    <row r="7531" s="69" customFormat="1" x14ac:dyDescent="0.15"/>
    <row r="7532" s="69" customFormat="1" x14ac:dyDescent="0.15"/>
    <row r="7533" s="69" customFormat="1" x14ac:dyDescent="0.15"/>
    <row r="7534" s="69" customFormat="1" x14ac:dyDescent="0.15"/>
    <row r="7535" s="69" customFormat="1" x14ac:dyDescent="0.15"/>
    <row r="7536" s="69" customFormat="1" x14ac:dyDescent="0.15"/>
    <row r="7537" s="69" customFormat="1" x14ac:dyDescent="0.15"/>
    <row r="7538" s="69" customFormat="1" x14ac:dyDescent="0.15"/>
    <row r="7539" s="69" customFormat="1" x14ac:dyDescent="0.15"/>
    <row r="7540" s="69" customFormat="1" x14ac:dyDescent="0.15"/>
    <row r="7541" s="69" customFormat="1" x14ac:dyDescent="0.15"/>
    <row r="7542" s="69" customFormat="1" x14ac:dyDescent="0.15"/>
    <row r="7543" s="69" customFormat="1" x14ac:dyDescent="0.15"/>
    <row r="7544" s="69" customFormat="1" x14ac:dyDescent="0.15"/>
    <row r="7545" s="69" customFormat="1" x14ac:dyDescent="0.15"/>
    <row r="7546" s="69" customFormat="1" x14ac:dyDescent="0.15"/>
    <row r="7547" s="69" customFormat="1" x14ac:dyDescent="0.15"/>
    <row r="7548" s="69" customFormat="1" x14ac:dyDescent="0.15"/>
    <row r="7549" s="69" customFormat="1" x14ac:dyDescent="0.15"/>
    <row r="7550" s="69" customFormat="1" x14ac:dyDescent="0.15"/>
    <row r="7551" s="69" customFormat="1" x14ac:dyDescent="0.15"/>
    <row r="7552" s="69" customFormat="1" x14ac:dyDescent="0.15"/>
    <row r="7553" s="69" customFormat="1" x14ac:dyDescent="0.15"/>
    <row r="7554" s="69" customFormat="1" x14ac:dyDescent="0.15"/>
    <row r="7555" s="69" customFormat="1" x14ac:dyDescent="0.15"/>
    <row r="7556" s="69" customFormat="1" x14ac:dyDescent="0.15"/>
    <row r="7557" s="69" customFormat="1" x14ac:dyDescent="0.15"/>
    <row r="7558" s="69" customFormat="1" x14ac:dyDescent="0.15"/>
    <row r="7559" s="69" customFormat="1" x14ac:dyDescent="0.15"/>
    <row r="7560" s="69" customFormat="1" x14ac:dyDescent="0.15"/>
    <row r="7561" s="69" customFormat="1" x14ac:dyDescent="0.15"/>
    <row r="7562" s="69" customFormat="1" x14ac:dyDescent="0.15"/>
    <row r="7563" s="69" customFormat="1" x14ac:dyDescent="0.15"/>
    <row r="7564" s="69" customFormat="1" x14ac:dyDescent="0.15"/>
    <row r="7565" s="69" customFormat="1" x14ac:dyDescent="0.15"/>
    <row r="7566" s="69" customFormat="1" x14ac:dyDescent="0.15"/>
    <row r="7567" s="69" customFormat="1" x14ac:dyDescent="0.15"/>
    <row r="7568" s="69" customFormat="1" x14ac:dyDescent="0.15"/>
    <row r="7569" s="69" customFormat="1" x14ac:dyDescent="0.15"/>
    <row r="7570" s="69" customFormat="1" x14ac:dyDescent="0.15"/>
    <row r="7571" s="69" customFormat="1" x14ac:dyDescent="0.15"/>
    <row r="7572" s="69" customFormat="1" x14ac:dyDescent="0.15"/>
    <row r="7573" s="69" customFormat="1" x14ac:dyDescent="0.15"/>
    <row r="7574" s="69" customFormat="1" x14ac:dyDescent="0.15"/>
    <row r="7575" s="69" customFormat="1" x14ac:dyDescent="0.15"/>
    <row r="7576" s="69" customFormat="1" x14ac:dyDescent="0.15"/>
    <row r="7577" s="69" customFormat="1" x14ac:dyDescent="0.15"/>
    <row r="7578" s="69" customFormat="1" x14ac:dyDescent="0.15"/>
    <row r="7579" s="69" customFormat="1" x14ac:dyDescent="0.15"/>
    <row r="7580" s="69" customFormat="1" x14ac:dyDescent="0.15"/>
    <row r="7581" s="69" customFormat="1" x14ac:dyDescent="0.15"/>
    <row r="7582" s="69" customFormat="1" x14ac:dyDescent="0.15"/>
    <row r="7583" s="69" customFormat="1" x14ac:dyDescent="0.15"/>
    <row r="7584" s="69" customFormat="1" x14ac:dyDescent="0.15"/>
    <row r="7585" s="69" customFormat="1" x14ac:dyDescent="0.15"/>
    <row r="7586" s="69" customFormat="1" x14ac:dyDescent="0.15"/>
    <row r="7587" s="69" customFormat="1" x14ac:dyDescent="0.15"/>
    <row r="7588" s="69" customFormat="1" x14ac:dyDescent="0.15"/>
    <row r="7589" s="69" customFormat="1" x14ac:dyDescent="0.15"/>
    <row r="7590" s="69" customFormat="1" x14ac:dyDescent="0.15"/>
    <row r="7591" s="69" customFormat="1" x14ac:dyDescent="0.15"/>
    <row r="7592" s="69" customFormat="1" x14ac:dyDescent="0.15"/>
    <row r="7593" s="69" customFormat="1" x14ac:dyDescent="0.15"/>
    <row r="7594" s="69" customFormat="1" x14ac:dyDescent="0.15"/>
    <row r="7595" s="69" customFormat="1" x14ac:dyDescent="0.15"/>
    <row r="7596" s="69" customFormat="1" x14ac:dyDescent="0.15"/>
    <row r="7597" s="69" customFormat="1" x14ac:dyDescent="0.15"/>
    <row r="7598" s="69" customFormat="1" x14ac:dyDescent="0.15"/>
    <row r="7599" s="69" customFormat="1" x14ac:dyDescent="0.15"/>
    <row r="7600" s="69" customFormat="1" x14ac:dyDescent="0.15"/>
    <row r="7601" s="69" customFormat="1" x14ac:dyDescent="0.15"/>
    <row r="7602" s="69" customFormat="1" x14ac:dyDescent="0.15"/>
    <row r="7603" s="69" customFormat="1" x14ac:dyDescent="0.15"/>
    <row r="7604" s="69" customFormat="1" x14ac:dyDescent="0.15"/>
    <row r="7605" s="69" customFormat="1" x14ac:dyDescent="0.15"/>
    <row r="7606" s="69" customFormat="1" x14ac:dyDescent="0.15"/>
    <row r="7607" s="69" customFormat="1" x14ac:dyDescent="0.15"/>
    <row r="7608" s="69" customFormat="1" x14ac:dyDescent="0.15"/>
    <row r="7609" s="69" customFormat="1" x14ac:dyDescent="0.15"/>
    <row r="7610" s="69" customFormat="1" x14ac:dyDescent="0.15"/>
    <row r="7611" s="69" customFormat="1" x14ac:dyDescent="0.15"/>
    <row r="7612" s="69" customFormat="1" x14ac:dyDescent="0.15"/>
    <row r="7613" s="69" customFormat="1" x14ac:dyDescent="0.15"/>
    <row r="7614" s="69" customFormat="1" x14ac:dyDescent="0.15"/>
    <row r="7615" s="69" customFormat="1" x14ac:dyDescent="0.15"/>
    <row r="7616" s="69" customFormat="1" x14ac:dyDescent="0.15"/>
    <row r="7617" s="69" customFormat="1" x14ac:dyDescent="0.15"/>
    <row r="7618" s="69" customFormat="1" x14ac:dyDescent="0.15"/>
    <row r="7619" s="69" customFormat="1" x14ac:dyDescent="0.15"/>
    <row r="7620" s="69" customFormat="1" x14ac:dyDescent="0.15"/>
    <row r="7621" s="69" customFormat="1" x14ac:dyDescent="0.15"/>
    <row r="7622" s="69" customFormat="1" x14ac:dyDescent="0.15"/>
    <row r="7623" s="69" customFormat="1" x14ac:dyDescent="0.15"/>
    <row r="7624" s="69" customFormat="1" x14ac:dyDescent="0.15"/>
    <row r="7625" s="69" customFormat="1" x14ac:dyDescent="0.15"/>
    <row r="7626" s="69" customFormat="1" x14ac:dyDescent="0.15"/>
    <row r="7627" s="69" customFormat="1" x14ac:dyDescent="0.15"/>
    <row r="7628" s="69" customFormat="1" x14ac:dyDescent="0.15"/>
    <row r="7629" s="69" customFormat="1" x14ac:dyDescent="0.15"/>
    <row r="7630" s="69" customFormat="1" x14ac:dyDescent="0.15"/>
    <row r="7631" s="69" customFormat="1" x14ac:dyDescent="0.15"/>
    <row r="7632" s="69" customFormat="1" x14ac:dyDescent="0.15"/>
    <row r="7633" s="69" customFormat="1" x14ac:dyDescent="0.15"/>
    <row r="7634" s="69" customFormat="1" x14ac:dyDescent="0.15"/>
    <row r="7635" s="69" customFormat="1" x14ac:dyDescent="0.15"/>
    <row r="7636" s="69" customFormat="1" x14ac:dyDescent="0.15"/>
    <row r="7637" s="69" customFormat="1" x14ac:dyDescent="0.15"/>
    <row r="7638" s="69" customFormat="1" x14ac:dyDescent="0.15"/>
    <row r="7639" s="69" customFormat="1" x14ac:dyDescent="0.15"/>
    <row r="7640" s="69" customFormat="1" x14ac:dyDescent="0.15"/>
    <row r="7641" s="69" customFormat="1" x14ac:dyDescent="0.15"/>
    <row r="7642" s="69" customFormat="1" x14ac:dyDescent="0.15"/>
    <row r="7643" s="69" customFormat="1" x14ac:dyDescent="0.15"/>
    <row r="7644" s="69" customFormat="1" x14ac:dyDescent="0.15"/>
    <row r="7645" s="69" customFormat="1" x14ac:dyDescent="0.15"/>
    <row r="7646" s="69" customFormat="1" x14ac:dyDescent="0.15"/>
    <row r="7647" s="69" customFormat="1" x14ac:dyDescent="0.15"/>
    <row r="7648" s="69" customFormat="1" x14ac:dyDescent="0.15"/>
    <row r="7649" s="69" customFormat="1" x14ac:dyDescent="0.15"/>
    <row r="7650" s="69" customFormat="1" x14ac:dyDescent="0.15"/>
    <row r="7651" s="69" customFormat="1" x14ac:dyDescent="0.15"/>
    <row r="7652" s="69" customFormat="1" x14ac:dyDescent="0.15"/>
    <row r="7653" s="69" customFormat="1" x14ac:dyDescent="0.15"/>
    <row r="7654" s="69" customFormat="1" x14ac:dyDescent="0.15"/>
    <row r="7655" s="69" customFormat="1" x14ac:dyDescent="0.15"/>
    <row r="7656" s="69" customFormat="1" x14ac:dyDescent="0.15"/>
    <row r="7657" s="69" customFormat="1" x14ac:dyDescent="0.15"/>
    <row r="7658" s="69" customFormat="1" x14ac:dyDescent="0.15"/>
    <row r="7659" s="69" customFormat="1" x14ac:dyDescent="0.15"/>
    <row r="7660" s="69" customFormat="1" x14ac:dyDescent="0.15"/>
    <row r="7661" s="69" customFormat="1" x14ac:dyDescent="0.15"/>
    <row r="7662" s="69" customFormat="1" x14ac:dyDescent="0.15"/>
    <row r="7663" s="69" customFormat="1" x14ac:dyDescent="0.15"/>
    <row r="7664" s="69" customFormat="1" x14ac:dyDescent="0.15"/>
    <row r="7665" s="69" customFormat="1" x14ac:dyDescent="0.15"/>
    <row r="7666" s="69" customFormat="1" x14ac:dyDescent="0.15"/>
    <row r="7667" s="69" customFormat="1" x14ac:dyDescent="0.15"/>
    <row r="7668" s="69" customFormat="1" x14ac:dyDescent="0.15"/>
    <row r="7669" s="69" customFormat="1" x14ac:dyDescent="0.15"/>
    <row r="7670" s="69" customFormat="1" x14ac:dyDescent="0.15"/>
    <row r="7671" s="69" customFormat="1" x14ac:dyDescent="0.15"/>
    <row r="7672" s="69" customFormat="1" x14ac:dyDescent="0.15"/>
    <row r="7673" s="69" customFormat="1" x14ac:dyDescent="0.15"/>
    <row r="7674" s="69" customFormat="1" x14ac:dyDescent="0.15"/>
    <row r="7675" s="69" customFormat="1" x14ac:dyDescent="0.15"/>
    <row r="7676" s="69" customFormat="1" x14ac:dyDescent="0.15"/>
    <row r="7677" s="69" customFormat="1" x14ac:dyDescent="0.15"/>
    <row r="7678" s="69" customFormat="1" x14ac:dyDescent="0.15"/>
    <row r="7679" s="69" customFormat="1" x14ac:dyDescent="0.15"/>
    <row r="7680" s="69" customFormat="1" x14ac:dyDescent="0.15"/>
    <row r="7681" s="69" customFormat="1" x14ac:dyDescent="0.15"/>
    <row r="7682" s="69" customFormat="1" x14ac:dyDescent="0.15"/>
    <row r="7683" s="69" customFormat="1" x14ac:dyDescent="0.15"/>
    <row r="7684" s="69" customFormat="1" x14ac:dyDescent="0.15"/>
    <row r="7685" s="69" customFormat="1" x14ac:dyDescent="0.15"/>
    <row r="7686" s="69" customFormat="1" x14ac:dyDescent="0.15"/>
    <row r="7687" s="69" customFormat="1" x14ac:dyDescent="0.15"/>
    <row r="7688" s="69" customFormat="1" x14ac:dyDescent="0.15"/>
    <row r="7689" s="69" customFormat="1" x14ac:dyDescent="0.15"/>
    <row r="7690" s="69" customFormat="1" x14ac:dyDescent="0.15"/>
    <row r="7691" s="69" customFormat="1" x14ac:dyDescent="0.15"/>
    <row r="7692" s="69" customFormat="1" x14ac:dyDescent="0.15"/>
    <row r="7693" s="69" customFormat="1" x14ac:dyDescent="0.15"/>
    <row r="7694" s="69" customFormat="1" x14ac:dyDescent="0.15"/>
    <row r="7695" s="69" customFormat="1" x14ac:dyDescent="0.15"/>
    <row r="7696" s="69" customFormat="1" x14ac:dyDescent="0.15"/>
    <row r="7697" s="69" customFormat="1" x14ac:dyDescent="0.15"/>
    <row r="7698" s="69" customFormat="1" x14ac:dyDescent="0.15"/>
    <row r="7699" s="69" customFormat="1" x14ac:dyDescent="0.15"/>
    <row r="7700" s="69" customFormat="1" x14ac:dyDescent="0.15"/>
    <row r="7701" s="69" customFormat="1" x14ac:dyDescent="0.15"/>
    <row r="7702" s="69" customFormat="1" x14ac:dyDescent="0.15"/>
    <row r="7703" s="69" customFormat="1" x14ac:dyDescent="0.15"/>
    <row r="7704" s="69" customFormat="1" x14ac:dyDescent="0.15"/>
    <row r="7705" s="69" customFormat="1" x14ac:dyDescent="0.15"/>
    <row r="7706" s="69" customFormat="1" x14ac:dyDescent="0.15"/>
    <row r="7707" s="69" customFormat="1" x14ac:dyDescent="0.15"/>
    <row r="7708" s="69" customFormat="1" x14ac:dyDescent="0.15"/>
    <row r="7709" s="69" customFormat="1" x14ac:dyDescent="0.15"/>
    <row r="7710" s="69" customFormat="1" x14ac:dyDescent="0.15"/>
    <row r="7711" s="69" customFormat="1" x14ac:dyDescent="0.15"/>
    <row r="7712" s="69" customFormat="1" x14ac:dyDescent="0.15"/>
    <row r="7713" s="69" customFormat="1" x14ac:dyDescent="0.15"/>
    <row r="7714" s="69" customFormat="1" x14ac:dyDescent="0.15"/>
    <row r="7715" s="69" customFormat="1" x14ac:dyDescent="0.15"/>
    <row r="7716" s="69" customFormat="1" x14ac:dyDescent="0.15"/>
    <row r="7717" s="69" customFormat="1" x14ac:dyDescent="0.15"/>
    <row r="7718" s="69" customFormat="1" x14ac:dyDescent="0.15"/>
    <row r="7719" s="69" customFormat="1" x14ac:dyDescent="0.15"/>
    <row r="7720" s="69" customFormat="1" x14ac:dyDescent="0.15"/>
    <row r="7721" s="69" customFormat="1" x14ac:dyDescent="0.15"/>
    <row r="7722" s="69" customFormat="1" x14ac:dyDescent="0.15"/>
    <row r="7723" s="69" customFormat="1" x14ac:dyDescent="0.15"/>
    <row r="7724" s="69" customFormat="1" x14ac:dyDescent="0.15"/>
    <row r="7725" s="69" customFormat="1" x14ac:dyDescent="0.15"/>
    <row r="7726" s="69" customFormat="1" x14ac:dyDescent="0.15"/>
    <row r="7727" s="69" customFormat="1" x14ac:dyDescent="0.15"/>
    <row r="7728" s="69" customFormat="1" x14ac:dyDescent="0.15"/>
    <row r="7729" s="69" customFormat="1" x14ac:dyDescent="0.15"/>
    <row r="7730" s="69" customFormat="1" x14ac:dyDescent="0.15"/>
    <row r="7731" s="69" customFormat="1" x14ac:dyDescent="0.15"/>
    <row r="7732" s="69" customFormat="1" x14ac:dyDescent="0.15"/>
    <row r="7733" s="69" customFormat="1" x14ac:dyDescent="0.15"/>
    <row r="7734" s="69" customFormat="1" x14ac:dyDescent="0.15"/>
    <row r="7735" s="69" customFormat="1" x14ac:dyDescent="0.15"/>
    <row r="7736" s="69" customFormat="1" x14ac:dyDescent="0.15"/>
    <row r="7737" s="69" customFormat="1" x14ac:dyDescent="0.15"/>
    <row r="7738" s="69" customFormat="1" x14ac:dyDescent="0.15"/>
    <row r="7739" s="69" customFormat="1" x14ac:dyDescent="0.15"/>
    <row r="7740" s="69" customFormat="1" x14ac:dyDescent="0.15"/>
    <row r="7741" s="69" customFormat="1" x14ac:dyDescent="0.15"/>
    <row r="7742" s="69" customFormat="1" x14ac:dyDescent="0.15"/>
    <row r="7743" s="69" customFormat="1" x14ac:dyDescent="0.15"/>
    <row r="7744" s="69" customFormat="1" x14ac:dyDescent="0.15"/>
    <row r="7745" s="69" customFormat="1" x14ac:dyDescent="0.15"/>
    <row r="7746" s="69" customFormat="1" x14ac:dyDescent="0.15"/>
    <row r="7747" s="69" customFormat="1" x14ac:dyDescent="0.15"/>
    <row r="7748" s="69" customFormat="1" x14ac:dyDescent="0.15"/>
    <row r="7749" s="69" customFormat="1" x14ac:dyDescent="0.15"/>
    <row r="7750" s="69" customFormat="1" x14ac:dyDescent="0.15"/>
    <row r="7751" s="69" customFormat="1" x14ac:dyDescent="0.15"/>
    <row r="7752" s="69" customFormat="1" x14ac:dyDescent="0.15"/>
    <row r="7753" s="69" customFormat="1" x14ac:dyDescent="0.15"/>
    <row r="7754" s="69" customFormat="1" x14ac:dyDescent="0.15"/>
    <row r="7755" s="69" customFormat="1" x14ac:dyDescent="0.15"/>
    <row r="7756" s="69" customFormat="1" x14ac:dyDescent="0.15"/>
    <row r="7757" s="69" customFormat="1" x14ac:dyDescent="0.15"/>
    <row r="7758" s="69" customFormat="1" x14ac:dyDescent="0.15"/>
    <row r="7759" s="69" customFormat="1" x14ac:dyDescent="0.15"/>
    <row r="7760" s="69" customFormat="1" x14ac:dyDescent="0.15"/>
    <row r="7761" s="69" customFormat="1" x14ac:dyDescent="0.15"/>
    <row r="7762" s="69" customFormat="1" x14ac:dyDescent="0.15"/>
    <row r="7763" s="69" customFormat="1" x14ac:dyDescent="0.15"/>
    <row r="7764" s="69" customFormat="1" x14ac:dyDescent="0.15"/>
    <row r="7765" s="69" customFormat="1" x14ac:dyDescent="0.15"/>
    <row r="7766" s="69" customFormat="1" x14ac:dyDescent="0.15"/>
    <row r="7767" s="69" customFormat="1" x14ac:dyDescent="0.15"/>
    <row r="7768" s="69" customFormat="1" x14ac:dyDescent="0.15"/>
    <row r="7769" s="69" customFormat="1" x14ac:dyDescent="0.15"/>
    <row r="7770" s="69" customFormat="1" x14ac:dyDescent="0.15"/>
    <row r="7771" s="69" customFormat="1" x14ac:dyDescent="0.15"/>
    <row r="7772" s="69" customFormat="1" x14ac:dyDescent="0.15"/>
    <row r="7773" s="69" customFormat="1" x14ac:dyDescent="0.15"/>
    <row r="7774" s="69" customFormat="1" x14ac:dyDescent="0.15"/>
    <row r="7775" s="69" customFormat="1" x14ac:dyDescent="0.15"/>
    <row r="7776" s="69" customFormat="1" x14ac:dyDescent="0.15"/>
    <row r="7777" s="69" customFormat="1" x14ac:dyDescent="0.15"/>
    <row r="7778" s="69" customFormat="1" x14ac:dyDescent="0.15"/>
    <row r="7779" s="69" customFormat="1" x14ac:dyDescent="0.15"/>
    <row r="7780" s="69" customFormat="1" x14ac:dyDescent="0.15"/>
    <row r="7781" s="69" customFormat="1" x14ac:dyDescent="0.15"/>
    <row r="7782" s="69" customFormat="1" x14ac:dyDescent="0.15"/>
    <row r="7783" s="69" customFormat="1" x14ac:dyDescent="0.15"/>
    <row r="7784" s="69" customFormat="1" x14ac:dyDescent="0.15"/>
    <row r="7785" s="69" customFormat="1" x14ac:dyDescent="0.15"/>
    <row r="7786" s="69" customFormat="1" x14ac:dyDescent="0.15"/>
    <row r="7787" s="69" customFormat="1" x14ac:dyDescent="0.15"/>
    <row r="7788" s="69" customFormat="1" x14ac:dyDescent="0.15"/>
    <row r="7789" s="69" customFormat="1" x14ac:dyDescent="0.15"/>
    <row r="7790" s="69" customFormat="1" x14ac:dyDescent="0.15"/>
    <row r="7791" s="69" customFormat="1" x14ac:dyDescent="0.15"/>
    <row r="7792" s="69" customFormat="1" x14ac:dyDescent="0.15"/>
    <row r="7793" s="69" customFormat="1" x14ac:dyDescent="0.15"/>
    <row r="7794" s="69" customFormat="1" x14ac:dyDescent="0.15"/>
    <row r="7795" s="69" customFormat="1" x14ac:dyDescent="0.15"/>
    <row r="7796" s="69" customFormat="1" x14ac:dyDescent="0.15"/>
    <row r="7797" s="69" customFormat="1" x14ac:dyDescent="0.15"/>
    <row r="7798" s="69" customFormat="1" x14ac:dyDescent="0.15"/>
    <row r="7799" s="69" customFormat="1" x14ac:dyDescent="0.15"/>
    <row r="7800" s="69" customFormat="1" x14ac:dyDescent="0.15"/>
    <row r="7801" s="69" customFormat="1" x14ac:dyDescent="0.15"/>
    <row r="7802" s="69" customFormat="1" x14ac:dyDescent="0.15"/>
    <row r="7803" s="69" customFormat="1" x14ac:dyDescent="0.15"/>
    <row r="7804" s="69" customFormat="1" x14ac:dyDescent="0.15"/>
    <row r="7805" s="69" customFormat="1" x14ac:dyDescent="0.15"/>
    <row r="7806" s="69" customFormat="1" x14ac:dyDescent="0.15"/>
    <row r="7807" s="69" customFormat="1" x14ac:dyDescent="0.15"/>
    <row r="7808" s="69" customFormat="1" x14ac:dyDescent="0.15"/>
    <row r="7809" s="69" customFormat="1" x14ac:dyDescent="0.15"/>
    <row r="7810" s="69" customFormat="1" x14ac:dyDescent="0.15"/>
    <row r="7811" s="69" customFormat="1" x14ac:dyDescent="0.15"/>
    <row r="7812" s="69" customFormat="1" x14ac:dyDescent="0.15"/>
    <row r="7813" s="69" customFormat="1" x14ac:dyDescent="0.15"/>
    <row r="7814" s="69" customFormat="1" x14ac:dyDescent="0.15"/>
    <row r="7815" s="69" customFormat="1" x14ac:dyDescent="0.15"/>
    <row r="7816" s="69" customFormat="1" x14ac:dyDescent="0.15"/>
    <row r="7817" s="69" customFormat="1" x14ac:dyDescent="0.15"/>
    <row r="7818" s="69" customFormat="1" x14ac:dyDescent="0.15"/>
    <row r="7819" s="69" customFormat="1" x14ac:dyDescent="0.15"/>
    <row r="7820" s="69" customFormat="1" x14ac:dyDescent="0.15"/>
    <row r="7821" s="69" customFormat="1" x14ac:dyDescent="0.15"/>
    <row r="7822" s="69" customFormat="1" x14ac:dyDescent="0.15"/>
    <row r="7823" s="69" customFormat="1" x14ac:dyDescent="0.15"/>
    <row r="7824" s="69" customFormat="1" x14ac:dyDescent="0.15"/>
    <row r="7825" s="69" customFormat="1" x14ac:dyDescent="0.15"/>
    <row r="7826" s="69" customFormat="1" x14ac:dyDescent="0.15"/>
    <row r="7827" s="69" customFormat="1" x14ac:dyDescent="0.15"/>
    <row r="7828" s="69" customFormat="1" x14ac:dyDescent="0.15"/>
    <row r="7829" s="69" customFormat="1" x14ac:dyDescent="0.15"/>
    <row r="7830" s="69" customFormat="1" x14ac:dyDescent="0.15"/>
    <row r="7831" s="69" customFormat="1" x14ac:dyDescent="0.15"/>
    <row r="7832" s="69" customFormat="1" x14ac:dyDescent="0.15"/>
    <row r="7833" s="69" customFormat="1" x14ac:dyDescent="0.15"/>
    <row r="7834" s="69" customFormat="1" x14ac:dyDescent="0.15"/>
    <row r="7835" s="69" customFormat="1" x14ac:dyDescent="0.15"/>
    <row r="7836" s="69" customFormat="1" x14ac:dyDescent="0.15"/>
    <row r="7837" s="69" customFormat="1" x14ac:dyDescent="0.15"/>
    <row r="7838" s="69" customFormat="1" x14ac:dyDescent="0.15"/>
    <row r="7839" s="69" customFormat="1" x14ac:dyDescent="0.15"/>
    <row r="7840" s="69" customFormat="1" x14ac:dyDescent="0.15"/>
    <row r="7841" s="69" customFormat="1" x14ac:dyDescent="0.15"/>
    <row r="7842" s="69" customFormat="1" x14ac:dyDescent="0.15"/>
    <row r="7843" s="69" customFormat="1" x14ac:dyDescent="0.15"/>
    <row r="7844" s="69" customFormat="1" x14ac:dyDescent="0.15"/>
    <row r="7845" s="69" customFormat="1" x14ac:dyDescent="0.15"/>
    <row r="7846" s="69" customFormat="1" x14ac:dyDescent="0.15"/>
    <row r="7847" s="69" customFormat="1" x14ac:dyDescent="0.15"/>
    <row r="7848" s="69" customFormat="1" x14ac:dyDescent="0.15"/>
    <row r="7849" s="69" customFormat="1" x14ac:dyDescent="0.15"/>
    <row r="7850" s="69" customFormat="1" x14ac:dyDescent="0.15"/>
    <row r="7851" s="69" customFormat="1" x14ac:dyDescent="0.15"/>
    <row r="7852" s="69" customFormat="1" x14ac:dyDescent="0.15"/>
    <row r="7853" s="69" customFormat="1" x14ac:dyDescent="0.15"/>
    <row r="7854" s="69" customFormat="1" x14ac:dyDescent="0.15"/>
    <row r="7855" s="69" customFormat="1" x14ac:dyDescent="0.15"/>
    <row r="7856" s="69" customFormat="1" x14ac:dyDescent="0.15"/>
    <row r="7857" s="69" customFormat="1" x14ac:dyDescent="0.15"/>
    <row r="7858" s="69" customFormat="1" x14ac:dyDescent="0.15"/>
    <row r="7859" s="69" customFormat="1" x14ac:dyDescent="0.15"/>
    <row r="7860" s="69" customFormat="1" x14ac:dyDescent="0.15"/>
    <row r="7861" s="69" customFormat="1" x14ac:dyDescent="0.15"/>
    <row r="7862" s="69" customFormat="1" x14ac:dyDescent="0.15"/>
    <row r="7863" s="69" customFormat="1" x14ac:dyDescent="0.15"/>
    <row r="7864" s="69" customFormat="1" x14ac:dyDescent="0.15"/>
    <row r="7865" s="69" customFormat="1" x14ac:dyDescent="0.15"/>
    <row r="7866" s="69" customFormat="1" x14ac:dyDescent="0.15"/>
    <row r="7867" s="69" customFormat="1" x14ac:dyDescent="0.15"/>
    <row r="7868" s="69" customFormat="1" x14ac:dyDescent="0.15"/>
    <row r="7869" s="69" customFormat="1" x14ac:dyDescent="0.15"/>
    <row r="7870" s="69" customFormat="1" x14ac:dyDescent="0.15"/>
    <row r="7871" s="69" customFormat="1" x14ac:dyDescent="0.15"/>
    <row r="7872" s="69" customFormat="1" x14ac:dyDescent="0.15"/>
    <row r="7873" s="69" customFormat="1" x14ac:dyDescent="0.15"/>
    <row r="7874" s="69" customFormat="1" x14ac:dyDescent="0.15"/>
    <row r="7875" s="69" customFormat="1" x14ac:dyDescent="0.15"/>
    <row r="7876" s="69" customFormat="1" x14ac:dyDescent="0.15"/>
    <row r="7877" s="69" customFormat="1" x14ac:dyDescent="0.15"/>
    <row r="7878" s="69" customFormat="1" x14ac:dyDescent="0.15"/>
    <row r="7879" s="69" customFormat="1" x14ac:dyDescent="0.15"/>
    <row r="7880" s="69" customFormat="1" x14ac:dyDescent="0.15"/>
    <row r="7881" s="69" customFormat="1" x14ac:dyDescent="0.15"/>
    <row r="7882" s="69" customFormat="1" x14ac:dyDescent="0.15"/>
    <row r="7883" s="69" customFormat="1" x14ac:dyDescent="0.15"/>
    <row r="7884" s="69" customFormat="1" x14ac:dyDescent="0.15"/>
    <row r="7885" s="69" customFormat="1" x14ac:dyDescent="0.15"/>
    <row r="7886" s="69" customFormat="1" x14ac:dyDescent="0.15"/>
    <row r="7887" s="69" customFormat="1" x14ac:dyDescent="0.15"/>
    <row r="7888" s="69" customFormat="1" x14ac:dyDescent="0.15"/>
    <row r="7889" s="69" customFormat="1" x14ac:dyDescent="0.15"/>
    <row r="7890" s="69" customFormat="1" x14ac:dyDescent="0.15"/>
    <row r="7891" s="69" customFormat="1" x14ac:dyDescent="0.15"/>
    <row r="7892" s="69" customFormat="1" x14ac:dyDescent="0.15"/>
    <row r="7893" s="69" customFormat="1" x14ac:dyDescent="0.15"/>
    <row r="7894" s="69" customFormat="1" x14ac:dyDescent="0.15"/>
    <row r="7895" s="69" customFormat="1" x14ac:dyDescent="0.15"/>
    <row r="7896" s="69" customFormat="1" x14ac:dyDescent="0.15"/>
    <row r="7897" s="69" customFormat="1" x14ac:dyDescent="0.15"/>
    <row r="7898" s="69" customFormat="1" x14ac:dyDescent="0.15"/>
    <row r="7899" s="69" customFormat="1" x14ac:dyDescent="0.15"/>
    <row r="7900" s="69" customFormat="1" x14ac:dyDescent="0.15"/>
    <row r="7901" s="69" customFormat="1" x14ac:dyDescent="0.15"/>
    <row r="7902" s="69" customFormat="1" x14ac:dyDescent="0.15"/>
    <row r="7903" s="69" customFormat="1" x14ac:dyDescent="0.15"/>
    <row r="7904" s="69" customFormat="1" x14ac:dyDescent="0.15"/>
    <row r="7905" s="69" customFormat="1" x14ac:dyDescent="0.15"/>
    <row r="7906" s="69" customFormat="1" x14ac:dyDescent="0.15"/>
    <row r="7907" s="69" customFormat="1" x14ac:dyDescent="0.15"/>
    <row r="7908" s="69" customFormat="1" x14ac:dyDescent="0.15"/>
    <row r="7909" s="69" customFormat="1" x14ac:dyDescent="0.15"/>
    <row r="7910" s="69" customFormat="1" x14ac:dyDescent="0.15"/>
    <row r="7911" s="69" customFormat="1" x14ac:dyDescent="0.15"/>
    <row r="7912" s="69" customFormat="1" x14ac:dyDescent="0.15"/>
    <row r="7913" s="69" customFormat="1" x14ac:dyDescent="0.15"/>
    <row r="7914" s="69" customFormat="1" x14ac:dyDescent="0.15"/>
    <row r="7915" s="69" customFormat="1" x14ac:dyDescent="0.15"/>
    <row r="7916" s="69" customFormat="1" x14ac:dyDescent="0.15"/>
    <row r="7917" s="69" customFormat="1" x14ac:dyDescent="0.15"/>
    <row r="7918" s="69" customFormat="1" x14ac:dyDescent="0.15"/>
    <row r="7919" s="69" customFormat="1" x14ac:dyDescent="0.15"/>
    <row r="7920" s="69" customFormat="1" x14ac:dyDescent="0.15"/>
    <row r="7921" s="69" customFormat="1" x14ac:dyDescent="0.15"/>
    <row r="7922" s="69" customFormat="1" x14ac:dyDescent="0.15"/>
    <row r="7923" s="69" customFormat="1" x14ac:dyDescent="0.15"/>
    <row r="7924" s="69" customFormat="1" x14ac:dyDescent="0.15"/>
    <row r="7925" s="69" customFormat="1" x14ac:dyDescent="0.15"/>
    <row r="7926" s="69" customFormat="1" x14ac:dyDescent="0.15"/>
    <row r="7927" s="69" customFormat="1" x14ac:dyDescent="0.15"/>
    <row r="7928" s="69" customFormat="1" x14ac:dyDescent="0.15"/>
    <row r="7929" s="69" customFormat="1" x14ac:dyDescent="0.15"/>
    <row r="7930" s="69" customFormat="1" x14ac:dyDescent="0.15"/>
    <row r="7931" s="69" customFormat="1" x14ac:dyDescent="0.15"/>
    <row r="7932" s="69" customFormat="1" x14ac:dyDescent="0.15"/>
    <row r="7933" s="69" customFormat="1" x14ac:dyDescent="0.15"/>
    <row r="7934" s="69" customFormat="1" x14ac:dyDescent="0.15"/>
    <row r="7935" s="69" customFormat="1" x14ac:dyDescent="0.15"/>
    <row r="7936" s="69" customFormat="1" x14ac:dyDescent="0.15"/>
    <row r="7937" s="69" customFormat="1" x14ac:dyDescent="0.15"/>
    <row r="7938" s="69" customFormat="1" x14ac:dyDescent="0.15"/>
    <row r="7939" s="69" customFormat="1" x14ac:dyDescent="0.15"/>
    <row r="7940" s="69" customFormat="1" x14ac:dyDescent="0.15"/>
    <row r="7941" s="69" customFormat="1" x14ac:dyDescent="0.15"/>
    <row r="7942" s="69" customFormat="1" x14ac:dyDescent="0.15"/>
    <row r="7943" s="69" customFormat="1" x14ac:dyDescent="0.15"/>
    <row r="7944" s="69" customFormat="1" x14ac:dyDescent="0.15"/>
    <row r="7945" s="69" customFormat="1" x14ac:dyDescent="0.15"/>
    <row r="7946" s="69" customFormat="1" x14ac:dyDescent="0.15"/>
    <row r="7947" s="69" customFormat="1" x14ac:dyDescent="0.15"/>
    <row r="7948" s="69" customFormat="1" x14ac:dyDescent="0.15"/>
    <row r="7949" s="69" customFormat="1" x14ac:dyDescent="0.15"/>
    <row r="7950" s="69" customFormat="1" x14ac:dyDescent="0.15"/>
    <row r="7951" s="69" customFormat="1" x14ac:dyDescent="0.15"/>
    <row r="7952" s="69" customFormat="1" x14ac:dyDescent="0.15"/>
    <row r="7953" s="69" customFormat="1" x14ac:dyDescent="0.15"/>
    <row r="7954" s="69" customFormat="1" x14ac:dyDescent="0.15"/>
    <row r="7955" s="69" customFormat="1" x14ac:dyDescent="0.15"/>
    <row r="7956" s="69" customFormat="1" x14ac:dyDescent="0.15"/>
    <row r="7957" s="69" customFormat="1" x14ac:dyDescent="0.15"/>
    <row r="7958" s="69" customFormat="1" x14ac:dyDescent="0.15"/>
    <row r="7959" s="69" customFormat="1" x14ac:dyDescent="0.15"/>
    <row r="7960" s="69" customFormat="1" x14ac:dyDescent="0.15"/>
    <row r="7961" s="69" customFormat="1" x14ac:dyDescent="0.15"/>
    <row r="7962" s="69" customFormat="1" x14ac:dyDescent="0.15"/>
    <row r="7963" s="69" customFormat="1" x14ac:dyDescent="0.15"/>
    <row r="7964" s="69" customFormat="1" x14ac:dyDescent="0.15"/>
    <row r="7965" s="69" customFormat="1" x14ac:dyDescent="0.15"/>
    <row r="7966" s="69" customFormat="1" x14ac:dyDescent="0.15"/>
    <row r="7967" s="69" customFormat="1" x14ac:dyDescent="0.15"/>
    <row r="7968" s="69" customFormat="1" x14ac:dyDescent="0.15"/>
    <row r="7969" s="69" customFormat="1" x14ac:dyDescent="0.15"/>
    <row r="7970" s="69" customFormat="1" x14ac:dyDescent="0.15"/>
    <row r="7971" s="69" customFormat="1" x14ac:dyDescent="0.15"/>
    <row r="7972" s="69" customFormat="1" x14ac:dyDescent="0.15"/>
    <row r="7973" s="69" customFormat="1" x14ac:dyDescent="0.15"/>
    <row r="7974" s="69" customFormat="1" x14ac:dyDescent="0.15"/>
    <row r="7975" s="69" customFormat="1" x14ac:dyDescent="0.15"/>
    <row r="7976" s="69" customFormat="1" x14ac:dyDescent="0.15"/>
    <row r="7977" s="69" customFormat="1" x14ac:dyDescent="0.15"/>
    <row r="7978" s="69" customFormat="1" x14ac:dyDescent="0.15"/>
    <row r="7979" s="69" customFormat="1" x14ac:dyDescent="0.15"/>
    <row r="7980" s="69" customFormat="1" x14ac:dyDescent="0.15"/>
    <row r="7981" s="69" customFormat="1" x14ac:dyDescent="0.15"/>
    <row r="7982" s="69" customFormat="1" x14ac:dyDescent="0.15"/>
    <row r="7983" s="69" customFormat="1" x14ac:dyDescent="0.15"/>
    <row r="7984" s="69" customFormat="1" x14ac:dyDescent="0.15"/>
    <row r="7985" s="69" customFormat="1" x14ac:dyDescent="0.15"/>
    <row r="7986" s="69" customFormat="1" x14ac:dyDescent="0.15"/>
    <row r="7987" s="69" customFormat="1" x14ac:dyDescent="0.15"/>
    <row r="7988" s="69" customFormat="1" x14ac:dyDescent="0.15"/>
    <row r="7989" s="69" customFormat="1" x14ac:dyDescent="0.15"/>
    <row r="7990" s="69" customFormat="1" x14ac:dyDescent="0.15"/>
    <row r="7991" s="69" customFormat="1" x14ac:dyDescent="0.15"/>
    <row r="7992" s="69" customFormat="1" x14ac:dyDescent="0.15"/>
    <row r="7993" s="69" customFormat="1" x14ac:dyDescent="0.15"/>
    <row r="7994" s="69" customFormat="1" x14ac:dyDescent="0.15"/>
    <row r="7995" s="69" customFormat="1" x14ac:dyDescent="0.15"/>
    <row r="7996" s="69" customFormat="1" x14ac:dyDescent="0.15"/>
    <row r="7997" s="69" customFormat="1" x14ac:dyDescent="0.15"/>
    <row r="7998" s="69" customFormat="1" x14ac:dyDescent="0.15"/>
    <row r="7999" s="69" customFormat="1" x14ac:dyDescent="0.15"/>
    <row r="8000" s="69" customFormat="1" x14ac:dyDescent="0.15"/>
    <row r="8001" s="69" customFormat="1" x14ac:dyDescent="0.15"/>
    <row r="8002" s="69" customFormat="1" x14ac:dyDescent="0.15"/>
    <row r="8003" s="69" customFormat="1" x14ac:dyDescent="0.15"/>
    <row r="8004" s="69" customFormat="1" x14ac:dyDescent="0.15"/>
    <row r="8005" s="69" customFormat="1" x14ac:dyDescent="0.15"/>
    <row r="8006" s="69" customFormat="1" x14ac:dyDescent="0.15"/>
    <row r="8007" s="69" customFormat="1" x14ac:dyDescent="0.15"/>
    <row r="8008" s="69" customFormat="1" x14ac:dyDescent="0.15"/>
    <row r="8009" s="69" customFormat="1" x14ac:dyDescent="0.15"/>
    <row r="8010" s="69" customFormat="1" x14ac:dyDescent="0.15"/>
    <row r="8011" s="69" customFormat="1" x14ac:dyDescent="0.15"/>
    <row r="8012" s="69" customFormat="1" x14ac:dyDescent="0.15"/>
    <row r="8013" s="69" customFormat="1" x14ac:dyDescent="0.15"/>
    <row r="8014" s="69" customFormat="1" x14ac:dyDescent="0.15"/>
    <row r="8015" s="69" customFormat="1" x14ac:dyDescent="0.15"/>
    <row r="8016" s="69" customFormat="1" x14ac:dyDescent="0.15"/>
    <row r="8017" s="69" customFormat="1" x14ac:dyDescent="0.15"/>
    <row r="8018" s="69" customFormat="1" x14ac:dyDescent="0.15"/>
    <row r="8019" s="69" customFormat="1" x14ac:dyDescent="0.15"/>
    <row r="8020" s="69" customFormat="1" x14ac:dyDescent="0.15"/>
    <row r="8021" s="69" customFormat="1" x14ac:dyDescent="0.15"/>
    <row r="8022" s="69" customFormat="1" x14ac:dyDescent="0.15"/>
    <row r="8023" s="69" customFormat="1" x14ac:dyDescent="0.15"/>
    <row r="8024" s="69" customFormat="1" x14ac:dyDescent="0.15"/>
    <row r="8025" s="69" customFormat="1" x14ac:dyDescent="0.15"/>
    <row r="8026" s="69" customFormat="1" x14ac:dyDescent="0.15"/>
    <row r="8027" s="69" customFormat="1" x14ac:dyDescent="0.15"/>
    <row r="8028" s="69" customFormat="1" x14ac:dyDescent="0.15"/>
    <row r="8029" s="69" customFormat="1" x14ac:dyDescent="0.15"/>
    <row r="8030" s="69" customFormat="1" x14ac:dyDescent="0.15"/>
    <row r="8031" s="69" customFormat="1" x14ac:dyDescent="0.15"/>
    <row r="8032" s="69" customFormat="1" x14ac:dyDescent="0.15"/>
    <row r="8033" s="69" customFormat="1" x14ac:dyDescent="0.15"/>
    <row r="8034" s="69" customFormat="1" x14ac:dyDescent="0.15"/>
    <row r="8035" s="69" customFormat="1" x14ac:dyDescent="0.15"/>
    <row r="8036" s="69" customFormat="1" x14ac:dyDescent="0.15"/>
    <row r="8037" s="69" customFormat="1" x14ac:dyDescent="0.15"/>
    <row r="8038" s="69" customFormat="1" x14ac:dyDescent="0.15"/>
    <row r="8039" s="69" customFormat="1" x14ac:dyDescent="0.15"/>
    <row r="8040" s="69" customFormat="1" x14ac:dyDescent="0.15"/>
    <row r="8041" s="69" customFormat="1" x14ac:dyDescent="0.15"/>
    <row r="8042" s="69" customFormat="1" x14ac:dyDescent="0.15"/>
    <row r="8043" s="69" customFormat="1" x14ac:dyDescent="0.15"/>
    <row r="8044" s="69" customFormat="1" x14ac:dyDescent="0.15"/>
    <row r="8045" s="69" customFormat="1" x14ac:dyDescent="0.15"/>
    <row r="8046" s="69" customFormat="1" x14ac:dyDescent="0.15"/>
    <row r="8047" s="69" customFormat="1" x14ac:dyDescent="0.15"/>
    <row r="8048" s="69" customFormat="1" x14ac:dyDescent="0.15"/>
    <row r="8049" s="69" customFormat="1" x14ac:dyDescent="0.15"/>
    <row r="8050" s="69" customFormat="1" x14ac:dyDescent="0.15"/>
    <row r="8051" s="69" customFormat="1" x14ac:dyDescent="0.15"/>
    <row r="8052" s="69" customFormat="1" x14ac:dyDescent="0.15"/>
    <row r="8053" s="69" customFormat="1" x14ac:dyDescent="0.15"/>
    <row r="8054" s="69" customFormat="1" x14ac:dyDescent="0.15"/>
    <row r="8055" s="69" customFormat="1" x14ac:dyDescent="0.15"/>
    <row r="8056" s="69" customFormat="1" x14ac:dyDescent="0.15"/>
    <row r="8057" s="69" customFormat="1" x14ac:dyDescent="0.15"/>
    <row r="8058" s="69" customFormat="1" x14ac:dyDescent="0.15"/>
    <row r="8059" s="69" customFormat="1" x14ac:dyDescent="0.15"/>
    <row r="8060" s="69" customFormat="1" x14ac:dyDescent="0.15"/>
    <row r="8061" s="69" customFormat="1" x14ac:dyDescent="0.15"/>
    <row r="8062" s="69" customFormat="1" x14ac:dyDescent="0.15"/>
    <row r="8063" s="69" customFormat="1" x14ac:dyDescent="0.15"/>
    <row r="8064" s="69" customFormat="1" x14ac:dyDescent="0.15"/>
    <row r="8065" s="69" customFormat="1" x14ac:dyDescent="0.15"/>
    <row r="8066" s="69" customFormat="1" x14ac:dyDescent="0.15"/>
    <row r="8067" s="69" customFormat="1" x14ac:dyDescent="0.15"/>
    <row r="8068" s="69" customFormat="1" x14ac:dyDescent="0.15"/>
    <row r="8069" s="69" customFormat="1" x14ac:dyDescent="0.15"/>
    <row r="8070" s="69" customFormat="1" x14ac:dyDescent="0.15"/>
    <row r="8071" s="69" customFormat="1" x14ac:dyDescent="0.15"/>
    <row r="8072" s="69" customFormat="1" x14ac:dyDescent="0.15"/>
    <row r="8073" s="69" customFormat="1" x14ac:dyDescent="0.15"/>
    <row r="8074" s="69" customFormat="1" x14ac:dyDescent="0.15"/>
    <row r="8075" s="69" customFormat="1" x14ac:dyDescent="0.15"/>
    <row r="8076" s="69" customFormat="1" x14ac:dyDescent="0.15"/>
    <row r="8077" s="69" customFormat="1" x14ac:dyDescent="0.15"/>
    <row r="8078" s="69" customFormat="1" x14ac:dyDescent="0.15"/>
    <row r="8079" s="69" customFormat="1" x14ac:dyDescent="0.15"/>
    <row r="8080" s="69" customFormat="1" x14ac:dyDescent="0.15"/>
    <row r="8081" s="69" customFormat="1" x14ac:dyDescent="0.15"/>
    <row r="8082" s="69" customFormat="1" x14ac:dyDescent="0.15"/>
    <row r="8083" s="69" customFormat="1" x14ac:dyDescent="0.15"/>
    <row r="8084" s="69" customFormat="1" x14ac:dyDescent="0.15"/>
    <row r="8085" s="69" customFormat="1" x14ac:dyDescent="0.15"/>
    <row r="8086" s="69" customFormat="1" x14ac:dyDescent="0.15"/>
    <row r="8087" s="69" customFormat="1" x14ac:dyDescent="0.15"/>
    <row r="8088" s="69" customFormat="1" x14ac:dyDescent="0.15"/>
    <row r="8089" s="69" customFormat="1" x14ac:dyDescent="0.15"/>
    <row r="8090" s="69" customFormat="1" x14ac:dyDescent="0.15"/>
    <row r="8091" s="69" customFormat="1" x14ac:dyDescent="0.15"/>
    <row r="8092" s="69" customFormat="1" x14ac:dyDescent="0.15"/>
    <row r="8093" s="69" customFormat="1" x14ac:dyDescent="0.15"/>
    <row r="8094" s="69" customFormat="1" x14ac:dyDescent="0.15"/>
    <row r="8095" s="69" customFormat="1" x14ac:dyDescent="0.15"/>
    <row r="8096" s="69" customFormat="1" x14ac:dyDescent="0.15"/>
    <row r="8097" s="69" customFormat="1" x14ac:dyDescent="0.15"/>
    <row r="8098" s="69" customFormat="1" x14ac:dyDescent="0.15"/>
    <row r="8099" s="69" customFormat="1" x14ac:dyDescent="0.15"/>
    <row r="8100" s="69" customFormat="1" x14ac:dyDescent="0.15"/>
    <row r="8101" s="69" customFormat="1" x14ac:dyDescent="0.15"/>
    <row r="8102" s="69" customFormat="1" x14ac:dyDescent="0.15"/>
    <row r="8103" s="69" customFormat="1" x14ac:dyDescent="0.15"/>
    <row r="8104" s="69" customFormat="1" x14ac:dyDescent="0.15"/>
    <row r="8105" s="69" customFormat="1" x14ac:dyDescent="0.15"/>
    <row r="8106" s="69" customFormat="1" x14ac:dyDescent="0.15"/>
    <row r="8107" s="69" customFormat="1" x14ac:dyDescent="0.15"/>
    <row r="8108" s="69" customFormat="1" x14ac:dyDescent="0.15"/>
    <row r="8109" s="69" customFormat="1" x14ac:dyDescent="0.15"/>
    <row r="8110" s="69" customFormat="1" x14ac:dyDescent="0.15"/>
    <row r="8111" s="69" customFormat="1" x14ac:dyDescent="0.15"/>
    <row r="8112" s="69" customFormat="1" x14ac:dyDescent="0.15"/>
    <row r="8113" s="69" customFormat="1" x14ac:dyDescent="0.15"/>
    <row r="8114" s="69" customFormat="1" x14ac:dyDescent="0.15"/>
    <row r="8115" s="69" customFormat="1" x14ac:dyDescent="0.15"/>
    <row r="8116" s="69" customFormat="1" x14ac:dyDescent="0.15"/>
    <row r="8117" s="69" customFormat="1" x14ac:dyDescent="0.15"/>
    <row r="8118" s="69" customFormat="1" x14ac:dyDescent="0.15"/>
    <row r="8119" s="69" customFormat="1" x14ac:dyDescent="0.15"/>
    <row r="8120" s="69" customFormat="1" x14ac:dyDescent="0.15"/>
    <row r="8121" s="69" customFormat="1" x14ac:dyDescent="0.15"/>
    <row r="8122" s="69" customFormat="1" x14ac:dyDescent="0.15"/>
    <row r="8123" s="69" customFormat="1" x14ac:dyDescent="0.15"/>
    <row r="8124" s="69" customFormat="1" x14ac:dyDescent="0.15"/>
    <row r="8125" s="69" customFormat="1" x14ac:dyDescent="0.15"/>
    <row r="8126" s="69" customFormat="1" x14ac:dyDescent="0.15"/>
    <row r="8127" s="69" customFormat="1" x14ac:dyDescent="0.15"/>
    <row r="8128" s="69" customFormat="1" x14ac:dyDescent="0.15"/>
    <row r="8129" s="69" customFormat="1" x14ac:dyDescent="0.15"/>
    <row r="8130" s="69" customFormat="1" x14ac:dyDescent="0.15"/>
    <row r="8131" s="69" customFormat="1" x14ac:dyDescent="0.15"/>
    <row r="8132" s="69" customFormat="1" x14ac:dyDescent="0.15"/>
    <row r="8133" s="69" customFormat="1" x14ac:dyDescent="0.15"/>
    <row r="8134" s="69" customFormat="1" x14ac:dyDescent="0.15"/>
    <row r="8135" s="69" customFormat="1" x14ac:dyDescent="0.15"/>
    <row r="8136" s="69" customFormat="1" x14ac:dyDescent="0.15"/>
    <row r="8137" s="69" customFormat="1" x14ac:dyDescent="0.15"/>
    <row r="8138" s="69" customFormat="1" x14ac:dyDescent="0.15"/>
    <row r="8139" s="69" customFormat="1" x14ac:dyDescent="0.15"/>
    <row r="8140" s="69" customFormat="1" x14ac:dyDescent="0.15"/>
    <row r="8141" s="69" customFormat="1" x14ac:dyDescent="0.15"/>
    <row r="8142" s="69" customFormat="1" x14ac:dyDescent="0.15"/>
    <row r="8143" s="69" customFormat="1" x14ac:dyDescent="0.15"/>
    <row r="8144" s="69" customFormat="1" x14ac:dyDescent="0.15"/>
    <row r="8145" s="69" customFormat="1" x14ac:dyDescent="0.15"/>
    <row r="8146" s="69" customFormat="1" x14ac:dyDescent="0.15"/>
    <row r="8147" s="69" customFormat="1" x14ac:dyDescent="0.15"/>
    <row r="8148" s="69" customFormat="1" x14ac:dyDescent="0.15"/>
    <row r="8149" s="69" customFormat="1" x14ac:dyDescent="0.15"/>
    <row r="8150" s="69" customFormat="1" x14ac:dyDescent="0.15"/>
    <row r="8151" s="69" customFormat="1" x14ac:dyDescent="0.15"/>
    <row r="8152" s="69" customFormat="1" x14ac:dyDescent="0.15"/>
    <row r="8153" s="69" customFormat="1" x14ac:dyDescent="0.15"/>
    <row r="8154" s="69" customFormat="1" x14ac:dyDescent="0.15"/>
    <row r="8155" s="69" customFormat="1" x14ac:dyDescent="0.15"/>
    <row r="8156" s="69" customFormat="1" x14ac:dyDescent="0.15"/>
    <row r="8157" s="69" customFormat="1" x14ac:dyDescent="0.15"/>
    <row r="8158" s="69" customFormat="1" x14ac:dyDescent="0.15"/>
    <row r="8159" s="69" customFormat="1" x14ac:dyDescent="0.15"/>
    <row r="8160" s="69" customFormat="1" x14ac:dyDescent="0.15"/>
    <row r="8161" s="69" customFormat="1" x14ac:dyDescent="0.15"/>
    <row r="8162" s="69" customFormat="1" x14ac:dyDescent="0.15"/>
    <row r="8163" s="69" customFormat="1" x14ac:dyDescent="0.15"/>
    <row r="8164" s="69" customFormat="1" x14ac:dyDescent="0.15"/>
    <row r="8165" s="69" customFormat="1" x14ac:dyDescent="0.15"/>
    <row r="8166" s="69" customFormat="1" x14ac:dyDescent="0.15"/>
    <row r="8167" s="69" customFormat="1" x14ac:dyDescent="0.15"/>
    <row r="8168" s="69" customFormat="1" x14ac:dyDescent="0.15"/>
    <row r="8169" s="69" customFormat="1" x14ac:dyDescent="0.15"/>
    <row r="8170" s="69" customFormat="1" x14ac:dyDescent="0.15"/>
    <row r="8171" s="69" customFormat="1" x14ac:dyDescent="0.15"/>
    <row r="8172" s="69" customFormat="1" x14ac:dyDescent="0.15"/>
    <row r="8173" s="69" customFormat="1" x14ac:dyDescent="0.15"/>
    <row r="8174" s="69" customFormat="1" x14ac:dyDescent="0.15"/>
    <row r="8175" s="69" customFormat="1" x14ac:dyDescent="0.15"/>
    <row r="8176" s="69" customFormat="1" x14ac:dyDescent="0.15"/>
    <row r="8177" s="69" customFormat="1" x14ac:dyDescent="0.15"/>
    <row r="8178" s="69" customFormat="1" x14ac:dyDescent="0.15"/>
    <row r="8179" s="69" customFormat="1" x14ac:dyDescent="0.15"/>
    <row r="8180" s="69" customFormat="1" x14ac:dyDescent="0.15"/>
    <row r="8181" s="69" customFormat="1" x14ac:dyDescent="0.15"/>
    <row r="8182" s="69" customFormat="1" x14ac:dyDescent="0.15"/>
    <row r="8183" s="69" customFormat="1" x14ac:dyDescent="0.15"/>
    <row r="8184" s="69" customFormat="1" x14ac:dyDescent="0.15"/>
    <row r="8185" s="69" customFormat="1" x14ac:dyDescent="0.15"/>
    <row r="8186" s="69" customFormat="1" x14ac:dyDescent="0.15"/>
    <row r="8187" s="69" customFormat="1" x14ac:dyDescent="0.15"/>
    <row r="8188" s="69" customFormat="1" x14ac:dyDescent="0.15"/>
    <row r="8189" s="69" customFormat="1" x14ac:dyDescent="0.15"/>
    <row r="8190" s="69" customFormat="1" x14ac:dyDescent="0.15"/>
    <row r="8191" s="69" customFormat="1" x14ac:dyDescent="0.15"/>
    <row r="8192" s="69" customFormat="1" x14ac:dyDescent="0.15"/>
    <row r="8193" s="69" customFormat="1" x14ac:dyDescent="0.15"/>
    <row r="8194" s="69" customFormat="1" x14ac:dyDescent="0.15"/>
    <row r="8195" s="69" customFormat="1" x14ac:dyDescent="0.15"/>
    <row r="8196" s="69" customFormat="1" x14ac:dyDescent="0.15"/>
    <row r="8197" s="69" customFormat="1" x14ac:dyDescent="0.15"/>
    <row r="8198" s="69" customFormat="1" x14ac:dyDescent="0.15"/>
    <row r="8199" s="69" customFormat="1" x14ac:dyDescent="0.15"/>
    <row r="8200" s="69" customFormat="1" x14ac:dyDescent="0.15"/>
    <row r="8201" s="69" customFormat="1" x14ac:dyDescent="0.15"/>
    <row r="8202" s="69" customFormat="1" x14ac:dyDescent="0.15"/>
    <row r="8203" s="69" customFormat="1" x14ac:dyDescent="0.15"/>
    <row r="8204" s="69" customFormat="1" x14ac:dyDescent="0.15"/>
    <row r="8205" s="69" customFormat="1" x14ac:dyDescent="0.15"/>
    <row r="8206" s="69" customFormat="1" x14ac:dyDescent="0.15"/>
    <row r="8207" s="69" customFormat="1" x14ac:dyDescent="0.15"/>
    <row r="8208" s="69" customFormat="1" x14ac:dyDescent="0.15"/>
    <row r="8209" s="69" customFormat="1" x14ac:dyDescent="0.15"/>
    <row r="8210" s="69" customFormat="1" x14ac:dyDescent="0.15"/>
    <row r="8211" s="69" customFormat="1" x14ac:dyDescent="0.15"/>
    <row r="8212" s="69" customFormat="1" x14ac:dyDescent="0.15"/>
    <row r="8213" s="69" customFormat="1" x14ac:dyDescent="0.15"/>
    <row r="8214" s="69" customFormat="1" x14ac:dyDescent="0.15"/>
    <row r="8215" s="69" customFormat="1" x14ac:dyDescent="0.15"/>
    <row r="8216" s="69" customFormat="1" x14ac:dyDescent="0.15"/>
    <row r="8217" s="69" customFormat="1" x14ac:dyDescent="0.15"/>
    <row r="8218" s="69" customFormat="1" x14ac:dyDescent="0.15"/>
    <row r="8219" s="69" customFormat="1" x14ac:dyDescent="0.15"/>
    <row r="8220" s="69" customFormat="1" x14ac:dyDescent="0.15"/>
    <row r="8221" s="69" customFormat="1" x14ac:dyDescent="0.15"/>
    <row r="8222" s="69" customFormat="1" x14ac:dyDescent="0.15"/>
    <row r="8223" s="69" customFormat="1" x14ac:dyDescent="0.15"/>
    <row r="8224" s="69" customFormat="1" x14ac:dyDescent="0.15"/>
    <row r="8225" s="69" customFormat="1" x14ac:dyDescent="0.15"/>
    <row r="8226" s="69" customFormat="1" x14ac:dyDescent="0.15"/>
    <row r="8227" s="69" customFormat="1" x14ac:dyDescent="0.15"/>
    <row r="8228" s="69" customFormat="1" x14ac:dyDescent="0.15"/>
    <row r="8229" s="69" customFormat="1" x14ac:dyDescent="0.15"/>
    <row r="8230" s="69" customFormat="1" x14ac:dyDescent="0.15"/>
    <row r="8231" s="69" customFormat="1" x14ac:dyDescent="0.15"/>
    <row r="8232" s="69" customFormat="1" x14ac:dyDescent="0.15"/>
    <row r="8233" s="69" customFormat="1" x14ac:dyDescent="0.15"/>
    <row r="8234" s="69" customFormat="1" x14ac:dyDescent="0.15"/>
    <row r="8235" s="69" customFormat="1" x14ac:dyDescent="0.15"/>
    <row r="8236" s="69" customFormat="1" x14ac:dyDescent="0.15"/>
    <row r="8237" s="69" customFormat="1" x14ac:dyDescent="0.15"/>
    <row r="8238" s="69" customFormat="1" x14ac:dyDescent="0.15"/>
    <row r="8239" s="69" customFormat="1" x14ac:dyDescent="0.15"/>
    <row r="8240" s="69" customFormat="1" x14ac:dyDescent="0.15"/>
    <row r="8241" s="69" customFormat="1" x14ac:dyDescent="0.15"/>
    <row r="8242" s="69" customFormat="1" x14ac:dyDescent="0.15"/>
    <row r="8243" s="69" customFormat="1" x14ac:dyDescent="0.15"/>
    <row r="8244" s="69" customFormat="1" x14ac:dyDescent="0.15"/>
    <row r="8245" s="69" customFormat="1" x14ac:dyDescent="0.15"/>
    <row r="8246" s="69" customFormat="1" x14ac:dyDescent="0.15"/>
    <row r="8247" s="69" customFormat="1" x14ac:dyDescent="0.15"/>
    <row r="8248" s="69" customFormat="1" x14ac:dyDescent="0.15"/>
    <row r="8249" s="69" customFormat="1" x14ac:dyDescent="0.15"/>
    <row r="8250" s="69" customFormat="1" x14ac:dyDescent="0.15"/>
    <row r="8251" s="69" customFormat="1" x14ac:dyDescent="0.15"/>
    <row r="8252" s="69" customFormat="1" x14ac:dyDescent="0.15"/>
    <row r="8253" s="69" customFormat="1" x14ac:dyDescent="0.15"/>
    <row r="8254" s="69" customFormat="1" x14ac:dyDescent="0.15"/>
    <row r="8255" s="69" customFormat="1" x14ac:dyDescent="0.15"/>
    <row r="8256" s="69" customFormat="1" x14ac:dyDescent="0.15"/>
    <row r="8257" s="69" customFormat="1" x14ac:dyDescent="0.15"/>
    <row r="8258" s="69" customFormat="1" x14ac:dyDescent="0.15"/>
    <row r="8259" s="69" customFormat="1" x14ac:dyDescent="0.15"/>
    <row r="8260" s="69" customFormat="1" x14ac:dyDescent="0.15"/>
    <row r="8261" s="69" customFormat="1" x14ac:dyDescent="0.15"/>
    <row r="8262" s="69" customFormat="1" x14ac:dyDescent="0.15"/>
    <row r="8263" s="69" customFormat="1" x14ac:dyDescent="0.15"/>
    <row r="8264" s="69" customFormat="1" x14ac:dyDescent="0.15"/>
    <row r="8265" s="69" customFormat="1" x14ac:dyDescent="0.15"/>
    <row r="8266" s="69" customFormat="1" x14ac:dyDescent="0.15"/>
    <row r="8267" s="69" customFormat="1" x14ac:dyDescent="0.15"/>
    <row r="8268" s="69" customFormat="1" x14ac:dyDescent="0.15"/>
    <row r="8269" s="69" customFormat="1" x14ac:dyDescent="0.15"/>
    <row r="8270" s="69" customFormat="1" x14ac:dyDescent="0.15"/>
    <row r="8271" s="69" customFormat="1" x14ac:dyDescent="0.15"/>
    <row r="8272" s="69" customFormat="1" x14ac:dyDescent="0.15"/>
    <row r="8273" s="69" customFormat="1" x14ac:dyDescent="0.15"/>
    <row r="8274" s="69" customFormat="1" x14ac:dyDescent="0.15"/>
    <row r="8275" s="69" customFormat="1" x14ac:dyDescent="0.15"/>
    <row r="8276" s="69" customFormat="1" x14ac:dyDescent="0.15"/>
    <row r="8277" s="69" customFormat="1" x14ac:dyDescent="0.15"/>
    <row r="8278" s="69" customFormat="1" x14ac:dyDescent="0.15"/>
    <row r="8279" s="69" customFormat="1" x14ac:dyDescent="0.15"/>
    <row r="8280" s="69" customFormat="1" x14ac:dyDescent="0.15"/>
    <row r="8281" s="69" customFormat="1" x14ac:dyDescent="0.15"/>
    <row r="8282" s="69" customFormat="1" x14ac:dyDescent="0.15"/>
    <row r="8283" s="69" customFormat="1" x14ac:dyDescent="0.15"/>
    <row r="8284" s="69" customFormat="1" x14ac:dyDescent="0.15"/>
    <row r="8285" s="69" customFormat="1" x14ac:dyDescent="0.15"/>
    <row r="8286" s="69" customFormat="1" x14ac:dyDescent="0.15"/>
    <row r="8287" s="69" customFormat="1" x14ac:dyDescent="0.15"/>
    <row r="8288" s="69" customFormat="1" x14ac:dyDescent="0.15"/>
    <row r="8289" s="69" customFormat="1" x14ac:dyDescent="0.15"/>
    <row r="8290" s="69" customFormat="1" x14ac:dyDescent="0.15"/>
    <row r="8291" s="69" customFormat="1" x14ac:dyDescent="0.15"/>
    <row r="8292" s="69" customFormat="1" x14ac:dyDescent="0.15"/>
    <row r="8293" s="69" customFormat="1" x14ac:dyDescent="0.15"/>
    <row r="8294" s="69" customFormat="1" x14ac:dyDescent="0.15"/>
    <row r="8295" s="69" customFormat="1" x14ac:dyDescent="0.15"/>
    <row r="8296" s="69" customFormat="1" x14ac:dyDescent="0.15"/>
    <row r="8297" s="69" customFormat="1" x14ac:dyDescent="0.15"/>
    <row r="8298" s="69" customFormat="1" x14ac:dyDescent="0.15"/>
    <row r="8299" s="69" customFormat="1" x14ac:dyDescent="0.15"/>
    <row r="8300" s="69" customFormat="1" x14ac:dyDescent="0.15"/>
    <row r="8301" s="69" customFormat="1" x14ac:dyDescent="0.15"/>
    <row r="8302" s="69" customFormat="1" x14ac:dyDescent="0.15"/>
    <row r="8303" s="69" customFormat="1" x14ac:dyDescent="0.15"/>
    <row r="8304" s="69" customFormat="1" x14ac:dyDescent="0.15"/>
    <row r="8305" s="69" customFormat="1" x14ac:dyDescent="0.15"/>
    <row r="8306" s="69" customFormat="1" x14ac:dyDescent="0.15"/>
    <row r="8307" s="69" customFormat="1" x14ac:dyDescent="0.15"/>
    <row r="8308" s="69" customFormat="1" x14ac:dyDescent="0.15"/>
    <row r="8309" s="69" customFormat="1" x14ac:dyDescent="0.15"/>
    <row r="8310" s="69" customFormat="1" x14ac:dyDescent="0.15"/>
    <row r="8311" s="69" customFormat="1" x14ac:dyDescent="0.15"/>
    <row r="8312" s="69" customFormat="1" x14ac:dyDescent="0.15"/>
    <row r="8313" s="69" customFormat="1" x14ac:dyDescent="0.15"/>
    <row r="8314" s="69" customFormat="1" x14ac:dyDescent="0.15"/>
    <row r="8315" s="69" customFormat="1" x14ac:dyDescent="0.15"/>
    <row r="8316" s="69" customFormat="1" x14ac:dyDescent="0.15"/>
    <row r="8317" s="69" customFormat="1" x14ac:dyDescent="0.15"/>
    <row r="8318" s="69" customFormat="1" x14ac:dyDescent="0.15"/>
    <row r="8319" s="69" customFormat="1" x14ac:dyDescent="0.15"/>
    <row r="8320" s="69" customFormat="1" x14ac:dyDescent="0.15"/>
    <row r="8321" s="69" customFormat="1" x14ac:dyDescent="0.15"/>
    <row r="8322" s="69" customFormat="1" x14ac:dyDescent="0.15"/>
    <row r="8323" s="69" customFormat="1" x14ac:dyDescent="0.15"/>
    <row r="8324" s="69" customFormat="1" x14ac:dyDescent="0.15"/>
    <row r="8325" s="69" customFormat="1" x14ac:dyDescent="0.15"/>
    <row r="8326" s="69" customFormat="1" x14ac:dyDescent="0.15"/>
    <row r="8327" s="69" customFormat="1" x14ac:dyDescent="0.15"/>
    <row r="8328" s="69" customFormat="1" x14ac:dyDescent="0.15"/>
    <row r="8329" s="69" customFormat="1" x14ac:dyDescent="0.15"/>
    <row r="8330" s="69" customFormat="1" x14ac:dyDescent="0.15"/>
    <row r="8331" s="69" customFormat="1" x14ac:dyDescent="0.15"/>
    <row r="8332" s="69" customFormat="1" x14ac:dyDescent="0.15"/>
    <row r="8333" s="69" customFormat="1" x14ac:dyDescent="0.15"/>
    <row r="8334" s="69" customFormat="1" x14ac:dyDescent="0.15"/>
    <row r="8335" s="69" customFormat="1" x14ac:dyDescent="0.15"/>
    <row r="8336" s="69" customFormat="1" x14ac:dyDescent="0.15"/>
    <row r="8337" s="69" customFormat="1" x14ac:dyDescent="0.15"/>
    <row r="8338" s="69" customFormat="1" x14ac:dyDescent="0.15"/>
    <row r="8339" s="69" customFormat="1" x14ac:dyDescent="0.15"/>
    <row r="8340" s="69" customFormat="1" x14ac:dyDescent="0.15"/>
    <row r="8341" s="69" customFormat="1" x14ac:dyDescent="0.15"/>
    <row r="8342" s="69" customFormat="1" x14ac:dyDescent="0.15"/>
    <row r="8343" s="69" customFormat="1" x14ac:dyDescent="0.15"/>
    <row r="8344" s="69" customFormat="1" x14ac:dyDescent="0.15"/>
    <row r="8345" s="69" customFormat="1" x14ac:dyDescent="0.15"/>
    <row r="8346" s="69" customFormat="1" x14ac:dyDescent="0.15"/>
    <row r="8347" s="69" customFormat="1" x14ac:dyDescent="0.15"/>
    <row r="8348" s="69" customFormat="1" x14ac:dyDescent="0.15"/>
    <row r="8349" s="69" customFormat="1" x14ac:dyDescent="0.15"/>
    <row r="8350" s="69" customFormat="1" x14ac:dyDescent="0.15"/>
    <row r="8351" s="69" customFormat="1" x14ac:dyDescent="0.15"/>
    <row r="8352" s="69" customFormat="1" x14ac:dyDescent="0.15"/>
    <row r="8353" s="69" customFormat="1" x14ac:dyDescent="0.15"/>
    <row r="8354" s="69" customFormat="1" x14ac:dyDescent="0.15"/>
    <row r="8355" s="69" customFormat="1" x14ac:dyDescent="0.15"/>
    <row r="8356" s="69" customFormat="1" x14ac:dyDescent="0.15"/>
    <row r="8357" s="69" customFormat="1" x14ac:dyDescent="0.15"/>
    <row r="8358" s="69" customFormat="1" x14ac:dyDescent="0.15"/>
    <row r="8359" s="69" customFormat="1" x14ac:dyDescent="0.15"/>
    <row r="8360" s="69" customFormat="1" x14ac:dyDescent="0.15"/>
    <row r="8361" s="69" customFormat="1" x14ac:dyDescent="0.15"/>
    <row r="8362" s="69" customFormat="1" x14ac:dyDescent="0.15"/>
    <row r="8363" s="69" customFormat="1" x14ac:dyDescent="0.15"/>
    <row r="8364" s="69" customFormat="1" x14ac:dyDescent="0.15"/>
    <row r="8365" s="69" customFormat="1" x14ac:dyDescent="0.15"/>
    <row r="8366" s="69" customFormat="1" x14ac:dyDescent="0.15"/>
    <row r="8367" s="69" customFormat="1" x14ac:dyDescent="0.15"/>
    <row r="8368" s="69" customFormat="1" x14ac:dyDescent="0.15"/>
    <row r="8369" s="69" customFormat="1" x14ac:dyDescent="0.15"/>
    <row r="8370" s="69" customFormat="1" x14ac:dyDescent="0.15"/>
    <row r="8371" s="69" customFormat="1" x14ac:dyDescent="0.15"/>
    <row r="8372" s="69" customFormat="1" x14ac:dyDescent="0.15"/>
    <row r="8373" s="69" customFormat="1" x14ac:dyDescent="0.15"/>
    <row r="8374" s="69" customFormat="1" x14ac:dyDescent="0.15"/>
    <row r="8375" s="69" customFormat="1" x14ac:dyDescent="0.15"/>
    <row r="8376" s="69" customFormat="1" x14ac:dyDescent="0.15"/>
    <row r="8377" s="69" customFormat="1" x14ac:dyDescent="0.15"/>
    <row r="8378" s="69" customFormat="1" x14ac:dyDescent="0.15"/>
    <row r="8379" s="69" customFormat="1" x14ac:dyDescent="0.15"/>
    <row r="8380" s="69" customFormat="1" x14ac:dyDescent="0.15"/>
    <row r="8381" s="69" customFormat="1" x14ac:dyDescent="0.15"/>
    <row r="8382" s="69" customFormat="1" x14ac:dyDescent="0.15"/>
    <row r="8383" s="69" customFormat="1" x14ac:dyDescent="0.15"/>
    <row r="8384" s="69" customFormat="1" x14ac:dyDescent="0.15"/>
    <row r="8385" s="69" customFormat="1" x14ac:dyDescent="0.15"/>
    <row r="8386" s="69" customFormat="1" x14ac:dyDescent="0.15"/>
    <row r="8387" s="69" customFormat="1" x14ac:dyDescent="0.15"/>
    <row r="8388" s="69" customFormat="1" x14ac:dyDescent="0.15"/>
    <row r="8389" s="69" customFormat="1" x14ac:dyDescent="0.15"/>
    <row r="8390" s="69" customFormat="1" x14ac:dyDescent="0.15"/>
    <row r="8391" s="69" customFormat="1" x14ac:dyDescent="0.15"/>
    <row r="8392" s="69" customFormat="1" x14ac:dyDescent="0.15"/>
    <row r="8393" s="69" customFormat="1" x14ac:dyDescent="0.15"/>
    <row r="8394" s="69" customFormat="1" x14ac:dyDescent="0.15"/>
    <row r="8395" s="69" customFormat="1" x14ac:dyDescent="0.15"/>
    <row r="8396" s="69" customFormat="1" x14ac:dyDescent="0.15"/>
    <row r="8397" s="69" customFormat="1" x14ac:dyDescent="0.15"/>
    <row r="8398" s="69" customFormat="1" x14ac:dyDescent="0.15"/>
    <row r="8399" s="69" customFormat="1" x14ac:dyDescent="0.15"/>
    <row r="8400" s="69" customFormat="1" x14ac:dyDescent="0.15"/>
    <row r="8401" s="69" customFormat="1" x14ac:dyDescent="0.15"/>
    <row r="8402" s="69" customFormat="1" x14ac:dyDescent="0.15"/>
    <row r="8403" s="69" customFormat="1" x14ac:dyDescent="0.15"/>
    <row r="8404" s="69" customFormat="1" x14ac:dyDescent="0.15"/>
    <row r="8405" s="69" customFormat="1" x14ac:dyDescent="0.15"/>
    <row r="8406" s="69" customFormat="1" x14ac:dyDescent="0.15"/>
    <row r="8407" s="69" customFormat="1" x14ac:dyDescent="0.15"/>
    <row r="8408" s="69" customFormat="1" x14ac:dyDescent="0.15"/>
    <row r="8409" s="69" customFormat="1" x14ac:dyDescent="0.15"/>
    <row r="8410" s="69" customFormat="1" x14ac:dyDescent="0.15"/>
    <row r="8411" s="69" customFormat="1" x14ac:dyDescent="0.15"/>
    <row r="8412" s="69" customFormat="1" x14ac:dyDescent="0.15"/>
    <row r="8413" s="69" customFormat="1" x14ac:dyDescent="0.15"/>
    <row r="8414" s="69" customFormat="1" x14ac:dyDescent="0.15"/>
    <row r="8415" s="69" customFormat="1" x14ac:dyDescent="0.15"/>
    <row r="8416" s="69" customFormat="1" x14ac:dyDescent="0.15"/>
    <row r="8417" s="69" customFormat="1" x14ac:dyDescent="0.15"/>
    <row r="8418" s="69" customFormat="1" x14ac:dyDescent="0.15"/>
    <row r="8419" s="69" customFormat="1" x14ac:dyDescent="0.15"/>
    <row r="8420" s="69" customFormat="1" x14ac:dyDescent="0.15"/>
    <row r="8421" s="69" customFormat="1" x14ac:dyDescent="0.15"/>
    <row r="8422" s="69" customFormat="1" x14ac:dyDescent="0.15"/>
    <row r="8423" s="69" customFormat="1" x14ac:dyDescent="0.15"/>
    <row r="8424" s="69" customFormat="1" x14ac:dyDescent="0.15"/>
    <row r="8425" s="69" customFormat="1" x14ac:dyDescent="0.15"/>
    <row r="8426" s="69" customFormat="1" x14ac:dyDescent="0.15"/>
    <row r="8427" s="69" customFormat="1" x14ac:dyDescent="0.15"/>
    <row r="8428" s="69" customFormat="1" x14ac:dyDescent="0.15"/>
    <row r="8429" s="69" customFormat="1" x14ac:dyDescent="0.15"/>
    <row r="8430" s="69" customFormat="1" x14ac:dyDescent="0.15"/>
    <row r="8431" s="69" customFormat="1" x14ac:dyDescent="0.15"/>
    <row r="8432" s="69" customFormat="1" x14ac:dyDescent="0.15"/>
    <row r="8433" s="69" customFormat="1" x14ac:dyDescent="0.15"/>
    <row r="8434" s="69" customFormat="1" x14ac:dyDescent="0.15"/>
    <row r="8435" s="69" customFormat="1" x14ac:dyDescent="0.15"/>
    <row r="8436" s="69" customFormat="1" x14ac:dyDescent="0.15"/>
    <row r="8437" s="69" customFormat="1" x14ac:dyDescent="0.15"/>
    <row r="8438" s="69" customFormat="1" x14ac:dyDescent="0.15"/>
    <row r="8439" s="69" customFormat="1" x14ac:dyDescent="0.15"/>
    <row r="8440" s="69" customFormat="1" x14ac:dyDescent="0.15"/>
    <row r="8441" s="69" customFormat="1" x14ac:dyDescent="0.15"/>
    <row r="8442" s="69" customFormat="1" x14ac:dyDescent="0.15"/>
    <row r="8443" s="69" customFormat="1" x14ac:dyDescent="0.15"/>
    <row r="8444" s="69" customFormat="1" x14ac:dyDescent="0.15"/>
    <row r="8445" s="69" customFormat="1" x14ac:dyDescent="0.15"/>
    <row r="8446" s="69" customFormat="1" x14ac:dyDescent="0.15"/>
    <row r="8447" s="69" customFormat="1" x14ac:dyDescent="0.15"/>
    <row r="8448" s="69" customFormat="1" x14ac:dyDescent="0.15"/>
    <row r="8449" s="69" customFormat="1" x14ac:dyDescent="0.15"/>
    <row r="8450" s="69" customFormat="1" x14ac:dyDescent="0.15"/>
    <row r="8451" s="69" customFormat="1" x14ac:dyDescent="0.15"/>
    <row r="8452" s="69" customFormat="1" x14ac:dyDescent="0.15"/>
    <row r="8453" s="69" customFormat="1" x14ac:dyDescent="0.15"/>
    <row r="8454" s="69" customFormat="1" x14ac:dyDescent="0.15"/>
    <row r="8455" s="69" customFormat="1" x14ac:dyDescent="0.15"/>
    <row r="8456" s="69" customFormat="1" x14ac:dyDescent="0.15"/>
    <row r="8457" s="69" customFormat="1" x14ac:dyDescent="0.15"/>
    <row r="8458" s="69" customFormat="1" x14ac:dyDescent="0.15"/>
    <row r="8459" s="69" customFormat="1" x14ac:dyDescent="0.15"/>
    <row r="8460" s="69" customFormat="1" x14ac:dyDescent="0.15"/>
    <row r="8461" s="69" customFormat="1" x14ac:dyDescent="0.15"/>
    <row r="8462" s="69" customFormat="1" x14ac:dyDescent="0.15"/>
    <row r="8463" s="69" customFormat="1" x14ac:dyDescent="0.15"/>
    <row r="8464" s="69" customFormat="1" x14ac:dyDescent="0.15"/>
    <row r="8465" s="69" customFormat="1" x14ac:dyDescent="0.15"/>
    <row r="8466" s="69" customFormat="1" x14ac:dyDescent="0.15"/>
    <row r="8467" s="69" customFormat="1" x14ac:dyDescent="0.15"/>
    <row r="8468" s="69" customFormat="1" x14ac:dyDescent="0.15"/>
    <row r="8469" s="69" customFormat="1" x14ac:dyDescent="0.15"/>
    <row r="8470" s="69" customFormat="1" x14ac:dyDescent="0.15"/>
    <row r="8471" s="69" customFormat="1" x14ac:dyDescent="0.15"/>
    <row r="8472" s="69" customFormat="1" x14ac:dyDescent="0.15"/>
    <row r="8473" s="69" customFormat="1" x14ac:dyDescent="0.15"/>
    <row r="8474" s="69" customFormat="1" x14ac:dyDescent="0.15"/>
    <row r="8475" s="69" customFormat="1" x14ac:dyDescent="0.15"/>
    <row r="8476" s="69" customFormat="1" x14ac:dyDescent="0.15"/>
    <row r="8477" s="69" customFormat="1" x14ac:dyDescent="0.15"/>
    <row r="8478" s="69" customFormat="1" x14ac:dyDescent="0.15"/>
    <row r="8479" s="69" customFormat="1" x14ac:dyDescent="0.15"/>
    <row r="8480" s="69" customFormat="1" x14ac:dyDescent="0.15"/>
    <row r="8481" s="69" customFormat="1" x14ac:dyDescent="0.15"/>
    <row r="8482" s="69" customFormat="1" x14ac:dyDescent="0.15"/>
    <row r="8483" s="69" customFormat="1" x14ac:dyDescent="0.15"/>
    <row r="8484" s="69" customFormat="1" x14ac:dyDescent="0.15"/>
    <row r="8485" s="69" customFormat="1" x14ac:dyDescent="0.15"/>
    <row r="8486" s="69" customFormat="1" x14ac:dyDescent="0.15"/>
    <row r="8487" s="69" customFormat="1" x14ac:dyDescent="0.15"/>
    <row r="8488" s="69" customFormat="1" x14ac:dyDescent="0.15"/>
    <row r="8489" s="69" customFormat="1" x14ac:dyDescent="0.15"/>
    <row r="8490" s="69" customFormat="1" x14ac:dyDescent="0.15"/>
    <row r="8491" s="69" customFormat="1" x14ac:dyDescent="0.15"/>
    <row r="8492" s="69" customFormat="1" x14ac:dyDescent="0.15"/>
    <row r="8493" s="69" customFormat="1" x14ac:dyDescent="0.15"/>
    <row r="8494" s="69" customFormat="1" x14ac:dyDescent="0.15"/>
    <row r="8495" s="69" customFormat="1" x14ac:dyDescent="0.15"/>
    <row r="8496" s="69" customFormat="1" x14ac:dyDescent="0.15"/>
    <row r="8497" s="69" customFormat="1" x14ac:dyDescent="0.15"/>
    <row r="8498" s="69" customFormat="1" x14ac:dyDescent="0.15"/>
    <row r="8499" s="69" customFormat="1" x14ac:dyDescent="0.15"/>
    <row r="8500" s="69" customFormat="1" x14ac:dyDescent="0.15"/>
    <row r="8501" s="69" customFormat="1" x14ac:dyDescent="0.15"/>
    <row r="8502" s="69" customFormat="1" x14ac:dyDescent="0.15"/>
    <row r="8503" s="69" customFormat="1" x14ac:dyDescent="0.15"/>
    <row r="8504" s="69" customFormat="1" x14ac:dyDescent="0.15"/>
    <row r="8505" s="69" customFormat="1" x14ac:dyDescent="0.15"/>
    <row r="8506" s="69" customFormat="1" x14ac:dyDescent="0.15"/>
    <row r="8507" s="69" customFormat="1" x14ac:dyDescent="0.15"/>
    <row r="8508" s="69" customFormat="1" x14ac:dyDescent="0.15"/>
    <row r="8509" s="69" customFormat="1" x14ac:dyDescent="0.15"/>
    <row r="8510" s="69" customFormat="1" x14ac:dyDescent="0.15"/>
    <row r="8511" s="69" customFormat="1" x14ac:dyDescent="0.15"/>
    <row r="8512" s="69" customFormat="1" x14ac:dyDescent="0.15"/>
    <row r="8513" s="69" customFormat="1" x14ac:dyDescent="0.15"/>
    <row r="8514" s="69" customFormat="1" x14ac:dyDescent="0.15"/>
    <row r="8515" s="69" customFormat="1" x14ac:dyDescent="0.15"/>
    <row r="8516" s="69" customFormat="1" x14ac:dyDescent="0.15"/>
    <row r="8517" s="69" customFormat="1" x14ac:dyDescent="0.15"/>
    <row r="8518" s="69" customFormat="1" x14ac:dyDescent="0.15"/>
    <row r="8519" s="69" customFormat="1" x14ac:dyDescent="0.15"/>
    <row r="8520" s="69" customFormat="1" x14ac:dyDescent="0.15"/>
    <row r="8521" s="69" customFormat="1" x14ac:dyDescent="0.15"/>
    <row r="8522" s="69" customFormat="1" x14ac:dyDescent="0.15"/>
    <row r="8523" s="69" customFormat="1" x14ac:dyDescent="0.15"/>
    <row r="8524" s="69" customFormat="1" x14ac:dyDescent="0.15"/>
    <row r="8525" s="69" customFormat="1" x14ac:dyDescent="0.15"/>
    <row r="8526" s="69" customFormat="1" x14ac:dyDescent="0.15"/>
    <row r="8527" s="69" customFormat="1" x14ac:dyDescent="0.15"/>
    <row r="8528" s="69" customFormat="1" x14ac:dyDescent="0.15"/>
    <row r="8529" s="69" customFormat="1" x14ac:dyDescent="0.15"/>
    <row r="8530" s="69" customFormat="1" x14ac:dyDescent="0.15"/>
    <row r="8531" s="69" customFormat="1" x14ac:dyDescent="0.15"/>
    <row r="8532" s="69" customFormat="1" x14ac:dyDescent="0.15"/>
    <row r="8533" s="69" customFormat="1" x14ac:dyDescent="0.15"/>
    <row r="8534" s="69" customFormat="1" x14ac:dyDescent="0.15"/>
    <row r="8535" s="69" customFormat="1" x14ac:dyDescent="0.15"/>
    <row r="8536" s="69" customFormat="1" x14ac:dyDescent="0.15"/>
    <row r="8537" s="69" customFormat="1" x14ac:dyDescent="0.15"/>
    <row r="8538" s="69" customFormat="1" x14ac:dyDescent="0.15"/>
    <row r="8539" s="69" customFormat="1" x14ac:dyDescent="0.15"/>
    <row r="8540" s="69" customFormat="1" x14ac:dyDescent="0.15"/>
    <row r="8541" s="69" customFormat="1" x14ac:dyDescent="0.15"/>
    <row r="8542" s="69" customFormat="1" x14ac:dyDescent="0.15"/>
    <row r="8543" s="69" customFormat="1" x14ac:dyDescent="0.15"/>
    <row r="8544" s="69" customFormat="1" x14ac:dyDescent="0.15"/>
    <row r="8545" s="69" customFormat="1" x14ac:dyDescent="0.15"/>
    <row r="8546" s="69" customFormat="1" x14ac:dyDescent="0.15"/>
    <row r="8547" s="69" customFormat="1" x14ac:dyDescent="0.15"/>
    <row r="8548" s="69" customFormat="1" x14ac:dyDescent="0.15"/>
    <row r="8549" s="69" customFormat="1" x14ac:dyDescent="0.15"/>
    <row r="8550" s="69" customFormat="1" x14ac:dyDescent="0.15"/>
    <row r="8551" s="69" customFormat="1" x14ac:dyDescent="0.15"/>
    <row r="8552" s="69" customFormat="1" x14ac:dyDescent="0.15"/>
    <row r="8553" s="69" customFormat="1" x14ac:dyDescent="0.15"/>
    <row r="8554" s="69" customFormat="1" x14ac:dyDescent="0.15"/>
    <row r="8555" s="69" customFormat="1" x14ac:dyDescent="0.15"/>
    <row r="8556" s="69" customFormat="1" x14ac:dyDescent="0.15"/>
    <row r="8557" s="69" customFormat="1" x14ac:dyDescent="0.15"/>
    <row r="8558" s="69" customFormat="1" x14ac:dyDescent="0.15"/>
    <row r="8559" s="69" customFormat="1" x14ac:dyDescent="0.15"/>
    <row r="8560" s="69" customFormat="1" x14ac:dyDescent="0.15"/>
    <row r="8561" s="69" customFormat="1" x14ac:dyDescent="0.15"/>
    <row r="8562" s="69" customFormat="1" x14ac:dyDescent="0.15"/>
    <row r="8563" s="69" customFormat="1" x14ac:dyDescent="0.15"/>
    <row r="8564" s="69" customFormat="1" x14ac:dyDescent="0.15"/>
    <row r="8565" s="69" customFormat="1" x14ac:dyDescent="0.15"/>
    <row r="8566" s="69" customFormat="1" x14ac:dyDescent="0.15"/>
    <row r="8567" s="69" customFormat="1" x14ac:dyDescent="0.15"/>
    <row r="8568" s="69" customFormat="1" x14ac:dyDescent="0.15"/>
    <row r="8569" s="69" customFormat="1" x14ac:dyDescent="0.15"/>
    <row r="8570" s="69" customFormat="1" x14ac:dyDescent="0.15"/>
    <row r="8571" s="69" customFormat="1" x14ac:dyDescent="0.15"/>
    <row r="8572" s="69" customFormat="1" x14ac:dyDescent="0.15"/>
    <row r="8573" s="69" customFormat="1" x14ac:dyDescent="0.15"/>
    <row r="8574" s="69" customFormat="1" x14ac:dyDescent="0.15"/>
    <row r="8575" s="69" customFormat="1" x14ac:dyDescent="0.15"/>
    <row r="8576" s="69" customFormat="1" x14ac:dyDescent="0.15"/>
    <row r="8577" s="69" customFormat="1" x14ac:dyDescent="0.15"/>
    <row r="8578" s="69" customFormat="1" x14ac:dyDescent="0.15"/>
    <row r="8579" s="69" customFormat="1" x14ac:dyDescent="0.15"/>
    <row r="8580" s="69" customFormat="1" x14ac:dyDescent="0.15"/>
    <row r="8581" s="69" customFormat="1" x14ac:dyDescent="0.15"/>
    <row r="8582" s="69" customFormat="1" x14ac:dyDescent="0.15"/>
    <row r="8583" s="69" customFormat="1" x14ac:dyDescent="0.15"/>
    <row r="8584" s="69" customFormat="1" x14ac:dyDescent="0.15"/>
    <row r="8585" s="69" customFormat="1" x14ac:dyDescent="0.15"/>
    <row r="8586" s="69" customFormat="1" x14ac:dyDescent="0.15"/>
    <row r="8587" s="69" customFormat="1" x14ac:dyDescent="0.15"/>
    <row r="8588" s="69" customFormat="1" x14ac:dyDescent="0.15"/>
    <row r="8589" s="69" customFormat="1" x14ac:dyDescent="0.15"/>
    <row r="8590" s="69" customFormat="1" x14ac:dyDescent="0.15"/>
    <row r="8591" s="69" customFormat="1" x14ac:dyDescent="0.15"/>
    <row r="8592" s="69" customFormat="1" x14ac:dyDescent="0.15"/>
    <row r="8593" s="69" customFormat="1" x14ac:dyDescent="0.15"/>
    <row r="8594" s="69" customFormat="1" x14ac:dyDescent="0.15"/>
    <row r="8595" s="69" customFormat="1" x14ac:dyDescent="0.15"/>
    <row r="8596" s="69" customFormat="1" x14ac:dyDescent="0.15"/>
    <row r="8597" s="69" customFormat="1" x14ac:dyDescent="0.15"/>
    <row r="8598" s="69" customFormat="1" x14ac:dyDescent="0.15"/>
    <row r="8599" s="69" customFormat="1" x14ac:dyDescent="0.15"/>
    <row r="8600" s="69" customFormat="1" x14ac:dyDescent="0.15"/>
    <row r="8601" s="69" customFormat="1" x14ac:dyDescent="0.15"/>
    <row r="8602" s="69" customFormat="1" x14ac:dyDescent="0.15"/>
    <row r="8603" s="69" customFormat="1" x14ac:dyDescent="0.15"/>
    <row r="8604" s="69" customFormat="1" x14ac:dyDescent="0.15"/>
    <row r="8605" s="69" customFormat="1" x14ac:dyDescent="0.15"/>
    <row r="8606" s="69" customFormat="1" x14ac:dyDescent="0.15"/>
    <row r="8607" s="69" customFormat="1" x14ac:dyDescent="0.15"/>
    <row r="8608" s="69" customFormat="1" x14ac:dyDescent="0.15"/>
    <row r="8609" s="69" customFormat="1" x14ac:dyDescent="0.15"/>
    <row r="8610" s="69" customFormat="1" x14ac:dyDescent="0.15"/>
    <row r="8611" s="69" customFormat="1" x14ac:dyDescent="0.15"/>
    <row r="8612" s="69" customFormat="1" x14ac:dyDescent="0.15"/>
    <row r="8613" s="69" customFormat="1" x14ac:dyDescent="0.15"/>
    <row r="8614" s="69" customFormat="1" x14ac:dyDescent="0.15"/>
    <row r="8615" s="69" customFormat="1" x14ac:dyDescent="0.15"/>
    <row r="8616" s="69" customFormat="1" x14ac:dyDescent="0.15"/>
    <row r="8617" s="69" customFormat="1" x14ac:dyDescent="0.15"/>
    <row r="8618" s="69" customFormat="1" x14ac:dyDescent="0.15"/>
    <row r="8619" s="69" customFormat="1" x14ac:dyDescent="0.15"/>
    <row r="8620" s="69" customFormat="1" x14ac:dyDescent="0.15"/>
    <row r="8621" s="69" customFormat="1" x14ac:dyDescent="0.15"/>
    <row r="8622" s="69" customFormat="1" x14ac:dyDescent="0.15"/>
    <row r="8623" s="69" customFormat="1" x14ac:dyDescent="0.15"/>
    <row r="8624" s="69" customFormat="1" x14ac:dyDescent="0.15"/>
    <row r="8625" s="69" customFormat="1" x14ac:dyDescent="0.15"/>
    <row r="8626" s="69" customFormat="1" x14ac:dyDescent="0.15"/>
    <row r="8627" s="69" customFormat="1" x14ac:dyDescent="0.15"/>
    <row r="8628" s="69" customFormat="1" x14ac:dyDescent="0.15"/>
    <row r="8629" s="69" customFormat="1" x14ac:dyDescent="0.15"/>
    <row r="8630" s="69" customFormat="1" x14ac:dyDescent="0.15"/>
    <row r="8631" s="69" customFormat="1" x14ac:dyDescent="0.15"/>
    <row r="8632" s="69" customFormat="1" x14ac:dyDescent="0.15"/>
    <row r="8633" s="69" customFormat="1" x14ac:dyDescent="0.15"/>
    <row r="8634" s="69" customFormat="1" x14ac:dyDescent="0.15"/>
    <row r="8635" s="69" customFormat="1" x14ac:dyDescent="0.15"/>
    <row r="8636" s="69" customFormat="1" x14ac:dyDescent="0.15"/>
    <row r="8637" s="69" customFormat="1" x14ac:dyDescent="0.15"/>
    <row r="8638" s="69" customFormat="1" x14ac:dyDescent="0.15"/>
    <row r="8639" s="69" customFormat="1" x14ac:dyDescent="0.15"/>
    <row r="8640" s="69" customFormat="1" x14ac:dyDescent="0.15"/>
    <row r="8641" s="69" customFormat="1" x14ac:dyDescent="0.15"/>
    <row r="8642" s="69" customFormat="1" x14ac:dyDescent="0.15"/>
    <row r="8643" s="69" customFormat="1" x14ac:dyDescent="0.15"/>
    <row r="8644" s="69" customFormat="1" x14ac:dyDescent="0.15"/>
    <row r="8645" s="69" customFormat="1" x14ac:dyDescent="0.15"/>
    <row r="8646" s="69" customFormat="1" x14ac:dyDescent="0.15"/>
    <row r="8647" s="69" customFormat="1" x14ac:dyDescent="0.15"/>
    <row r="8648" s="69" customFormat="1" x14ac:dyDescent="0.15"/>
    <row r="8649" s="69" customFormat="1" x14ac:dyDescent="0.15"/>
    <row r="8650" s="69" customFormat="1" x14ac:dyDescent="0.15"/>
    <row r="8651" s="69" customFormat="1" x14ac:dyDescent="0.15"/>
    <row r="8652" s="69" customFormat="1" x14ac:dyDescent="0.15"/>
    <row r="8653" s="69" customFormat="1" x14ac:dyDescent="0.15"/>
    <row r="8654" s="69" customFormat="1" x14ac:dyDescent="0.15"/>
    <row r="8655" s="69" customFormat="1" x14ac:dyDescent="0.15"/>
    <row r="8656" s="69" customFormat="1" x14ac:dyDescent="0.15"/>
    <row r="8657" s="69" customFormat="1" x14ac:dyDescent="0.15"/>
    <row r="8658" s="69" customFormat="1" x14ac:dyDescent="0.15"/>
    <row r="8659" s="69" customFormat="1" x14ac:dyDescent="0.15"/>
    <row r="8660" s="69" customFormat="1" x14ac:dyDescent="0.15"/>
    <row r="8661" s="69" customFormat="1" x14ac:dyDescent="0.15"/>
    <row r="8662" s="69" customFormat="1" x14ac:dyDescent="0.15"/>
    <row r="8663" s="69" customFormat="1" x14ac:dyDescent="0.15"/>
    <row r="8664" s="69" customFormat="1" x14ac:dyDescent="0.15"/>
    <row r="8665" s="69" customFormat="1" x14ac:dyDescent="0.15"/>
    <row r="8666" s="69" customFormat="1" x14ac:dyDescent="0.15"/>
    <row r="8667" s="69" customFormat="1" x14ac:dyDescent="0.15"/>
    <row r="8668" s="69" customFormat="1" x14ac:dyDescent="0.15"/>
    <row r="8669" s="69" customFormat="1" x14ac:dyDescent="0.15"/>
    <row r="8670" s="69" customFormat="1" x14ac:dyDescent="0.15"/>
    <row r="8671" s="69" customFormat="1" x14ac:dyDescent="0.15"/>
    <row r="8672" s="69" customFormat="1" x14ac:dyDescent="0.15"/>
    <row r="8673" s="69" customFormat="1" x14ac:dyDescent="0.15"/>
    <row r="8674" s="69" customFormat="1" x14ac:dyDescent="0.15"/>
    <row r="8675" s="69" customFormat="1" x14ac:dyDescent="0.15"/>
    <row r="8676" s="69" customFormat="1" x14ac:dyDescent="0.15"/>
    <row r="8677" s="69" customFormat="1" x14ac:dyDescent="0.15"/>
    <row r="8678" s="69" customFormat="1" x14ac:dyDescent="0.15"/>
    <row r="8679" s="69" customFormat="1" x14ac:dyDescent="0.15"/>
    <row r="8680" s="69" customFormat="1" x14ac:dyDescent="0.15"/>
    <row r="8681" s="69" customFormat="1" x14ac:dyDescent="0.15"/>
    <row r="8682" s="69" customFormat="1" x14ac:dyDescent="0.15"/>
    <row r="8683" s="69" customFormat="1" x14ac:dyDescent="0.15"/>
    <row r="8684" s="69" customFormat="1" x14ac:dyDescent="0.15"/>
    <row r="8685" s="69" customFormat="1" x14ac:dyDescent="0.15"/>
    <row r="8686" s="69" customFormat="1" x14ac:dyDescent="0.15"/>
    <row r="8687" s="69" customFormat="1" x14ac:dyDescent="0.15"/>
    <row r="8688" s="69" customFormat="1" x14ac:dyDescent="0.15"/>
    <row r="8689" s="69" customFormat="1" x14ac:dyDescent="0.15"/>
    <row r="8690" s="69" customFormat="1" x14ac:dyDescent="0.15"/>
    <row r="8691" s="69" customFormat="1" x14ac:dyDescent="0.15"/>
    <row r="8692" s="69" customFormat="1" x14ac:dyDescent="0.15"/>
    <row r="8693" s="69" customFormat="1" x14ac:dyDescent="0.15"/>
    <row r="8694" s="69" customFormat="1" x14ac:dyDescent="0.15"/>
    <row r="8695" s="69" customFormat="1" x14ac:dyDescent="0.15"/>
    <row r="8696" s="69" customFormat="1" x14ac:dyDescent="0.15"/>
    <row r="8697" s="69" customFormat="1" x14ac:dyDescent="0.15"/>
    <row r="8698" s="69" customFormat="1" x14ac:dyDescent="0.15"/>
    <row r="8699" s="69" customFormat="1" x14ac:dyDescent="0.15"/>
    <row r="8700" s="69" customFormat="1" x14ac:dyDescent="0.15"/>
    <row r="8701" s="69" customFormat="1" x14ac:dyDescent="0.15"/>
    <row r="8702" s="69" customFormat="1" x14ac:dyDescent="0.15"/>
    <row r="8703" s="69" customFormat="1" x14ac:dyDescent="0.15"/>
    <row r="8704" s="69" customFormat="1" x14ac:dyDescent="0.15"/>
    <row r="8705" s="69" customFormat="1" x14ac:dyDescent="0.15"/>
    <row r="8706" s="69" customFormat="1" x14ac:dyDescent="0.15"/>
    <row r="8707" s="69" customFormat="1" x14ac:dyDescent="0.15"/>
    <row r="8708" s="69" customFormat="1" x14ac:dyDescent="0.15"/>
    <row r="8709" s="69" customFormat="1" x14ac:dyDescent="0.15"/>
    <row r="8710" s="69" customFormat="1" x14ac:dyDescent="0.15"/>
    <row r="8711" s="69" customFormat="1" x14ac:dyDescent="0.15"/>
    <row r="8712" s="69" customFormat="1" x14ac:dyDescent="0.15"/>
    <row r="8713" s="69" customFormat="1" x14ac:dyDescent="0.15"/>
    <row r="8714" s="69" customFormat="1" x14ac:dyDescent="0.15"/>
    <row r="8715" s="69" customFormat="1" x14ac:dyDescent="0.15"/>
    <row r="8716" s="69" customFormat="1" x14ac:dyDescent="0.15"/>
    <row r="8717" s="69" customFormat="1" x14ac:dyDescent="0.15"/>
    <row r="8718" s="69" customFormat="1" x14ac:dyDescent="0.15"/>
    <row r="8719" s="69" customFormat="1" x14ac:dyDescent="0.15"/>
    <row r="8720" s="69" customFormat="1" x14ac:dyDescent="0.15"/>
    <row r="8721" s="69" customFormat="1" x14ac:dyDescent="0.15"/>
    <row r="8722" s="69" customFormat="1" x14ac:dyDescent="0.15"/>
    <row r="8723" s="69" customFormat="1" x14ac:dyDescent="0.15"/>
    <row r="8724" s="69" customFormat="1" x14ac:dyDescent="0.15"/>
    <row r="8725" s="69" customFormat="1" x14ac:dyDescent="0.15"/>
    <row r="8726" s="69" customFormat="1" x14ac:dyDescent="0.15"/>
    <row r="8727" s="69" customFormat="1" x14ac:dyDescent="0.15"/>
    <row r="8728" s="69" customFormat="1" x14ac:dyDescent="0.15"/>
    <row r="8729" s="69" customFormat="1" x14ac:dyDescent="0.15"/>
    <row r="8730" s="69" customFormat="1" x14ac:dyDescent="0.15"/>
    <row r="8731" s="69" customFormat="1" x14ac:dyDescent="0.15"/>
    <row r="8732" s="69" customFormat="1" x14ac:dyDescent="0.15"/>
    <row r="8733" s="69" customFormat="1" x14ac:dyDescent="0.15"/>
    <row r="8734" s="69" customFormat="1" x14ac:dyDescent="0.15"/>
    <row r="8735" s="69" customFormat="1" x14ac:dyDescent="0.15"/>
    <row r="8736" s="69" customFormat="1" x14ac:dyDescent="0.15"/>
    <row r="8737" s="69" customFormat="1" x14ac:dyDescent="0.15"/>
    <row r="8738" s="69" customFormat="1" x14ac:dyDescent="0.15"/>
    <row r="8739" s="69" customFormat="1" x14ac:dyDescent="0.15"/>
    <row r="8740" s="69" customFormat="1" x14ac:dyDescent="0.15"/>
    <row r="8741" s="69" customFormat="1" x14ac:dyDescent="0.15"/>
    <row r="8742" s="69" customFormat="1" x14ac:dyDescent="0.15"/>
    <row r="8743" s="69" customFormat="1" x14ac:dyDescent="0.15"/>
    <row r="8744" s="69" customFormat="1" x14ac:dyDescent="0.15"/>
    <row r="8745" s="69" customFormat="1" x14ac:dyDescent="0.15"/>
    <row r="8746" s="69" customFormat="1" x14ac:dyDescent="0.15"/>
    <row r="8747" s="69" customFormat="1" x14ac:dyDescent="0.15"/>
    <row r="8748" s="69" customFormat="1" x14ac:dyDescent="0.15"/>
    <row r="8749" s="69" customFormat="1" x14ac:dyDescent="0.15"/>
    <row r="8750" s="69" customFormat="1" x14ac:dyDescent="0.15"/>
    <row r="8751" s="69" customFormat="1" x14ac:dyDescent="0.15"/>
    <row r="8752" s="69" customFormat="1" x14ac:dyDescent="0.15"/>
    <row r="8753" s="69" customFormat="1" x14ac:dyDescent="0.15"/>
    <row r="8754" s="69" customFormat="1" x14ac:dyDescent="0.15"/>
    <row r="8755" s="69" customFormat="1" x14ac:dyDescent="0.15"/>
    <row r="8756" s="69" customFormat="1" x14ac:dyDescent="0.15"/>
    <row r="8757" s="69" customFormat="1" x14ac:dyDescent="0.15"/>
    <row r="8758" s="69" customFormat="1" x14ac:dyDescent="0.15"/>
    <row r="8759" s="69" customFormat="1" x14ac:dyDescent="0.15"/>
    <row r="8760" s="69" customFormat="1" x14ac:dyDescent="0.15"/>
    <row r="8761" s="69" customFormat="1" x14ac:dyDescent="0.15"/>
    <row r="8762" s="69" customFormat="1" x14ac:dyDescent="0.15"/>
    <row r="8763" s="69" customFormat="1" x14ac:dyDescent="0.15"/>
    <row r="8764" s="69" customFormat="1" x14ac:dyDescent="0.15"/>
    <row r="8765" s="69" customFormat="1" x14ac:dyDescent="0.15"/>
    <row r="8766" s="69" customFormat="1" x14ac:dyDescent="0.15"/>
    <row r="8767" s="69" customFormat="1" x14ac:dyDescent="0.15"/>
    <row r="8768" s="69" customFormat="1" x14ac:dyDescent="0.15"/>
    <row r="8769" s="69" customFormat="1" x14ac:dyDescent="0.15"/>
    <row r="8770" s="69" customFormat="1" x14ac:dyDescent="0.15"/>
    <row r="8771" s="69" customFormat="1" x14ac:dyDescent="0.15"/>
    <row r="8772" s="69" customFormat="1" x14ac:dyDescent="0.15"/>
    <row r="8773" s="69" customFormat="1" x14ac:dyDescent="0.15"/>
    <row r="8774" s="69" customFormat="1" x14ac:dyDescent="0.15"/>
    <row r="8775" s="69" customFormat="1" x14ac:dyDescent="0.15"/>
    <row r="8776" s="69" customFormat="1" x14ac:dyDescent="0.15"/>
    <row r="8777" s="69" customFormat="1" x14ac:dyDescent="0.15"/>
    <row r="8778" s="69" customFormat="1" x14ac:dyDescent="0.15"/>
    <row r="8779" s="69" customFormat="1" x14ac:dyDescent="0.15"/>
    <row r="8780" s="69" customFormat="1" x14ac:dyDescent="0.15"/>
    <row r="8781" s="69" customFormat="1" x14ac:dyDescent="0.15"/>
    <row r="8782" s="69" customFormat="1" x14ac:dyDescent="0.15"/>
    <row r="8783" s="69" customFormat="1" x14ac:dyDescent="0.15"/>
    <row r="8784" s="69" customFormat="1" x14ac:dyDescent="0.15"/>
    <row r="8785" s="69" customFormat="1" x14ac:dyDescent="0.15"/>
    <row r="8786" s="69" customFormat="1" x14ac:dyDescent="0.15"/>
    <row r="8787" s="69" customFormat="1" x14ac:dyDescent="0.15"/>
    <row r="8788" s="69" customFormat="1" x14ac:dyDescent="0.15"/>
    <row r="8789" s="69" customFormat="1" x14ac:dyDescent="0.15"/>
    <row r="8790" s="69" customFormat="1" x14ac:dyDescent="0.15"/>
    <row r="8791" s="69" customFormat="1" x14ac:dyDescent="0.15"/>
    <row r="8792" s="69" customFormat="1" x14ac:dyDescent="0.15"/>
    <row r="8793" s="69" customFormat="1" x14ac:dyDescent="0.15"/>
    <row r="8794" s="69" customFormat="1" x14ac:dyDescent="0.15"/>
    <row r="8795" s="69" customFormat="1" x14ac:dyDescent="0.15"/>
    <row r="8796" s="69" customFormat="1" x14ac:dyDescent="0.15"/>
    <row r="8797" s="69" customFormat="1" x14ac:dyDescent="0.15"/>
    <row r="8798" s="69" customFormat="1" x14ac:dyDescent="0.15"/>
    <row r="8799" s="69" customFormat="1" x14ac:dyDescent="0.15"/>
    <row r="8800" s="69" customFormat="1" x14ac:dyDescent="0.15"/>
    <row r="8801" s="69" customFormat="1" x14ac:dyDescent="0.15"/>
    <row r="8802" s="69" customFormat="1" x14ac:dyDescent="0.15"/>
    <row r="8803" s="69" customFormat="1" x14ac:dyDescent="0.15"/>
    <row r="8804" s="69" customFormat="1" x14ac:dyDescent="0.15"/>
    <row r="8805" s="69" customFormat="1" x14ac:dyDescent="0.15"/>
    <row r="8806" s="69" customFormat="1" x14ac:dyDescent="0.15"/>
    <row r="8807" s="69" customFormat="1" x14ac:dyDescent="0.15"/>
    <row r="8808" s="69" customFormat="1" x14ac:dyDescent="0.15"/>
    <row r="8809" s="69" customFormat="1" x14ac:dyDescent="0.15"/>
    <row r="8810" s="69" customFormat="1" x14ac:dyDescent="0.15"/>
    <row r="8811" s="69" customFormat="1" x14ac:dyDescent="0.15"/>
    <row r="8812" s="69" customFormat="1" x14ac:dyDescent="0.15"/>
    <row r="8813" s="69" customFormat="1" x14ac:dyDescent="0.15"/>
    <row r="8814" s="69" customFormat="1" x14ac:dyDescent="0.15"/>
    <row r="8815" s="69" customFormat="1" x14ac:dyDescent="0.15"/>
    <row r="8816" s="69" customFormat="1" x14ac:dyDescent="0.15"/>
    <row r="8817" s="69" customFormat="1" x14ac:dyDescent="0.15"/>
    <row r="8818" s="69" customFormat="1" x14ac:dyDescent="0.15"/>
    <row r="8819" s="69" customFormat="1" x14ac:dyDescent="0.15"/>
    <row r="8820" s="69" customFormat="1" x14ac:dyDescent="0.15"/>
    <row r="8821" s="69" customFormat="1" x14ac:dyDescent="0.15"/>
    <row r="8822" s="69" customFormat="1" x14ac:dyDescent="0.15"/>
    <row r="8823" s="69" customFormat="1" x14ac:dyDescent="0.15"/>
    <row r="8824" s="69" customFormat="1" x14ac:dyDescent="0.15"/>
    <row r="8825" s="69" customFormat="1" x14ac:dyDescent="0.15"/>
    <row r="8826" s="69" customFormat="1" x14ac:dyDescent="0.15"/>
    <row r="8827" s="69" customFormat="1" x14ac:dyDescent="0.15"/>
    <row r="8828" s="69" customFormat="1" x14ac:dyDescent="0.15"/>
    <row r="8829" s="69" customFormat="1" x14ac:dyDescent="0.15"/>
    <row r="8830" s="69" customFormat="1" x14ac:dyDescent="0.15"/>
    <row r="8831" s="69" customFormat="1" x14ac:dyDescent="0.15"/>
    <row r="8832" s="69" customFormat="1" x14ac:dyDescent="0.15"/>
    <row r="8833" s="69" customFormat="1" x14ac:dyDescent="0.15"/>
    <row r="8834" s="69" customFormat="1" x14ac:dyDescent="0.15"/>
    <row r="8835" s="69" customFormat="1" x14ac:dyDescent="0.15"/>
    <row r="8836" s="69" customFormat="1" x14ac:dyDescent="0.15"/>
    <row r="8837" s="69" customFormat="1" x14ac:dyDescent="0.15"/>
    <row r="8838" s="69" customFormat="1" x14ac:dyDescent="0.15"/>
    <row r="8839" s="69" customFormat="1" x14ac:dyDescent="0.15"/>
    <row r="8840" s="69" customFormat="1" x14ac:dyDescent="0.15"/>
    <row r="8841" s="69" customFormat="1" x14ac:dyDescent="0.15"/>
    <row r="8842" s="69" customFormat="1" x14ac:dyDescent="0.15"/>
    <row r="8843" s="69" customFormat="1" x14ac:dyDescent="0.15"/>
    <row r="8844" s="69" customFormat="1" x14ac:dyDescent="0.15"/>
    <row r="8845" s="69" customFormat="1" x14ac:dyDescent="0.15"/>
    <row r="8846" s="69" customFormat="1" x14ac:dyDescent="0.15"/>
    <row r="8847" s="69" customFormat="1" x14ac:dyDescent="0.15"/>
    <row r="8848" s="69" customFormat="1" x14ac:dyDescent="0.15"/>
    <row r="8849" s="69" customFormat="1" x14ac:dyDescent="0.15"/>
    <row r="8850" s="69" customFormat="1" x14ac:dyDescent="0.15"/>
    <row r="8851" s="69" customFormat="1" x14ac:dyDescent="0.15"/>
    <row r="8852" s="69" customFormat="1" x14ac:dyDescent="0.15"/>
    <row r="8853" s="69" customFormat="1" x14ac:dyDescent="0.15"/>
    <row r="8854" s="69" customFormat="1" x14ac:dyDescent="0.15"/>
    <row r="8855" s="69" customFormat="1" x14ac:dyDescent="0.15"/>
    <row r="8856" s="69" customFormat="1" x14ac:dyDescent="0.15"/>
    <row r="8857" s="69" customFormat="1" x14ac:dyDescent="0.15"/>
    <row r="8858" s="69" customFormat="1" x14ac:dyDescent="0.15"/>
    <row r="8859" s="69" customFormat="1" x14ac:dyDescent="0.15"/>
    <row r="8860" s="69" customFormat="1" x14ac:dyDescent="0.15"/>
    <row r="8861" s="69" customFormat="1" x14ac:dyDescent="0.15"/>
    <row r="8862" s="69" customFormat="1" x14ac:dyDescent="0.15"/>
    <row r="8863" s="69" customFormat="1" x14ac:dyDescent="0.15"/>
    <row r="8864" s="69" customFormat="1" x14ac:dyDescent="0.15"/>
    <row r="8865" s="69" customFormat="1" x14ac:dyDescent="0.15"/>
    <row r="8866" s="69" customFormat="1" x14ac:dyDescent="0.15"/>
    <row r="8867" s="69" customFormat="1" x14ac:dyDescent="0.15"/>
    <row r="8868" s="69" customFormat="1" x14ac:dyDescent="0.15"/>
    <row r="8869" s="69" customFormat="1" x14ac:dyDescent="0.15"/>
    <row r="8870" s="69" customFormat="1" x14ac:dyDescent="0.15"/>
    <row r="8871" s="69" customFormat="1" x14ac:dyDescent="0.15"/>
    <row r="8872" s="69" customFormat="1" x14ac:dyDescent="0.15"/>
    <row r="8873" s="69" customFormat="1" x14ac:dyDescent="0.15"/>
    <row r="8874" s="69" customFormat="1" x14ac:dyDescent="0.15"/>
    <row r="8875" s="69" customFormat="1" x14ac:dyDescent="0.15"/>
    <row r="8876" s="69" customFormat="1" x14ac:dyDescent="0.15"/>
    <row r="8877" s="69" customFormat="1" x14ac:dyDescent="0.15"/>
    <row r="8878" s="69" customFormat="1" x14ac:dyDescent="0.15"/>
    <row r="8879" s="69" customFormat="1" x14ac:dyDescent="0.15"/>
    <row r="8880" s="69" customFormat="1" x14ac:dyDescent="0.15"/>
    <row r="8881" s="69" customFormat="1" x14ac:dyDescent="0.15"/>
    <row r="8882" s="69" customFormat="1" x14ac:dyDescent="0.15"/>
    <row r="8883" s="69" customFormat="1" x14ac:dyDescent="0.15"/>
    <row r="8884" s="69" customFormat="1" x14ac:dyDescent="0.15"/>
    <row r="8885" s="69" customFormat="1" x14ac:dyDescent="0.15"/>
    <row r="8886" s="69" customFormat="1" x14ac:dyDescent="0.15"/>
    <row r="8887" s="69" customFormat="1" x14ac:dyDescent="0.15"/>
    <row r="8888" s="69" customFormat="1" x14ac:dyDescent="0.15"/>
    <row r="8889" s="69" customFormat="1" x14ac:dyDescent="0.15"/>
    <row r="8890" s="69" customFormat="1" x14ac:dyDescent="0.15"/>
    <row r="8891" s="69" customFormat="1" x14ac:dyDescent="0.15"/>
    <row r="8892" s="69" customFormat="1" x14ac:dyDescent="0.15"/>
    <row r="8893" s="69" customFormat="1" x14ac:dyDescent="0.15"/>
    <row r="8894" s="69" customFormat="1" x14ac:dyDescent="0.15"/>
    <row r="8895" s="69" customFormat="1" x14ac:dyDescent="0.15"/>
    <row r="8896" s="69" customFormat="1" x14ac:dyDescent="0.15"/>
    <row r="8897" s="69" customFormat="1" x14ac:dyDescent="0.15"/>
    <row r="8898" s="69" customFormat="1" x14ac:dyDescent="0.15"/>
    <row r="8899" s="69" customFormat="1" x14ac:dyDescent="0.15"/>
    <row r="8900" s="69" customFormat="1" x14ac:dyDescent="0.15"/>
    <row r="8901" s="69" customFormat="1" x14ac:dyDescent="0.15"/>
    <row r="8902" s="69" customFormat="1" x14ac:dyDescent="0.15"/>
    <row r="8903" s="69" customFormat="1" x14ac:dyDescent="0.15"/>
    <row r="8904" s="69" customFormat="1" x14ac:dyDescent="0.15"/>
    <row r="8905" s="69" customFormat="1" x14ac:dyDescent="0.15"/>
    <row r="8906" s="69" customFormat="1" x14ac:dyDescent="0.15"/>
    <row r="8907" s="69" customFormat="1" x14ac:dyDescent="0.15"/>
    <row r="8908" s="69" customFormat="1" x14ac:dyDescent="0.15"/>
    <row r="8909" s="69" customFormat="1" x14ac:dyDescent="0.15"/>
    <row r="8910" s="69" customFormat="1" x14ac:dyDescent="0.15"/>
    <row r="8911" s="69" customFormat="1" x14ac:dyDescent="0.15"/>
    <row r="8912" s="69" customFormat="1" x14ac:dyDescent="0.15"/>
    <row r="8913" s="69" customFormat="1" x14ac:dyDescent="0.15"/>
    <row r="8914" s="69" customFormat="1" x14ac:dyDescent="0.15"/>
    <row r="8915" s="69" customFormat="1" x14ac:dyDescent="0.15"/>
    <row r="8916" s="69" customFormat="1" x14ac:dyDescent="0.15"/>
    <row r="8917" s="69" customFormat="1" x14ac:dyDescent="0.15"/>
    <row r="8918" s="69" customFormat="1" x14ac:dyDescent="0.15"/>
    <row r="8919" s="69" customFormat="1" x14ac:dyDescent="0.15"/>
    <row r="8920" s="69" customFormat="1" x14ac:dyDescent="0.15"/>
    <row r="8921" s="69" customFormat="1" x14ac:dyDescent="0.15"/>
    <row r="8922" s="69" customFormat="1" x14ac:dyDescent="0.15"/>
    <row r="8923" s="69" customFormat="1" x14ac:dyDescent="0.15"/>
    <row r="8924" s="69" customFormat="1" x14ac:dyDescent="0.15"/>
    <row r="8925" s="69" customFormat="1" x14ac:dyDescent="0.15"/>
    <row r="8926" s="69" customFormat="1" x14ac:dyDescent="0.15"/>
    <row r="8927" s="69" customFormat="1" x14ac:dyDescent="0.15"/>
    <row r="8928" s="69" customFormat="1" x14ac:dyDescent="0.15"/>
    <row r="8929" s="69" customFormat="1" x14ac:dyDescent="0.15"/>
    <row r="8930" s="69" customFormat="1" x14ac:dyDescent="0.15"/>
    <row r="8931" s="69" customFormat="1" x14ac:dyDescent="0.15"/>
    <row r="8932" s="69" customFormat="1" x14ac:dyDescent="0.15"/>
    <row r="8933" s="69" customFormat="1" x14ac:dyDescent="0.15"/>
    <row r="8934" s="69" customFormat="1" x14ac:dyDescent="0.15"/>
    <row r="8935" s="69" customFormat="1" x14ac:dyDescent="0.15"/>
    <row r="8936" s="69" customFormat="1" x14ac:dyDescent="0.15"/>
    <row r="8937" s="69" customFormat="1" x14ac:dyDescent="0.15"/>
    <row r="8938" s="69" customFormat="1" x14ac:dyDescent="0.15"/>
    <row r="8939" s="69" customFormat="1" x14ac:dyDescent="0.15"/>
    <row r="8940" s="69" customFormat="1" x14ac:dyDescent="0.15"/>
    <row r="8941" s="69" customFormat="1" x14ac:dyDescent="0.15"/>
    <row r="8942" s="69" customFormat="1" x14ac:dyDescent="0.15"/>
    <row r="8943" s="69" customFormat="1" x14ac:dyDescent="0.15"/>
    <row r="8944" s="69" customFormat="1" x14ac:dyDescent="0.15"/>
    <row r="8945" s="69" customFormat="1" x14ac:dyDescent="0.15"/>
    <row r="8946" s="69" customFormat="1" x14ac:dyDescent="0.15"/>
    <row r="8947" s="69" customFormat="1" x14ac:dyDescent="0.15"/>
    <row r="8948" s="69" customFormat="1" x14ac:dyDescent="0.15"/>
    <row r="8949" s="69" customFormat="1" x14ac:dyDescent="0.15"/>
    <row r="8950" s="69" customFormat="1" x14ac:dyDescent="0.15"/>
    <row r="8951" s="69" customFormat="1" x14ac:dyDescent="0.15"/>
    <row r="8952" s="69" customFormat="1" x14ac:dyDescent="0.15"/>
    <row r="8953" s="69" customFormat="1" x14ac:dyDescent="0.15"/>
    <row r="8954" s="69" customFormat="1" x14ac:dyDescent="0.15"/>
    <row r="8955" s="69" customFormat="1" x14ac:dyDescent="0.15"/>
    <row r="8956" s="69" customFormat="1" x14ac:dyDescent="0.15"/>
    <row r="8957" s="69" customFormat="1" x14ac:dyDescent="0.15"/>
    <row r="8958" s="69" customFormat="1" x14ac:dyDescent="0.15"/>
    <row r="8959" s="69" customFormat="1" x14ac:dyDescent="0.15"/>
    <row r="8960" s="69" customFormat="1" x14ac:dyDescent="0.15"/>
    <row r="8961" s="69" customFormat="1" x14ac:dyDescent="0.15"/>
    <row r="8962" s="69" customFormat="1" x14ac:dyDescent="0.15"/>
    <row r="8963" s="69" customFormat="1" x14ac:dyDescent="0.15"/>
    <row r="8964" s="69" customFormat="1" x14ac:dyDescent="0.15"/>
    <row r="8965" s="69" customFormat="1" x14ac:dyDescent="0.15"/>
    <row r="8966" s="69" customFormat="1" x14ac:dyDescent="0.15"/>
    <row r="8967" s="69" customFormat="1" x14ac:dyDescent="0.15"/>
    <row r="8968" s="69" customFormat="1" x14ac:dyDescent="0.15"/>
    <row r="8969" s="69" customFormat="1" x14ac:dyDescent="0.15"/>
    <row r="8970" s="69" customFormat="1" x14ac:dyDescent="0.15"/>
    <row r="8971" s="69" customFormat="1" x14ac:dyDescent="0.15"/>
    <row r="8972" s="69" customFormat="1" x14ac:dyDescent="0.15"/>
    <row r="8973" s="69" customFormat="1" x14ac:dyDescent="0.15"/>
    <row r="8974" s="69" customFormat="1" x14ac:dyDescent="0.15"/>
    <row r="8975" s="69" customFormat="1" x14ac:dyDescent="0.15"/>
    <row r="8976" s="69" customFormat="1" x14ac:dyDescent="0.15"/>
    <row r="8977" s="69" customFormat="1" x14ac:dyDescent="0.15"/>
    <row r="8978" s="69" customFormat="1" x14ac:dyDescent="0.15"/>
    <row r="8979" s="69" customFormat="1" x14ac:dyDescent="0.15"/>
    <row r="8980" s="69" customFormat="1" x14ac:dyDescent="0.15"/>
    <row r="8981" s="69" customFormat="1" x14ac:dyDescent="0.15"/>
    <row r="8982" s="69" customFormat="1" x14ac:dyDescent="0.15"/>
    <row r="8983" s="69" customFormat="1" x14ac:dyDescent="0.15"/>
    <row r="8984" s="69" customFormat="1" x14ac:dyDescent="0.15"/>
    <row r="8985" s="69" customFormat="1" x14ac:dyDescent="0.15"/>
    <row r="8986" s="69" customFormat="1" x14ac:dyDescent="0.15"/>
    <row r="8987" s="69" customFormat="1" x14ac:dyDescent="0.15"/>
    <row r="8988" s="69" customFormat="1" x14ac:dyDescent="0.15"/>
    <row r="8989" s="69" customFormat="1" x14ac:dyDescent="0.15"/>
    <row r="8990" s="69" customFormat="1" x14ac:dyDescent="0.15"/>
    <row r="8991" s="69" customFormat="1" x14ac:dyDescent="0.15"/>
    <row r="8992" s="69" customFormat="1" x14ac:dyDescent="0.15"/>
    <row r="8993" s="69" customFormat="1" x14ac:dyDescent="0.15"/>
    <row r="8994" s="69" customFormat="1" x14ac:dyDescent="0.15"/>
    <row r="8995" s="69" customFormat="1" x14ac:dyDescent="0.15"/>
    <row r="8996" s="69" customFormat="1" x14ac:dyDescent="0.15"/>
    <row r="8997" s="69" customFormat="1" x14ac:dyDescent="0.15"/>
    <row r="8998" s="69" customFormat="1" x14ac:dyDescent="0.15"/>
    <row r="8999" s="69" customFormat="1" x14ac:dyDescent="0.15"/>
    <row r="9000" s="69" customFormat="1" x14ac:dyDescent="0.15"/>
    <row r="9001" s="69" customFormat="1" x14ac:dyDescent="0.15"/>
    <row r="9002" s="69" customFormat="1" x14ac:dyDescent="0.15"/>
    <row r="9003" s="69" customFormat="1" x14ac:dyDescent="0.15"/>
    <row r="9004" s="69" customFormat="1" x14ac:dyDescent="0.15"/>
    <row r="9005" s="69" customFormat="1" x14ac:dyDescent="0.15"/>
    <row r="9006" s="69" customFormat="1" x14ac:dyDescent="0.15"/>
    <row r="9007" s="69" customFormat="1" x14ac:dyDescent="0.15"/>
    <row r="9008" s="69" customFormat="1" x14ac:dyDescent="0.15"/>
    <row r="9009" s="69" customFormat="1" x14ac:dyDescent="0.15"/>
    <row r="9010" s="69" customFormat="1" x14ac:dyDescent="0.15"/>
    <row r="9011" s="69" customFormat="1" x14ac:dyDescent="0.15"/>
    <row r="9012" s="69" customFormat="1" x14ac:dyDescent="0.15"/>
    <row r="9013" s="69" customFormat="1" x14ac:dyDescent="0.15"/>
    <row r="9014" s="69" customFormat="1" x14ac:dyDescent="0.15"/>
    <row r="9015" s="69" customFormat="1" x14ac:dyDescent="0.15"/>
    <row r="9016" s="69" customFormat="1" x14ac:dyDescent="0.15"/>
    <row r="9017" s="69" customFormat="1" x14ac:dyDescent="0.15"/>
    <row r="9018" s="69" customFormat="1" x14ac:dyDescent="0.15"/>
    <row r="9019" s="69" customFormat="1" x14ac:dyDescent="0.15"/>
    <row r="9020" s="69" customFormat="1" x14ac:dyDescent="0.15"/>
    <row r="9021" s="69" customFormat="1" x14ac:dyDescent="0.15"/>
    <row r="9022" s="69" customFormat="1" x14ac:dyDescent="0.15"/>
    <row r="9023" s="69" customFormat="1" x14ac:dyDescent="0.15"/>
    <row r="9024" s="69" customFormat="1" x14ac:dyDescent="0.15"/>
    <row r="9025" s="69" customFormat="1" x14ac:dyDescent="0.15"/>
    <row r="9026" s="69" customFormat="1" x14ac:dyDescent="0.15"/>
    <row r="9027" s="69" customFormat="1" x14ac:dyDescent="0.15"/>
    <row r="9028" s="69" customFormat="1" x14ac:dyDescent="0.15"/>
    <row r="9029" s="69" customFormat="1" x14ac:dyDescent="0.15"/>
    <row r="9030" s="69" customFormat="1" x14ac:dyDescent="0.15"/>
    <row r="9031" s="69" customFormat="1" x14ac:dyDescent="0.15"/>
    <row r="9032" s="69" customFormat="1" x14ac:dyDescent="0.15"/>
    <row r="9033" s="69" customFormat="1" x14ac:dyDescent="0.15"/>
    <row r="9034" s="69" customFormat="1" x14ac:dyDescent="0.15"/>
    <row r="9035" s="69" customFormat="1" x14ac:dyDescent="0.15"/>
    <row r="9036" s="69" customFormat="1" x14ac:dyDescent="0.15"/>
    <row r="9037" s="69" customFormat="1" x14ac:dyDescent="0.15"/>
    <row r="9038" s="69" customFormat="1" x14ac:dyDescent="0.15"/>
    <row r="9039" s="69" customFormat="1" x14ac:dyDescent="0.15"/>
    <row r="9040" s="69" customFormat="1" x14ac:dyDescent="0.15"/>
    <row r="9041" s="69" customFormat="1" x14ac:dyDescent="0.15"/>
    <row r="9042" s="69" customFormat="1" x14ac:dyDescent="0.15"/>
    <row r="9043" s="69" customFormat="1" x14ac:dyDescent="0.15"/>
    <row r="9044" s="69" customFormat="1" x14ac:dyDescent="0.15"/>
    <row r="9045" s="69" customFormat="1" x14ac:dyDescent="0.15"/>
    <row r="9046" s="69" customFormat="1" x14ac:dyDescent="0.15"/>
    <row r="9047" s="69" customFormat="1" x14ac:dyDescent="0.15"/>
    <row r="9048" s="69" customFormat="1" x14ac:dyDescent="0.15"/>
    <row r="9049" s="69" customFormat="1" x14ac:dyDescent="0.15"/>
    <row r="9050" s="69" customFormat="1" x14ac:dyDescent="0.15"/>
    <row r="9051" s="69" customFormat="1" x14ac:dyDescent="0.15"/>
    <row r="9052" s="69" customFormat="1" x14ac:dyDescent="0.15"/>
    <row r="9053" s="69" customFormat="1" x14ac:dyDescent="0.15"/>
    <row r="9054" s="69" customFormat="1" x14ac:dyDescent="0.15"/>
    <row r="9055" s="69" customFormat="1" x14ac:dyDescent="0.15"/>
    <row r="9056" s="69" customFormat="1" x14ac:dyDescent="0.15"/>
    <row r="9057" s="69" customFormat="1" x14ac:dyDescent="0.15"/>
    <row r="9058" s="69" customFormat="1" x14ac:dyDescent="0.15"/>
    <row r="9059" s="69" customFormat="1" x14ac:dyDescent="0.15"/>
    <row r="9060" s="69" customFormat="1" x14ac:dyDescent="0.15"/>
    <row r="9061" s="69" customFormat="1" x14ac:dyDescent="0.15"/>
    <row r="9062" s="69" customFormat="1" x14ac:dyDescent="0.15"/>
    <row r="9063" s="69" customFormat="1" x14ac:dyDescent="0.15"/>
    <row r="9064" s="69" customFormat="1" x14ac:dyDescent="0.15"/>
    <row r="9065" s="69" customFormat="1" x14ac:dyDescent="0.15"/>
    <row r="9066" s="69" customFormat="1" x14ac:dyDescent="0.15"/>
    <row r="9067" s="69" customFormat="1" x14ac:dyDescent="0.15"/>
    <row r="9068" s="69" customFormat="1" x14ac:dyDescent="0.15"/>
    <row r="9069" s="69" customFormat="1" x14ac:dyDescent="0.15"/>
    <row r="9070" s="69" customFormat="1" x14ac:dyDescent="0.15"/>
    <row r="9071" s="69" customFormat="1" x14ac:dyDescent="0.15"/>
    <row r="9072" s="69" customFormat="1" x14ac:dyDescent="0.15"/>
    <row r="9073" s="69" customFormat="1" x14ac:dyDescent="0.15"/>
    <row r="9074" s="69" customFormat="1" x14ac:dyDescent="0.15"/>
    <row r="9075" s="69" customFormat="1" x14ac:dyDescent="0.15"/>
    <row r="9076" s="69" customFormat="1" x14ac:dyDescent="0.15"/>
    <row r="9077" s="69" customFormat="1" x14ac:dyDescent="0.15"/>
    <row r="9078" s="69" customFormat="1" x14ac:dyDescent="0.15"/>
    <row r="9079" s="69" customFormat="1" x14ac:dyDescent="0.15"/>
    <row r="9080" s="69" customFormat="1" x14ac:dyDescent="0.15"/>
    <row r="9081" s="69" customFormat="1" x14ac:dyDescent="0.15"/>
    <row r="9082" s="69" customFormat="1" x14ac:dyDescent="0.15"/>
    <row r="9083" s="69" customFormat="1" x14ac:dyDescent="0.15"/>
    <row r="9084" s="69" customFormat="1" x14ac:dyDescent="0.15"/>
    <row r="9085" s="69" customFormat="1" x14ac:dyDescent="0.15"/>
    <row r="9086" s="69" customFormat="1" x14ac:dyDescent="0.15"/>
    <row r="9087" s="69" customFormat="1" x14ac:dyDescent="0.15"/>
    <row r="9088" s="69" customFormat="1" x14ac:dyDescent="0.15"/>
    <row r="9089" s="69" customFormat="1" x14ac:dyDescent="0.15"/>
    <row r="9090" s="69" customFormat="1" x14ac:dyDescent="0.15"/>
    <row r="9091" s="69" customFormat="1" x14ac:dyDescent="0.15"/>
    <row r="9092" s="69" customFormat="1" x14ac:dyDescent="0.15"/>
    <row r="9093" s="69" customFormat="1" x14ac:dyDescent="0.15"/>
    <row r="9094" s="69" customFormat="1" x14ac:dyDescent="0.15"/>
    <row r="9095" s="69" customFormat="1" x14ac:dyDescent="0.15"/>
    <row r="9096" s="69" customFormat="1" x14ac:dyDescent="0.15"/>
    <row r="9097" s="69" customFormat="1" x14ac:dyDescent="0.15"/>
    <row r="9098" s="69" customFormat="1" x14ac:dyDescent="0.15"/>
    <row r="9099" s="69" customFormat="1" x14ac:dyDescent="0.15"/>
    <row r="9100" s="69" customFormat="1" x14ac:dyDescent="0.15"/>
    <row r="9101" s="69" customFormat="1" x14ac:dyDescent="0.15"/>
    <row r="9102" s="69" customFormat="1" x14ac:dyDescent="0.15"/>
    <row r="9103" s="69" customFormat="1" x14ac:dyDescent="0.15"/>
    <row r="9104" s="69" customFormat="1" x14ac:dyDescent="0.15"/>
    <row r="9105" s="69" customFormat="1" x14ac:dyDescent="0.15"/>
    <row r="9106" s="69" customFormat="1" x14ac:dyDescent="0.15"/>
    <row r="9107" s="69" customFormat="1" x14ac:dyDescent="0.15"/>
    <row r="9108" s="69" customFormat="1" x14ac:dyDescent="0.15"/>
    <row r="9109" s="69" customFormat="1" x14ac:dyDescent="0.15"/>
    <row r="9110" s="69" customFormat="1" x14ac:dyDescent="0.15"/>
    <row r="9111" s="69" customFormat="1" x14ac:dyDescent="0.15"/>
    <row r="9112" s="69" customFormat="1" x14ac:dyDescent="0.15"/>
    <row r="9113" s="69" customFormat="1" x14ac:dyDescent="0.15"/>
    <row r="9114" s="69" customFormat="1" x14ac:dyDescent="0.15"/>
    <row r="9115" s="69" customFormat="1" x14ac:dyDescent="0.15"/>
    <row r="9116" s="69" customFormat="1" x14ac:dyDescent="0.15"/>
    <row r="9117" s="69" customFormat="1" x14ac:dyDescent="0.15"/>
    <row r="9118" s="69" customFormat="1" x14ac:dyDescent="0.15"/>
    <row r="9119" s="69" customFormat="1" x14ac:dyDescent="0.15"/>
    <row r="9120" s="69" customFormat="1" x14ac:dyDescent="0.15"/>
    <row r="9121" s="69" customFormat="1" x14ac:dyDescent="0.15"/>
    <row r="9122" s="69" customFormat="1" x14ac:dyDescent="0.15"/>
    <row r="9123" s="69" customFormat="1" x14ac:dyDescent="0.15"/>
    <row r="9124" s="69" customFormat="1" x14ac:dyDescent="0.15"/>
    <row r="9125" s="69" customFormat="1" x14ac:dyDescent="0.15"/>
    <row r="9126" s="69" customFormat="1" x14ac:dyDescent="0.15"/>
    <row r="9127" s="69" customFormat="1" x14ac:dyDescent="0.15"/>
    <row r="9128" s="69" customFormat="1" x14ac:dyDescent="0.15"/>
    <row r="9129" s="69" customFormat="1" x14ac:dyDescent="0.15"/>
    <row r="9130" s="69" customFormat="1" x14ac:dyDescent="0.15"/>
    <row r="9131" s="69" customFormat="1" x14ac:dyDescent="0.15"/>
    <row r="9132" s="69" customFormat="1" x14ac:dyDescent="0.15"/>
    <row r="9133" s="69" customFormat="1" x14ac:dyDescent="0.15"/>
    <row r="9134" s="69" customFormat="1" x14ac:dyDescent="0.15"/>
    <row r="9135" s="69" customFormat="1" x14ac:dyDescent="0.15"/>
    <row r="9136" s="69" customFormat="1" x14ac:dyDescent="0.15"/>
    <row r="9137" s="69" customFormat="1" x14ac:dyDescent="0.15"/>
    <row r="9138" s="69" customFormat="1" x14ac:dyDescent="0.15"/>
    <row r="9139" s="69" customFormat="1" x14ac:dyDescent="0.15"/>
    <row r="9140" s="69" customFormat="1" x14ac:dyDescent="0.15"/>
    <row r="9141" s="69" customFormat="1" x14ac:dyDescent="0.15"/>
    <row r="9142" s="69" customFormat="1" x14ac:dyDescent="0.15"/>
    <row r="9143" s="69" customFormat="1" x14ac:dyDescent="0.15"/>
    <row r="9144" s="69" customFormat="1" x14ac:dyDescent="0.15"/>
    <row r="9145" s="69" customFormat="1" x14ac:dyDescent="0.15"/>
    <row r="9146" s="69" customFormat="1" x14ac:dyDescent="0.15"/>
    <row r="9147" s="69" customFormat="1" x14ac:dyDescent="0.15"/>
    <row r="9148" s="69" customFormat="1" x14ac:dyDescent="0.15"/>
    <row r="9149" s="69" customFormat="1" x14ac:dyDescent="0.15"/>
    <row r="9150" s="69" customFormat="1" x14ac:dyDescent="0.15"/>
    <row r="9151" s="69" customFormat="1" x14ac:dyDescent="0.15"/>
    <row r="9152" s="69" customFormat="1" x14ac:dyDescent="0.15"/>
    <row r="9153" s="69" customFormat="1" x14ac:dyDescent="0.15"/>
    <row r="9154" s="69" customFormat="1" x14ac:dyDescent="0.15"/>
    <row r="9155" s="69" customFormat="1" x14ac:dyDescent="0.15"/>
    <row r="9156" s="69" customFormat="1" x14ac:dyDescent="0.15"/>
    <row r="9157" s="69" customFormat="1" x14ac:dyDescent="0.15"/>
    <row r="9158" s="69" customFormat="1" x14ac:dyDescent="0.15"/>
    <row r="9159" s="69" customFormat="1" x14ac:dyDescent="0.15"/>
    <row r="9160" s="69" customFormat="1" x14ac:dyDescent="0.15"/>
    <row r="9161" s="69" customFormat="1" x14ac:dyDescent="0.15"/>
    <row r="9162" s="69" customFormat="1" x14ac:dyDescent="0.15"/>
    <row r="9163" s="69" customFormat="1" x14ac:dyDescent="0.15"/>
    <row r="9164" s="69" customFormat="1" x14ac:dyDescent="0.15"/>
    <row r="9165" s="69" customFormat="1" x14ac:dyDescent="0.15"/>
    <row r="9166" s="69" customFormat="1" x14ac:dyDescent="0.15"/>
    <row r="9167" s="69" customFormat="1" x14ac:dyDescent="0.15"/>
    <row r="9168" s="69" customFormat="1" x14ac:dyDescent="0.15"/>
    <row r="9169" s="69" customFormat="1" x14ac:dyDescent="0.15"/>
    <row r="9170" s="69" customFormat="1" x14ac:dyDescent="0.15"/>
    <row r="9171" s="69" customFormat="1" x14ac:dyDescent="0.15"/>
    <row r="9172" s="69" customFormat="1" x14ac:dyDescent="0.15"/>
    <row r="9173" s="69" customFormat="1" x14ac:dyDescent="0.15"/>
    <row r="9174" s="69" customFormat="1" x14ac:dyDescent="0.15"/>
    <row r="9175" s="69" customFormat="1" x14ac:dyDescent="0.15"/>
    <row r="9176" s="69" customFormat="1" x14ac:dyDescent="0.15"/>
    <row r="9177" s="69" customFormat="1" x14ac:dyDescent="0.15"/>
    <row r="9178" s="69" customFormat="1" x14ac:dyDescent="0.15"/>
    <row r="9179" s="69" customFormat="1" x14ac:dyDescent="0.15"/>
    <row r="9180" s="69" customFormat="1" x14ac:dyDescent="0.15"/>
    <row r="9181" s="69" customFormat="1" x14ac:dyDescent="0.15"/>
    <row r="9182" s="69" customFormat="1" x14ac:dyDescent="0.15"/>
    <row r="9183" s="69" customFormat="1" x14ac:dyDescent="0.15"/>
    <row r="9184" s="69" customFormat="1" x14ac:dyDescent="0.15"/>
    <row r="9185" s="69" customFormat="1" x14ac:dyDescent="0.15"/>
    <row r="9186" s="69" customFormat="1" x14ac:dyDescent="0.15"/>
    <row r="9187" s="69" customFormat="1" x14ac:dyDescent="0.15"/>
    <row r="9188" s="69" customFormat="1" x14ac:dyDescent="0.15"/>
    <row r="9189" s="69" customFormat="1" x14ac:dyDescent="0.15"/>
    <row r="9190" s="69" customFormat="1" x14ac:dyDescent="0.15"/>
    <row r="9191" s="69" customFormat="1" x14ac:dyDescent="0.15"/>
    <row r="9192" s="69" customFormat="1" x14ac:dyDescent="0.15"/>
    <row r="9193" s="69" customFormat="1" x14ac:dyDescent="0.15"/>
    <row r="9194" s="69" customFormat="1" x14ac:dyDescent="0.15"/>
    <row r="9195" s="69" customFormat="1" x14ac:dyDescent="0.15"/>
    <row r="9196" s="69" customFormat="1" x14ac:dyDescent="0.15"/>
    <row r="9197" s="69" customFormat="1" x14ac:dyDescent="0.15"/>
    <row r="9198" s="69" customFormat="1" x14ac:dyDescent="0.15"/>
    <row r="9199" s="69" customFormat="1" x14ac:dyDescent="0.15"/>
    <row r="9200" s="69" customFormat="1" x14ac:dyDescent="0.15"/>
    <row r="9201" s="69" customFormat="1" x14ac:dyDescent="0.15"/>
    <row r="9202" s="69" customFormat="1" x14ac:dyDescent="0.15"/>
    <row r="9203" s="69" customFormat="1" x14ac:dyDescent="0.15"/>
    <row r="9204" s="69" customFormat="1" x14ac:dyDescent="0.15"/>
    <row r="9205" s="69" customFormat="1" x14ac:dyDescent="0.15"/>
    <row r="9206" s="69" customFormat="1" x14ac:dyDescent="0.15"/>
    <row r="9207" s="69" customFormat="1" x14ac:dyDescent="0.15"/>
    <row r="9208" s="69" customFormat="1" x14ac:dyDescent="0.15"/>
    <row r="9209" s="69" customFormat="1" x14ac:dyDescent="0.15"/>
    <row r="9210" s="69" customFormat="1" x14ac:dyDescent="0.15"/>
    <row r="9211" s="69" customFormat="1" x14ac:dyDescent="0.15"/>
    <row r="9212" s="69" customFormat="1" x14ac:dyDescent="0.15"/>
    <row r="9213" s="69" customFormat="1" x14ac:dyDescent="0.15"/>
    <row r="9214" s="69" customFormat="1" x14ac:dyDescent="0.15"/>
    <row r="9215" s="69" customFormat="1" x14ac:dyDescent="0.15"/>
    <row r="9216" s="69" customFormat="1" x14ac:dyDescent="0.15"/>
    <row r="9217" s="69" customFormat="1" x14ac:dyDescent="0.15"/>
    <row r="9218" s="69" customFormat="1" x14ac:dyDescent="0.15"/>
    <row r="9219" s="69" customFormat="1" x14ac:dyDescent="0.15"/>
    <row r="9220" s="69" customFormat="1" x14ac:dyDescent="0.15"/>
    <row r="9221" s="69" customFormat="1" x14ac:dyDescent="0.15"/>
    <row r="9222" s="69" customFormat="1" x14ac:dyDescent="0.15"/>
    <row r="9223" s="69" customFormat="1" x14ac:dyDescent="0.15"/>
    <row r="9224" s="69" customFormat="1" x14ac:dyDescent="0.15"/>
    <row r="9225" s="69" customFormat="1" x14ac:dyDescent="0.15"/>
    <row r="9226" s="69" customFormat="1" x14ac:dyDescent="0.15"/>
    <row r="9227" s="69" customFormat="1" x14ac:dyDescent="0.15"/>
    <row r="9228" s="69" customFormat="1" x14ac:dyDescent="0.15"/>
    <row r="9229" s="69" customFormat="1" x14ac:dyDescent="0.15"/>
    <row r="9230" s="69" customFormat="1" x14ac:dyDescent="0.15"/>
    <row r="9231" s="69" customFormat="1" x14ac:dyDescent="0.15"/>
    <row r="9232" s="69" customFormat="1" x14ac:dyDescent="0.15"/>
    <row r="9233" s="69" customFormat="1" x14ac:dyDescent="0.15"/>
    <row r="9234" s="69" customFormat="1" x14ac:dyDescent="0.15"/>
    <row r="9235" s="69" customFormat="1" x14ac:dyDescent="0.15"/>
    <row r="9236" s="69" customFormat="1" x14ac:dyDescent="0.15"/>
    <row r="9237" s="69" customFormat="1" x14ac:dyDescent="0.15"/>
    <row r="9238" s="69" customFormat="1" x14ac:dyDescent="0.15"/>
    <row r="9239" s="69" customFormat="1" x14ac:dyDescent="0.15"/>
    <row r="9240" s="69" customFormat="1" x14ac:dyDescent="0.15"/>
    <row r="9241" s="69" customFormat="1" x14ac:dyDescent="0.15"/>
    <row r="9242" s="69" customFormat="1" x14ac:dyDescent="0.15"/>
    <row r="9243" s="69" customFormat="1" x14ac:dyDescent="0.15"/>
    <row r="9244" s="69" customFormat="1" x14ac:dyDescent="0.15"/>
    <row r="9245" s="69" customFormat="1" x14ac:dyDescent="0.15"/>
    <row r="9246" s="69" customFormat="1" x14ac:dyDescent="0.15"/>
    <row r="9247" s="69" customFormat="1" x14ac:dyDescent="0.15"/>
    <row r="9248" s="69" customFormat="1" x14ac:dyDescent="0.15"/>
    <row r="9249" s="69" customFormat="1" x14ac:dyDescent="0.15"/>
    <row r="9250" s="69" customFormat="1" x14ac:dyDescent="0.15"/>
    <row r="9251" s="69" customFormat="1" x14ac:dyDescent="0.15"/>
    <row r="9252" s="69" customFormat="1" x14ac:dyDescent="0.15"/>
    <row r="9253" s="69" customFormat="1" x14ac:dyDescent="0.15"/>
    <row r="9254" s="69" customFormat="1" x14ac:dyDescent="0.15"/>
    <row r="9255" s="69" customFormat="1" x14ac:dyDescent="0.15"/>
    <row r="9256" s="69" customFormat="1" x14ac:dyDescent="0.15"/>
    <row r="9257" s="69" customFormat="1" x14ac:dyDescent="0.15"/>
    <row r="9258" s="69" customFormat="1" x14ac:dyDescent="0.15"/>
    <row r="9259" s="69" customFormat="1" x14ac:dyDescent="0.15"/>
    <row r="9260" s="69" customFormat="1" x14ac:dyDescent="0.15"/>
    <row r="9261" s="69" customFormat="1" x14ac:dyDescent="0.15"/>
    <row r="9262" s="69" customFormat="1" x14ac:dyDescent="0.15"/>
    <row r="9263" s="69" customFormat="1" x14ac:dyDescent="0.15"/>
    <row r="9264" s="69" customFormat="1" x14ac:dyDescent="0.15"/>
    <row r="9265" s="69" customFormat="1" x14ac:dyDescent="0.15"/>
    <row r="9266" s="69" customFormat="1" x14ac:dyDescent="0.15"/>
    <row r="9267" s="69" customFormat="1" x14ac:dyDescent="0.15"/>
    <row r="9268" s="69" customFormat="1" x14ac:dyDescent="0.15"/>
    <row r="9269" s="69" customFormat="1" x14ac:dyDescent="0.15"/>
    <row r="9270" s="69" customFormat="1" x14ac:dyDescent="0.15"/>
    <row r="9271" s="69" customFormat="1" x14ac:dyDescent="0.15"/>
    <row r="9272" s="69" customFormat="1" x14ac:dyDescent="0.15"/>
    <row r="9273" s="69" customFormat="1" x14ac:dyDescent="0.15"/>
    <row r="9274" s="69" customFormat="1" x14ac:dyDescent="0.15"/>
    <row r="9275" s="69" customFormat="1" x14ac:dyDescent="0.15"/>
    <row r="9276" s="69" customFormat="1" x14ac:dyDescent="0.15"/>
    <row r="9277" s="69" customFormat="1" x14ac:dyDescent="0.15"/>
    <row r="9278" s="69" customFormat="1" x14ac:dyDescent="0.15"/>
    <row r="9279" s="69" customFormat="1" x14ac:dyDescent="0.15"/>
    <row r="9280" s="69" customFormat="1" x14ac:dyDescent="0.15"/>
    <row r="9281" s="69" customFormat="1" x14ac:dyDescent="0.15"/>
    <row r="9282" s="69" customFormat="1" x14ac:dyDescent="0.15"/>
    <row r="9283" s="69" customFormat="1" x14ac:dyDescent="0.15"/>
    <row r="9284" s="69" customFormat="1" x14ac:dyDescent="0.15"/>
    <row r="9285" s="69" customFormat="1" x14ac:dyDescent="0.15"/>
    <row r="9286" s="69" customFormat="1" x14ac:dyDescent="0.15"/>
    <row r="9287" s="69" customFormat="1" x14ac:dyDescent="0.15"/>
    <row r="9288" s="69" customFormat="1" x14ac:dyDescent="0.15"/>
    <row r="9289" s="69" customFormat="1" x14ac:dyDescent="0.15"/>
    <row r="9290" s="69" customFormat="1" x14ac:dyDescent="0.15"/>
    <row r="9291" s="69" customFormat="1" x14ac:dyDescent="0.15"/>
    <row r="9292" s="69" customFormat="1" x14ac:dyDescent="0.15"/>
    <row r="9293" s="69" customFormat="1" x14ac:dyDescent="0.15"/>
    <row r="9294" s="69" customFormat="1" x14ac:dyDescent="0.15"/>
    <row r="9295" s="69" customFormat="1" x14ac:dyDescent="0.15"/>
    <row r="9296" s="69" customFormat="1" x14ac:dyDescent="0.15"/>
    <row r="9297" s="69" customFormat="1" x14ac:dyDescent="0.15"/>
    <row r="9298" s="69" customFormat="1" x14ac:dyDescent="0.15"/>
    <row r="9299" s="69" customFormat="1" x14ac:dyDescent="0.15"/>
    <row r="9300" s="69" customFormat="1" x14ac:dyDescent="0.15"/>
    <row r="9301" s="69" customFormat="1" x14ac:dyDescent="0.15"/>
    <row r="9302" s="69" customFormat="1" x14ac:dyDescent="0.15"/>
    <row r="9303" s="69" customFormat="1" x14ac:dyDescent="0.15"/>
    <row r="9304" s="69" customFormat="1" x14ac:dyDescent="0.15"/>
    <row r="9305" s="69" customFormat="1" x14ac:dyDescent="0.15"/>
    <row r="9306" s="69" customFormat="1" x14ac:dyDescent="0.15"/>
    <row r="9307" s="69" customFormat="1" x14ac:dyDescent="0.15"/>
    <row r="9308" s="69" customFormat="1" x14ac:dyDescent="0.15"/>
    <row r="9309" s="69" customFormat="1" x14ac:dyDescent="0.15"/>
    <row r="9310" s="69" customFormat="1" x14ac:dyDescent="0.15"/>
    <row r="9311" s="69" customFormat="1" x14ac:dyDescent="0.15"/>
    <row r="9312" s="69" customFormat="1" x14ac:dyDescent="0.15"/>
    <row r="9313" s="69" customFormat="1" x14ac:dyDescent="0.15"/>
    <row r="9314" s="69" customFormat="1" x14ac:dyDescent="0.15"/>
    <row r="9315" s="69" customFormat="1" x14ac:dyDescent="0.15"/>
    <row r="9316" s="69" customFormat="1" x14ac:dyDescent="0.15"/>
    <row r="9317" s="69" customFormat="1" x14ac:dyDescent="0.15"/>
    <row r="9318" s="69" customFormat="1" x14ac:dyDescent="0.15"/>
    <row r="9319" s="69" customFormat="1" x14ac:dyDescent="0.15"/>
    <row r="9320" s="69" customFormat="1" x14ac:dyDescent="0.15"/>
    <row r="9321" s="69" customFormat="1" x14ac:dyDescent="0.15"/>
    <row r="9322" s="69" customFormat="1" x14ac:dyDescent="0.15"/>
    <row r="9323" s="69" customFormat="1" x14ac:dyDescent="0.15"/>
    <row r="9324" s="69" customFormat="1" x14ac:dyDescent="0.15"/>
    <row r="9325" s="69" customFormat="1" x14ac:dyDescent="0.15"/>
    <row r="9326" s="69" customFormat="1" x14ac:dyDescent="0.15"/>
    <row r="9327" s="69" customFormat="1" x14ac:dyDescent="0.15"/>
    <row r="9328" s="69" customFormat="1" x14ac:dyDescent="0.15"/>
    <row r="9329" s="69" customFormat="1" x14ac:dyDescent="0.15"/>
    <row r="9330" s="69" customFormat="1" x14ac:dyDescent="0.15"/>
    <row r="9331" s="69" customFormat="1" x14ac:dyDescent="0.15"/>
    <row r="9332" s="69" customFormat="1" x14ac:dyDescent="0.15"/>
    <row r="9333" s="69" customFormat="1" x14ac:dyDescent="0.15"/>
    <row r="9334" s="69" customFormat="1" x14ac:dyDescent="0.15"/>
    <row r="9335" s="69" customFormat="1" x14ac:dyDescent="0.15"/>
    <row r="9336" s="69" customFormat="1" x14ac:dyDescent="0.15"/>
    <row r="9337" s="69" customFormat="1" x14ac:dyDescent="0.15"/>
    <row r="9338" s="69" customFormat="1" x14ac:dyDescent="0.15"/>
    <row r="9339" s="69" customFormat="1" x14ac:dyDescent="0.15"/>
    <row r="9340" s="69" customFormat="1" x14ac:dyDescent="0.15"/>
    <row r="9341" s="69" customFormat="1" x14ac:dyDescent="0.15"/>
    <row r="9342" s="69" customFormat="1" x14ac:dyDescent="0.15"/>
    <row r="9343" s="69" customFormat="1" x14ac:dyDescent="0.15"/>
    <row r="9344" s="69" customFormat="1" x14ac:dyDescent="0.15"/>
    <row r="9345" s="69" customFormat="1" x14ac:dyDescent="0.15"/>
    <row r="9346" s="69" customFormat="1" x14ac:dyDescent="0.15"/>
    <row r="9347" s="69" customFormat="1" x14ac:dyDescent="0.15"/>
    <row r="9348" s="69" customFormat="1" x14ac:dyDescent="0.15"/>
    <row r="9349" s="69" customFormat="1" x14ac:dyDescent="0.15"/>
    <row r="9350" s="69" customFormat="1" x14ac:dyDescent="0.15"/>
    <row r="9351" s="69" customFormat="1" x14ac:dyDescent="0.15"/>
    <row r="9352" s="69" customFormat="1" x14ac:dyDescent="0.15"/>
    <row r="9353" s="69" customFormat="1" x14ac:dyDescent="0.15"/>
    <row r="9354" s="69" customFormat="1" x14ac:dyDescent="0.15"/>
    <row r="9355" s="69" customFormat="1" x14ac:dyDescent="0.15"/>
    <row r="9356" s="69" customFormat="1" x14ac:dyDescent="0.15"/>
    <row r="9357" s="69" customFormat="1" x14ac:dyDescent="0.15"/>
    <row r="9358" s="69" customFormat="1" x14ac:dyDescent="0.15"/>
    <row r="9359" s="69" customFormat="1" x14ac:dyDescent="0.15"/>
    <row r="9360" s="69" customFormat="1" x14ac:dyDescent="0.15"/>
    <row r="9361" s="69" customFormat="1" x14ac:dyDescent="0.15"/>
    <row r="9362" s="69" customFormat="1" x14ac:dyDescent="0.15"/>
    <row r="9363" s="69" customFormat="1" x14ac:dyDescent="0.15"/>
    <row r="9364" s="69" customFormat="1" x14ac:dyDescent="0.15"/>
    <row r="9365" s="69" customFormat="1" x14ac:dyDescent="0.15"/>
    <row r="9366" s="69" customFormat="1" x14ac:dyDescent="0.15"/>
    <row r="9367" s="69" customFormat="1" x14ac:dyDescent="0.15"/>
    <row r="9368" s="69" customFormat="1" x14ac:dyDescent="0.15"/>
    <row r="9369" s="69" customFormat="1" x14ac:dyDescent="0.15"/>
    <row r="9370" s="69" customFormat="1" x14ac:dyDescent="0.15"/>
    <row r="9371" s="69" customFormat="1" x14ac:dyDescent="0.15"/>
    <row r="9372" s="69" customFormat="1" x14ac:dyDescent="0.15"/>
    <row r="9373" s="69" customFormat="1" x14ac:dyDescent="0.15"/>
    <row r="9374" s="69" customFormat="1" x14ac:dyDescent="0.15"/>
    <row r="9375" s="69" customFormat="1" x14ac:dyDescent="0.15"/>
    <row r="9376" s="69" customFormat="1" x14ac:dyDescent="0.15"/>
    <row r="9377" s="69" customFormat="1" x14ac:dyDescent="0.15"/>
    <row r="9378" s="69" customFormat="1" x14ac:dyDescent="0.15"/>
    <row r="9379" s="69" customFormat="1" x14ac:dyDescent="0.15"/>
    <row r="9380" s="69" customFormat="1" x14ac:dyDescent="0.15"/>
    <row r="9381" s="69" customFormat="1" x14ac:dyDescent="0.15"/>
    <row r="9382" s="69" customFormat="1" x14ac:dyDescent="0.15"/>
    <row r="9383" s="69" customFormat="1" x14ac:dyDescent="0.15"/>
    <row r="9384" s="69" customFormat="1" x14ac:dyDescent="0.15"/>
    <row r="9385" s="69" customFormat="1" x14ac:dyDescent="0.15"/>
    <row r="9386" s="69" customFormat="1" x14ac:dyDescent="0.15"/>
    <row r="9387" s="69" customFormat="1" x14ac:dyDescent="0.15"/>
    <row r="9388" s="69" customFormat="1" x14ac:dyDescent="0.15"/>
    <row r="9389" s="69" customFormat="1" x14ac:dyDescent="0.15"/>
    <row r="9390" s="69" customFormat="1" x14ac:dyDescent="0.15"/>
    <row r="9391" s="69" customFormat="1" x14ac:dyDescent="0.15"/>
    <row r="9392" s="69" customFormat="1" x14ac:dyDescent="0.15"/>
    <row r="9393" s="69" customFormat="1" x14ac:dyDescent="0.15"/>
    <row r="9394" s="69" customFormat="1" x14ac:dyDescent="0.15"/>
    <row r="9395" s="69" customFormat="1" x14ac:dyDescent="0.15"/>
    <row r="9396" s="69" customFormat="1" x14ac:dyDescent="0.15"/>
    <row r="9397" s="69" customFormat="1" x14ac:dyDescent="0.15"/>
    <row r="9398" s="69" customFormat="1" x14ac:dyDescent="0.15"/>
    <row r="9399" s="69" customFormat="1" x14ac:dyDescent="0.15"/>
    <row r="9400" s="69" customFormat="1" x14ac:dyDescent="0.15"/>
    <row r="9401" s="69" customFormat="1" x14ac:dyDescent="0.15"/>
    <row r="9402" s="69" customFormat="1" x14ac:dyDescent="0.15"/>
    <row r="9403" s="69" customFormat="1" x14ac:dyDescent="0.15"/>
    <row r="9404" s="69" customFormat="1" x14ac:dyDescent="0.15"/>
    <row r="9405" s="69" customFormat="1" x14ac:dyDescent="0.15"/>
    <row r="9406" s="69" customFormat="1" x14ac:dyDescent="0.15"/>
    <row r="9407" s="69" customFormat="1" x14ac:dyDescent="0.15"/>
    <row r="9408" s="69" customFormat="1" x14ac:dyDescent="0.15"/>
    <row r="9409" s="69" customFormat="1" x14ac:dyDescent="0.15"/>
    <row r="9410" s="69" customFormat="1" x14ac:dyDescent="0.15"/>
    <row r="9411" s="69" customFormat="1" x14ac:dyDescent="0.15"/>
    <row r="9412" s="69" customFormat="1" x14ac:dyDescent="0.15"/>
    <row r="9413" s="69" customFormat="1" x14ac:dyDescent="0.15"/>
    <row r="9414" s="69" customFormat="1" x14ac:dyDescent="0.15"/>
    <row r="9415" s="69" customFormat="1" x14ac:dyDescent="0.15"/>
    <row r="9416" s="69" customFormat="1" x14ac:dyDescent="0.15"/>
    <row r="9417" s="69" customFormat="1" x14ac:dyDescent="0.15"/>
    <row r="9418" s="69" customFormat="1" x14ac:dyDescent="0.15"/>
    <row r="9419" s="69" customFormat="1" x14ac:dyDescent="0.15"/>
    <row r="9420" s="69" customFormat="1" x14ac:dyDescent="0.15"/>
    <row r="9421" s="69" customFormat="1" x14ac:dyDescent="0.15"/>
    <row r="9422" s="69" customFormat="1" x14ac:dyDescent="0.15"/>
    <row r="9423" s="69" customFormat="1" x14ac:dyDescent="0.15"/>
    <row r="9424" s="69" customFormat="1" x14ac:dyDescent="0.15"/>
    <row r="9425" s="69" customFormat="1" x14ac:dyDescent="0.15"/>
    <row r="9426" s="69" customFormat="1" x14ac:dyDescent="0.15"/>
    <row r="9427" s="69" customFormat="1" x14ac:dyDescent="0.15"/>
    <row r="9428" s="69" customFormat="1" x14ac:dyDescent="0.15"/>
    <row r="9429" s="69" customFormat="1" x14ac:dyDescent="0.15"/>
    <row r="9430" s="69" customFormat="1" x14ac:dyDescent="0.15"/>
    <row r="9431" s="69" customFormat="1" x14ac:dyDescent="0.15"/>
    <row r="9432" s="69" customFormat="1" x14ac:dyDescent="0.15"/>
    <row r="9433" s="69" customFormat="1" x14ac:dyDescent="0.15"/>
    <row r="9434" s="69" customFormat="1" x14ac:dyDescent="0.15"/>
    <row r="9435" s="69" customFormat="1" x14ac:dyDescent="0.15"/>
    <row r="9436" s="69" customFormat="1" x14ac:dyDescent="0.15"/>
    <row r="9437" s="69" customFormat="1" x14ac:dyDescent="0.15"/>
    <row r="9438" s="69" customFormat="1" x14ac:dyDescent="0.15"/>
    <row r="9439" s="69" customFormat="1" x14ac:dyDescent="0.15"/>
    <row r="9440" s="69" customFormat="1" x14ac:dyDescent="0.15"/>
    <row r="9441" s="69" customFormat="1" x14ac:dyDescent="0.15"/>
    <row r="9442" s="69" customFormat="1" x14ac:dyDescent="0.15"/>
    <row r="9443" s="69" customFormat="1" x14ac:dyDescent="0.15"/>
    <row r="9444" s="69" customFormat="1" x14ac:dyDescent="0.15"/>
    <row r="9445" s="69" customFormat="1" x14ac:dyDescent="0.15"/>
    <row r="9446" s="69" customFormat="1" x14ac:dyDescent="0.15"/>
    <row r="9447" s="69" customFormat="1" x14ac:dyDescent="0.15"/>
    <row r="9448" s="69" customFormat="1" x14ac:dyDescent="0.15"/>
    <row r="9449" s="69" customFormat="1" x14ac:dyDescent="0.15"/>
    <row r="9450" s="69" customFormat="1" x14ac:dyDescent="0.15"/>
    <row r="9451" s="69" customFormat="1" x14ac:dyDescent="0.15"/>
    <row r="9452" s="69" customFormat="1" x14ac:dyDescent="0.15"/>
    <row r="9453" s="69" customFormat="1" x14ac:dyDescent="0.15"/>
    <row r="9454" s="69" customFormat="1" x14ac:dyDescent="0.15"/>
    <row r="9455" s="69" customFormat="1" x14ac:dyDescent="0.15"/>
    <row r="9456" s="69" customFormat="1" x14ac:dyDescent="0.15"/>
    <row r="9457" s="69" customFormat="1" x14ac:dyDescent="0.15"/>
    <row r="9458" s="69" customFormat="1" x14ac:dyDescent="0.15"/>
    <row r="9459" s="69" customFormat="1" x14ac:dyDescent="0.15"/>
    <row r="9460" s="69" customFormat="1" x14ac:dyDescent="0.15"/>
    <row r="9461" s="69" customFormat="1" x14ac:dyDescent="0.15"/>
    <row r="9462" s="69" customFormat="1" x14ac:dyDescent="0.15"/>
    <row r="9463" s="69" customFormat="1" x14ac:dyDescent="0.15"/>
    <row r="9464" s="69" customFormat="1" x14ac:dyDescent="0.15"/>
    <row r="9465" s="69" customFormat="1" x14ac:dyDescent="0.15"/>
    <row r="9466" s="69" customFormat="1" x14ac:dyDescent="0.15"/>
    <row r="9467" s="69" customFormat="1" x14ac:dyDescent="0.15"/>
    <row r="9468" s="69" customFormat="1" x14ac:dyDescent="0.15"/>
    <row r="9469" s="69" customFormat="1" x14ac:dyDescent="0.15"/>
    <row r="9470" s="69" customFormat="1" x14ac:dyDescent="0.15"/>
    <row r="9471" s="69" customFormat="1" x14ac:dyDescent="0.15"/>
    <row r="9472" s="69" customFormat="1" x14ac:dyDescent="0.15"/>
    <row r="9473" s="69" customFormat="1" x14ac:dyDescent="0.15"/>
    <row r="9474" s="69" customFormat="1" x14ac:dyDescent="0.15"/>
    <row r="9475" s="69" customFormat="1" x14ac:dyDescent="0.15"/>
    <row r="9476" s="69" customFormat="1" x14ac:dyDescent="0.15"/>
    <row r="9477" s="69" customFormat="1" x14ac:dyDescent="0.15"/>
    <row r="9478" s="69" customFormat="1" x14ac:dyDescent="0.15"/>
    <row r="9479" s="69" customFormat="1" x14ac:dyDescent="0.15"/>
    <row r="9480" s="69" customFormat="1" x14ac:dyDescent="0.15"/>
    <row r="9481" s="69" customFormat="1" x14ac:dyDescent="0.15"/>
    <row r="9482" s="69" customFormat="1" x14ac:dyDescent="0.15"/>
    <row r="9483" s="69" customFormat="1" x14ac:dyDescent="0.15"/>
    <row r="9484" s="69" customFormat="1" x14ac:dyDescent="0.15"/>
    <row r="9485" s="69" customFormat="1" x14ac:dyDescent="0.15"/>
    <row r="9486" s="69" customFormat="1" x14ac:dyDescent="0.15"/>
    <row r="9487" s="69" customFormat="1" x14ac:dyDescent="0.15"/>
    <row r="9488" s="69" customFormat="1" x14ac:dyDescent="0.15"/>
    <row r="9489" s="69" customFormat="1" x14ac:dyDescent="0.15"/>
    <row r="9490" s="69" customFormat="1" x14ac:dyDescent="0.15"/>
    <row r="9491" s="69" customFormat="1" x14ac:dyDescent="0.15"/>
    <row r="9492" s="69" customFormat="1" x14ac:dyDescent="0.15"/>
    <row r="9493" s="69" customFormat="1" x14ac:dyDescent="0.15"/>
    <row r="9494" s="69" customFormat="1" x14ac:dyDescent="0.15"/>
    <row r="9495" s="69" customFormat="1" x14ac:dyDescent="0.15"/>
    <row r="9496" s="69" customFormat="1" x14ac:dyDescent="0.15"/>
    <row r="9497" s="69" customFormat="1" x14ac:dyDescent="0.15"/>
    <row r="9498" s="69" customFormat="1" x14ac:dyDescent="0.15"/>
    <row r="9499" s="69" customFormat="1" x14ac:dyDescent="0.15"/>
    <row r="9500" s="69" customFormat="1" x14ac:dyDescent="0.15"/>
    <row r="9501" s="69" customFormat="1" x14ac:dyDescent="0.15"/>
    <row r="9502" s="69" customFormat="1" x14ac:dyDescent="0.15"/>
    <row r="9503" s="69" customFormat="1" x14ac:dyDescent="0.15"/>
    <row r="9504" s="69" customFormat="1" x14ac:dyDescent="0.15"/>
    <row r="9505" s="69" customFormat="1" x14ac:dyDescent="0.15"/>
    <row r="9506" s="69" customFormat="1" x14ac:dyDescent="0.15"/>
    <row r="9507" s="69" customFormat="1" x14ac:dyDescent="0.15"/>
    <row r="9508" s="69" customFormat="1" x14ac:dyDescent="0.15"/>
    <row r="9509" s="69" customFormat="1" x14ac:dyDescent="0.15"/>
    <row r="9510" s="69" customFormat="1" x14ac:dyDescent="0.15"/>
    <row r="9511" s="69" customFormat="1" x14ac:dyDescent="0.15"/>
    <row r="9512" s="69" customFormat="1" x14ac:dyDescent="0.15"/>
    <row r="9513" s="69" customFormat="1" x14ac:dyDescent="0.15"/>
    <row r="9514" s="69" customFormat="1" x14ac:dyDescent="0.15"/>
    <row r="9515" s="69" customFormat="1" x14ac:dyDescent="0.15"/>
    <row r="9516" s="69" customFormat="1" x14ac:dyDescent="0.15"/>
    <row r="9517" s="69" customFormat="1" x14ac:dyDescent="0.15"/>
    <row r="9518" s="69" customFormat="1" x14ac:dyDescent="0.15"/>
    <row r="9519" s="69" customFormat="1" x14ac:dyDescent="0.15"/>
    <row r="9520" s="69" customFormat="1" x14ac:dyDescent="0.15"/>
    <row r="9521" s="69" customFormat="1" x14ac:dyDescent="0.15"/>
    <row r="9522" s="69" customFormat="1" x14ac:dyDescent="0.15"/>
    <row r="9523" s="69" customFormat="1" x14ac:dyDescent="0.15"/>
    <row r="9524" s="69" customFormat="1" x14ac:dyDescent="0.15"/>
    <row r="9525" s="69" customFormat="1" x14ac:dyDescent="0.15"/>
    <row r="9526" s="69" customFormat="1" x14ac:dyDescent="0.15"/>
    <row r="9527" s="69" customFormat="1" x14ac:dyDescent="0.15"/>
    <row r="9528" s="69" customFormat="1" x14ac:dyDescent="0.15"/>
    <row r="9529" s="69" customFormat="1" x14ac:dyDescent="0.15"/>
    <row r="9530" s="69" customFormat="1" x14ac:dyDescent="0.15"/>
    <row r="9531" s="69" customFormat="1" x14ac:dyDescent="0.15"/>
    <row r="9532" s="69" customFormat="1" x14ac:dyDescent="0.15"/>
    <row r="9533" s="69" customFormat="1" x14ac:dyDescent="0.15"/>
    <row r="9534" s="69" customFormat="1" x14ac:dyDescent="0.15"/>
    <row r="9535" s="69" customFormat="1" x14ac:dyDescent="0.15"/>
    <row r="9536" s="69" customFormat="1" x14ac:dyDescent="0.15"/>
    <row r="9537" s="69" customFormat="1" x14ac:dyDescent="0.15"/>
    <row r="9538" s="69" customFormat="1" x14ac:dyDescent="0.15"/>
    <row r="9539" s="69" customFormat="1" x14ac:dyDescent="0.15"/>
    <row r="9540" s="69" customFormat="1" x14ac:dyDescent="0.15"/>
    <row r="9541" s="69" customFormat="1" x14ac:dyDescent="0.15"/>
    <row r="9542" s="69" customFormat="1" x14ac:dyDescent="0.15"/>
    <row r="9543" s="69" customFormat="1" x14ac:dyDescent="0.15"/>
    <row r="9544" s="69" customFormat="1" x14ac:dyDescent="0.15"/>
    <row r="9545" s="69" customFormat="1" x14ac:dyDescent="0.15"/>
    <row r="9546" s="69" customFormat="1" x14ac:dyDescent="0.15"/>
    <row r="9547" s="69" customFormat="1" x14ac:dyDescent="0.15"/>
    <row r="9548" s="69" customFormat="1" x14ac:dyDescent="0.15"/>
    <row r="9549" s="69" customFormat="1" x14ac:dyDescent="0.15"/>
    <row r="9550" s="69" customFormat="1" x14ac:dyDescent="0.15"/>
    <row r="9551" s="69" customFormat="1" x14ac:dyDescent="0.15"/>
    <row r="9552" s="69" customFormat="1" x14ac:dyDescent="0.15"/>
    <row r="9553" s="69" customFormat="1" x14ac:dyDescent="0.15"/>
    <row r="9554" s="69" customFormat="1" x14ac:dyDescent="0.15"/>
    <row r="9555" s="69" customFormat="1" x14ac:dyDescent="0.15"/>
    <row r="9556" s="69" customFormat="1" x14ac:dyDescent="0.15"/>
    <row r="9557" s="69" customFormat="1" x14ac:dyDescent="0.15"/>
    <row r="9558" s="69" customFormat="1" x14ac:dyDescent="0.15"/>
    <row r="9559" s="69" customFormat="1" x14ac:dyDescent="0.15"/>
    <row r="9560" s="69" customFormat="1" x14ac:dyDescent="0.15"/>
    <row r="9561" s="69" customFormat="1" x14ac:dyDescent="0.15"/>
    <row r="9562" s="69" customFormat="1" x14ac:dyDescent="0.15"/>
    <row r="9563" s="69" customFormat="1" x14ac:dyDescent="0.15"/>
    <row r="9564" s="69" customFormat="1" x14ac:dyDescent="0.15"/>
    <row r="9565" s="69" customFormat="1" x14ac:dyDescent="0.15"/>
    <row r="9566" s="69" customFormat="1" x14ac:dyDescent="0.15"/>
    <row r="9567" s="69" customFormat="1" x14ac:dyDescent="0.15"/>
    <row r="9568" s="69" customFormat="1" x14ac:dyDescent="0.15"/>
    <row r="9569" s="69" customFormat="1" x14ac:dyDescent="0.15"/>
    <row r="9570" s="69" customFormat="1" x14ac:dyDescent="0.15"/>
    <row r="9571" s="69" customFormat="1" x14ac:dyDescent="0.15"/>
    <row r="9572" s="69" customFormat="1" x14ac:dyDescent="0.15"/>
    <row r="9573" s="69" customFormat="1" x14ac:dyDescent="0.15"/>
    <row r="9574" s="69" customFormat="1" x14ac:dyDescent="0.15"/>
    <row r="9575" s="69" customFormat="1" x14ac:dyDescent="0.15"/>
    <row r="9576" s="69" customFormat="1" x14ac:dyDescent="0.15"/>
    <row r="9577" s="69" customFormat="1" x14ac:dyDescent="0.15"/>
    <row r="9578" s="69" customFormat="1" x14ac:dyDescent="0.15"/>
    <row r="9579" s="69" customFormat="1" x14ac:dyDescent="0.15"/>
    <row r="9580" s="69" customFormat="1" x14ac:dyDescent="0.15"/>
    <row r="9581" s="69" customFormat="1" x14ac:dyDescent="0.15"/>
    <row r="9582" s="69" customFormat="1" x14ac:dyDescent="0.15"/>
    <row r="9583" s="69" customFormat="1" x14ac:dyDescent="0.15"/>
    <row r="9584" s="69" customFormat="1" x14ac:dyDescent="0.15"/>
    <row r="9585" s="69" customFormat="1" x14ac:dyDescent="0.15"/>
    <row r="9586" s="69" customFormat="1" x14ac:dyDescent="0.15"/>
    <row r="9587" s="69" customFormat="1" x14ac:dyDescent="0.15"/>
    <row r="9588" s="69" customFormat="1" x14ac:dyDescent="0.15"/>
    <row r="9589" s="69" customFormat="1" x14ac:dyDescent="0.15"/>
    <row r="9590" s="69" customFormat="1" x14ac:dyDescent="0.15"/>
    <row r="9591" s="69" customFormat="1" x14ac:dyDescent="0.15"/>
    <row r="9592" s="69" customFormat="1" x14ac:dyDescent="0.15"/>
    <row r="9593" s="69" customFormat="1" x14ac:dyDescent="0.15"/>
    <row r="9594" s="69" customFormat="1" x14ac:dyDescent="0.15"/>
    <row r="9595" s="69" customFormat="1" x14ac:dyDescent="0.15"/>
    <row r="9596" s="69" customFormat="1" x14ac:dyDescent="0.15"/>
    <row r="9597" s="69" customFormat="1" x14ac:dyDescent="0.15"/>
    <row r="9598" s="69" customFormat="1" x14ac:dyDescent="0.15"/>
    <row r="9599" s="69" customFormat="1" x14ac:dyDescent="0.15"/>
    <row r="9600" s="69" customFormat="1" x14ac:dyDescent="0.15"/>
    <row r="9601" s="69" customFormat="1" x14ac:dyDescent="0.15"/>
    <row r="9602" s="69" customFormat="1" x14ac:dyDescent="0.15"/>
    <row r="9603" s="69" customFormat="1" x14ac:dyDescent="0.15"/>
    <row r="9604" s="69" customFormat="1" x14ac:dyDescent="0.15"/>
    <row r="9605" s="69" customFormat="1" x14ac:dyDescent="0.15"/>
    <row r="9606" s="69" customFormat="1" x14ac:dyDescent="0.15"/>
    <row r="9607" s="69" customFormat="1" x14ac:dyDescent="0.15"/>
    <row r="9608" s="69" customFormat="1" x14ac:dyDescent="0.15"/>
    <row r="9609" s="69" customFormat="1" x14ac:dyDescent="0.15"/>
    <row r="9610" s="69" customFormat="1" x14ac:dyDescent="0.15"/>
    <row r="9611" s="69" customFormat="1" x14ac:dyDescent="0.15"/>
    <row r="9612" s="69" customFormat="1" x14ac:dyDescent="0.15"/>
    <row r="9613" s="69" customFormat="1" x14ac:dyDescent="0.15"/>
    <row r="9614" s="69" customFormat="1" x14ac:dyDescent="0.15"/>
    <row r="9615" s="69" customFormat="1" x14ac:dyDescent="0.15"/>
    <row r="9616" s="69" customFormat="1" x14ac:dyDescent="0.15"/>
    <row r="9617" s="69" customFormat="1" x14ac:dyDescent="0.15"/>
    <row r="9618" s="69" customFormat="1" x14ac:dyDescent="0.15"/>
    <row r="9619" s="69" customFormat="1" x14ac:dyDescent="0.15"/>
    <row r="9620" s="69" customFormat="1" x14ac:dyDescent="0.15"/>
    <row r="9621" s="69" customFormat="1" x14ac:dyDescent="0.15"/>
    <row r="9622" s="69" customFormat="1" x14ac:dyDescent="0.15"/>
    <row r="9623" s="69" customFormat="1" x14ac:dyDescent="0.15"/>
    <row r="9624" s="69" customFormat="1" x14ac:dyDescent="0.15"/>
    <row r="9625" s="69" customFormat="1" x14ac:dyDescent="0.15"/>
    <row r="9626" s="69" customFormat="1" x14ac:dyDescent="0.15"/>
    <row r="9627" s="69" customFormat="1" x14ac:dyDescent="0.15"/>
    <row r="9628" s="69" customFormat="1" x14ac:dyDescent="0.15"/>
    <row r="9629" s="69" customFormat="1" x14ac:dyDescent="0.15"/>
    <row r="9630" s="69" customFormat="1" x14ac:dyDescent="0.15"/>
    <row r="9631" s="69" customFormat="1" x14ac:dyDescent="0.15"/>
    <row r="9632" s="69" customFormat="1" x14ac:dyDescent="0.15"/>
    <row r="9633" s="69" customFormat="1" x14ac:dyDescent="0.15"/>
    <row r="9634" s="69" customFormat="1" x14ac:dyDescent="0.15"/>
    <row r="9635" s="69" customFormat="1" x14ac:dyDescent="0.15"/>
    <row r="9636" s="69" customFormat="1" x14ac:dyDescent="0.15"/>
    <row r="9637" s="69" customFormat="1" x14ac:dyDescent="0.15"/>
    <row r="9638" s="69" customFormat="1" x14ac:dyDescent="0.15"/>
    <row r="9639" s="69" customFormat="1" x14ac:dyDescent="0.15"/>
    <row r="9640" s="69" customFormat="1" x14ac:dyDescent="0.15"/>
    <row r="9641" s="69" customFormat="1" x14ac:dyDescent="0.15"/>
    <row r="9642" s="69" customFormat="1" x14ac:dyDescent="0.15"/>
    <row r="9643" s="69" customFormat="1" x14ac:dyDescent="0.15"/>
    <row r="9644" s="69" customFormat="1" x14ac:dyDescent="0.15"/>
    <row r="9645" s="69" customFormat="1" x14ac:dyDescent="0.15"/>
    <row r="9646" s="69" customFormat="1" x14ac:dyDescent="0.15"/>
    <row r="9647" s="69" customFormat="1" x14ac:dyDescent="0.15"/>
    <row r="9648" s="69" customFormat="1" x14ac:dyDescent="0.15"/>
    <row r="9649" s="69" customFormat="1" x14ac:dyDescent="0.15"/>
    <row r="9650" s="69" customFormat="1" x14ac:dyDescent="0.15"/>
    <row r="9651" s="69" customFormat="1" x14ac:dyDescent="0.15"/>
    <row r="9652" s="69" customFormat="1" x14ac:dyDescent="0.15"/>
    <row r="9653" s="69" customFormat="1" x14ac:dyDescent="0.15"/>
    <row r="9654" s="69" customFormat="1" x14ac:dyDescent="0.15"/>
    <row r="9655" s="69" customFormat="1" x14ac:dyDescent="0.15"/>
    <row r="9656" s="69" customFormat="1" x14ac:dyDescent="0.15"/>
    <row r="9657" s="69" customFormat="1" x14ac:dyDescent="0.15"/>
    <row r="9658" s="69" customFormat="1" x14ac:dyDescent="0.15"/>
    <row r="9659" s="69" customFormat="1" x14ac:dyDescent="0.15"/>
    <row r="9660" s="69" customFormat="1" x14ac:dyDescent="0.15"/>
    <row r="9661" s="69" customFormat="1" x14ac:dyDescent="0.15"/>
    <row r="9662" s="69" customFormat="1" x14ac:dyDescent="0.15"/>
    <row r="9663" s="69" customFormat="1" x14ac:dyDescent="0.15"/>
    <row r="9664" s="69" customFormat="1" x14ac:dyDescent="0.15"/>
    <row r="9665" s="69" customFormat="1" x14ac:dyDescent="0.15"/>
    <row r="9666" s="69" customFormat="1" x14ac:dyDescent="0.15"/>
    <row r="9667" s="69" customFormat="1" x14ac:dyDescent="0.15"/>
    <row r="9668" s="69" customFormat="1" x14ac:dyDescent="0.15"/>
    <row r="9669" s="69" customFormat="1" x14ac:dyDescent="0.15"/>
    <row r="9670" s="69" customFormat="1" x14ac:dyDescent="0.15"/>
    <row r="9671" s="69" customFormat="1" x14ac:dyDescent="0.15"/>
    <row r="9672" s="69" customFormat="1" x14ac:dyDescent="0.15"/>
    <row r="9673" s="69" customFormat="1" x14ac:dyDescent="0.15"/>
    <row r="9674" s="69" customFormat="1" x14ac:dyDescent="0.15"/>
    <row r="9675" s="69" customFormat="1" x14ac:dyDescent="0.15"/>
    <row r="9676" s="69" customFormat="1" x14ac:dyDescent="0.15"/>
    <row r="9677" s="69" customFormat="1" x14ac:dyDescent="0.15"/>
    <row r="9678" s="69" customFormat="1" x14ac:dyDescent="0.15"/>
    <row r="9679" s="69" customFormat="1" x14ac:dyDescent="0.15"/>
    <row r="9680" s="69" customFormat="1" x14ac:dyDescent="0.15"/>
    <row r="9681" s="69" customFormat="1" x14ac:dyDescent="0.15"/>
    <row r="9682" s="69" customFormat="1" x14ac:dyDescent="0.15"/>
    <row r="9683" s="69" customFormat="1" x14ac:dyDescent="0.15"/>
    <row r="9684" s="69" customFormat="1" x14ac:dyDescent="0.15"/>
    <row r="9685" s="69" customFormat="1" x14ac:dyDescent="0.15"/>
    <row r="9686" s="69" customFormat="1" x14ac:dyDescent="0.15"/>
    <row r="9687" s="69" customFormat="1" x14ac:dyDescent="0.15"/>
    <row r="9688" s="69" customFormat="1" x14ac:dyDescent="0.15"/>
    <row r="9689" s="69" customFormat="1" x14ac:dyDescent="0.15"/>
    <row r="9690" s="69" customFormat="1" x14ac:dyDescent="0.15"/>
    <row r="9691" s="69" customFormat="1" x14ac:dyDescent="0.15"/>
    <row r="9692" s="69" customFormat="1" x14ac:dyDescent="0.15"/>
    <row r="9693" s="69" customFormat="1" x14ac:dyDescent="0.15"/>
    <row r="9694" s="69" customFormat="1" x14ac:dyDescent="0.15"/>
    <row r="9695" s="69" customFormat="1" x14ac:dyDescent="0.15"/>
    <row r="9696" s="69" customFormat="1" x14ac:dyDescent="0.15"/>
    <row r="9697" s="69" customFormat="1" x14ac:dyDescent="0.15"/>
    <row r="9698" s="69" customFormat="1" x14ac:dyDescent="0.15"/>
    <row r="9699" s="69" customFormat="1" x14ac:dyDescent="0.15"/>
    <row r="9700" s="69" customFormat="1" x14ac:dyDescent="0.15"/>
    <row r="9701" s="69" customFormat="1" x14ac:dyDescent="0.15"/>
    <row r="9702" s="69" customFormat="1" x14ac:dyDescent="0.15"/>
    <row r="9703" s="69" customFormat="1" x14ac:dyDescent="0.15"/>
    <row r="9704" s="69" customFormat="1" x14ac:dyDescent="0.15"/>
    <row r="9705" s="69" customFormat="1" x14ac:dyDescent="0.15"/>
    <row r="9706" s="69" customFormat="1" x14ac:dyDescent="0.15"/>
    <row r="9707" s="69" customFormat="1" x14ac:dyDescent="0.15"/>
    <row r="9708" s="69" customFormat="1" x14ac:dyDescent="0.15"/>
    <row r="9709" s="69" customFormat="1" x14ac:dyDescent="0.15"/>
    <row r="9710" s="69" customFormat="1" x14ac:dyDescent="0.15"/>
    <row r="9711" s="69" customFormat="1" x14ac:dyDescent="0.15"/>
    <row r="9712" s="69" customFormat="1" x14ac:dyDescent="0.15"/>
    <row r="9713" s="69" customFormat="1" x14ac:dyDescent="0.15"/>
    <row r="9714" s="69" customFormat="1" x14ac:dyDescent="0.15"/>
    <row r="9715" s="69" customFormat="1" x14ac:dyDescent="0.15"/>
    <row r="9716" s="69" customFormat="1" x14ac:dyDescent="0.15"/>
    <row r="9717" s="69" customFormat="1" x14ac:dyDescent="0.15"/>
    <row r="9718" s="69" customFormat="1" x14ac:dyDescent="0.15"/>
    <row r="9719" s="69" customFormat="1" x14ac:dyDescent="0.15"/>
    <row r="9720" s="69" customFormat="1" x14ac:dyDescent="0.15"/>
    <row r="9721" s="69" customFormat="1" x14ac:dyDescent="0.15"/>
    <row r="9722" s="69" customFormat="1" x14ac:dyDescent="0.15"/>
    <row r="9723" s="69" customFormat="1" x14ac:dyDescent="0.15"/>
    <row r="9724" s="69" customFormat="1" x14ac:dyDescent="0.15"/>
    <row r="9725" s="69" customFormat="1" x14ac:dyDescent="0.15"/>
    <row r="9726" s="69" customFormat="1" x14ac:dyDescent="0.15"/>
    <row r="9727" s="69" customFormat="1" x14ac:dyDescent="0.15"/>
    <row r="9728" s="69" customFormat="1" x14ac:dyDescent="0.15"/>
    <row r="9729" s="69" customFormat="1" x14ac:dyDescent="0.15"/>
    <row r="9730" s="69" customFormat="1" x14ac:dyDescent="0.15"/>
    <row r="9731" s="69" customFormat="1" x14ac:dyDescent="0.15"/>
    <row r="9732" s="69" customFormat="1" x14ac:dyDescent="0.15"/>
    <row r="9733" s="69" customFormat="1" x14ac:dyDescent="0.15"/>
    <row r="9734" s="69" customFormat="1" x14ac:dyDescent="0.15"/>
    <row r="9735" s="69" customFormat="1" x14ac:dyDescent="0.15"/>
    <row r="9736" s="69" customFormat="1" x14ac:dyDescent="0.15"/>
    <row r="9737" s="69" customFormat="1" x14ac:dyDescent="0.15"/>
    <row r="9738" s="69" customFormat="1" x14ac:dyDescent="0.15"/>
    <row r="9739" s="69" customFormat="1" x14ac:dyDescent="0.15"/>
    <row r="9740" s="69" customFormat="1" x14ac:dyDescent="0.15"/>
    <row r="9741" s="69" customFormat="1" x14ac:dyDescent="0.15"/>
    <row r="9742" s="69" customFormat="1" x14ac:dyDescent="0.15"/>
    <row r="9743" s="69" customFormat="1" x14ac:dyDescent="0.15"/>
    <row r="9744" s="69" customFormat="1" x14ac:dyDescent="0.15"/>
    <row r="9745" s="69" customFormat="1" x14ac:dyDescent="0.15"/>
    <row r="9746" s="69" customFormat="1" x14ac:dyDescent="0.15"/>
    <row r="9747" s="69" customFormat="1" x14ac:dyDescent="0.15"/>
    <row r="9748" s="69" customFormat="1" x14ac:dyDescent="0.15"/>
    <row r="9749" s="69" customFormat="1" x14ac:dyDescent="0.15"/>
    <row r="9750" s="69" customFormat="1" x14ac:dyDescent="0.15"/>
    <row r="9751" s="69" customFormat="1" x14ac:dyDescent="0.15"/>
    <row r="9752" s="69" customFormat="1" x14ac:dyDescent="0.15"/>
    <row r="9753" s="69" customFormat="1" x14ac:dyDescent="0.15"/>
    <row r="9754" s="69" customFormat="1" x14ac:dyDescent="0.15"/>
    <row r="9755" s="69" customFormat="1" x14ac:dyDescent="0.15"/>
    <row r="9756" s="69" customFormat="1" x14ac:dyDescent="0.15"/>
    <row r="9757" s="69" customFormat="1" x14ac:dyDescent="0.15"/>
    <row r="9758" s="69" customFormat="1" x14ac:dyDescent="0.15"/>
    <row r="9759" s="69" customFormat="1" x14ac:dyDescent="0.15"/>
    <row r="9760" s="69" customFormat="1" x14ac:dyDescent="0.15"/>
    <row r="9761" s="69" customFormat="1" x14ac:dyDescent="0.15"/>
    <row r="9762" s="69" customFormat="1" x14ac:dyDescent="0.15"/>
    <row r="9763" s="69" customFormat="1" x14ac:dyDescent="0.15"/>
    <row r="9764" s="69" customFormat="1" x14ac:dyDescent="0.15"/>
    <row r="9765" s="69" customFormat="1" x14ac:dyDescent="0.15"/>
    <row r="9766" s="69" customFormat="1" x14ac:dyDescent="0.15"/>
    <row r="9767" s="69" customFormat="1" x14ac:dyDescent="0.15"/>
    <row r="9768" s="69" customFormat="1" x14ac:dyDescent="0.15"/>
    <row r="9769" s="69" customFormat="1" x14ac:dyDescent="0.15"/>
    <row r="9770" s="69" customFormat="1" x14ac:dyDescent="0.15"/>
    <row r="9771" s="69" customFormat="1" x14ac:dyDescent="0.15"/>
    <row r="9772" s="69" customFormat="1" x14ac:dyDescent="0.15"/>
    <row r="9773" s="69" customFormat="1" x14ac:dyDescent="0.15"/>
    <row r="9774" s="69" customFormat="1" x14ac:dyDescent="0.15"/>
    <row r="9775" s="69" customFormat="1" x14ac:dyDescent="0.15"/>
    <row r="9776" s="69" customFormat="1" x14ac:dyDescent="0.15"/>
    <row r="9777" s="69" customFormat="1" x14ac:dyDescent="0.15"/>
    <row r="9778" s="69" customFormat="1" x14ac:dyDescent="0.15"/>
    <row r="9779" s="69" customFormat="1" x14ac:dyDescent="0.15"/>
    <row r="9780" s="69" customFormat="1" x14ac:dyDescent="0.15"/>
    <row r="9781" s="69" customFormat="1" x14ac:dyDescent="0.15"/>
    <row r="9782" s="69" customFormat="1" x14ac:dyDescent="0.15"/>
    <row r="9783" s="69" customFormat="1" x14ac:dyDescent="0.15"/>
    <row r="9784" s="69" customFormat="1" x14ac:dyDescent="0.15"/>
    <row r="9785" s="69" customFormat="1" x14ac:dyDescent="0.15"/>
    <row r="9786" s="69" customFormat="1" x14ac:dyDescent="0.15"/>
    <row r="9787" s="69" customFormat="1" x14ac:dyDescent="0.15"/>
    <row r="9788" s="69" customFormat="1" x14ac:dyDescent="0.15"/>
    <row r="9789" s="69" customFormat="1" x14ac:dyDescent="0.15"/>
    <row r="9790" s="69" customFormat="1" x14ac:dyDescent="0.15"/>
    <row r="9791" s="69" customFormat="1" x14ac:dyDescent="0.15"/>
    <row r="9792" s="69" customFormat="1" x14ac:dyDescent="0.15"/>
    <row r="9793" s="69" customFormat="1" x14ac:dyDescent="0.15"/>
    <row r="9794" s="69" customFormat="1" x14ac:dyDescent="0.15"/>
    <row r="9795" s="69" customFormat="1" x14ac:dyDescent="0.15"/>
    <row r="9796" s="69" customFormat="1" x14ac:dyDescent="0.15"/>
    <row r="9797" s="69" customFormat="1" x14ac:dyDescent="0.15"/>
    <row r="9798" s="69" customFormat="1" x14ac:dyDescent="0.15"/>
    <row r="9799" s="69" customFormat="1" x14ac:dyDescent="0.15"/>
    <row r="9800" s="69" customFormat="1" x14ac:dyDescent="0.15"/>
    <row r="9801" s="69" customFormat="1" x14ac:dyDescent="0.15"/>
    <row r="9802" s="69" customFormat="1" x14ac:dyDescent="0.15"/>
    <row r="9803" s="69" customFormat="1" x14ac:dyDescent="0.15"/>
    <row r="9804" s="69" customFormat="1" x14ac:dyDescent="0.15"/>
    <row r="9805" s="69" customFormat="1" x14ac:dyDescent="0.15"/>
    <row r="9806" s="69" customFormat="1" x14ac:dyDescent="0.15"/>
    <row r="9807" s="69" customFormat="1" x14ac:dyDescent="0.15"/>
    <row r="9808" s="69" customFormat="1" x14ac:dyDescent="0.15"/>
    <row r="9809" s="69" customFormat="1" x14ac:dyDescent="0.15"/>
    <row r="9810" s="69" customFormat="1" x14ac:dyDescent="0.15"/>
    <row r="9811" s="69" customFormat="1" x14ac:dyDescent="0.15"/>
    <row r="9812" s="69" customFormat="1" x14ac:dyDescent="0.15"/>
    <row r="9813" s="69" customFormat="1" x14ac:dyDescent="0.15"/>
    <row r="9814" s="69" customFormat="1" x14ac:dyDescent="0.15"/>
    <row r="9815" s="69" customFormat="1" x14ac:dyDescent="0.15"/>
    <row r="9816" s="69" customFormat="1" x14ac:dyDescent="0.15"/>
    <row r="9817" s="69" customFormat="1" x14ac:dyDescent="0.15"/>
    <row r="9818" s="69" customFormat="1" x14ac:dyDescent="0.15"/>
    <row r="9819" s="69" customFormat="1" x14ac:dyDescent="0.15"/>
    <row r="9820" s="69" customFormat="1" x14ac:dyDescent="0.15"/>
    <row r="9821" s="69" customFormat="1" x14ac:dyDescent="0.15"/>
    <row r="9822" s="69" customFormat="1" x14ac:dyDescent="0.15"/>
    <row r="9823" s="69" customFormat="1" x14ac:dyDescent="0.15"/>
    <row r="9824" s="69" customFormat="1" x14ac:dyDescent="0.15"/>
    <row r="9825" s="69" customFormat="1" x14ac:dyDescent="0.15"/>
    <row r="9826" s="69" customFormat="1" x14ac:dyDescent="0.15"/>
    <row r="9827" s="69" customFormat="1" x14ac:dyDescent="0.15"/>
    <row r="9828" s="69" customFormat="1" x14ac:dyDescent="0.15"/>
    <row r="9829" s="69" customFormat="1" x14ac:dyDescent="0.15"/>
    <row r="9830" s="69" customFormat="1" x14ac:dyDescent="0.15"/>
    <row r="9831" s="69" customFormat="1" x14ac:dyDescent="0.15"/>
    <row r="9832" s="69" customFormat="1" x14ac:dyDescent="0.15"/>
    <row r="9833" s="69" customFormat="1" x14ac:dyDescent="0.15"/>
    <row r="9834" s="69" customFormat="1" x14ac:dyDescent="0.15"/>
    <row r="9835" s="69" customFormat="1" x14ac:dyDescent="0.15"/>
    <row r="9836" s="69" customFormat="1" x14ac:dyDescent="0.15"/>
    <row r="9837" s="69" customFormat="1" x14ac:dyDescent="0.15"/>
    <row r="9838" s="69" customFormat="1" x14ac:dyDescent="0.15"/>
    <row r="9839" s="69" customFormat="1" x14ac:dyDescent="0.15"/>
    <row r="9840" s="69" customFormat="1" x14ac:dyDescent="0.15"/>
    <row r="9841" s="69" customFormat="1" x14ac:dyDescent="0.15"/>
    <row r="9842" s="69" customFormat="1" x14ac:dyDescent="0.15"/>
    <row r="9843" s="69" customFormat="1" x14ac:dyDescent="0.15"/>
    <row r="9844" s="69" customFormat="1" x14ac:dyDescent="0.15"/>
    <row r="9845" s="69" customFormat="1" x14ac:dyDescent="0.15"/>
    <row r="9846" s="69" customFormat="1" x14ac:dyDescent="0.15"/>
    <row r="9847" s="69" customFormat="1" x14ac:dyDescent="0.15"/>
    <row r="9848" s="69" customFormat="1" x14ac:dyDescent="0.15"/>
    <row r="9849" s="69" customFormat="1" x14ac:dyDescent="0.15"/>
    <row r="9850" s="69" customFormat="1" x14ac:dyDescent="0.15"/>
    <row r="9851" s="69" customFormat="1" x14ac:dyDescent="0.15"/>
    <row r="9852" s="69" customFormat="1" x14ac:dyDescent="0.15"/>
    <row r="9853" s="69" customFormat="1" x14ac:dyDescent="0.15"/>
    <row r="9854" s="69" customFormat="1" x14ac:dyDescent="0.15"/>
    <row r="9855" s="69" customFormat="1" x14ac:dyDescent="0.15"/>
    <row r="9856" s="69" customFormat="1" x14ac:dyDescent="0.15"/>
    <row r="9857" s="69" customFormat="1" x14ac:dyDescent="0.15"/>
    <row r="9858" s="69" customFormat="1" x14ac:dyDescent="0.15"/>
    <row r="9859" s="69" customFormat="1" x14ac:dyDescent="0.15"/>
    <row r="9860" s="69" customFormat="1" x14ac:dyDescent="0.15"/>
    <row r="9861" s="69" customFormat="1" x14ac:dyDescent="0.15"/>
    <row r="9862" s="69" customFormat="1" x14ac:dyDescent="0.15"/>
    <row r="9863" s="69" customFormat="1" x14ac:dyDescent="0.15"/>
    <row r="9864" s="69" customFormat="1" x14ac:dyDescent="0.15"/>
    <row r="9865" s="69" customFormat="1" x14ac:dyDescent="0.15"/>
    <row r="9866" s="69" customFormat="1" x14ac:dyDescent="0.15"/>
    <row r="9867" s="69" customFormat="1" x14ac:dyDescent="0.15"/>
    <row r="9868" s="69" customFormat="1" x14ac:dyDescent="0.15"/>
    <row r="9869" s="69" customFormat="1" x14ac:dyDescent="0.15"/>
    <row r="9870" s="69" customFormat="1" x14ac:dyDescent="0.15"/>
    <row r="9871" s="69" customFormat="1" x14ac:dyDescent="0.15"/>
    <row r="9872" s="69" customFormat="1" x14ac:dyDescent="0.15"/>
    <row r="9873" s="69" customFormat="1" x14ac:dyDescent="0.15"/>
    <row r="9874" s="69" customFormat="1" x14ac:dyDescent="0.15"/>
    <row r="9875" s="69" customFormat="1" x14ac:dyDescent="0.15"/>
    <row r="9876" s="69" customFormat="1" x14ac:dyDescent="0.15"/>
    <row r="9877" s="69" customFormat="1" x14ac:dyDescent="0.15"/>
    <row r="9878" s="69" customFormat="1" x14ac:dyDescent="0.15"/>
    <row r="9879" s="69" customFormat="1" x14ac:dyDescent="0.15"/>
    <row r="9880" s="69" customFormat="1" x14ac:dyDescent="0.15"/>
    <row r="9881" s="69" customFormat="1" x14ac:dyDescent="0.15"/>
    <row r="9882" s="69" customFormat="1" x14ac:dyDescent="0.15"/>
    <row r="9883" s="69" customFormat="1" x14ac:dyDescent="0.15"/>
    <row r="9884" s="69" customFormat="1" x14ac:dyDescent="0.15"/>
    <row r="9885" s="69" customFormat="1" x14ac:dyDescent="0.15"/>
    <row r="9886" s="69" customFormat="1" x14ac:dyDescent="0.15"/>
    <row r="9887" s="69" customFormat="1" x14ac:dyDescent="0.15"/>
    <row r="9888" s="69" customFormat="1" x14ac:dyDescent="0.15"/>
    <row r="9889" s="69" customFormat="1" x14ac:dyDescent="0.15"/>
    <row r="9890" s="69" customFormat="1" x14ac:dyDescent="0.15"/>
    <row r="9891" s="69" customFormat="1" x14ac:dyDescent="0.15"/>
    <row r="9892" s="69" customFormat="1" x14ac:dyDescent="0.15"/>
    <row r="9893" s="69" customFormat="1" x14ac:dyDescent="0.15"/>
    <row r="9894" s="69" customFormat="1" x14ac:dyDescent="0.15"/>
    <row r="9895" s="69" customFormat="1" x14ac:dyDescent="0.15"/>
    <row r="9896" s="69" customFormat="1" x14ac:dyDescent="0.15"/>
    <row r="9897" s="69" customFormat="1" x14ac:dyDescent="0.15"/>
    <row r="9898" s="69" customFormat="1" x14ac:dyDescent="0.15"/>
    <row r="9899" s="69" customFormat="1" x14ac:dyDescent="0.15"/>
    <row r="9900" s="69" customFormat="1" x14ac:dyDescent="0.15"/>
    <row r="9901" s="69" customFormat="1" x14ac:dyDescent="0.15"/>
    <row r="9902" s="69" customFormat="1" x14ac:dyDescent="0.15"/>
    <row r="9903" s="69" customFormat="1" x14ac:dyDescent="0.15"/>
    <row r="9904" s="69" customFormat="1" x14ac:dyDescent="0.15"/>
    <row r="9905" s="69" customFormat="1" x14ac:dyDescent="0.15"/>
    <row r="9906" s="69" customFormat="1" x14ac:dyDescent="0.15"/>
    <row r="9907" s="69" customFormat="1" x14ac:dyDescent="0.15"/>
    <row r="9908" s="69" customFormat="1" x14ac:dyDescent="0.15"/>
    <row r="9909" s="69" customFormat="1" x14ac:dyDescent="0.15"/>
    <row r="9910" s="69" customFormat="1" x14ac:dyDescent="0.15"/>
    <row r="9911" s="69" customFormat="1" x14ac:dyDescent="0.15"/>
    <row r="9912" s="69" customFormat="1" x14ac:dyDescent="0.15"/>
    <row r="9913" s="69" customFormat="1" x14ac:dyDescent="0.15"/>
    <row r="9914" s="69" customFormat="1" x14ac:dyDescent="0.15"/>
    <row r="9915" s="69" customFormat="1" x14ac:dyDescent="0.15"/>
    <row r="9916" s="69" customFormat="1" x14ac:dyDescent="0.15"/>
    <row r="9917" s="69" customFormat="1" x14ac:dyDescent="0.15"/>
    <row r="9918" s="69" customFormat="1" x14ac:dyDescent="0.15"/>
    <row r="9919" s="69" customFormat="1" x14ac:dyDescent="0.15"/>
    <row r="9920" s="69" customFormat="1" x14ac:dyDescent="0.15"/>
    <row r="9921" s="69" customFormat="1" x14ac:dyDescent="0.15"/>
    <row r="9922" s="69" customFormat="1" x14ac:dyDescent="0.15"/>
    <row r="9923" s="69" customFormat="1" x14ac:dyDescent="0.15"/>
    <row r="9924" s="69" customFormat="1" x14ac:dyDescent="0.15"/>
    <row r="9925" s="69" customFormat="1" x14ac:dyDescent="0.15"/>
    <row r="9926" s="69" customFormat="1" x14ac:dyDescent="0.15"/>
    <row r="9927" s="69" customFormat="1" x14ac:dyDescent="0.15"/>
    <row r="9928" s="69" customFormat="1" x14ac:dyDescent="0.15"/>
    <row r="9929" s="69" customFormat="1" x14ac:dyDescent="0.15"/>
    <row r="9930" s="69" customFormat="1" x14ac:dyDescent="0.15"/>
    <row r="9931" s="69" customFormat="1" x14ac:dyDescent="0.15"/>
    <row r="9932" s="69" customFormat="1" x14ac:dyDescent="0.15"/>
    <row r="9933" s="69" customFormat="1" x14ac:dyDescent="0.15"/>
    <row r="9934" s="69" customFormat="1" x14ac:dyDescent="0.15"/>
    <row r="9935" s="69" customFormat="1" x14ac:dyDescent="0.15"/>
    <row r="9936" s="69" customFormat="1" x14ac:dyDescent="0.15"/>
    <row r="9937" s="69" customFormat="1" x14ac:dyDescent="0.15"/>
    <row r="9938" s="69" customFormat="1" x14ac:dyDescent="0.15"/>
    <row r="9939" s="69" customFormat="1" x14ac:dyDescent="0.15"/>
    <row r="9940" s="69" customFormat="1" x14ac:dyDescent="0.15"/>
    <row r="9941" s="69" customFormat="1" x14ac:dyDescent="0.15"/>
    <row r="9942" s="69" customFormat="1" x14ac:dyDescent="0.15"/>
    <row r="9943" s="69" customFormat="1" x14ac:dyDescent="0.15"/>
    <row r="9944" s="69" customFormat="1" x14ac:dyDescent="0.15"/>
    <row r="9945" s="69" customFormat="1" x14ac:dyDescent="0.15"/>
    <row r="9946" s="69" customFormat="1" x14ac:dyDescent="0.15"/>
    <row r="9947" s="69" customFormat="1" x14ac:dyDescent="0.15"/>
    <row r="9948" s="69" customFormat="1" x14ac:dyDescent="0.15"/>
    <row r="9949" s="69" customFormat="1" x14ac:dyDescent="0.15"/>
    <row r="9950" s="69" customFormat="1" x14ac:dyDescent="0.15"/>
    <row r="9951" s="69" customFormat="1" x14ac:dyDescent="0.15"/>
    <row r="9952" s="69" customFormat="1" x14ac:dyDescent="0.15"/>
    <row r="9953" s="69" customFormat="1" x14ac:dyDescent="0.15"/>
    <row r="9954" s="69" customFormat="1" x14ac:dyDescent="0.15"/>
    <row r="9955" s="69" customFormat="1" x14ac:dyDescent="0.15"/>
    <row r="9956" s="69" customFormat="1" x14ac:dyDescent="0.15"/>
    <row r="9957" s="69" customFormat="1" x14ac:dyDescent="0.15"/>
    <row r="9958" s="69" customFormat="1" x14ac:dyDescent="0.15"/>
    <row r="9959" s="69" customFormat="1" x14ac:dyDescent="0.15"/>
    <row r="9960" s="69" customFormat="1" x14ac:dyDescent="0.15"/>
    <row r="9961" s="69" customFormat="1" x14ac:dyDescent="0.15"/>
    <row r="9962" s="69" customFormat="1" x14ac:dyDescent="0.15"/>
    <row r="9963" s="69" customFormat="1" x14ac:dyDescent="0.15"/>
    <row r="9964" s="69" customFormat="1" x14ac:dyDescent="0.15"/>
    <row r="9965" s="69" customFormat="1" x14ac:dyDescent="0.15"/>
    <row r="9966" s="69" customFormat="1" x14ac:dyDescent="0.15"/>
    <row r="9967" s="69" customFormat="1" x14ac:dyDescent="0.15"/>
    <row r="9968" s="69" customFormat="1" x14ac:dyDescent="0.15"/>
    <row r="9969" s="69" customFormat="1" x14ac:dyDescent="0.15"/>
    <row r="9970" s="69" customFormat="1" x14ac:dyDescent="0.15"/>
    <row r="9971" s="69" customFormat="1" x14ac:dyDescent="0.15"/>
    <row r="9972" s="69" customFormat="1" x14ac:dyDescent="0.15"/>
    <row r="9973" s="69" customFormat="1" x14ac:dyDescent="0.15"/>
    <row r="9974" s="69" customFormat="1" x14ac:dyDescent="0.15"/>
    <row r="9975" s="69" customFormat="1" x14ac:dyDescent="0.15"/>
    <row r="9976" s="69" customFormat="1" x14ac:dyDescent="0.15"/>
    <row r="9977" s="69" customFormat="1" x14ac:dyDescent="0.15"/>
    <row r="9978" s="69" customFormat="1" x14ac:dyDescent="0.15"/>
    <row r="9979" s="69" customFormat="1" x14ac:dyDescent="0.15"/>
    <row r="9980" s="69" customFormat="1" x14ac:dyDescent="0.15"/>
    <row r="9981" s="69" customFormat="1" x14ac:dyDescent="0.15"/>
    <row r="9982" s="69" customFormat="1" x14ac:dyDescent="0.15"/>
    <row r="9983" s="69" customFormat="1" x14ac:dyDescent="0.15"/>
    <row r="9984" s="69" customFormat="1" x14ac:dyDescent="0.15"/>
    <row r="9985" s="69" customFormat="1" x14ac:dyDescent="0.15"/>
    <row r="9986" s="69" customFormat="1" x14ac:dyDescent="0.15"/>
    <row r="9987" s="69" customFormat="1" x14ac:dyDescent="0.15"/>
    <row r="9988" s="69" customFormat="1" x14ac:dyDescent="0.15"/>
    <row r="9989" s="69" customFormat="1" x14ac:dyDescent="0.15"/>
    <row r="9990" s="69" customFormat="1" x14ac:dyDescent="0.15"/>
    <row r="9991" s="69" customFormat="1" x14ac:dyDescent="0.15"/>
    <row r="9992" s="69" customFormat="1" x14ac:dyDescent="0.15"/>
    <row r="9993" s="69" customFormat="1" x14ac:dyDescent="0.15"/>
    <row r="9994" s="69" customFormat="1" x14ac:dyDescent="0.15"/>
    <row r="9995" s="69" customFormat="1" x14ac:dyDescent="0.15"/>
    <row r="9996" s="69" customFormat="1" x14ac:dyDescent="0.15"/>
    <row r="9997" s="69" customFormat="1" x14ac:dyDescent="0.15"/>
    <row r="9998" s="69" customFormat="1" x14ac:dyDescent="0.15"/>
    <row r="9999" s="69" customFormat="1" x14ac:dyDescent="0.15"/>
    <row r="10000" s="69" customFormat="1" x14ac:dyDescent="0.15"/>
    <row r="10001" s="69" customFormat="1" x14ac:dyDescent="0.15"/>
    <row r="10002" s="69" customFormat="1" x14ac:dyDescent="0.15"/>
    <row r="10003" s="69" customFormat="1" x14ac:dyDescent="0.15"/>
    <row r="10004" s="69" customFormat="1" x14ac:dyDescent="0.15"/>
    <row r="10005" s="69" customFormat="1" x14ac:dyDescent="0.15"/>
    <row r="10006" s="69" customFormat="1" x14ac:dyDescent="0.15"/>
    <row r="10007" s="69" customFormat="1" x14ac:dyDescent="0.15"/>
    <row r="10008" s="69" customFormat="1" x14ac:dyDescent="0.15"/>
    <row r="10009" s="69" customFormat="1" x14ac:dyDescent="0.15"/>
    <row r="10010" s="69" customFormat="1" x14ac:dyDescent="0.15"/>
    <row r="10011" s="69" customFormat="1" x14ac:dyDescent="0.15"/>
    <row r="10012" s="69" customFormat="1" x14ac:dyDescent="0.15"/>
    <row r="10013" s="69" customFormat="1" x14ac:dyDescent="0.15"/>
    <row r="10014" s="69" customFormat="1" x14ac:dyDescent="0.15"/>
    <row r="10015" s="69" customFormat="1" x14ac:dyDescent="0.15"/>
    <row r="10016" s="69" customFormat="1" x14ac:dyDescent="0.15"/>
    <row r="10017" s="69" customFormat="1" x14ac:dyDescent="0.15"/>
    <row r="10018" s="69" customFormat="1" x14ac:dyDescent="0.15"/>
    <row r="10019" s="69" customFormat="1" x14ac:dyDescent="0.15"/>
    <row r="10020" s="69" customFormat="1" x14ac:dyDescent="0.15"/>
    <row r="10021" s="69" customFormat="1" x14ac:dyDescent="0.15"/>
    <row r="10022" s="69" customFormat="1" x14ac:dyDescent="0.15"/>
    <row r="10023" s="69" customFormat="1" x14ac:dyDescent="0.15"/>
    <row r="10024" s="69" customFormat="1" x14ac:dyDescent="0.15"/>
    <row r="10025" s="69" customFormat="1" x14ac:dyDescent="0.15"/>
    <row r="10026" s="69" customFormat="1" x14ac:dyDescent="0.15"/>
    <row r="10027" s="69" customFormat="1" x14ac:dyDescent="0.15"/>
    <row r="10028" s="69" customFormat="1" x14ac:dyDescent="0.15"/>
    <row r="10029" s="69" customFormat="1" x14ac:dyDescent="0.15"/>
    <row r="10030" s="69" customFormat="1" x14ac:dyDescent="0.15"/>
    <row r="10031" s="69" customFormat="1" x14ac:dyDescent="0.15"/>
    <row r="10032" s="69" customFormat="1" x14ac:dyDescent="0.15"/>
    <row r="10033" s="69" customFormat="1" x14ac:dyDescent="0.15"/>
    <row r="10034" s="69" customFormat="1" x14ac:dyDescent="0.15"/>
    <row r="10035" s="69" customFormat="1" x14ac:dyDescent="0.15"/>
    <row r="10036" s="69" customFormat="1" x14ac:dyDescent="0.15"/>
    <row r="10037" s="69" customFormat="1" x14ac:dyDescent="0.15"/>
    <row r="10038" s="69" customFormat="1" x14ac:dyDescent="0.15"/>
    <row r="10039" s="69" customFormat="1" x14ac:dyDescent="0.15"/>
    <row r="10040" s="69" customFormat="1" x14ac:dyDescent="0.15"/>
    <row r="10041" s="69" customFormat="1" x14ac:dyDescent="0.15"/>
    <row r="10042" s="69" customFormat="1" x14ac:dyDescent="0.15"/>
    <row r="10043" s="69" customFormat="1" x14ac:dyDescent="0.15"/>
    <row r="10044" s="69" customFormat="1" x14ac:dyDescent="0.15"/>
    <row r="10045" s="69" customFormat="1" x14ac:dyDescent="0.15"/>
    <row r="10046" s="69" customFormat="1" x14ac:dyDescent="0.15"/>
    <row r="10047" s="69" customFormat="1" x14ac:dyDescent="0.15"/>
    <row r="10048" s="69" customFormat="1" x14ac:dyDescent="0.15"/>
    <row r="10049" s="69" customFormat="1" x14ac:dyDescent="0.15"/>
    <row r="10050" s="69" customFormat="1" x14ac:dyDescent="0.15"/>
    <row r="10051" s="69" customFormat="1" x14ac:dyDescent="0.15"/>
    <row r="10052" s="69" customFormat="1" x14ac:dyDescent="0.15"/>
    <row r="10053" s="69" customFormat="1" x14ac:dyDescent="0.15"/>
    <row r="10054" s="69" customFormat="1" x14ac:dyDescent="0.15"/>
    <row r="10055" s="69" customFormat="1" x14ac:dyDescent="0.15"/>
    <row r="10056" s="69" customFormat="1" x14ac:dyDescent="0.15"/>
    <row r="10057" s="69" customFormat="1" x14ac:dyDescent="0.15"/>
    <row r="10058" s="69" customFormat="1" x14ac:dyDescent="0.15"/>
    <row r="10059" s="69" customFormat="1" x14ac:dyDescent="0.15"/>
    <row r="10060" s="69" customFormat="1" x14ac:dyDescent="0.15"/>
    <row r="10061" s="69" customFormat="1" x14ac:dyDescent="0.15"/>
    <row r="10062" s="69" customFormat="1" x14ac:dyDescent="0.15"/>
    <row r="10063" s="69" customFormat="1" x14ac:dyDescent="0.15"/>
    <row r="10064" s="69" customFormat="1" x14ac:dyDescent="0.15"/>
    <row r="10065" s="69" customFormat="1" x14ac:dyDescent="0.15"/>
    <row r="10066" s="69" customFormat="1" x14ac:dyDescent="0.15"/>
    <row r="10067" s="69" customFormat="1" x14ac:dyDescent="0.15"/>
    <row r="10068" s="69" customFormat="1" x14ac:dyDescent="0.15"/>
    <row r="10069" s="69" customFormat="1" x14ac:dyDescent="0.15"/>
    <row r="10070" s="69" customFormat="1" x14ac:dyDescent="0.15"/>
    <row r="10071" s="69" customFormat="1" x14ac:dyDescent="0.15"/>
    <row r="10072" s="69" customFormat="1" x14ac:dyDescent="0.15"/>
    <row r="10073" s="69" customFormat="1" x14ac:dyDescent="0.15"/>
    <row r="10074" s="69" customFormat="1" x14ac:dyDescent="0.15"/>
    <row r="10075" s="69" customFormat="1" x14ac:dyDescent="0.15"/>
    <row r="10076" s="69" customFormat="1" x14ac:dyDescent="0.15"/>
    <row r="10077" s="69" customFormat="1" x14ac:dyDescent="0.15"/>
    <row r="10078" s="69" customFormat="1" x14ac:dyDescent="0.15"/>
    <row r="10079" s="69" customFormat="1" x14ac:dyDescent="0.15"/>
    <row r="10080" s="69" customFormat="1" x14ac:dyDescent="0.15"/>
    <row r="10081" s="69" customFormat="1" x14ac:dyDescent="0.15"/>
    <row r="10082" s="69" customFormat="1" x14ac:dyDescent="0.15"/>
    <row r="10083" s="69" customFormat="1" x14ac:dyDescent="0.15"/>
    <row r="10084" s="69" customFormat="1" x14ac:dyDescent="0.15"/>
    <row r="10085" s="69" customFormat="1" x14ac:dyDescent="0.15"/>
    <row r="10086" s="69" customFormat="1" x14ac:dyDescent="0.15"/>
    <row r="10087" s="69" customFormat="1" x14ac:dyDescent="0.15"/>
    <row r="10088" s="69" customFormat="1" x14ac:dyDescent="0.15"/>
    <row r="10089" s="69" customFormat="1" x14ac:dyDescent="0.15"/>
    <row r="10090" s="69" customFormat="1" x14ac:dyDescent="0.15"/>
    <row r="10091" s="69" customFormat="1" x14ac:dyDescent="0.15"/>
    <row r="10092" s="69" customFormat="1" x14ac:dyDescent="0.15"/>
    <row r="10093" s="69" customFormat="1" x14ac:dyDescent="0.15"/>
    <row r="10094" s="69" customFormat="1" x14ac:dyDescent="0.15"/>
    <row r="10095" s="69" customFormat="1" x14ac:dyDescent="0.15"/>
    <row r="10096" s="69" customFormat="1" x14ac:dyDescent="0.15"/>
    <row r="10097" s="69" customFormat="1" x14ac:dyDescent="0.15"/>
    <row r="10098" s="69" customFormat="1" x14ac:dyDescent="0.15"/>
    <row r="10099" s="69" customFormat="1" x14ac:dyDescent="0.15"/>
    <row r="10100" s="69" customFormat="1" x14ac:dyDescent="0.15"/>
    <row r="10101" s="69" customFormat="1" x14ac:dyDescent="0.15"/>
    <row r="10102" s="69" customFormat="1" x14ac:dyDescent="0.15"/>
    <row r="10103" s="69" customFormat="1" x14ac:dyDescent="0.15"/>
    <row r="10104" s="69" customFormat="1" x14ac:dyDescent="0.15"/>
    <row r="10105" s="69" customFormat="1" x14ac:dyDescent="0.15"/>
    <row r="10106" s="69" customFormat="1" x14ac:dyDescent="0.15"/>
    <row r="10107" s="69" customFormat="1" x14ac:dyDescent="0.15"/>
    <row r="10108" s="69" customFormat="1" x14ac:dyDescent="0.15"/>
    <row r="10109" s="69" customFormat="1" x14ac:dyDescent="0.15"/>
    <row r="10110" s="69" customFormat="1" x14ac:dyDescent="0.15"/>
    <row r="10111" s="69" customFormat="1" x14ac:dyDescent="0.15"/>
    <row r="10112" s="69" customFormat="1" x14ac:dyDescent="0.15"/>
    <row r="10113" s="69" customFormat="1" x14ac:dyDescent="0.15"/>
    <row r="10114" s="69" customFormat="1" x14ac:dyDescent="0.15"/>
    <row r="10115" s="69" customFormat="1" x14ac:dyDescent="0.15"/>
    <row r="10116" s="69" customFormat="1" x14ac:dyDescent="0.15"/>
    <row r="10117" s="69" customFormat="1" x14ac:dyDescent="0.15"/>
    <row r="10118" s="69" customFormat="1" x14ac:dyDescent="0.15"/>
    <row r="10119" s="69" customFormat="1" x14ac:dyDescent="0.15"/>
    <row r="10120" s="69" customFormat="1" x14ac:dyDescent="0.15"/>
    <row r="10121" s="69" customFormat="1" x14ac:dyDescent="0.15"/>
    <row r="10122" s="69" customFormat="1" x14ac:dyDescent="0.15"/>
    <row r="10123" s="69" customFormat="1" x14ac:dyDescent="0.15"/>
    <row r="10124" s="69" customFormat="1" x14ac:dyDescent="0.15"/>
    <row r="10125" s="69" customFormat="1" x14ac:dyDescent="0.15"/>
    <row r="10126" s="69" customFormat="1" x14ac:dyDescent="0.15"/>
    <row r="10127" s="69" customFormat="1" x14ac:dyDescent="0.15"/>
    <row r="10128" s="69" customFormat="1" x14ac:dyDescent="0.15"/>
    <row r="10129" s="69" customFormat="1" x14ac:dyDescent="0.15"/>
    <row r="10130" s="69" customFormat="1" x14ac:dyDescent="0.15"/>
    <row r="10131" s="69" customFormat="1" x14ac:dyDescent="0.15"/>
    <row r="10132" s="69" customFormat="1" x14ac:dyDescent="0.15"/>
    <row r="10133" s="69" customFormat="1" x14ac:dyDescent="0.15"/>
    <row r="10134" s="69" customFormat="1" x14ac:dyDescent="0.15"/>
    <row r="10135" s="69" customFormat="1" x14ac:dyDescent="0.15"/>
    <row r="10136" s="69" customFormat="1" x14ac:dyDescent="0.15"/>
    <row r="10137" s="69" customFormat="1" x14ac:dyDescent="0.15"/>
    <row r="10138" s="69" customFormat="1" x14ac:dyDescent="0.15"/>
    <row r="10139" s="69" customFormat="1" x14ac:dyDescent="0.15"/>
    <row r="10140" s="69" customFormat="1" x14ac:dyDescent="0.15"/>
    <row r="10141" s="69" customFormat="1" x14ac:dyDescent="0.15"/>
    <row r="10142" s="69" customFormat="1" x14ac:dyDescent="0.15"/>
    <row r="10143" s="69" customFormat="1" x14ac:dyDescent="0.15"/>
    <row r="10144" s="69" customFormat="1" x14ac:dyDescent="0.15"/>
    <row r="10145" s="69" customFormat="1" x14ac:dyDescent="0.15"/>
    <row r="10146" s="69" customFormat="1" x14ac:dyDescent="0.15"/>
    <row r="10147" s="69" customFormat="1" x14ac:dyDescent="0.15"/>
    <row r="10148" s="69" customFormat="1" x14ac:dyDescent="0.15"/>
    <row r="10149" s="69" customFormat="1" x14ac:dyDescent="0.15"/>
    <row r="10150" s="69" customFormat="1" x14ac:dyDescent="0.15"/>
    <row r="10151" s="69" customFormat="1" x14ac:dyDescent="0.15"/>
    <row r="10152" s="69" customFormat="1" x14ac:dyDescent="0.15"/>
    <row r="10153" s="69" customFormat="1" x14ac:dyDescent="0.15"/>
    <row r="10154" s="69" customFormat="1" x14ac:dyDescent="0.15"/>
    <row r="10155" s="69" customFormat="1" x14ac:dyDescent="0.15"/>
    <row r="10156" s="69" customFormat="1" x14ac:dyDescent="0.15"/>
    <row r="10157" s="69" customFormat="1" x14ac:dyDescent="0.15"/>
    <row r="10158" s="69" customFormat="1" x14ac:dyDescent="0.15"/>
    <row r="10159" s="69" customFormat="1" x14ac:dyDescent="0.15"/>
    <row r="10160" s="69" customFormat="1" x14ac:dyDescent="0.15"/>
    <row r="10161" s="69" customFormat="1" x14ac:dyDescent="0.15"/>
    <row r="10162" s="69" customFormat="1" x14ac:dyDescent="0.15"/>
    <row r="10163" s="69" customFormat="1" x14ac:dyDescent="0.15"/>
    <row r="10164" s="69" customFormat="1" x14ac:dyDescent="0.15"/>
    <row r="10165" s="69" customFormat="1" x14ac:dyDescent="0.15"/>
    <row r="10166" s="69" customFormat="1" x14ac:dyDescent="0.15"/>
    <row r="10167" s="69" customFormat="1" x14ac:dyDescent="0.15"/>
    <row r="10168" s="69" customFormat="1" x14ac:dyDescent="0.15"/>
    <row r="10169" s="69" customFormat="1" x14ac:dyDescent="0.15"/>
    <row r="10170" s="69" customFormat="1" x14ac:dyDescent="0.15"/>
    <row r="10171" s="69" customFormat="1" x14ac:dyDescent="0.15"/>
    <row r="10172" s="69" customFormat="1" x14ac:dyDescent="0.15"/>
    <row r="10173" s="69" customFormat="1" x14ac:dyDescent="0.15"/>
    <row r="10174" s="69" customFormat="1" x14ac:dyDescent="0.15"/>
    <row r="10175" s="69" customFormat="1" x14ac:dyDescent="0.15"/>
    <row r="10176" s="69" customFormat="1" x14ac:dyDescent="0.15"/>
    <row r="10177" s="69" customFormat="1" x14ac:dyDescent="0.15"/>
    <row r="10178" s="69" customFormat="1" x14ac:dyDescent="0.15"/>
    <row r="10179" s="69" customFormat="1" x14ac:dyDescent="0.15"/>
    <row r="10180" s="69" customFormat="1" x14ac:dyDescent="0.15"/>
    <row r="10181" s="69" customFormat="1" x14ac:dyDescent="0.15"/>
    <row r="10182" s="69" customFormat="1" x14ac:dyDescent="0.15"/>
    <row r="10183" s="69" customFormat="1" x14ac:dyDescent="0.15"/>
    <row r="10184" s="69" customFormat="1" x14ac:dyDescent="0.15"/>
    <row r="10185" s="69" customFormat="1" x14ac:dyDescent="0.15"/>
    <row r="10186" s="69" customFormat="1" x14ac:dyDescent="0.15"/>
    <row r="10187" s="69" customFormat="1" x14ac:dyDescent="0.15"/>
    <row r="10188" s="69" customFormat="1" x14ac:dyDescent="0.15"/>
    <row r="10189" s="69" customFormat="1" x14ac:dyDescent="0.15"/>
    <row r="10190" s="69" customFormat="1" x14ac:dyDescent="0.15"/>
    <row r="10191" s="69" customFormat="1" x14ac:dyDescent="0.15"/>
    <row r="10192" s="69" customFormat="1" x14ac:dyDescent="0.15"/>
    <row r="10193" s="69" customFormat="1" x14ac:dyDescent="0.15"/>
    <row r="10194" s="69" customFormat="1" x14ac:dyDescent="0.15"/>
    <row r="10195" s="69" customFormat="1" x14ac:dyDescent="0.15"/>
    <row r="10196" s="69" customFormat="1" x14ac:dyDescent="0.15"/>
    <row r="10197" s="69" customFormat="1" x14ac:dyDescent="0.15"/>
    <row r="10198" s="69" customFormat="1" x14ac:dyDescent="0.15"/>
    <row r="10199" s="69" customFormat="1" x14ac:dyDescent="0.15"/>
    <row r="10200" s="69" customFormat="1" x14ac:dyDescent="0.15"/>
    <row r="10201" s="69" customFormat="1" x14ac:dyDescent="0.15"/>
    <row r="10202" s="69" customFormat="1" x14ac:dyDescent="0.15"/>
    <row r="10203" s="69" customFormat="1" x14ac:dyDescent="0.15"/>
    <row r="10204" s="69" customFormat="1" x14ac:dyDescent="0.15"/>
    <row r="10205" s="69" customFormat="1" x14ac:dyDescent="0.15"/>
    <row r="10206" s="69" customFormat="1" x14ac:dyDescent="0.15"/>
    <row r="10207" s="69" customFormat="1" x14ac:dyDescent="0.15"/>
    <row r="10208" s="69" customFormat="1" x14ac:dyDescent="0.15"/>
    <row r="10209" s="69" customFormat="1" x14ac:dyDescent="0.15"/>
    <row r="10210" s="69" customFormat="1" x14ac:dyDescent="0.15"/>
    <row r="10211" s="69" customFormat="1" x14ac:dyDescent="0.15"/>
    <row r="10212" s="69" customFormat="1" x14ac:dyDescent="0.15"/>
    <row r="10213" s="69" customFormat="1" x14ac:dyDescent="0.15"/>
    <row r="10214" s="69" customFormat="1" x14ac:dyDescent="0.15"/>
    <row r="10215" s="69" customFormat="1" x14ac:dyDescent="0.15"/>
    <row r="10216" s="69" customFormat="1" x14ac:dyDescent="0.15"/>
    <row r="10217" s="69" customFormat="1" x14ac:dyDescent="0.15"/>
    <row r="10218" s="69" customFormat="1" x14ac:dyDescent="0.15"/>
    <row r="10219" s="69" customFormat="1" x14ac:dyDescent="0.15"/>
    <row r="10220" s="69" customFormat="1" x14ac:dyDescent="0.15"/>
    <row r="10221" s="69" customFormat="1" x14ac:dyDescent="0.15"/>
    <row r="10222" s="69" customFormat="1" x14ac:dyDescent="0.15"/>
    <row r="10223" s="69" customFormat="1" x14ac:dyDescent="0.15"/>
    <row r="10224" s="69" customFormat="1" x14ac:dyDescent="0.15"/>
    <row r="10225" s="69" customFormat="1" x14ac:dyDescent="0.15"/>
    <row r="10226" s="69" customFormat="1" x14ac:dyDescent="0.15"/>
    <row r="10227" s="69" customFormat="1" x14ac:dyDescent="0.15"/>
    <row r="10228" s="69" customFormat="1" x14ac:dyDescent="0.15"/>
    <row r="10229" s="69" customFormat="1" x14ac:dyDescent="0.15"/>
    <row r="10230" s="69" customFormat="1" x14ac:dyDescent="0.15"/>
    <row r="10231" s="69" customFormat="1" x14ac:dyDescent="0.15"/>
    <row r="10232" s="69" customFormat="1" x14ac:dyDescent="0.15"/>
    <row r="10233" s="69" customFormat="1" x14ac:dyDescent="0.15"/>
    <row r="10234" s="69" customFormat="1" x14ac:dyDescent="0.15"/>
    <row r="10235" s="69" customFormat="1" x14ac:dyDescent="0.15"/>
    <row r="10236" s="69" customFormat="1" x14ac:dyDescent="0.15"/>
    <row r="10237" s="69" customFormat="1" x14ac:dyDescent="0.15"/>
    <row r="10238" s="69" customFormat="1" x14ac:dyDescent="0.15"/>
    <row r="10239" s="69" customFormat="1" x14ac:dyDescent="0.15"/>
    <row r="10240" s="69" customFormat="1" x14ac:dyDescent="0.15"/>
    <row r="10241" s="69" customFormat="1" x14ac:dyDescent="0.15"/>
    <row r="10242" s="69" customFormat="1" x14ac:dyDescent="0.15"/>
    <row r="10243" s="69" customFormat="1" x14ac:dyDescent="0.15"/>
    <row r="10244" s="69" customFormat="1" x14ac:dyDescent="0.15"/>
    <row r="10245" s="69" customFormat="1" x14ac:dyDescent="0.15"/>
    <row r="10246" s="69" customFormat="1" x14ac:dyDescent="0.15"/>
    <row r="10247" s="69" customFormat="1" x14ac:dyDescent="0.15"/>
    <row r="10248" s="69" customFormat="1" x14ac:dyDescent="0.15"/>
    <row r="10249" s="69" customFormat="1" x14ac:dyDescent="0.15"/>
    <row r="10250" s="69" customFormat="1" x14ac:dyDescent="0.15"/>
    <row r="10251" s="69" customFormat="1" x14ac:dyDescent="0.15"/>
    <row r="10252" s="69" customFormat="1" x14ac:dyDescent="0.15"/>
    <row r="10253" s="69" customFormat="1" x14ac:dyDescent="0.15"/>
    <row r="10254" s="69" customFormat="1" x14ac:dyDescent="0.15"/>
    <row r="10255" s="69" customFormat="1" x14ac:dyDescent="0.15"/>
    <row r="10256" s="69" customFormat="1" x14ac:dyDescent="0.15"/>
    <row r="10257" s="69" customFormat="1" x14ac:dyDescent="0.15"/>
    <row r="10258" s="69" customFormat="1" x14ac:dyDescent="0.15"/>
    <row r="10259" s="69" customFormat="1" x14ac:dyDescent="0.15"/>
    <row r="10260" s="69" customFormat="1" x14ac:dyDescent="0.15"/>
    <row r="10261" s="69" customFormat="1" x14ac:dyDescent="0.15"/>
    <row r="10262" s="69" customFormat="1" x14ac:dyDescent="0.15"/>
    <row r="10263" s="69" customFormat="1" x14ac:dyDescent="0.15"/>
    <row r="10264" s="69" customFormat="1" x14ac:dyDescent="0.15"/>
    <row r="10265" s="69" customFormat="1" x14ac:dyDescent="0.15"/>
    <row r="10266" s="69" customFormat="1" x14ac:dyDescent="0.15"/>
    <row r="10267" s="69" customFormat="1" x14ac:dyDescent="0.15"/>
    <row r="10268" s="69" customFormat="1" x14ac:dyDescent="0.15"/>
    <row r="10269" s="69" customFormat="1" x14ac:dyDescent="0.15"/>
    <row r="10270" s="69" customFormat="1" x14ac:dyDescent="0.15"/>
    <row r="10271" s="69" customFormat="1" x14ac:dyDescent="0.15"/>
    <row r="10272" s="69" customFormat="1" x14ac:dyDescent="0.15"/>
    <row r="10273" s="69" customFormat="1" x14ac:dyDescent="0.15"/>
    <row r="10274" s="69" customFormat="1" x14ac:dyDescent="0.15"/>
    <row r="10275" s="69" customFormat="1" x14ac:dyDescent="0.15"/>
    <row r="10276" s="69" customFormat="1" x14ac:dyDescent="0.15"/>
    <row r="10277" s="69" customFormat="1" x14ac:dyDescent="0.15"/>
    <row r="10278" s="69" customFormat="1" x14ac:dyDescent="0.15"/>
    <row r="10279" s="69" customFormat="1" x14ac:dyDescent="0.15"/>
    <row r="10280" s="69" customFormat="1" x14ac:dyDescent="0.15"/>
    <row r="10281" s="69" customFormat="1" x14ac:dyDescent="0.15"/>
    <row r="10282" s="69" customFormat="1" x14ac:dyDescent="0.15"/>
    <row r="10283" s="69" customFormat="1" x14ac:dyDescent="0.15"/>
    <row r="10284" s="69" customFormat="1" x14ac:dyDescent="0.15"/>
    <row r="10285" s="69" customFormat="1" x14ac:dyDescent="0.15"/>
    <row r="10286" s="69" customFormat="1" x14ac:dyDescent="0.15"/>
    <row r="10287" s="69" customFormat="1" x14ac:dyDescent="0.15"/>
    <row r="10288" s="69" customFormat="1" x14ac:dyDescent="0.15"/>
    <row r="10289" s="69" customFormat="1" x14ac:dyDescent="0.15"/>
    <row r="10290" s="69" customFormat="1" x14ac:dyDescent="0.15"/>
    <row r="10291" s="69" customFormat="1" x14ac:dyDescent="0.15"/>
    <row r="10292" s="69" customFormat="1" x14ac:dyDescent="0.15"/>
    <row r="10293" s="69" customFormat="1" x14ac:dyDescent="0.15"/>
    <row r="10294" s="69" customFormat="1" x14ac:dyDescent="0.15"/>
    <row r="10295" s="69" customFormat="1" x14ac:dyDescent="0.15"/>
    <row r="10296" s="69" customFormat="1" x14ac:dyDescent="0.15"/>
    <row r="10297" s="69" customFormat="1" x14ac:dyDescent="0.15"/>
    <row r="10298" s="69" customFormat="1" x14ac:dyDescent="0.15"/>
    <row r="10299" s="69" customFormat="1" x14ac:dyDescent="0.15"/>
    <row r="10300" s="69" customFormat="1" x14ac:dyDescent="0.15"/>
    <row r="10301" s="69" customFormat="1" x14ac:dyDescent="0.15"/>
    <row r="10302" s="69" customFormat="1" x14ac:dyDescent="0.15"/>
    <row r="10303" s="69" customFormat="1" x14ac:dyDescent="0.15"/>
    <row r="10304" s="69" customFormat="1" x14ac:dyDescent="0.15"/>
    <row r="10305" s="69" customFormat="1" x14ac:dyDescent="0.15"/>
    <row r="10306" s="69" customFormat="1" x14ac:dyDescent="0.15"/>
    <row r="10307" s="69" customFormat="1" x14ac:dyDescent="0.15"/>
    <row r="10308" s="69" customFormat="1" x14ac:dyDescent="0.15"/>
    <row r="10309" s="69" customFormat="1" x14ac:dyDescent="0.15"/>
    <row r="10310" s="69" customFormat="1" x14ac:dyDescent="0.15"/>
    <row r="10311" s="69" customFormat="1" x14ac:dyDescent="0.15"/>
    <row r="10312" s="69" customFormat="1" x14ac:dyDescent="0.15"/>
    <row r="10313" s="69" customFormat="1" x14ac:dyDescent="0.15"/>
    <row r="10314" s="69" customFormat="1" x14ac:dyDescent="0.15"/>
    <row r="10315" s="69" customFormat="1" x14ac:dyDescent="0.15"/>
    <row r="10316" s="69" customFormat="1" x14ac:dyDescent="0.15"/>
    <row r="10317" s="69" customFormat="1" x14ac:dyDescent="0.15"/>
    <row r="10318" s="69" customFormat="1" x14ac:dyDescent="0.15"/>
    <row r="10319" s="69" customFormat="1" x14ac:dyDescent="0.15"/>
    <row r="10320" s="69" customFormat="1" x14ac:dyDescent="0.15"/>
    <row r="10321" s="69" customFormat="1" x14ac:dyDescent="0.15"/>
    <row r="10322" s="69" customFormat="1" x14ac:dyDescent="0.15"/>
    <row r="10323" s="69" customFormat="1" x14ac:dyDescent="0.15"/>
    <row r="10324" s="69" customFormat="1" x14ac:dyDescent="0.15"/>
    <row r="10325" s="69" customFormat="1" x14ac:dyDescent="0.15"/>
    <row r="10326" s="69" customFormat="1" x14ac:dyDescent="0.15"/>
    <row r="10327" s="69" customFormat="1" x14ac:dyDescent="0.15"/>
    <row r="10328" s="69" customFormat="1" x14ac:dyDescent="0.15"/>
    <row r="10329" s="69" customFormat="1" x14ac:dyDescent="0.15"/>
    <row r="10330" s="69" customFormat="1" x14ac:dyDescent="0.15"/>
    <row r="10331" s="69" customFormat="1" x14ac:dyDescent="0.15"/>
    <row r="10332" s="69" customFormat="1" x14ac:dyDescent="0.15"/>
    <row r="10333" s="69" customFormat="1" x14ac:dyDescent="0.15"/>
    <row r="10334" s="69" customFormat="1" x14ac:dyDescent="0.15"/>
    <row r="10335" s="69" customFormat="1" x14ac:dyDescent="0.15"/>
    <row r="10336" s="69" customFormat="1" x14ac:dyDescent="0.15"/>
    <row r="10337" s="69" customFormat="1" x14ac:dyDescent="0.15"/>
    <row r="10338" s="69" customFormat="1" x14ac:dyDescent="0.15"/>
    <row r="10339" s="69" customFormat="1" x14ac:dyDescent="0.15"/>
    <row r="10340" s="69" customFormat="1" x14ac:dyDescent="0.15"/>
    <row r="10341" s="69" customFormat="1" x14ac:dyDescent="0.15"/>
    <row r="10342" s="69" customFormat="1" x14ac:dyDescent="0.15"/>
    <row r="10343" s="69" customFormat="1" x14ac:dyDescent="0.15"/>
    <row r="10344" s="69" customFormat="1" x14ac:dyDescent="0.15"/>
    <row r="10345" s="69" customFormat="1" x14ac:dyDescent="0.15"/>
    <row r="10346" s="69" customFormat="1" x14ac:dyDescent="0.15"/>
    <row r="10347" s="69" customFormat="1" x14ac:dyDescent="0.15"/>
    <row r="10348" s="69" customFormat="1" x14ac:dyDescent="0.15"/>
    <row r="10349" s="69" customFormat="1" x14ac:dyDescent="0.15"/>
    <row r="10350" s="69" customFormat="1" x14ac:dyDescent="0.15"/>
    <row r="10351" s="69" customFormat="1" x14ac:dyDescent="0.15"/>
    <row r="10352" s="69" customFormat="1" x14ac:dyDescent="0.15"/>
    <row r="10353" s="69" customFormat="1" x14ac:dyDescent="0.15"/>
    <row r="10354" s="69" customFormat="1" x14ac:dyDescent="0.15"/>
    <row r="10355" s="69" customFormat="1" x14ac:dyDescent="0.15"/>
    <row r="10356" s="69" customFormat="1" x14ac:dyDescent="0.15"/>
    <row r="10357" s="69" customFormat="1" x14ac:dyDescent="0.15"/>
    <row r="10358" s="69" customFormat="1" x14ac:dyDescent="0.15"/>
    <row r="10359" s="69" customFormat="1" x14ac:dyDescent="0.15"/>
    <row r="10360" s="69" customFormat="1" x14ac:dyDescent="0.15"/>
    <row r="10361" s="69" customFormat="1" x14ac:dyDescent="0.15"/>
    <row r="10362" s="69" customFormat="1" x14ac:dyDescent="0.15"/>
    <row r="10363" s="69" customFormat="1" x14ac:dyDescent="0.15"/>
    <row r="10364" s="69" customFormat="1" x14ac:dyDescent="0.15"/>
    <row r="10365" s="69" customFormat="1" x14ac:dyDescent="0.15"/>
    <row r="10366" s="69" customFormat="1" x14ac:dyDescent="0.15"/>
    <row r="10367" s="69" customFormat="1" x14ac:dyDescent="0.15"/>
    <row r="10368" s="69" customFormat="1" x14ac:dyDescent="0.15"/>
    <row r="10369" s="69" customFormat="1" x14ac:dyDescent="0.15"/>
    <row r="10370" s="69" customFormat="1" x14ac:dyDescent="0.15"/>
    <row r="10371" s="69" customFormat="1" x14ac:dyDescent="0.15"/>
    <row r="10372" s="69" customFormat="1" x14ac:dyDescent="0.15"/>
    <row r="10373" s="69" customFormat="1" x14ac:dyDescent="0.15"/>
    <row r="10374" s="69" customFormat="1" x14ac:dyDescent="0.15"/>
    <row r="10375" s="69" customFormat="1" x14ac:dyDescent="0.15"/>
    <row r="10376" s="69" customFormat="1" x14ac:dyDescent="0.15"/>
    <row r="10377" s="69" customFormat="1" x14ac:dyDescent="0.15"/>
    <row r="10378" s="69" customFormat="1" x14ac:dyDescent="0.15"/>
    <row r="10379" s="69" customFormat="1" x14ac:dyDescent="0.15"/>
    <row r="10380" s="69" customFormat="1" x14ac:dyDescent="0.15"/>
    <row r="10381" s="69" customFormat="1" x14ac:dyDescent="0.15"/>
    <row r="10382" s="69" customFormat="1" x14ac:dyDescent="0.15"/>
    <row r="10383" s="69" customFormat="1" x14ac:dyDescent="0.15"/>
    <row r="10384" s="69" customFormat="1" x14ac:dyDescent="0.15"/>
    <row r="10385" s="69" customFormat="1" x14ac:dyDescent="0.15"/>
    <row r="10386" s="69" customFormat="1" x14ac:dyDescent="0.15"/>
    <row r="10387" s="69" customFormat="1" x14ac:dyDescent="0.15"/>
    <row r="10388" s="69" customFormat="1" x14ac:dyDescent="0.15"/>
    <row r="10389" s="69" customFormat="1" x14ac:dyDescent="0.15"/>
    <row r="10390" s="69" customFormat="1" x14ac:dyDescent="0.15"/>
    <row r="10391" s="69" customFormat="1" x14ac:dyDescent="0.15"/>
    <row r="10392" s="69" customFormat="1" x14ac:dyDescent="0.15"/>
    <row r="10393" s="69" customFormat="1" x14ac:dyDescent="0.15"/>
    <row r="10394" s="69" customFormat="1" x14ac:dyDescent="0.15"/>
    <row r="10395" s="69" customFormat="1" x14ac:dyDescent="0.15"/>
    <row r="10396" s="69" customFormat="1" x14ac:dyDescent="0.15"/>
    <row r="10397" s="69" customFormat="1" x14ac:dyDescent="0.15"/>
    <row r="10398" s="69" customFormat="1" x14ac:dyDescent="0.15"/>
    <row r="10399" s="69" customFormat="1" x14ac:dyDescent="0.15"/>
    <row r="10400" s="69" customFormat="1" x14ac:dyDescent="0.15"/>
    <row r="10401" s="69" customFormat="1" x14ac:dyDescent="0.15"/>
    <row r="10402" s="69" customFormat="1" x14ac:dyDescent="0.15"/>
    <row r="10403" s="69" customFormat="1" x14ac:dyDescent="0.15"/>
    <row r="10404" s="69" customFormat="1" x14ac:dyDescent="0.15"/>
    <row r="10405" s="69" customFormat="1" x14ac:dyDescent="0.15"/>
    <row r="10406" s="69" customFormat="1" x14ac:dyDescent="0.15"/>
    <row r="10407" s="69" customFormat="1" x14ac:dyDescent="0.15"/>
    <row r="10408" s="69" customFormat="1" x14ac:dyDescent="0.15"/>
    <row r="10409" s="69" customFormat="1" x14ac:dyDescent="0.15"/>
    <row r="10410" s="69" customFormat="1" x14ac:dyDescent="0.15"/>
    <row r="10411" s="69" customFormat="1" x14ac:dyDescent="0.15"/>
    <row r="10412" s="69" customFormat="1" x14ac:dyDescent="0.15"/>
    <row r="10413" s="69" customFormat="1" x14ac:dyDescent="0.15"/>
    <row r="10414" s="69" customFormat="1" x14ac:dyDescent="0.15"/>
    <row r="10415" s="69" customFormat="1" x14ac:dyDescent="0.15"/>
    <row r="10416" s="69" customFormat="1" x14ac:dyDescent="0.15"/>
    <row r="10417" s="69" customFormat="1" x14ac:dyDescent="0.15"/>
    <row r="10418" s="69" customFormat="1" x14ac:dyDescent="0.15"/>
    <row r="10419" s="69" customFormat="1" x14ac:dyDescent="0.15"/>
    <row r="10420" s="69" customFormat="1" x14ac:dyDescent="0.15"/>
    <row r="10421" s="69" customFormat="1" x14ac:dyDescent="0.15"/>
    <row r="10422" s="69" customFormat="1" x14ac:dyDescent="0.15"/>
    <row r="10423" s="69" customFormat="1" x14ac:dyDescent="0.15"/>
    <row r="10424" s="69" customFormat="1" x14ac:dyDescent="0.15"/>
    <row r="10425" s="69" customFormat="1" x14ac:dyDescent="0.15"/>
    <row r="10426" s="69" customFormat="1" x14ac:dyDescent="0.15"/>
    <row r="10427" s="69" customFormat="1" x14ac:dyDescent="0.15"/>
    <row r="10428" s="69" customFormat="1" x14ac:dyDescent="0.15"/>
    <row r="10429" s="69" customFormat="1" x14ac:dyDescent="0.15"/>
    <row r="10430" s="69" customFormat="1" x14ac:dyDescent="0.15"/>
    <row r="10431" s="69" customFormat="1" x14ac:dyDescent="0.15"/>
    <row r="10432" s="69" customFormat="1" x14ac:dyDescent="0.15"/>
    <row r="10433" s="69" customFormat="1" x14ac:dyDescent="0.15"/>
    <row r="10434" s="69" customFormat="1" x14ac:dyDescent="0.15"/>
    <row r="10435" s="69" customFormat="1" x14ac:dyDescent="0.15"/>
    <row r="10436" s="69" customFormat="1" x14ac:dyDescent="0.15"/>
    <row r="10437" s="69" customFormat="1" x14ac:dyDescent="0.15"/>
    <row r="10438" s="69" customFormat="1" x14ac:dyDescent="0.15"/>
    <row r="10439" s="69" customFormat="1" x14ac:dyDescent="0.15"/>
    <row r="10440" s="69" customFormat="1" x14ac:dyDescent="0.15"/>
    <row r="10441" s="69" customFormat="1" x14ac:dyDescent="0.15"/>
    <row r="10442" s="69" customFormat="1" x14ac:dyDescent="0.15"/>
    <row r="10443" s="69" customFormat="1" x14ac:dyDescent="0.15"/>
    <row r="10444" s="69" customFormat="1" x14ac:dyDescent="0.15"/>
    <row r="10445" s="69" customFormat="1" x14ac:dyDescent="0.15"/>
    <row r="10446" s="69" customFormat="1" x14ac:dyDescent="0.15"/>
    <row r="10447" s="69" customFormat="1" x14ac:dyDescent="0.15"/>
    <row r="10448" s="69" customFormat="1" x14ac:dyDescent="0.15"/>
    <row r="10449" s="69" customFormat="1" x14ac:dyDescent="0.15"/>
    <row r="10450" s="69" customFormat="1" x14ac:dyDescent="0.15"/>
    <row r="10451" s="69" customFormat="1" x14ac:dyDescent="0.15"/>
    <row r="10452" s="69" customFormat="1" x14ac:dyDescent="0.15"/>
    <row r="10453" s="69" customFormat="1" x14ac:dyDescent="0.15"/>
    <row r="10454" s="69" customFormat="1" x14ac:dyDescent="0.15"/>
    <row r="10455" s="69" customFormat="1" x14ac:dyDescent="0.15"/>
    <row r="10456" s="69" customFormat="1" x14ac:dyDescent="0.15"/>
    <row r="10457" s="69" customFormat="1" x14ac:dyDescent="0.15"/>
    <row r="10458" s="69" customFormat="1" x14ac:dyDescent="0.15"/>
    <row r="10459" s="69" customFormat="1" x14ac:dyDescent="0.15"/>
    <row r="10460" s="69" customFormat="1" x14ac:dyDescent="0.15"/>
    <row r="10461" s="69" customFormat="1" x14ac:dyDescent="0.15"/>
    <row r="10462" s="69" customFormat="1" x14ac:dyDescent="0.15"/>
    <row r="10463" s="69" customFormat="1" x14ac:dyDescent="0.15"/>
    <row r="10464" s="69" customFormat="1" x14ac:dyDescent="0.15"/>
    <row r="10465" s="69" customFormat="1" x14ac:dyDescent="0.15"/>
    <row r="10466" s="69" customFormat="1" x14ac:dyDescent="0.15"/>
    <row r="10467" s="69" customFormat="1" x14ac:dyDescent="0.15"/>
    <row r="10468" s="69" customFormat="1" x14ac:dyDescent="0.15"/>
    <row r="10469" s="69" customFormat="1" x14ac:dyDescent="0.15"/>
    <row r="10470" s="69" customFormat="1" x14ac:dyDescent="0.15"/>
    <row r="10471" s="69" customFormat="1" x14ac:dyDescent="0.15"/>
    <row r="10472" s="69" customFormat="1" x14ac:dyDescent="0.15"/>
    <row r="10473" s="69" customFormat="1" x14ac:dyDescent="0.15"/>
    <row r="10474" s="69" customFormat="1" x14ac:dyDescent="0.15"/>
    <row r="10475" s="69" customFormat="1" x14ac:dyDescent="0.15"/>
    <row r="10476" s="69" customFormat="1" x14ac:dyDescent="0.15"/>
    <row r="10477" s="69" customFormat="1" x14ac:dyDescent="0.15"/>
    <row r="10478" s="69" customFormat="1" x14ac:dyDescent="0.15"/>
    <row r="10479" s="69" customFormat="1" x14ac:dyDescent="0.15"/>
    <row r="10480" s="69" customFormat="1" x14ac:dyDescent="0.15"/>
    <row r="10481" s="69" customFormat="1" x14ac:dyDescent="0.15"/>
    <row r="10482" s="69" customFormat="1" x14ac:dyDescent="0.15"/>
    <row r="10483" s="69" customFormat="1" x14ac:dyDescent="0.15"/>
    <row r="10484" s="69" customFormat="1" x14ac:dyDescent="0.15"/>
    <row r="10485" s="69" customFormat="1" x14ac:dyDescent="0.15"/>
    <row r="10486" s="69" customFormat="1" x14ac:dyDescent="0.15"/>
    <row r="10487" s="69" customFormat="1" x14ac:dyDescent="0.15"/>
    <row r="10488" s="69" customFormat="1" x14ac:dyDescent="0.15"/>
    <row r="10489" s="69" customFormat="1" x14ac:dyDescent="0.15"/>
    <row r="10490" s="69" customFormat="1" x14ac:dyDescent="0.15"/>
    <row r="10491" s="69" customFormat="1" x14ac:dyDescent="0.15"/>
    <row r="10492" s="69" customFormat="1" x14ac:dyDescent="0.15"/>
    <row r="10493" s="69" customFormat="1" x14ac:dyDescent="0.15"/>
    <row r="10494" s="69" customFormat="1" x14ac:dyDescent="0.15"/>
    <row r="10495" s="69" customFormat="1" x14ac:dyDescent="0.15"/>
    <row r="10496" s="69" customFormat="1" x14ac:dyDescent="0.15"/>
    <row r="10497" s="69" customFormat="1" x14ac:dyDescent="0.15"/>
    <row r="10498" s="69" customFormat="1" x14ac:dyDescent="0.15"/>
    <row r="10499" s="69" customFormat="1" x14ac:dyDescent="0.15"/>
    <row r="10500" s="69" customFormat="1" x14ac:dyDescent="0.15"/>
    <row r="10501" s="69" customFormat="1" x14ac:dyDescent="0.15"/>
    <row r="10502" s="69" customFormat="1" x14ac:dyDescent="0.15"/>
    <row r="10503" s="69" customFormat="1" x14ac:dyDescent="0.15"/>
    <row r="10504" s="69" customFormat="1" x14ac:dyDescent="0.15"/>
    <row r="10505" s="69" customFormat="1" x14ac:dyDescent="0.15"/>
    <row r="10506" s="69" customFormat="1" x14ac:dyDescent="0.15"/>
    <row r="10507" s="69" customFormat="1" x14ac:dyDescent="0.15"/>
    <row r="10508" s="69" customFormat="1" x14ac:dyDescent="0.15"/>
    <row r="10509" s="69" customFormat="1" x14ac:dyDescent="0.15"/>
    <row r="10510" s="69" customFormat="1" x14ac:dyDescent="0.15"/>
    <row r="10511" s="69" customFormat="1" x14ac:dyDescent="0.15"/>
    <row r="10512" s="69" customFormat="1" x14ac:dyDescent="0.15"/>
    <row r="10513" s="69" customFormat="1" x14ac:dyDescent="0.15"/>
    <row r="10514" s="69" customFormat="1" x14ac:dyDescent="0.15"/>
    <row r="10515" s="69" customFormat="1" x14ac:dyDescent="0.15"/>
    <row r="10516" s="69" customFormat="1" x14ac:dyDescent="0.15"/>
    <row r="10517" s="69" customFormat="1" x14ac:dyDescent="0.15"/>
    <row r="10518" s="69" customFormat="1" x14ac:dyDescent="0.15"/>
    <row r="10519" s="69" customFormat="1" x14ac:dyDescent="0.15"/>
    <row r="10520" s="69" customFormat="1" x14ac:dyDescent="0.15"/>
    <row r="10521" s="69" customFormat="1" x14ac:dyDescent="0.15"/>
    <row r="10522" s="69" customFormat="1" x14ac:dyDescent="0.15"/>
    <row r="10523" s="69" customFormat="1" x14ac:dyDescent="0.15"/>
    <row r="10524" s="69" customFormat="1" x14ac:dyDescent="0.15"/>
    <row r="10525" s="69" customFormat="1" x14ac:dyDescent="0.15"/>
    <row r="10526" s="69" customFormat="1" x14ac:dyDescent="0.15"/>
    <row r="10527" s="69" customFormat="1" x14ac:dyDescent="0.15"/>
    <row r="10528" s="69" customFormat="1" x14ac:dyDescent="0.15"/>
    <row r="10529" s="69" customFormat="1" x14ac:dyDescent="0.15"/>
    <row r="10530" s="69" customFormat="1" x14ac:dyDescent="0.15"/>
    <row r="10531" s="69" customFormat="1" x14ac:dyDescent="0.15"/>
    <row r="10532" s="69" customFormat="1" x14ac:dyDescent="0.15"/>
    <row r="10533" s="69" customFormat="1" x14ac:dyDescent="0.15"/>
    <row r="10534" s="69" customFormat="1" x14ac:dyDescent="0.15"/>
    <row r="10535" s="69" customFormat="1" x14ac:dyDescent="0.15"/>
    <row r="10536" s="69" customFormat="1" x14ac:dyDescent="0.15"/>
    <row r="10537" s="69" customFormat="1" x14ac:dyDescent="0.15"/>
    <row r="10538" s="69" customFormat="1" x14ac:dyDescent="0.15"/>
    <row r="10539" s="69" customFormat="1" x14ac:dyDescent="0.15"/>
    <row r="10540" s="69" customFormat="1" x14ac:dyDescent="0.15"/>
    <row r="10541" s="69" customFormat="1" x14ac:dyDescent="0.15"/>
    <row r="10542" s="69" customFormat="1" x14ac:dyDescent="0.15"/>
    <row r="10543" s="69" customFormat="1" x14ac:dyDescent="0.15"/>
    <row r="10544" s="69" customFormat="1" x14ac:dyDescent="0.15"/>
    <row r="10545" s="69" customFormat="1" x14ac:dyDescent="0.15"/>
    <row r="10546" s="69" customFormat="1" x14ac:dyDescent="0.15"/>
    <row r="10547" s="69" customFormat="1" x14ac:dyDescent="0.15"/>
    <row r="10548" s="69" customFormat="1" x14ac:dyDescent="0.15"/>
    <row r="10549" s="69" customFormat="1" x14ac:dyDescent="0.15"/>
    <row r="10550" s="69" customFormat="1" x14ac:dyDescent="0.15"/>
    <row r="10551" s="69" customFormat="1" x14ac:dyDescent="0.15"/>
    <row r="10552" s="69" customFormat="1" x14ac:dyDescent="0.15"/>
    <row r="10553" s="69" customFormat="1" x14ac:dyDescent="0.15"/>
    <row r="10554" s="69" customFormat="1" x14ac:dyDescent="0.15"/>
    <row r="10555" s="69" customFormat="1" x14ac:dyDescent="0.15"/>
    <row r="10556" s="69" customFormat="1" x14ac:dyDescent="0.15"/>
    <row r="10557" s="69" customFormat="1" x14ac:dyDescent="0.15"/>
    <row r="10558" s="69" customFormat="1" x14ac:dyDescent="0.15"/>
    <row r="10559" s="69" customFormat="1" x14ac:dyDescent="0.15"/>
    <row r="10560" s="69" customFormat="1" x14ac:dyDescent="0.15"/>
    <row r="10561" s="69" customFormat="1" x14ac:dyDescent="0.15"/>
    <row r="10562" s="69" customFormat="1" x14ac:dyDescent="0.15"/>
    <row r="10563" s="69" customFormat="1" x14ac:dyDescent="0.15"/>
    <row r="10564" s="69" customFormat="1" x14ac:dyDescent="0.15"/>
    <row r="10565" s="69" customFormat="1" x14ac:dyDescent="0.15"/>
    <row r="10566" s="69" customFormat="1" x14ac:dyDescent="0.15"/>
    <row r="10567" s="69" customFormat="1" x14ac:dyDescent="0.15"/>
    <row r="10568" s="69" customFormat="1" x14ac:dyDescent="0.15"/>
    <row r="10569" s="69" customFormat="1" x14ac:dyDescent="0.15"/>
    <row r="10570" s="69" customFormat="1" x14ac:dyDescent="0.15"/>
    <row r="10571" s="69" customFormat="1" x14ac:dyDescent="0.15"/>
    <row r="10572" s="69" customFormat="1" x14ac:dyDescent="0.15"/>
    <row r="10573" s="69" customFormat="1" x14ac:dyDescent="0.15"/>
    <row r="10574" s="69" customFormat="1" x14ac:dyDescent="0.15"/>
    <row r="10575" s="69" customFormat="1" x14ac:dyDescent="0.15"/>
    <row r="10576" s="69" customFormat="1" x14ac:dyDescent="0.15"/>
    <row r="10577" s="69" customFormat="1" x14ac:dyDescent="0.15"/>
    <row r="10578" s="69" customFormat="1" x14ac:dyDescent="0.15"/>
    <row r="10579" s="69" customFormat="1" x14ac:dyDescent="0.15"/>
    <row r="10580" s="69" customFormat="1" x14ac:dyDescent="0.15"/>
    <row r="10581" s="69" customFormat="1" x14ac:dyDescent="0.15"/>
    <row r="10582" s="69" customFormat="1" x14ac:dyDescent="0.15"/>
    <row r="10583" s="69" customFormat="1" x14ac:dyDescent="0.15"/>
    <row r="10584" s="69" customFormat="1" x14ac:dyDescent="0.15"/>
    <row r="10585" s="69" customFormat="1" x14ac:dyDescent="0.15"/>
    <row r="10586" s="69" customFormat="1" x14ac:dyDescent="0.15"/>
    <row r="10587" s="69" customFormat="1" x14ac:dyDescent="0.15"/>
    <row r="10588" s="69" customFormat="1" x14ac:dyDescent="0.15"/>
    <row r="10589" s="69" customFormat="1" x14ac:dyDescent="0.15"/>
    <row r="10590" s="69" customFormat="1" x14ac:dyDescent="0.15"/>
    <row r="10591" s="69" customFormat="1" x14ac:dyDescent="0.15"/>
    <row r="10592" s="69" customFormat="1" x14ac:dyDescent="0.15"/>
    <row r="10593" s="69" customFormat="1" x14ac:dyDescent="0.15"/>
    <row r="10594" s="69" customFormat="1" x14ac:dyDescent="0.15"/>
    <row r="10595" s="69" customFormat="1" x14ac:dyDescent="0.15"/>
    <row r="10596" s="69" customFormat="1" x14ac:dyDescent="0.15"/>
    <row r="10597" s="69" customFormat="1" x14ac:dyDescent="0.15"/>
    <row r="10598" s="69" customFormat="1" x14ac:dyDescent="0.15"/>
    <row r="10599" s="69" customFormat="1" x14ac:dyDescent="0.15"/>
    <row r="10600" s="69" customFormat="1" x14ac:dyDescent="0.15"/>
    <row r="10601" s="69" customFormat="1" x14ac:dyDescent="0.15"/>
    <row r="10602" s="69" customFormat="1" x14ac:dyDescent="0.15"/>
    <row r="10603" s="69" customFormat="1" x14ac:dyDescent="0.15"/>
    <row r="10604" s="69" customFormat="1" x14ac:dyDescent="0.15"/>
    <row r="10605" s="69" customFormat="1" x14ac:dyDescent="0.15"/>
    <row r="10606" s="69" customFormat="1" x14ac:dyDescent="0.15"/>
    <row r="10607" s="69" customFormat="1" x14ac:dyDescent="0.15"/>
    <row r="10608" s="69" customFormat="1" x14ac:dyDescent="0.15"/>
    <row r="10609" s="69" customFormat="1" x14ac:dyDescent="0.15"/>
    <row r="10610" s="69" customFormat="1" x14ac:dyDescent="0.15"/>
    <row r="10611" s="69" customFormat="1" x14ac:dyDescent="0.15"/>
    <row r="10612" s="69" customFormat="1" x14ac:dyDescent="0.15"/>
    <row r="10613" s="69" customFormat="1" x14ac:dyDescent="0.15"/>
    <row r="10614" s="69" customFormat="1" x14ac:dyDescent="0.15"/>
    <row r="10615" s="69" customFormat="1" x14ac:dyDescent="0.15"/>
    <row r="10616" s="69" customFormat="1" x14ac:dyDescent="0.15"/>
    <row r="10617" s="69" customFormat="1" x14ac:dyDescent="0.15"/>
    <row r="10618" s="69" customFormat="1" x14ac:dyDescent="0.15"/>
    <row r="10619" s="69" customFormat="1" x14ac:dyDescent="0.15"/>
    <row r="10620" s="69" customFormat="1" x14ac:dyDescent="0.15"/>
    <row r="10621" s="69" customFormat="1" x14ac:dyDescent="0.15"/>
    <row r="10622" s="69" customFormat="1" x14ac:dyDescent="0.15"/>
    <row r="10623" s="69" customFormat="1" x14ac:dyDescent="0.15"/>
    <row r="10624" s="69" customFormat="1" x14ac:dyDescent="0.15"/>
    <row r="10625" s="69" customFormat="1" x14ac:dyDescent="0.15"/>
    <row r="10626" s="69" customFormat="1" x14ac:dyDescent="0.15"/>
    <row r="10627" s="69" customFormat="1" x14ac:dyDescent="0.15"/>
    <row r="10628" s="69" customFormat="1" x14ac:dyDescent="0.15"/>
    <row r="10629" s="69" customFormat="1" x14ac:dyDescent="0.15"/>
    <row r="10630" s="69" customFormat="1" x14ac:dyDescent="0.15"/>
    <row r="10631" s="69" customFormat="1" x14ac:dyDescent="0.15"/>
    <row r="10632" s="69" customFormat="1" x14ac:dyDescent="0.15"/>
    <row r="10633" s="69" customFormat="1" x14ac:dyDescent="0.15"/>
    <row r="10634" s="69" customFormat="1" x14ac:dyDescent="0.15"/>
    <row r="10635" s="69" customFormat="1" x14ac:dyDescent="0.15"/>
    <row r="10636" s="69" customFormat="1" x14ac:dyDescent="0.15"/>
    <row r="10637" s="69" customFormat="1" x14ac:dyDescent="0.15"/>
    <row r="10638" s="69" customFormat="1" x14ac:dyDescent="0.15"/>
    <row r="10639" s="69" customFormat="1" x14ac:dyDescent="0.15"/>
    <row r="10640" s="69" customFormat="1" x14ac:dyDescent="0.15"/>
    <row r="10641" s="69" customFormat="1" x14ac:dyDescent="0.15"/>
    <row r="10642" s="69" customFormat="1" x14ac:dyDescent="0.15"/>
    <row r="10643" s="69" customFormat="1" x14ac:dyDescent="0.15"/>
    <row r="10644" s="69" customFormat="1" x14ac:dyDescent="0.15"/>
    <row r="10645" s="69" customFormat="1" x14ac:dyDescent="0.15"/>
    <row r="10646" s="69" customFormat="1" x14ac:dyDescent="0.15"/>
    <row r="10647" s="69" customFormat="1" x14ac:dyDescent="0.15"/>
    <row r="10648" s="69" customFormat="1" x14ac:dyDescent="0.15"/>
    <row r="10649" s="69" customFormat="1" x14ac:dyDescent="0.15"/>
    <row r="10650" s="69" customFormat="1" x14ac:dyDescent="0.15"/>
    <row r="10651" s="69" customFormat="1" x14ac:dyDescent="0.15"/>
    <row r="10652" s="69" customFormat="1" x14ac:dyDescent="0.15"/>
    <row r="10653" s="69" customFormat="1" x14ac:dyDescent="0.15"/>
    <row r="10654" s="69" customFormat="1" x14ac:dyDescent="0.15"/>
    <row r="10655" s="69" customFormat="1" x14ac:dyDescent="0.15"/>
    <row r="10656" s="69" customFormat="1" x14ac:dyDescent="0.15"/>
    <row r="10657" s="69" customFormat="1" x14ac:dyDescent="0.15"/>
    <row r="10658" s="69" customFormat="1" x14ac:dyDescent="0.15"/>
    <row r="10659" s="69" customFormat="1" x14ac:dyDescent="0.15"/>
    <row r="10660" s="69" customFormat="1" x14ac:dyDescent="0.15"/>
    <row r="10661" s="69" customFormat="1" x14ac:dyDescent="0.15"/>
    <row r="10662" s="69" customFormat="1" x14ac:dyDescent="0.15"/>
    <row r="10663" s="69" customFormat="1" x14ac:dyDescent="0.15"/>
    <row r="10664" s="69" customFormat="1" x14ac:dyDescent="0.15"/>
    <row r="10665" s="69" customFormat="1" x14ac:dyDescent="0.15"/>
    <row r="10666" s="69" customFormat="1" x14ac:dyDescent="0.15"/>
    <row r="10667" s="69" customFormat="1" x14ac:dyDescent="0.15"/>
    <row r="10668" s="69" customFormat="1" x14ac:dyDescent="0.15"/>
    <row r="10669" s="69" customFormat="1" x14ac:dyDescent="0.15"/>
    <row r="10670" s="69" customFormat="1" x14ac:dyDescent="0.15"/>
    <row r="10671" s="69" customFormat="1" x14ac:dyDescent="0.15"/>
    <row r="10672" s="69" customFormat="1" x14ac:dyDescent="0.15"/>
    <row r="10673" s="69" customFormat="1" x14ac:dyDescent="0.15"/>
    <row r="10674" s="69" customFormat="1" x14ac:dyDescent="0.15"/>
    <row r="10675" s="69" customFormat="1" x14ac:dyDescent="0.15"/>
    <row r="10676" s="69" customFormat="1" x14ac:dyDescent="0.15"/>
    <row r="10677" s="69" customFormat="1" x14ac:dyDescent="0.15"/>
    <row r="10678" s="69" customFormat="1" x14ac:dyDescent="0.15"/>
    <row r="10679" s="69" customFormat="1" x14ac:dyDescent="0.15"/>
    <row r="10680" s="69" customFormat="1" x14ac:dyDescent="0.15"/>
    <row r="10681" s="69" customFormat="1" x14ac:dyDescent="0.15"/>
    <row r="10682" s="69" customFormat="1" x14ac:dyDescent="0.15"/>
    <row r="10683" s="69" customFormat="1" x14ac:dyDescent="0.15"/>
    <row r="10684" s="69" customFormat="1" x14ac:dyDescent="0.15"/>
    <row r="10685" s="69" customFormat="1" x14ac:dyDescent="0.15"/>
    <row r="10686" s="69" customFormat="1" x14ac:dyDescent="0.15"/>
    <row r="10687" s="69" customFormat="1" x14ac:dyDescent="0.15"/>
    <row r="10688" s="69" customFormat="1" x14ac:dyDescent="0.15"/>
    <row r="10689" s="69" customFormat="1" x14ac:dyDescent="0.15"/>
    <row r="10690" s="69" customFormat="1" x14ac:dyDescent="0.15"/>
    <row r="10691" s="69" customFormat="1" x14ac:dyDescent="0.15"/>
    <row r="10692" s="69" customFormat="1" x14ac:dyDescent="0.15"/>
    <row r="10693" s="69" customFormat="1" x14ac:dyDescent="0.15"/>
    <row r="10694" s="69" customFormat="1" x14ac:dyDescent="0.15"/>
    <row r="10695" s="69" customFormat="1" x14ac:dyDescent="0.15"/>
    <row r="10696" s="69" customFormat="1" x14ac:dyDescent="0.15"/>
    <row r="10697" s="69" customFormat="1" x14ac:dyDescent="0.15"/>
    <row r="10698" s="69" customFormat="1" x14ac:dyDescent="0.15"/>
    <row r="10699" s="69" customFormat="1" x14ac:dyDescent="0.15"/>
    <row r="10700" s="69" customFormat="1" x14ac:dyDescent="0.15"/>
    <row r="10701" s="69" customFormat="1" x14ac:dyDescent="0.15"/>
    <row r="10702" s="69" customFormat="1" x14ac:dyDescent="0.15"/>
    <row r="10703" s="69" customFormat="1" x14ac:dyDescent="0.15"/>
    <row r="10704" s="69" customFormat="1" x14ac:dyDescent="0.15"/>
    <row r="10705" s="69" customFormat="1" x14ac:dyDescent="0.15"/>
    <row r="10706" s="69" customFormat="1" x14ac:dyDescent="0.15"/>
    <row r="10707" s="69" customFormat="1" x14ac:dyDescent="0.15"/>
    <row r="10708" s="69" customFormat="1" x14ac:dyDescent="0.15"/>
    <row r="10709" s="69" customFormat="1" x14ac:dyDescent="0.15"/>
    <row r="10710" s="69" customFormat="1" x14ac:dyDescent="0.15"/>
    <row r="10711" s="69" customFormat="1" x14ac:dyDescent="0.15"/>
    <row r="10712" s="69" customFormat="1" x14ac:dyDescent="0.15"/>
    <row r="10713" s="69" customFormat="1" x14ac:dyDescent="0.15"/>
    <row r="10714" s="69" customFormat="1" x14ac:dyDescent="0.15"/>
    <row r="10715" s="69" customFormat="1" x14ac:dyDescent="0.15"/>
    <row r="10716" s="69" customFormat="1" x14ac:dyDescent="0.15"/>
    <row r="10717" s="69" customFormat="1" x14ac:dyDescent="0.15"/>
    <row r="10718" s="69" customFormat="1" x14ac:dyDescent="0.15"/>
    <row r="10719" s="69" customFormat="1" x14ac:dyDescent="0.15"/>
    <row r="10720" s="69" customFormat="1" x14ac:dyDescent="0.15"/>
    <row r="10721" s="69" customFormat="1" x14ac:dyDescent="0.15"/>
    <row r="10722" s="69" customFormat="1" x14ac:dyDescent="0.15"/>
    <row r="10723" s="69" customFormat="1" x14ac:dyDescent="0.15"/>
    <row r="10724" s="69" customFormat="1" x14ac:dyDescent="0.15"/>
    <row r="10725" s="69" customFormat="1" x14ac:dyDescent="0.15"/>
    <row r="10726" s="69" customFormat="1" x14ac:dyDescent="0.15"/>
    <row r="10727" s="69" customFormat="1" x14ac:dyDescent="0.15"/>
    <row r="10728" s="69" customFormat="1" x14ac:dyDescent="0.15"/>
    <row r="10729" s="69" customFormat="1" x14ac:dyDescent="0.15"/>
    <row r="10730" s="69" customFormat="1" x14ac:dyDescent="0.15"/>
    <row r="10731" s="69" customFormat="1" x14ac:dyDescent="0.15"/>
    <row r="10732" s="69" customFormat="1" x14ac:dyDescent="0.15"/>
    <row r="10733" s="69" customFormat="1" x14ac:dyDescent="0.15"/>
    <row r="10734" s="69" customFormat="1" x14ac:dyDescent="0.15"/>
    <row r="10735" s="69" customFormat="1" x14ac:dyDescent="0.15"/>
    <row r="10736" s="69" customFormat="1" x14ac:dyDescent="0.15"/>
    <row r="10737" s="69" customFormat="1" x14ac:dyDescent="0.15"/>
    <row r="10738" s="69" customFormat="1" x14ac:dyDescent="0.15"/>
    <row r="10739" s="69" customFormat="1" x14ac:dyDescent="0.15"/>
    <row r="10740" s="69" customFormat="1" x14ac:dyDescent="0.15"/>
    <row r="10741" s="69" customFormat="1" x14ac:dyDescent="0.15"/>
    <row r="10742" s="69" customFormat="1" x14ac:dyDescent="0.15"/>
    <row r="10743" s="69" customFormat="1" x14ac:dyDescent="0.15"/>
    <row r="10744" s="69" customFormat="1" x14ac:dyDescent="0.15"/>
    <row r="10745" s="69" customFormat="1" x14ac:dyDescent="0.15"/>
    <row r="10746" s="69" customFormat="1" x14ac:dyDescent="0.15"/>
    <row r="10747" s="69" customFormat="1" x14ac:dyDescent="0.15"/>
    <row r="10748" s="69" customFormat="1" x14ac:dyDescent="0.15"/>
    <row r="10749" s="69" customFormat="1" x14ac:dyDescent="0.15"/>
    <row r="10750" s="69" customFormat="1" x14ac:dyDescent="0.15"/>
    <row r="10751" s="69" customFormat="1" x14ac:dyDescent="0.15"/>
    <row r="10752" s="69" customFormat="1" x14ac:dyDescent="0.15"/>
    <row r="10753" s="69" customFormat="1" x14ac:dyDescent="0.15"/>
    <row r="10754" s="69" customFormat="1" x14ac:dyDescent="0.15"/>
    <row r="10755" s="69" customFormat="1" x14ac:dyDescent="0.15"/>
    <row r="10756" s="69" customFormat="1" x14ac:dyDescent="0.15"/>
    <row r="10757" s="69" customFormat="1" x14ac:dyDescent="0.15"/>
    <row r="10758" s="69" customFormat="1" x14ac:dyDescent="0.15"/>
    <row r="10759" s="69" customFormat="1" x14ac:dyDescent="0.15"/>
    <row r="10760" s="69" customFormat="1" x14ac:dyDescent="0.15"/>
    <row r="10761" s="69" customFormat="1" x14ac:dyDescent="0.15"/>
    <row r="10762" s="69" customFormat="1" x14ac:dyDescent="0.15"/>
    <row r="10763" s="69" customFormat="1" x14ac:dyDescent="0.15"/>
    <row r="10764" s="69" customFormat="1" x14ac:dyDescent="0.15"/>
    <row r="10765" s="69" customFormat="1" x14ac:dyDescent="0.15"/>
    <row r="10766" s="69" customFormat="1" x14ac:dyDescent="0.15"/>
    <row r="10767" s="69" customFormat="1" x14ac:dyDescent="0.15"/>
    <row r="10768" s="69" customFormat="1" x14ac:dyDescent="0.15"/>
    <row r="10769" s="69" customFormat="1" x14ac:dyDescent="0.15"/>
    <row r="10770" s="69" customFormat="1" x14ac:dyDescent="0.15"/>
    <row r="10771" s="69" customFormat="1" x14ac:dyDescent="0.15"/>
    <row r="10772" s="69" customFormat="1" x14ac:dyDescent="0.15"/>
    <row r="10773" s="69" customFormat="1" x14ac:dyDescent="0.15"/>
    <row r="10774" s="69" customFormat="1" x14ac:dyDescent="0.15"/>
    <row r="10775" s="69" customFormat="1" x14ac:dyDescent="0.15"/>
    <row r="10776" s="69" customFormat="1" x14ac:dyDescent="0.15"/>
    <row r="10777" s="69" customFormat="1" x14ac:dyDescent="0.15"/>
    <row r="10778" s="69" customFormat="1" x14ac:dyDescent="0.15"/>
    <row r="10779" s="69" customFormat="1" x14ac:dyDescent="0.15"/>
    <row r="10780" s="69" customFormat="1" x14ac:dyDescent="0.15"/>
    <row r="10781" s="69" customFormat="1" x14ac:dyDescent="0.15"/>
    <row r="10782" s="69" customFormat="1" x14ac:dyDescent="0.15"/>
    <row r="10783" s="69" customFormat="1" x14ac:dyDescent="0.15"/>
    <row r="10784" s="69" customFormat="1" x14ac:dyDescent="0.15"/>
    <row r="10785" s="69" customFormat="1" x14ac:dyDescent="0.15"/>
    <row r="10786" s="69" customFormat="1" x14ac:dyDescent="0.15"/>
    <row r="10787" s="69" customFormat="1" x14ac:dyDescent="0.15"/>
    <row r="10788" s="69" customFormat="1" x14ac:dyDescent="0.15"/>
    <row r="10789" s="69" customFormat="1" x14ac:dyDescent="0.15"/>
    <row r="10790" s="69" customFormat="1" x14ac:dyDescent="0.15"/>
    <row r="10791" s="69" customFormat="1" x14ac:dyDescent="0.15"/>
    <row r="10792" s="69" customFormat="1" x14ac:dyDescent="0.15"/>
    <row r="10793" s="69" customFormat="1" x14ac:dyDescent="0.15"/>
    <row r="10794" s="69" customFormat="1" x14ac:dyDescent="0.15"/>
    <row r="10795" s="69" customFormat="1" x14ac:dyDescent="0.15"/>
    <row r="10796" s="69" customFormat="1" x14ac:dyDescent="0.15"/>
    <row r="10797" s="69" customFormat="1" x14ac:dyDescent="0.15"/>
    <row r="10798" s="69" customFormat="1" x14ac:dyDescent="0.15"/>
    <row r="10799" s="69" customFormat="1" x14ac:dyDescent="0.15"/>
    <row r="10800" s="69" customFormat="1" x14ac:dyDescent="0.15"/>
    <row r="10801" s="69" customFormat="1" x14ac:dyDescent="0.15"/>
    <row r="10802" s="69" customFormat="1" x14ac:dyDescent="0.15"/>
    <row r="10803" s="69" customFormat="1" x14ac:dyDescent="0.15"/>
    <row r="10804" s="69" customFormat="1" x14ac:dyDescent="0.15"/>
    <row r="10805" s="69" customFormat="1" x14ac:dyDescent="0.15"/>
    <row r="10806" s="69" customFormat="1" x14ac:dyDescent="0.15"/>
    <row r="10807" s="69" customFormat="1" x14ac:dyDescent="0.15"/>
    <row r="10808" s="69" customFormat="1" x14ac:dyDescent="0.15"/>
    <row r="10809" s="69" customFormat="1" x14ac:dyDescent="0.15"/>
    <row r="10810" s="69" customFormat="1" x14ac:dyDescent="0.15"/>
    <row r="10811" s="69" customFormat="1" x14ac:dyDescent="0.15"/>
    <row r="10812" s="69" customFormat="1" x14ac:dyDescent="0.15"/>
    <row r="10813" s="69" customFormat="1" x14ac:dyDescent="0.15"/>
    <row r="10814" s="69" customFormat="1" x14ac:dyDescent="0.15"/>
    <row r="10815" s="69" customFormat="1" x14ac:dyDescent="0.15"/>
    <row r="10816" s="69" customFormat="1" x14ac:dyDescent="0.15"/>
    <row r="10817" s="69" customFormat="1" x14ac:dyDescent="0.15"/>
    <row r="10818" s="69" customFormat="1" x14ac:dyDescent="0.15"/>
    <row r="10819" s="69" customFormat="1" x14ac:dyDescent="0.15"/>
    <row r="10820" s="69" customFormat="1" x14ac:dyDescent="0.15"/>
    <row r="10821" s="69" customFormat="1" x14ac:dyDescent="0.15"/>
    <row r="10822" s="69" customFormat="1" x14ac:dyDescent="0.15"/>
    <row r="10823" s="69" customFormat="1" x14ac:dyDescent="0.15"/>
    <row r="10824" s="69" customFormat="1" x14ac:dyDescent="0.15"/>
    <row r="10825" s="69" customFormat="1" x14ac:dyDescent="0.15"/>
    <row r="10826" s="69" customFormat="1" x14ac:dyDescent="0.15"/>
    <row r="10827" s="69" customFormat="1" x14ac:dyDescent="0.15"/>
    <row r="10828" s="69" customFormat="1" x14ac:dyDescent="0.15"/>
    <row r="10829" s="69" customFormat="1" x14ac:dyDescent="0.15"/>
    <row r="10830" s="69" customFormat="1" x14ac:dyDescent="0.15"/>
    <row r="10831" s="69" customFormat="1" x14ac:dyDescent="0.15"/>
    <row r="10832" s="69" customFormat="1" x14ac:dyDescent="0.15"/>
    <row r="10833" s="69" customFormat="1" x14ac:dyDescent="0.15"/>
    <row r="10834" s="69" customFormat="1" x14ac:dyDescent="0.15"/>
    <row r="10835" s="69" customFormat="1" x14ac:dyDescent="0.15"/>
    <row r="10836" s="69" customFormat="1" x14ac:dyDescent="0.15"/>
    <row r="10837" s="69" customFormat="1" x14ac:dyDescent="0.15"/>
    <row r="10838" s="69" customFormat="1" x14ac:dyDescent="0.15"/>
    <row r="10839" s="69" customFormat="1" x14ac:dyDescent="0.15"/>
    <row r="10840" s="69" customFormat="1" x14ac:dyDescent="0.15"/>
    <row r="10841" s="69" customFormat="1" x14ac:dyDescent="0.15"/>
    <row r="10842" s="69" customFormat="1" x14ac:dyDescent="0.15"/>
    <row r="10843" s="69" customFormat="1" x14ac:dyDescent="0.15"/>
    <row r="10844" s="69" customFormat="1" x14ac:dyDescent="0.15"/>
    <row r="10845" s="69" customFormat="1" x14ac:dyDescent="0.15"/>
    <row r="10846" s="69" customFormat="1" x14ac:dyDescent="0.15"/>
    <row r="10847" s="69" customFormat="1" x14ac:dyDescent="0.15"/>
    <row r="10848" s="69" customFormat="1" x14ac:dyDescent="0.15"/>
    <row r="10849" s="69" customFormat="1" x14ac:dyDescent="0.15"/>
    <row r="10850" s="69" customFormat="1" x14ac:dyDescent="0.15"/>
    <row r="10851" s="69" customFormat="1" x14ac:dyDescent="0.15"/>
    <row r="10852" s="69" customFormat="1" x14ac:dyDescent="0.15"/>
    <row r="10853" s="69" customFormat="1" x14ac:dyDescent="0.15"/>
    <row r="10854" s="69" customFormat="1" x14ac:dyDescent="0.15"/>
    <row r="10855" s="69" customFormat="1" x14ac:dyDescent="0.15"/>
    <row r="10856" s="69" customFormat="1" x14ac:dyDescent="0.15"/>
    <row r="10857" s="69" customFormat="1" x14ac:dyDescent="0.15"/>
    <row r="10858" s="69" customFormat="1" x14ac:dyDescent="0.15"/>
    <row r="10859" s="69" customFormat="1" x14ac:dyDescent="0.15"/>
    <row r="10860" s="69" customFormat="1" x14ac:dyDescent="0.15"/>
    <row r="10861" s="69" customFormat="1" x14ac:dyDescent="0.15"/>
    <row r="10862" s="69" customFormat="1" x14ac:dyDescent="0.15"/>
    <row r="10863" s="69" customFormat="1" x14ac:dyDescent="0.15"/>
    <row r="10864" s="69" customFormat="1" x14ac:dyDescent="0.15"/>
    <row r="10865" s="69" customFormat="1" x14ac:dyDescent="0.15"/>
    <row r="10866" s="69" customFormat="1" x14ac:dyDescent="0.15"/>
    <row r="10867" s="69" customFormat="1" x14ac:dyDescent="0.15"/>
    <row r="10868" s="69" customFormat="1" x14ac:dyDescent="0.15"/>
    <row r="10869" s="69" customFormat="1" x14ac:dyDescent="0.15"/>
    <row r="10870" s="69" customFormat="1" x14ac:dyDescent="0.15"/>
    <row r="10871" s="69" customFormat="1" x14ac:dyDescent="0.15"/>
    <row r="10872" s="69" customFormat="1" x14ac:dyDescent="0.15"/>
    <row r="10873" s="69" customFormat="1" x14ac:dyDescent="0.15"/>
    <row r="10874" s="69" customFormat="1" x14ac:dyDescent="0.15"/>
    <row r="10875" s="69" customFormat="1" x14ac:dyDescent="0.15"/>
    <row r="10876" s="69" customFormat="1" x14ac:dyDescent="0.15"/>
    <row r="10877" s="69" customFormat="1" x14ac:dyDescent="0.15"/>
    <row r="10878" s="69" customFormat="1" x14ac:dyDescent="0.15"/>
    <row r="10879" s="69" customFormat="1" x14ac:dyDescent="0.15"/>
    <row r="10880" s="69" customFormat="1" x14ac:dyDescent="0.15"/>
    <row r="10881" s="69" customFormat="1" x14ac:dyDescent="0.15"/>
    <row r="10882" s="69" customFormat="1" x14ac:dyDescent="0.15"/>
    <row r="10883" s="69" customFormat="1" x14ac:dyDescent="0.15"/>
    <row r="10884" s="69" customFormat="1" x14ac:dyDescent="0.15"/>
    <row r="10885" s="69" customFormat="1" x14ac:dyDescent="0.15"/>
    <row r="10886" s="69" customFormat="1" x14ac:dyDescent="0.15"/>
    <row r="10887" s="69" customFormat="1" x14ac:dyDescent="0.15"/>
    <row r="10888" s="69" customFormat="1" x14ac:dyDescent="0.15"/>
    <row r="10889" s="69" customFormat="1" x14ac:dyDescent="0.15"/>
    <row r="10890" s="69" customFormat="1" x14ac:dyDescent="0.15"/>
    <row r="10891" s="69" customFormat="1" x14ac:dyDescent="0.15"/>
    <row r="10892" s="69" customFormat="1" x14ac:dyDescent="0.15"/>
    <row r="10893" s="69" customFormat="1" x14ac:dyDescent="0.15"/>
    <row r="10894" s="69" customFormat="1" x14ac:dyDescent="0.15"/>
    <row r="10895" s="69" customFormat="1" x14ac:dyDescent="0.15"/>
    <row r="10896" s="69" customFormat="1" x14ac:dyDescent="0.15"/>
    <row r="10897" s="69" customFormat="1" x14ac:dyDescent="0.15"/>
    <row r="10898" s="69" customFormat="1" x14ac:dyDescent="0.15"/>
    <row r="10899" s="69" customFormat="1" x14ac:dyDescent="0.15"/>
    <row r="10900" s="69" customFormat="1" x14ac:dyDescent="0.15"/>
    <row r="10901" s="69" customFormat="1" x14ac:dyDescent="0.15"/>
    <row r="10902" s="69" customFormat="1" x14ac:dyDescent="0.15"/>
    <row r="10903" s="69" customFormat="1" x14ac:dyDescent="0.15"/>
    <row r="10904" s="69" customFormat="1" x14ac:dyDescent="0.15"/>
    <row r="10905" s="69" customFormat="1" x14ac:dyDescent="0.15"/>
    <row r="10906" s="69" customFormat="1" x14ac:dyDescent="0.15"/>
    <row r="10907" s="69" customFormat="1" x14ac:dyDescent="0.15"/>
    <row r="10908" s="69" customFormat="1" x14ac:dyDescent="0.15"/>
    <row r="10909" s="69" customFormat="1" x14ac:dyDescent="0.15"/>
    <row r="10910" s="69" customFormat="1" x14ac:dyDescent="0.15"/>
    <row r="10911" s="69" customFormat="1" x14ac:dyDescent="0.15"/>
    <row r="10912" s="69" customFormat="1" x14ac:dyDescent="0.15"/>
    <row r="10913" s="69" customFormat="1" x14ac:dyDescent="0.15"/>
    <row r="10914" s="69" customFormat="1" x14ac:dyDescent="0.15"/>
    <row r="10915" s="69" customFormat="1" x14ac:dyDescent="0.15"/>
    <row r="10916" s="69" customFormat="1" x14ac:dyDescent="0.15"/>
    <row r="10917" s="69" customFormat="1" x14ac:dyDescent="0.15"/>
    <row r="10918" s="69" customFormat="1" x14ac:dyDescent="0.15"/>
    <row r="10919" s="69" customFormat="1" x14ac:dyDescent="0.15"/>
    <row r="10920" s="69" customFormat="1" x14ac:dyDescent="0.15"/>
    <row r="10921" s="69" customFormat="1" x14ac:dyDescent="0.15"/>
    <row r="10922" s="69" customFormat="1" x14ac:dyDescent="0.15"/>
    <row r="10923" s="69" customFormat="1" x14ac:dyDescent="0.15"/>
    <row r="10924" s="69" customFormat="1" x14ac:dyDescent="0.15"/>
    <row r="10925" s="69" customFormat="1" x14ac:dyDescent="0.15"/>
    <row r="10926" s="69" customFormat="1" x14ac:dyDescent="0.15"/>
    <row r="10927" s="69" customFormat="1" x14ac:dyDescent="0.15"/>
    <row r="10928" s="69" customFormat="1" x14ac:dyDescent="0.15"/>
    <row r="10929" s="69" customFormat="1" x14ac:dyDescent="0.15"/>
    <row r="10930" s="69" customFormat="1" x14ac:dyDescent="0.15"/>
    <row r="10931" s="69" customFormat="1" x14ac:dyDescent="0.15"/>
    <row r="10932" s="69" customFormat="1" x14ac:dyDescent="0.15"/>
    <row r="10933" s="69" customFormat="1" x14ac:dyDescent="0.15"/>
    <row r="10934" s="69" customFormat="1" x14ac:dyDescent="0.15"/>
    <row r="10935" s="69" customFormat="1" x14ac:dyDescent="0.15"/>
    <row r="10936" s="69" customFormat="1" x14ac:dyDescent="0.15"/>
    <row r="10937" s="69" customFormat="1" x14ac:dyDescent="0.15"/>
    <row r="10938" s="69" customFormat="1" x14ac:dyDescent="0.15"/>
    <row r="10939" s="69" customFormat="1" x14ac:dyDescent="0.15"/>
    <row r="10940" s="69" customFormat="1" x14ac:dyDescent="0.15"/>
    <row r="10941" s="69" customFormat="1" x14ac:dyDescent="0.15"/>
    <row r="10942" s="69" customFormat="1" x14ac:dyDescent="0.15"/>
    <row r="10943" s="69" customFormat="1" x14ac:dyDescent="0.15"/>
    <row r="10944" s="69" customFormat="1" x14ac:dyDescent="0.15"/>
    <row r="10945" s="69" customFormat="1" x14ac:dyDescent="0.15"/>
    <row r="10946" s="69" customFormat="1" x14ac:dyDescent="0.15"/>
    <row r="10947" s="69" customFormat="1" x14ac:dyDescent="0.15"/>
    <row r="10948" s="69" customFormat="1" x14ac:dyDescent="0.15"/>
    <row r="10949" s="69" customFormat="1" x14ac:dyDescent="0.15"/>
    <row r="10950" s="69" customFormat="1" x14ac:dyDescent="0.15"/>
    <row r="10951" s="69" customFormat="1" x14ac:dyDescent="0.15"/>
    <row r="10952" s="69" customFormat="1" x14ac:dyDescent="0.15"/>
    <row r="10953" s="69" customFormat="1" x14ac:dyDescent="0.15"/>
    <row r="10954" s="69" customFormat="1" x14ac:dyDescent="0.15"/>
    <row r="10955" s="69" customFormat="1" x14ac:dyDescent="0.15"/>
    <row r="10956" s="69" customFormat="1" x14ac:dyDescent="0.15"/>
    <row r="10957" s="69" customFormat="1" x14ac:dyDescent="0.15"/>
    <row r="10958" s="69" customFormat="1" x14ac:dyDescent="0.15"/>
    <row r="10959" s="69" customFormat="1" x14ac:dyDescent="0.15"/>
    <row r="10960" s="69" customFormat="1" x14ac:dyDescent="0.15"/>
    <row r="10961" s="69" customFormat="1" x14ac:dyDescent="0.15"/>
    <row r="10962" s="69" customFormat="1" x14ac:dyDescent="0.15"/>
    <row r="10963" s="69" customFormat="1" x14ac:dyDescent="0.15"/>
    <row r="10964" s="69" customFormat="1" x14ac:dyDescent="0.15"/>
    <row r="10965" s="69" customFormat="1" x14ac:dyDescent="0.15"/>
    <row r="10966" s="69" customFormat="1" x14ac:dyDescent="0.15"/>
    <row r="10967" s="69" customFormat="1" x14ac:dyDescent="0.15"/>
    <row r="10968" s="69" customFormat="1" x14ac:dyDescent="0.15"/>
    <row r="10969" s="69" customFormat="1" x14ac:dyDescent="0.15"/>
    <row r="10970" s="69" customFormat="1" x14ac:dyDescent="0.15"/>
    <row r="10971" s="69" customFormat="1" x14ac:dyDescent="0.15"/>
    <row r="10972" s="69" customFormat="1" x14ac:dyDescent="0.15"/>
    <row r="10973" s="69" customFormat="1" x14ac:dyDescent="0.15"/>
    <row r="10974" s="69" customFormat="1" x14ac:dyDescent="0.15"/>
    <row r="10975" s="69" customFormat="1" x14ac:dyDescent="0.15"/>
    <row r="10976" s="69" customFormat="1" x14ac:dyDescent="0.15"/>
    <row r="10977" s="69" customFormat="1" x14ac:dyDescent="0.15"/>
    <row r="10978" s="69" customFormat="1" x14ac:dyDescent="0.15"/>
    <row r="10979" s="69" customFormat="1" x14ac:dyDescent="0.15"/>
    <row r="10980" s="69" customFormat="1" x14ac:dyDescent="0.15"/>
    <row r="10981" s="69" customFormat="1" x14ac:dyDescent="0.15"/>
    <row r="10982" s="69" customFormat="1" x14ac:dyDescent="0.15"/>
    <row r="10983" s="69" customFormat="1" x14ac:dyDescent="0.15"/>
    <row r="10984" s="69" customFormat="1" x14ac:dyDescent="0.15"/>
    <row r="10985" s="69" customFormat="1" x14ac:dyDescent="0.15"/>
    <row r="10986" s="69" customFormat="1" x14ac:dyDescent="0.15"/>
    <row r="10987" s="69" customFormat="1" x14ac:dyDescent="0.15"/>
    <row r="10988" s="69" customFormat="1" x14ac:dyDescent="0.15"/>
    <row r="10989" s="69" customFormat="1" x14ac:dyDescent="0.15"/>
    <row r="10990" s="69" customFormat="1" x14ac:dyDescent="0.15"/>
    <row r="10991" s="69" customFormat="1" x14ac:dyDescent="0.15"/>
    <row r="10992" s="69" customFormat="1" x14ac:dyDescent="0.15"/>
    <row r="10993" s="69" customFormat="1" x14ac:dyDescent="0.15"/>
    <row r="10994" s="69" customFormat="1" x14ac:dyDescent="0.15"/>
    <row r="10995" s="69" customFormat="1" x14ac:dyDescent="0.15"/>
    <row r="10996" s="69" customFormat="1" x14ac:dyDescent="0.15"/>
    <row r="10997" s="69" customFormat="1" x14ac:dyDescent="0.15"/>
    <row r="10998" s="69" customFormat="1" x14ac:dyDescent="0.15"/>
    <row r="10999" s="69" customFormat="1" x14ac:dyDescent="0.15"/>
    <row r="11000" s="69" customFormat="1" x14ac:dyDescent="0.15"/>
    <row r="11001" s="69" customFormat="1" x14ac:dyDescent="0.15"/>
    <row r="11002" s="69" customFormat="1" x14ac:dyDescent="0.15"/>
    <row r="11003" s="69" customFormat="1" x14ac:dyDescent="0.15"/>
    <row r="11004" s="69" customFormat="1" x14ac:dyDescent="0.15"/>
    <row r="11005" s="69" customFormat="1" x14ac:dyDescent="0.15"/>
    <row r="11006" s="69" customFormat="1" x14ac:dyDescent="0.15"/>
    <row r="11007" s="69" customFormat="1" x14ac:dyDescent="0.15"/>
    <row r="11008" s="69" customFormat="1" x14ac:dyDescent="0.15"/>
    <row r="11009" s="69" customFormat="1" x14ac:dyDescent="0.15"/>
    <row r="11010" s="69" customFormat="1" x14ac:dyDescent="0.15"/>
    <row r="11011" s="69" customFormat="1" x14ac:dyDescent="0.15"/>
    <row r="11012" s="69" customFormat="1" x14ac:dyDescent="0.15"/>
    <row r="11013" s="69" customFormat="1" x14ac:dyDescent="0.15"/>
    <row r="11014" s="69" customFormat="1" x14ac:dyDescent="0.15"/>
    <row r="11015" s="69" customFormat="1" x14ac:dyDescent="0.15"/>
    <row r="11016" s="69" customFormat="1" x14ac:dyDescent="0.15"/>
    <row r="11017" s="69" customFormat="1" x14ac:dyDescent="0.15"/>
    <row r="11018" s="69" customFormat="1" x14ac:dyDescent="0.15"/>
    <row r="11019" s="69" customFormat="1" x14ac:dyDescent="0.15"/>
    <row r="11020" s="69" customFormat="1" x14ac:dyDescent="0.15"/>
    <row r="11021" s="69" customFormat="1" x14ac:dyDescent="0.15"/>
    <row r="11022" s="69" customFormat="1" x14ac:dyDescent="0.15"/>
    <row r="11023" s="69" customFormat="1" x14ac:dyDescent="0.15"/>
    <row r="11024" s="69" customFormat="1" x14ac:dyDescent="0.15"/>
    <row r="11025" s="69" customFormat="1" x14ac:dyDescent="0.15"/>
    <row r="11026" s="69" customFormat="1" x14ac:dyDescent="0.15"/>
    <row r="11027" s="69" customFormat="1" x14ac:dyDescent="0.15"/>
    <row r="11028" s="69" customFormat="1" x14ac:dyDescent="0.15"/>
    <row r="11029" s="69" customFormat="1" x14ac:dyDescent="0.15"/>
    <row r="11030" s="69" customFormat="1" x14ac:dyDescent="0.15"/>
    <row r="11031" s="69" customFormat="1" x14ac:dyDescent="0.15"/>
    <row r="11032" s="69" customFormat="1" x14ac:dyDescent="0.15"/>
    <row r="11033" s="69" customFormat="1" x14ac:dyDescent="0.15"/>
    <row r="11034" s="69" customFormat="1" x14ac:dyDescent="0.15"/>
    <row r="11035" s="69" customFormat="1" x14ac:dyDescent="0.15"/>
    <row r="11036" s="69" customFormat="1" x14ac:dyDescent="0.15"/>
    <row r="11037" s="69" customFormat="1" x14ac:dyDescent="0.15"/>
    <row r="11038" s="69" customFormat="1" x14ac:dyDescent="0.15"/>
    <row r="11039" s="69" customFormat="1" x14ac:dyDescent="0.15"/>
    <row r="11040" s="69" customFormat="1" x14ac:dyDescent="0.15"/>
    <row r="11041" s="69" customFormat="1" x14ac:dyDescent="0.15"/>
    <row r="11042" s="69" customFormat="1" x14ac:dyDescent="0.15"/>
    <row r="11043" s="69" customFormat="1" x14ac:dyDescent="0.15"/>
    <row r="11044" s="69" customFormat="1" x14ac:dyDescent="0.15"/>
    <row r="11045" s="69" customFormat="1" x14ac:dyDescent="0.15"/>
    <row r="11046" s="69" customFormat="1" x14ac:dyDescent="0.15"/>
    <row r="11047" s="69" customFormat="1" x14ac:dyDescent="0.15"/>
    <row r="11048" s="69" customFormat="1" x14ac:dyDescent="0.15"/>
    <row r="11049" s="69" customFormat="1" x14ac:dyDescent="0.15"/>
    <row r="11050" s="69" customFormat="1" x14ac:dyDescent="0.15"/>
    <row r="11051" s="69" customFormat="1" x14ac:dyDescent="0.15"/>
    <row r="11052" s="69" customFormat="1" x14ac:dyDescent="0.15"/>
    <row r="11053" s="69" customFormat="1" x14ac:dyDescent="0.15"/>
    <row r="11054" s="69" customFormat="1" x14ac:dyDescent="0.15"/>
    <row r="11055" s="69" customFormat="1" x14ac:dyDescent="0.15"/>
    <row r="11056" s="69" customFormat="1" x14ac:dyDescent="0.15"/>
    <row r="11057" s="69" customFormat="1" x14ac:dyDescent="0.15"/>
    <row r="11058" s="69" customFormat="1" x14ac:dyDescent="0.15"/>
    <row r="11059" s="69" customFormat="1" x14ac:dyDescent="0.15"/>
    <row r="11060" s="69" customFormat="1" x14ac:dyDescent="0.15"/>
    <row r="11061" s="69" customFormat="1" x14ac:dyDescent="0.15"/>
    <row r="11062" s="69" customFormat="1" x14ac:dyDescent="0.15"/>
    <row r="11063" s="69" customFormat="1" x14ac:dyDescent="0.15"/>
    <row r="11064" s="69" customFormat="1" x14ac:dyDescent="0.15"/>
    <row r="11065" s="69" customFormat="1" x14ac:dyDescent="0.15"/>
    <row r="11066" s="69" customFormat="1" x14ac:dyDescent="0.15"/>
    <row r="11067" s="69" customFormat="1" x14ac:dyDescent="0.15"/>
    <row r="11068" s="69" customFormat="1" x14ac:dyDescent="0.15"/>
    <row r="11069" s="69" customFormat="1" x14ac:dyDescent="0.15"/>
    <row r="11070" s="69" customFormat="1" x14ac:dyDescent="0.15"/>
    <row r="11071" s="69" customFormat="1" x14ac:dyDescent="0.15"/>
    <row r="11072" s="69" customFormat="1" x14ac:dyDescent="0.15"/>
    <row r="11073" s="69" customFormat="1" x14ac:dyDescent="0.15"/>
    <row r="11074" s="69" customFormat="1" x14ac:dyDescent="0.15"/>
    <row r="11075" s="69" customFormat="1" x14ac:dyDescent="0.15"/>
    <row r="11076" s="69" customFormat="1" x14ac:dyDescent="0.15"/>
    <row r="11077" s="69" customFormat="1" x14ac:dyDescent="0.15"/>
    <row r="11078" s="69" customFormat="1" x14ac:dyDescent="0.15"/>
    <row r="11079" s="69" customFormat="1" x14ac:dyDescent="0.15"/>
    <row r="11080" s="69" customFormat="1" x14ac:dyDescent="0.15"/>
    <row r="11081" s="69" customFormat="1" x14ac:dyDescent="0.15"/>
    <row r="11082" s="69" customFormat="1" x14ac:dyDescent="0.15"/>
    <row r="11083" s="69" customFormat="1" x14ac:dyDescent="0.15"/>
    <row r="11084" s="69" customFormat="1" x14ac:dyDescent="0.15"/>
    <row r="11085" s="69" customFormat="1" x14ac:dyDescent="0.15"/>
    <row r="11086" s="69" customFormat="1" x14ac:dyDescent="0.15"/>
    <row r="11087" s="69" customFormat="1" x14ac:dyDescent="0.15"/>
    <row r="11088" s="69" customFormat="1" x14ac:dyDescent="0.15"/>
    <row r="11089" s="69" customFormat="1" x14ac:dyDescent="0.15"/>
    <row r="11090" s="69" customFormat="1" x14ac:dyDescent="0.15"/>
    <row r="11091" s="69" customFormat="1" x14ac:dyDescent="0.15"/>
    <row r="11092" s="69" customFormat="1" x14ac:dyDescent="0.15"/>
    <row r="11093" s="69" customFormat="1" x14ac:dyDescent="0.15"/>
    <row r="11094" s="69" customFormat="1" x14ac:dyDescent="0.15"/>
    <row r="11095" s="69" customFormat="1" x14ac:dyDescent="0.15"/>
    <row r="11096" s="69" customFormat="1" x14ac:dyDescent="0.15"/>
    <row r="11097" s="69" customFormat="1" x14ac:dyDescent="0.15"/>
    <row r="11098" s="69" customFormat="1" x14ac:dyDescent="0.15"/>
    <row r="11099" s="69" customFormat="1" x14ac:dyDescent="0.15"/>
    <row r="11100" s="69" customFormat="1" x14ac:dyDescent="0.15"/>
    <row r="11101" s="69" customFormat="1" x14ac:dyDescent="0.15"/>
    <row r="11102" s="69" customFormat="1" x14ac:dyDescent="0.15"/>
    <row r="11103" s="69" customFormat="1" x14ac:dyDescent="0.15"/>
    <row r="11104" s="69" customFormat="1" x14ac:dyDescent="0.15"/>
    <row r="11105" s="69" customFormat="1" x14ac:dyDescent="0.15"/>
    <row r="11106" s="69" customFormat="1" x14ac:dyDescent="0.15"/>
    <row r="11107" s="69" customFormat="1" x14ac:dyDescent="0.15"/>
    <row r="11108" s="69" customFormat="1" x14ac:dyDescent="0.15"/>
    <row r="11109" s="69" customFormat="1" x14ac:dyDescent="0.15"/>
    <row r="11110" s="69" customFormat="1" x14ac:dyDescent="0.15"/>
    <row r="11111" s="69" customFormat="1" x14ac:dyDescent="0.15"/>
    <row r="11112" s="69" customFormat="1" x14ac:dyDescent="0.15"/>
    <row r="11113" s="69" customFormat="1" x14ac:dyDescent="0.15"/>
    <row r="11114" s="69" customFormat="1" x14ac:dyDescent="0.15"/>
    <row r="11115" s="69" customFormat="1" x14ac:dyDescent="0.15"/>
    <row r="11116" s="69" customFormat="1" x14ac:dyDescent="0.15"/>
    <row r="11117" s="69" customFormat="1" x14ac:dyDescent="0.15"/>
    <row r="11118" s="69" customFormat="1" x14ac:dyDescent="0.15"/>
    <row r="11119" s="69" customFormat="1" x14ac:dyDescent="0.15"/>
    <row r="11120" s="69" customFormat="1" x14ac:dyDescent="0.15"/>
    <row r="11121" s="69" customFormat="1" x14ac:dyDescent="0.15"/>
    <row r="11122" s="69" customFormat="1" x14ac:dyDescent="0.15"/>
    <row r="11123" s="69" customFormat="1" x14ac:dyDescent="0.15"/>
    <row r="11124" s="69" customFormat="1" x14ac:dyDescent="0.15"/>
    <row r="11125" s="69" customFormat="1" x14ac:dyDescent="0.15"/>
    <row r="11126" s="69" customFormat="1" x14ac:dyDescent="0.15"/>
    <row r="11127" s="69" customFormat="1" x14ac:dyDescent="0.15"/>
    <row r="11128" s="69" customFormat="1" x14ac:dyDescent="0.15"/>
    <row r="11129" s="69" customFormat="1" x14ac:dyDescent="0.15"/>
    <row r="11130" s="69" customFormat="1" x14ac:dyDescent="0.15"/>
    <row r="11131" s="69" customFormat="1" x14ac:dyDescent="0.15"/>
    <row r="11132" s="69" customFormat="1" x14ac:dyDescent="0.15"/>
    <row r="11133" s="69" customFormat="1" x14ac:dyDescent="0.15"/>
    <row r="11134" s="69" customFormat="1" x14ac:dyDescent="0.15"/>
    <row r="11135" s="69" customFormat="1" x14ac:dyDescent="0.15"/>
    <row r="11136" s="69" customFormat="1" x14ac:dyDescent="0.15"/>
    <row r="11137" s="69" customFormat="1" x14ac:dyDescent="0.15"/>
    <row r="11138" s="69" customFormat="1" x14ac:dyDescent="0.15"/>
    <row r="11139" s="69" customFormat="1" x14ac:dyDescent="0.15"/>
    <row r="11140" s="69" customFormat="1" x14ac:dyDescent="0.15"/>
    <row r="11141" s="69" customFormat="1" x14ac:dyDescent="0.15"/>
    <row r="11142" s="69" customFormat="1" x14ac:dyDescent="0.15"/>
    <row r="11143" s="69" customFormat="1" x14ac:dyDescent="0.15"/>
    <row r="11144" s="69" customFormat="1" x14ac:dyDescent="0.15"/>
    <row r="11145" s="69" customFormat="1" x14ac:dyDescent="0.15"/>
    <row r="11146" s="69" customFormat="1" x14ac:dyDescent="0.15"/>
    <row r="11147" s="69" customFormat="1" x14ac:dyDescent="0.15"/>
    <row r="11148" s="69" customFormat="1" x14ac:dyDescent="0.15"/>
    <row r="11149" s="69" customFormat="1" x14ac:dyDescent="0.15"/>
    <row r="11150" s="69" customFormat="1" x14ac:dyDescent="0.15"/>
    <row r="11151" s="69" customFormat="1" x14ac:dyDescent="0.15"/>
    <row r="11152" s="69" customFormat="1" x14ac:dyDescent="0.15"/>
    <row r="11153" s="69" customFormat="1" x14ac:dyDescent="0.15"/>
    <row r="11154" s="69" customFormat="1" x14ac:dyDescent="0.15"/>
    <row r="11155" s="69" customFormat="1" x14ac:dyDescent="0.15"/>
    <row r="11156" s="69" customFormat="1" x14ac:dyDescent="0.15"/>
    <row r="11157" s="69" customFormat="1" x14ac:dyDescent="0.15"/>
    <row r="11158" s="69" customFormat="1" x14ac:dyDescent="0.15"/>
    <row r="11159" s="69" customFormat="1" x14ac:dyDescent="0.15"/>
    <row r="11160" s="69" customFormat="1" x14ac:dyDescent="0.15"/>
    <row r="11161" s="69" customFormat="1" x14ac:dyDescent="0.15"/>
    <row r="11162" s="69" customFormat="1" x14ac:dyDescent="0.15"/>
    <row r="11163" s="69" customFormat="1" x14ac:dyDescent="0.15"/>
    <row r="11164" s="69" customFormat="1" x14ac:dyDescent="0.15"/>
    <row r="11165" s="69" customFormat="1" x14ac:dyDescent="0.15"/>
    <row r="11166" s="69" customFormat="1" x14ac:dyDescent="0.15"/>
    <row r="11167" s="69" customFormat="1" x14ac:dyDescent="0.15"/>
    <row r="11168" s="69" customFormat="1" x14ac:dyDescent="0.15"/>
    <row r="11169" s="69" customFormat="1" x14ac:dyDescent="0.15"/>
    <row r="11170" s="69" customFormat="1" x14ac:dyDescent="0.15"/>
    <row r="11171" s="69" customFormat="1" x14ac:dyDescent="0.15"/>
    <row r="11172" s="69" customFormat="1" x14ac:dyDescent="0.15"/>
    <row r="11173" s="69" customFormat="1" x14ac:dyDescent="0.15"/>
    <row r="11174" s="69" customFormat="1" x14ac:dyDescent="0.15"/>
    <row r="11175" s="69" customFormat="1" x14ac:dyDescent="0.15"/>
    <row r="11176" s="69" customFormat="1" x14ac:dyDescent="0.15"/>
    <row r="11177" s="69" customFormat="1" x14ac:dyDescent="0.15"/>
    <row r="11178" s="69" customFormat="1" x14ac:dyDescent="0.15"/>
    <row r="11179" s="69" customFormat="1" x14ac:dyDescent="0.15"/>
    <row r="11180" s="69" customFormat="1" x14ac:dyDescent="0.15"/>
    <row r="11181" s="69" customFormat="1" x14ac:dyDescent="0.15"/>
    <row r="11182" s="69" customFormat="1" x14ac:dyDescent="0.15"/>
    <row r="11183" s="69" customFormat="1" x14ac:dyDescent="0.15"/>
    <row r="11184" s="69" customFormat="1" x14ac:dyDescent="0.15"/>
    <row r="11185" s="69" customFormat="1" x14ac:dyDescent="0.15"/>
    <row r="11186" s="69" customFormat="1" x14ac:dyDescent="0.15"/>
    <row r="11187" s="69" customFormat="1" x14ac:dyDescent="0.15"/>
    <row r="11188" s="69" customFormat="1" x14ac:dyDescent="0.15"/>
    <row r="11189" s="69" customFormat="1" x14ac:dyDescent="0.15"/>
    <row r="11190" s="69" customFormat="1" x14ac:dyDescent="0.15"/>
    <row r="11191" s="69" customFormat="1" x14ac:dyDescent="0.15"/>
    <row r="11192" s="69" customFormat="1" x14ac:dyDescent="0.15"/>
    <row r="11193" s="69" customFormat="1" x14ac:dyDescent="0.15"/>
    <row r="11194" s="69" customFormat="1" x14ac:dyDescent="0.15"/>
    <row r="11195" s="69" customFormat="1" x14ac:dyDescent="0.15"/>
    <row r="11196" s="69" customFormat="1" x14ac:dyDescent="0.15"/>
    <row r="11197" s="69" customFormat="1" x14ac:dyDescent="0.15"/>
    <row r="11198" s="69" customFormat="1" x14ac:dyDescent="0.15"/>
    <row r="11199" s="69" customFormat="1" x14ac:dyDescent="0.15"/>
    <row r="11200" s="69" customFormat="1" x14ac:dyDescent="0.15"/>
    <row r="11201" s="69" customFormat="1" x14ac:dyDescent="0.15"/>
    <row r="11202" s="69" customFormat="1" x14ac:dyDescent="0.15"/>
    <row r="11203" s="69" customFormat="1" x14ac:dyDescent="0.15"/>
    <row r="11204" s="69" customFormat="1" x14ac:dyDescent="0.15"/>
    <row r="11205" s="69" customFormat="1" x14ac:dyDescent="0.15"/>
    <row r="11206" s="69" customFormat="1" x14ac:dyDescent="0.15"/>
    <row r="11207" s="69" customFormat="1" x14ac:dyDescent="0.15"/>
    <row r="11208" s="69" customFormat="1" x14ac:dyDescent="0.15"/>
    <row r="11209" s="69" customFormat="1" x14ac:dyDescent="0.15"/>
    <row r="11210" s="69" customFormat="1" x14ac:dyDescent="0.15"/>
    <row r="11211" s="69" customFormat="1" x14ac:dyDescent="0.15"/>
    <row r="11212" s="69" customFormat="1" x14ac:dyDescent="0.15"/>
    <row r="11213" s="69" customFormat="1" x14ac:dyDescent="0.15"/>
    <row r="11214" s="69" customFormat="1" x14ac:dyDescent="0.15"/>
    <row r="11215" s="69" customFormat="1" x14ac:dyDescent="0.15"/>
    <row r="11216" s="69" customFormat="1" x14ac:dyDescent="0.15"/>
    <row r="11217" s="69" customFormat="1" x14ac:dyDescent="0.15"/>
    <row r="11218" s="69" customFormat="1" x14ac:dyDescent="0.15"/>
    <row r="11219" s="69" customFormat="1" x14ac:dyDescent="0.15"/>
    <row r="11220" s="69" customFormat="1" x14ac:dyDescent="0.15"/>
    <row r="11221" s="69" customFormat="1" x14ac:dyDescent="0.15"/>
    <row r="11222" s="69" customFormat="1" x14ac:dyDescent="0.15"/>
    <row r="11223" s="69" customFormat="1" x14ac:dyDescent="0.15"/>
    <row r="11224" s="69" customFormat="1" x14ac:dyDescent="0.15"/>
    <row r="11225" s="69" customFormat="1" x14ac:dyDescent="0.15"/>
    <row r="11226" s="69" customFormat="1" x14ac:dyDescent="0.15"/>
    <row r="11227" s="69" customFormat="1" x14ac:dyDescent="0.15"/>
    <row r="11228" s="69" customFormat="1" x14ac:dyDescent="0.15"/>
    <row r="11229" s="69" customFormat="1" x14ac:dyDescent="0.15"/>
    <row r="11230" s="69" customFormat="1" x14ac:dyDescent="0.15"/>
    <row r="11231" s="69" customFormat="1" x14ac:dyDescent="0.15"/>
    <row r="11232" s="69" customFormat="1" x14ac:dyDescent="0.15"/>
    <row r="11233" s="69" customFormat="1" x14ac:dyDescent="0.15"/>
    <row r="11234" s="69" customFormat="1" x14ac:dyDescent="0.15"/>
    <row r="11235" s="69" customFormat="1" x14ac:dyDescent="0.15"/>
    <row r="11236" s="69" customFormat="1" x14ac:dyDescent="0.15"/>
    <row r="11237" s="69" customFormat="1" x14ac:dyDescent="0.15"/>
    <row r="11238" s="69" customFormat="1" x14ac:dyDescent="0.15"/>
    <row r="11239" s="69" customFormat="1" x14ac:dyDescent="0.15"/>
    <row r="11240" s="69" customFormat="1" x14ac:dyDescent="0.15"/>
    <row r="11241" s="69" customFormat="1" x14ac:dyDescent="0.15"/>
    <row r="11242" s="69" customFormat="1" x14ac:dyDescent="0.15"/>
    <row r="11243" s="69" customFormat="1" x14ac:dyDescent="0.15"/>
    <row r="11244" s="69" customFormat="1" x14ac:dyDescent="0.15"/>
    <row r="11245" s="69" customFormat="1" x14ac:dyDescent="0.15"/>
    <row r="11246" s="69" customFormat="1" x14ac:dyDescent="0.15"/>
    <row r="11247" s="69" customFormat="1" x14ac:dyDescent="0.15"/>
    <row r="11248" s="69" customFormat="1" x14ac:dyDescent="0.15"/>
    <row r="11249" s="69" customFormat="1" x14ac:dyDescent="0.15"/>
    <row r="11250" s="69" customFormat="1" x14ac:dyDescent="0.15"/>
    <row r="11251" s="69" customFormat="1" x14ac:dyDescent="0.15"/>
    <row r="11252" s="69" customFormat="1" x14ac:dyDescent="0.15"/>
    <row r="11253" s="69" customFormat="1" x14ac:dyDescent="0.15"/>
    <row r="11254" s="69" customFormat="1" x14ac:dyDescent="0.15"/>
    <row r="11255" s="69" customFormat="1" x14ac:dyDescent="0.15"/>
    <row r="11256" s="69" customFormat="1" x14ac:dyDescent="0.15"/>
    <row r="11257" s="69" customFormat="1" x14ac:dyDescent="0.15"/>
    <row r="11258" s="69" customFormat="1" x14ac:dyDescent="0.15"/>
    <row r="11259" s="69" customFormat="1" x14ac:dyDescent="0.15"/>
    <row r="11260" s="69" customFormat="1" x14ac:dyDescent="0.15"/>
    <row r="11261" s="69" customFormat="1" x14ac:dyDescent="0.15"/>
    <row r="11262" s="69" customFormat="1" x14ac:dyDescent="0.15"/>
    <row r="11263" s="69" customFormat="1" x14ac:dyDescent="0.15"/>
    <row r="11264" s="69" customFormat="1" x14ac:dyDescent="0.15"/>
    <row r="11265" s="69" customFormat="1" x14ac:dyDescent="0.15"/>
    <row r="11266" s="69" customFormat="1" x14ac:dyDescent="0.15"/>
    <row r="11267" s="69" customFormat="1" x14ac:dyDescent="0.15"/>
    <row r="11268" s="69" customFormat="1" x14ac:dyDescent="0.15"/>
    <row r="11269" s="69" customFormat="1" x14ac:dyDescent="0.15"/>
    <row r="11270" s="69" customFormat="1" x14ac:dyDescent="0.15"/>
    <row r="11271" s="69" customFormat="1" x14ac:dyDescent="0.15"/>
    <row r="11272" s="69" customFormat="1" x14ac:dyDescent="0.15"/>
    <row r="11273" s="69" customFormat="1" x14ac:dyDescent="0.15"/>
    <row r="11274" s="69" customFormat="1" x14ac:dyDescent="0.15"/>
    <row r="11275" s="69" customFormat="1" x14ac:dyDescent="0.15"/>
    <row r="11276" s="69" customFormat="1" x14ac:dyDescent="0.15"/>
    <row r="11277" s="69" customFormat="1" x14ac:dyDescent="0.15"/>
    <row r="11278" s="69" customFormat="1" x14ac:dyDescent="0.15"/>
    <row r="11279" s="69" customFormat="1" x14ac:dyDescent="0.15"/>
    <row r="11280" s="69" customFormat="1" x14ac:dyDescent="0.15"/>
    <row r="11281" s="69" customFormat="1" x14ac:dyDescent="0.15"/>
    <row r="11282" s="69" customFormat="1" x14ac:dyDescent="0.15"/>
    <row r="11283" s="69" customFormat="1" x14ac:dyDescent="0.15"/>
    <row r="11284" s="69" customFormat="1" x14ac:dyDescent="0.15"/>
    <row r="11285" s="69" customFormat="1" x14ac:dyDescent="0.15"/>
    <row r="11286" s="69" customFormat="1" x14ac:dyDescent="0.15"/>
    <row r="11287" s="69" customFormat="1" x14ac:dyDescent="0.15"/>
    <row r="11288" s="69" customFormat="1" x14ac:dyDescent="0.15"/>
    <row r="11289" s="69" customFormat="1" x14ac:dyDescent="0.15"/>
    <row r="11290" s="69" customFormat="1" x14ac:dyDescent="0.15"/>
    <row r="11291" s="69" customFormat="1" x14ac:dyDescent="0.15"/>
    <row r="11292" s="69" customFormat="1" x14ac:dyDescent="0.15"/>
    <row r="11293" s="69" customFormat="1" x14ac:dyDescent="0.15"/>
    <row r="11294" s="69" customFormat="1" x14ac:dyDescent="0.15"/>
    <row r="11295" s="69" customFormat="1" x14ac:dyDescent="0.15"/>
    <row r="11296" s="69" customFormat="1" x14ac:dyDescent="0.15"/>
    <row r="11297" s="69" customFormat="1" x14ac:dyDescent="0.15"/>
    <row r="11298" s="69" customFormat="1" x14ac:dyDescent="0.15"/>
    <row r="11299" s="69" customFormat="1" x14ac:dyDescent="0.15"/>
    <row r="11300" s="69" customFormat="1" x14ac:dyDescent="0.15"/>
    <row r="11301" s="69" customFormat="1" x14ac:dyDescent="0.15"/>
    <row r="11302" s="69" customFormat="1" x14ac:dyDescent="0.15"/>
    <row r="11303" s="69" customFormat="1" x14ac:dyDescent="0.15"/>
    <row r="11304" s="69" customFormat="1" x14ac:dyDescent="0.15"/>
    <row r="11305" s="69" customFormat="1" x14ac:dyDescent="0.15"/>
    <row r="11306" s="69" customFormat="1" x14ac:dyDescent="0.15"/>
    <row r="11307" s="69" customFormat="1" x14ac:dyDescent="0.15"/>
    <row r="11308" s="69" customFormat="1" x14ac:dyDescent="0.15"/>
    <row r="11309" s="69" customFormat="1" x14ac:dyDescent="0.15"/>
    <row r="11310" s="69" customFormat="1" x14ac:dyDescent="0.15"/>
    <row r="11311" s="69" customFormat="1" x14ac:dyDescent="0.15"/>
    <row r="11312" s="69" customFormat="1" x14ac:dyDescent="0.15"/>
    <row r="11313" s="69" customFormat="1" x14ac:dyDescent="0.15"/>
    <row r="11314" s="69" customFormat="1" x14ac:dyDescent="0.15"/>
    <row r="11315" s="69" customFormat="1" x14ac:dyDescent="0.15"/>
    <row r="11316" s="69" customFormat="1" x14ac:dyDescent="0.15"/>
    <row r="11317" s="69" customFormat="1" x14ac:dyDescent="0.15"/>
    <row r="11318" s="69" customFormat="1" x14ac:dyDescent="0.15"/>
    <row r="11319" s="69" customFormat="1" x14ac:dyDescent="0.15"/>
    <row r="11320" s="69" customFormat="1" x14ac:dyDescent="0.15"/>
    <row r="11321" s="69" customFormat="1" x14ac:dyDescent="0.15"/>
    <row r="11322" s="69" customFormat="1" x14ac:dyDescent="0.15"/>
    <row r="11323" s="69" customFormat="1" x14ac:dyDescent="0.15"/>
    <row r="11324" s="69" customFormat="1" x14ac:dyDescent="0.15"/>
    <row r="11325" s="69" customFormat="1" x14ac:dyDescent="0.15"/>
    <row r="11326" s="69" customFormat="1" x14ac:dyDescent="0.15"/>
    <row r="11327" s="69" customFormat="1" x14ac:dyDescent="0.15"/>
    <row r="11328" s="69" customFormat="1" x14ac:dyDescent="0.15"/>
    <row r="11329" s="69" customFormat="1" x14ac:dyDescent="0.15"/>
    <row r="11330" s="69" customFormat="1" x14ac:dyDescent="0.15"/>
    <row r="11331" s="69" customFormat="1" x14ac:dyDescent="0.15"/>
    <row r="11332" s="69" customFormat="1" x14ac:dyDescent="0.15"/>
    <row r="11333" s="69" customFormat="1" x14ac:dyDescent="0.15"/>
    <row r="11334" s="69" customFormat="1" x14ac:dyDescent="0.15"/>
    <row r="11335" s="69" customFormat="1" x14ac:dyDescent="0.15"/>
    <row r="11336" s="69" customFormat="1" x14ac:dyDescent="0.15"/>
    <row r="11337" s="69" customFormat="1" x14ac:dyDescent="0.15"/>
    <row r="11338" s="69" customFormat="1" x14ac:dyDescent="0.15"/>
    <row r="11339" s="69" customFormat="1" x14ac:dyDescent="0.15"/>
    <row r="11340" s="69" customFormat="1" x14ac:dyDescent="0.15"/>
    <row r="11341" s="69" customFormat="1" x14ac:dyDescent="0.15"/>
    <row r="11342" s="69" customFormat="1" x14ac:dyDescent="0.15"/>
    <row r="11343" s="69" customFormat="1" x14ac:dyDescent="0.15"/>
    <row r="11344" s="69" customFormat="1" x14ac:dyDescent="0.15"/>
    <row r="11345" s="69" customFormat="1" x14ac:dyDescent="0.15"/>
    <row r="11346" s="69" customFormat="1" x14ac:dyDescent="0.15"/>
    <row r="11347" s="69" customFormat="1" x14ac:dyDescent="0.15"/>
    <row r="11348" s="69" customFormat="1" x14ac:dyDescent="0.15"/>
    <row r="11349" s="69" customFormat="1" x14ac:dyDescent="0.15"/>
    <row r="11350" s="69" customFormat="1" x14ac:dyDescent="0.15"/>
    <row r="11351" s="69" customFormat="1" x14ac:dyDescent="0.15"/>
    <row r="11352" s="69" customFormat="1" x14ac:dyDescent="0.15"/>
    <row r="11353" s="69" customFormat="1" x14ac:dyDescent="0.15"/>
    <row r="11354" s="69" customFormat="1" x14ac:dyDescent="0.15"/>
    <row r="11355" s="69" customFormat="1" x14ac:dyDescent="0.15"/>
    <row r="11356" s="69" customFormat="1" x14ac:dyDescent="0.15"/>
    <row r="11357" s="69" customFormat="1" x14ac:dyDescent="0.15"/>
    <row r="11358" s="69" customFormat="1" x14ac:dyDescent="0.15"/>
    <row r="11359" s="69" customFormat="1" x14ac:dyDescent="0.15"/>
    <row r="11360" s="69" customFormat="1" x14ac:dyDescent="0.15"/>
    <row r="11361" s="69" customFormat="1" x14ac:dyDescent="0.15"/>
    <row r="11362" s="69" customFormat="1" x14ac:dyDescent="0.15"/>
    <row r="11363" s="69" customFormat="1" x14ac:dyDescent="0.15"/>
    <row r="11364" s="69" customFormat="1" x14ac:dyDescent="0.15"/>
    <row r="11365" s="69" customFormat="1" x14ac:dyDescent="0.15"/>
    <row r="11366" s="69" customFormat="1" x14ac:dyDescent="0.15"/>
    <row r="11367" s="69" customFormat="1" x14ac:dyDescent="0.15"/>
    <row r="11368" s="69" customFormat="1" x14ac:dyDescent="0.15"/>
    <row r="11369" s="69" customFormat="1" x14ac:dyDescent="0.15"/>
    <row r="11370" s="69" customFormat="1" x14ac:dyDescent="0.15"/>
    <row r="11371" s="69" customFormat="1" x14ac:dyDescent="0.15"/>
    <row r="11372" s="69" customFormat="1" x14ac:dyDescent="0.15"/>
    <row r="11373" s="69" customFormat="1" x14ac:dyDescent="0.15"/>
    <row r="11374" s="69" customFormat="1" x14ac:dyDescent="0.15"/>
    <row r="11375" s="69" customFormat="1" x14ac:dyDescent="0.15"/>
    <row r="11376" s="69" customFormat="1" x14ac:dyDescent="0.15"/>
    <row r="11377" s="69" customFormat="1" x14ac:dyDescent="0.15"/>
    <row r="11378" s="69" customFormat="1" x14ac:dyDescent="0.15"/>
    <row r="11379" s="69" customFormat="1" x14ac:dyDescent="0.15"/>
    <row r="11380" s="69" customFormat="1" x14ac:dyDescent="0.15"/>
    <row r="11381" s="69" customFormat="1" x14ac:dyDescent="0.15"/>
    <row r="11382" s="69" customFormat="1" x14ac:dyDescent="0.15"/>
    <row r="11383" s="69" customFormat="1" x14ac:dyDescent="0.15"/>
    <row r="11384" s="69" customFormat="1" x14ac:dyDescent="0.15"/>
    <row r="11385" s="69" customFormat="1" x14ac:dyDescent="0.15"/>
    <row r="11386" s="69" customFormat="1" x14ac:dyDescent="0.15"/>
    <row r="11387" s="69" customFormat="1" x14ac:dyDescent="0.15"/>
    <row r="11388" s="69" customFormat="1" x14ac:dyDescent="0.15"/>
    <row r="11389" s="69" customFormat="1" x14ac:dyDescent="0.15"/>
    <row r="11390" s="69" customFormat="1" x14ac:dyDescent="0.15"/>
    <row r="11391" s="69" customFormat="1" x14ac:dyDescent="0.15"/>
    <row r="11392" s="69" customFormat="1" x14ac:dyDescent="0.15"/>
    <row r="11393" s="69" customFormat="1" x14ac:dyDescent="0.15"/>
    <row r="11394" s="69" customFormat="1" x14ac:dyDescent="0.15"/>
    <row r="11395" s="69" customFormat="1" x14ac:dyDescent="0.15"/>
    <row r="11396" s="69" customFormat="1" x14ac:dyDescent="0.15"/>
    <row r="11397" s="69" customFormat="1" x14ac:dyDescent="0.15"/>
    <row r="11398" s="69" customFormat="1" x14ac:dyDescent="0.15"/>
    <row r="11399" s="69" customFormat="1" x14ac:dyDescent="0.15"/>
    <row r="11400" s="69" customFormat="1" x14ac:dyDescent="0.15"/>
    <row r="11401" s="69" customFormat="1" x14ac:dyDescent="0.15"/>
    <row r="11402" s="69" customFormat="1" x14ac:dyDescent="0.15"/>
    <row r="11403" s="69" customFormat="1" x14ac:dyDescent="0.15"/>
    <row r="11404" s="69" customFormat="1" x14ac:dyDescent="0.15"/>
    <row r="11405" s="69" customFormat="1" x14ac:dyDescent="0.15"/>
    <row r="11406" s="69" customFormat="1" x14ac:dyDescent="0.15"/>
    <row r="11407" s="69" customFormat="1" x14ac:dyDescent="0.15"/>
    <row r="11408" s="69" customFormat="1" x14ac:dyDescent="0.15"/>
    <row r="11409" s="69" customFormat="1" x14ac:dyDescent="0.15"/>
    <row r="11410" s="69" customFormat="1" x14ac:dyDescent="0.15"/>
    <row r="11411" s="69" customFormat="1" x14ac:dyDescent="0.15"/>
    <row r="11412" s="69" customFormat="1" x14ac:dyDescent="0.15"/>
    <row r="11413" s="69" customFormat="1" x14ac:dyDescent="0.15"/>
    <row r="11414" s="69" customFormat="1" x14ac:dyDescent="0.15"/>
    <row r="11415" s="69" customFormat="1" x14ac:dyDescent="0.15"/>
    <row r="11416" s="69" customFormat="1" x14ac:dyDescent="0.15"/>
    <row r="11417" s="69" customFormat="1" x14ac:dyDescent="0.15"/>
    <row r="11418" s="69" customFormat="1" x14ac:dyDescent="0.15"/>
    <row r="11419" s="69" customFormat="1" x14ac:dyDescent="0.15"/>
    <row r="11420" s="69" customFormat="1" x14ac:dyDescent="0.15"/>
    <row r="11421" s="69" customFormat="1" x14ac:dyDescent="0.15"/>
    <row r="11422" s="69" customFormat="1" x14ac:dyDescent="0.15"/>
    <row r="11423" s="69" customFormat="1" x14ac:dyDescent="0.15"/>
    <row r="11424" s="69" customFormat="1" x14ac:dyDescent="0.15"/>
    <row r="11425" s="69" customFormat="1" x14ac:dyDescent="0.15"/>
    <row r="11426" s="69" customFormat="1" x14ac:dyDescent="0.15"/>
    <row r="11427" s="69" customFormat="1" x14ac:dyDescent="0.15"/>
    <row r="11428" s="69" customFormat="1" x14ac:dyDescent="0.15"/>
    <row r="11429" s="69" customFormat="1" x14ac:dyDescent="0.15"/>
    <row r="11430" s="69" customFormat="1" x14ac:dyDescent="0.15"/>
    <row r="11431" s="69" customFormat="1" x14ac:dyDescent="0.15"/>
    <row r="11432" s="69" customFormat="1" x14ac:dyDescent="0.15"/>
    <row r="11433" s="69" customFormat="1" x14ac:dyDescent="0.15"/>
    <row r="11434" s="69" customFormat="1" x14ac:dyDescent="0.15"/>
    <row r="11435" s="69" customFormat="1" x14ac:dyDescent="0.15"/>
    <row r="11436" s="69" customFormat="1" x14ac:dyDescent="0.15"/>
    <row r="11437" s="69" customFormat="1" x14ac:dyDescent="0.15"/>
    <row r="11438" s="69" customFormat="1" x14ac:dyDescent="0.15"/>
    <row r="11439" s="69" customFormat="1" x14ac:dyDescent="0.15"/>
    <row r="11440" s="69" customFormat="1" x14ac:dyDescent="0.15"/>
    <row r="11441" s="69" customFormat="1" x14ac:dyDescent="0.15"/>
    <row r="11442" s="69" customFormat="1" x14ac:dyDescent="0.15"/>
    <row r="11443" s="69" customFormat="1" x14ac:dyDescent="0.15"/>
    <row r="11444" s="69" customFormat="1" x14ac:dyDescent="0.15"/>
    <row r="11445" s="69" customFormat="1" x14ac:dyDescent="0.15"/>
    <row r="11446" s="69" customFormat="1" x14ac:dyDescent="0.15"/>
    <row r="11447" s="69" customFormat="1" x14ac:dyDescent="0.15"/>
    <row r="11448" s="69" customFormat="1" x14ac:dyDescent="0.15"/>
    <row r="11449" s="69" customFormat="1" x14ac:dyDescent="0.15"/>
    <row r="11450" s="69" customFormat="1" x14ac:dyDescent="0.15"/>
    <row r="11451" s="69" customFormat="1" x14ac:dyDescent="0.15"/>
    <row r="11452" s="69" customFormat="1" x14ac:dyDescent="0.15"/>
    <row r="11453" s="69" customFormat="1" x14ac:dyDescent="0.15"/>
    <row r="11454" s="69" customFormat="1" x14ac:dyDescent="0.15"/>
    <row r="11455" s="69" customFormat="1" x14ac:dyDescent="0.15"/>
    <row r="11456" s="69" customFormat="1" x14ac:dyDescent="0.15"/>
    <row r="11457" s="69" customFormat="1" x14ac:dyDescent="0.15"/>
    <row r="11458" s="69" customFormat="1" x14ac:dyDescent="0.15"/>
    <row r="11459" s="69" customFormat="1" x14ac:dyDescent="0.15"/>
    <row r="11460" s="69" customFormat="1" x14ac:dyDescent="0.15"/>
    <row r="11461" s="69" customFormat="1" x14ac:dyDescent="0.15"/>
    <row r="11462" s="69" customFormat="1" x14ac:dyDescent="0.15"/>
    <row r="11463" s="69" customFormat="1" x14ac:dyDescent="0.15"/>
    <row r="11464" s="69" customFormat="1" x14ac:dyDescent="0.15"/>
    <row r="11465" s="69" customFormat="1" x14ac:dyDescent="0.15"/>
    <row r="11466" s="69" customFormat="1" x14ac:dyDescent="0.15"/>
    <row r="11467" s="69" customFormat="1" x14ac:dyDescent="0.15"/>
    <row r="11468" s="69" customFormat="1" x14ac:dyDescent="0.15"/>
    <row r="11469" s="69" customFormat="1" x14ac:dyDescent="0.15"/>
    <row r="11470" s="69" customFormat="1" x14ac:dyDescent="0.15"/>
    <row r="11471" s="69" customFormat="1" x14ac:dyDescent="0.15"/>
    <row r="11472" s="69" customFormat="1" x14ac:dyDescent="0.15"/>
    <row r="11473" s="69" customFormat="1" x14ac:dyDescent="0.15"/>
    <row r="11474" s="69" customFormat="1" x14ac:dyDescent="0.15"/>
    <row r="11475" s="69" customFormat="1" x14ac:dyDescent="0.15"/>
    <row r="11476" s="69" customFormat="1" x14ac:dyDescent="0.15"/>
    <row r="11477" s="69" customFormat="1" x14ac:dyDescent="0.15"/>
    <row r="11478" s="69" customFormat="1" x14ac:dyDescent="0.15"/>
    <row r="11479" s="69" customFormat="1" x14ac:dyDescent="0.15"/>
    <row r="11480" s="69" customFormat="1" x14ac:dyDescent="0.15"/>
    <row r="11481" s="69" customFormat="1" x14ac:dyDescent="0.15"/>
    <row r="11482" s="69" customFormat="1" x14ac:dyDescent="0.15"/>
    <row r="11483" s="69" customFormat="1" x14ac:dyDescent="0.15"/>
    <row r="11484" s="69" customFormat="1" x14ac:dyDescent="0.15"/>
    <row r="11485" s="69" customFormat="1" x14ac:dyDescent="0.15"/>
    <row r="11486" s="69" customFormat="1" x14ac:dyDescent="0.15"/>
    <row r="11487" s="69" customFormat="1" x14ac:dyDescent="0.15"/>
    <row r="11488" s="69" customFormat="1" x14ac:dyDescent="0.15"/>
    <row r="11489" s="69" customFormat="1" x14ac:dyDescent="0.15"/>
    <row r="11490" s="69" customFormat="1" x14ac:dyDescent="0.15"/>
    <row r="11491" s="69" customFormat="1" x14ac:dyDescent="0.15"/>
    <row r="11492" s="69" customFormat="1" x14ac:dyDescent="0.15"/>
    <row r="11493" s="69" customFormat="1" x14ac:dyDescent="0.15"/>
    <row r="11494" s="69" customFormat="1" x14ac:dyDescent="0.15"/>
    <row r="11495" s="69" customFormat="1" x14ac:dyDescent="0.15"/>
    <row r="11496" s="69" customFormat="1" x14ac:dyDescent="0.15"/>
    <row r="11497" s="69" customFormat="1" x14ac:dyDescent="0.15"/>
    <row r="11498" s="69" customFormat="1" x14ac:dyDescent="0.15"/>
    <row r="11499" s="69" customFormat="1" x14ac:dyDescent="0.15"/>
    <row r="11500" s="69" customFormat="1" x14ac:dyDescent="0.15"/>
    <row r="11501" s="69" customFormat="1" x14ac:dyDescent="0.15"/>
    <row r="11502" s="69" customFormat="1" x14ac:dyDescent="0.15"/>
    <row r="11503" s="69" customFormat="1" x14ac:dyDescent="0.15"/>
    <row r="11504" s="69" customFormat="1" x14ac:dyDescent="0.15"/>
    <row r="11505" s="69" customFormat="1" x14ac:dyDescent="0.15"/>
    <row r="11506" s="69" customFormat="1" x14ac:dyDescent="0.15"/>
    <row r="11507" s="69" customFormat="1" x14ac:dyDescent="0.15"/>
    <row r="11508" s="69" customFormat="1" x14ac:dyDescent="0.15"/>
    <row r="11509" s="69" customFormat="1" x14ac:dyDescent="0.15"/>
    <row r="11510" s="69" customFormat="1" x14ac:dyDescent="0.15"/>
    <row r="11511" s="69" customFormat="1" x14ac:dyDescent="0.15"/>
    <row r="11512" s="69" customFormat="1" x14ac:dyDescent="0.15"/>
    <row r="11513" s="69" customFormat="1" x14ac:dyDescent="0.15"/>
    <row r="11514" s="69" customFormat="1" x14ac:dyDescent="0.15"/>
    <row r="11515" s="69" customFormat="1" x14ac:dyDescent="0.15"/>
    <row r="11516" s="69" customFormat="1" x14ac:dyDescent="0.15"/>
    <row r="11517" s="69" customFormat="1" x14ac:dyDescent="0.15"/>
    <row r="11518" s="69" customFormat="1" x14ac:dyDescent="0.15"/>
    <row r="11519" s="69" customFormat="1" x14ac:dyDescent="0.15"/>
    <row r="11520" s="69" customFormat="1" x14ac:dyDescent="0.15"/>
    <row r="11521" s="69" customFormat="1" x14ac:dyDescent="0.15"/>
    <row r="11522" s="69" customFormat="1" x14ac:dyDescent="0.15"/>
    <row r="11523" s="69" customFormat="1" x14ac:dyDescent="0.15"/>
    <row r="11524" s="69" customFormat="1" x14ac:dyDescent="0.15"/>
    <row r="11525" s="69" customFormat="1" x14ac:dyDescent="0.15"/>
    <row r="11526" s="69" customFormat="1" x14ac:dyDescent="0.15"/>
    <row r="11527" s="69" customFormat="1" x14ac:dyDescent="0.15"/>
    <row r="11528" s="69" customFormat="1" x14ac:dyDescent="0.15"/>
    <row r="11529" s="69" customFormat="1" x14ac:dyDescent="0.15"/>
    <row r="11530" s="69" customFormat="1" x14ac:dyDescent="0.15"/>
    <row r="11531" s="69" customFormat="1" x14ac:dyDescent="0.15"/>
    <row r="11532" s="69" customFormat="1" x14ac:dyDescent="0.15"/>
    <row r="11533" s="69" customFormat="1" x14ac:dyDescent="0.15"/>
    <row r="11534" s="69" customFormat="1" x14ac:dyDescent="0.15"/>
    <row r="11535" s="69" customFormat="1" x14ac:dyDescent="0.15"/>
    <row r="11536" s="69" customFormat="1" x14ac:dyDescent="0.15"/>
    <row r="11537" s="69" customFormat="1" x14ac:dyDescent="0.15"/>
    <row r="11538" s="69" customFormat="1" x14ac:dyDescent="0.15"/>
    <row r="11539" s="69" customFormat="1" x14ac:dyDescent="0.15"/>
    <row r="11540" s="69" customFormat="1" x14ac:dyDescent="0.15"/>
    <row r="11541" s="69" customFormat="1" x14ac:dyDescent="0.15"/>
    <row r="11542" s="69" customFormat="1" x14ac:dyDescent="0.15"/>
    <row r="11543" s="69" customFormat="1" x14ac:dyDescent="0.15"/>
    <row r="11544" s="69" customFormat="1" x14ac:dyDescent="0.15"/>
    <row r="11545" s="69" customFormat="1" x14ac:dyDescent="0.15"/>
    <row r="11546" s="69" customFormat="1" x14ac:dyDescent="0.15"/>
    <row r="11547" s="69" customFormat="1" x14ac:dyDescent="0.15"/>
    <row r="11548" s="69" customFormat="1" x14ac:dyDescent="0.15"/>
    <row r="11549" s="69" customFormat="1" x14ac:dyDescent="0.15"/>
    <row r="11550" s="69" customFormat="1" x14ac:dyDescent="0.15"/>
    <row r="11551" s="69" customFormat="1" x14ac:dyDescent="0.15"/>
    <row r="11552" s="69" customFormat="1" x14ac:dyDescent="0.15"/>
    <row r="11553" s="69" customFormat="1" x14ac:dyDescent="0.15"/>
    <row r="11554" s="69" customFormat="1" x14ac:dyDescent="0.15"/>
    <row r="11555" s="69" customFormat="1" x14ac:dyDescent="0.15"/>
    <row r="11556" s="69" customFormat="1" x14ac:dyDescent="0.15"/>
    <row r="11557" s="69" customFormat="1" x14ac:dyDescent="0.15"/>
    <row r="11558" s="69" customFormat="1" x14ac:dyDescent="0.15"/>
    <row r="11559" s="69" customFormat="1" x14ac:dyDescent="0.15"/>
    <row r="11560" s="69" customFormat="1" x14ac:dyDescent="0.15"/>
    <row r="11561" s="69" customFormat="1" x14ac:dyDescent="0.15"/>
    <row r="11562" s="69" customFormat="1" x14ac:dyDescent="0.15"/>
    <row r="11563" s="69" customFormat="1" x14ac:dyDescent="0.15"/>
    <row r="11564" s="69" customFormat="1" x14ac:dyDescent="0.15"/>
    <row r="11565" s="69" customFormat="1" x14ac:dyDescent="0.15"/>
    <row r="11566" s="69" customFormat="1" x14ac:dyDescent="0.15"/>
    <row r="11567" s="69" customFormat="1" x14ac:dyDescent="0.15"/>
    <row r="11568" s="69" customFormat="1" x14ac:dyDescent="0.15"/>
    <row r="11569" s="69" customFormat="1" x14ac:dyDescent="0.15"/>
    <row r="11570" s="69" customFormat="1" x14ac:dyDescent="0.15"/>
    <row r="11571" s="69" customFormat="1" x14ac:dyDescent="0.15"/>
    <row r="11572" s="69" customFormat="1" x14ac:dyDescent="0.15"/>
    <row r="11573" s="69" customFormat="1" x14ac:dyDescent="0.15"/>
    <row r="11574" s="69" customFormat="1" x14ac:dyDescent="0.15"/>
    <row r="11575" s="69" customFormat="1" x14ac:dyDescent="0.15"/>
    <row r="11576" s="69" customFormat="1" x14ac:dyDescent="0.15"/>
    <row r="11577" s="69" customFormat="1" x14ac:dyDescent="0.15"/>
    <row r="11578" s="69" customFormat="1" x14ac:dyDescent="0.15"/>
    <row r="11579" s="69" customFormat="1" x14ac:dyDescent="0.15"/>
    <row r="11580" s="69" customFormat="1" x14ac:dyDescent="0.15"/>
    <row r="11581" s="69" customFormat="1" x14ac:dyDescent="0.15"/>
    <row r="11582" s="69" customFormat="1" x14ac:dyDescent="0.15"/>
    <row r="11583" s="69" customFormat="1" x14ac:dyDescent="0.15"/>
    <row r="11584" s="69" customFormat="1" x14ac:dyDescent="0.15"/>
    <row r="11585" s="69" customFormat="1" x14ac:dyDescent="0.15"/>
    <row r="11586" s="69" customFormat="1" x14ac:dyDescent="0.15"/>
    <row r="11587" s="69" customFormat="1" x14ac:dyDescent="0.15"/>
    <row r="11588" s="69" customFormat="1" x14ac:dyDescent="0.15"/>
    <row r="11589" s="69" customFormat="1" x14ac:dyDescent="0.15"/>
    <row r="11590" s="69" customFormat="1" x14ac:dyDescent="0.15"/>
    <row r="11591" s="69" customFormat="1" x14ac:dyDescent="0.15"/>
    <row r="11592" s="69" customFormat="1" x14ac:dyDescent="0.15"/>
    <row r="11593" s="69" customFormat="1" x14ac:dyDescent="0.15"/>
    <row r="11594" s="69" customFormat="1" x14ac:dyDescent="0.15"/>
    <row r="11595" s="69" customFormat="1" x14ac:dyDescent="0.15"/>
    <row r="11596" s="69" customFormat="1" x14ac:dyDescent="0.15"/>
    <row r="11597" s="69" customFormat="1" x14ac:dyDescent="0.15"/>
    <row r="11598" s="69" customFormat="1" x14ac:dyDescent="0.15"/>
    <row r="11599" s="69" customFormat="1" x14ac:dyDescent="0.15"/>
    <row r="11600" s="69" customFormat="1" x14ac:dyDescent="0.15"/>
    <row r="11601" s="69" customFormat="1" x14ac:dyDescent="0.15"/>
    <row r="11602" s="69" customFormat="1" x14ac:dyDescent="0.15"/>
    <row r="11603" s="69" customFormat="1" x14ac:dyDescent="0.15"/>
    <row r="11604" s="69" customFormat="1" x14ac:dyDescent="0.15"/>
    <row r="11605" s="69" customFormat="1" x14ac:dyDescent="0.15"/>
    <row r="11606" s="69" customFormat="1" x14ac:dyDescent="0.15"/>
    <row r="11607" s="69" customFormat="1" x14ac:dyDescent="0.15"/>
    <row r="11608" s="69" customFormat="1" x14ac:dyDescent="0.15"/>
    <row r="11609" s="69" customFormat="1" x14ac:dyDescent="0.15"/>
    <row r="11610" s="69" customFormat="1" x14ac:dyDescent="0.15"/>
    <row r="11611" s="69" customFormat="1" x14ac:dyDescent="0.15"/>
    <row r="11612" s="69" customFormat="1" x14ac:dyDescent="0.15"/>
    <row r="11613" s="69" customFormat="1" x14ac:dyDescent="0.15"/>
    <row r="11614" s="69" customFormat="1" x14ac:dyDescent="0.15"/>
    <row r="11615" s="69" customFormat="1" x14ac:dyDescent="0.15"/>
    <row r="11616" s="69" customFormat="1" x14ac:dyDescent="0.15"/>
    <row r="11617" s="69" customFormat="1" x14ac:dyDescent="0.15"/>
    <row r="11618" s="69" customFormat="1" x14ac:dyDescent="0.15"/>
    <row r="11619" s="69" customFormat="1" x14ac:dyDescent="0.15"/>
    <row r="11620" s="69" customFormat="1" x14ac:dyDescent="0.15"/>
    <row r="11621" s="69" customFormat="1" x14ac:dyDescent="0.15"/>
    <row r="11622" s="69" customFormat="1" x14ac:dyDescent="0.15"/>
    <row r="11623" s="69" customFormat="1" x14ac:dyDescent="0.15"/>
    <row r="11624" s="69" customFormat="1" x14ac:dyDescent="0.15"/>
    <row r="11625" s="69" customFormat="1" x14ac:dyDescent="0.15"/>
    <row r="11626" s="69" customFormat="1" x14ac:dyDescent="0.15"/>
    <row r="11627" s="69" customFormat="1" x14ac:dyDescent="0.15"/>
    <row r="11628" s="69" customFormat="1" x14ac:dyDescent="0.15"/>
    <row r="11629" s="69" customFormat="1" x14ac:dyDescent="0.15"/>
    <row r="11630" s="69" customFormat="1" x14ac:dyDescent="0.15"/>
    <row r="11631" s="69" customFormat="1" x14ac:dyDescent="0.15"/>
    <row r="11632" s="69" customFormat="1" x14ac:dyDescent="0.15"/>
    <row r="11633" s="69" customFormat="1" x14ac:dyDescent="0.15"/>
    <row r="11634" s="69" customFormat="1" x14ac:dyDescent="0.15"/>
    <row r="11635" s="69" customFormat="1" x14ac:dyDescent="0.15"/>
    <row r="11636" s="69" customFormat="1" x14ac:dyDescent="0.15"/>
    <row r="11637" s="69" customFormat="1" x14ac:dyDescent="0.15"/>
    <row r="11638" s="69" customFormat="1" x14ac:dyDescent="0.15"/>
    <row r="11639" s="69" customFormat="1" x14ac:dyDescent="0.15"/>
    <row r="11640" s="69" customFormat="1" x14ac:dyDescent="0.15"/>
    <row r="11641" s="69" customFormat="1" x14ac:dyDescent="0.15"/>
    <row r="11642" s="69" customFormat="1" x14ac:dyDescent="0.15"/>
    <row r="11643" s="69" customFormat="1" x14ac:dyDescent="0.15"/>
    <row r="11644" s="69" customFormat="1" x14ac:dyDescent="0.15"/>
    <row r="11645" s="69" customFormat="1" x14ac:dyDescent="0.15"/>
    <row r="11646" s="69" customFormat="1" x14ac:dyDescent="0.15"/>
    <row r="11647" s="69" customFormat="1" x14ac:dyDescent="0.15"/>
    <row r="11648" s="69" customFormat="1" x14ac:dyDescent="0.15"/>
    <row r="11649" s="69" customFormat="1" x14ac:dyDescent="0.15"/>
    <row r="11650" s="69" customFormat="1" x14ac:dyDescent="0.15"/>
    <row r="11651" s="69" customFormat="1" x14ac:dyDescent="0.15"/>
    <row r="11652" s="69" customFormat="1" x14ac:dyDescent="0.15"/>
    <row r="11653" s="69" customFormat="1" x14ac:dyDescent="0.15"/>
    <row r="11654" s="69" customFormat="1" x14ac:dyDescent="0.15"/>
    <row r="11655" s="69" customFormat="1" x14ac:dyDescent="0.15"/>
    <row r="11656" s="69" customFormat="1" x14ac:dyDescent="0.15"/>
    <row r="11657" s="69" customFormat="1" x14ac:dyDescent="0.15"/>
    <row r="11658" s="69" customFormat="1" x14ac:dyDescent="0.15"/>
    <row r="11659" s="69" customFormat="1" x14ac:dyDescent="0.15"/>
    <row r="11660" s="69" customFormat="1" x14ac:dyDescent="0.15"/>
    <row r="11661" s="69" customFormat="1" x14ac:dyDescent="0.15"/>
    <row r="11662" s="69" customFormat="1" x14ac:dyDescent="0.15"/>
    <row r="11663" s="69" customFormat="1" x14ac:dyDescent="0.15"/>
    <row r="11664" s="69" customFormat="1" x14ac:dyDescent="0.15"/>
    <row r="11665" s="69" customFormat="1" x14ac:dyDescent="0.15"/>
    <row r="11666" s="69" customFormat="1" x14ac:dyDescent="0.15"/>
    <row r="11667" s="69" customFormat="1" x14ac:dyDescent="0.15"/>
    <row r="11668" s="69" customFormat="1" x14ac:dyDescent="0.15"/>
    <row r="11669" s="69" customFormat="1" x14ac:dyDescent="0.15"/>
    <row r="11670" s="69" customFormat="1" x14ac:dyDescent="0.15"/>
    <row r="11671" s="69" customFormat="1" x14ac:dyDescent="0.15"/>
    <row r="11672" s="69" customFormat="1" x14ac:dyDescent="0.15"/>
    <row r="11673" s="69" customFormat="1" x14ac:dyDescent="0.15"/>
    <row r="11674" s="69" customFormat="1" x14ac:dyDescent="0.15"/>
    <row r="11675" s="69" customFormat="1" x14ac:dyDescent="0.15"/>
    <row r="11676" s="69" customFormat="1" x14ac:dyDescent="0.15"/>
    <row r="11677" s="69" customFormat="1" x14ac:dyDescent="0.15"/>
    <row r="11678" s="69" customFormat="1" x14ac:dyDescent="0.15"/>
    <row r="11679" s="69" customFormat="1" x14ac:dyDescent="0.15"/>
    <row r="11680" s="69" customFormat="1" x14ac:dyDescent="0.15"/>
    <row r="11681" s="69" customFormat="1" x14ac:dyDescent="0.15"/>
    <row r="11682" s="69" customFormat="1" x14ac:dyDescent="0.15"/>
    <row r="11683" s="69" customFormat="1" x14ac:dyDescent="0.15"/>
    <row r="11684" s="69" customFormat="1" x14ac:dyDescent="0.15"/>
    <row r="11685" s="69" customFormat="1" x14ac:dyDescent="0.15"/>
    <row r="11686" s="69" customFormat="1" x14ac:dyDescent="0.15"/>
    <row r="11687" s="69" customFormat="1" x14ac:dyDescent="0.15"/>
    <row r="11688" s="69" customFormat="1" x14ac:dyDescent="0.15"/>
    <row r="11689" s="69" customFormat="1" x14ac:dyDescent="0.15"/>
    <row r="11690" s="69" customFormat="1" x14ac:dyDescent="0.15"/>
    <row r="11691" s="69" customFormat="1" x14ac:dyDescent="0.15"/>
    <row r="11692" s="69" customFormat="1" x14ac:dyDescent="0.15"/>
    <row r="11693" s="69" customFormat="1" x14ac:dyDescent="0.15"/>
    <row r="11694" s="69" customFormat="1" x14ac:dyDescent="0.15"/>
    <row r="11695" s="69" customFormat="1" x14ac:dyDescent="0.15"/>
    <row r="11696" s="69" customFormat="1" x14ac:dyDescent="0.15"/>
    <row r="11697" s="69" customFormat="1" x14ac:dyDescent="0.15"/>
    <row r="11698" s="69" customFormat="1" x14ac:dyDescent="0.15"/>
    <row r="11699" s="69" customFormat="1" x14ac:dyDescent="0.15"/>
    <row r="11700" s="69" customFormat="1" x14ac:dyDescent="0.15"/>
    <row r="11701" s="69" customFormat="1" x14ac:dyDescent="0.15"/>
    <row r="11702" s="69" customFormat="1" x14ac:dyDescent="0.15"/>
    <row r="11703" s="69" customFormat="1" x14ac:dyDescent="0.15"/>
    <row r="11704" s="69" customFormat="1" x14ac:dyDescent="0.15"/>
    <row r="11705" s="69" customFormat="1" x14ac:dyDescent="0.15"/>
    <row r="11706" s="69" customFormat="1" x14ac:dyDescent="0.15"/>
    <row r="11707" s="69" customFormat="1" x14ac:dyDescent="0.15"/>
    <row r="11708" s="69" customFormat="1" x14ac:dyDescent="0.15"/>
    <row r="11709" s="69" customFormat="1" x14ac:dyDescent="0.15"/>
    <row r="11710" s="69" customFormat="1" x14ac:dyDescent="0.15"/>
    <row r="11711" s="69" customFormat="1" x14ac:dyDescent="0.15"/>
    <row r="11712" s="69" customFormat="1" x14ac:dyDescent="0.15"/>
    <row r="11713" s="69" customFormat="1" x14ac:dyDescent="0.15"/>
    <row r="11714" s="69" customFormat="1" x14ac:dyDescent="0.15"/>
    <row r="11715" s="69" customFormat="1" x14ac:dyDescent="0.15"/>
    <row r="11716" s="69" customFormat="1" x14ac:dyDescent="0.15"/>
    <row r="11717" s="69" customFormat="1" x14ac:dyDescent="0.15"/>
    <row r="11718" s="69" customFormat="1" x14ac:dyDescent="0.15"/>
    <row r="11719" s="69" customFormat="1" x14ac:dyDescent="0.15"/>
    <row r="11720" s="69" customFormat="1" x14ac:dyDescent="0.15"/>
    <row r="11721" s="69" customFormat="1" x14ac:dyDescent="0.15"/>
    <row r="11722" s="69" customFormat="1" x14ac:dyDescent="0.15"/>
    <row r="11723" s="69" customFormat="1" x14ac:dyDescent="0.15"/>
    <row r="11724" s="69" customFormat="1" x14ac:dyDescent="0.15"/>
    <row r="11725" s="69" customFormat="1" x14ac:dyDescent="0.15"/>
    <row r="11726" s="69" customFormat="1" x14ac:dyDescent="0.15"/>
    <row r="11727" s="69" customFormat="1" x14ac:dyDescent="0.15"/>
    <row r="11728" s="69" customFormat="1" x14ac:dyDescent="0.15"/>
    <row r="11729" s="69" customFormat="1" x14ac:dyDescent="0.15"/>
    <row r="11730" s="69" customFormat="1" x14ac:dyDescent="0.15"/>
    <row r="11731" s="69" customFormat="1" x14ac:dyDescent="0.15"/>
    <row r="11732" s="69" customFormat="1" x14ac:dyDescent="0.15"/>
    <row r="11733" s="69" customFormat="1" x14ac:dyDescent="0.15"/>
    <row r="11734" s="69" customFormat="1" x14ac:dyDescent="0.15"/>
    <row r="11735" s="69" customFormat="1" x14ac:dyDescent="0.15"/>
    <row r="11736" s="69" customFormat="1" x14ac:dyDescent="0.15"/>
    <row r="11737" s="69" customFormat="1" x14ac:dyDescent="0.15"/>
    <row r="11738" s="69" customFormat="1" x14ac:dyDescent="0.15"/>
    <row r="11739" s="69" customFormat="1" x14ac:dyDescent="0.15"/>
    <row r="11740" s="69" customFormat="1" x14ac:dyDescent="0.15"/>
    <row r="11741" s="69" customFormat="1" x14ac:dyDescent="0.15"/>
    <row r="11742" s="69" customFormat="1" x14ac:dyDescent="0.15"/>
    <row r="11743" s="69" customFormat="1" x14ac:dyDescent="0.15"/>
    <row r="11744" s="69" customFormat="1" x14ac:dyDescent="0.15"/>
    <row r="11745" s="69" customFormat="1" x14ac:dyDescent="0.15"/>
    <row r="11746" s="69" customFormat="1" x14ac:dyDescent="0.15"/>
    <row r="11747" s="69" customFormat="1" x14ac:dyDescent="0.15"/>
    <row r="11748" s="69" customFormat="1" x14ac:dyDescent="0.15"/>
    <row r="11749" s="69" customFormat="1" x14ac:dyDescent="0.15"/>
    <row r="11750" s="69" customFormat="1" x14ac:dyDescent="0.15"/>
    <row r="11751" s="69" customFormat="1" x14ac:dyDescent="0.15"/>
    <row r="11752" s="69" customFormat="1" x14ac:dyDescent="0.15"/>
    <row r="11753" s="69" customFormat="1" x14ac:dyDescent="0.15"/>
    <row r="11754" s="69" customFormat="1" x14ac:dyDescent="0.15"/>
    <row r="11755" s="69" customFormat="1" x14ac:dyDescent="0.15"/>
    <row r="11756" s="69" customFormat="1" x14ac:dyDescent="0.15"/>
    <row r="11757" s="69" customFormat="1" x14ac:dyDescent="0.15"/>
    <row r="11758" s="69" customFormat="1" x14ac:dyDescent="0.15"/>
    <row r="11759" s="69" customFormat="1" x14ac:dyDescent="0.15"/>
    <row r="11760" s="69" customFormat="1" x14ac:dyDescent="0.15"/>
    <row r="11761" s="69" customFormat="1" x14ac:dyDescent="0.15"/>
    <row r="11762" s="69" customFormat="1" x14ac:dyDescent="0.15"/>
    <row r="11763" s="69" customFormat="1" x14ac:dyDescent="0.15"/>
    <row r="11764" s="69" customFormat="1" x14ac:dyDescent="0.15"/>
    <row r="11765" s="69" customFormat="1" x14ac:dyDescent="0.15"/>
    <row r="11766" s="69" customFormat="1" x14ac:dyDescent="0.15"/>
    <row r="11767" s="69" customFormat="1" x14ac:dyDescent="0.15"/>
    <row r="11768" s="69" customFormat="1" x14ac:dyDescent="0.15"/>
    <row r="11769" s="69" customFormat="1" x14ac:dyDescent="0.15"/>
    <row r="11770" s="69" customFormat="1" x14ac:dyDescent="0.15"/>
    <row r="11771" s="69" customFormat="1" x14ac:dyDescent="0.15"/>
    <row r="11772" s="69" customFormat="1" x14ac:dyDescent="0.15"/>
    <row r="11773" s="69" customFormat="1" x14ac:dyDescent="0.15"/>
    <row r="11774" s="69" customFormat="1" x14ac:dyDescent="0.15"/>
    <row r="11775" s="69" customFormat="1" x14ac:dyDescent="0.15"/>
    <row r="11776" s="69" customFormat="1" x14ac:dyDescent="0.15"/>
    <row r="11777" s="69" customFormat="1" x14ac:dyDescent="0.15"/>
    <row r="11778" s="69" customFormat="1" x14ac:dyDescent="0.15"/>
    <row r="11779" s="69" customFormat="1" x14ac:dyDescent="0.15"/>
    <row r="11780" s="69" customFormat="1" x14ac:dyDescent="0.15"/>
    <row r="11781" s="69" customFormat="1" x14ac:dyDescent="0.15"/>
    <row r="11782" s="69" customFormat="1" x14ac:dyDescent="0.15"/>
    <row r="11783" s="69" customFormat="1" x14ac:dyDescent="0.15"/>
    <row r="11784" s="69" customFormat="1" x14ac:dyDescent="0.15"/>
    <row r="11785" s="69" customFormat="1" x14ac:dyDescent="0.15"/>
    <row r="11786" s="69" customFormat="1" x14ac:dyDescent="0.15"/>
    <row r="11787" s="69" customFormat="1" x14ac:dyDescent="0.15"/>
    <row r="11788" s="69" customFormat="1" x14ac:dyDescent="0.15"/>
    <row r="11789" s="69" customFormat="1" x14ac:dyDescent="0.15"/>
    <row r="11790" s="69" customFormat="1" x14ac:dyDescent="0.15"/>
    <row r="11791" s="69" customFormat="1" x14ac:dyDescent="0.15"/>
    <row r="11792" s="69" customFormat="1" x14ac:dyDescent="0.15"/>
    <row r="11793" s="69" customFormat="1" x14ac:dyDescent="0.15"/>
    <row r="11794" s="69" customFormat="1" x14ac:dyDescent="0.15"/>
    <row r="11795" s="69" customFormat="1" x14ac:dyDescent="0.15"/>
    <row r="11796" s="69" customFormat="1" x14ac:dyDescent="0.15"/>
    <row r="11797" s="69" customFormat="1" x14ac:dyDescent="0.15"/>
    <row r="11798" s="69" customFormat="1" x14ac:dyDescent="0.15"/>
    <row r="11799" s="69" customFormat="1" x14ac:dyDescent="0.15"/>
    <row r="11800" s="69" customFormat="1" x14ac:dyDescent="0.15"/>
    <row r="11801" s="69" customFormat="1" x14ac:dyDescent="0.15"/>
    <row r="11802" s="69" customFormat="1" x14ac:dyDescent="0.15"/>
    <row r="11803" s="69" customFormat="1" x14ac:dyDescent="0.15"/>
    <row r="11804" s="69" customFormat="1" x14ac:dyDescent="0.15"/>
    <row r="11805" s="69" customFormat="1" x14ac:dyDescent="0.15"/>
    <row r="11806" s="69" customFormat="1" x14ac:dyDescent="0.15"/>
    <row r="11807" s="69" customFormat="1" x14ac:dyDescent="0.15"/>
    <row r="11808" s="69" customFormat="1" x14ac:dyDescent="0.15"/>
    <row r="11809" s="69" customFormat="1" x14ac:dyDescent="0.15"/>
    <row r="11810" s="69" customFormat="1" x14ac:dyDescent="0.15"/>
    <row r="11811" s="69" customFormat="1" x14ac:dyDescent="0.15"/>
    <row r="11812" s="69" customFormat="1" x14ac:dyDescent="0.15"/>
    <row r="11813" s="69" customFormat="1" x14ac:dyDescent="0.15"/>
    <row r="11814" s="69" customFormat="1" x14ac:dyDescent="0.15"/>
    <row r="11815" s="69" customFormat="1" x14ac:dyDescent="0.15"/>
    <row r="11816" s="69" customFormat="1" x14ac:dyDescent="0.15"/>
    <row r="11817" s="69" customFormat="1" x14ac:dyDescent="0.15"/>
    <row r="11818" s="69" customFormat="1" x14ac:dyDescent="0.15"/>
    <row r="11819" s="69" customFormat="1" x14ac:dyDescent="0.15"/>
    <row r="11820" s="69" customFormat="1" x14ac:dyDescent="0.15"/>
    <row r="11821" s="69" customFormat="1" x14ac:dyDescent="0.15"/>
    <row r="11822" s="69" customFormat="1" x14ac:dyDescent="0.15"/>
    <row r="11823" s="69" customFormat="1" x14ac:dyDescent="0.15"/>
    <row r="11824" s="69" customFormat="1" x14ac:dyDescent="0.15"/>
    <row r="11825" s="69" customFormat="1" x14ac:dyDescent="0.15"/>
    <row r="11826" s="69" customFormat="1" x14ac:dyDescent="0.15"/>
    <row r="11827" s="69" customFormat="1" x14ac:dyDescent="0.15"/>
    <row r="11828" s="69" customFormat="1" x14ac:dyDescent="0.15"/>
    <row r="11829" s="69" customFormat="1" x14ac:dyDescent="0.15"/>
    <row r="11830" s="69" customFormat="1" x14ac:dyDescent="0.15"/>
    <row r="11831" s="69" customFormat="1" x14ac:dyDescent="0.15"/>
    <row r="11832" s="69" customFormat="1" x14ac:dyDescent="0.15"/>
    <row r="11833" s="69" customFormat="1" x14ac:dyDescent="0.15"/>
    <row r="11834" s="69" customFormat="1" x14ac:dyDescent="0.15"/>
    <row r="11835" s="69" customFormat="1" x14ac:dyDescent="0.15"/>
    <row r="11836" s="69" customFormat="1" x14ac:dyDescent="0.15"/>
    <row r="11837" s="69" customFormat="1" x14ac:dyDescent="0.15"/>
    <row r="11838" s="69" customFormat="1" x14ac:dyDescent="0.15"/>
    <row r="11839" s="69" customFormat="1" x14ac:dyDescent="0.15"/>
    <row r="11840" s="69" customFormat="1" x14ac:dyDescent="0.15"/>
    <row r="11841" s="69" customFormat="1" x14ac:dyDescent="0.15"/>
    <row r="11842" s="69" customFormat="1" x14ac:dyDescent="0.15"/>
    <row r="11843" s="69" customFormat="1" x14ac:dyDescent="0.15"/>
    <row r="11844" s="69" customFormat="1" x14ac:dyDescent="0.15"/>
    <row r="11845" s="69" customFormat="1" x14ac:dyDescent="0.15"/>
    <row r="11846" s="69" customFormat="1" x14ac:dyDescent="0.15"/>
    <row r="11847" s="69" customFormat="1" x14ac:dyDescent="0.15"/>
    <row r="11848" s="69" customFormat="1" x14ac:dyDescent="0.15"/>
    <row r="11849" s="69" customFormat="1" x14ac:dyDescent="0.15"/>
    <row r="11850" s="69" customFormat="1" x14ac:dyDescent="0.15"/>
    <row r="11851" s="69" customFormat="1" x14ac:dyDescent="0.15"/>
    <row r="11852" s="69" customFormat="1" x14ac:dyDescent="0.15"/>
    <row r="11853" s="69" customFormat="1" x14ac:dyDescent="0.15"/>
    <row r="11854" s="69" customFormat="1" x14ac:dyDescent="0.15"/>
    <row r="11855" s="69" customFormat="1" x14ac:dyDescent="0.15"/>
    <row r="11856" s="69" customFormat="1" x14ac:dyDescent="0.15"/>
    <row r="11857" s="69" customFormat="1" x14ac:dyDescent="0.15"/>
    <row r="11858" s="69" customFormat="1" x14ac:dyDescent="0.15"/>
    <row r="11859" s="69" customFormat="1" x14ac:dyDescent="0.15"/>
    <row r="11860" s="69" customFormat="1" x14ac:dyDescent="0.15"/>
    <row r="11861" s="69" customFormat="1" x14ac:dyDescent="0.15"/>
    <row r="11862" s="69" customFormat="1" x14ac:dyDescent="0.15"/>
    <row r="11863" s="69" customFormat="1" x14ac:dyDescent="0.15"/>
    <row r="11864" s="69" customFormat="1" x14ac:dyDescent="0.15"/>
    <row r="11865" s="69" customFormat="1" x14ac:dyDescent="0.15"/>
    <row r="11866" s="69" customFormat="1" x14ac:dyDescent="0.15"/>
    <row r="11867" s="69" customFormat="1" x14ac:dyDescent="0.15"/>
    <row r="11868" s="69" customFormat="1" x14ac:dyDescent="0.15"/>
    <row r="11869" s="69" customFormat="1" x14ac:dyDescent="0.15"/>
    <row r="11870" s="69" customFormat="1" x14ac:dyDescent="0.15"/>
    <row r="11871" s="69" customFormat="1" x14ac:dyDescent="0.15"/>
    <row r="11872" s="69" customFormat="1" x14ac:dyDescent="0.15"/>
    <row r="11873" s="69" customFormat="1" x14ac:dyDescent="0.15"/>
    <row r="11874" s="69" customFormat="1" x14ac:dyDescent="0.15"/>
    <row r="11875" s="69" customFormat="1" x14ac:dyDescent="0.15"/>
    <row r="11876" s="69" customFormat="1" x14ac:dyDescent="0.15"/>
    <row r="11877" s="69" customFormat="1" x14ac:dyDescent="0.15"/>
    <row r="11878" s="69" customFormat="1" x14ac:dyDescent="0.15"/>
    <row r="11879" s="69" customFormat="1" x14ac:dyDescent="0.15"/>
    <row r="11880" s="69" customFormat="1" x14ac:dyDescent="0.15"/>
    <row r="11881" s="69" customFormat="1" x14ac:dyDescent="0.15"/>
    <row r="11882" s="69" customFormat="1" x14ac:dyDescent="0.15"/>
    <row r="11883" s="69" customFormat="1" x14ac:dyDescent="0.15"/>
    <row r="11884" s="69" customFormat="1" x14ac:dyDescent="0.15"/>
    <row r="11885" s="69" customFormat="1" x14ac:dyDescent="0.15"/>
    <row r="11886" s="69" customFormat="1" x14ac:dyDescent="0.15"/>
    <row r="11887" s="69" customFormat="1" x14ac:dyDescent="0.15"/>
    <row r="11888" s="69" customFormat="1" x14ac:dyDescent="0.15"/>
    <row r="11889" s="69" customFormat="1" x14ac:dyDescent="0.15"/>
    <row r="11890" s="69" customFormat="1" x14ac:dyDescent="0.15"/>
    <row r="11891" s="69" customFormat="1" x14ac:dyDescent="0.15"/>
    <row r="11892" s="69" customFormat="1" x14ac:dyDescent="0.15"/>
    <row r="11893" s="69" customFormat="1" x14ac:dyDescent="0.15"/>
    <row r="11894" s="69" customFormat="1" x14ac:dyDescent="0.15"/>
    <row r="11895" s="69" customFormat="1" x14ac:dyDescent="0.15"/>
    <row r="11896" s="69" customFormat="1" x14ac:dyDescent="0.15"/>
    <row r="11897" s="69" customFormat="1" x14ac:dyDescent="0.15"/>
    <row r="11898" s="69" customFormat="1" x14ac:dyDescent="0.15"/>
    <row r="11899" s="69" customFormat="1" x14ac:dyDescent="0.15"/>
    <row r="11900" s="69" customFormat="1" x14ac:dyDescent="0.15"/>
    <row r="11901" s="69" customFormat="1" x14ac:dyDescent="0.15"/>
    <row r="11902" s="69" customFormat="1" x14ac:dyDescent="0.15"/>
    <row r="11903" s="69" customFormat="1" x14ac:dyDescent="0.15"/>
    <row r="11904" s="69" customFormat="1" x14ac:dyDescent="0.15"/>
    <row r="11905" s="69" customFormat="1" x14ac:dyDescent="0.15"/>
    <row r="11906" s="69" customFormat="1" x14ac:dyDescent="0.15"/>
    <row r="11907" s="69" customFormat="1" x14ac:dyDescent="0.15"/>
    <row r="11908" s="69" customFormat="1" x14ac:dyDescent="0.15"/>
    <row r="11909" s="69" customFormat="1" x14ac:dyDescent="0.15"/>
    <row r="11910" s="69" customFormat="1" x14ac:dyDescent="0.15"/>
    <row r="11911" s="69" customFormat="1" x14ac:dyDescent="0.15"/>
    <row r="11912" s="69" customFormat="1" x14ac:dyDescent="0.15"/>
    <row r="11913" s="69" customFormat="1" x14ac:dyDescent="0.15"/>
    <row r="11914" s="69" customFormat="1" x14ac:dyDescent="0.15"/>
    <row r="11915" s="69" customFormat="1" x14ac:dyDescent="0.15"/>
    <row r="11916" s="69" customFormat="1" x14ac:dyDescent="0.15"/>
    <row r="11917" s="69" customFormat="1" x14ac:dyDescent="0.15"/>
    <row r="11918" s="69" customFormat="1" x14ac:dyDescent="0.15"/>
    <row r="11919" s="69" customFormat="1" x14ac:dyDescent="0.15"/>
    <row r="11920" s="69" customFormat="1" x14ac:dyDescent="0.15"/>
    <row r="11921" s="69" customFormat="1" x14ac:dyDescent="0.15"/>
    <row r="11922" s="69" customFormat="1" x14ac:dyDescent="0.15"/>
    <row r="11923" s="69" customFormat="1" x14ac:dyDescent="0.15"/>
    <row r="11924" s="69" customFormat="1" x14ac:dyDescent="0.15"/>
    <row r="11925" s="69" customFormat="1" x14ac:dyDescent="0.15"/>
    <row r="11926" s="69" customFormat="1" x14ac:dyDescent="0.15"/>
    <row r="11927" s="69" customFormat="1" x14ac:dyDescent="0.15"/>
    <row r="11928" s="69" customFormat="1" x14ac:dyDescent="0.15"/>
    <row r="11929" s="69" customFormat="1" x14ac:dyDescent="0.15"/>
    <row r="11930" s="69" customFormat="1" x14ac:dyDescent="0.15"/>
    <row r="11931" s="69" customFormat="1" x14ac:dyDescent="0.15"/>
    <row r="11932" s="69" customFormat="1" x14ac:dyDescent="0.15"/>
    <row r="11933" s="69" customFormat="1" x14ac:dyDescent="0.15"/>
    <row r="11934" s="69" customFormat="1" x14ac:dyDescent="0.15"/>
    <row r="11935" s="69" customFormat="1" x14ac:dyDescent="0.15"/>
    <row r="11936" s="69" customFormat="1" x14ac:dyDescent="0.15"/>
    <row r="11937" s="69" customFormat="1" x14ac:dyDescent="0.15"/>
    <row r="11938" s="69" customFormat="1" x14ac:dyDescent="0.15"/>
    <row r="11939" s="69" customFormat="1" x14ac:dyDescent="0.15"/>
    <row r="11940" s="69" customFormat="1" x14ac:dyDescent="0.15"/>
    <row r="11941" s="69" customFormat="1" x14ac:dyDescent="0.15"/>
    <row r="11942" s="69" customFormat="1" x14ac:dyDescent="0.15"/>
    <row r="11943" s="69" customFormat="1" x14ac:dyDescent="0.15"/>
    <row r="11944" s="69" customFormat="1" x14ac:dyDescent="0.15"/>
    <row r="11945" s="69" customFormat="1" x14ac:dyDescent="0.15"/>
    <row r="11946" s="69" customFormat="1" x14ac:dyDescent="0.15"/>
    <row r="11947" s="69" customFormat="1" x14ac:dyDescent="0.15"/>
    <row r="11948" s="69" customFormat="1" x14ac:dyDescent="0.15"/>
    <row r="11949" s="69" customFormat="1" x14ac:dyDescent="0.15"/>
    <row r="11950" s="69" customFormat="1" x14ac:dyDescent="0.15"/>
    <row r="11951" s="69" customFormat="1" x14ac:dyDescent="0.15"/>
    <row r="11952" s="69" customFormat="1" x14ac:dyDescent="0.15"/>
    <row r="11953" s="69" customFormat="1" x14ac:dyDescent="0.15"/>
    <row r="11954" s="69" customFormat="1" x14ac:dyDescent="0.15"/>
    <row r="11955" s="69" customFormat="1" x14ac:dyDescent="0.15"/>
    <row r="11956" s="69" customFormat="1" x14ac:dyDescent="0.15"/>
    <row r="11957" s="69" customFormat="1" x14ac:dyDescent="0.15"/>
    <row r="11958" s="69" customFormat="1" x14ac:dyDescent="0.15"/>
    <row r="11959" s="69" customFormat="1" x14ac:dyDescent="0.15"/>
    <row r="11960" s="69" customFormat="1" x14ac:dyDescent="0.15"/>
    <row r="11961" s="69" customFormat="1" x14ac:dyDescent="0.15"/>
    <row r="11962" s="69" customFormat="1" x14ac:dyDescent="0.15"/>
    <row r="11963" s="69" customFormat="1" x14ac:dyDescent="0.15"/>
    <row r="11964" s="69" customFormat="1" x14ac:dyDescent="0.15"/>
    <row r="11965" s="69" customFormat="1" x14ac:dyDescent="0.15"/>
    <row r="11966" s="69" customFormat="1" x14ac:dyDescent="0.15"/>
    <row r="11967" s="69" customFormat="1" x14ac:dyDescent="0.15"/>
    <row r="11968" s="69" customFormat="1" x14ac:dyDescent="0.15"/>
    <row r="11969" s="69" customFormat="1" x14ac:dyDescent="0.15"/>
    <row r="11970" s="69" customFormat="1" x14ac:dyDescent="0.15"/>
    <row r="11971" s="69" customFormat="1" x14ac:dyDescent="0.15"/>
    <row r="11972" s="69" customFormat="1" x14ac:dyDescent="0.15"/>
    <row r="11973" s="69" customFormat="1" x14ac:dyDescent="0.15"/>
    <row r="11974" s="69" customFormat="1" x14ac:dyDescent="0.15"/>
    <row r="11975" s="69" customFormat="1" x14ac:dyDescent="0.15"/>
    <row r="11976" s="69" customFormat="1" x14ac:dyDescent="0.15"/>
    <row r="11977" s="69" customFormat="1" x14ac:dyDescent="0.15"/>
    <row r="11978" s="69" customFormat="1" x14ac:dyDescent="0.15"/>
    <row r="11979" s="69" customFormat="1" x14ac:dyDescent="0.15"/>
    <row r="11980" s="69" customFormat="1" x14ac:dyDescent="0.15"/>
    <row r="11981" s="69" customFormat="1" x14ac:dyDescent="0.15"/>
    <row r="11982" s="69" customFormat="1" x14ac:dyDescent="0.15"/>
    <row r="11983" s="69" customFormat="1" x14ac:dyDescent="0.15"/>
    <row r="11984" s="69" customFormat="1" x14ac:dyDescent="0.15"/>
    <row r="11985" s="69" customFormat="1" x14ac:dyDescent="0.15"/>
    <row r="11986" s="69" customFormat="1" x14ac:dyDescent="0.15"/>
    <row r="11987" s="69" customFormat="1" x14ac:dyDescent="0.15"/>
    <row r="11988" s="69" customFormat="1" x14ac:dyDescent="0.15"/>
    <row r="11989" s="69" customFormat="1" x14ac:dyDescent="0.15"/>
    <row r="11990" s="69" customFormat="1" x14ac:dyDescent="0.15"/>
    <row r="11991" s="69" customFormat="1" x14ac:dyDescent="0.15"/>
    <row r="11992" s="69" customFormat="1" x14ac:dyDescent="0.15"/>
    <row r="11993" s="69" customFormat="1" x14ac:dyDescent="0.15"/>
    <row r="11994" s="69" customFormat="1" x14ac:dyDescent="0.15"/>
    <row r="11995" s="69" customFormat="1" x14ac:dyDescent="0.15"/>
    <row r="11996" s="69" customFormat="1" x14ac:dyDescent="0.15"/>
    <row r="11997" s="69" customFormat="1" x14ac:dyDescent="0.15"/>
    <row r="11998" s="69" customFormat="1" x14ac:dyDescent="0.15"/>
    <row r="11999" s="69" customFormat="1" x14ac:dyDescent="0.15"/>
    <row r="12000" s="69" customFormat="1" x14ac:dyDescent="0.15"/>
    <row r="12001" s="69" customFormat="1" x14ac:dyDescent="0.15"/>
    <row r="12002" s="69" customFormat="1" x14ac:dyDescent="0.15"/>
    <row r="12003" s="69" customFormat="1" x14ac:dyDescent="0.15"/>
    <row r="12004" s="69" customFormat="1" x14ac:dyDescent="0.15"/>
    <row r="12005" s="69" customFormat="1" x14ac:dyDescent="0.15"/>
    <row r="12006" s="69" customFormat="1" x14ac:dyDescent="0.15"/>
    <row r="12007" s="69" customFormat="1" x14ac:dyDescent="0.15"/>
    <row r="12008" s="69" customFormat="1" x14ac:dyDescent="0.15"/>
    <row r="12009" s="69" customFormat="1" x14ac:dyDescent="0.15"/>
    <row r="12010" s="69" customFormat="1" x14ac:dyDescent="0.15"/>
    <row r="12011" s="69" customFormat="1" x14ac:dyDescent="0.15"/>
    <row r="12012" s="69" customFormat="1" x14ac:dyDescent="0.15"/>
    <row r="12013" s="69" customFormat="1" x14ac:dyDescent="0.15"/>
    <row r="12014" s="69" customFormat="1" x14ac:dyDescent="0.15"/>
    <row r="12015" s="69" customFormat="1" x14ac:dyDescent="0.15"/>
    <row r="12016" s="69" customFormat="1" x14ac:dyDescent="0.15"/>
    <row r="12017" s="69" customFormat="1" x14ac:dyDescent="0.15"/>
    <row r="12018" s="69" customFormat="1" x14ac:dyDescent="0.15"/>
    <row r="12019" s="69" customFormat="1" x14ac:dyDescent="0.15"/>
    <row r="12020" s="69" customFormat="1" x14ac:dyDescent="0.15"/>
    <row r="12021" s="69" customFormat="1" x14ac:dyDescent="0.15"/>
    <row r="12022" s="69" customFormat="1" x14ac:dyDescent="0.15"/>
    <row r="12023" s="69" customFormat="1" x14ac:dyDescent="0.15"/>
    <row r="12024" s="69" customFormat="1" x14ac:dyDescent="0.15"/>
    <row r="12025" s="69" customFormat="1" x14ac:dyDescent="0.15"/>
    <row r="12026" s="69" customFormat="1" x14ac:dyDescent="0.15"/>
    <row r="12027" s="69" customFormat="1" x14ac:dyDescent="0.15"/>
    <row r="12028" s="69" customFormat="1" x14ac:dyDescent="0.15"/>
    <row r="12029" s="69" customFormat="1" x14ac:dyDescent="0.15"/>
    <row r="12030" s="69" customFormat="1" x14ac:dyDescent="0.15"/>
    <row r="12031" s="69" customFormat="1" x14ac:dyDescent="0.15"/>
    <row r="12032" s="69" customFormat="1" x14ac:dyDescent="0.15"/>
    <row r="12033" s="69" customFormat="1" x14ac:dyDescent="0.15"/>
    <row r="12034" s="69" customFormat="1" x14ac:dyDescent="0.15"/>
    <row r="12035" s="69" customFormat="1" x14ac:dyDescent="0.15"/>
    <row r="12036" s="69" customFormat="1" x14ac:dyDescent="0.15"/>
    <row r="12037" s="69" customFormat="1" x14ac:dyDescent="0.15"/>
    <row r="12038" s="69" customFormat="1" x14ac:dyDescent="0.15"/>
    <row r="12039" s="69" customFormat="1" x14ac:dyDescent="0.15"/>
    <row r="12040" s="69" customFormat="1" x14ac:dyDescent="0.15"/>
    <row r="12041" s="69" customFormat="1" x14ac:dyDescent="0.15"/>
    <row r="12042" s="69" customFormat="1" x14ac:dyDescent="0.15"/>
    <row r="12043" s="69" customFormat="1" x14ac:dyDescent="0.15"/>
    <row r="12044" s="69" customFormat="1" x14ac:dyDescent="0.15"/>
    <row r="12045" s="69" customFormat="1" x14ac:dyDescent="0.15"/>
    <row r="12046" s="69" customFormat="1" x14ac:dyDescent="0.15"/>
    <row r="12047" s="69" customFormat="1" x14ac:dyDescent="0.15"/>
    <row r="12048" s="69" customFormat="1" x14ac:dyDescent="0.15"/>
    <row r="12049" s="69" customFormat="1" x14ac:dyDescent="0.15"/>
    <row r="12050" s="69" customFormat="1" x14ac:dyDescent="0.15"/>
    <row r="12051" s="69" customFormat="1" x14ac:dyDescent="0.15"/>
    <row r="12052" s="69" customFormat="1" x14ac:dyDescent="0.15"/>
    <row r="12053" s="69" customFormat="1" x14ac:dyDescent="0.15"/>
    <row r="12054" s="69" customFormat="1" x14ac:dyDescent="0.15"/>
    <row r="12055" s="69" customFormat="1" x14ac:dyDescent="0.15"/>
    <row r="12056" s="69" customFormat="1" x14ac:dyDescent="0.15"/>
    <row r="12057" s="69" customFormat="1" x14ac:dyDescent="0.15"/>
    <row r="12058" s="69" customFormat="1" x14ac:dyDescent="0.15"/>
    <row r="12059" s="69" customFormat="1" x14ac:dyDescent="0.15"/>
    <row r="12060" s="69" customFormat="1" x14ac:dyDescent="0.15"/>
    <row r="12061" s="69" customFormat="1" x14ac:dyDescent="0.15"/>
    <row r="12062" s="69" customFormat="1" x14ac:dyDescent="0.15"/>
    <row r="12063" s="69" customFormat="1" x14ac:dyDescent="0.15"/>
    <row r="12064" s="69" customFormat="1" x14ac:dyDescent="0.15"/>
    <row r="12065" s="69" customFormat="1" x14ac:dyDescent="0.15"/>
    <row r="12066" s="69" customFormat="1" x14ac:dyDescent="0.15"/>
    <row r="12067" s="69" customFormat="1" x14ac:dyDescent="0.15"/>
    <row r="12068" s="69" customFormat="1" x14ac:dyDescent="0.15"/>
    <row r="12069" s="69" customFormat="1" x14ac:dyDescent="0.15"/>
    <row r="12070" s="69" customFormat="1" x14ac:dyDescent="0.15"/>
    <row r="12071" s="69" customFormat="1" x14ac:dyDescent="0.15"/>
    <row r="12072" s="69" customFormat="1" x14ac:dyDescent="0.15"/>
    <row r="12073" s="69" customFormat="1" x14ac:dyDescent="0.15"/>
    <row r="12074" s="69" customFormat="1" x14ac:dyDescent="0.15"/>
    <row r="12075" s="69" customFormat="1" x14ac:dyDescent="0.15"/>
    <row r="12076" s="69" customFormat="1" x14ac:dyDescent="0.15"/>
    <row r="12077" s="69" customFormat="1" x14ac:dyDescent="0.15"/>
    <row r="12078" s="69" customFormat="1" x14ac:dyDescent="0.15"/>
    <row r="12079" s="69" customFormat="1" x14ac:dyDescent="0.15"/>
    <row r="12080" s="69" customFormat="1" x14ac:dyDescent="0.15"/>
    <row r="12081" s="69" customFormat="1" x14ac:dyDescent="0.15"/>
    <row r="12082" s="69" customFormat="1" x14ac:dyDescent="0.15"/>
    <row r="12083" s="69" customFormat="1" x14ac:dyDescent="0.15"/>
    <row r="12084" s="69" customFormat="1" x14ac:dyDescent="0.15"/>
    <row r="12085" s="69" customFormat="1" x14ac:dyDescent="0.15"/>
    <row r="12086" s="69" customFormat="1" x14ac:dyDescent="0.15"/>
    <row r="12087" s="69" customFormat="1" x14ac:dyDescent="0.15"/>
    <row r="12088" s="69" customFormat="1" x14ac:dyDescent="0.15"/>
    <row r="12089" s="69" customFormat="1" x14ac:dyDescent="0.15"/>
    <row r="12090" s="69" customFormat="1" x14ac:dyDescent="0.15"/>
    <row r="12091" s="69" customFormat="1" x14ac:dyDescent="0.15"/>
    <row r="12092" s="69" customFormat="1" x14ac:dyDescent="0.15"/>
    <row r="12093" s="69" customFormat="1" x14ac:dyDescent="0.15"/>
    <row r="12094" s="69" customFormat="1" x14ac:dyDescent="0.15"/>
    <row r="12095" s="69" customFormat="1" x14ac:dyDescent="0.15"/>
    <row r="12096" s="69" customFormat="1" x14ac:dyDescent="0.15"/>
    <row r="12097" s="69" customFormat="1" x14ac:dyDescent="0.15"/>
    <row r="12098" s="69" customFormat="1" x14ac:dyDescent="0.15"/>
    <row r="12099" s="69" customFormat="1" x14ac:dyDescent="0.15"/>
    <row r="12100" s="69" customFormat="1" x14ac:dyDescent="0.15"/>
    <row r="12101" s="69" customFormat="1" x14ac:dyDescent="0.15"/>
    <row r="12102" s="69" customFormat="1" x14ac:dyDescent="0.15"/>
    <row r="12103" s="69" customFormat="1" x14ac:dyDescent="0.15"/>
    <row r="12104" s="69" customFormat="1" x14ac:dyDescent="0.15"/>
    <row r="12105" s="69" customFormat="1" x14ac:dyDescent="0.15"/>
    <row r="12106" s="69" customFormat="1" x14ac:dyDescent="0.15"/>
    <row r="12107" s="69" customFormat="1" x14ac:dyDescent="0.15"/>
    <row r="12108" s="69" customFormat="1" x14ac:dyDescent="0.15"/>
    <row r="12109" s="69" customFormat="1" x14ac:dyDescent="0.15"/>
    <row r="12110" s="69" customFormat="1" x14ac:dyDescent="0.15"/>
    <row r="12111" s="69" customFormat="1" x14ac:dyDescent="0.15"/>
    <row r="12112" s="69" customFormat="1" x14ac:dyDescent="0.15"/>
    <row r="12113" s="69" customFormat="1" x14ac:dyDescent="0.15"/>
    <row r="12114" s="69" customFormat="1" x14ac:dyDescent="0.15"/>
    <row r="12115" s="69" customFormat="1" x14ac:dyDescent="0.15"/>
    <row r="12116" s="69" customFormat="1" x14ac:dyDescent="0.15"/>
    <row r="12117" s="69" customFormat="1" x14ac:dyDescent="0.15"/>
    <row r="12118" s="69" customFormat="1" x14ac:dyDescent="0.15"/>
    <row r="12119" s="69" customFormat="1" x14ac:dyDescent="0.15"/>
    <row r="12120" s="69" customFormat="1" x14ac:dyDescent="0.15"/>
    <row r="12121" s="69" customFormat="1" x14ac:dyDescent="0.15"/>
    <row r="12122" s="69" customFormat="1" x14ac:dyDescent="0.15"/>
    <row r="12123" s="69" customFormat="1" x14ac:dyDescent="0.15"/>
    <row r="12124" s="69" customFormat="1" x14ac:dyDescent="0.15"/>
    <row r="12125" s="69" customFormat="1" x14ac:dyDescent="0.15"/>
    <row r="12126" s="69" customFormat="1" x14ac:dyDescent="0.15"/>
    <row r="12127" s="69" customFormat="1" x14ac:dyDescent="0.15"/>
    <row r="12128" s="69" customFormat="1" x14ac:dyDescent="0.15"/>
    <row r="12129" s="69" customFormat="1" x14ac:dyDescent="0.15"/>
    <row r="12130" s="69" customFormat="1" x14ac:dyDescent="0.15"/>
    <row r="12131" s="69" customFormat="1" x14ac:dyDescent="0.15"/>
    <row r="12132" s="69" customFormat="1" x14ac:dyDescent="0.15"/>
    <row r="12133" s="69" customFormat="1" x14ac:dyDescent="0.15"/>
    <row r="12134" s="69" customFormat="1" x14ac:dyDescent="0.15"/>
    <row r="12135" s="69" customFormat="1" x14ac:dyDescent="0.15"/>
    <row r="12136" s="69" customFormat="1" x14ac:dyDescent="0.15"/>
    <row r="12137" s="69" customFormat="1" x14ac:dyDescent="0.15"/>
    <row r="12138" s="69" customFormat="1" x14ac:dyDescent="0.15"/>
    <row r="12139" s="69" customFormat="1" x14ac:dyDescent="0.15"/>
    <row r="12140" s="69" customFormat="1" x14ac:dyDescent="0.15"/>
    <row r="12141" s="69" customFormat="1" x14ac:dyDescent="0.15"/>
    <row r="12142" s="69" customFormat="1" x14ac:dyDescent="0.15"/>
    <row r="12143" s="69" customFormat="1" x14ac:dyDescent="0.15"/>
    <row r="12144" s="69" customFormat="1" x14ac:dyDescent="0.15"/>
    <row r="12145" s="69" customFormat="1" x14ac:dyDescent="0.15"/>
    <row r="12146" s="69" customFormat="1" x14ac:dyDescent="0.15"/>
    <row r="12147" s="69" customFormat="1" x14ac:dyDescent="0.15"/>
    <row r="12148" s="69" customFormat="1" x14ac:dyDescent="0.15"/>
    <row r="12149" s="69" customFormat="1" x14ac:dyDescent="0.15"/>
    <row r="12150" s="69" customFormat="1" x14ac:dyDescent="0.15"/>
    <row r="12151" s="69" customFormat="1" x14ac:dyDescent="0.15"/>
    <row r="12152" s="69" customFormat="1" x14ac:dyDescent="0.15"/>
    <row r="12153" s="69" customFormat="1" x14ac:dyDescent="0.15"/>
    <row r="12154" s="69" customFormat="1" x14ac:dyDescent="0.15"/>
    <row r="12155" s="69" customFormat="1" x14ac:dyDescent="0.15"/>
    <row r="12156" s="69" customFormat="1" x14ac:dyDescent="0.15"/>
    <row r="12157" s="69" customFormat="1" x14ac:dyDescent="0.15"/>
    <row r="12158" s="69" customFormat="1" x14ac:dyDescent="0.15"/>
    <row r="12159" s="69" customFormat="1" x14ac:dyDescent="0.15"/>
    <row r="12160" s="69" customFormat="1" x14ac:dyDescent="0.15"/>
    <row r="12161" s="69" customFormat="1" x14ac:dyDescent="0.15"/>
    <row r="12162" s="69" customFormat="1" x14ac:dyDescent="0.15"/>
    <row r="12163" s="69" customFormat="1" x14ac:dyDescent="0.15"/>
    <row r="12164" s="69" customFormat="1" x14ac:dyDescent="0.15"/>
    <row r="12165" s="69" customFormat="1" x14ac:dyDescent="0.15"/>
    <row r="12166" s="69" customFormat="1" x14ac:dyDescent="0.15"/>
    <row r="12167" s="69" customFormat="1" x14ac:dyDescent="0.15"/>
    <row r="12168" s="69" customFormat="1" x14ac:dyDescent="0.15"/>
    <row r="12169" s="69" customFormat="1" x14ac:dyDescent="0.15"/>
    <row r="12170" s="69" customFormat="1" x14ac:dyDescent="0.15"/>
    <row r="12171" s="69" customFormat="1" x14ac:dyDescent="0.15"/>
    <row r="12172" s="69" customFormat="1" x14ac:dyDescent="0.15"/>
    <row r="12173" s="69" customFormat="1" x14ac:dyDescent="0.15"/>
    <row r="12174" s="69" customFormat="1" x14ac:dyDescent="0.15"/>
    <row r="12175" s="69" customFormat="1" x14ac:dyDescent="0.15"/>
    <row r="12176" s="69" customFormat="1" x14ac:dyDescent="0.15"/>
    <row r="12177" s="69" customFormat="1" x14ac:dyDescent="0.15"/>
    <row r="12178" s="69" customFormat="1" x14ac:dyDescent="0.15"/>
    <row r="12179" s="69" customFormat="1" x14ac:dyDescent="0.15"/>
    <row r="12180" s="69" customFormat="1" x14ac:dyDescent="0.15"/>
    <row r="12181" s="69" customFormat="1" x14ac:dyDescent="0.15"/>
    <row r="12182" s="69" customFormat="1" x14ac:dyDescent="0.15"/>
    <row r="12183" s="69" customFormat="1" x14ac:dyDescent="0.15"/>
    <row r="12184" s="69" customFormat="1" x14ac:dyDescent="0.15"/>
    <row r="12185" s="69" customFormat="1" x14ac:dyDescent="0.15"/>
    <row r="12186" s="69" customFormat="1" x14ac:dyDescent="0.15"/>
    <row r="12187" s="69" customFormat="1" x14ac:dyDescent="0.15"/>
    <row r="12188" s="69" customFormat="1" x14ac:dyDescent="0.15"/>
    <row r="12189" s="69" customFormat="1" x14ac:dyDescent="0.15"/>
    <row r="12190" s="69" customFormat="1" x14ac:dyDescent="0.15"/>
    <row r="12191" s="69" customFormat="1" x14ac:dyDescent="0.15"/>
    <row r="12192" s="69" customFormat="1" x14ac:dyDescent="0.15"/>
    <row r="12193" s="69" customFormat="1" x14ac:dyDescent="0.15"/>
    <row r="12194" s="69" customFormat="1" x14ac:dyDescent="0.15"/>
    <row r="12195" s="69" customFormat="1" x14ac:dyDescent="0.15"/>
    <row r="12196" s="69" customFormat="1" x14ac:dyDescent="0.15"/>
    <row r="12197" s="69" customFormat="1" x14ac:dyDescent="0.15"/>
    <row r="12198" s="69" customFormat="1" x14ac:dyDescent="0.15"/>
    <row r="12199" s="69" customFormat="1" x14ac:dyDescent="0.15"/>
    <row r="12200" s="69" customFormat="1" x14ac:dyDescent="0.15"/>
    <row r="12201" s="69" customFormat="1" x14ac:dyDescent="0.15"/>
    <row r="12202" s="69" customFormat="1" x14ac:dyDescent="0.15"/>
    <row r="12203" s="69" customFormat="1" x14ac:dyDescent="0.15"/>
    <row r="12204" s="69" customFormat="1" x14ac:dyDescent="0.15"/>
    <row r="12205" s="69" customFormat="1" x14ac:dyDescent="0.15"/>
    <row r="12206" s="69" customFormat="1" x14ac:dyDescent="0.15"/>
    <row r="12207" s="69" customFormat="1" x14ac:dyDescent="0.15"/>
    <row r="12208" s="69" customFormat="1" x14ac:dyDescent="0.15"/>
    <row r="12209" s="69" customFormat="1" x14ac:dyDescent="0.15"/>
    <row r="12210" s="69" customFormat="1" x14ac:dyDescent="0.15"/>
    <row r="12211" s="69" customFormat="1" x14ac:dyDescent="0.15"/>
    <row r="12212" s="69" customFormat="1" x14ac:dyDescent="0.15"/>
    <row r="12213" s="69" customFormat="1" x14ac:dyDescent="0.15"/>
    <row r="12214" s="69" customFormat="1" x14ac:dyDescent="0.15"/>
    <row r="12215" s="69" customFormat="1" x14ac:dyDescent="0.15"/>
    <row r="12216" s="69" customFormat="1" x14ac:dyDescent="0.15"/>
    <row r="12217" s="69" customFormat="1" x14ac:dyDescent="0.15"/>
    <row r="12218" s="69" customFormat="1" x14ac:dyDescent="0.15"/>
    <row r="12219" s="69" customFormat="1" x14ac:dyDescent="0.15"/>
    <row r="12220" s="69" customFormat="1" x14ac:dyDescent="0.15"/>
    <row r="12221" s="69" customFormat="1" x14ac:dyDescent="0.15"/>
    <row r="12222" s="69" customFormat="1" x14ac:dyDescent="0.15"/>
    <row r="12223" s="69" customFormat="1" x14ac:dyDescent="0.15"/>
    <row r="12224" s="69" customFormat="1" x14ac:dyDescent="0.15"/>
    <row r="12225" s="69" customFormat="1" x14ac:dyDescent="0.15"/>
    <row r="12226" s="69" customFormat="1" x14ac:dyDescent="0.15"/>
    <row r="12227" s="69" customFormat="1" x14ac:dyDescent="0.15"/>
    <row r="12228" s="69" customFormat="1" x14ac:dyDescent="0.15"/>
    <row r="12229" s="69" customFormat="1" x14ac:dyDescent="0.15"/>
    <row r="12230" s="69" customFormat="1" x14ac:dyDescent="0.15"/>
    <row r="12231" s="69" customFormat="1" x14ac:dyDescent="0.15"/>
    <row r="12232" s="69" customFormat="1" x14ac:dyDescent="0.15"/>
    <row r="12233" s="69" customFormat="1" x14ac:dyDescent="0.15"/>
    <row r="12234" s="69" customFormat="1" x14ac:dyDescent="0.15"/>
    <row r="12235" s="69" customFormat="1" x14ac:dyDescent="0.15"/>
    <row r="12236" s="69" customFormat="1" x14ac:dyDescent="0.15"/>
    <row r="12237" s="69" customFormat="1" x14ac:dyDescent="0.15"/>
    <row r="12238" s="69" customFormat="1" x14ac:dyDescent="0.15"/>
    <row r="12239" s="69" customFormat="1" x14ac:dyDescent="0.15"/>
    <row r="12240" s="69" customFormat="1" x14ac:dyDescent="0.15"/>
    <row r="12241" s="69" customFormat="1" x14ac:dyDescent="0.15"/>
    <row r="12242" s="69" customFormat="1" x14ac:dyDescent="0.15"/>
    <row r="12243" s="69" customFormat="1" x14ac:dyDescent="0.15"/>
    <row r="12244" s="69" customFormat="1" x14ac:dyDescent="0.15"/>
    <row r="12245" s="69" customFormat="1" x14ac:dyDescent="0.15"/>
    <row r="12246" s="69" customFormat="1" x14ac:dyDescent="0.15"/>
    <row r="12247" s="69" customFormat="1" x14ac:dyDescent="0.15"/>
    <row r="12248" s="69" customFormat="1" x14ac:dyDescent="0.15"/>
    <row r="12249" s="69" customFormat="1" x14ac:dyDescent="0.15"/>
    <row r="12250" s="69" customFormat="1" x14ac:dyDescent="0.15"/>
    <row r="12251" s="69" customFormat="1" x14ac:dyDescent="0.15"/>
    <row r="12252" s="69" customFormat="1" x14ac:dyDescent="0.15"/>
    <row r="12253" s="69" customFormat="1" x14ac:dyDescent="0.15"/>
    <row r="12254" s="69" customFormat="1" x14ac:dyDescent="0.15"/>
    <row r="12255" s="69" customFormat="1" x14ac:dyDescent="0.15"/>
    <row r="12256" s="69" customFormat="1" x14ac:dyDescent="0.15"/>
    <row r="12257" s="69" customFormat="1" x14ac:dyDescent="0.15"/>
    <row r="12258" s="69" customFormat="1" x14ac:dyDescent="0.15"/>
    <row r="12259" s="69" customFormat="1" x14ac:dyDescent="0.15"/>
    <row r="12260" s="69" customFormat="1" x14ac:dyDescent="0.15"/>
    <row r="12261" s="69" customFormat="1" x14ac:dyDescent="0.15"/>
    <row r="12262" s="69" customFormat="1" x14ac:dyDescent="0.15"/>
    <row r="12263" s="69" customFormat="1" x14ac:dyDescent="0.15"/>
    <row r="12264" s="69" customFormat="1" x14ac:dyDescent="0.15"/>
    <row r="12265" s="69" customFormat="1" x14ac:dyDescent="0.15"/>
    <row r="12266" s="69" customFormat="1" x14ac:dyDescent="0.15"/>
    <row r="12267" s="69" customFormat="1" x14ac:dyDescent="0.15"/>
    <row r="12268" s="69" customFormat="1" x14ac:dyDescent="0.15"/>
    <row r="12269" s="69" customFormat="1" x14ac:dyDescent="0.15"/>
    <row r="12270" s="69" customFormat="1" x14ac:dyDescent="0.15"/>
    <row r="12271" s="69" customFormat="1" x14ac:dyDescent="0.15"/>
    <row r="12272" s="69" customFormat="1" x14ac:dyDescent="0.15"/>
    <row r="12273" s="69" customFormat="1" x14ac:dyDescent="0.15"/>
    <row r="12274" s="69" customFormat="1" x14ac:dyDescent="0.15"/>
    <row r="12275" s="69" customFormat="1" x14ac:dyDescent="0.15"/>
    <row r="12276" s="69" customFormat="1" x14ac:dyDescent="0.15"/>
    <row r="12277" s="69" customFormat="1" x14ac:dyDescent="0.15"/>
    <row r="12278" s="69" customFormat="1" x14ac:dyDescent="0.15"/>
    <row r="12279" s="69" customFormat="1" x14ac:dyDescent="0.15"/>
    <row r="12280" s="69" customFormat="1" x14ac:dyDescent="0.15"/>
    <row r="12281" s="69" customFormat="1" x14ac:dyDescent="0.15"/>
    <row r="12282" s="69" customFormat="1" x14ac:dyDescent="0.15"/>
    <row r="12283" s="69" customFormat="1" x14ac:dyDescent="0.15"/>
    <row r="12284" s="69" customFormat="1" x14ac:dyDescent="0.15"/>
    <row r="12285" s="69" customFormat="1" x14ac:dyDescent="0.15"/>
    <row r="12286" s="69" customFormat="1" x14ac:dyDescent="0.15"/>
    <row r="12287" s="69" customFormat="1" x14ac:dyDescent="0.15"/>
    <row r="12288" s="69" customFormat="1" x14ac:dyDescent="0.15"/>
    <row r="12289" s="69" customFormat="1" x14ac:dyDescent="0.15"/>
    <row r="12290" s="69" customFormat="1" x14ac:dyDescent="0.15"/>
    <row r="12291" s="69" customFormat="1" x14ac:dyDescent="0.15"/>
    <row r="12292" s="69" customFormat="1" x14ac:dyDescent="0.15"/>
    <row r="12293" s="69" customFormat="1" x14ac:dyDescent="0.15"/>
    <row r="12294" s="69" customFormat="1" x14ac:dyDescent="0.15"/>
    <row r="12295" s="69" customFormat="1" x14ac:dyDescent="0.15"/>
    <row r="12296" s="69" customFormat="1" x14ac:dyDescent="0.15"/>
    <row r="12297" s="69" customFormat="1" x14ac:dyDescent="0.15"/>
    <row r="12298" s="69" customFormat="1" x14ac:dyDescent="0.15"/>
    <row r="12299" s="69" customFormat="1" x14ac:dyDescent="0.15"/>
    <row r="12300" s="69" customFormat="1" x14ac:dyDescent="0.15"/>
    <row r="12301" s="69" customFormat="1" x14ac:dyDescent="0.15"/>
    <row r="12302" s="69" customFormat="1" x14ac:dyDescent="0.15"/>
    <row r="12303" s="69" customFormat="1" x14ac:dyDescent="0.15"/>
    <row r="12304" s="69" customFormat="1" x14ac:dyDescent="0.15"/>
    <row r="12305" s="69" customFormat="1" x14ac:dyDescent="0.15"/>
    <row r="12306" s="69" customFormat="1" x14ac:dyDescent="0.15"/>
    <row r="12307" s="69" customFormat="1" x14ac:dyDescent="0.15"/>
    <row r="12308" s="69" customFormat="1" x14ac:dyDescent="0.15"/>
    <row r="12309" s="69" customFormat="1" x14ac:dyDescent="0.15"/>
    <row r="12310" s="69" customFormat="1" x14ac:dyDescent="0.15"/>
    <row r="12311" s="69" customFormat="1" x14ac:dyDescent="0.15"/>
    <row r="12312" s="69" customFormat="1" x14ac:dyDescent="0.15"/>
    <row r="12313" s="69" customFormat="1" x14ac:dyDescent="0.15"/>
    <row r="12314" s="69" customFormat="1" x14ac:dyDescent="0.15"/>
    <row r="12315" s="69" customFormat="1" x14ac:dyDescent="0.15"/>
    <row r="12316" s="69" customFormat="1" x14ac:dyDescent="0.15"/>
    <row r="12317" s="69" customFormat="1" x14ac:dyDescent="0.15"/>
    <row r="12318" s="69" customFormat="1" x14ac:dyDescent="0.15"/>
    <row r="12319" s="69" customFormat="1" x14ac:dyDescent="0.15"/>
    <row r="12320" s="69" customFormat="1" x14ac:dyDescent="0.15"/>
    <row r="12321" s="69" customFormat="1" x14ac:dyDescent="0.15"/>
    <row r="12322" s="69" customFormat="1" x14ac:dyDescent="0.15"/>
    <row r="12323" s="69" customFormat="1" x14ac:dyDescent="0.15"/>
    <row r="12324" s="69" customFormat="1" x14ac:dyDescent="0.15"/>
    <row r="12325" s="69" customFormat="1" x14ac:dyDescent="0.15"/>
    <row r="12326" s="69" customFormat="1" x14ac:dyDescent="0.15"/>
    <row r="12327" s="69" customFormat="1" x14ac:dyDescent="0.15"/>
    <row r="12328" s="69" customFormat="1" x14ac:dyDescent="0.15"/>
    <row r="12329" s="69" customFormat="1" x14ac:dyDescent="0.15"/>
    <row r="12330" s="69" customFormat="1" x14ac:dyDescent="0.15"/>
    <row r="12331" s="69" customFormat="1" x14ac:dyDescent="0.15"/>
    <row r="12332" s="69" customFormat="1" x14ac:dyDescent="0.15"/>
    <row r="12333" s="69" customFormat="1" x14ac:dyDescent="0.15"/>
    <row r="12334" s="69" customFormat="1" x14ac:dyDescent="0.15"/>
    <row r="12335" s="69" customFormat="1" x14ac:dyDescent="0.15"/>
    <row r="12336" s="69" customFormat="1" x14ac:dyDescent="0.15"/>
    <row r="12337" s="69" customFormat="1" x14ac:dyDescent="0.15"/>
    <row r="12338" s="69" customFormat="1" x14ac:dyDescent="0.15"/>
    <row r="12339" s="69" customFormat="1" x14ac:dyDescent="0.15"/>
    <row r="12340" s="69" customFormat="1" x14ac:dyDescent="0.15"/>
    <row r="12341" s="69" customFormat="1" x14ac:dyDescent="0.15"/>
    <row r="12342" s="69" customFormat="1" x14ac:dyDescent="0.15"/>
    <row r="12343" s="69" customFormat="1" x14ac:dyDescent="0.15"/>
    <row r="12344" s="69" customFormat="1" x14ac:dyDescent="0.15"/>
    <row r="12345" s="69" customFormat="1" x14ac:dyDescent="0.15"/>
    <row r="12346" s="69" customFormat="1" x14ac:dyDescent="0.15"/>
    <row r="12347" s="69" customFormat="1" x14ac:dyDescent="0.15"/>
    <row r="12348" s="69" customFormat="1" x14ac:dyDescent="0.15"/>
    <row r="12349" s="69" customFormat="1" x14ac:dyDescent="0.15"/>
    <row r="12350" s="69" customFormat="1" x14ac:dyDescent="0.15"/>
    <row r="12351" s="69" customFormat="1" x14ac:dyDescent="0.15"/>
    <row r="12352" s="69" customFormat="1" x14ac:dyDescent="0.15"/>
    <row r="12353" s="69" customFormat="1" x14ac:dyDescent="0.15"/>
    <row r="12354" s="69" customFormat="1" x14ac:dyDescent="0.15"/>
    <row r="12355" s="69" customFormat="1" x14ac:dyDescent="0.15"/>
    <row r="12356" s="69" customFormat="1" x14ac:dyDescent="0.15"/>
    <row r="12357" s="69" customFormat="1" x14ac:dyDescent="0.15"/>
    <row r="12358" s="69" customFormat="1" x14ac:dyDescent="0.15"/>
    <row r="12359" s="69" customFormat="1" x14ac:dyDescent="0.15"/>
    <row r="12360" s="69" customFormat="1" x14ac:dyDescent="0.15"/>
    <row r="12361" s="69" customFormat="1" x14ac:dyDescent="0.15"/>
    <row r="12362" s="69" customFormat="1" x14ac:dyDescent="0.15"/>
    <row r="12363" s="69" customFormat="1" x14ac:dyDescent="0.15"/>
    <row r="12364" s="69" customFormat="1" x14ac:dyDescent="0.15"/>
    <row r="12365" s="69" customFormat="1" x14ac:dyDescent="0.15"/>
    <row r="12366" s="69" customFormat="1" x14ac:dyDescent="0.15"/>
    <row r="12367" s="69" customFormat="1" x14ac:dyDescent="0.15"/>
    <row r="12368" s="69" customFormat="1" x14ac:dyDescent="0.15"/>
    <row r="12369" s="69" customFormat="1" x14ac:dyDescent="0.15"/>
    <row r="12370" s="69" customFormat="1" x14ac:dyDescent="0.15"/>
    <row r="12371" s="69" customFormat="1" x14ac:dyDescent="0.15"/>
    <row r="12372" s="69" customFormat="1" x14ac:dyDescent="0.15"/>
    <row r="12373" s="69" customFormat="1" x14ac:dyDescent="0.15"/>
    <row r="12374" s="69" customFormat="1" x14ac:dyDescent="0.15"/>
    <row r="12375" s="69" customFormat="1" x14ac:dyDescent="0.15"/>
    <row r="12376" s="69" customFormat="1" x14ac:dyDescent="0.15"/>
    <row r="12377" s="69" customFormat="1" x14ac:dyDescent="0.15"/>
    <row r="12378" s="69" customFormat="1" x14ac:dyDescent="0.15"/>
    <row r="12379" s="69" customFormat="1" x14ac:dyDescent="0.15"/>
    <row r="12380" s="69" customFormat="1" x14ac:dyDescent="0.15"/>
    <row r="12381" s="69" customFormat="1" x14ac:dyDescent="0.15"/>
    <row r="12382" s="69" customFormat="1" x14ac:dyDescent="0.15"/>
    <row r="12383" s="69" customFormat="1" x14ac:dyDescent="0.15"/>
    <row r="12384" s="69" customFormat="1" x14ac:dyDescent="0.15"/>
    <row r="12385" s="69" customFormat="1" x14ac:dyDescent="0.15"/>
    <row r="12386" s="69" customFormat="1" x14ac:dyDescent="0.15"/>
    <row r="12387" s="69" customFormat="1" x14ac:dyDescent="0.15"/>
    <row r="12388" s="69" customFormat="1" x14ac:dyDescent="0.15"/>
    <row r="12389" s="69" customFormat="1" x14ac:dyDescent="0.15"/>
    <row r="12390" s="69" customFormat="1" x14ac:dyDescent="0.15"/>
    <row r="12391" s="69" customFormat="1" x14ac:dyDescent="0.15"/>
    <row r="12392" s="69" customFormat="1" x14ac:dyDescent="0.15"/>
    <row r="12393" s="69" customFormat="1" x14ac:dyDescent="0.15"/>
    <row r="12394" s="69" customFormat="1" x14ac:dyDescent="0.15"/>
    <row r="12395" s="69" customFormat="1" x14ac:dyDescent="0.15"/>
    <row r="12396" s="69" customFormat="1" x14ac:dyDescent="0.15"/>
    <row r="12397" s="69" customFormat="1" x14ac:dyDescent="0.15"/>
    <row r="12398" s="69" customFormat="1" x14ac:dyDescent="0.15"/>
    <row r="12399" s="69" customFormat="1" x14ac:dyDescent="0.15"/>
    <row r="12400" s="69" customFormat="1" x14ac:dyDescent="0.15"/>
    <row r="12401" s="69" customFormat="1" x14ac:dyDescent="0.15"/>
    <row r="12402" s="69" customFormat="1" x14ac:dyDescent="0.15"/>
    <row r="12403" s="69" customFormat="1" x14ac:dyDescent="0.15"/>
    <row r="12404" s="69" customFormat="1" x14ac:dyDescent="0.15"/>
    <row r="12405" s="69" customFormat="1" x14ac:dyDescent="0.15"/>
    <row r="12406" s="69" customFormat="1" x14ac:dyDescent="0.15"/>
    <row r="12407" s="69" customFormat="1" x14ac:dyDescent="0.15"/>
    <row r="12408" s="69" customFormat="1" x14ac:dyDescent="0.15"/>
    <row r="12409" s="69" customFormat="1" x14ac:dyDescent="0.15"/>
    <row r="12410" s="69" customFormat="1" x14ac:dyDescent="0.15"/>
    <row r="12411" s="69" customFormat="1" x14ac:dyDescent="0.15"/>
    <row r="12412" s="69" customFormat="1" x14ac:dyDescent="0.15"/>
    <row r="12413" s="69" customFormat="1" x14ac:dyDescent="0.15"/>
    <row r="12414" s="69" customFormat="1" x14ac:dyDescent="0.15"/>
    <row r="12415" s="69" customFormat="1" x14ac:dyDescent="0.15"/>
    <row r="12416" s="69" customFormat="1" x14ac:dyDescent="0.15"/>
    <row r="12417" s="69" customFormat="1" x14ac:dyDescent="0.15"/>
    <row r="12418" s="69" customFormat="1" x14ac:dyDescent="0.15"/>
    <row r="12419" s="69" customFormat="1" x14ac:dyDescent="0.15"/>
    <row r="12420" s="69" customFormat="1" x14ac:dyDescent="0.15"/>
    <row r="12421" s="69" customFormat="1" x14ac:dyDescent="0.15"/>
    <row r="12422" s="69" customFormat="1" x14ac:dyDescent="0.15"/>
    <row r="12423" s="69" customFormat="1" x14ac:dyDescent="0.15"/>
    <row r="12424" s="69" customFormat="1" x14ac:dyDescent="0.15"/>
    <row r="12425" s="69" customFormat="1" x14ac:dyDescent="0.15"/>
    <row r="12426" s="69" customFormat="1" x14ac:dyDescent="0.15"/>
    <row r="12427" s="69" customFormat="1" x14ac:dyDescent="0.15"/>
    <row r="12428" s="69" customFormat="1" x14ac:dyDescent="0.15"/>
    <row r="12429" s="69" customFormat="1" x14ac:dyDescent="0.15"/>
    <row r="12430" s="69" customFormat="1" x14ac:dyDescent="0.15"/>
    <row r="12431" s="69" customFormat="1" x14ac:dyDescent="0.15"/>
    <row r="12432" s="69" customFormat="1" x14ac:dyDescent="0.15"/>
    <row r="12433" s="69" customFormat="1" x14ac:dyDescent="0.15"/>
    <row r="12434" s="69" customFormat="1" x14ac:dyDescent="0.15"/>
    <row r="12435" s="69" customFormat="1" x14ac:dyDescent="0.15"/>
    <row r="12436" s="69" customFormat="1" x14ac:dyDescent="0.15"/>
    <row r="12437" s="69" customFormat="1" x14ac:dyDescent="0.15"/>
    <row r="12438" s="69" customFormat="1" x14ac:dyDescent="0.15"/>
    <row r="12439" s="69" customFormat="1" x14ac:dyDescent="0.15"/>
    <row r="12440" s="69" customFormat="1" x14ac:dyDescent="0.15"/>
    <row r="12441" s="69" customFormat="1" x14ac:dyDescent="0.15"/>
    <row r="12442" s="69" customFormat="1" x14ac:dyDescent="0.15"/>
    <row r="12443" s="69" customFormat="1" x14ac:dyDescent="0.15"/>
    <row r="12444" s="69" customFormat="1" x14ac:dyDescent="0.15"/>
    <row r="12445" s="69" customFormat="1" x14ac:dyDescent="0.15"/>
    <row r="12446" s="69" customFormat="1" x14ac:dyDescent="0.15"/>
    <row r="12447" s="69" customFormat="1" x14ac:dyDescent="0.15"/>
    <row r="12448" s="69" customFormat="1" x14ac:dyDescent="0.15"/>
    <row r="12449" s="69" customFormat="1" x14ac:dyDescent="0.15"/>
    <row r="12450" s="69" customFormat="1" x14ac:dyDescent="0.15"/>
    <row r="12451" s="69" customFormat="1" x14ac:dyDescent="0.15"/>
    <row r="12452" s="69" customFormat="1" x14ac:dyDescent="0.15"/>
    <row r="12453" s="69" customFormat="1" x14ac:dyDescent="0.15"/>
    <row r="12454" s="69" customFormat="1" x14ac:dyDescent="0.15"/>
    <row r="12455" s="69" customFormat="1" x14ac:dyDescent="0.15"/>
    <row r="12456" s="69" customFormat="1" x14ac:dyDescent="0.15"/>
    <row r="12457" s="69" customFormat="1" x14ac:dyDescent="0.15"/>
    <row r="12458" s="69" customFormat="1" x14ac:dyDescent="0.15"/>
    <row r="12459" s="69" customFormat="1" x14ac:dyDescent="0.15"/>
    <row r="12460" s="69" customFormat="1" x14ac:dyDescent="0.15"/>
    <row r="12461" s="69" customFormat="1" x14ac:dyDescent="0.15"/>
    <row r="12462" s="69" customFormat="1" x14ac:dyDescent="0.15"/>
    <row r="12463" s="69" customFormat="1" x14ac:dyDescent="0.15"/>
    <row r="12464" s="69" customFormat="1" x14ac:dyDescent="0.15"/>
    <row r="12465" s="69" customFormat="1" x14ac:dyDescent="0.15"/>
    <row r="12466" s="69" customFormat="1" x14ac:dyDescent="0.15"/>
    <row r="12467" s="69" customFormat="1" x14ac:dyDescent="0.15"/>
    <row r="12468" s="69" customFormat="1" x14ac:dyDescent="0.15"/>
    <row r="12469" s="69" customFormat="1" x14ac:dyDescent="0.15"/>
    <row r="12470" s="69" customFormat="1" x14ac:dyDescent="0.15"/>
    <row r="12471" s="69" customFormat="1" x14ac:dyDescent="0.15"/>
    <row r="12472" s="69" customFormat="1" x14ac:dyDescent="0.15"/>
    <row r="12473" s="69" customFormat="1" x14ac:dyDescent="0.15"/>
    <row r="12474" s="69" customFormat="1" x14ac:dyDescent="0.15"/>
    <row r="12475" s="69" customFormat="1" x14ac:dyDescent="0.15"/>
    <row r="12476" s="69" customFormat="1" x14ac:dyDescent="0.15"/>
    <row r="12477" s="69" customFormat="1" x14ac:dyDescent="0.15"/>
    <row r="12478" s="69" customFormat="1" x14ac:dyDescent="0.15"/>
    <row r="12479" s="69" customFormat="1" x14ac:dyDescent="0.15"/>
    <row r="12480" s="69" customFormat="1" x14ac:dyDescent="0.15"/>
    <row r="12481" s="69" customFormat="1" x14ac:dyDescent="0.15"/>
    <row r="12482" s="69" customFormat="1" x14ac:dyDescent="0.15"/>
    <row r="12483" s="69" customFormat="1" x14ac:dyDescent="0.15"/>
    <row r="12484" s="69" customFormat="1" x14ac:dyDescent="0.15"/>
    <row r="12485" s="69" customFormat="1" x14ac:dyDescent="0.15"/>
    <row r="12486" s="69" customFormat="1" x14ac:dyDescent="0.15"/>
    <row r="12487" s="69" customFormat="1" x14ac:dyDescent="0.15"/>
    <row r="12488" s="69" customFormat="1" x14ac:dyDescent="0.15"/>
    <row r="12489" s="69" customFormat="1" x14ac:dyDescent="0.15"/>
    <row r="12490" s="69" customFormat="1" x14ac:dyDescent="0.15"/>
    <row r="12491" s="69" customFormat="1" x14ac:dyDescent="0.15"/>
    <row r="12492" s="69" customFormat="1" x14ac:dyDescent="0.15"/>
    <row r="12493" s="69" customFormat="1" x14ac:dyDescent="0.15"/>
    <row r="12494" s="69" customFormat="1" x14ac:dyDescent="0.15"/>
    <row r="12495" s="69" customFormat="1" x14ac:dyDescent="0.15"/>
    <row r="12496" s="69" customFormat="1" x14ac:dyDescent="0.15"/>
    <row r="12497" s="69" customFormat="1" x14ac:dyDescent="0.15"/>
    <row r="12498" s="69" customFormat="1" x14ac:dyDescent="0.15"/>
    <row r="12499" s="69" customFormat="1" x14ac:dyDescent="0.15"/>
    <row r="12500" s="69" customFormat="1" x14ac:dyDescent="0.15"/>
    <row r="12501" s="69" customFormat="1" x14ac:dyDescent="0.15"/>
    <row r="12502" s="69" customFormat="1" x14ac:dyDescent="0.15"/>
    <row r="12503" s="69" customFormat="1" x14ac:dyDescent="0.15"/>
    <row r="12504" s="69" customFormat="1" x14ac:dyDescent="0.15"/>
    <row r="12505" s="69" customFormat="1" x14ac:dyDescent="0.15"/>
    <row r="12506" s="69" customFormat="1" x14ac:dyDescent="0.15"/>
    <row r="12507" s="69" customFormat="1" x14ac:dyDescent="0.15"/>
    <row r="12508" s="69" customFormat="1" x14ac:dyDescent="0.15"/>
    <row r="12509" s="69" customFormat="1" x14ac:dyDescent="0.15"/>
    <row r="12510" s="69" customFormat="1" x14ac:dyDescent="0.15"/>
    <row r="12511" s="69" customFormat="1" x14ac:dyDescent="0.15"/>
    <row r="12512" s="69" customFormat="1" x14ac:dyDescent="0.15"/>
    <row r="12513" s="69" customFormat="1" x14ac:dyDescent="0.15"/>
    <row r="12514" s="69" customFormat="1" x14ac:dyDescent="0.15"/>
    <row r="12515" s="69" customFormat="1" x14ac:dyDescent="0.15"/>
    <row r="12516" s="69" customFormat="1" x14ac:dyDescent="0.15"/>
    <row r="12517" s="69" customFormat="1" x14ac:dyDescent="0.15"/>
    <row r="12518" s="69" customFormat="1" x14ac:dyDescent="0.15"/>
    <row r="12519" s="69" customFormat="1" x14ac:dyDescent="0.15"/>
    <row r="12520" s="69" customFormat="1" x14ac:dyDescent="0.15"/>
    <row r="12521" s="69" customFormat="1" x14ac:dyDescent="0.15"/>
    <row r="12522" s="69" customFormat="1" x14ac:dyDescent="0.15"/>
    <row r="12523" s="69" customFormat="1" x14ac:dyDescent="0.15"/>
    <row r="12524" s="69" customFormat="1" x14ac:dyDescent="0.15"/>
    <row r="12525" s="69" customFormat="1" x14ac:dyDescent="0.15"/>
    <row r="12526" s="69" customFormat="1" x14ac:dyDescent="0.15"/>
    <row r="12527" s="69" customFormat="1" x14ac:dyDescent="0.15"/>
    <row r="12528" s="69" customFormat="1" x14ac:dyDescent="0.15"/>
    <row r="12529" s="69" customFormat="1" x14ac:dyDescent="0.15"/>
    <row r="12530" s="69" customFormat="1" x14ac:dyDescent="0.15"/>
    <row r="12531" s="69" customFormat="1" x14ac:dyDescent="0.15"/>
    <row r="12532" s="69" customFormat="1" x14ac:dyDescent="0.15"/>
    <row r="12533" s="69" customFormat="1" x14ac:dyDescent="0.15"/>
    <row r="12534" s="69" customFormat="1" x14ac:dyDescent="0.15"/>
    <row r="12535" s="69" customFormat="1" x14ac:dyDescent="0.15"/>
    <row r="12536" s="69" customFormat="1" x14ac:dyDescent="0.15"/>
    <row r="12537" s="69" customFormat="1" x14ac:dyDescent="0.15"/>
    <row r="12538" s="69" customFormat="1" x14ac:dyDescent="0.15"/>
    <row r="12539" s="69" customFormat="1" x14ac:dyDescent="0.15"/>
    <row r="12540" s="69" customFormat="1" x14ac:dyDescent="0.15"/>
    <row r="12541" s="69" customFormat="1" x14ac:dyDescent="0.15"/>
    <row r="12542" s="69" customFormat="1" x14ac:dyDescent="0.15"/>
    <row r="12543" s="69" customFormat="1" x14ac:dyDescent="0.15"/>
    <row r="12544" s="69" customFormat="1" x14ac:dyDescent="0.15"/>
    <row r="12545" s="69" customFormat="1" x14ac:dyDescent="0.15"/>
    <row r="12546" s="69" customFormat="1" x14ac:dyDescent="0.15"/>
    <row r="12547" s="69" customFormat="1" x14ac:dyDescent="0.15"/>
    <row r="12548" s="69" customFormat="1" x14ac:dyDescent="0.15"/>
    <row r="12549" s="69" customFormat="1" x14ac:dyDescent="0.15"/>
    <row r="12550" s="69" customFormat="1" x14ac:dyDescent="0.15"/>
    <row r="12551" s="69" customFormat="1" x14ac:dyDescent="0.15"/>
    <row r="12552" s="69" customFormat="1" x14ac:dyDescent="0.15"/>
    <row r="12553" s="69" customFormat="1" x14ac:dyDescent="0.15"/>
    <row r="12554" s="69" customFormat="1" x14ac:dyDescent="0.15"/>
    <row r="12555" s="69" customFormat="1" x14ac:dyDescent="0.15"/>
    <row r="12556" s="69" customFormat="1" x14ac:dyDescent="0.15"/>
    <row r="12557" s="69" customFormat="1" x14ac:dyDescent="0.15"/>
    <row r="12558" s="69" customFormat="1" x14ac:dyDescent="0.15"/>
    <row r="12559" s="69" customFormat="1" x14ac:dyDescent="0.15"/>
    <row r="12560" s="69" customFormat="1" x14ac:dyDescent="0.15"/>
    <row r="12561" s="69" customFormat="1" x14ac:dyDescent="0.15"/>
    <row r="12562" s="69" customFormat="1" x14ac:dyDescent="0.15"/>
    <row r="12563" s="69" customFormat="1" x14ac:dyDescent="0.15"/>
    <row r="12564" s="69" customFormat="1" x14ac:dyDescent="0.15"/>
    <row r="12565" s="69" customFormat="1" x14ac:dyDescent="0.15"/>
    <row r="12566" s="69" customFormat="1" x14ac:dyDescent="0.15"/>
    <row r="12567" s="69" customFormat="1" x14ac:dyDescent="0.15"/>
    <row r="12568" s="69" customFormat="1" x14ac:dyDescent="0.15"/>
    <row r="12569" s="69" customFormat="1" x14ac:dyDescent="0.15"/>
    <row r="12570" s="69" customFormat="1" x14ac:dyDescent="0.15"/>
    <row r="12571" s="69" customFormat="1" x14ac:dyDescent="0.15"/>
    <row r="12572" s="69" customFormat="1" x14ac:dyDescent="0.15"/>
    <row r="12573" s="69" customFormat="1" x14ac:dyDescent="0.15"/>
    <row r="12574" s="69" customFormat="1" x14ac:dyDescent="0.15"/>
    <row r="12575" s="69" customFormat="1" x14ac:dyDescent="0.15"/>
    <row r="12576" s="69" customFormat="1" x14ac:dyDescent="0.15"/>
    <row r="12577" s="69" customFormat="1" x14ac:dyDescent="0.15"/>
    <row r="12578" s="69" customFormat="1" x14ac:dyDescent="0.15"/>
    <row r="12579" s="69" customFormat="1" x14ac:dyDescent="0.15"/>
    <row r="12580" s="69" customFormat="1" x14ac:dyDescent="0.15"/>
    <row r="12581" s="69" customFormat="1" x14ac:dyDescent="0.15"/>
    <row r="12582" s="69" customFormat="1" x14ac:dyDescent="0.15"/>
    <row r="12583" s="69" customFormat="1" x14ac:dyDescent="0.15"/>
    <row r="12584" s="69" customFormat="1" x14ac:dyDescent="0.15"/>
    <row r="12585" s="69" customFormat="1" x14ac:dyDescent="0.15"/>
    <row r="12586" s="69" customFormat="1" x14ac:dyDescent="0.15"/>
    <row r="12587" s="69" customFormat="1" x14ac:dyDescent="0.15"/>
    <row r="12588" s="69" customFormat="1" x14ac:dyDescent="0.15"/>
    <row r="12589" s="69" customFormat="1" x14ac:dyDescent="0.15"/>
    <row r="12590" s="69" customFormat="1" x14ac:dyDescent="0.15"/>
    <row r="12591" s="69" customFormat="1" x14ac:dyDescent="0.15"/>
    <row r="12592" s="69" customFormat="1" x14ac:dyDescent="0.15"/>
    <row r="12593" s="69" customFormat="1" x14ac:dyDescent="0.15"/>
    <row r="12594" s="69" customFormat="1" x14ac:dyDescent="0.15"/>
    <row r="12595" s="69" customFormat="1" x14ac:dyDescent="0.15"/>
    <row r="12596" s="69" customFormat="1" x14ac:dyDescent="0.15"/>
    <row r="12597" s="69" customFormat="1" x14ac:dyDescent="0.15"/>
    <row r="12598" s="69" customFormat="1" x14ac:dyDescent="0.15"/>
    <row r="12599" s="69" customFormat="1" x14ac:dyDescent="0.15"/>
    <row r="12600" s="69" customFormat="1" x14ac:dyDescent="0.15"/>
    <row r="12601" s="69" customFormat="1" x14ac:dyDescent="0.15"/>
    <row r="12602" s="69" customFormat="1" x14ac:dyDescent="0.15"/>
    <row r="12603" s="69" customFormat="1" x14ac:dyDescent="0.15"/>
    <row r="12604" s="69" customFormat="1" x14ac:dyDescent="0.15"/>
    <row r="12605" s="69" customFormat="1" x14ac:dyDescent="0.15"/>
    <row r="12606" s="69" customFormat="1" x14ac:dyDescent="0.15"/>
    <row r="12607" s="69" customFormat="1" x14ac:dyDescent="0.15"/>
    <row r="12608" s="69" customFormat="1" x14ac:dyDescent="0.15"/>
    <row r="12609" s="69" customFormat="1" x14ac:dyDescent="0.15"/>
    <row r="12610" s="69" customFormat="1" x14ac:dyDescent="0.15"/>
    <row r="12611" s="69" customFormat="1" x14ac:dyDescent="0.15"/>
    <row r="12612" s="69" customFormat="1" x14ac:dyDescent="0.15"/>
    <row r="12613" s="69" customFormat="1" x14ac:dyDescent="0.15"/>
    <row r="12614" s="69" customFormat="1" x14ac:dyDescent="0.15"/>
    <row r="12615" s="69" customFormat="1" x14ac:dyDescent="0.15"/>
    <row r="12616" s="69" customFormat="1" x14ac:dyDescent="0.15"/>
    <row r="12617" s="69" customFormat="1" x14ac:dyDescent="0.15"/>
    <row r="12618" s="69" customFormat="1" x14ac:dyDescent="0.15"/>
    <row r="12619" s="69" customFormat="1" x14ac:dyDescent="0.15"/>
    <row r="12620" s="69" customFormat="1" x14ac:dyDescent="0.15"/>
    <row r="12621" s="69" customFormat="1" x14ac:dyDescent="0.15"/>
    <row r="12622" s="69" customFormat="1" x14ac:dyDescent="0.15"/>
    <row r="12623" s="69" customFormat="1" x14ac:dyDescent="0.15"/>
    <row r="12624" s="69" customFormat="1" x14ac:dyDescent="0.15"/>
    <row r="12625" s="69" customFormat="1" x14ac:dyDescent="0.15"/>
    <row r="12626" s="69" customFormat="1" x14ac:dyDescent="0.15"/>
    <row r="12627" s="69" customFormat="1" x14ac:dyDescent="0.15"/>
    <row r="12628" s="69" customFormat="1" x14ac:dyDescent="0.15"/>
    <row r="12629" s="69" customFormat="1" x14ac:dyDescent="0.15"/>
    <row r="12630" s="69" customFormat="1" x14ac:dyDescent="0.15"/>
    <row r="12631" s="69" customFormat="1" x14ac:dyDescent="0.15"/>
    <row r="12632" s="69" customFormat="1" x14ac:dyDescent="0.15"/>
    <row r="12633" s="69" customFormat="1" x14ac:dyDescent="0.15"/>
    <row r="12634" s="69" customFormat="1" x14ac:dyDescent="0.15"/>
    <row r="12635" s="69" customFormat="1" x14ac:dyDescent="0.15"/>
    <row r="12636" s="69" customFormat="1" x14ac:dyDescent="0.15"/>
    <row r="12637" s="69" customFormat="1" x14ac:dyDescent="0.15"/>
    <row r="12638" s="69" customFormat="1" x14ac:dyDescent="0.15"/>
    <row r="12639" s="69" customFormat="1" x14ac:dyDescent="0.15"/>
    <row r="12640" s="69" customFormat="1" x14ac:dyDescent="0.15"/>
    <row r="12641" s="69" customFormat="1" x14ac:dyDescent="0.15"/>
    <row r="12642" s="69" customFormat="1" x14ac:dyDescent="0.15"/>
    <row r="12643" s="69" customFormat="1" x14ac:dyDescent="0.15"/>
    <row r="12644" s="69" customFormat="1" x14ac:dyDescent="0.15"/>
    <row r="12645" s="69" customFormat="1" x14ac:dyDescent="0.15"/>
    <row r="12646" s="69" customFormat="1" x14ac:dyDescent="0.15"/>
    <row r="12647" s="69" customFormat="1" x14ac:dyDescent="0.15"/>
    <row r="12648" s="69" customFormat="1" x14ac:dyDescent="0.15"/>
    <row r="12649" s="69" customFormat="1" x14ac:dyDescent="0.15"/>
    <row r="12650" s="69" customFormat="1" x14ac:dyDescent="0.15"/>
    <row r="12651" s="69" customFormat="1" x14ac:dyDescent="0.15"/>
    <row r="12652" s="69" customFormat="1" x14ac:dyDescent="0.15"/>
    <row r="12653" s="69" customFormat="1" x14ac:dyDescent="0.15"/>
    <row r="12654" s="69" customFormat="1" x14ac:dyDescent="0.15"/>
    <row r="12655" s="69" customFormat="1" x14ac:dyDescent="0.15"/>
    <row r="12656" s="69" customFormat="1" x14ac:dyDescent="0.15"/>
    <row r="12657" s="69" customFormat="1" x14ac:dyDescent="0.15"/>
    <row r="12658" s="69" customFormat="1" x14ac:dyDescent="0.15"/>
    <row r="12659" s="69" customFormat="1" x14ac:dyDescent="0.15"/>
    <row r="12660" s="69" customFormat="1" x14ac:dyDescent="0.15"/>
    <row r="12661" s="69" customFormat="1" x14ac:dyDescent="0.15"/>
    <row r="12662" s="69" customFormat="1" x14ac:dyDescent="0.15"/>
    <row r="12663" s="69" customFormat="1" x14ac:dyDescent="0.15"/>
    <row r="12664" s="69" customFormat="1" x14ac:dyDescent="0.15"/>
    <row r="12665" s="69" customFormat="1" x14ac:dyDescent="0.15"/>
    <row r="12666" s="69" customFormat="1" x14ac:dyDescent="0.15"/>
    <row r="12667" s="69" customFormat="1" x14ac:dyDescent="0.15"/>
    <row r="12668" s="69" customFormat="1" x14ac:dyDescent="0.15"/>
    <row r="12669" s="69" customFormat="1" x14ac:dyDescent="0.15"/>
    <row r="12670" s="69" customFormat="1" x14ac:dyDescent="0.15"/>
    <row r="12671" s="69" customFormat="1" x14ac:dyDescent="0.15"/>
    <row r="12672" s="69" customFormat="1" x14ac:dyDescent="0.15"/>
    <row r="12673" s="69" customFormat="1" x14ac:dyDescent="0.15"/>
    <row r="12674" s="69" customFormat="1" x14ac:dyDescent="0.15"/>
    <row r="12675" s="69" customFormat="1" x14ac:dyDescent="0.15"/>
    <row r="12676" s="69" customFormat="1" x14ac:dyDescent="0.15"/>
    <row r="12677" s="69" customFormat="1" x14ac:dyDescent="0.15"/>
    <row r="12678" s="69" customFormat="1" x14ac:dyDescent="0.15"/>
    <row r="12679" s="69" customFormat="1" x14ac:dyDescent="0.15"/>
    <row r="12680" s="69" customFormat="1" x14ac:dyDescent="0.15"/>
    <row r="12681" s="69" customFormat="1" x14ac:dyDescent="0.15"/>
    <row r="12682" s="69" customFormat="1" x14ac:dyDescent="0.15"/>
    <row r="12683" s="69" customFormat="1" x14ac:dyDescent="0.15"/>
    <row r="12684" s="69" customFormat="1" x14ac:dyDescent="0.15"/>
    <row r="12685" s="69" customFormat="1" x14ac:dyDescent="0.15"/>
    <row r="12686" s="69" customFormat="1" x14ac:dyDescent="0.15"/>
    <row r="12687" s="69" customFormat="1" x14ac:dyDescent="0.15"/>
    <row r="12688" s="69" customFormat="1" x14ac:dyDescent="0.15"/>
    <row r="12689" s="69" customFormat="1" x14ac:dyDescent="0.15"/>
    <row r="12690" s="69" customFormat="1" x14ac:dyDescent="0.15"/>
    <row r="12691" s="69" customFormat="1" x14ac:dyDescent="0.15"/>
    <row r="12692" s="69" customFormat="1" x14ac:dyDescent="0.15"/>
    <row r="12693" s="69" customFormat="1" x14ac:dyDescent="0.15"/>
    <row r="12694" s="69" customFormat="1" x14ac:dyDescent="0.15"/>
    <row r="12695" s="69" customFormat="1" x14ac:dyDescent="0.15"/>
    <row r="12696" s="69" customFormat="1" x14ac:dyDescent="0.15"/>
    <row r="12697" s="69" customFormat="1" x14ac:dyDescent="0.15"/>
    <row r="12698" s="69" customFormat="1" x14ac:dyDescent="0.15"/>
    <row r="12699" s="69" customFormat="1" x14ac:dyDescent="0.15"/>
    <row r="12700" s="69" customFormat="1" x14ac:dyDescent="0.15"/>
    <row r="12701" s="69" customFormat="1" x14ac:dyDescent="0.15"/>
    <row r="12702" s="69" customFormat="1" x14ac:dyDescent="0.15"/>
    <row r="12703" s="69" customFormat="1" x14ac:dyDescent="0.15"/>
    <row r="12704" s="69" customFormat="1" x14ac:dyDescent="0.15"/>
    <row r="12705" s="69" customFormat="1" x14ac:dyDescent="0.15"/>
    <row r="12706" s="69" customFormat="1" x14ac:dyDescent="0.15"/>
    <row r="12707" s="69" customFormat="1" x14ac:dyDescent="0.15"/>
    <row r="12708" s="69" customFormat="1" x14ac:dyDescent="0.15"/>
    <row r="12709" s="69" customFormat="1" x14ac:dyDescent="0.15"/>
    <row r="12710" s="69" customFormat="1" x14ac:dyDescent="0.15"/>
    <row r="12711" s="69" customFormat="1" x14ac:dyDescent="0.15"/>
    <row r="12712" s="69" customFormat="1" x14ac:dyDescent="0.15"/>
    <row r="12713" s="69" customFormat="1" x14ac:dyDescent="0.15"/>
    <row r="12714" s="69" customFormat="1" x14ac:dyDescent="0.15"/>
    <row r="12715" s="69" customFormat="1" x14ac:dyDescent="0.15"/>
    <row r="12716" s="69" customFormat="1" x14ac:dyDescent="0.15"/>
    <row r="12717" s="69" customFormat="1" x14ac:dyDescent="0.15"/>
    <row r="12718" s="69" customFormat="1" x14ac:dyDescent="0.15"/>
    <row r="12719" s="69" customFormat="1" x14ac:dyDescent="0.15"/>
    <row r="12720" s="69" customFormat="1" x14ac:dyDescent="0.15"/>
    <row r="12721" s="69" customFormat="1" x14ac:dyDescent="0.15"/>
    <row r="12722" s="69" customFormat="1" x14ac:dyDescent="0.15"/>
    <row r="12723" s="69" customFormat="1" x14ac:dyDescent="0.15"/>
    <row r="12724" s="69" customFormat="1" x14ac:dyDescent="0.15"/>
    <row r="12725" s="69" customFormat="1" x14ac:dyDescent="0.15"/>
    <row r="12726" s="69" customFormat="1" x14ac:dyDescent="0.15"/>
    <row r="12727" s="69" customFormat="1" x14ac:dyDescent="0.15"/>
    <row r="12728" s="69" customFormat="1" x14ac:dyDescent="0.15"/>
    <row r="12729" s="69" customFormat="1" x14ac:dyDescent="0.15"/>
    <row r="12730" s="69" customFormat="1" x14ac:dyDescent="0.15"/>
    <row r="12731" s="69" customFormat="1" x14ac:dyDescent="0.15"/>
    <row r="12732" s="69" customFormat="1" x14ac:dyDescent="0.15"/>
    <row r="12733" s="69" customFormat="1" x14ac:dyDescent="0.15"/>
    <row r="12734" s="69" customFormat="1" x14ac:dyDescent="0.15"/>
    <row r="12735" s="69" customFormat="1" x14ac:dyDescent="0.15"/>
    <row r="12736" s="69" customFormat="1" x14ac:dyDescent="0.15"/>
    <row r="12737" s="69" customFormat="1" x14ac:dyDescent="0.15"/>
    <row r="12738" s="69" customFormat="1" x14ac:dyDescent="0.15"/>
    <row r="12739" s="69" customFormat="1" x14ac:dyDescent="0.15"/>
    <row r="12740" s="69" customFormat="1" x14ac:dyDescent="0.15"/>
    <row r="12741" s="69" customFormat="1" x14ac:dyDescent="0.15"/>
    <row r="12742" s="69" customFormat="1" x14ac:dyDescent="0.15"/>
    <row r="12743" s="69" customFormat="1" x14ac:dyDescent="0.15"/>
    <row r="12744" s="69" customFormat="1" x14ac:dyDescent="0.15"/>
    <row r="12745" s="69" customFormat="1" x14ac:dyDescent="0.15"/>
    <row r="12746" s="69" customFormat="1" x14ac:dyDescent="0.15"/>
    <row r="12747" s="69" customFormat="1" x14ac:dyDescent="0.15"/>
    <row r="12748" s="69" customFormat="1" x14ac:dyDescent="0.15"/>
    <row r="12749" s="69" customFormat="1" x14ac:dyDescent="0.15"/>
    <row r="12750" s="69" customFormat="1" x14ac:dyDescent="0.15"/>
    <row r="12751" s="69" customFormat="1" x14ac:dyDescent="0.15"/>
    <row r="12752" s="69" customFormat="1" x14ac:dyDescent="0.15"/>
    <row r="12753" s="69" customFormat="1" x14ac:dyDescent="0.15"/>
    <row r="12754" s="69" customFormat="1" x14ac:dyDescent="0.15"/>
    <row r="12755" s="69" customFormat="1" x14ac:dyDescent="0.15"/>
    <row r="12756" s="69" customFormat="1" x14ac:dyDescent="0.15"/>
    <row r="12757" s="69" customFormat="1" x14ac:dyDescent="0.15"/>
    <row r="12758" s="69" customFormat="1" x14ac:dyDescent="0.15"/>
    <row r="12759" s="69" customFormat="1" x14ac:dyDescent="0.15"/>
    <row r="12760" s="69" customFormat="1" x14ac:dyDescent="0.15"/>
    <row r="12761" s="69" customFormat="1" x14ac:dyDescent="0.15"/>
    <row r="12762" s="69" customFormat="1" x14ac:dyDescent="0.15"/>
    <row r="12763" s="69" customFormat="1" x14ac:dyDescent="0.15"/>
    <row r="12764" s="69" customFormat="1" x14ac:dyDescent="0.15"/>
    <row r="12765" s="69" customFormat="1" x14ac:dyDescent="0.15"/>
    <row r="12766" s="69" customFormat="1" x14ac:dyDescent="0.15"/>
    <row r="12767" s="69" customFormat="1" x14ac:dyDescent="0.15"/>
    <row r="12768" s="69" customFormat="1" x14ac:dyDescent="0.15"/>
    <row r="12769" s="69" customFormat="1" x14ac:dyDescent="0.15"/>
    <row r="12770" s="69" customFormat="1" x14ac:dyDescent="0.15"/>
    <row r="12771" s="69" customFormat="1" x14ac:dyDescent="0.15"/>
    <row r="12772" s="69" customFormat="1" x14ac:dyDescent="0.15"/>
    <row r="12773" s="69" customFormat="1" x14ac:dyDescent="0.15"/>
    <row r="12774" s="69" customFormat="1" x14ac:dyDescent="0.15"/>
    <row r="12775" s="69" customFormat="1" x14ac:dyDescent="0.15"/>
    <row r="12776" s="69" customFormat="1" x14ac:dyDescent="0.15"/>
    <row r="12777" s="69" customFormat="1" x14ac:dyDescent="0.15"/>
    <row r="12778" s="69" customFormat="1" x14ac:dyDescent="0.15"/>
    <row r="12779" s="69" customFormat="1" x14ac:dyDescent="0.15"/>
    <row r="12780" s="69" customFormat="1" x14ac:dyDescent="0.15"/>
    <row r="12781" s="69" customFormat="1" x14ac:dyDescent="0.15"/>
    <row r="12782" s="69" customFormat="1" x14ac:dyDescent="0.15"/>
    <row r="12783" s="69" customFormat="1" x14ac:dyDescent="0.15"/>
    <row r="12784" s="69" customFormat="1" x14ac:dyDescent="0.15"/>
    <row r="12785" s="69" customFormat="1" x14ac:dyDescent="0.15"/>
    <row r="12786" s="69" customFormat="1" x14ac:dyDescent="0.15"/>
    <row r="12787" s="69" customFormat="1" x14ac:dyDescent="0.15"/>
    <row r="12788" s="69" customFormat="1" x14ac:dyDescent="0.15"/>
    <row r="12789" s="69" customFormat="1" x14ac:dyDescent="0.15"/>
    <row r="12790" s="69" customFormat="1" x14ac:dyDescent="0.15"/>
    <row r="12791" s="69" customFormat="1" x14ac:dyDescent="0.15"/>
    <row r="12792" s="69" customFormat="1" x14ac:dyDescent="0.15"/>
    <row r="12793" s="69" customFormat="1" x14ac:dyDescent="0.15"/>
    <row r="12794" s="69" customFormat="1" x14ac:dyDescent="0.15"/>
    <row r="12795" s="69" customFormat="1" x14ac:dyDescent="0.15"/>
    <row r="12796" s="69" customFormat="1" x14ac:dyDescent="0.15"/>
    <row r="12797" s="69" customFormat="1" x14ac:dyDescent="0.15"/>
    <row r="12798" s="69" customFormat="1" x14ac:dyDescent="0.15"/>
    <row r="12799" s="69" customFormat="1" x14ac:dyDescent="0.15"/>
    <row r="12800" s="69" customFormat="1" x14ac:dyDescent="0.15"/>
    <row r="12801" s="69" customFormat="1" x14ac:dyDescent="0.15"/>
    <row r="12802" s="69" customFormat="1" x14ac:dyDescent="0.15"/>
    <row r="12803" s="69" customFormat="1" x14ac:dyDescent="0.15"/>
    <row r="12804" s="69" customFormat="1" x14ac:dyDescent="0.15"/>
    <row r="12805" s="69" customFormat="1" x14ac:dyDescent="0.15"/>
    <row r="12806" s="69" customFormat="1" x14ac:dyDescent="0.15"/>
    <row r="12807" s="69" customFormat="1" x14ac:dyDescent="0.15"/>
    <row r="12808" s="69" customFormat="1" x14ac:dyDescent="0.15"/>
    <row r="12809" s="69" customFormat="1" x14ac:dyDescent="0.15"/>
    <row r="12810" s="69" customFormat="1" x14ac:dyDescent="0.15"/>
    <row r="12811" s="69" customFormat="1" x14ac:dyDescent="0.15"/>
    <row r="12812" s="69" customFormat="1" x14ac:dyDescent="0.15"/>
    <row r="12813" s="69" customFormat="1" x14ac:dyDescent="0.15"/>
    <row r="12814" s="69" customFormat="1" x14ac:dyDescent="0.15"/>
    <row r="12815" s="69" customFormat="1" x14ac:dyDescent="0.15"/>
    <row r="12816" s="69" customFormat="1" x14ac:dyDescent="0.15"/>
    <row r="12817" s="69" customFormat="1" x14ac:dyDescent="0.15"/>
    <row r="12818" s="69" customFormat="1" x14ac:dyDescent="0.15"/>
    <row r="12819" s="69" customFormat="1" x14ac:dyDescent="0.15"/>
    <row r="12820" s="69" customFormat="1" x14ac:dyDescent="0.15"/>
    <row r="12821" s="69" customFormat="1" x14ac:dyDescent="0.15"/>
    <row r="12822" s="69" customFormat="1" x14ac:dyDescent="0.15"/>
    <row r="12823" s="69" customFormat="1" x14ac:dyDescent="0.15"/>
    <row r="12824" s="69" customFormat="1" x14ac:dyDescent="0.15"/>
    <row r="12825" s="69" customFormat="1" x14ac:dyDescent="0.15"/>
    <row r="12826" s="69" customFormat="1" x14ac:dyDescent="0.15"/>
    <row r="12827" s="69" customFormat="1" x14ac:dyDescent="0.15"/>
    <row r="12828" s="69" customFormat="1" x14ac:dyDescent="0.15"/>
    <row r="12829" s="69" customFormat="1" x14ac:dyDescent="0.15"/>
    <row r="12830" s="69" customFormat="1" x14ac:dyDescent="0.15"/>
    <row r="12831" s="69" customFormat="1" x14ac:dyDescent="0.15"/>
    <row r="12832" s="69" customFormat="1" x14ac:dyDescent="0.15"/>
    <row r="12833" s="69" customFormat="1" x14ac:dyDescent="0.15"/>
    <row r="12834" s="69" customFormat="1" x14ac:dyDescent="0.15"/>
    <row r="12835" s="69" customFormat="1" x14ac:dyDescent="0.15"/>
    <row r="12836" s="69" customFormat="1" x14ac:dyDescent="0.15"/>
    <row r="12837" s="69" customFormat="1" x14ac:dyDescent="0.15"/>
    <row r="12838" s="69" customFormat="1" x14ac:dyDescent="0.15"/>
    <row r="12839" s="69" customFormat="1" x14ac:dyDescent="0.15"/>
    <row r="12840" s="69" customFormat="1" x14ac:dyDescent="0.15"/>
    <row r="12841" s="69" customFormat="1" x14ac:dyDescent="0.15"/>
    <row r="12842" s="69" customFormat="1" x14ac:dyDescent="0.15"/>
    <row r="12843" s="69" customFormat="1" x14ac:dyDescent="0.15"/>
    <row r="12844" s="69" customFormat="1" x14ac:dyDescent="0.15"/>
    <row r="12845" s="69" customFormat="1" x14ac:dyDescent="0.15"/>
    <row r="12846" s="69" customFormat="1" x14ac:dyDescent="0.15"/>
    <row r="12847" s="69" customFormat="1" x14ac:dyDescent="0.15"/>
    <row r="12848" s="69" customFormat="1" x14ac:dyDescent="0.15"/>
    <row r="12849" s="69" customFormat="1" x14ac:dyDescent="0.15"/>
    <row r="12850" s="69" customFormat="1" x14ac:dyDescent="0.15"/>
    <row r="12851" s="69" customFormat="1" x14ac:dyDescent="0.15"/>
    <row r="12852" s="69" customFormat="1" x14ac:dyDescent="0.15"/>
    <row r="12853" s="69" customFormat="1" x14ac:dyDescent="0.15"/>
    <row r="12854" s="69" customFormat="1" x14ac:dyDescent="0.15"/>
    <row r="12855" s="69" customFormat="1" x14ac:dyDescent="0.15"/>
    <row r="12856" s="69" customFormat="1" x14ac:dyDescent="0.15"/>
    <row r="12857" s="69" customFormat="1" x14ac:dyDescent="0.15"/>
    <row r="12858" s="69" customFormat="1" x14ac:dyDescent="0.15"/>
    <row r="12859" s="69" customFormat="1" x14ac:dyDescent="0.15"/>
    <row r="12860" s="69" customFormat="1" x14ac:dyDescent="0.15"/>
    <row r="12861" s="69" customFormat="1" x14ac:dyDescent="0.15"/>
    <row r="12862" s="69" customFormat="1" x14ac:dyDescent="0.15"/>
    <row r="12863" s="69" customFormat="1" x14ac:dyDescent="0.15"/>
    <row r="12864" s="69" customFormat="1" x14ac:dyDescent="0.15"/>
    <row r="12865" s="69" customFormat="1" x14ac:dyDescent="0.15"/>
    <row r="12866" s="69" customFormat="1" x14ac:dyDescent="0.15"/>
    <row r="12867" s="69" customFormat="1" x14ac:dyDescent="0.15"/>
    <row r="12868" s="69" customFormat="1" x14ac:dyDescent="0.15"/>
    <row r="12869" s="69" customFormat="1" x14ac:dyDescent="0.15"/>
    <row r="12870" s="69" customFormat="1" x14ac:dyDescent="0.15"/>
    <row r="12871" s="69" customFormat="1" x14ac:dyDescent="0.15"/>
    <row r="12872" s="69" customFormat="1" x14ac:dyDescent="0.15"/>
    <row r="12873" s="69" customFormat="1" x14ac:dyDescent="0.15"/>
    <row r="12874" s="69" customFormat="1" x14ac:dyDescent="0.15"/>
    <row r="12875" s="69" customFormat="1" x14ac:dyDescent="0.15"/>
    <row r="12876" s="69" customFormat="1" x14ac:dyDescent="0.15"/>
    <row r="12877" s="69" customFormat="1" x14ac:dyDescent="0.15"/>
    <row r="12878" s="69" customFormat="1" x14ac:dyDescent="0.15"/>
    <row r="12879" s="69" customFormat="1" x14ac:dyDescent="0.15"/>
    <row r="12880" s="69" customFormat="1" x14ac:dyDescent="0.15"/>
    <row r="12881" s="69" customFormat="1" x14ac:dyDescent="0.15"/>
    <row r="12882" s="69" customFormat="1" x14ac:dyDescent="0.15"/>
    <row r="12883" s="69" customFormat="1" x14ac:dyDescent="0.15"/>
    <row r="12884" s="69" customFormat="1" x14ac:dyDescent="0.15"/>
    <row r="12885" s="69" customFormat="1" x14ac:dyDescent="0.15"/>
    <row r="12886" s="69" customFormat="1" x14ac:dyDescent="0.15"/>
    <row r="12887" s="69" customFormat="1" x14ac:dyDescent="0.15"/>
    <row r="12888" s="69" customFormat="1" x14ac:dyDescent="0.15"/>
    <row r="12889" s="69" customFormat="1" x14ac:dyDescent="0.15"/>
    <row r="12890" s="69" customFormat="1" x14ac:dyDescent="0.15"/>
    <row r="12891" s="69" customFormat="1" x14ac:dyDescent="0.15"/>
    <row r="12892" s="69" customFormat="1" x14ac:dyDescent="0.15"/>
    <row r="12893" s="69" customFormat="1" x14ac:dyDescent="0.15"/>
    <row r="12894" s="69" customFormat="1" x14ac:dyDescent="0.15"/>
    <row r="12895" s="69" customFormat="1" x14ac:dyDescent="0.15"/>
    <row r="12896" s="69" customFormat="1" x14ac:dyDescent="0.15"/>
    <row r="12897" s="69" customFormat="1" x14ac:dyDescent="0.15"/>
    <row r="12898" s="69" customFormat="1" x14ac:dyDescent="0.15"/>
    <row r="12899" s="69" customFormat="1" x14ac:dyDescent="0.15"/>
    <row r="12900" s="69" customFormat="1" x14ac:dyDescent="0.15"/>
    <row r="12901" s="69" customFormat="1" x14ac:dyDescent="0.15"/>
    <row r="12902" s="69" customFormat="1" x14ac:dyDescent="0.15"/>
    <row r="12903" s="69" customFormat="1" x14ac:dyDescent="0.15"/>
    <row r="12904" s="69" customFormat="1" x14ac:dyDescent="0.15"/>
    <row r="12905" s="69" customFormat="1" x14ac:dyDescent="0.15"/>
    <row r="12906" s="69" customFormat="1" x14ac:dyDescent="0.15"/>
    <row r="12907" s="69" customFormat="1" x14ac:dyDescent="0.15"/>
    <row r="12908" s="69" customFormat="1" x14ac:dyDescent="0.15"/>
    <row r="12909" s="69" customFormat="1" x14ac:dyDescent="0.15"/>
    <row r="12910" s="69" customFormat="1" x14ac:dyDescent="0.15"/>
    <row r="12911" s="69" customFormat="1" x14ac:dyDescent="0.15"/>
    <row r="12912" s="69" customFormat="1" x14ac:dyDescent="0.15"/>
    <row r="12913" s="69" customFormat="1" x14ac:dyDescent="0.15"/>
    <row r="12914" s="69" customFormat="1" x14ac:dyDescent="0.15"/>
    <row r="12915" s="69" customFormat="1" x14ac:dyDescent="0.15"/>
    <row r="12916" s="69" customFormat="1" x14ac:dyDescent="0.15"/>
    <row r="12917" s="69" customFormat="1" x14ac:dyDescent="0.15"/>
    <row r="12918" s="69" customFormat="1" x14ac:dyDescent="0.15"/>
    <row r="12919" s="69" customFormat="1" x14ac:dyDescent="0.15"/>
    <row r="12920" s="69" customFormat="1" x14ac:dyDescent="0.15"/>
    <row r="12921" s="69" customFormat="1" x14ac:dyDescent="0.15"/>
    <row r="12922" s="69" customFormat="1" x14ac:dyDescent="0.15"/>
    <row r="12923" s="69" customFormat="1" x14ac:dyDescent="0.15"/>
    <row r="12924" s="69" customFormat="1" x14ac:dyDescent="0.15"/>
    <row r="12925" s="69" customFormat="1" x14ac:dyDescent="0.15"/>
    <row r="12926" s="69" customFormat="1" x14ac:dyDescent="0.15"/>
    <row r="12927" s="69" customFormat="1" x14ac:dyDescent="0.15"/>
    <row r="12928" s="69" customFormat="1" x14ac:dyDescent="0.15"/>
    <row r="12929" s="69" customFormat="1" x14ac:dyDescent="0.15"/>
    <row r="12930" s="69" customFormat="1" x14ac:dyDescent="0.15"/>
    <row r="12931" s="69" customFormat="1" x14ac:dyDescent="0.15"/>
    <row r="12932" s="69" customFormat="1" x14ac:dyDescent="0.15"/>
    <row r="12933" s="69" customFormat="1" x14ac:dyDescent="0.15"/>
    <row r="12934" s="69" customFormat="1" x14ac:dyDescent="0.15"/>
    <row r="12935" s="69" customFormat="1" x14ac:dyDescent="0.15"/>
    <row r="12936" s="69" customFormat="1" x14ac:dyDescent="0.15"/>
    <row r="12937" s="69" customFormat="1" x14ac:dyDescent="0.15"/>
    <row r="12938" s="69" customFormat="1" x14ac:dyDescent="0.15"/>
    <row r="12939" s="69" customFormat="1" x14ac:dyDescent="0.15"/>
    <row r="12940" s="69" customFormat="1" x14ac:dyDescent="0.15"/>
    <row r="12941" s="69" customFormat="1" x14ac:dyDescent="0.15"/>
    <row r="12942" s="69" customFormat="1" x14ac:dyDescent="0.15"/>
    <row r="12943" s="69" customFormat="1" x14ac:dyDescent="0.15"/>
    <row r="12944" s="69" customFormat="1" x14ac:dyDescent="0.15"/>
    <row r="12945" s="69" customFormat="1" x14ac:dyDescent="0.15"/>
    <row r="12946" s="69" customFormat="1" x14ac:dyDescent="0.15"/>
    <row r="12947" s="69" customFormat="1" x14ac:dyDescent="0.15"/>
    <row r="12948" s="69" customFormat="1" x14ac:dyDescent="0.15"/>
    <row r="12949" s="69" customFormat="1" x14ac:dyDescent="0.15"/>
    <row r="12950" s="69" customFormat="1" x14ac:dyDescent="0.15"/>
    <row r="12951" s="69" customFormat="1" x14ac:dyDescent="0.15"/>
    <row r="12952" s="69" customFormat="1" x14ac:dyDescent="0.15"/>
    <row r="12953" s="69" customFormat="1" x14ac:dyDescent="0.15"/>
    <row r="12954" s="69" customFormat="1" x14ac:dyDescent="0.15"/>
    <row r="12955" s="69" customFormat="1" x14ac:dyDescent="0.15"/>
    <row r="12956" s="69" customFormat="1" x14ac:dyDescent="0.15"/>
    <row r="12957" s="69" customFormat="1" x14ac:dyDescent="0.15"/>
    <row r="12958" s="69" customFormat="1" x14ac:dyDescent="0.15"/>
    <row r="12959" s="69" customFormat="1" x14ac:dyDescent="0.15"/>
    <row r="12960" s="69" customFormat="1" x14ac:dyDescent="0.15"/>
    <row r="12961" s="69" customFormat="1" x14ac:dyDescent="0.15"/>
    <row r="12962" s="69" customFormat="1" x14ac:dyDescent="0.15"/>
    <row r="12963" s="69" customFormat="1" x14ac:dyDescent="0.15"/>
    <row r="12964" s="69" customFormat="1" x14ac:dyDescent="0.15"/>
    <row r="12965" s="69" customFormat="1" x14ac:dyDescent="0.15"/>
    <row r="12966" s="69" customFormat="1" x14ac:dyDescent="0.15"/>
    <row r="12967" s="69" customFormat="1" x14ac:dyDescent="0.15"/>
    <row r="12968" s="69" customFormat="1" x14ac:dyDescent="0.15"/>
    <row r="12969" s="69" customFormat="1" x14ac:dyDescent="0.15"/>
    <row r="12970" s="69" customFormat="1" x14ac:dyDescent="0.15"/>
    <row r="12971" s="69" customFormat="1" x14ac:dyDescent="0.15"/>
    <row r="12972" s="69" customFormat="1" x14ac:dyDescent="0.15"/>
    <row r="12973" s="69" customFormat="1" x14ac:dyDescent="0.15"/>
    <row r="12974" s="69" customFormat="1" x14ac:dyDescent="0.15"/>
    <row r="12975" s="69" customFormat="1" x14ac:dyDescent="0.15"/>
    <row r="12976" s="69" customFormat="1" x14ac:dyDescent="0.15"/>
    <row r="12977" s="69" customFormat="1" x14ac:dyDescent="0.15"/>
    <row r="12978" s="69" customFormat="1" x14ac:dyDescent="0.15"/>
    <row r="12979" s="69" customFormat="1" x14ac:dyDescent="0.15"/>
    <row r="12980" s="69" customFormat="1" x14ac:dyDescent="0.15"/>
    <row r="12981" s="69" customFormat="1" x14ac:dyDescent="0.15"/>
    <row r="12982" s="69" customFormat="1" x14ac:dyDescent="0.15"/>
    <row r="12983" s="69" customFormat="1" x14ac:dyDescent="0.15"/>
    <row r="12984" s="69" customFormat="1" x14ac:dyDescent="0.15"/>
    <row r="12985" s="69" customFormat="1" x14ac:dyDescent="0.15"/>
    <row r="12986" s="69" customFormat="1" x14ac:dyDescent="0.15"/>
    <row r="12987" s="69" customFormat="1" x14ac:dyDescent="0.15"/>
    <row r="12988" s="69" customFormat="1" x14ac:dyDescent="0.15"/>
    <row r="12989" s="69" customFormat="1" x14ac:dyDescent="0.15"/>
    <row r="12990" s="69" customFormat="1" x14ac:dyDescent="0.15"/>
    <row r="12991" s="69" customFormat="1" x14ac:dyDescent="0.15"/>
    <row r="12992" s="69" customFormat="1" x14ac:dyDescent="0.15"/>
    <row r="12993" s="69" customFormat="1" x14ac:dyDescent="0.15"/>
    <row r="12994" s="69" customFormat="1" x14ac:dyDescent="0.15"/>
    <row r="12995" s="69" customFormat="1" x14ac:dyDescent="0.15"/>
    <row r="12996" s="69" customFormat="1" x14ac:dyDescent="0.15"/>
    <row r="12997" s="69" customFormat="1" x14ac:dyDescent="0.15"/>
    <row r="12998" s="69" customFormat="1" x14ac:dyDescent="0.15"/>
    <row r="12999" s="69" customFormat="1" x14ac:dyDescent="0.15"/>
    <row r="13000" s="69" customFormat="1" x14ac:dyDescent="0.15"/>
    <row r="13001" s="69" customFormat="1" x14ac:dyDescent="0.15"/>
    <row r="13002" s="69" customFormat="1" x14ac:dyDescent="0.15"/>
    <row r="13003" s="69" customFormat="1" x14ac:dyDescent="0.15"/>
    <row r="13004" s="69" customFormat="1" x14ac:dyDescent="0.15"/>
    <row r="13005" s="69" customFormat="1" x14ac:dyDescent="0.15"/>
    <row r="13006" s="69" customFormat="1" x14ac:dyDescent="0.15"/>
    <row r="13007" s="69" customFormat="1" x14ac:dyDescent="0.15"/>
    <row r="13008" s="69" customFormat="1" x14ac:dyDescent="0.15"/>
    <row r="13009" s="69" customFormat="1" x14ac:dyDescent="0.15"/>
    <row r="13010" s="69" customFormat="1" x14ac:dyDescent="0.15"/>
    <row r="13011" s="69" customFormat="1" x14ac:dyDescent="0.15"/>
    <row r="13012" s="69" customFormat="1" x14ac:dyDescent="0.15"/>
    <row r="13013" s="69" customFormat="1" x14ac:dyDescent="0.15"/>
    <row r="13014" s="69" customFormat="1" x14ac:dyDescent="0.15"/>
    <row r="13015" s="69" customFormat="1" x14ac:dyDescent="0.15"/>
    <row r="13016" s="69" customFormat="1" x14ac:dyDescent="0.15"/>
    <row r="13017" s="69" customFormat="1" x14ac:dyDescent="0.15"/>
    <row r="13018" s="69" customFormat="1" x14ac:dyDescent="0.15"/>
    <row r="13019" s="69" customFormat="1" x14ac:dyDescent="0.15"/>
    <row r="13020" s="69" customFormat="1" x14ac:dyDescent="0.15"/>
    <row r="13021" s="69" customFormat="1" x14ac:dyDescent="0.15"/>
    <row r="13022" s="69" customFormat="1" x14ac:dyDescent="0.15"/>
    <row r="13023" s="69" customFormat="1" x14ac:dyDescent="0.15"/>
    <row r="13024" s="69" customFormat="1" x14ac:dyDescent="0.15"/>
    <row r="13025" s="69" customFormat="1" x14ac:dyDescent="0.15"/>
    <row r="13026" s="69" customFormat="1" x14ac:dyDescent="0.15"/>
    <row r="13027" s="69" customFormat="1" x14ac:dyDescent="0.15"/>
    <row r="13028" s="69" customFormat="1" x14ac:dyDescent="0.15"/>
    <row r="13029" s="69" customFormat="1" x14ac:dyDescent="0.15"/>
    <row r="13030" s="69" customFormat="1" x14ac:dyDescent="0.15"/>
    <row r="13031" s="69" customFormat="1" x14ac:dyDescent="0.15"/>
    <row r="13032" s="69" customFormat="1" x14ac:dyDescent="0.15"/>
    <row r="13033" s="69" customFormat="1" x14ac:dyDescent="0.15"/>
    <row r="13034" s="69" customFormat="1" x14ac:dyDescent="0.15"/>
    <row r="13035" s="69" customFormat="1" x14ac:dyDescent="0.15"/>
    <row r="13036" s="69" customFormat="1" x14ac:dyDescent="0.15"/>
    <row r="13037" s="69" customFormat="1" x14ac:dyDescent="0.15"/>
    <row r="13038" s="69" customFormat="1" x14ac:dyDescent="0.15"/>
    <row r="13039" s="69" customFormat="1" x14ac:dyDescent="0.15"/>
    <row r="13040" s="69" customFormat="1" x14ac:dyDescent="0.15"/>
    <row r="13041" s="69" customFormat="1" x14ac:dyDescent="0.15"/>
    <row r="13042" s="69" customFormat="1" x14ac:dyDescent="0.15"/>
    <row r="13043" s="69" customFormat="1" x14ac:dyDescent="0.15"/>
    <row r="13044" s="69" customFormat="1" x14ac:dyDescent="0.15"/>
    <row r="13045" s="69" customFormat="1" x14ac:dyDescent="0.15"/>
    <row r="13046" s="69" customFormat="1" x14ac:dyDescent="0.15"/>
    <row r="13047" s="69" customFormat="1" x14ac:dyDescent="0.15"/>
    <row r="13048" s="69" customFormat="1" x14ac:dyDescent="0.15"/>
    <row r="13049" s="69" customFormat="1" x14ac:dyDescent="0.15"/>
    <row r="13050" s="69" customFormat="1" x14ac:dyDescent="0.15"/>
    <row r="13051" s="69" customFormat="1" x14ac:dyDescent="0.15"/>
    <row r="13052" s="69" customFormat="1" x14ac:dyDescent="0.15"/>
    <row r="13053" s="69" customFormat="1" x14ac:dyDescent="0.15"/>
    <row r="13054" s="69" customFormat="1" x14ac:dyDescent="0.15"/>
    <row r="13055" s="69" customFormat="1" x14ac:dyDescent="0.15"/>
    <row r="13056" s="69" customFormat="1" x14ac:dyDescent="0.15"/>
    <row r="13057" s="69" customFormat="1" x14ac:dyDescent="0.15"/>
    <row r="13058" s="69" customFormat="1" x14ac:dyDescent="0.15"/>
    <row r="13059" s="69" customFormat="1" x14ac:dyDescent="0.15"/>
    <row r="13060" s="69" customFormat="1" x14ac:dyDescent="0.15"/>
    <row r="13061" s="69" customFormat="1" x14ac:dyDescent="0.15"/>
    <row r="13062" s="69" customFormat="1" x14ac:dyDescent="0.15"/>
    <row r="13063" s="69" customFormat="1" x14ac:dyDescent="0.15"/>
    <row r="13064" s="69" customFormat="1" x14ac:dyDescent="0.15"/>
    <row r="13065" s="69" customFormat="1" x14ac:dyDescent="0.15"/>
    <row r="13066" s="69" customFormat="1" x14ac:dyDescent="0.15"/>
    <row r="13067" s="69" customFormat="1" x14ac:dyDescent="0.15"/>
    <row r="13068" s="69" customFormat="1" x14ac:dyDescent="0.15"/>
    <row r="13069" s="69" customFormat="1" x14ac:dyDescent="0.15"/>
    <row r="13070" s="69" customFormat="1" x14ac:dyDescent="0.15"/>
    <row r="13071" s="69" customFormat="1" x14ac:dyDescent="0.15"/>
    <row r="13072" s="69" customFormat="1" x14ac:dyDescent="0.15"/>
    <row r="13073" s="69" customFormat="1" x14ac:dyDescent="0.15"/>
    <row r="13074" s="69" customFormat="1" x14ac:dyDescent="0.15"/>
    <row r="13075" s="69" customFormat="1" x14ac:dyDescent="0.15"/>
    <row r="13076" s="69" customFormat="1" x14ac:dyDescent="0.15"/>
    <row r="13077" s="69" customFormat="1" x14ac:dyDescent="0.15"/>
    <row r="13078" s="69" customFormat="1" x14ac:dyDescent="0.15"/>
    <row r="13079" s="69" customFormat="1" x14ac:dyDescent="0.15"/>
    <row r="13080" s="69" customFormat="1" x14ac:dyDescent="0.15"/>
    <row r="13081" s="69" customFormat="1" x14ac:dyDescent="0.15"/>
    <row r="13082" s="69" customFormat="1" x14ac:dyDescent="0.15"/>
    <row r="13083" s="69" customFormat="1" x14ac:dyDescent="0.15"/>
    <row r="13084" s="69" customFormat="1" x14ac:dyDescent="0.15"/>
    <row r="13085" s="69" customFormat="1" x14ac:dyDescent="0.15"/>
    <row r="13086" s="69" customFormat="1" x14ac:dyDescent="0.15"/>
    <row r="13087" s="69" customFormat="1" x14ac:dyDescent="0.15"/>
    <row r="13088" s="69" customFormat="1" x14ac:dyDescent="0.15"/>
    <row r="13089" s="69" customFormat="1" x14ac:dyDescent="0.15"/>
    <row r="13090" s="69" customFormat="1" x14ac:dyDescent="0.15"/>
    <row r="13091" s="69" customFormat="1" x14ac:dyDescent="0.15"/>
    <row r="13092" s="69" customFormat="1" x14ac:dyDescent="0.15"/>
    <row r="13093" s="69" customFormat="1" x14ac:dyDescent="0.15"/>
    <row r="13094" s="69" customFormat="1" x14ac:dyDescent="0.15"/>
    <row r="13095" s="69" customFormat="1" x14ac:dyDescent="0.15"/>
    <row r="13096" s="69" customFormat="1" x14ac:dyDescent="0.15"/>
    <row r="13097" s="69" customFormat="1" x14ac:dyDescent="0.15"/>
    <row r="13098" s="69" customFormat="1" x14ac:dyDescent="0.15"/>
    <row r="13099" s="69" customFormat="1" x14ac:dyDescent="0.15"/>
    <row r="13100" s="69" customFormat="1" x14ac:dyDescent="0.15"/>
    <row r="13101" s="69" customFormat="1" x14ac:dyDescent="0.15"/>
    <row r="13102" s="69" customFormat="1" x14ac:dyDescent="0.15"/>
    <row r="13103" s="69" customFormat="1" x14ac:dyDescent="0.15"/>
    <row r="13104" s="69" customFormat="1" x14ac:dyDescent="0.15"/>
    <row r="13105" s="69" customFormat="1" x14ac:dyDescent="0.15"/>
    <row r="13106" s="69" customFormat="1" x14ac:dyDescent="0.15"/>
    <row r="13107" s="69" customFormat="1" x14ac:dyDescent="0.15"/>
    <row r="13108" s="69" customFormat="1" x14ac:dyDescent="0.15"/>
    <row r="13109" s="69" customFormat="1" x14ac:dyDescent="0.15"/>
    <row r="13110" s="69" customFormat="1" x14ac:dyDescent="0.15"/>
    <row r="13111" s="69" customFormat="1" x14ac:dyDescent="0.15"/>
    <row r="13112" s="69" customFormat="1" x14ac:dyDescent="0.15"/>
    <row r="13113" s="69" customFormat="1" x14ac:dyDescent="0.15"/>
    <row r="13114" s="69" customFormat="1" x14ac:dyDescent="0.15"/>
    <row r="13115" s="69" customFormat="1" x14ac:dyDescent="0.15"/>
    <row r="13116" s="69" customFormat="1" x14ac:dyDescent="0.15"/>
    <row r="13117" s="69" customFormat="1" x14ac:dyDescent="0.15"/>
    <row r="13118" s="69" customFormat="1" x14ac:dyDescent="0.15"/>
    <row r="13119" s="69" customFormat="1" x14ac:dyDescent="0.15"/>
    <row r="13120" s="69" customFormat="1" x14ac:dyDescent="0.15"/>
    <row r="13121" s="69" customFormat="1" x14ac:dyDescent="0.15"/>
    <row r="13122" s="69" customFormat="1" x14ac:dyDescent="0.15"/>
    <row r="13123" s="69" customFormat="1" x14ac:dyDescent="0.15"/>
    <row r="13124" s="69" customFormat="1" x14ac:dyDescent="0.15"/>
    <row r="13125" s="69" customFormat="1" x14ac:dyDescent="0.15"/>
    <row r="13126" s="69" customFormat="1" x14ac:dyDescent="0.15"/>
    <row r="13127" s="69" customFormat="1" x14ac:dyDescent="0.15"/>
    <row r="13128" s="69" customFormat="1" x14ac:dyDescent="0.15"/>
    <row r="13129" s="69" customFormat="1" x14ac:dyDescent="0.15"/>
    <row r="13130" s="69" customFormat="1" x14ac:dyDescent="0.15"/>
    <row r="13131" s="69" customFormat="1" x14ac:dyDescent="0.15"/>
    <row r="13132" s="69" customFormat="1" x14ac:dyDescent="0.15"/>
    <row r="13133" s="69" customFormat="1" x14ac:dyDescent="0.15"/>
    <row r="13134" s="69" customFormat="1" x14ac:dyDescent="0.15"/>
    <row r="13135" s="69" customFormat="1" x14ac:dyDescent="0.15"/>
    <row r="13136" s="69" customFormat="1" x14ac:dyDescent="0.15"/>
    <row r="13137" s="69" customFormat="1" x14ac:dyDescent="0.15"/>
    <row r="13138" s="69" customFormat="1" x14ac:dyDescent="0.15"/>
    <row r="13139" s="69" customFormat="1" x14ac:dyDescent="0.15"/>
    <row r="13140" s="69" customFormat="1" x14ac:dyDescent="0.15"/>
    <row r="13141" s="69" customFormat="1" x14ac:dyDescent="0.15"/>
    <row r="13142" s="69" customFormat="1" x14ac:dyDescent="0.15"/>
    <row r="13143" s="69" customFormat="1" x14ac:dyDescent="0.15"/>
    <row r="13144" s="69" customFormat="1" x14ac:dyDescent="0.15"/>
    <row r="13145" s="69" customFormat="1" x14ac:dyDescent="0.15"/>
    <row r="13146" s="69" customFormat="1" x14ac:dyDescent="0.15"/>
    <row r="13147" s="69" customFormat="1" x14ac:dyDescent="0.15"/>
    <row r="13148" s="69" customFormat="1" x14ac:dyDescent="0.15"/>
    <row r="13149" s="69" customFormat="1" x14ac:dyDescent="0.15"/>
    <row r="13150" s="69" customFormat="1" x14ac:dyDescent="0.15"/>
    <row r="13151" s="69" customFormat="1" x14ac:dyDescent="0.15"/>
    <row r="13152" s="69" customFormat="1" x14ac:dyDescent="0.15"/>
    <row r="13153" s="69" customFormat="1" x14ac:dyDescent="0.15"/>
    <row r="13154" s="69" customFormat="1" x14ac:dyDescent="0.15"/>
    <row r="13155" s="69" customFormat="1" x14ac:dyDescent="0.15"/>
    <row r="13156" s="69" customFormat="1" x14ac:dyDescent="0.15"/>
    <row r="13157" s="69" customFormat="1" x14ac:dyDescent="0.15"/>
    <row r="13158" s="69" customFormat="1" x14ac:dyDescent="0.15"/>
    <row r="13159" s="69" customFormat="1" x14ac:dyDescent="0.15"/>
    <row r="13160" s="69" customFormat="1" x14ac:dyDescent="0.15"/>
    <row r="13161" s="69" customFormat="1" x14ac:dyDescent="0.15"/>
    <row r="13162" s="69" customFormat="1" x14ac:dyDescent="0.15"/>
    <row r="13163" s="69" customFormat="1" x14ac:dyDescent="0.15"/>
    <row r="13164" s="69" customFormat="1" x14ac:dyDescent="0.15"/>
    <row r="13165" s="69" customFormat="1" x14ac:dyDescent="0.15"/>
    <row r="13166" s="69" customFormat="1" x14ac:dyDescent="0.15"/>
    <row r="13167" s="69" customFormat="1" x14ac:dyDescent="0.15"/>
    <row r="13168" s="69" customFormat="1" x14ac:dyDescent="0.15"/>
    <row r="13169" s="69" customFormat="1" x14ac:dyDescent="0.15"/>
    <row r="13170" s="69" customFormat="1" x14ac:dyDescent="0.15"/>
    <row r="13171" s="69" customFormat="1" x14ac:dyDescent="0.15"/>
    <row r="13172" s="69" customFormat="1" x14ac:dyDescent="0.15"/>
    <row r="13173" s="69" customFormat="1" x14ac:dyDescent="0.15"/>
    <row r="13174" s="69" customFormat="1" x14ac:dyDescent="0.15"/>
    <row r="13175" s="69" customFormat="1" x14ac:dyDescent="0.15"/>
    <row r="13176" s="69" customFormat="1" x14ac:dyDescent="0.15"/>
    <row r="13177" s="69" customFormat="1" x14ac:dyDescent="0.15"/>
    <row r="13178" s="69" customFormat="1" x14ac:dyDescent="0.15"/>
    <row r="13179" s="69" customFormat="1" x14ac:dyDescent="0.15"/>
    <row r="13180" s="69" customFormat="1" x14ac:dyDescent="0.15"/>
    <row r="13181" s="69" customFormat="1" x14ac:dyDescent="0.15"/>
    <row r="13182" s="69" customFormat="1" x14ac:dyDescent="0.15"/>
    <row r="13183" s="69" customFormat="1" x14ac:dyDescent="0.15"/>
    <row r="13184" s="69" customFormat="1" x14ac:dyDescent="0.15"/>
    <row r="13185" s="69" customFormat="1" x14ac:dyDescent="0.15"/>
    <row r="13186" s="69" customFormat="1" x14ac:dyDescent="0.15"/>
    <row r="13187" s="69" customFormat="1" x14ac:dyDescent="0.15"/>
    <row r="13188" s="69" customFormat="1" x14ac:dyDescent="0.15"/>
    <row r="13189" s="69" customFormat="1" x14ac:dyDescent="0.15"/>
    <row r="13190" s="69" customFormat="1" x14ac:dyDescent="0.15"/>
    <row r="13191" s="69" customFormat="1" x14ac:dyDescent="0.15"/>
    <row r="13192" s="69" customFormat="1" x14ac:dyDescent="0.15"/>
    <row r="13193" s="69" customFormat="1" x14ac:dyDescent="0.15"/>
    <row r="13194" s="69" customFormat="1" x14ac:dyDescent="0.15"/>
    <row r="13195" s="69" customFormat="1" x14ac:dyDescent="0.15"/>
    <row r="13196" s="69" customFormat="1" x14ac:dyDescent="0.15"/>
    <row r="13197" s="69" customFormat="1" x14ac:dyDescent="0.15"/>
    <row r="13198" s="69" customFormat="1" x14ac:dyDescent="0.15"/>
    <row r="13199" s="69" customFormat="1" x14ac:dyDescent="0.15"/>
    <row r="13200" s="69" customFormat="1" x14ac:dyDescent="0.15"/>
    <row r="13201" s="69" customFormat="1" x14ac:dyDescent="0.15"/>
    <row r="13202" s="69" customFormat="1" x14ac:dyDescent="0.15"/>
    <row r="13203" s="69" customFormat="1" x14ac:dyDescent="0.15"/>
    <row r="13204" s="69" customFormat="1" x14ac:dyDescent="0.15"/>
    <row r="13205" s="69" customFormat="1" x14ac:dyDescent="0.15"/>
    <row r="13206" s="69" customFormat="1" x14ac:dyDescent="0.15"/>
    <row r="13207" s="69" customFormat="1" x14ac:dyDescent="0.15"/>
    <row r="13208" s="69" customFormat="1" x14ac:dyDescent="0.15"/>
    <row r="13209" s="69" customFormat="1" x14ac:dyDescent="0.15"/>
    <row r="13210" s="69" customFormat="1" x14ac:dyDescent="0.15"/>
    <row r="13211" s="69" customFormat="1" x14ac:dyDescent="0.15"/>
    <row r="13212" s="69" customFormat="1" x14ac:dyDescent="0.15"/>
    <row r="13213" s="69" customFormat="1" x14ac:dyDescent="0.15"/>
    <row r="13214" s="69" customFormat="1" x14ac:dyDescent="0.15"/>
    <row r="13215" s="69" customFormat="1" x14ac:dyDescent="0.15"/>
    <row r="13216" s="69" customFormat="1" x14ac:dyDescent="0.15"/>
    <row r="13217" s="69" customFormat="1" x14ac:dyDescent="0.15"/>
    <row r="13218" s="69" customFormat="1" x14ac:dyDescent="0.15"/>
    <row r="13219" s="69" customFormat="1" x14ac:dyDescent="0.15"/>
    <row r="13220" s="69" customFormat="1" x14ac:dyDescent="0.15"/>
    <row r="13221" s="69" customFormat="1" x14ac:dyDescent="0.15"/>
    <row r="13222" s="69" customFormat="1" x14ac:dyDescent="0.15"/>
    <row r="13223" s="69" customFormat="1" x14ac:dyDescent="0.15"/>
    <row r="13224" s="69" customFormat="1" x14ac:dyDescent="0.15"/>
    <row r="13225" s="69" customFormat="1" x14ac:dyDescent="0.15"/>
    <row r="13226" s="69" customFormat="1" x14ac:dyDescent="0.15"/>
    <row r="13227" s="69" customFormat="1" x14ac:dyDescent="0.15"/>
    <row r="13228" s="69" customFormat="1" x14ac:dyDescent="0.15"/>
    <row r="13229" s="69" customFormat="1" x14ac:dyDescent="0.15"/>
    <row r="13230" s="69" customFormat="1" x14ac:dyDescent="0.15"/>
    <row r="13231" s="69" customFormat="1" x14ac:dyDescent="0.15"/>
    <row r="13232" s="69" customFormat="1" x14ac:dyDescent="0.15"/>
    <row r="13233" s="69" customFormat="1" x14ac:dyDescent="0.15"/>
    <row r="13234" s="69" customFormat="1" x14ac:dyDescent="0.15"/>
    <row r="13235" s="69" customFormat="1" x14ac:dyDescent="0.15"/>
    <row r="13236" s="69" customFormat="1" x14ac:dyDescent="0.15"/>
    <row r="13237" s="69" customFormat="1" x14ac:dyDescent="0.15"/>
    <row r="13238" s="69" customFormat="1" x14ac:dyDescent="0.15"/>
    <row r="13239" s="69" customFormat="1" x14ac:dyDescent="0.15"/>
    <row r="13240" s="69" customFormat="1" x14ac:dyDescent="0.15"/>
    <row r="13241" s="69" customFormat="1" x14ac:dyDescent="0.15"/>
    <row r="13242" s="69" customFormat="1" x14ac:dyDescent="0.15"/>
    <row r="13243" s="69" customFormat="1" x14ac:dyDescent="0.15"/>
    <row r="13244" s="69" customFormat="1" x14ac:dyDescent="0.15"/>
    <row r="13245" s="69" customFormat="1" x14ac:dyDescent="0.15"/>
    <row r="13246" s="69" customFormat="1" x14ac:dyDescent="0.15"/>
    <row r="13247" s="69" customFormat="1" x14ac:dyDescent="0.15"/>
    <row r="13248" s="69" customFormat="1" x14ac:dyDescent="0.15"/>
    <row r="13249" s="69" customFormat="1" x14ac:dyDescent="0.15"/>
    <row r="13250" s="69" customFormat="1" x14ac:dyDescent="0.15"/>
    <row r="13251" s="69" customFormat="1" x14ac:dyDescent="0.15"/>
    <row r="13252" s="69" customFormat="1" x14ac:dyDescent="0.15"/>
    <row r="13253" s="69" customFormat="1" x14ac:dyDescent="0.15"/>
    <row r="13254" s="69" customFormat="1" x14ac:dyDescent="0.15"/>
    <row r="13255" s="69" customFormat="1" x14ac:dyDescent="0.15"/>
    <row r="13256" s="69" customFormat="1" x14ac:dyDescent="0.15"/>
    <row r="13257" s="69" customFormat="1" x14ac:dyDescent="0.15"/>
    <row r="13258" s="69" customFormat="1" x14ac:dyDescent="0.15"/>
    <row r="13259" s="69" customFormat="1" x14ac:dyDescent="0.15"/>
    <row r="13260" s="69" customFormat="1" x14ac:dyDescent="0.15"/>
    <row r="13261" s="69" customFormat="1" x14ac:dyDescent="0.15"/>
    <row r="13262" s="69" customFormat="1" x14ac:dyDescent="0.15"/>
    <row r="13263" s="69" customFormat="1" x14ac:dyDescent="0.15"/>
    <row r="13264" s="69" customFormat="1" x14ac:dyDescent="0.15"/>
    <row r="13265" s="69" customFormat="1" x14ac:dyDescent="0.15"/>
    <row r="13266" s="69" customFormat="1" x14ac:dyDescent="0.15"/>
    <row r="13267" s="69" customFormat="1" x14ac:dyDescent="0.15"/>
    <row r="13268" s="69" customFormat="1" x14ac:dyDescent="0.15"/>
    <row r="13269" s="69" customFormat="1" x14ac:dyDescent="0.15"/>
    <row r="13270" s="69" customFormat="1" x14ac:dyDescent="0.15"/>
    <row r="13271" s="69" customFormat="1" x14ac:dyDescent="0.15"/>
    <row r="13272" s="69" customFormat="1" x14ac:dyDescent="0.15"/>
    <row r="13273" s="69" customFormat="1" x14ac:dyDescent="0.15"/>
    <row r="13274" s="69" customFormat="1" x14ac:dyDescent="0.15"/>
    <row r="13275" s="69" customFormat="1" x14ac:dyDescent="0.15"/>
    <row r="13276" s="69" customFormat="1" x14ac:dyDescent="0.15"/>
    <row r="13277" s="69" customFormat="1" x14ac:dyDescent="0.15"/>
    <row r="13278" s="69" customFormat="1" x14ac:dyDescent="0.15"/>
    <row r="13279" s="69" customFormat="1" x14ac:dyDescent="0.15"/>
    <row r="13280" s="69" customFormat="1" x14ac:dyDescent="0.15"/>
    <row r="13281" s="69" customFormat="1" x14ac:dyDescent="0.15"/>
    <row r="13282" s="69" customFormat="1" x14ac:dyDescent="0.15"/>
    <row r="13283" s="69" customFormat="1" x14ac:dyDescent="0.15"/>
    <row r="13284" s="69" customFormat="1" x14ac:dyDescent="0.15"/>
    <row r="13285" s="69" customFormat="1" x14ac:dyDescent="0.15"/>
    <row r="13286" s="69" customFormat="1" x14ac:dyDescent="0.15"/>
    <row r="13287" s="69" customFormat="1" x14ac:dyDescent="0.15"/>
    <row r="13288" s="69" customFormat="1" x14ac:dyDescent="0.15"/>
    <row r="13289" s="69" customFormat="1" x14ac:dyDescent="0.15"/>
    <row r="13290" s="69" customFormat="1" x14ac:dyDescent="0.15"/>
    <row r="13291" s="69" customFormat="1" x14ac:dyDescent="0.15"/>
    <row r="13292" s="69" customFormat="1" x14ac:dyDescent="0.15"/>
    <row r="13293" s="69" customFormat="1" x14ac:dyDescent="0.15"/>
    <row r="13294" s="69" customFormat="1" x14ac:dyDescent="0.15"/>
    <row r="13295" s="69" customFormat="1" x14ac:dyDescent="0.15"/>
    <row r="13296" s="69" customFormat="1" x14ac:dyDescent="0.15"/>
    <row r="13297" s="69" customFormat="1" x14ac:dyDescent="0.15"/>
    <row r="13298" s="69" customFormat="1" x14ac:dyDescent="0.15"/>
    <row r="13299" s="69" customFormat="1" x14ac:dyDescent="0.15"/>
    <row r="13300" s="69" customFormat="1" x14ac:dyDescent="0.15"/>
    <row r="13301" s="69" customFormat="1" x14ac:dyDescent="0.15"/>
    <row r="13302" s="69" customFormat="1" x14ac:dyDescent="0.15"/>
    <row r="13303" s="69" customFormat="1" x14ac:dyDescent="0.15"/>
    <row r="13304" s="69" customFormat="1" x14ac:dyDescent="0.15"/>
    <row r="13305" s="69" customFormat="1" x14ac:dyDescent="0.15"/>
    <row r="13306" s="69" customFormat="1" x14ac:dyDescent="0.15"/>
    <row r="13307" s="69" customFormat="1" x14ac:dyDescent="0.15"/>
    <row r="13308" s="69" customFormat="1" x14ac:dyDescent="0.15"/>
    <row r="13309" s="69" customFormat="1" x14ac:dyDescent="0.15"/>
    <row r="13310" s="69" customFormat="1" x14ac:dyDescent="0.15"/>
    <row r="13311" s="69" customFormat="1" x14ac:dyDescent="0.15"/>
    <row r="13312" s="69" customFormat="1" x14ac:dyDescent="0.15"/>
    <row r="13313" s="69" customFormat="1" x14ac:dyDescent="0.15"/>
    <row r="13314" s="69" customFormat="1" x14ac:dyDescent="0.15"/>
    <row r="13315" s="69" customFormat="1" x14ac:dyDescent="0.15"/>
    <row r="13316" s="69" customFormat="1" x14ac:dyDescent="0.15"/>
    <row r="13317" s="69" customFormat="1" x14ac:dyDescent="0.15"/>
    <row r="13318" s="69" customFormat="1" x14ac:dyDescent="0.15"/>
    <row r="13319" s="69" customFormat="1" x14ac:dyDescent="0.15"/>
    <row r="13320" s="69" customFormat="1" x14ac:dyDescent="0.15"/>
    <row r="13321" s="69" customFormat="1" x14ac:dyDescent="0.15"/>
    <row r="13322" s="69" customFormat="1" x14ac:dyDescent="0.15"/>
    <row r="13323" s="69" customFormat="1" x14ac:dyDescent="0.15"/>
    <row r="13324" s="69" customFormat="1" x14ac:dyDescent="0.15"/>
    <row r="13325" s="69" customFormat="1" x14ac:dyDescent="0.15"/>
    <row r="13326" s="69" customFormat="1" x14ac:dyDescent="0.15"/>
    <row r="13327" s="69" customFormat="1" x14ac:dyDescent="0.15"/>
    <row r="13328" s="69" customFormat="1" x14ac:dyDescent="0.15"/>
    <row r="13329" s="69" customFormat="1" x14ac:dyDescent="0.15"/>
    <row r="13330" s="69" customFormat="1" x14ac:dyDescent="0.15"/>
    <row r="13331" s="69" customFormat="1" x14ac:dyDescent="0.15"/>
    <row r="13332" s="69" customFormat="1" x14ac:dyDescent="0.15"/>
    <row r="13333" s="69" customFormat="1" x14ac:dyDescent="0.15"/>
    <row r="13334" s="69" customFormat="1" x14ac:dyDescent="0.15"/>
    <row r="13335" s="69" customFormat="1" x14ac:dyDescent="0.15"/>
    <row r="13336" s="69" customFormat="1" x14ac:dyDescent="0.15"/>
    <row r="13337" s="69" customFormat="1" x14ac:dyDescent="0.15"/>
    <row r="13338" s="69" customFormat="1" x14ac:dyDescent="0.15"/>
    <row r="13339" s="69" customFormat="1" x14ac:dyDescent="0.15"/>
    <row r="13340" s="69" customFormat="1" x14ac:dyDescent="0.15"/>
    <row r="13341" s="69" customFormat="1" x14ac:dyDescent="0.15"/>
    <row r="13342" s="69" customFormat="1" x14ac:dyDescent="0.15"/>
    <row r="13343" s="69" customFormat="1" x14ac:dyDescent="0.15"/>
    <row r="13344" s="69" customFormat="1" x14ac:dyDescent="0.15"/>
    <row r="13345" s="69" customFormat="1" x14ac:dyDescent="0.15"/>
    <row r="13346" s="69" customFormat="1" x14ac:dyDescent="0.15"/>
    <row r="13347" s="69" customFormat="1" x14ac:dyDescent="0.15"/>
    <row r="13348" s="69" customFormat="1" x14ac:dyDescent="0.15"/>
    <row r="13349" s="69" customFormat="1" x14ac:dyDescent="0.15"/>
    <row r="13350" s="69" customFormat="1" x14ac:dyDescent="0.15"/>
    <row r="13351" s="69" customFormat="1" x14ac:dyDescent="0.15"/>
    <row r="13352" s="69" customFormat="1" x14ac:dyDescent="0.15"/>
    <row r="13353" s="69" customFormat="1" x14ac:dyDescent="0.15"/>
    <row r="13354" s="69" customFormat="1" x14ac:dyDescent="0.15"/>
    <row r="13355" s="69" customFormat="1" x14ac:dyDescent="0.15"/>
    <row r="13356" s="69" customFormat="1" x14ac:dyDescent="0.15"/>
    <row r="13357" s="69" customFormat="1" x14ac:dyDescent="0.15"/>
    <row r="13358" s="69" customFormat="1" x14ac:dyDescent="0.15"/>
    <row r="13359" s="69" customFormat="1" x14ac:dyDescent="0.15"/>
    <row r="13360" s="69" customFormat="1" x14ac:dyDescent="0.15"/>
    <row r="13361" s="69" customFormat="1" x14ac:dyDescent="0.15"/>
    <row r="13362" s="69" customFormat="1" x14ac:dyDescent="0.15"/>
    <row r="13363" s="69" customFormat="1" x14ac:dyDescent="0.15"/>
    <row r="13364" s="69" customFormat="1" x14ac:dyDescent="0.15"/>
    <row r="13365" s="69" customFormat="1" x14ac:dyDescent="0.15"/>
    <row r="13366" s="69" customFormat="1" x14ac:dyDescent="0.15"/>
    <row r="13367" s="69" customFormat="1" x14ac:dyDescent="0.15"/>
    <row r="13368" s="69" customFormat="1" x14ac:dyDescent="0.15"/>
    <row r="13369" s="69" customFormat="1" x14ac:dyDescent="0.15"/>
    <row r="13370" s="69" customFormat="1" x14ac:dyDescent="0.15"/>
    <row r="13371" s="69" customFormat="1" x14ac:dyDescent="0.15"/>
    <row r="13372" s="69" customFormat="1" x14ac:dyDescent="0.15"/>
    <row r="13373" s="69" customFormat="1" x14ac:dyDescent="0.15"/>
    <row r="13374" s="69" customFormat="1" x14ac:dyDescent="0.15"/>
    <row r="13375" s="69" customFormat="1" x14ac:dyDescent="0.15"/>
    <row r="13376" s="69" customFormat="1" x14ac:dyDescent="0.15"/>
    <row r="13377" s="69" customFormat="1" x14ac:dyDescent="0.15"/>
    <row r="13378" s="69" customFormat="1" x14ac:dyDescent="0.15"/>
    <row r="13379" s="69" customFormat="1" x14ac:dyDescent="0.15"/>
    <row r="13380" s="69" customFormat="1" x14ac:dyDescent="0.15"/>
    <row r="13381" s="69" customFormat="1" x14ac:dyDescent="0.15"/>
    <row r="13382" s="69" customFormat="1" x14ac:dyDescent="0.15"/>
    <row r="13383" s="69" customFormat="1" x14ac:dyDescent="0.15"/>
    <row r="13384" s="69" customFormat="1" x14ac:dyDescent="0.15"/>
    <row r="13385" s="69" customFormat="1" x14ac:dyDescent="0.15"/>
    <row r="13386" s="69" customFormat="1" x14ac:dyDescent="0.15"/>
    <row r="13387" s="69" customFormat="1" x14ac:dyDescent="0.15"/>
    <row r="13388" s="69" customFormat="1" x14ac:dyDescent="0.15"/>
    <row r="13389" s="69" customFormat="1" x14ac:dyDescent="0.15"/>
    <row r="13390" s="69" customFormat="1" x14ac:dyDescent="0.15"/>
    <row r="13391" s="69" customFormat="1" x14ac:dyDescent="0.15"/>
    <row r="13392" s="69" customFormat="1" x14ac:dyDescent="0.15"/>
    <row r="13393" s="69" customFormat="1" x14ac:dyDescent="0.15"/>
    <row r="13394" s="69" customFormat="1" x14ac:dyDescent="0.15"/>
    <row r="13395" s="69" customFormat="1" x14ac:dyDescent="0.15"/>
    <row r="13396" s="69" customFormat="1" x14ac:dyDescent="0.15"/>
    <row r="13397" s="69" customFormat="1" x14ac:dyDescent="0.15"/>
    <row r="13398" s="69" customFormat="1" x14ac:dyDescent="0.15"/>
    <row r="13399" s="69" customFormat="1" x14ac:dyDescent="0.15"/>
    <row r="13400" s="69" customFormat="1" x14ac:dyDescent="0.15"/>
    <row r="13401" s="69" customFormat="1" x14ac:dyDescent="0.15"/>
    <row r="13402" s="69" customFormat="1" x14ac:dyDescent="0.15"/>
    <row r="13403" s="69" customFormat="1" x14ac:dyDescent="0.15"/>
    <row r="13404" s="69" customFormat="1" x14ac:dyDescent="0.15"/>
    <row r="13405" s="69" customFormat="1" x14ac:dyDescent="0.15"/>
    <row r="13406" s="69" customFormat="1" x14ac:dyDescent="0.15"/>
    <row r="13407" s="69" customFormat="1" x14ac:dyDescent="0.15"/>
    <row r="13408" s="69" customFormat="1" x14ac:dyDescent="0.15"/>
    <row r="13409" s="69" customFormat="1" x14ac:dyDescent="0.15"/>
    <row r="13410" s="69" customFormat="1" x14ac:dyDescent="0.15"/>
    <row r="13411" s="69" customFormat="1" x14ac:dyDescent="0.15"/>
    <row r="13412" s="69" customFormat="1" x14ac:dyDescent="0.15"/>
    <row r="13413" s="69" customFormat="1" x14ac:dyDescent="0.15"/>
    <row r="13414" s="69" customFormat="1" x14ac:dyDescent="0.15"/>
    <row r="13415" s="69" customFormat="1" x14ac:dyDescent="0.15"/>
    <row r="13416" s="69" customFormat="1" x14ac:dyDescent="0.15"/>
    <row r="13417" s="69" customFormat="1" x14ac:dyDescent="0.15"/>
    <row r="13418" s="69" customFormat="1" x14ac:dyDescent="0.15"/>
    <row r="13419" s="69" customFormat="1" x14ac:dyDescent="0.15"/>
    <row r="13420" s="69" customFormat="1" x14ac:dyDescent="0.15"/>
    <row r="13421" s="69" customFormat="1" x14ac:dyDescent="0.15"/>
    <row r="13422" s="69" customFormat="1" x14ac:dyDescent="0.15"/>
    <row r="13423" s="69" customFormat="1" x14ac:dyDescent="0.15"/>
    <row r="13424" s="69" customFormat="1" x14ac:dyDescent="0.15"/>
    <row r="13425" s="69" customFormat="1" x14ac:dyDescent="0.15"/>
    <row r="13426" s="69" customFormat="1" x14ac:dyDescent="0.15"/>
    <row r="13427" s="69" customFormat="1" x14ac:dyDescent="0.15"/>
    <row r="13428" s="69" customFormat="1" x14ac:dyDescent="0.15"/>
    <row r="13429" s="69" customFormat="1" x14ac:dyDescent="0.15"/>
    <row r="13430" s="69" customFormat="1" x14ac:dyDescent="0.15"/>
    <row r="13431" s="69" customFormat="1" x14ac:dyDescent="0.15"/>
    <row r="13432" s="69" customFormat="1" x14ac:dyDescent="0.15"/>
    <row r="13433" s="69" customFormat="1" x14ac:dyDescent="0.15"/>
    <row r="13434" s="69" customFormat="1" x14ac:dyDescent="0.15"/>
    <row r="13435" s="69" customFormat="1" x14ac:dyDescent="0.15"/>
    <row r="13436" s="69" customFormat="1" x14ac:dyDescent="0.15"/>
    <row r="13437" s="69" customFormat="1" x14ac:dyDescent="0.15"/>
    <row r="13438" s="69" customFormat="1" x14ac:dyDescent="0.15"/>
    <row r="13439" s="69" customFormat="1" x14ac:dyDescent="0.15"/>
    <row r="13440" s="69" customFormat="1" x14ac:dyDescent="0.15"/>
    <row r="13441" s="69" customFormat="1" x14ac:dyDescent="0.15"/>
    <row r="13442" s="69" customFormat="1" x14ac:dyDescent="0.15"/>
    <row r="13443" s="69" customFormat="1" x14ac:dyDescent="0.15"/>
    <row r="13444" s="69" customFormat="1" x14ac:dyDescent="0.15"/>
    <row r="13445" s="69" customFormat="1" x14ac:dyDescent="0.15"/>
    <row r="13446" s="69" customFormat="1" x14ac:dyDescent="0.15"/>
    <row r="13447" s="69" customFormat="1" x14ac:dyDescent="0.15"/>
    <row r="13448" s="69" customFormat="1" x14ac:dyDescent="0.15"/>
    <row r="13449" s="69" customFormat="1" x14ac:dyDescent="0.15"/>
    <row r="13450" s="69" customFormat="1" x14ac:dyDescent="0.15"/>
    <row r="13451" s="69" customFormat="1" x14ac:dyDescent="0.15"/>
    <row r="13452" s="69" customFormat="1" x14ac:dyDescent="0.15"/>
    <row r="13453" s="69" customFormat="1" x14ac:dyDescent="0.15"/>
    <row r="13454" s="69" customFormat="1" x14ac:dyDescent="0.15"/>
    <row r="13455" s="69" customFormat="1" x14ac:dyDescent="0.15"/>
    <row r="13456" s="69" customFormat="1" x14ac:dyDescent="0.15"/>
    <row r="13457" s="69" customFormat="1" x14ac:dyDescent="0.15"/>
    <row r="13458" s="69" customFormat="1" x14ac:dyDescent="0.15"/>
    <row r="13459" s="69" customFormat="1" x14ac:dyDescent="0.15"/>
    <row r="13460" s="69" customFormat="1" x14ac:dyDescent="0.15"/>
    <row r="13461" s="69" customFormat="1" x14ac:dyDescent="0.15"/>
    <row r="13462" s="69" customFormat="1" x14ac:dyDescent="0.15"/>
    <row r="13463" s="69" customFormat="1" x14ac:dyDescent="0.15"/>
    <row r="13464" s="69" customFormat="1" x14ac:dyDescent="0.15"/>
    <row r="13465" s="69" customFormat="1" x14ac:dyDescent="0.15"/>
    <row r="13466" s="69" customFormat="1" x14ac:dyDescent="0.15"/>
    <row r="13467" s="69" customFormat="1" x14ac:dyDescent="0.15"/>
    <row r="13468" s="69" customFormat="1" x14ac:dyDescent="0.15"/>
    <row r="13469" s="69" customFormat="1" x14ac:dyDescent="0.15"/>
    <row r="13470" s="69" customFormat="1" x14ac:dyDescent="0.15"/>
    <row r="13471" s="69" customFormat="1" x14ac:dyDescent="0.15"/>
    <row r="13472" s="69" customFormat="1" x14ac:dyDescent="0.15"/>
    <row r="13473" s="69" customFormat="1" x14ac:dyDescent="0.15"/>
    <row r="13474" s="69" customFormat="1" x14ac:dyDescent="0.15"/>
    <row r="13475" s="69" customFormat="1" x14ac:dyDescent="0.15"/>
    <row r="13476" s="69" customFormat="1" x14ac:dyDescent="0.15"/>
    <row r="13477" s="69" customFormat="1" x14ac:dyDescent="0.15"/>
    <row r="13478" s="69" customFormat="1" x14ac:dyDescent="0.15"/>
    <row r="13479" s="69" customFormat="1" x14ac:dyDescent="0.15"/>
    <row r="13480" s="69" customFormat="1" x14ac:dyDescent="0.15"/>
    <row r="13481" s="69" customFormat="1" x14ac:dyDescent="0.15"/>
    <row r="13482" s="69" customFormat="1" x14ac:dyDescent="0.15"/>
    <row r="13483" s="69" customFormat="1" x14ac:dyDescent="0.15"/>
    <row r="13484" s="69" customFormat="1" x14ac:dyDescent="0.15"/>
    <row r="13485" s="69" customFormat="1" x14ac:dyDescent="0.15"/>
    <row r="13486" s="69" customFormat="1" x14ac:dyDescent="0.15"/>
    <row r="13487" s="69" customFormat="1" x14ac:dyDescent="0.15"/>
    <row r="13488" s="69" customFormat="1" x14ac:dyDescent="0.15"/>
    <row r="13489" s="69" customFormat="1" x14ac:dyDescent="0.15"/>
    <row r="13490" s="69" customFormat="1" x14ac:dyDescent="0.15"/>
    <row r="13491" s="69" customFormat="1" x14ac:dyDescent="0.15"/>
    <row r="13492" s="69" customFormat="1" x14ac:dyDescent="0.15"/>
    <row r="13493" s="69" customFormat="1" x14ac:dyDescent="0.15"/>
    <row r="13494" s="69" customFormat="1" x14ac:dyDescent="0.15"/>
    <row r="13495" s="69" customFormat="1" x14ac:dyDescent="0.15"/>
    <row r="13496" s="69" customFormat="1" x14ac:dyDescent="0.15"/>
    <row r="13497" s="69" customFormat="1" x14ac:dyDescent="0.15"/>
    <row r="13498" s="69" customFormat="1" x14ac:dyDescent="0.15"/>
    <row r="13499" s="69" customFormat="1" x14ac:dyDescent="0.15"/>
    <row r="13500" s="69" customFormat="1" x14ac:dyDescent="0.15"/>
    <row r="13501" s="69" customFormat="1" x14ac:dyDescent="0.15"/>
    <row r="13502" s="69" customFormat="1" x14ac:dyDescent="0.15"/>
    <row r="13503" s="69" customFormat="1" x14ac:dyDescent="0.15"/>
    <row r="13504" s="69" customFormat="1" x14ac:dyDescent="0.15"/>
    <row r="13505" s="69" customFormat="1" x14ac:dyDescent="0.15"/>
    <row r="13506" s="69" customFormat="1" x14ac:dyDescent="0.15"/>
    <row r="13507" s="69" customFormat="1" x14ac:dyDescent="0.15"/>
    <row r="13508" s="69" customFormat="1" x14ac:dyDescent="0.15"/>
    <row r="13509" s="69" customFormat="1" x14ac:dyDescent="0.15"/>
    <row r="13510" s="69" customFormat="1" x14ac:dyDescent="0.15"/>
    <row r="13511" s="69" customFormat="1" x14ac:dyDescent="0.15"/>
    <row r="13512" s="69" customFormat="1" x14ac:dyDescent="0.15"/>
    <row r="13513" s="69" customFormat="1" x14ac:dyDescent="0.15"/>
    <row r="13514" s="69" customFormat="1" x14ac:dyDescent="0.15"/>
    <row r="13515" s="69" customFormat="1" x14ac:dyDescent="0.15"/>
    <row r="13516" s="69" customFormat="1" x14ac:dyDescent="0.15"/>
    <row r="13517" s="69" customFormat="1" x14ac:dyDescent="0.15"/>
    <row r="13518" s="69" customFormat="1" x14ac:dyDescent="0.15"/>
    <row r="13519" s="69" customFormat="1" x14ac:dyDescent="0.15"/>
    <row r="13520" s="69" customFormat="1" x14ac:dyDescent="0.15"/>
    <row r="13521" s="69" customFormat="1" x14ac:dyDescent="0.15"/>
    <row r="13522" s="69" customFormat="1" x14ac:dyDescent="0.15"/>
    <row r="13523" s="69" customFormat="1" x14ac:dyDescent="0.15"/>
    <row r="13524" s="69" customFormat="1" x14ac:dyDescent="0.15"/>
    <row r="13525" s="69" customFormat="1" x14ac:dyDescent="0.15"/>
    <row r="13526" s="69" customFormat="1" x14ac:dyDescent="0.15"/>
    <row r="13527" s="69" customFormat="1" x14ac:dyDescent="0.15"/>
    <row r="13528" s="69" customFormat="1" x14ac:dyDescent="0.15"/>
    <row r="13529" s="69" customFormat="1" x14ac:dyDescent="0.15"/>
    <row r="13530" s="69" customFormat="1" x14ac:dyDescent="0.15"/>
    <row r="13531" s="69" customFormat="1" x14ac:dyDescent="0.15"/>
    <row r="13532" s="69" customFormat="1" x14ac:dyDescent="0.15"/>
    <row r="13533" s="69" customFormat="1" x14ac:dyDescent="0.15"/>
    <row r="13534" s="69" customFormat="1" x14ac:dyDescent="0.15"/>
    <row r="13535" s="69" customFormat="1" x14ac:dyDescent="0.15"/>
    <row r="13536" s="69" customFormat="1" x14ac:dyDescent="0.15"/>
    <row r="13537" s="69" customFormat="1" x14ac:dyDescent="0.15"/>
    <row r="13538" s="69" customFormat="1" x14ac:dyDescent="0.15"/>
    <row r="13539" s="69" customFormat="1" x14ac:dyDescent="0.15"/>
    <row r="13540" s="69" customFormat="1" x14ac:dyDescent="0.15"/>
    <row r="13541" s="69" customFormat="1" x14ac:dyDescent="0.15"/>
    <row r="13542" s="69" customFormat="1" x14ac:dyDescent="0.15"/>
    <row r="13543" s="69" customFormat="1" x14ac:dyDescent="0.15"/>
    <row r="13544" s="69" customFormat="1" x14ac:dyDescent="0.15"/>
    <row r="13545" s="69" customFormat="1" x14ac:dyDescent="0.15"/>
    <row r="13546" s="69" customFormat="1" x14ac:dyDescent="0.15"/>
    <row r="13547" s="69" customFormat="1" x14ac:dyDescent="0.15"/>
    <row r="13548" s="69" customFormat="1" x14ac:dyDescent="0.15"/>
    <row r="13549" s="69" customFormat="1" x14ac:dyDescent="0.15"/>
    <row r="13550" s="69" customFormat="1" x14ac:dyDescent="0.15"/>
    <row r="13551" s="69" customFormat="1" x14ac:dyDescent="0.15"/>
    <row r="13552" s="69" customFormat="1" x14ac:dyDescent="0.15"/>
    <row r="13553" s="69" customFormat="1" x14ac:dyDescent="0.15"/>
    <row r="13554" s="69" customFormat="1" x14ac:dyDescent="0.15"/>
    <row r="13555" s="69" customFormat="1" x14ac:dyDescent="0.15"/>
    <row r="13556" s="69" customFormat="1" x14ac:dyDescent="0.15"/>
    <row r="13557" s="69" customFormat="1" x14ac:dyDescent="0.15"/>
    <row r="13558" s="69" customFormat="1" x14ac:dyDescent="0.15"/>
    <row r="13559" s="69" customFormat="1" x14ac:dyDescent="0.15"/>
    <row r="13560" s="69" customFormat="1" x14ac:dyDescent="0.15"/>
    <row r="13561" s="69" customFormat="1" x14ac:dyDescent="0.15"/>
    <row r="13562" s="69" customFormat="1" x14ac:dyDescent="0.15"/>
    <row r="13563" s="69" customFormat="1" x14ac:dyDescent="0.15"/>
    <row r="13564" s="69" customFormat="1" x14ac:dyDescent="0.15"/>
    <row r="13565" s="69" customFormat="1" x14ac:dyDescent="0.15"/>
    <row r="13566" s="69" customFormat="1" x14ac:dyDescent="0.15"/>
    <row r="13567" s="69" customFormat="1" x14ac:dyDescent="0.15"/>
    <row r="13568" s="69" customFormat="1" x14ac:dyDescent="0.15"/>
    <row r="13569" s="69" customFormat="1" x14ac:dyDescent="0.15"/>
    <row r="13570" s="69" customFormat="1" x14ac:dyDescent="0.15"/>
    <row r="13571" s="69" customFormat="1" x14ac:dyDescent="0.15"/>
    <row r="13572" s="69" customFormat="1" x14ac:dyDescent="0.15"/>
    <row r="13573" s="69" customFormat="1" x14ac:dyDescent="0.15"/>
    <row r="13574" s="69" customFormat="1" x14ac:dyDescent="0.15"/>
    <row r="13575" s="69" customFormat="1" x14ac:dyDescent="0.15"/>
    <row r="13576" s="69" customFormat="1" x14ac:dyDescent="0.15"/>
    <row r="13577" s="69" customFormat="1" x14ac:dyDescent="0.15"/>
    <row r="13578" s="69" customFormat="1" x14ac:dyDescent="0.15"/>
    <row r="13579" s="69" customFormat="1" x14ac:dyDescent="0.15"/>
    <row r="13580" s="69" customFormat="1" x14ac:dyDescent="0.15"/>
    <row r="13581" s="69" customFormat="1" x14ac:dyDescent="0.15"/>
    <row r="13582" s="69" customFormat="1" x14ac:dyDescent="0.15"/>
    <row r="13583" s="69" customFormat="1" x14ac:dyDescent="0.15"/>
    <row r="13584" s="69" customFormat="1" x14ac:dyDescent="0.15"/>
    <row r="13585" s="69" customFormat="1" x14ac:dyDescent="0.15"/>
    <row r="13586" s="69" customFormat="1" x14ac:dyDescent="0.15"/>
    <row r="13587" s="69" customFormat="1" x14ac:dyDescent="0.15"/>
    <row r="13588" s="69" customFormat="1" x14ac:dyDescent="0.15"/>
    <row r="13589" s="69" customFormat="1" x14ac:dyDescent="0.15"/>
    <row r="13590" s="69" customFormat="1" x14ac:dyDescent="0.15"/>
    <row r="13591" s="69" customFormat="1" x14ac:dyDescent="0.15"/>
    <row r="13592" s="69" customFormat="1" x14ac:dyDescent="0.15"/>
    <row r="13593" s="69" customFormat="1" x14ac:dyDescent="0.15"/>
    <row r="13594" s="69" customFormat="1" x14ac:dyDescent="0.15"/>
    <row r="13595" s="69" customFormat="1" x14ac:dyDescent="0.15"/>
    <row r="13596" s="69" customFormat="1" x14ac:dyDescent="0.15"/>
    <row r="13597" s="69" customFormat="1" x14ac:dyDescent="0.15"/>
    <row r="13598" s="69" customFormat="1" x14ac:dyDescent="0.15"/>
    <row r="13599" s="69" customFormat="1" x14ac:dyDescent="0.15"/>
    <row r="13600" s="69" customFormat="1" x14ac:dyDescent="0.15"/>
    <row r="13601" s="69" customFormat="1" x14ac:dyDescent="0.15"/>
    <row r="13602" s="69" customFormat="1" x14ac:dyDescent="0.15"/>
    <row r="13603" s="69" customFormat="1" x14ac:dyDescent="0.15"/>
    <row r="13604" s="69" customFormat="1" x14ac:dyDescent="0.15"/>
    <row r="13605" s="69" customFormat="1" x14ac:dyDescent="0.15"/>
    <row r="13606" s="69" customFormat="1" x14ac:dyDescent="0.15"/>
    <row r="13607" s="69" customFormat="1" x14ac:dyDescent="0.15"/>
    <row r="13608" s="69" customFormat="1" x14ac:dyDescent="0.15"/>
    <row r="13609" s="69" customFormat="1" x14ac:dyDescent="0.15"/>
    <row r="13610" s="69" customFormat="1" x14ac:dyDescent="0.15"/>
    <row r="13611" s="69" customFormat="1" x14ac:dyDescent="0.15"/>
    <row r="13612" s="69" customFormat="1" x14ac:dyDescent="0.15"/>
    <row r="13613" s="69" customFormat="1" x14ac:dyDescent="0.15"/>
    <row r="13614" s="69" customFormat="1" x14ac:dyDescent="0.15"/>
    <row r="13615" s="69" customFormat="1" x14ac:dyDescent="0.15"/>
    <row r="13616" s="69" customFormat="1" x14ac:dyDescent="0.15"/>
    <row r="13617" s="69" customFormat="1" x14ac:dyDescent="0.15"/>
    <row r="13618" s="69" customFormat="1" x14ac:dyDescent="0.15"/>
    <row r="13619" s="69" customFormat="1" x14ac:dyDescent="0.15"/>
    <row r="13620" s="69" customFormat="1" x14ac:dyDescent="0.15"/>
    <row r="13621" s="69" customFormat="1" x14ac:dyDescent="0.15"/>
    <row r="13622" s="69" customFormat="1" x14ac:dyDescent="0.15"/>
    <row r="13623" s="69" customFormat="1" x14ac:dyDescent="0.15"/>
    <row r="13624" s="69" customFormat="1" x14ac:dyDescent="0.15"/>
    <row r="13625" s="69" customFormat="1" x14ac:dyDescent="0.15"/>
    <row r="13626" s="69" customFormat="1" x14ac:dyDescent="0.15"/>
    <row r="13627" s="69" customFormat="1" x14ac:dyDescent="0.15"/>
    <row r="13628" s="69" customFormat="1" x14ac:dyDescent="0.15"/>
    <row r="13629" s="69" customFormat="1" x14ac:dyDescent="0.15"/>
    <row r="13630" s="69" customFormat="1" x14ac:dyDescent="0.15"/>
    <row r="13631" s="69" customFormat="1" x14ac:dyDescent="0.15"/>
    <row r="13632" s="69" customFormat="1" x14ac:dyDescent="0.15"/>
    <row r="13633" s="69" customFormat="1" x14ac:dyDescent="0.15"/>
    <row r="13634" s="69" customFormat="1" x14ac:dyDescent="0.15"/>
    <row r="13635" s="69" customFormat="1" x14ac:dyDescent="0.15"/>
    <row r="13636" s="69" customFormat="1" x14ac:dyDescent="0.15"/>
    <row r="13637" s="69" customFormat="1" x14ac:dyDescent="0.15"/>
    <row r="13638" s="69" customFormat="1" x14ac:dyDescent="0.15"/>
    <row r="13639" s="69" customFormat="1" x14ac:dyDescent="0.15"/>
    <row r="13640" s="69" customFormat="1" x14ac:dyDescent="0.15"/>
    <row r="13641" s="69" customFormat="1" x14ac:dyDescent="0.15"/>
    <row r="13642" s="69" customFormat="1" x14ac:dyDescent="0.15"/>
    <row r="13643" s="69" customFormat="1" x14ac:dyDescent="0.15"/>
    <row r="13644" s="69" customFormat="1" x14ac:dyDescent="0.15"/>
    <row r="13645" s="69" customFormat="1" x14ac:dyDescent="0.15"/>
    <row r="13646" s="69" customFormat="1" x14ac:dyDescent="0.15"/>
    <row r="13647" s="69" customFormat="1" x14ac:dyDescent="0.15"/>
    <row r="13648" s="69" customFormat="1" x14ac:dyDescent="0.15"/>
    <row r="13649" s="69" customFormat="1" x14ac:dyDescent="0.15"/>
    <row r="13650" s="69" customFormat="1" x14ac:dyDescent="0.15"/>
    <row r="13651" s="69" customFormat="1" x14ac:dyDescent="0.15"/>
    <row r="13652" s="69" customFormat="1" x14ac:dyDescent="0.15"/>
    <row r="13653" s="69" customFormat="1" x14ac:dyDescent="0.15"/>
    <row r="13654" s="69" customFormat="1" x14ac:dyDescent="0.15"/>
    <row r="13655" s="69" customFormat="1" x14ac:dyDescent="0.15"/>
    <row r="13656" s="69" customFormat="1" x14ac:dyDescent="0.15"/>
    <row r="13657" s="69" customFormat="1" x14ac:dyDescent="0.15"/>
    <row r="13658" s="69" customFormat="1" x14ac:dyDescent="0.15"/>
    <row r="13659" s="69" customFormat="1" x14ac:dyDescent="0.15"/>
    <row r="13660" s="69" customFormat="1" x14ac:dyDescent="0.15"/>
    <row r="13661" s="69" customFormat="1" x14ac:dyDescent="0.15"/>
    <row r="13662" s="69" customFormat="1" x14ac:dyDescent="0.15"/>
    <row r="13663" s="69" customFormat="1" x14ac:dyDescent="0.15"/>
    <row r="13664" s="69" customFormat="1" x14ac:dyDescent="0.15"/>
    <row r="13665" s="69" customFormat="1" x14ac:dyDescent="0.15"/>
    <row r="13666" s="69" customFormat="1" x14ac:dyDescent="0.15"/>
    <row r="13667" s="69" customFormat="1" x14ac:dyDescent="0.15"/>
    <row r="13668" s="69" customFormat="1" x14ac:dyDescent="0.15"/>
    <row r="13669" s="69" customFormat="1" x14ac:dyDescent="0.15"/>
    <row r="13670" s="69" customFormat="1" x14ac:dyDescent="0.15"/>
    <row r="13671" s="69" customFormat="1" x14ac:dyDescent="0.15"/>
    <row r="13672" s="69" customFormat="1" x14ac:dyDescent="0.15"/>
    <row r="13673" s="69" customFormat="1" x14ac:dyDescent="0.15"/>
    <row r="13674" s="69" customFormat="1" x14ac:dyDescent="0.15"/>
    <row r="13675" s="69" customFormat="1" x14ac:dyDescent="0.15"/>
    <row r="13676" s="69" customFormat="1" x14ac:dyDescent="0.15"/>
    <row r="13677" s="69" customFormat="1" x14ac:dyDescent="0.15"/>
    <row r="13678" s="69" customFormat="1" x14ac:dyDescent="0.15"/>
    <row r="13679" s="69" customFormat="1" x14ac:dyDescent="0.15"/>
    <row r="13680" s="69" customFormat="1" x14ac:dyDescent="0.15"/>
    <row r="13681" s="69" customFormat="1" x14ac:dyDescent="0.15"/>
    <row r="13682" s="69" customFormat="1" x14ac:dyDescent="0.15"/>
    <row r="13683" s="69" customFormat="1" x14ac:dyDescent="0.15"/>
    <row r="13684" s="69" customFormat="1" x14ac:dyDescent="0.15"/>
    <row r="13685" s="69" customFormat="1" x14ac:dyDescent="0.15"/>
    <row r="13686" s="69" customFormat="1" x14ac:dyDescent="0.15"/>
    <row r="13687" s="69" customFormat="1" x14ac:dyDescent="0.15"/>
    <row r="13688" s="69" customFormat="1" x14ac:dyDescent="0.15"/>
    <row r="13689" s="69" customFormat="1" x14ac:dyDescent="0.15"/>
    <row r="13690" s="69" customFormat="1" x14ac:dyDescent="0.15"/>
    <row r="13691" s="69" customFormat="1" x14ac:dyDescent="0.15"/>
    <row r="13692" s="69" customFormat="1" x14ac:dyDescent="0.15"/>
    <row r="13693" s="69" customFormat="1" x14ac:dyDescent="0.15"/>
    <row r="13694" s="69" customFormat="1" x14ac:dyDescent="0.15"/>
    <row r="13695" s="69" customFormat="1" x14ac:dyDescent="0.15"/>
    <row r="13696" s="69" customFormat="1" x14ac:dyDescent="0.15"/>
    <row r="13697" s="69" customFormat="1" x14ac:dyDescent="0.15"/>
    <row r="13698" s="69" customFormat="1" x14ac:dyDescent="0.15"/>
    <row r="13699" s="69" customFormat="1" x14ac:dyDescent="0.15"/>
    <row r="13700" s="69" customFormat="1" x14ac:dyDescent="0.15"/>
    <row r="13701" s="69" customFormat="1" x14ac:dyDescent="0.15"/>
    <row r="13702" s="69" customFormat="1" x14ac:dyDescent="0.15"/>
    <row r="13703" s="69" customFormat="1" x14ac:dyDescent="0.15"/>
    <row r="13704" s="69" customFormat="1" x14ac:dyDescent="0.15"/>
    <row r="13705" s="69" customFormat="1" x14ac:dyDescent="0.15"/>
    <row r="13706" s="69" customFormat="1" x14ac:dyDescent="0.15"/>
    <row r="13707" s="69" customFormat="1" x14ac:dyDescent="0.15"/>
    <row r="13708" s="69" customFormat="1" x14ac:dyDescent="0.15"/>
    <row r="13709" s="69" customFormat="1" x14ac:dyDescent="0.15"/>
    <row r="13710" s="69" customFormat="1" x14ac:dyDescent="0.15"/>
    <row r="13711" s="69" customFormat="1" x14ac:dyDescent="0.15"/>
    <row r="13712" s="69" customFormat="1" x14ac:dyDescent="0.15"/>
    <row r="13713" s="69" customFormat="1" x14ac:dyDescent="0.15"/>
    <row r="13714" s="69" customFormat="1" x14ac:dyDescent="0.15"/>
    <row r="13715" s="69" customFormat="1" x14ac:dyDescent="0.15"/>
    <row r="13716" s="69" customFormat="1" x14ac:dyDescent="0.15"/>
    <row r="13717" s="69" customFormat="1" x14ac:dyDescent="0.15"/>
    <row r="13718" s="69" customFormat="1" x14ac:dyDescent="0.15"/>
    <row r="13719" s="69" customFormat="1" x14ac:dyDescent="0.15"/>
    <row r="13720" s="69" customFormat="1" x14ac:dyDescent="0.15"/>
    <row r="13721" s="69" customFormat="1" x14ac:dyDescent="0.15"/>
    <row r="13722" s="69" customFormat="1" x14ac:dyDescent="0.15"/>
    <row r="13723" s="69" customFormat="1" x14ac:dyDescent="0.15"/>
    <row r="13724" s="69" customFormat="1" x14ac:dyDescent="0.15"/>
    <row r="13725" s="69" customFormat="1" x14ac:dyDescent="0.15"/>
    <row r="13726" s="69" customFormat="1" x14ac:dyDescent="0.15"/>
    <row r="13727" s="69" customFormat="1" x14ac:dyDescent="0.15"/>
    <row r="13728" s="69" customFormat="1" x14ac:dyDescent="0.15"/>
    <row r="13729" s="69" customFormat="1" x14ac:dyDescent="0.15"/>
    <row r="13730" s="69" customFormat="1" x14ac:dyDescent="0.15"/>
    <row r="13731" s="69" customFormat="1" x14ac:dyDescent="0.15"/>
    <row r="13732" s="69" customFormat="1" x14ac:dyDescent="0.15"/>
    <row r="13733" s="69" customFormat="1" x14ac:dyDescent="0.15"/>
    <row r="13734" s="69" customFormat="1" x14ac:dyDescent="0.15"/>
    <row r="13735" s="69" customFormat="1" x14ac:dyDescent="0.15"/>
    <row r="13736" s="69" customFormat="1" x14ac:dyDescent="0.15"/>
    <row r="13737" s="69" customFormat="1" x14ac:dyDescent="0.15"/>
    <row r="13738" s="69" customFormat="1" x14ac:dyDescent="0.15"/>
    <row r="13739" s="69" customFormat="1" x14ac:dyDescent="0.15"/>
    <row r="13740" s="69" customFormat="1" x14ac:dyDescent="0.15"/>
    <row r="13741" s="69" customFormat="1" x14ac:dyDescent="0.15"/>
    <row r="13742" s="69" customFormat="1" x14ac:dyDescent="0.15"/>
    <row r="13743" s="69" customFormat="1" x14ac:dyDescent="0.15"/>
    <row r="13744" s="69" customFormat="1" x14ac:dyDescent="0.15"/>
    <row r="13745" s="69" customFormat="1" x14ac:dyDescent="0.15"/>
    <row r="13746" s="69" customFormat="1" x14ac:dyDescent="0.15"/>
    <row r="13747" s="69" customFormat="1" x14ac:dyDescent="0.15"/>
    <row r="13748" s="69" customFormat="1" x14ac:dyDescent="0.15"/>
    <row r="13749" s="69" customFormat="1" x14ac:dyDescent="0.15"/>
    <row r="13750" s="69" customFormat="1" x14ac:dyDescent="0.15"/>
    <row r="13751" s="69" customFormat="1" x14ac:dyDescent="0.15"/>
    <row r="13752" s="69" customFormat="1" x14ac:dyDescent="0.15"/>
    <row r="13753" s="69" customFormat="1" x14ac:dyDescent="0.15"/>
    <row r="13754" s="69" customFormat="1" x14ac:dyDescent="0.15"/>
    <row r="13755" s="69" customFormat="1" x14ac:dyDescent="0.15"/>
    <row r="13756" s="69" customFormat="1" x14ac:dyDescent="0.15"/>
    <row r="13757" s="69" customFormat="1" x14ac:dyDescent="0.15"/>
    <row r="13758" s="69" customFormat="1" x14ac:dyDescent="0.15"/>
    <row r="13759" s="69" customFormat="1" x14ac:dyDescent="0.15"/>
    <row r="13760" s="69" customFormat="1" x14ac:dyDescent="0.15"/>
    <row r="13761" s="69" customFormat="1" x14ac:dyDescent="0.15"/>
    <row r="13762" s="69" customFormat="1" x14ac:dyDescent="0.15"/>
    <row r="13763" s="69" customFormat="1" x14ac:dyDescent="0.15"/>
    <row r="13764" s="69" customFormat="1" x14ac:dyDescent="0.15"/>
    <row r="13765" s="69" customFormat="1" x14ac:dyDescent="0.15"/>
    <row r="13766" s="69" customFormat="1" x14ac:dyDescent="0.15"/>
    <row r="13767" s="69" customFormat="1" x14ac:dyDescent="0.15"/>
    <row r="13768" s="69" customFormat="1" x14ac:dyDescent="0.15"/>
    <row r="13769" s="69" customFormat="1" x14ac:dyDescent="0.15"/>
    <row r="13770" s="69" customFormat="1" x14ac:dyDescent="0.15"/>
    <row r="13771" s="69" customFormat="1" x14ac:dyDescent="0.15"/>
    <row r="13772" s="69" customFormat="1" x14ac:dyDescent="0.15"/>
    <row r="13773" s="69" customFormat="1" x14ac:dyDescent="0.15"/>
    <row r="13774" s="69" customFormat="1" x14ac:dyDescent="0.15"/>
    <row r="13775" s="69" customFormat="1" x14ac:dyDescent="0.15"/>
    <row r="13776" s="69" customFormat="1" x14ac:dyDescent="0.15"/>
    <row r="13777" s="69" customFormat="1" x14ac:dyDescent="0.15"/>
    <row r="13778" s="69" customFormat="1" x14ac:dyDescent="0.15"/>
    <row r="13779" s="69" customFormat="1" x14ac:dyDescent="0.15"/>
    <row r="13780" s="69" customFormat="1" x14ac:dyDescent="0.15"/>
    <row r="13781" s="69" customFormat="1" x14ac:dyDescent="0.15"/>
    <row r="13782" s="69" customFormat="1" x14ac:dyDescent="0.15"/>
    <row r="13783" s="69" customFormat="1" x14ac:dyDescent="0.15"/>
    <row r="13784" s="69" customFormat="1" x14ac:dyDescent="0.15"/>
    <row r="13785" s="69" customFormat="1" x14ac:dyDescent="0.15"/>
    <row r="13786" s="69" customFormat="1" x14ac:dyDescent="0.15"/>
    <row r="13787" s="69" customFormat="1" x14ac:dyDescent="0.15"/>
    <row r="13788" s="69" customFormat="1" x14ac:dyDescent="0.15"/>
    <row r="13789" s="69" customFormat="1" x14ac:dyDescent="0.15"/>
    <row r="13790" s="69" customFormat="1" x14ac:dyDescent="0.15"/>
    <row r="13791" s="69" customFormat="1" x14ac:dyDescent="0.15"/>
    <row r="13792" s="69" customFormat="1" x14ac:dyDescent="0.15"/>
    <row r="13793" s="69" customFormat="1" x14ac:dyDescent="0.15"/>
    <row r="13794" s="69" customFormat="1" x14ac:dyDescent="0.15"/>
    <row r="13795" s="69" customFormat="1" x14ac:dyDescent="0.15"/>
    <row r="13796" s="69" customFormat="1" x14ac:dyDescent="0.15"/>
    <row r="13797" s="69" customFormat="1" x14ac:dyDescent="0.15"/>
    <row r="13798" s="69" customFormat="1" x14ac:dyDescent="0.15"/>
    <row r="13799" s="69" customFormat="1" x14ac:dyDescent="0.15"/>
    <row r="13800" s="69" customFormat="1" x14ac:dyDescent="0.15"/>
    <row r="13801" s="69" customFormat="1" x14ac:dyDescent="0.15"/>
    <row r="13802" s="69" customFormat="1" x14ac:dyDescent="0.15"/>
    <row r="13803" s="69" customFormat="1" x14ac:dyDescent="0.15"/>
    <row r="13804" s="69" customFormat="1" x14ac:dyDescent="0.15"/>
    <row r="13805" s="69" customFormat="1" x14ac:dyDescent="0.15"/>
    <row r="13806" s="69" customFormat="1" x14ac:dyDescent="0.15"/>
    <row r="13807" s="69" customFormat="1" x14ac:dyDescent="0.15"/>
    <row r="13808" s="69" customFormat="1" x14ac:dyDescent="0.15"/>
    <row r="13809" s="69" customFormat="1" x14ac:dyDescent="0.15"/>
    <row r="13810" s="69" customFormat="1" x14ac:dyDescent="0.15"/>
    <row r="13811" s="69" customFormat="1" x14ac:dyDescent="0.15"/>
    <row r="13812" s="69" customFormat="1" x14ac:dyDescent="0.15"/>
    <row r="13813" s="69" customFormat="1" x14ac:dyDescent="0.15"/>
    <row r="13814" s="69" customFormat="1" x14ac:dyDescent="0.15"/>
    <row r="13815" s="69" customFormat="1" x14ac:dyDescent="0.15"/>
    <row r="13816" s="69" customFormat="1" x14ac:dyDescent="0.15"/>
    <row r="13817" s="69" customFormat="1" x14ac:dyDescent="0.15"/>
    <row r="13818" s="69" customFormat="1" x14ac:dyDescent="0.15"/>
    <row r="13819" s="69" customFormat="1" x14ac:dyDescent="0.15"/>
    <row r="13820" s="69" customFormat="1" x14ac:dyDescent="0.15"/>
    <row r="13821" s="69" customFormat="1" x14ac:dyDescent="0.15"/>
    <row r="13822" s="69" customFormat="1" x14ac:dyDescent="0.15"/>
    <row r="13823" s="69" customFormat="1" x14ac:dyDescent="0.15"/>
    <row r="13824" s="69" customFormat="1" x14ac:dyDescent="0.15"/>
    <row r="13825" s="69" customFormat="1" x14ac:dyDescent="0.15"/>
    <row r="13826" s="69" customFormat="1" x14ac:dyDescent="0.15"/>
    <row r="13827" s="69" customFormat="1" x14ac:dyDescent="0.15"/>
    <row r="13828" s="69" customFormat="1" x14ac:dyDescent="0.15"/>
    <row r="13829" s="69" customFormat="1" x14ac:dyDescent="0.15"/>
    <row r="13830" s="69" customFormat="1" x14ac:dyDescent="0.15"/>
    <row r="13831" s="69" customFormat="1" x14ac:dyDescent="0.15"/>
    <row r="13832" s="69" customFormat="1" x14ac:dyDescent="0.15"/>
    <row r="13833" s="69" customFormat="1" x14ac:dyDescent="0.15"/>
    <row r="13834" s="69" customFormat="1" x14ac:dyDescent="0.15"/>
    <row r="13835" s="69" customFormat="1" x14ac:dyDescent="0.15"/>
    <row r="13836" s="69" customFormat="1" x14ac:dyDescent="0.15"/>
    <row r="13837" s="69" customFormat="1" x14ac:dyDescent="0.15"/>
    <row r="13838" s="69" customFormat="1" x14ac:dyDescent="0.15"/>
    <row r="13839" s="69" customFormat="1" x14ac:dyDescent="0.15"/>
    <row r="13840" s="69" customFormat="1" x14ac:dyDescent="0.15"/>
    <row r="13841" s="69" customFormat="1" x14ac:dyDescent="0.15"/>
    <row r="13842" s="69" customFormat="1" x14ac:dyDescent="0.15"/>
    <row r="13843" s="69" customFormat="1" x14ac:dyDescent="0.15"/>
    <row r="13844" s="69" customFormat="1" x14ac:dyDescent="0.15"/>
    <row r="13845" s="69" customFormat="1" x14ac:dyDescent="0.15"/>
    <row r="13846" s="69" customFormat="1" x14ac:dyDescent="0.15"/>
    <row r="13847" s="69" customFormat="1" x14ac:dyDescent="0.15"/>
    <row r="13848" s="69" customFormat="1" x14ac:dyDescent="0.15"/>
    <row r="13849" s="69" customFormat="1" x14ac:dyDescent="0.15"/>
    <row r="13850" s="69" customFormat="1" x14ac:dyDescent="0.15"/>
    <row r="13851" s="69" customFormat="1" x14ac:dyDescent="0.15"/>
    <row r="13852" s="69" customFormat="1" x14ac:dyDescent="0.15"/>
    <row r="13853" s="69" customFormat="1" x14ac:dyDescent="0.15"/>
    <row r="13854" s="69" customFormat="1" x14ac:dyDescent="0.15"/>
    <row r="13855" s="69" customFormat="1" x14ac:dyDescent="0.15"/>
    <row r="13856" s="69" customFormat="1" x14ac:dyDescent="0.15"/>
    <row r="13857" s="69" customFormat="1" x14ac:dyDescent="0.15"/>
    <row r="13858" s="69" customFormat="1" x14ac:dyDescent="0.15"/>
    <row r="13859" s="69" customFormat="1" x14ac:dyDescent="0.15"/>
    <row r="13860" s="69" customFormat="1" x14ac:dyDescent="0.15"/>
    <row r="13861" s="69" customFormat="1" x14ac:dyDescent="0.15"/>
    <row r="13862" s="69" customFormat="1" x14ac:dyDescent="0.15"/>
    <row r="13863" s="69" customFormat="1" x14ac:dyDescent="0.15"/>
    <row r="13864" s="69" customFormat="1" x14ac:dyDescent="0.15"/>
    <row r="13865" s="69" customFormat="1" x14ac:dyDescent="0.15"/>
    <row r="13866" s="69" customFormat="1" x14ac:dyDescent="0.15"/>
    <row r="13867" s="69" customFormat="1" x14ac:dyDescent="0.15"/>
    <row r="13868" s="69" customFormat="1" x14ac:dyDescent="0.15"/>
    <row r="13869" s="69" customFormat="1" x14ac:dyDescent="0.15"/>
    <row r="13870" s="69" customFormat="1" x14ac:dyDescent="0.15"/>
    <row r="13871" s="69" customFormat="1" x14ac:dyDescent="0.15"/>
    <row r="13872" s="69" customFormat="1" x14ac:dyDescent="0.15"/>
    <row r="13873" s="69" customFormat="1" x14ac:dyDescent="0.15"/>
    <row r="13874" s="69" customFormat="1" x14ac:dyDescent="0.15"/>
    <row r="13875" s="69" customFormat="1" x14ac:dyDescent="0.15"/>
    <row r="13876" s="69" customFormat="1" x14ac:dyDescent="0.15"/>
    <row r="13877" s="69" customFormat="1" x14ac:dyDescent="0.15"/>
    <row r="13878" s="69" customFormat="1" x14ac:dyDescent="0.15"/>
    <row r="13879" s="69" customFormat="1" x14ac:dyDescent="0.15"/>
    <row r="13880" s="69" customFormat="1" x14ac:dyDescent="0.15"/>
    <row r="13881" s="69" customFormat="1" x14ac:dyDescent="0.15"/>
    <row r="13882" s="69" customFormat="1" x14ac:dyDescent="0.15"/>
    <row r="13883" s="69" customFormat="1" x14ac:dyDescent="0.15"/>
    <row r="13884" s="69" customFormat="1" x14ac:dyDescent="0.15"/>
    <row r="13885" s="69" customFormat="1" x14ac:dyDescent="0.15"/>
    <row r="13886" s="69" customFormat="1" x14ac:dyDescent="0.15"/>
    <row r="13887" s="69" customFormat="1" x14ac:dyDescent="0.15"/>
    <row r="13888" s="69" customFormat="1" x14ac:dyDescent="0.15"/>
    <row r="13889" s="69" customFormat="1" x14ac:dyDescent="0.15"/>
    <row r="13890" s="69" customFormat="1" x14ac:dyDescent="0.15"/>
    <row r="13891" s="69" customFormat="1" x14ac:dyDescent="0.15"/>
    <row r="13892" s="69" customFormat="1" x14ac:dyDescent="0.15"/>
    <row r="13893" s="69" customFormat="1" x14ac:dyDescent="0.15"/>
    <row r="13894" s="69" customFormat="1" x14ac:dyDescent="0.15"/>
    <row r="13895" s="69" customFormat="1" x14ac:dyDescent="0.15"/>
    <row r="13896" s="69" customFormat="1" x14ac:dyDescent="0.15"/>
    <row r="13897" s="69" customFormat="1" x14ac:dyDescent="0.15"/>
    <row r="13898" s="69" customFormat="1" x14ac:dyDescent="0.15"/>
    <row r="13899" s="69" customFormat="1" x14ac:dyDescent="0.15"/>
    <row r="13900" s="69" customFormat="1" x14ac:dyDescent="0.15"/>
    <row r="13901" s="69" customFormat="1" x14ac:dyDescent="0.15"/>
    <row r="13902" s="69" customFormat="1" x14ac:dyDescent="0.15"/>
    <row r="13903" s="69" customFormat="1" x14ac:dyDescent="0.15"/>
    <row r="13904" s="69" customFormat="1" x14ac:dyDescent="0.15"/>
    <row r="13905" s="69" customFormat="1" x14ac:dyDescent="0.15"/>
    <row r="13906" s="69" customFormat="1" x14ac:dyDescent="0.15"/>
    <row r="13907" s="69" customFormat="1" x14ac:dyDescent="0.15"/>
    <row r="13908" s="69" customFormat="1" x14ac:dyDescent="0.15"/>
    <row r="13909" s="69" customFormat="1" x14ac:dyDescent="0.15"/>
    <row r="13910" s="69" customFormat="1" x14ac:dyDescent="0.15"/>
    <row r="13911" s="69" customFormat="1" x14ac:dyDescent="0.15"/>
    <row r="13912" s="69" customFormat="1" x14ac:dyDescent="0.15"/>
    <row r="13913" s="69" customFormat="1" x14ac:dyDescent="0.15"/>
    <row r="13914" s="69" customFormat="1" x14ac:dyDescent="0.15"/>
    <row r="13915" s="69" customFormat="1" x14ac:dyDescent="0.15"/>
    <row r="13916" s="69" customFormat="1" x14ac:dyDescent="0.15"/>
    <row r="13917" s="69" customFormat="1" x14ac:dyDescent="0.15"/>
    <row r="13918" s="69" customFormat="1" x14ac:dyDescent="0.15"/>
    <row r="13919" s="69" customFormat="1" x14ac:dyDescent="0.15"/>
    <row r="13920" s="69" customFormat="1" x14ac:dyDescent="0.15"/>
    <row r="13921" s="69" customFormat="1" x14ac:dyDescent="0.15"/>
    <row r="13922" s="69" customFormat="1" x14ac:dyDescent="0.15"/>
    <row r="13923" s="69" customFormat="1" x14ac:dyDescent="0.15"/>
    <row r="13924" s="69" customFormat="1" x14ac:dyDescent="0.15"/>
    <row r="13925" s="69" customFormat="1" x14ac:dyDescent="0.15"/>
    <row r="13926" s="69" customFormat="1" x14ac:dyDescent="0.15"/>
    <row r="13927" s="69" customFormat="1" x14ac:dyDescent="0.15"/>
    <row r="13928" s="69" customFormat="1" x14ac:dyDescent="0.15"/>
    <row r="13929" s="69" customFormat="1" x14ac:dyDescent="0.15"/>
    <row r="13930" s="69" customFormat="1" x14ac:dyDescent="0.15"/>
    <row r="13931" s="69" customFormat="1" x14ac:dyDescent="0.15"/>
    <row r="13932" s="69" customFormat="1" x14ac:dyDescent="0.15"/>
    <row r="13933" s="69" customFormat="1" x14ac:dyDescent="0.15"/>
    <row r="13934" s="69" customFormat="1" x14ac:dyDescent="0.15"/>
    <row r="13935" s="69" customFormat="1" x14ac:dyDescent="0.15"/>
    <row r="13936" s="69" customFormat="1" x14ac:dyDescent="0.15"/>
    <row r="13937" s="69" customFormat="1" x14ac:dyDescent="0.15"/>
    <row r="13938" s="69" customFormat="1" x14ac:dyDescent="0.15"/>
    <row r="13939" s="69" customFormat="1" x14ac:dyDescent="0.15"/>
    <row r="13940" s="69" customFormat="1" x14ac:dyDescent="0.15"/>
    <row r="13941" s="69" customFormat="1" x14ac:dyDescent="0.15"/>
    <row r="13942" s="69" customFormat="1" x14ac:dyDescent="0.15"/>
    <row r="13943" s="69" customFormat="1" x14ac:dyDescent="0.15"/>
    <row r="13944" s="69" customFormat="1" x14ac:dyDescent="0.15"/>
    <row r="13945" s="69" customFormat="1" x14ac:dyDescent="0.15"/>
    <row r="13946" s="69" customFormat="1" x14ac:dyDescent="0.15"/>
    <row r="13947" s="69" customFormat="1" x14ac:dyDescent="0.15"/>
    <row r="13948" s="69" customFormat="1" x14ac:dyDescent="0.15"/>
    <row r="13949" s="69" customFormat="1" x14ac:dyDescent="0.15"/>
    <row r="13950" s="69" customFormat="1" x14ac:dyDescent="0.15"/>
    <row r="13951" s="69" customFormat="1" x14ac:dyDescent="0.15"/>
    <row r="13952" s="69" customFormat="1" x14ac:dyDescent="0.15"/>
    <row r="13953" s="69" customFormat="1" x14ac:dyDescent="0.15"/>
    <row r="13954" s="69" customFormat="1" x14ac:dyDescent="0.15"/>
    <row r="13955" s="69" customFormat="1" x14ac:dyDescent="0.15"/>
    <row r="13956" s="69" customFormat="1" x14ac:dyDescent="0.15"/>
    <row r="13957" s="69" customFormat="1" x14ac:dyDescent="0.15"/>
    <row r="13958" s="69" customFormat="1" x14ac:dyDescent="0.15"/>
    <row r="13959" s="69" customFormat="1" x14ac:dyDescent="0.15"/>
    <row r="13960" s="69" customFormat="1" x14ac:dyDescent="0.15"/>
    <row r="13961" s="69" customFormat="1" x14ac:dyDescent="0.15"/>
    <row r="13962" s="69" customFormat="1" x14ac:dyDescent="0.15"/>
    <row r="13963" s="69" customFormat="1" x14ac:dyDescent="0.15"/>
    <row r="13964" s="69" customFormat="1" x14ac:dyDescent="0.15"/>
    <row r="13965" s="69" customFormat="1" x14ac:dyDescent="0.15"/>
    <row r="13966" s="69" customFormat="1" x14ac:dyDescent="0.15"/>
    <row r="13967" s="69" customFormat="1" x14ac:dyDescent="0.15"/>
    <row r="13968" s="69" customFormat="1" x14ac:dyDescent="0.15"/>
    <row r="13969" s="69" customFormat="1" x14ac:dyDescent="0.15"/>
    <row r="13970" s="69" customFormat="1" x14ac:dyDescent="0.15"/>
    <row r="13971" s="69" customFormat="1" x14ac:dyDescent="0.15"/>
    <row r="13972" s="69" customFormat="1" x14ac:dyDescent="0.15"/>
    <row r="13973" s="69" customFormat="1" x14ac:dyDescent="0.15"/>
    <row r="13974" s="69" customFormat="1" x14ac:dyDescent="0.15"/>
    <row r="13975" s="69" customFormat="1" x14ac:dyDescent="0.15"/>
    <row r="13976" s="69" customFormat="1" x14ac:dyDescent="0.15"/>
    <row r="13977" s="69" customFormat="1" x14ac:dyDescent="0.15"/>
    <row r="13978" s="69" customFormat="1" x14ac:dyDescent="0.15"/>
    <row r="13979" s="69" customFormat="1" x14ac:dyDescent="0.15"/>
    <row r="13980" s="69" customFormat="1" x14ac:dyDescent="0.15"/>
    <row r="13981" s="69" customFormat="1" x14ac:dyDescent="0.15"/>
    <row r="13982" s="69" customFormat="1" x14ac:dyDescent="0.15"/>
    <row r="13983" s="69" customFormat="1" x14ac:dyDescent="0.15"/>
    <row r="13984" s="69" customFormat="1" x14ac:dyDescent="0.15"/>
    <row r="13985" s="69" customFormat="1" x14ac:dyDescent="0.15"/>
    <row r="13986" s="69" customFormat="1" x14ac:dyDescent="0.15"/>
    <row r="13987" s="69" customFormat="1" x14ac:dyDescent="0.15"/>
    <row r="13988" s="69" customFormat="1" x14ac:dyDescent="0.15"/>
    <row r="13989" s="69" customFormat="1" x14ac:dyDescent="0.15"/>
    <row r="13990" s="69" customFormat="1" x14ac:dyDescent="0.15"/>
    <row r="13991" s="69" customFormat="1" x14ac:dyDescent="0.15"/>
    <row r="13992" s="69" customFormat="1" x14ac:dyDescent="0.15"/>
    <row r="13993" s="69" customFormat="1" x14ac:dyDescent="0.15"/>
    <row r="13994" s="69" customFormat="1" x14ac:dyDescent="0.15"/>
    <row r="13995" s="69" customFormat="1" x14ac:dyDescent="0.15"/>
    <row r="13996" s="69" customFormat="1" x14ac:dyDescent="0.15"/>
    <row r="13997" s="69" customFormat="1" x14ac:dyDescent="0.15"/>
    <row r="13998" s="69" customFormat="1" x14ac:dyDescent="0.15"/>
    <row r="13999" s="69" customFormat="1" x14ac:dyDescent="0.15"/>
    <row r="14000" s="69" customFormat="1" x14ac:dyDescent="0.15"/>
    <row r="14001" s="69" customFormat="1" x14ac:dyDescent="0.15"/>
    <row r="14002" s="69" customFormat="1" x14ac:dyDescent="0.15"/>
    <row r="14003" s="69" customFormat="1" x14ac:dyDescent="0.15"/>
    <row r="14004" s="69" customFormat="1" x14ac:dyDescent="0.15"/>
    <row r="14005" s="69" customFormat="1" x14ac:dyDescent="0.15"/>
    <row r="14006" s="69" customFormat="1" x14ac:dyDescent="0.15"/>
    <row r="14007" s="69" customFormat="1" x14ac:dyDescent="0.15"/>
    <row r="14008" s="69" customFormat="1" x14ac:dyDescent="0.15"/>
    <row r="14009" s="69" customFormat="1" x14ac:dyDescent="0.15"/>
    <row r="14010" s="69" customFormat="1" x14ac:dyDescent="0.15"/>
    <row r="14011" s="69" customFormat="1" x14ac:dyDescent="0.15"/>
    <row r="14012" s="69" customFormat="1" x14ac:dyDescent="0.15"/>
    <row r="14013" s="69" customFormat="1" x14ac:dyDescent="0.15"/>
    <row r="14014" s="69" customFormat="1" x14ac:dyDescent="0.15"/>
    <row r="14015" s="69" customFormat="1" x14ac:dyDescent="0.15"/>
    <row r="14016" s="69" customFormat="1" x14ac:dyDescent="0.15"/>
    <row r="14017" s="69" customFormat="1" x14ac:dyDescent="0.15"/>
    <row r="14018" s="69" customFormat="1" x14ac:dyDescent="0.15"/>
    <row r="14019" s="69" customFormat="1" x14ac:dyDescent="0.15"/>
    <row r="14020" s="69" customFormat="1" x14ac:dyDescent="0.15"/>
    <row r="14021" s="69" customFormat="1" x14ac:dyDescent="0.15"/>
    <row r="14022" s="69" customFormat="1" x14ac:dyDescent="0.15"/>
    <row r="14023" s="69" customFormat="1" x14ac:dyDescent="0.15"/>
    <row r="14024" s="69" customFormat="1" x14ac:dyDescent="0.15"/>
    <row r="14025" s="69" customFormat="1" x14ac:dyDescent="0.15"/>
    <row r="14026" s="69" customFormat="1" x14ac:dyDescent="0.15"/>
    <row r="14027" s="69" customFormat="1" x14ac:dyDescent="0.15"/>
    <row r="14028" s="69" customFormat="1" x14ac:dyDescent="0.15"/>
    <row r="14029" s="69" customFormat="1" x14ac:dyDescent="0.15"/>
    <row r="14030" s="69" customFormat="1" x14ac:dyDescent="0.15"/>
    <row r="14031" s="69" customFormat="1" x14ac:dyDescent="0.15"/>
    <row r="14032" s="69" customFormat="1" x14ac:dyDescent="0.15"/>
    <row r="14033" s="69" customFormat="1" x14ac:dyDescent="0.15"/>
    <row r="14034" s="69" customFormat="1" x14ac:dyDescent="0.15"/>
    <row r="14035" s="69" customFormat="1" x14ac:dyDescent="0.15"/>
    <row r="14036" s="69" customFormat="1" x14ac:dyDescent="0.15"/>
    <row r="14037" s="69" customFormat="1" x14ac:dyDescent="0.15"/>
    <row r="14038" s="69" customFormat="1" x14ac:dyDescent="0.15"/>
    <row r="14039" s="69" customFormat="1" x14ac:dyDescent="0.15"/>
    <row r="14040" s="69" customFormat="1" x14ac:dyDescent="0.15"/>
    <row r="14041" s="69" customFormat="1" x14ac:dyDescent="0.15"/>
    <row r="14042" s="69" customFormat="1" x14ac:dyDescent="0.15"/>
    <row r="14043" s="69" customFormat="1" x14ac:dyDescent="0.15"/>
    <row r="14044" s="69" customFormat="1" x14ac:dyDescent="0.15"/>
    <row r="14045" s="69" customFormat="1" x14ac:dyDescent="0.15"/>
    <row r="14046" s="69" customFormat="1" x14ac:dyDescent="0.15"/>
    <row r="14047" s="69" customFormat="1" x14ac:dyDescent="0.15"/>
    <row r="14048" s="69" customFormat="1" x14ac:dyDescent="0.15"/>
    <row r="14049" s="69" customFormat="1" x14ac:dyDescent="0.15"/>
    <row r="14050" s="69" customFormat="1" x14ac:dyDescent="0.15"/>
    <row r="14051" s="69" customFormat="1" x14ac:dyDescent="0.15"/>
    <row r="14052" s="69" customFormat="1" x14ac:dyDescent="0.15"/>
    <row r="14053" s="69" customFormat="1" x14ac:dyDescent="0.15"/>
    <row r="14054" s="69" customFormat="1" x14ac:dyDescent="0.15"/>
    <row r="14055" s="69" customFormat="1" x14ac:dyDescent="0.15"/>
    <row r="14056" s="69" customFormat="1" x14ac:dyDescent="0.15"/>
    <row r="14057" s="69" customFormat="1" x14ac:dyDescent="0.15"/>
    <row r="14058" s="69" customFormat="1" x14ac:dyDescent="0.15"/>
    <row r="14059" s="69" customFormat="1" x14ac:dyDescent="0.15"/>
    <row r="14060" s="69" customFormat="1" x14ac:dyDescent="0.15"/>
    <row r="14061" s="69" customFormat="1" x14ac:dyDescent="0.15"/>
    <row r="14062" s="69" customFormat="1" x14ac:dyDescent="0.15"/>
    <row r="14063" s="69" customFormat="1" x14ac:dyDescent="0.15"/>
    <row r="14064" s="69" customFormat="1" x14ac:dyDescent="0.15"/>
    <row r="14065" s="69" customFormat="1" x14ac:dyDescent="0.15"/>
    <row r="14066" s="69" customFormat="1" x14ac:dyDescent="0.15"/>
    <row r="14067" s="69" customFormat="1" x14ac:dyDescent="0.15"/>
    <row r="14068" s="69" customFormat="1" x14ac:dyDescent="0.15"/>
    <row r="14069" s="69" customFormat="1" x14ac:dyDescent="0.15"/>
    <row r="14070" s="69" customFormat="1" x14ac:dyDescent="0.15"/>
    <row r="14071" s="69" customFormat="1" x14ac:dyDescent="0.15"/>
    <row r="14072" s="69" customFormat="1" x14ac:dyDescent="0.15"/>
    <row r="14073" s="69" customFormat="1" x14ac:dyDescent="0.15"/>
    <row r="14074" s="69" customFormat="1" x14ac:dyDescent="0.15"/>
    <row r="14075" s="69" customFormat="1" x14ac:dyDescent="0.15"/>
    <row r="14076" s="69" customFormat="1" x14ac:dyDescent="0.15"/>
    <row r="14077" s="69" customFormat="1" x14ac:dyDescent="0.15"/>
    <row r="14078" s="69" customFormat="1" x14ac:dyDescent="0.15"/>
    <row r="14079" s="69" customFormat="1" x14ac:dyDescent="0.15"/>
    <row r="14080" s="69" customFormat="1" x14ac:dyDescent="0.15"/>
    <row r="14081" s="69" customFormat="1" x14ac:dyDescent="0.15"/>
    <row r="14082" s="69" customFormat="1" x14ac:dyDescent="0.15"/>
    <row r="14083" s="69" customFormat="1" x14ac:dyDescent="0.15"/>
    <row r="14084" s="69" customFormat="1" x14ac:dyDescent="0.15"/>
    <row r="14085" s="69" customFormat="1" x14ac:dyDescent="0.15"/>
    <row r="14086" s="69" customFormat="1" x14ac:dyDescent="0.15"/>
    <row r="14087" s="69" customFormat="1" x14ac:dyDescent="0.15"/>
    <row r="14088" s="69" customFormat="1" x14ac:dyDescent="0.15"/>
    <row r="14089" s="69" customFormat="1" x14ac:dyDescent="0.15"/>
    <row r="14090" s="69" customFormat="1" x14ac:dyDescent="0.15"/>
    <row r="14091" s="69" customFormat="1" x14ac:dyDescent="0.15"/>
    <row r="14092" s="69" customFormat="1" x14ac:dyDescent="0.15"/>
    <row r="14093" s="69" customFormat="1" x14ac:dyDescent="0.15"/>
    <row r="14094" s="69" customFormat="1" x14ac:dyDescent="0.15"/>
    <row r="14095" s="69" customFormat="1" x14ac:dyDescent="0.15"/>
    <row r="14096" s="69" customFormat="1" x14ac:dyDescent="0.15"/>
    <row r="14097" s="69" customFormat="1" x14ac:dyDescent="0.15"/>
    <row r="14098" s="69" customFormat="1" x14ac:dyDescent="0.15"/>
    <row r="14099" s="69" customFormat="1" x14ac:dyDescent="0.15"/>
    <row r="14100" s="69" customFormat="1" x14ac:dyDescent="0.15"/>
    <row r="14101" s="69" customFormat="1" x14ac:dyDescent="0.15"/>
    <row r="14102" s="69" customFormat="1" x14ac:dyDescent="0.15"/>
    <row r="14103" s="69" customFormat="1" x14ac:dyDescent="0.15"/>
    <row r="14104" s="69" customFormat="1" x14ac:dyDescent="0.15"/>
    <row r="14105" s="69" customFormat="1" x14ac:dyDescent="0.15"/>
    <row r="14106" s="69" customFormat="1" x14ac:dyDescent="0.15"/>
    <row r="14107" s="69" customFormat="1" x14ac:dyDescent="0.15"/>
    <row r="14108" s="69" customFormat="1" x14ac:dyDescent="0.15"/>
    <row r="14109" s="69" customFormat="1" x14ac:dyDescent="0.15"/>
    <row r="14110" s="69" customFormat="1" x14ac:dyDescent="0.15"/>
    <row r="14111" s="69" customFormat="1" x14ac:dyDescent="0.15"/>
    <row r="14112" s="69" customFormat="1" x14ac:dyDescent="0.15"/>
    <row r="14113" s="69" customFormat="1" x14ac:dyDescent="0.15"/>
    <row r="14114" s="69" customFormat="1" x14ac:dyDescent="0.15"/>
    <row r="14115" s="69" customFormat="1" x14ac:dyDescent="0.15"/>
    <row r="14116" s="69" customFormat="1" x14ac:dyDescent="0.15"/>
    <row r="14117" s="69" customFormat="1" x14ac:dyDescent="0.15"/>
    <row r="14118" s="69" customFormat="1" x14ac:dyDescent="0.15"/>
    <row r="14119" s="69" customFormat="1" x14ac:dyDescent="0.15"/>
    <row r="14120" s="69" customFormat="1" x14ac:dyDescent="0.15"/>
    <row r="14121" s="69" customFormat="1" x14ac:dyDescent="0.15"/>
    <row r="14122" s="69" customFormat="1" x14ac:dyDescent="0.15"/>
    <row r="14123" s="69" customFormat="1" x14ac:dyDescent="0.15"/>
    <row r="14124" s="69" customFormat="1" x14ac:dyDescent="0.15"/>
    <row r="14125" s="69" customFormat="1" x14ac:dyDescent="0.15"/>
    <row r="14126" s="69" customFormat="1" x14ac:dyDescent="0.15"/>
    <row r="14127" s="69" customFormat="1" x14ac:dyDescent="0.15"/>
    <row r="14128" s="69" customFormat="1" x14ac:dyDescent="0.15"/>
    <row r="14129" s="69" customFormat="1" x14ac:dyDescent="0.15"/>
    <row r="14130" s="69" customFormat="1" x14ac:dyDescent="0.15"/>
    <row r="14131" s="69" customFormat="1" x14ac:dyDescent="0.15"/>
    <row r="14132" s="69" customFormat="1" x14ac:dyDescent="0.15"/>
    <row r="14133" s="69" customFormat="1" x14ac:dyDescent="0.15"/>
    <row r="14134" s="69" customFormat="1" x14ac:dyDescent="0.15"/>
    <row r="14135" s="69" customFormat="1" x14ac:dyDescent="0.15"/>
    <row r="14136" s="69" customFormat="1" x14ac:dyDescent="0.15"/>
    <row r="14137" s="69" customFormat="1" x14ac:dyDescent="0.15"/>
    <row r="14138" s="69" customFormat="1" x14ac:dyDescent="0.15"/>
    <row r="14139" s="69" customFormat="1" x14ac:dyDescent="0.15"/>
    <row r="14140" s="69" customFormat="1" x14ac:dyDescent="0.15"/>
    <row r="14141" s="69" customFormat="1" x14ac:dyDescent="0.15"/>
    <row r="14142" s="69" customFormat="1" x14ac:dyDescent="0.15"/>
    <row r="14143" s="69" customFormat="1" x14ac:dyDescent="0.15"/>
    <row r="14144" s="69" customFormat="1" x14ac:dyDescent="0.15"/>
    <row r="14145" s="69" customFormat="1" x14ac:dyDescent="0.15"/>
    <row r="14146" s="69" customFormat="1" x14ac:dyDescent="0.15"/>
    <row r="14147" s="69" customFormat="1" x14ac:dyDescent="0.15"/>
    <row r="14148" s="69" customFormat="1" x14ac:dyDescent="0.15"/>
    <row r="14149" s="69" customFormat="1" x14ac:dyDescent="0.15"/>
    <row r="14150" s="69" customFormat="1" x14ac:dyDescent="0.15"/>
    <row r="14151" s="69" customFormat="1" x14ac:dyDescent="0.15"/>
    <row r="14152" s="69" customFormat="1" x14ac:dyDescent="0.15"/>
    <row r="14153" s="69" customFormat="1" x14ac:dyDescent="0.15"/>
    <row r="14154" s="69" customFormat="1" x14ac:dyDescent="0.15"/>
    <row r="14155" s="69" customFormat="1" x14ac:dyDescent="0.15"/>
    <row r="14156" s="69" customFormat="1" x14ac:dyDescent="0.15"/>
    <row r="14157" s="69" customFormat="1" x14ac:dyDescent="0.15"/>
    <row r="14158" s="69" customFormat="1" x14ac:dyDescent="0.15"/>
    <row r="14159" s="69" customFormat="1" x14ac:dyDescent="0.15"/>
    <row r="14160" s="69" customFormat="1" x14ac:dyDescent="0.15"/>
    <row r="14161" s="69" customFormat="1" x14ac:dyDescent="0.15"/>
    <row r="14162" s="69" customFormat="1" x14ac:dyDescent="0.15"/>
    <row r="14163" s="69" customFormat="1" x14ac:dyDescent="0.15"/>
    <row r="14164" s="69" customFormat="1" x14ac:dyDescent="0.15"/>
    <row r="14165" s="69" customFormat="1" x14ac:dyDescent="0.15"/>
    <row r="14166" s="69" customFormat="1" x14ac:dyDescent="0.15"/>
    <row r="14167" s="69" customFormat="1" x14ac:dyDescent="0.15"/>
    <row r="14168" s="69" customFormat="1" x14ac:dyDescent="0.15"/>
    <row r="14169" s="69" customFormat="1" x14ac:dyDescent="0.15"/>
    <row r="14170" s="69" customFormat="1" x14ac:dyDescent="0.15"/>
    <row r="14171" s="69" customFormat="1" x14ac:dyDescent="0.15"/>
    <row r="14172" s="69" customFormat="1" x14ac:dyDescent="0.15"/>
    <row r="14173" s="69" customFormat="1" x14ac:dyDescent="0.15"/>
    <row r="14174" s="69" customFormat="1" x14ac:dyDescent="0.15"/>
    <row r="14175" s="69" customFormat="1" x14ac:dyDescent="0.15"/>
    <row r="14176" s="69" customFormat="1" x14ac:dyDescent="0.15"/>
    <row r="14177" s="69" customFormat="1" x14ac:dyDescent="0.15"/>
    <row r="14178" s="69" customFormat="1" x14ac:dyDescent="0.15"/>
    <row r="14179" s="69" customFormat="1" x14ac:dyDescent="0.15"/>
    <row r="14180" s="69" customFormat="1" x14ac:dyDescent="0.15"/>
    <row r="14181" s="69" customFormat="1" x14ac:dyDescent="0.15"/>
    <row r="14182" s="69" customFormat="1" x14ac:dyDescent="0.15"/>
    <row r="14183" s="69" customFormat="1" x14ac:dyDescent="0.15"/>
    <row r="14184" s="69" customFormat="1" x14ac:dyDescent="0.15"/>
    <row r="14185" s="69" customFormat="1" x14ac:dyDescent="0.15"/>
    <row r="14186" s="69" customFormat="1" x14ac:dyDescent="0.15"/>
    <row r="14187" s="69" customFormat="1" x14ac:dyDescent="0.15"/>
    <row r="14188" s="69" customFormat="1" x14ac:dyDescent="0.15"/>
    <row r="14189" s="69" customFormat="1" x14ac:dyDescent="0.15"/>
    <row r="14190" s="69" customFormat="1" x14ac:dyDescent="0.15"/>
    <row r="14191" s="69" customFormat="1" x14ac:dyDescent="0.15"/>
    <row r="14192" s="69" customFormat="1" x14ac:dyDescent="0.15"/>
    <row r="14193" s="69" customFormat="1" x14ac:dyDescent="0.15"/>
    <row r="14194" s="69" customFormat="1" x14ac:dyDescent="0.15"/>
    <row r="14195" s="69" customFormat="1" x14ac:dyDescent="0.15"/>
    <row r="14196" s="69" customFormat="1" x14ac:dyDescent="0.15"/>
    <row r="14197" s="69" customFormat="1" x14ac:dyDescent="0.15"/>
    <row r="14198" s="69" customFormat="1" x14ac:dyDescent="0.15"/>
    <row r="14199" s="69" customFormat="1" x14ac:dyDescent="0.15"/>
    <row r="14200" s="69" customFormat="1" x14ac:dyDescent="0.15"/>
    <row r="14201" s="69" customFormat="1" x14ac:dyDescent="0.15"/>
    <row r="14202" s="69" customFormat="1" x14ac:dyDescent="0.15"/>
    <row r="14203" s="69" customFormat="1" x14ac:dyDescent="0.15"/>
    <row r="14204" s="69" customFormat="1" x14ac:dyDescent="0.15"/>
    <row r="14205" s="69" customFormat="1" x14ac:dyDescent="0.15"/>
    <row r="14206" s="69" customFormat="1" x14ac:dyDescent="0.15"/>
    <row r="14207" s="69" customFormat="1" x14ac:dyDescent="0.15"/>
    <row r="14208" s="69" customFormat="1" x14ac:dyDescent="0.15"/>
    <row r="14209" s="69" customFormat="1" x14ac:dyDescent="0.15"/>
    <row r="14210" s="69" customFormat="1" x14ac:dyDescent="0.15"/>
    <row r="14211" s="69" customFormat="1" x14ac:dyDescent="0.15"/>
    <row r="14212" s="69" customFormat="1" x14ac:dyDescent="0.15"/>
    <row r="14213" s="69" customFormat="1" x14ac:dyDescent="0.15"/>
    <row r="14214" s="69" customFormat="1" x14ac:dyDescent="0.15"/>
    <row r="14215" s="69" customFormat="1" x14ac:dyDescent="0.15"/>
    <row r="14216" s="69" customFormat="1" x14ac:dyDescent="0.15"/>
    <row r="14217" s="69" customFormat="1" x14ac:dyDescent="0.15"/>
    <row r="14218" s="69" customFormat="1" x14ac:dyDescent="0.15"/>
    <row r="14219" s="69" customFormat="1" x14ac:dyDescent="0.15"/>
    <row r="14220" s="69" customFormat="1" x14ac:dyDescent="0.15"/>
    <row r="14221" s="69" customFormat="1" x14ac:dyDescent="0.15"/>
    <row r="14222" s="69" customFormat="1" x14ac:dyDescent="0.15"/>
    <row r="14223" s="69" customFormat="1" x14ac:dyDescent="0.15"/>
    <row r="14224" s="69" customFormat="1" x14ac:dyDescent="0.15"/>
    <row r="14225" s="69" customFormat="1" x14ac:dyDescent="0.15"/>
    <row r="14226" s="69" customFormat="1" x14ac:dyDescent="0.15"/>
    <row r="14227" s="69" customFormat="1" x14ac:dyDescent="0.15"/>
    <row r="14228" s="69" customFormat="1" x14ac:dyDescent="0.15"/>
    <row r="14229" s="69" customFormat="1" x14ac:dyDescent="0.15"/>
    <row r="14230" s="69" customFormat="1" x14ac:dyDescent="0.15"/>
    <row r="14231" s="69" customFormat="1" x14ac:dyDescent="0.15"/>
    <row r="14232" s="69" customFormat="1" x14ac:dyDescent="0.15"/>
    <row r="14233" s="69" customFormat="1" x14ac:dyDescent="0.15"/>
    <row r="14234" s="69" customFormat="1" x14ac:dyDescent="0.15"/>
    <row r="14235" s="69" customFormat="1" x14ac:dyDescent="0.15"/>
    <row r="14236" s="69" customFormat="1" x14ac:dyDescent="0.15"/>
    <row r="14237" s="69" customFormat="1" x14ac:dyDescent="0.15"/>
    <row r="14238" s="69" customFormat="1" x14ac:dyDescent="0.15"/>
    <row r="14239" s="69" customFormat="1" x14ac:dyDescent="0.15"/>
    <row r="14240" s="69" customFormat="1" x14ac:dyDescent="0.15"/>
    <row r="14241" s="69" customFormat="1" x14ac:dyDescent="0.15"/>
    <row r="14242" s="69" customFormat="1" x14ac:dyDescent="0.15"/>
    <row r="14243" s="69" customFormat="1" x14ac:dyDescent="0.15"/>
    <row r="14244" s="69" customFormat="1" x14ac:dyDescent="0.15"/>
    <row r="14245" s="69" customFormat="1" x14ac:dyDescent="0.15"/>
    <row r="14246" s="69" customFormat="1" x14ac:dyDescent="0.15"/>
    <row r="14247" s="69" customFormat="1" x14ac:dyDescent="0.15"/>
    <row r="14248" s="69" customFormat="1" x14ac:dyDescent="0.15"/>
    <row r="14249" s="69" customFormat="1" x14ac:dyDescent="0.15"/>
    <row r="14250" s="69" customFormat="1" x14ac:dyDescent="0.15"/>
    <row r="14251" s="69" customFormat="1" x14ac:dyDescent="0.15"/>
    <row r="14252" s="69" customFormat="1" x14ac:dyDescent="0.15"/>
    <row r="14253" s="69" customFormat="1" x14ac:dyDescent="0.15"/>
    <row r="14254" s="69" customFormat="1" x14ac:dyDescent="0.15"/>
    <row r="14255" s="69" customFormat="1" x14ac:dyDescent="0.15"/>
    <row r="14256" s="69" customFormat="1" x14ac:dyDescent="0.15"/>
    <row r="14257" s="69" customFormat="1" x14ac:dyDescent="0.15"/>
    <row r="14258" s="69" customFormat="1" x14ac:dyDescent="0.15"/>
    <row r="14259" s="69" customFormat="1" x14ac:dyDescent="0.15"/>
    <row r="14260" s="69" customFormat="1" x14ac:dyDescent="0.15"/>
    <row r="14261" s="69" customFormat="1" x14ac:dyDescent="0.15"/>
    <row r="14262" s="69" customFormat="1" x14ac:dyDescent="0.15"/>
    <row r="14263" s="69" customFormat="1" x14ac:dyDescent="0.15"/>
    <row r="14264" s="69" customFormat="1" x14ac:dyDescent="0.15"/>
    <row r="14265" s="69" customFormat="1" x14ac:dyDescent="0.15"/>
    <row r="14266" s="69" customFormat="1" x14ac:dyDescent="0.15"/>
    <row r="14267" s="69" customFormat="1" x14ac:dyDescent="0.15"/>
    <row r="14268" s="69" customFormat="1" x14ac:dyDescent="0.15"/>
    <row r="14269" s="69" customFormat="1" x14ac:dyDescent="0.15"/>
    <row r="14270" s="69" customFormat="1" x14ac:dyDescent="0.15"/>
    <row r="14271" s="69" customFormat="1" x14ac:dyDescent="0.15"/>
    <row r="14272" s="69" customFormat="1" x14ac:dyDescent="0.15"/>
    <row r="14273" s="69" customFormat="1" x14ac:dyDescent="0.15"/>
    <row r="14274" s="69" customFormat="1" x14ac:dyDescent="0.15"/>
    <row r="14275" s="69" customFormat="1" x14ac:dyDescent="0.15"/>
    <row r="14276" s="69" customFormat="1" x14ac:dyDescent="0.15"/>
    <row r="14277" s="69" customFormat="1" x14ac:dyDescent="0.15"/>
    <row r="14278" s="69" customFormat="1" x14ac:dyDescent="0.15"/>
    <row r="14279" s="69" customFormat="1" x14ac:dyDescent="0.15"/>
    <row r="14280" s="69" customFormat="1" x14ac:dyDescent="0.15"/>
    <row r="14281" s="69" customFormat="1" x14ac:dyDescent="0.15"/>
    <row r="14282" s="69" customFormat="1" x14ac:dyDescent="0.15"/>
    <row r="14283" s="69" customFormat="1" x14ac:dyDescent="0.15"/>
    <row r="14284" s="69" customFormat="1" x14ac:dyDescent="0.15"/>
    <row r="14285" s="69" customFormat="1" x14ac:dyDescent="0.15"/>
    <row r="14286" s="69" customFormat="1" x14ac:dyDescent="0.15"/>
    <row r="14287" s="69" customFormat="1" x14ac:dyDescent="0.15"/>
    <row r="14288" s="69" customFormat="1" x14ac:dyDescent="0.15"/>
    <row r="14289" s="69" customFormat="1" x14ac:dyDescent="0.15"/>
    <row r="14290" s="69" customFormat="1" x14ac:dyDescent="0.15"/>
    <row r="14291" s="69" customFormat="1" x14ac:dyDescent="0.15"/>
    <row r="14292" s="69" customFormat="1" x14ac:dyDescent="0.15"/>
    <row r="14293" s="69" customFormat="1" x14ac:dyDescent="0.15"/>
    <row r="14294" s="69" customFormat="1" x14ac:dyDescent="0.15"/>
    <row r="14295" s="69" customFormat="1" x14ac:dyDescent="0.15"/>
    <row r="14296" s="69" customFormat="1" x14ac:dyDescent="0.15"/>
    <row r="14297" s="69" customFormat="1" x14ac:dyDescent="0.15"/>
    <row r="14298" s="69" customFormat="1" x14ac:dyDescent="0.15"/>
    <row r="14299" s="69" customFormat="1" x14ac:dyDescent="0.15"/>
    <row r="14300" s="69" customFormat="1" x14ac:dyDescent="0.15"/>
    <row r="14301" s="69" customFormat="1" x14ac:dyDescent="0.15"/>
    <row r="14302" s="69" customFormat="1" x14ac:dyDescent="0.15"/>
    <row r="14303" s="69" customFormat="1" x14ac:dyDescent="0.15"/>
    <row r="14304" s="69" customFormat="1" x14ac:dyDescent="0.15"/>
    <row r="14305" s="69" customFormat="1" x14ac:dyDescent="0.15"/>
    <row r="14306" s="69" customFormat="1" x14ac:dyDescent="0.15"/>
    <row r="14307" s="69" customFormat="1" x14ac:dyDescent="0.15"/>
    <row r="14308" s="69" customFormat="1" x14ac:dyDescent="0.15"/>
    <row r="14309" s="69" customFormat="1" x14ac:dyDescent="0.15"/>
    <row r="14310" s="69" customFormat="1" x14ac:dyDescent="0.15"/>
    <row r="14311" s="69" customFormat="1" x14ac:dyDescent="0.15"/>
    <row r="14312" s="69" customFormat="1" x14ac:dyDescent="0.15"/>
    <row r="14313" s="69" customFormat="1" x14ac:dyDescent="0.15"/>
    <row r="14314" s="69" customFormat="1" x14ac:dyDescent="0.15"/>
    <row r="14315" s="69" customFormat="1" x14ac:dyDescent="0.15"/>
    <row r="14316" s="69" customFormat="1" x14ac:dyDescent="0.15"/>
    <row r="14317" s="69" customFormat="1" x14ac:dyDescent="0.15"/>
    <row r="14318" s="69" customFormat="1" x14ac:dyDescent="0.15"/>
    <row r="14319" s="69" customFormat="1" x14ac:dyDescent="0.15"/>
    <row r="14320" s="69" customFormat="1" x14ac:dyDescent="0.15"/>
    <row r="14321" s="69" customFormat="1" x14ac:dyDescent="0.15"/>
    <row r="14322" s="69" customFormat="1" x14ac:dyDescent="0.15"/>
    <row r="14323" s="69" customFormat="1" x14ac:dyDescent="0.15"/>
    <row r="14324" s="69" customFormat="1" x14ac:dyDescent="0.15"/>
    <row r="14325" s="69" customFormat="1" x14ac:dyDescent="0.15"/>
    <row r="14326" s="69" customFormat="1" x14ac:dyDescent="0.15"/>
    <row r="14327" s="69" customFormat="1" x14ac:dyDescent="0.15"/>
    <row r="14328" s="69" customFormat="1" x14ac:dyDescent="0.15"/>
    <row r="14329" s="69" customFormat="1" x14ac:dyDescent="0.15"/>
    <row r="14330" s="69" customFormat="1" x14ac:dyDescent="0.15"/>
    <row r="14331" s="69" customFormat="1" x14ac:dyDescent="0.15"/>
    <row r="14332" s="69" customFormat="1" x14ac:dyDescent="0.15"/>
    <row r="14333" s="69" customFormat="1" x14ac:dyDescent="0.15"/>
    <row r="14334" s="69" customFormat="1" x14ac:dyDescent="0.15"/>
    <row r="14335" s="69" customFormat="1" x14ac:dyDescent="0.15"/>
    <row r="14336" s="69" customFormat="1" x14ac:dyDescent="0.15"/>
    <row r="14337" s="69" customFormat="1" x14ac:dyDescent="0.15"/>
    <row r="14338" s="69" customFormat="1" x14ac:dyDescent="0.15"/>
    <row r="14339" s="69" customFormat="1" x14ac:dyDescent="0.15"/>
    <row r="14340" s="69" customFormat="1" x14ac:dyDescent="0.15"/>
    <row r="14341" s="69" customFormat="1" x14ac:dyDescent="0.15"/>
    <row r="14342" s="69" customFormat="1" x14ac:dyDescent="0.15"/>
    <row r="14343" s="69" customFormat="1" x14ac:dyDescent="0.15"/>
    <row r="14344" s="69" customFormat="1" x14ac:dyDescent="0.15"/>
    <row r="14345" s="69" customFormat="1" x14ac:dyDescent="0.15"/>
    <row r="14346" s="69" customFormat="1" x14ac:dyDescent="0.15"/>
    <row r="14347" s="69" customFormat="1" x14ac:dyDescent="0.15"/>
    <row r="14348" s="69" customFormat="1" x14ac:dyDescent="0.15"/>
    <row r="14349" s="69" customFormat="1" x14ac:dyDescent="0.15"/>
    <row r="14350" s="69" customFormat="1" x14ac:dyDescent="0.15"/>
    <row r="14351" s="69" customFormat="1" x14ac:dyDescent="0.15"/>
    <row r="14352" s="69" customFormat="1" x14ac:dyDescent="0.15"/>
    <row r="14353" s="69" customFormat="1" x14ac:dyDescent="0.15"/>
    <row r="14354" s="69" customFormat="1" x14ac:dyDescent="0.15"/>
    <row r="14355" s="69" customFormat="1" x14ac:dyDescent="0.15"/>
    <row r="14356" s="69" customFormat="1" x14ac:dyDescent="0.15"/>
    <row r="14357" s="69" customFormat="1" x14ac:dyDescent="0.15"/>
    <row r="14358" s="69" customFormat="1" x14ac:dyDescent="0.15"/>
    <row r="14359" s="69" customFormat="1" x14ac:dyDescent="0.15"/>
    <row r="14360" s="69" customFormat="1" x14ac:dyDescent="0.15"/>
    <row r="14361" s="69" customFormat="1" x14ac:dyDescent="0.15"/>
    <row r="14362" s="69" customFormat="1" x14ac:dyDescent="0.15"/>
    <row r="14363" s="69" customFormat="1" x14ac:dyDescent="0.15"/>
    <row r="14364" s="69" customFormat="1" x14ac:dyDescent="0.15"/>
    <row r="14365" s="69" customFormat="1" x14ac:dyDescent="0.15"/>
    <row r="14366" s="69" customFormat="1" x14ac:dyDescent="0.15"/>
    <row r="14367" s="69" customFormat="1" x14ac:dyDescent="0.15"/>
    <row r="14368" s="69" customFormat="1" x14ac:dyDescent="0.15"/>
    <row r="14369" s="69" customFormat="1" x14ac:dyDescent="0.15"/>
    <row r="14370" s="69" customFormat="1" x14ac:dyDescent="0.15"/>
    <row r="14371" s="69" customFormat="1" x14ac:dyDescent="0.15"/>
    <row r="14372" s="69" customFormat="1" x14ac:dyDescent="0.15"/>
    <row r="14373" s="69" customFormat="1" x14ac:dyDescent="0.15"/>
    <row r="14374" s="69" customFormat="1" x14ac:dyDescent="0.15"/>
    <row r="14375" s="69" customFormat="1" x14ac:dyDescent="0.15"/>
    <row r="14376" s="69" customFormat="1" x14ac:dyDescent="0.15"/>
    <row r="14377" s="69" customFormat="1" x14ac:dyDescent="0.15"/>
    <row r="14378" s="69" customFormat="1" x14ac:dyDescent="0.15"/>
    <row r="14379" s="69" customFormat="1" x14ac:dyDescent="0.15"/>
    <row r="14380" s="69" customFormat="1" x14ac:dyDescent="0.15"/>
    <row r="14381" s="69" customFormat="1" x14ac:dyDescent="0.15"/>
    <row r="14382" s="69" customFormat="1" x14ac:dyDescent="0.15"/>
    <row r="14383" s="69" customFormat="1" x14ac:dyDescent="0.15"/>
    <row r="14384" s="69" customFormat="1" x14ac:dyDescent="0.15"/>
    <row r="14385" s="69" customFormat="1" x14ac:dyDescent="0.15"/>
    <row r="14386" s="69" customFormat="1" x14ac:dyDescent="0.15"/>
    <row r="14387" s="69" customFormat="1" x14ac:dyDescent="0.15"/>
    <row r="14388" s="69" customFormat="1" x14ac:dyDescent="0.15"/>
    <row r="14389" s="69" customFormat="1" x14ac:dyDescent="0.15"/>
    <row r="14390" s="69" customFormat="1" x14ac:dyDescent="0.15"/>
    <row r="14391" s="69" customFormat="1" x14ac:dyDescent="0.15"/>
    <row r="14392" s="69" customFormat="1" x14ac:dyDescent="0.15"/>
    <row r="14393" s="69" customFormat="1" x14ac:dyDescent="0.15"/>
    <row r="14394" s="69" customFormat="1" x14ac:dyDescent="0.15"/>
    <row r="14395" s="69" customFormat="1" x14ac:dyDescent="0.15"/>
    <row r="14396" s="69" customFormat="1" x14ac:dyDescent="0.15"/>
    <row r="14397" s="69" customFormat="1" x14ac:dyDescent="0.15"/>
    <row r="14398" s="69" customFormat="1" x14ac:dyDescent="0.15"/>
    <row r="14399" s="69" customFormat="1" x14ac:dyDescent="0.15"/>
    <row r="14400" s="69" customFormat="1" x14ac:dyDescent="0.15"/>
    <row r="14401" s="69" customFormat="1" x14ac:dyDescent="0.15"/>
    <row r="14402" s="69" customFormat="1" x14ac:dyDescent="0.15"/>
    <row r="14403" s="69" customFormat="1" x14ac:dyDescent="0.15"/>
    <row r="14404" s="69" customFormat="1" x14ac:dyDescent="0.15"/>
    <row r="14405" s="69" customFormat="1" x14ac:dyDescent="0.15"/>
    <row r="14406" s="69" customFormat="1" x14ac:dyDescent="0.15"/>
    <row r="14407" s="69" customFormat="1" x14ac:dyDescent="0.15"/>
    <row r="14408" s="69" customFormat="1" x14ac:dyDescent="0.15"/>
    <row r="14409" s="69" customFormat="1" x14ac:dyDescent="0.15"/>
    <row r="14410" s="69" customFormat="1" x14ac:dyDescent="0.15"/>
    <row r="14411" s="69" customFormat="1" x14ac:dyDescent="0.15"/>
    <row r="14412" s="69" customFormat="1" x14ac:dyDescent="0.15"/>
    <row r="14413" s="69" customFormat="1" x14ac:dyDescent="0.15"/>
    <row r="14414" s="69" customFormat="1" x14ac:dyDescent="0.15"/>
    <row r="14415" s="69" customFormat="1" x14ac:dyDescent="0.15"/>
    <row r="14416" s="69" customFormat="1" x14ac:dyDescent="0.15"/>
    <row r="14417" s="69" customFormat="1" x14ac:dyDescent="0.15"/>
    <row r="14418" s="69" customFormat="1" x14ac:dyDescent="0.15"/>
    <row r="14419" s="69" customFormat="1" x14ac:dyDescent="0.15"/>
    <row r="14420" s="69" customFormat="1" x14ac:dyDescent="0.15"/>
    <row r="14421" s="69" customFormat="1" x14ac:dyDescent="0.15"/>
    <row r="14422" s="69" customFormat="1" x14ac:dyDescent="0.15"/>
    <row r="14423" s="69" customFormat="1" x14ac:dyDescent="0.15"/>
    <row r="14424" s="69" customFormat="1" x14ac:dyDescent="0.15"/>
    <row r="14425" s="69" customFormat="1" x14ac:dyDescent="0.15"/>
    <row r="14426" s="69" customFormat="1" x14ac:dyDescent="0.15"/>
    <row r="14427" s="69" customFormat="1" x14ac:dyDescent="0.15"/>
    <row r="14428" s="69" customFormat="1" x14ac:dyDescent="0.15"/>
    <row r="14429" s="69" customFormat="1" x14ac:dyDescent="0.15"/>
    <row r="14430" s="69" customFormat="1" x14ac:dyDescent="0.15"/>
    <row r="14431" s="69" customFormat="1" x14ac:dyDescent="0.15"/>
    <row r="14432" s="69" customFormat="1" x14ac:dyDescent="0.15"/>
    <row r="14433" s="69" customFormat="1" x14ac:dyDescent="0.15"/>
    <row r="14434" s="69" customFormat="1" x14ac:dyDescent="0.15"/>
    <row r="14435" s="69" customFormat="1" x14ac:dyDescent="0.15"/>
    <row r="14436" s="69" customFormat="1" x14ac:dyDescent="0.15"/>
    <row r="14437" s="69" customFormat="1" x14ac:dyDescent="0.15"/>
    <row r="14438" s="69" customFormat="1" x14ac:dyDescent="0.15"/>
    <row r="14439" s="69" customFormat="1" x14ac:dyDescent="0.15"/>
    <row r="14440" s="69" customFormat="1" x14ac:dyDescent="0.15"/>
    <row r="14441" s="69" customFormat="1" x14ac:dyDescent="0.15"/>
    <row r="14442" s="69" customFormat="1" x14ac:dyDescent="0.15"/>
    <row r="14443" s="69" customFormat="1" x14ac:dyDescent="0.15"/>
    <row r="14444" s="69" customFormat="1" x14ac:dyDescent="0.15"/>
    <row r="14445" s="69" customFormat="1" x14ac:dyDescent="0.15"/>
    <row r="14446" s="69" customFormat="1" x14ac:dyDescent="0.15"/>
    <row r="14447" s="69" customFormat="1" x14ac:dyDescent="0.15"/>
    <row r="14448" s="69" customFormat="1" x14ac:dyDescent="0.15"/>
    <row r="14449" s="69" customFormat="1" x14ac:dyDescent="0.15"/>
    <row r="14450" s="69" customFormat="1" x14ac:dyDescent="0.15"/>
    <row r="14451" s="69" customFormat="1" x14ac:dyDescent="0.15"/>
    <row r="14452" s="69" customFormat="1" x14ac:dyDescent="0.15"/>
    <row r="14453" s="69" customFormat="1" x14ac:dyDescent="0.15"/>
    <row r="14454" s="69" customFormat="1" x14ac:dyDescent="0.15"/>
    <row r="14455" s="69" customFormat="1" x14ac:dyDescent="0.15"/>
    <row r="14456" s="69" customFormat="1" x14ac:dyDescent="0.15"/>
    <row r="14457" s="69" customFormat="1" x14ac:dyDescent="0.15"/>
    <row r="14458" s="69" customFormat="1" x14ac:dyDescent="0.15"/>
    <row r="14459" s="69" customFormat="1" x14ac:dyDescent="0.15"/>
    <row r="14460" s="69" customFormat="1" x14ac:dyDescent="0.15"/>
    <row r="14461" s="69" customFormat="1" x14ac:dyDescent="0.15"/>
    <row r="14462" s="69" customFormat="1" x14ac:dyDescent="0.15"/>
    <row r="14463" s="69" customFormat="1" x14ac:dyDescent="0.15"/>
    <row r="14464" s="69" customFormat="1" x14ac:dyDescent="0.15"/>
    <row r="14465" s="69" customFormat="1" x14ac:dyDescent="0.15"/>
    <row r="14466" s="69" customFormat="1" x14ac:dyDescent="0.15"/>
    <row r="14467" s="69" customFormat="1" x14ac:dyDescent="0.15"/>
    <row r="14468" s="69" customFormat="1" x14ac:dyDescent="0.15"/>
    <row r="14469" s="69" customFormat="1" x14ac:dyDescent="0.15"/>
    <row r="14470" s="69" customFormat="1" x14ac:dyDescent="0.15"/>
    <row r="14471" s="69" customFormat="1" x14ac:dyDescent="0.15"/>
    <row r="14472" s="69" customFormat="1" x14ac:dyDescent="0.15"/>
    <row r="14473" s="69" customFormat="1" x14ac:dyDescent="0.15"/>
    <row r="14474" s="69" customFormat="1" x14ac:dyDescent="0.15"/>
    <row r="14475" s="69" customFormat="1" x14ac:dyDescent="0.15"/>
    <row r="14476" s="69" customFormat="1" x14ac:dyDescent="0.15"/>
    <row r="14477" s="69" customFormat="1" x14ac:dyDescent="0.15"/>
    <row r="14478" s="69" customFormat="1" x14ac:dyDescent="0.15"/>
    <row r="14479" s="69" customFormat="1" x14ac:dyDescent="0.15"/>
    <row r="14480" s="69" customFormat="1" x14ac:dyDescent="0.15"/>
    <row r="14481" s="69" customFormat="1" x14ac:dyDescent="0.15"/>
    <row r="14482" s="69" customFormat="1" x14ac:dyDescent="0.15"/>
    <row r="14483" s="69" customFormat="1" x14ac:dyDescent="0.15"/>
    <row r="14484" s="69" customFormat="1" x14ac:dyDescent="0.15"/>
    <row r="14485" s="69" customFormat="1" x14ac:dyDescent="0.15"/>
    <row r="14486" s="69" customFormat="1" x14ac:dyDescent="0.15"/>
    <row r="14487" s="69" customFormat="1" x14ac:dyDescent="0.15"/>
    <row r="14488" s="69" customFormat="1" x14ac:dyDescent="0.15"/>
    <row r="14489" s="69" customFormat="1" x14ac:dyDescent="0.15"/>
    <row r="14490" s="69" customFormat="1" x14ac:dyDescent="0.15"/>
    <row r="14491" s="69" customFormat="1" x14ac:dyDescent="0.15"/>
    <row r="14492" s="69" customFormat="1" x14ac:dyDescent="0.15"/>
    <row r="14493" s="69" customFormat="1" x14ac:dyDescent="0.15"/>
    <row r="14494" s="69" customFormat="1" x14ac:dyDescent="0.15"/>
    <row r="14495" s="69" customFormat="1" x14ac:dyDescent="0.15"/>
    <row r="14496" s="69" customFormat="1" x14ac:dyDescent="0.15"/>
    <row r="14497" s="69" customFormat="1" x14ac:dyDescent="0.15"/>
    <row r="14498" s="69" customFormat="1" x14ac:dyDescent="0.15"/>
    <row r="14499" s="69" customFormat="1" x14ac:dyDescent="0.15"/>
    <row r="14500" s="69" customFormat="1" x14ac:dyDescent="0.15"/>
    <row r="14501" s="69" customFormat="1" x14ac:dyDescent="0.15"/>
    <row r="14502" s="69" customFormat="1" x14ac:dyDescent="0.15"/>
    <row r="14503" s="69" customFormat="1" x14ac:dyDescent="0.15"/>
    <row r="14504" s="69" customFormat="1" x14ac:dyDescent="0.15"/>
    <row r="14505" s="69" customFormat="1" x14ac:dyDescent="0.15"/>
    <row r="14506" s="69" customFormat="1" x14ac:dyDescent="0.15"/>
    <row r="14507" s="69" customFormat="1" x14ac:dyDescent="0.15"/>
    <row r="14508" s="69" customFormat="1" x14ac:dyDescent="0.15"/>
    <row r="14509" s="69" customFormat="1" x14ac:dyDescent="0.15"/>
    <row r="14510" s="69" customFormat="1" x14ac:dyDescent="0.15"/>
    <row r="14511" s="69" customFormat="1" x14ac:dyDescent="0.15"/>
    <row r="14512" s="69" customFormat="1" x14ac:dyDescent="0.15"/>
    <row r="14513" s="69" customFormat="1" x14ac:dyDescent="0.15"/>
    <row r="14514" s="69" customFormat="1" x14ac:dyDescent="0.15"/>
    <row r="14515" s="69" customFormat="1" x14ac:dyDescent="0.15"/>
    <row r="14516" s="69" customFormat="1" x14ac:dyDescent="0.15"/>
    <row r="14517" s="69" customFormat="1" x14ac:dyDescent="0.15"/>
    <row r="14518" s="69" customFormat="1" x14ac:dyDescent="0.15"/>
    <row r="14519" s="69" customFormat="1" x14ac:dyDescent="0.15"/>
    <row r="14520" s="69" customFormat="1" x14ac:dyDescent="0.15"/>
    <row r="14521" s="69" customFormat="1" x14ac:dyDescent="0.15"/>
    <row r="14522" s="69" customFormat="1" x14ac:dyDescent="0.15"/>
    <row r="14523" s="69" customFormat="1" x14ac:dyDescent="0.15"/>
    <row r="14524" s="69" customFormat="1" x14ac:dyDescent="0.15"/>
    <row r="14525" s="69" customFormat="1" x14ac:dyDescent="0.15"/>
    <row r="14526" s="69" customFormat="1" x14ac:dyDescent="0.15"/>
    <row r="14527" s="69" customFormat="1" x14ac:dyDescent="0.15"/>
    <row r="14528" s="69" customFormat="1" x14ac:dyDescent="0.15"/>
    <row r="14529" s="69" customFormat="1" x14ac:dyDescent="0.15"/>
    <row r="14530" s="69" customFormat="1" x14ac:dyDescent="0.15"/>
    <row r="14531" s="69" customFormat="1" x14ac:dyDescent="0.15"/>
    <row r="14532" s="69" customFormat="1" x14ac:dyDescent="0.15"/>
    <row r="14533" s="69" customFormat="1" x14ac:dyDescent="0.15"/>
    <row r="14534" s="69" customFormat="1" x14ac:dyDescent="0.15"/>
    <row r="14535" s="69" customFormat="1" x14ac:dyDescent="0.15"/>
    <row r="14536" s="69" customFormat="1" x14ac:dyDescent="0.15"/>
    <row r="14537" s="69" customFormat="1" x14ac:dyDescent="0.15"/>
    <row r="14538" s="69" customFormat="1" x14ac:dyDescent="0.15"/>
    <row r="14539" s="69" customFormat="1" x14ac:dyDescent="0.15"/>
    <row r="14540" s="69" customFormat="1" x14ac:dyDescent="0.15"/>
    <row r="14541" s="69" customFormat="1" x14ac:dyDescent="0.15"/>
    <row r="14542" s="69" customFormat="1" x14ac:dyDescent="0.15"/>
    <row r="14543" s="69" customFormat="1" x14ac:dyDescent="0.15"/>
    <row r="14544" s="69" customFormat="1" x14ac:dyDescent="0.15"/>
    <row r="14545" s="69" customFormat="1" x14ac:dyDescent="0.15"/>
    <row r="14546" s="69" customFormat="1" x14ac:dyDescent="0.15"/>
    <row r="14547" s="69" customFormat="1" x14ac:dyDescent="0.15"/>
    <row r="14548" s="69" customFormat="1" x14ac:dyDescent="0.15"/>
    <row r="14549" s="69" customFormat="1" x14ac:dyDescent="0.15"/>
    <row r="14550" s="69" customFormat="1" x14ac:dyDescent="0.15"/>
    <row r="14551" s="69" customFormat="1" x14ac:dyDescent="0.15"/>
    <row r="14552" s="69" customFormat="1" x14ac:dyDescent="0.15"/>
    <row r="14553" s="69" customFormat="1" x14ac:dyDescent="0.15"/>
    <row r="14554" s="69" customFormat="1" x14ac:dyDescent="0.15"/>
    <row r="14555" s="69" customFormat="1" x14ac:dyDescent="0.15"/>
    <row r="14556" s="69" customFormat="1" x14ac:dyDescent="0.15"/>
    <row r="14557" s="69" customFormat="1" x14ac:dyDescent="0.15"/>
    <row r="14558" s="69" customFormat="1" x14ac:dyDescent="0.15"/>
    <row r="14559" s="69" customFormat="1" x14ac:dyDescent="0.15"/>
    <row r="14560" s="69" customFormat="1" x14ac:dyDescent="0.15"/>
    <row r="14561" s="69" customFormat="1" x14ac:dyDescent="0.15"/>
    <row r="14562" s="69" customFormat="1" x14ac:dyDescent="0.15"/>
    <row r="14563" s="69" customFormat="1" x14ac:dyDescent="0.15"/>
    <row r="14564" s="69" customFormat="1" x14ac:dyDescent="0.15"/>
    <row r="14565" s="69" customFormat="1" x14ac:dyDescent="0.15"/>
    <row r="14566" s="69" customFormat="1" x14ac:dyDescent="0.15"/>
    <row r="14567" s="69" customFormat="1" x14ac:dyDescent="0.15"/>
    <row r="14568" s="69" customFormat="1" x14ac:dyDescent="0.15"/>
    <row r="14569" s="69" customFormat="1" x14ac:dyDescent="0.15"/>
    <row r="14570" s="69" customFormat="1" x14ac:dyDescent="0.15"/>
    <row r="14571" s="69" customFormat="1" x14ac:dyDescent="0.15"/>
    <row r="14572" s="69" customFormat="1" x14ac:dyDescent="0.15"/>
    <row r="14573" s="69" customFormat="1" x14ac:dyDescent="0.15"/>
    <row r="14574" s="69" customFormat="1" x14ac:dyDescent="0.15"/>
    <row r="14575" s="69" customFormat="1" x14ac:dyDescent="0.15"/>
    <row r="14576" s="69" customFormat="1" x14ac:dyDescent="0.15"/>
    <row r="14577" s="69" customFormat="1" x14ac:dyDescent="0.15"/>
    <row r="14578" s="69" customFormat="1" x14ac:dyDescent="0.15"/>
    <row r="14579" s="69" customFormat="1" x14ac:dyDescent="0.15"/>
    <row r="14580" s="69" customFormat="1" x14ac:dyDescent="0.15"/>
    <row r="14581" s="69" customFormat="1" x14ac:dyDescent="0.15"/>
    <row r="14582" s="69" customFormat="1" x14ac:dyDescent="0.15"/>
    <row r="14583" s="69" customFormat="1" x14ac:dyDescent="0.15"/>
    <row r="14584" s="69" customFormat="1" x14ac:dyDescent="0.15"/>
    <row r="14585" s="69" customFormat="1" x14ac:dyDescent="0.15"/>
    <row r="14586" s="69" customFormat="1" x14ac:dyDescent="0.15"/>
    <row r="14587" s="69" customFormat="1" x14ac:dyDescent="0.15"/>
    <row r="14588" s="69" customFormat="1" x14ac:dyDescent="0.15"/>
    <row r="14589" s="69" customFormat="1" x14ac:dyDescent="0.15"/>
    <row r="14590" s="69" customFormat="1" x14ac:dyDescent="0.15"/>
    <row r="14591" s="69" customFormat="1" x14ac:dyDescent="0.15"/>
    <row r="14592" s="69" customFormat="1" x14ac:dyDescent="0.15"/>
    <row r="14593" s="69" customFormat="1" x14ac:dyDescent="0.15"/>
    <row r="14594" s="69" customFormat="1" x14ac:dyDescent="0.15"/>
    <row r="14595" s="69" customFormat="1" x14ac:dyDescent="0.15"/>
    <row r="14596" s="69" customFormat="1" x14ac:dyDescent="0.15"/>
    <row r="14597" s="69" customFormat="1" x14ac:dyDescent="0.15"/>
    <row r="14598" s="69" customFormat="1" x14ac:dyDescent="0.15"/>
    <row r="14599" s="69" customFormat="1" x14ac:dyDescent="0.15"/>
    <row r="14600" s="69" customFormat="1" x14ac:dyDescent="0.15"/>
    <row r="14601" s="69" customFormat="1" x14ac:dyDescent="0.15"/>
    <row r="14602" s="69" customFormat="1" x14ac:dyDescent="0.15"/>
    <row r="14603" s="69" customFormat="1" x14ac:dyDescent="0.15"/>
    <row r="14604" s="69" customFormat="1" x14ac:dyDescent="0.15"/>
    <row r="14605" s="69" customFormat="1" x14ac:dyDescent="0.15"/>
    <row r="14606" s="69" customFormat="1" x14ac:dyDescent="0.15"/>
    <row r="14607" s="69" customFormat="1" x14ac:dyDescent="0.15"/>
    <row r="14608" s="69" customFormat="1" x14ac:dyDescent="0.15"/>
    <row r="14609" s="69" customFormat="1" x14ac:dyDescent="0.15"/>
    <row r="14610" s="69" customFormat="1" x14ac:dyDescent="0.15"/>
    <row r="14611" s="69" customFormat="1" x14ac:dyDescent="0.15"/>
    <row r="14612" s="69" customFormat="1" x14ac:dyDescent="0.15"/>
    <row r="14613" s="69" customFormat="1" x14ac:dyDescent="0.15"/>
    <row r="14614" s="69" customFormat="1" x14ac:dyDescent="0.15"/>
    <row r="14615" s="69" customFormat="1" x14ac:dyDescent="0.15"/>
    <row r="14616" s="69" customFormat="1" x14ac:dyDescent="0.15"/>
    <row r="14617" s="69" customFormat="1" x14ac:dyDescent="0.15"/>
    <row r="14618" s="69" customFormat="1" x14ac:dyDescent="0.15"/>
    <row r="14619" s="69" customFormat="1" x14ac:dyDescent="0.15"/>
    <row r="14620" s="69" customFormat="1" x14ac:dyDescent="0.15"/>
    <row r="14621" s="69" customFormat="1" x14ac:dyDescent="0.15"/>
    <row r="14622" s="69" customFormat="1" x14ac:dyDescent="0.15"/>
    <row r="14623" s="69" customFormat="1" x14ac:dyDescent="0.15"/>
    <row r="14624" s="69" customFormat="1" x14ac:dyDescent="0.15"/>
    <row r="14625" s="69" customFormat="1" x14ac:dyDescent="0.15"/>
    <row r="14626" s="69" customFormat="1" x14ac:dyDescent="0.15"/>
    <row r="14627" s="69" customFormat="1" x14ac:dyDescent="0.15"/>
    <row r="14628" s="69" customFormat="1" x14ac:dyDescent="0.15"/>
    <row r="14629" s="69" customFormat="1" x14ac:dyDescent="0.15"/>
    <row r="14630" s="69" customFormat="1" x14ac:dyDescent="0.15"/>
    <row r="14631" s="69" customFormat="1" x14ac:dyDescent="0.15"/>
    <row r="14632" s="69" customFormat="1" x14ac:dyDescent="0.15"/>
    <row r="14633" s="69" customFormat="1" x14ac:dyDescent="0.15"/>
    <row r="14634" s="69" customFormat="1" x14ac:dyDescent="0.15"/>
    <row r="14635" s="69" customFormat="1" x14ac:dyDescent="0.15"/>
    <row r="14636" s="69" customFormat="1" x14ac:dyDescent="0.15"/>
    <row r="14637" s="69" customFormat="1" x14ac:dyDescent="0.15"/>
    <row r="14638" s="69" customFormat="1" x14ac:dyDescent="0.15"/>
    <row r="14639" s="69" customFormat="1" x14ac:dyDescent="0.15"/>
    <row r="14640" s="69" customFormat="1" x14ac:dyDescent="0.15"/>
    <row r="14641" s="69" customFormat="1" x14ac:dyDescent="0.15"/>
    <row r="14642" s="69" customFormat="1" x14ac:dyDescent="0.15"/>
    <row r="14643" s="69" customFormat="1" x14ac:dyDescent="0.15"/>
    <row r="14644" s="69" customFormat="1" x14ac:dyDescent="0.15"/>
    <row r="14645" s="69" customFormat="1" x14ac:dyDescent="0.15"/>
    <row r="14646" s="69" customFormat="1" x14ac:dyDescent="0.15"/>
    <row r="14647" s="69" customFormat="1" x14ac:dyDescent="0.15"/>
    <row r="14648" s="69" customFormat="1" x14ac:dyDescent="0.15"/>
    <row r="14649" s="69" customFormat="1" x14ac:dyDescent="0.15"/>
    <row r="14650" s="69" customFormat="1" x14ac:dyDescent="0.15"/>
    <row r="14651" s="69" customFormat="1" x14ac:dyDescent="0.15"/>
    <row r="14652" s="69" customFormat="1" x14ac:dyDescent="0.15"/>
    <row r="14653" s="69" customFormat="1" x14ac:dyDescent="0.15"/>
    <row r="14654" s="69" customFormat="1" x14ac:dyDescent="0.15"/>
    <row r="14655" s="69" customFormat="1" x14ac:dyDescent="0.15"/>
    <row r="14656" s="69" customFormat="1" x14ac:dyDescent="0.15"/>
    <row r="14657" s="69" customFormat="1" x14ac:dyDescent="0.15"/>
    <row r="14658" s="69" customFormat="1" x14ac:dyDescent="0.15"/>
    <row r="14659" s="69" customFormat="1" x14ac:dyDescent="0.15"/>
    <row r="14660" s="69" customFormat="1" x14ac:dyDescent="0.15"/>
    <row r="14661" s="69" customFormat="1" x14ac:dyDescent="0.15"/>
    <row r="14662" s="69" customFormat="1" x14ac:dyDescent="0.15"/>
    <row r="14663" s="69" customFormat="1" x14ac:dyDescent="0.15"/>
    <row r="14664" s="69" customFormat="1" x14ac:dyDescent="0.15"/>
    <row r="14665" s="69" customFormat="1" x14ac:dyDescent="0.15"/>
    <row r="14666" s="69" customFormat="1" x14ac:dyDescent="0.15"/>
    <row r="14667" s="69" customFormat="1" x14ac:dyDescent="0.15"/>
    <row r="14668" s="69" customFormat="1" x14ac:dyDescent="0.15"/>
    <row r="14669" s="69" customFormat="1" x14ac:dyDescent="0.15"/>
    <row r="14670" s="69" customFormat="1" x14ac:dyDescent="0.15"/>
    <row r="14671" s="69" customFormat="1" x14ac:dyDescent="0.15"/>
    <row r="14672" s="69" customFormat="1" x14ac:dyDescent="0.15"/>
    <row r="14673" s="69" customFormat="1" x14ac:dyDescent="0.15"/>
    <row r="14674" s="69" customFormat="1" x14ac:dyDescent="0.15"/>
    <row r="14675" s="69" customFormat="1" x14ac:dyDescent="0.15"/>
    <row r="14676" s="69" customFormat="1" x14ac:dyDescent="0.15"/>
    <row r="14677" s="69" customFormat="1" x14ac:dyDescent="0.15"/>
    <row r="14678" s="69" customFormat="1" x14ac:dyDescent="0.15"/>
    <row r="14679" s="69" customFormat="1" x14ac:dyDescent="0.15"/>
    <row r="14680" s="69" customFormat="1" x14ac:dyDescent="0.15"/>
    <row r="14681" s="69" customFormat="1" x14ac:dyDescent="0.15"/>
    <row r="14682" s="69" customFormat="1" x14ac:dyDescent="0.15"/>
    <row r="14683" s="69" customFormat="1" x14ac:dyDescent="0.15"/>
    <row r="14684" s="69" customFormat="1" x14ac:dyDescent="0.15"/>
    <row r="14685" s="69" customFormat="1" x14ac:dyDescent="0.15"/>
    <row r="14686" s="69" customFormat="1" x14ac:dyDescent="0.15"/>
    <row r="14687" s="69" customFormat="1" x14ac:dyDescent="0.15"/>
    <row r="14688" s="69" customFormat="1" x14ac:dyDescent="0.15"/>
    <row r="14689" s="69" customFormat="1" x14ac:dyDescent="0.15"/>
    <row r="14690" s="69" customFormat="1" x14ac:dyDescent="0.15"/>
    <row r="14691" s="69" customFormat="1" x14ac:dyDescent="0.15"/>
    <row r="14692" s="69" customFormat="1" x14ac:dyDescent="0.15"/>
    <row r="14693" s="69" customFormat="1" x14ac:dyDescent="0.15"/>
    <row r="14694" s="69" customFormat="1" x14ac:dyDescent="0.15"/>
    <row r="14695" s="69" customFormat="1" x14ac:dyDescent="0.15"/>
    <row r="14696" s="69" customFormat="1" x14ac:dyDescent="0.15"/>
    <row r="14697" s="69" customFormat="1" x14ac:dyDescent="0.15"/>
    <row r="14698" s="69" customFormat="1" x14ac:dyDescent="0.15"/>
    <row r="14699" s="69" customFormat="1" x14ac:dyDescent="0.15"/>
    <row r="14700" s="69" customFormat="1" x14ac:dyDescent="0.15"/>
    <row r="14701" s="69" customFormat="1" x14ac:dyDescent="0.15"/>
    <row r="14702" s="69" customFormat="1" x14ac:dyDescent="0.15"/>
    <row r="14703" s="69" customFormat="1" x14ac:dyDescent="0.15"/>
    <row r="14704" s="69" customFormat="1" x14ac:dyDescent="0.15"/>
    <row r="14705" s="69" customFormat="1" x14ac:dyDescent="0.15"/>
    <row r="14706" s="69" customFormat="1" x14ac:dyDescent="0.15"/>
    <row r="14707" s="69" customFormat="1" x14ac:dyDescent="0.15"/>
    <row r="14708" s="69" customFormat="1" x14ac:dyDescent="0.15"/>
    <row r="14709" s="69" customFormat="1" x14ac:dyDescent="0.15"/>
    <row r="14710" s="69" customFormat="1" x14ac:dyDescent="0.15"/>
    <row r="14711" s="69" customFormat="1" x14ac:dyDescent="0.15"/>
    <row r="14712" s="69" customFormat="1" x14ac:dyDescent="0.15"/>
    <row r="14713" s="69" customFormat="1" x14ac:dyDescent="0.15"/>
    <row r="14714" s="69" customFormat="1" x14ac:dyDescent="0.15"/>
    <row r="14715" s="69" customFormat="1" x14ac:dyDescent="0.15"/>
    <row r="14716" s="69" customFormat="1" x14ac:dyDescent="0.15"/>
    <row r="14717" s="69" customFormat="1" x14ac:dyDescent="0.15"/>
    <row r="14718" s="69" customFormat="1" x14ac:dyDescent="0.15"/>
    <row r="14719" s="69" customFormat="1" x14ac:dyDescent="0.15"/>
    <row r="14720" s="69" customFormat="1" x14ac:dyDescent="0.15"/>
    <row r="14721" s="69" customFormat="1" x14ac:dyDescent="0.15"/>
    <row r="14722" s="69" customFormat="1" x14ac:dyDescent="0.15"/>
    <row r="14723" s="69" customFormat="1" x14ac:dyDescent="0.15"/>
    <row r="14724" s="69" customFormat="1" x14ac:dyDescent="0.15"/>
    <row r="14725" s="69" customFormat="1" x14ac:dyDescent="0.15"/>
    <row r="14726" s="69" customFormat="1" x14ac:dyDescent="0.15"/>
    <row r="14727" s="69" customFormat="1" x14ac:dyDescent="0.15"/>
    <row r="14728" s="69" customFormat="1" x14ac:dyDescent="0.15"/>
    <row r="14729" s="69" customFormat="1" x14ac:dyDescent="0.15"/>
    <row r="14730" s="69" customFormat="1" x14ac:dyDescent="0.15"/>
    <row r="14731" s="69" customFormat="1" x14ac:dyDescent="0.15"/>
    <row r="14732" s="69" customFormat="1" x14ac:dyDescent="0.15"/>
    <row r="14733" s="69" customFormat="1" x14ac:dyDescent="0.15"/>
    <row r="14734" s="69" customFormat="1" x14ac:dyDescent="0.15"/>
    <row r="14735" s="69" customFormat="1" x14ac:dyDescent="0.15"/>
    <row r="14736" s="69" customFormat="1" x14ac:dyDescent="0.15"/>
    <row r="14737" s="69" customFormat="1" x14ac:dyDescent="0.15"/>
    <row r="14738" s="69" customFormat="1" x14ac:dyDescent="0.15"/>
    <row r="14739" s="69" customFormat="1" x14ac:dyDescent="0.15"/>
    <row r="14740" s="69" customFormat="1" x14ac:dyDescent="0.15"/>
    <row r="14741" s="69" customFormat="1" x14ac:dyDescent="0.15"/>
    <row r="14742" s="69" customFormat="1" x14ac:dyDescent="0.15"/>
    <row r="14743" s="69" customFormat="1" x14ac:dyDescent="0.15"/>
    <row r="14744" s="69" customFormat="1" x14ac:dyDescent="0.15"/>
    <row r="14745" s="69" customFormat="1" x14ac:dyDescent="0.15"/>
    <row r="14746" s="69" customFormat="1" x14ac:dyDescent="0.15"/>
    <row r="14747" s="69" customFormat="1" x14ac:dyDescent="0.15"/>
    <row r="14748" s="69" customFormat="1" x14ac:dyDescent="0.15"/>
    <row r="14749" s="69" customFormat="1" x14ac:dyDescent="0.15"/>
    <row r="14750" s="69" customFormat="1" x14ac:dyDescent="0.15"/>
    <row r="14751" s="69" customFormat="1" x14ac:dyDescent="0.15"/>
    <row r="14752" s="69" customFormat="1" x14ac:dyDescent="0.15"/>
    <row r="14753" s="69" customFormat="1" x14ac:dyDescent="0.15"/>
    <row r="14754" s="69" customFormat="1" x14ac:dyDescent="0.15"/>
    <row r="14755" s="69" customFormat="1" x14ac:dyDescent="0.15"/>
    <row r="14756" s="69" customFormat="1" x14ac:dyDescent="0.15"/>
    <row r="14757" s="69" customFormat="1" x14ac:dyDescent="0.15"/>
    <row r="14758" s="69" customFormat="1" x14ac:dyDescent="0.15"/>
    <row r="14759" s="69" customFormat="1" x14ac:dyDescent="0.15"/>
    <row r="14760" s="69" customFormat="1" x14ac:dyDescent="0.15"/>
    <row r="14761" s="69" customFormat="1" x14ac:dyDescent="0.15"/>
    <row r="14762" s="69" customFormat="1" x14ac:dyDescent="0.15"/>
    <row r="14763" s="69" customFormat="1" x14ac:dyDescent="0.15"/>
    <row r="14764" s="69" customFormat="1" x14ac:dyDescent="0.15"/>
    <row r="14765" s="69" customFormat="1" x14ac:dyDescent="0.15"/>
    <row r="14766" s="69" customFormat="1" x14ac:dyDescent="0.15"/>
    <row r="14767" s="69" customFormat="1" x14ac:dyDescent="0.15"/>
    <row r="14768" s="69" customFormat="1" x14ac:dyDescent="0.15"/>
    <row r="14769" s="69" customFormat="1" x14ac:dyDescent="0.15"/>
    <row r="14770" s="69" customFormat="1" x14ac:dyDescent="0.15"/>
    <row r="14771" s="69" customFormat="1" x14ac:dyDescent="0.15"/>
    <row r="14772" s="69" customFormat="1" x14ac:dyDescent="0.15"/>
    <row r="14773" s="69" customFormat="1" x14ac:dyDescent="0.15"/>
    <row r="14774" s="69" customFormat="1" x14ac:dyDescent="0.15"/>
    <row r="14775" s="69" customFormat="1" x14ac:dyDescent="0.15"/>
    <row r="14776" s="69" customFormat="1" x14ac:dyDescent="0.15"/>
    <row r="14777" s="69" customFormat="1" x14ac:dyDescent="0.15"/>
    <row r="14778" s="69" customFormat="1" x14ac:dyDescent="0.15"/>
    <row r="14779" s="69" customFormat="1" x14ac:dyDescent="0.15"/>
    <row r="14780" s="69" customFormat="1" x14ac:dyDescent="0.15"/>
    <row r="14781" s="69" customFormat="1" x14ac:dyDescent="0.15"/>
    <row r="14782" s="69" customFormat="1" x14ac:dyDescent="0.15"/>
    <row r="14783" s="69" customFormat="1" x14ac:dyDescent="0.15"/>
    <row r="14784" s="69" customFormat="1" x14ac:dyDescent="0.15"/>
    <row r="14785" s="69" customFormat="1" x14ac:dyDescent="0.15"/>
    <row r="14786" s="69" customFormat="1" x14ac:dyDescent="0.15"/>
    <row r="14787" s="69" customFormat="1" x14ac:dyDescent="0.15"/>
    <row r="14788" s="69" customFormat="1" x14ac:dyDescent="0.15"/>
    <row r="14789" s="69" customFormat="1" x14ac:dyDescent="0.15"/>
    <row r="14790" s="69" customFormat="1" x14ac:dyDescent="0.15"/>
    <row r="14791" s="69" customFormat="1" x14ac:dyDescent="0.15"/>
    <row r="14792" s="69" customFormat="1" x14ac:dyDescent="0.15"/>
    <row r="14793" s="69" customFormat="1" x14ac:dyDescent="0.15"/>
    <row r="14794" s="69" customFormat="1" x14ac:dyDescent="0.15"/>
    <row r="14795" s="69" customFormat="1" x14ac:dyDescent="0.15"/>
    <row r="14796" s="69" customFormat="1" x14ac:dyDescent="0.15"/>
    <row r="14797" s="69" customFormat="1" x14ac:dyDescent="0.15"/>
    <row r="14798" s="69" customFormat="1" x14ac:dyDescent="0.15"/>
    <row r="14799" s="69" customFormat="1" x14ac:dyDescent="0.15"/>
    <row r="14800" s="69" customFormat="1" x14ac:dyDescent="0.15"/>
    <row r="14801" s="69" customFormat="1" x14ac:dyDescent="0.15"/>
    <row r="14802" s="69" customFormat="1" x14ac:dyDescent="0.15"/>
    <row r="14803" s="69" customFormat="1" x14ac:dyDescent="0.15"/>
    <row r="14804" s="69" customFormat="1" x14ac:dyDescent="0.15"/>
    <row r="14805" s="69" customFormat="1" x14ac:dyDescent="0.15"/>
    <row r="14806" s="69" customFormat="1" x14ac:dyDescent="0.15"/>
    <row r="14807" s="69" customFormat="1" x14ac:dyDescent="0.15"/>
    <row r="14808" s="69" customFormat="1" x14ac:dyDescent="0.15"/>
    <row r="14809" s="69" customFormat="1" x14ac:dyDescent="0.15"/>
    <row r="14810" s="69" customFormat="1" x14ac:dyDescent="0.15"/>
    <row r="14811" s="69" customFormat="1" x14ac:dyDescent="0.15"/>
    <row r="14812" s="69" customFormat="1" x14ac:dyDescent="0.15"/>
    <row r="14813" s="69" customFormat="1" x14ac:dyDescent="0.15"/>
    <row r="14814" s="69" customFormat="1" x14ac:dyDescent="0.15"/>
    <row r="14815" s="69" customFormat="1" x14ac:dyDescent="0.15"/>
    <row r="14816" s="69" customFormat="1" x14ac:dyDescent="0.15"/>
    <row r="14817" s="69" customFormat="1" x14ac:dyDescent="0.15"/>
    <row r="14818" s="69" customFormat="1" x14ac:dyDescent="0.15"/>
    <row r="14819" s="69" customFormat="1" x14ac:dyDescent="0.15"/>
    <row r="14820" s="69" customFormat="1" x14ac:dyDescent="0.15"/>
    <row r="14821" s="69" customFormat="1" x14ac:dyDescent="0.15"/>
    <row r="14822" s="69" customFormat="1" x14ac:dyDescent="0.15"/>
    <row r="14823" s="69" customFormat="1" x14ac:dyDescent="0.15"/>
    <row r="14824" s="69" customFormat="1" x14ac:dyDescent="0.15"/>
    <row r="14825" s="69" customFormat="1" x14ac:dyDescent="0.15"/>
    <row r="14826" s="69" customFormat="1" x14ac:dyDescent="0.15"/>
    <row r="14827" s="69" customFormat="1" x14ac:dyDescent="0.15"/>
    <row r="14828" s="69" customFormat="1" x14ac:dyDescent="0.15"/>
    <row r="14829" s="69" customFormat="1" x14ac:dyDescent="0.15"/>
    <row r="14830" s="69" customFormat="1" x14ac:dyDescent="0.15"/>
    <row r="14831" s="69" customFormat="1" x14ac:dyDescent="0.15"/>
    <row r="14832" s="69" customFormat="1" x14ac:dyDescent="0.15"/>
    <row r="14833" s="69" customFormat="1" x14ac:dyDescent="0.15"/>
    <row r="14834" s="69" customFormat="1" x14ac:dyDescent="0.15"/>
    <row r="14835" s="69" customFormat="1" x14ac:dyDescent="0.15"/>
    <row r="14836" s="69" customFormat="1" x14ac:dyDescent="0.15"/>
    <row r="14837" s="69" customFormat="1" x14ac:dyDescent="0.15"/>
    <row r="14838" s="69" customFormat="1" x14ac:dyDescent="0.15"/>
    <row r="14839" s="69" customFormat="1" x14ac:dyDescent="0.15"/>
    <row r="14840" s="69" customFormat="1" x14ac:dyDescent="0.15"/>
    <row r="14841" s="69" customFormat="1" x14ac:dyDescent="0.15"/>
    <row r="14842" s="69" customFormat="1" x14ac:dyDescent="0.15"/>
    <row r="14843" s="69" customFormat="1" x14ac:dyDescent="0.15"/>
    <row r="14844" s="69" customFormat="1" x14ac:dyDescent="0.15"/>
    <row r="14845" s="69" customFormat="1" x14ac:dyDescent="0.15"/>
    <row r="14846" s="69" customFormat="1" x14ac:dyDescent="0.15"/>
    <row r="14847" s="69" customFormat="1" x14ac:dyDescent="0.15"/>
    <row r="14848" s="69" customFormat="1" x14ac:dyDescent="0.15"/>
    <row r="14849" s="69" customFormat="1" x14ac:dyDescent="0.15"/>
    <row r="14850" s="69" customFormat="1" x14ac:dyDescent="0.15"/>
    <row r="14851" s="69" customFormat="1" x14ac:dyDescent="0.15"/>
    <row r="14852" s="69" customFormat="1" x14ac:dyDescent="0.15"/>
    <row r="14853" s="69" customFormat="1" x14ac:dyDescent="0.15"/>
    <row r="14854" s="69" customFormat="1" x14ac:dyDescent="0.15"/>
    <row r="14855" s="69" customFormat="1" x14ac:dyDescent="0.15"/>
    <row r="14856" s="69" customFormat="1" x14ac:dyDescent="0.15"/>
    <row r="14857" s="69" customFormat="1" x14ac:dyDescent="0.15"/>
    <row r="14858" s="69" customFormat="1" x14ac:dyDescent="0.15"/>
    <row r="14859" s="69" customFormat="1" x14ac:dyDescent="0.15"/>
    <row r="14860" s="69" customFormat="1" x14ac:dyDescent="0.15"/>
    <row r="14861" s="69" customFormat="1" x14ac:dyDescent="0.15"/>
    <row r="14862" s="69" customFormat="1" x14ac:dyDescent="0.15"/>
    <row r="14863" s="69" customFormat="1" x14ac:dyDescent="0.15"/>
    <row r="14864" s="69" customFormat="1" x14ac:dyDescent="0.15"/>
    <row r="14865" s="69" customFormat="1" x14ac:dyDescent="0.15"/>
    <row r="14866" s="69" customFormat="1" x14ac:dyDescent="0.15"/>
    <row r="14867" s="69" customFormat="1" x14ac:dyDescent="0.15"/>
    <row r="14868" s="69" customFormat="1" x14ac:dyDescent="0.15"/>
    <row r="14869" s="69" customFormat="1" x14ac:dyDescent="0.15"/>
    <row r="14870" s="69" customFormat="1" x14ac:dyDescent="0.15"/>
    <row r="14871" s="69" customFormat="1" x14ac:dyDescent="0.15"/>
    <row r="14872" s="69" customFormat="1" x14ac:dyDescent="0.15"/>
    <row r="14873" s="69" customFormat="1" x14ac:dyDescent="0.15"/>
    <row r="14874" s="69" customFormat="1" x14ac:dyDescent="0.15"/>
    <row r="14875" s="69" customFormat="1" x14ac:dyDescent="0.15"/>
    <row r="14876" s="69" customFormat="1" x14ac:dyDescent="0.15"/>
    <row r="14877" s="69" customFormat="1" x14ac:dyDescent="0.15"/>
    <row r="14878" s="69" customFormat="1" x14ac:dyDescent="0.15"/>
    <row r="14879" s="69" customFormat="1" x14ac:dyDescent="0.15"/>
    <row r="14880" s="69" customFormat="1" x14ac:dyDescent="0.15"/>
    <row r="14881" s="69" customFormat="1" x14ac:dyDescent="0.15"/>
    <row r="14882" s="69" customFormat="1" x14ac:dyDescent="0.15"/>
    <row r="14883" s="69" customFormat="1" x14ac:dyDescent="0.15"/>
    <row r="14884" s="69" customFormat="1" x14ac:dyDescent="0.15"/>
    <row r="14885" s="69" customFormat="1" x14ac:dyDescent="0.15"/>
    <row r="14886" s="69" customFormat="1" x14ac:dyDescent="0.15"/>
    <row r="14887" s="69" customFormat="1" x14ac:dyDescent="0.15"/>
    <row r="14888" s="69" customFormat="1" x14ac:dyDescent="0.15"/>
    <row r="14889" s="69" customFormat="1" x14ac:dyDescent="0.15"/>
    <row r="14890" s="69" customFormat="1" x14ac:dyDescent="0.15"/>
    <row r="14891" s="69" customFormat="1" x14ac:dyDescent="0.15"/>
    <row r="14892" s="69" customFormat="1" x14ac:dyDescent="0.15"/>
    <row r="14893" s="69" customFormat="1" x14ac:dyDescent="0.15"/>
    <row r="14894" s="69" customFormat="1" x14ac:dyDescent="0.15"/>
    <row r="14895" s="69" customFormat="1" x14ac:dyDescent="0.15"/>
    <row r="14896" s="69" customFormat="1" x14ac:dyDescent="0.15"/>
    <row r="14897" s="69" customFormat="1" x14ac:dyDescent="0.15"/>
    <row r="14898" s="69" customFormat="1" x14ac:dyDescent="0.15"/>
    <row r="14899" s="69" customFormat="1" x14ac:dyDescent="0.15"/>
    <row r="14900" s="69" customFormat="1" x14ac:dyDescent="0.15"/>
    <row r="14901" s="69" customFormat="1" x14ac:dyDescent="0.15"/>
    <row r="14902" s="69" customFormat="1" x14ac:dyDescent="0.15"/>
    <row r="14903" s="69" customFormat="1" x14ac:dyDescent="0.15"/>
    <row r="14904" s="69" customFormat="1" x14ac:dyDescent="0.15"/>
    <row r="14905" s="69" customFormat="1" x14ac:dyDescent="0.15"/>
    <row r="14906" s="69" customFormat="1" x14ac:dyDescent="0.15"/>
    <row r="14907" s="69" customFormat="1" x14ac:dyDescent="0.15"/>
    <row r="14908" s="69" customFormat="1" x14ac:dyDescent="0.15"/>
    <row r="14909" s="69" customFormat="1" x14ac:dyDescent="0.15"/>
    <row r="14910" s="69" customFormat="1" x14ac:dyDescent="0.15"/>
    <row r="14911" s="69" customFormat="1" x14ac:dyDescent="0.15"/>
    <row r="14912" s="69" customFormat="1" x14ac:dyDescent="0.15"/>
    <row r="14913" s="69" customFormat="1" x14ac:dyDescent="0.15"/>
    <row r="14914" s="69" customFormat="1" x14ac:dyDescent="0.15"/>
    <row r="14915" s="69" customFormat="1" x14ac:dyDescent="0.15"/>
    <row r="14916" s="69" customFormat="1" x14ac:dyDescent="0.15"/>
    <row r="14917" s="69" customFormat="1" x14ac:dyDescent="0.15"/>
    <row r="14918" s="69" customFormat="1" x14ac:dyDescent="0.15"/>
    <row r="14919" s="69" customFormat="1" x14ac:dyDescent="0.15"/>
    <row r="14920" s="69" customFormat="1" x14ac:dyDescent="0.15"/>
    <row r="14921" s="69" customFormat="1" x14ac:dyDescent="0.15"/>
    <row r="14922" s="69" customFormat="1" x14ac:dyDescent="0.15"/>
    <row r="14923" s="69" customFormat="1" x14ac:dyDescent="0.15"/>
    <row r="14924" s="69" customFormat="1" x14ac:dyDescent="0.15"/>
    <row r="14925" s="69" customFormat="1" x14ac:dyDescent="0.15"/>
    <row r="14926" s="69" customFormat="1" x14ac:dyDescent="0.15"/>
    <row r="14927" s="69" customFormat="1" x14ac:dyDescent="0.15"/>
    <row r="14928" s="69" customFormat="1" x14ac:dyDescent="0.15"/>
    <row r="14929" s="69" customFormat="1" x14ac:dyDescent="0.15"/>
    <row r="14930" s="69" customFormat="1" x14ac:dyDescent="0.15"/>
    <row r="14931" s="69" customFormat="1" x14ac:dyDescent="0.15"/>
    <row r="14932" s="69" customFormat="1" x14ac:dyDescent="0.15"/>
    <row r="14933" s="69" customFormat="1" x14ac:dyDescent="0.15"/>
    <row r="14934" s="69" customFormat="1" x14ac:dyDescent="0.15"/>
    <row r="14935" s="69" customFormat="1" x14ac:dyDescent="0.15"/>
    <row r="14936" s="69" customFormat="1" x14ac:dyDescent="0.15"/>
    <row r="14937" s="69" customFormat="1" x14ac:dyDescent="0.15"/>
    <row r="14938" s="69" customFormat="1" x14ac:dyDescent="0.15"/>
    <row r="14939" s="69" customFormat="1" x14ac:dyDescent="0.15"/>
    <row r="14940" s="69" customFormat="1" x14ac:dyDescent="0.15"/>
    <row r="14941" s="69" customFormat="1" x14ac:dyDescent="0.15"/>
    <row r="14942" s="69" customFormat="1" x14ac:dyDescent="0.15"/>
    <row r="14943" s="69" customFormat="1" x14ac:dyDescent="0.15"/>
    <row r="14944" s="69" customFormat="1" x14ac:dyDescent="0.15"/>
    <row r="14945" s="69" customFormat="1" x14ac:dyDescent="0.15"/>
    <row r="14946" s="69" customFormat="1" x14ac:dyDescent="0.15"/>
    <row r="14947" s="69" customFormat="1" x14ac:dyDescent="0.15"/>
    <row r="14948" s="69" customFormat="1" x14ac:dyDescent="0.15"/>
    <row r="14949" s="69" customFormat="1" x14ac:dyDescent="0.15"/>
    <row r="14950" s="69" customFormat="1" x14ac:dyDescent="0.15"/>
    <row r="14951" s="69" customFormat="1" x14ac:dyDescent="0.15"/>
    <row r="14952" s="69" customFormat="1" x14ac:dyDescent="0.15"/>
    <row r="14953" s="69" customFormat="1" x14ac:dyDescent="0.15"/>
    <row r="14954" s="69" customFormat="1" x14ac:dyDescent="0.15"/>
    <row r="14955" s="69" customFormat="1" x14ac:dyDescent="0.15"/>
    <row r="14956" s="69" customFormat="1" x14ac:dyDescent="0.15"/>
    <row r="14957" s="69" customFormat="1" x14ac:dyDescent="0.15"/>
    <row r="14958" s="69" customFormat="1" x14ac:dyDescent="0.15"/>
    <row r="14959" s="69" customFormat="1" x14ac:dyDescent="0.15"/>
    <row r="14960" s="69" customFormat="1" x14ac:dyDescent="0.15"/>
    <row r="14961" s="69" customFormat="1" x14ac:dyDescent="0.15"/>
    <row r="14962" s="69" customFormat="1" x14ac:dyDescent="0.15"/>
    <row r="14963" s="69" customFormat="1" x14ac:dyDescent="0.15"/>
    <row r="14964" s="69" customFormat="1" x14ac:dyDescent="0.15"/>
    <row r="14965" s="69" customFormat="1" x14ac:dyDescent="0.15"/>
    <row r="14966" s="69" customFormat="1" x14ac:dyDescent="0.15"/>
    <row r="14967" s="69" customFormat="1" x14ac:dyDescent="0.15"/>
    <row r="14968" s="69" customFormat="1" x14ac:dyDescent="0.15"/>
    <row r="14969" s="69" customFormat="1" x14ac:dyDescent="0.15"/>
    <row r="14970" s="69" customFormat="1" x14ac:dyDescent="0.15"/>
    <row r="14971" s="69" customFormat="1" x14ac:dyDescent="0.15"/>
    <row r="14972" s="69" customFormat="1" x14ac:dyDescent="0.15"/>
    <row r="14973" s="69" customFormat="1" x14ac:dyDescent="0.15"/>
    <row r="14974" s="69" customFormat="1" x14ac:dyDescent="0.15"/>
    <row r="14975" s="69" customFormat="1" x14ac:dyDescent="0.15"/>
    <row r="14976" s="69" customFormat="1" x14ac:dyDescent="0.15"/>
    <row r="14977" s="69" customFormat="1" x14ac:dyDescent="0.15"/>
    <row r="14978" s="69" customFormat="1" x14ac:dyDescent="0.15"/>
    <row r="14979" s="69" customFormat="1" x14ac:dyDescent="0.15"/>
    <row r="14980" s="69" customFormat="1" x14ac:dyDescent="0.15"/>
    <row r="14981" s="69" customFormat="1" x14ac:dyDescent="0.15"/>
    <row r="14982" s="69" customFormat="1" x14ac:dyDescent="0.15"/>
    <row r="14983" s="69" customFormat="1" x14ac:dyDescent="0.15"/>
    <row r="14984" s="69" customFormat="1" x14ac:dyDescent="0.15"/>
    <row r="14985" s="69" customFormat="1" x14ac:dyDescent="0.15"/>
    <row r="14986" s="69" customFormat="1" x14ac:dyDescent="0.15"/>
    <row r="14987" s="69" customFormat="1" x14ac:dyDescent="0.15"/>
    <row r="14988" s="69" customFormat="1" x14ac:dyDescent="0.15"/>
    <row r="14989" s="69" customFormat="1" x14ac:dyDescent="0.15"/>
    <row r="14990" s="69" customFormat="1" x14ac:dyDescent="0.15"/>
    <row r="14991" s="69" customFormat="1" x14ac:dyDescent="0.15"/>
    <row r="14992" s="69" customFormat="1" x14ac:dyDescent="0.15"/>
    <row r="14993" s="69" customFormat="1" x14ac:dyDescent="0.15"/>
    <row r="14994" s="69" customFormat="1" x14ac:dyDescent="0.15"/>
    <row r="14995" s="69" customFormat="1" x14ac:dyDescent="0.15"/>
    <row r="14996" s="69" customFormat="1" x14ac:dyDescent="0.15"/>
    <row r="14997" s="69" customFormat="1" x14ac:dyDescent="0.15"/>
    <row r="14998" s="69" customFormat="1" x14ac:dyDescent="0.15"/>
    <row r="14999" s="69" customFormat="1" x14ac:dyDescent="0.15"/>
    <row r="15000" s="69" customFormat="1" x14ac:dyDescent="0.15"/>
    <row r="15001" s="69" customFormat="1" x14ac:dyDescent="0.15"/>
    <row r="15002" s="69" customFormat="1" x14ac:dyDescent="0.15"/>
    <row r="15003" s="69" customFormat="1" x14ac:dyDescent="0.15"/>
    <row r="15004" s="69" customFormat="1" x14ac:dyDescent="0.15"/>
    <row r="15005" s="69" customFormat="1" x14ac:dyDescent="0.15"/>
    <row r="15006" s="69" customFormat="1" x14ac:dyDescent="0.15"/>
    <row r="15007" s="69" customFormat="1" x14ac:dyDescent="0.15"/>
    <row r="15008" s="69" customFormat="1" x14ac:dyDescent="0.15"/>
    <row r="15009" s="69" customFormat="1" x14ac:dyDescent="0.15"/>
    <row r="15010" s="69" customFormat="1" x14ac:dyDescent="0.15"/>
    <row r="15011" s="69" customFormat="1" x14ac:dyDescent="0.15"/>
    <row r="15012" s="69" customFormat="1" x14ac:dyDescent="0.15"/>
    <row r="15013" s="69" customFormat="1" x14ac:dyDescent="0.15"/>
    <row r="15014" s="69" customFormat="1" x14ac:dyDescent="0.15"/>
    <row r="15015" s="69" customFormat="1" x14ac:dyDescent="0.15"/>
    <row r="15016" s="69" customFormat="1" x14ac:dyDescent="0.15"/>
    <row r="15017" s="69" customFormat="1" x14ac:dyDescent="0.15"/>
    <row r="15018" s="69" customFormat="1" x14ac:dyDescent="0.15"/>
    <row r="15019" s="69" customFormat="1" x14ac:dyDescent="0.15"/>
    <row r="15020" s="69" customFormat="1" x14ac:dyDescent="0.15"/>
    <row r="15021" s="69" customFormat="1" x14ac:dyDescent="0.15"/>
    <row r="15022" s="69" customFormat="1" x14ac:dyDescent="0.15"/>
    <row r="15023" s="69" customFormat="1" x14ac:dyDescent="0.15"/>
    <row r="15024" s="69" customFormat="1" x14ac:dyDescent="0.15"/>
    <row r="15025" s="69" customFormat="1" x14ac:dyDescent="0.15"/>
    <row r="15026" s="69" customFormat="1" x14ac:dyDescent="0.15"/>
    <row r="15027" s="69" customFormat="1" x14ac:dyDescent="0.15"/>
    <row r="15028" s="69" customFormat="1" x14ac:dyDescent="0.15"/>
    <row r="15029" s="69" customFormat="1" x14ac:dyDescent="0.15"/>
    <row r="15030" s="69" customFormat="1" x14ac:dyDescent="0.15"/>
    <row r="15031" s="69" customFormat="1" x14ac:dyDescent="0.15"/>
    <row r="15032" s="69" customFormat="1" x14ac:dyDescent="0.15"/>
    <row r="15033" s="69" customFormat="1" x14ac:dyDescent="0.15"/>
    <row r="15034" s="69" customFormat="1" x14ac:dyDescent="0.15"/>
    <row r="15035" s="69" customFormat="1" x14ac:dyDescent="0.15"/>
    <row r="15036" s="69" customFormat="1" x14ac:dyDescent="0.15"/>
    <row r="15037" s="69" customFormat="1" x14ac:dyDescent="0.15"/>
    <row r="15038" s="69" customFormat="1" x14ac:dyDescent="0.15"/>
    <row r="15039" s="69" customFormat="1" x14ac:dyDescent="0.15"/>
    <row r="15040" s="69" customFormat="1" x14ac:dyDescent="0.15"/>
    <row r="15041" s="69" customFormat="1" x14ac:dyDescent="0.15"/>
    <row r="15042" s="69" customFormat="1" x14ac:dyDescent="0.15"/>
    <row r="15043" s="69" customFormat="1" x14ac:dyDescent="0.15"/>
    <row r="15044" s="69" customFormat="1" x14ac:dyDescent="0.15"/>
    <row r="15045" s="69" customFormat="1" x14ac:dyDescent="0.15"/>
    <row r="15046" s="69" customFormat="1" x14ac:dyDescent="0.15"/>
    <row r="15047" s="69" customFormat="1" x14ac:dyDescent="0.15"/>
    <row r="15048" s="69" customFormat="1" x14ac:dyDescent="0.15"/>
    <row r="15049" s="69" customFormat="1" x14ac:dyDescent="0.15"/>
    <row r="15050" s="69" customFormat="1" x14ac:dyDescent="0.15"/>
    <row r="15051" s="69" customFormat="1" x14ac:dyDescent="0.15"/>
    <row r="15052" s="69" customFormat="1" x14ac:dyDescent="0.15"/>
    <row r="15053" s="69" customFormat="1" x14ac:dyDescent="0.15"/>
    <row r="15054" s="69" customFormat="1" x14ac:dyDescent="0.15"/>
    <row r="15055" s="69" customFormat="1" x14ac:dyDescent="0.15"/>
    <row r="15056" s="69" customFormat="1" x14ac:dyDescent="0.15"/>
    <row r="15057" s="69" customFormat="1" x14ac:dyDescent="0.15"/>
    <row r="15058" s="69" customFormat="1" x14ac:dyDescent="0.15"/>
    <row r="15059" s="69" customFormat="1" x14ac:dyDescent="0.15"/>
    <row r="15060" s="69" customFormat="1" x14ac:dyDescent="0.15"/>
    <row r="15061" s="69" customFormat="1" x14ac:dyDescent="0.15"/>
    <row r="15062" s="69" customFormat="1" x14ac:dyDescent="0.15"/>
    <row r="15063" s="69" customFormat="1" x14ac:dyDescent="0.15"/>
    <row r="15064" s="69" customFormat="1" x14ac:dyDescent="0.15"/>
    <row r="15065" s="69" customFormat="1" x14ac:dyDescent="0.15"/>
    <row r="15066" s="69" customFormat="1" x14ac:dyDescent="0.15"/>
    <row r="15067" s="69" customFormat="1" x14ac:dyDescent="0.15"/>
    <row r="15068" s="69" customFormat="1" x14ac:dyDescent="0.15"/>
    <row r="15069" s="69" customFormat="1" x14ac:dyDescent="0.15"/>
    <row r="15070" s="69" customFormat="1" x14ac:dyDescent="0.15"/>
    <row r="15071" s="69" customFormat="1" x14ac:dyDescent="0.15"/>
    <row r="15072" s="69" customFormat="1" x14ac:dyDescent="0.15"/>
    <row r="15073" s="69" customFormat="1" x14ac:dyDescent="0.15"/>
    <row r="15074" s="69" customFormat="1" x14ac:dyDescent="0.15"/>
    <row r="15075" s="69" customFormat="1" x14ac:dyDescent="0.15"/>
    <row r="15076" s="69" customFormat="1" x14ac:dyDescent="0.15"/>
    <row r="15077" s="69" customFormat="1" x14ac:dyDescent="0.15"/>
    <row r="15078" s="69" customFormat="1" x14ac:dyDescent="0.15"/>
    <row r="15079" s="69" customFormat="1" x14ac:dyDescent="0.15"/>
    <row r="15080" s="69" customFormat="1" x14ac:dyDescent="0.15"/>
    <row r="15081" s="69" customFormat="1" x14ac:dyDescent="0.15"/>
    <row r="15082" s="69" customFormat="1" x14ac:dyDescent="0.15"/>
    <row r="15083" s="69" customFormat="1" x14ac:dyDescent="0.15"/>
    <row r="15084" s="69" customFormat="1" x14ac:dyDescent="0.15"/>
    <row r="15085" s="69" customFormat="1" x14ac:dyDescent="0.15"/>
    <row r="15086" s="69" customFormat="1" x14ac:dyDescent="0.15"/>
    <row r="15087" s="69" customFormat="1" x14ac:dyDescent="0.15"/>
    <row r="15088" s="69" customFormat="1" x14ac:dyDescent="0.15"/>
    <row r="15089" s="69" customFormat="1" x14ac:dyDescent="0.15"/>
    <row r="15090" s="69" customFormat="1" x14ac:dyDescent="0.15"/>
    <row r="15091" s="69" customFormat="1" x14ac:dyDescent="0.15"/>
    <row r="15092" s="69" customFormat="1" x14ac:dyDescent="0.15"/>
    <row r="15093" s="69" customFormat="1" x14ac:dyDescent="0.15"/>
    <row r="15094" s="69" customFormat="1" x14ac:dyDescent="0.15"/>
    <row r="15095" s="69" customFormat="1" x14ac:dyDescent="0.15"/>
    <row r="15096" s="69" customFormat="1" x14ac:dyDescent="0.15"/>
    <row r="15097" s="69" customFormat="1" x14ac:dyDescent="0.15"/>
    <row r="15098" s="69" customFormat="1" x14ac:dyDescent="0.15"/>
    <row r="15099" s="69" customFormat="1" x14ac:dyDescent="0.15"/>
    <row r="15100" s="69" customFormat="1" x14ac:dyDescent="0.15"/>
    <row r="15101" s="69" customFormat="1" x14ac:dyDescent="0.15"/>
    <row r="15102" s="69" customFormat="1" x14ac:dyDescent="0.15"/>
    <row r="15103" s="69" customFormat="1" x14ac:dyDescent="0.15"/>
    <row r="15104" s="69" customFormat="1" x14ac:dyDescent="0.15"/>
    <row r="15105" s="69" customFormat="1" x14ac:dyDescent="0.15"/>
    <row r="15106" s="69" customFormat="1" x14ac:dyDescent="0.15"/>
    <row r="15107" s="69" customFormat="1" x14ac:dyDescent="0.15"/>
    <row r="15108" s="69" customFormat="1" x14ac:dyDescent="0.15"/>
    <row r="15109" s="69" customFormat="1" x14ac:dyDescent="0.15"/>
    <row r="15110" s="69" customFormat="1" x14ac:dyDescent="0.15"/>
    <row r="15111" s="69" customFormat="1" x14ac:dyDescent="0.15"/>
    <row r="15112" s="69" customFormat="1" x14ac:dyDescent="0.15"/>
    <row r="15113" s="69" customFormat="1" x14ac:dyDescent="0.15"/>
    <row r="15114" s="69" customFormat="1" x14ac:dyDescent="0.15"/>
    <row r="15115" s="69" customFormat="1" x14ac:dyDescent="0.15"/>
    <row r="15116" s="69" customFormat="1" x14ac:dyDescent="0.15"/>
    <row r="15117" s="69" customFormat="1" x14ac:dyDescent="0.15"/>
    <row r="15118" s="69" customFormat="1" x14ac:dyDescent="0.15"/>
    <row r="15119" s="69" customFormat="1" x14ac:dyDescent="0.15"/>
    <row r="15120" s="69" customFormat="1" x14ac:dyDescent="0.15"/>
    <row r="15121" s="69" customFormat="1" x14ac:dyDescent="0.15"/>
    <row r="15122" s="69" customFormat="1" x14ac:dyDescent="0.15"/>
    <row r="15123" s="69" customFormat="1" x14ac:dyDescent="0.15"/>
    <row r="15124" s="69" customFormat="1" x14ac:dyDescent="0.15"/>
    <row r="15125" s="69" customFormat="1" x14ac:dyDescent="0.15"/>
    <row r="15126" s="69" customFormat="1" x14ac:dyDescent="0.15"/>
    <row r="15127" s="69" customFormat="1" x14ac:dyDescent="0.15"/>
    <row r="15128" s="69" customFormat="1" x14ac:dyDescent="0.15"/>
    <row r="15129" s="69" customFormat="1" x14ac:dyDescent="0.15"/>
    <row r="15130" s="69" customFormat="1" x14ac:dyDescent="0.15"/>
    <row r="15131" s="69" customFormat="1" x14ac:dyDescent="0.15"/>
    <row r="15132" s="69" customFormat="1" x14ac:dyDescent="0.15"/>
    <row r="15133" s="69" customFormat="1" x14ac:dyDescent="0.15"/>
    <row r="15134" s="69" customFormat="1" x14ac:dyDescent="0.15"/>
    <row r="15135" s="69" customFormat="1" x14ac:dyDescent="0.15"/>
    <row r="15136" s="69" customFormat="1" x14ac:dyDescent="0.15"/>
    <row r="15137" s="69" customFormat="1" x14ac:dyDescent="0.15"/>
    <row r="15138" s="69" customFormat="1" x14ac:dyDescent="0.15"/>
    <row r="15139" s="69" customFormat="1" x14ac:dyDescent="0.15"/>
    <row r="15140" s="69" customFormat="1" x14ac:dyDescent="0.15"/>
    <row r="15141" s="69" customFormat="1" x14ac:dyDescent="0.15"/>
    <row r="15142" s="69" customFormat="1" x14ac:dyDescent="0.15"/>
    <row r="15143" s="69" customFormat="1" x14ac:dyDescent="0.15"/>
    <row r="15144" s="69" customFormat="1" x14ac:dyDescent="0.15"/>
    <row r="15145" s="69" customFormat="1" x14ac:dyDescent="0.15"/>
    <row r="15146" s="69" customFormat="1" x14ac:dyDescent="0.15"/>
    <row r="15147" s="69" customFormat="1" x14ac:dyDescent="0.15"/>
    <row r="15148" s="69" customFormat="1" x14ac:dyDescent="0.15"/>
    <row r="15149" s="69" customFormat="1" x14ac:dyDescent="0.15"/>
    <row r="15150" s="69" customFormat="1" x14ac:dyDescent="0.15"/>
    <row r="15151" s="69" customFormat="1" x14ac:dyDescent="0.15"/>
    <row r="15152" s="69" customFormat="1" x14ac:dyDescent="0.15"/>
    <row r="15153" s="69" customFormat="1" x14ac:dyDescent="0.15"/>
    <row r="15154" s="69" customFormat="1" x14ac:dyDescent="0.15"/>
    <row r="15155" s="69" customFormat="1" x14ac:dyDescent="0.15"/>
    <row r="15156" s="69" customFormat="1" x14ac:dyDescent="0.15"/>
    <row r="15157" s="69" customFormat="1" x14ac:dyDescent="0.15"/>
    <row r="15158" s="69" customFormat="1" x14ac:dyDescent="0.15"/>
    <row r="15159" s="69" customFormat="1" x14ac:dyDescent="0.15"/>
    <row r="15160" s="69" customFormat="1" x14ac:dyDescent="0.15"/>
    <row r="15161" s="69" customFormat="1" x14ac:dyDescent="0.15"/>
    <row r="15162" s="69" customFormat="1" x14ac:dyDescent="0.15"/>
    <row r="15163" s="69" customFormat="1" x14ac:dyDescent="0.15"/>
    <row r="15164" s="69" customFormat="1" x14ac:dyDescent="0.15"/>
    <row r="15165" s="69" customFormat="1" x14ac:dyDescent="0.15"/>
    <row r="15166" s="69" customFormat="1" x14ac:dyDescent="0.15"/>
    <row r="15167" s="69" customFormat="1" x14ac:dyDescent="0.15"/>
    <row r="15168" s="69" customFormat="1" x14ac:dyDescent="0.15"/>
    <row r="15169" s="69" customFormat="1" x14ac:dyDescent="0.15"/>
    <row r="15170" s="69" customFormat="1" x14ac:dyDescent="0.15"/>
    <row r="15171" s="69" customFormat="1" x14ac:dyDescent="0.15"/>
    <row r="15172" s="69" customFormat="1" x14ac:dyDescent="0.15"/>
    <row r="15173" s="69" customFormat="1" x14ac:dyDescent="0.15"/>
    <row r="15174" s="69" customFormat="1" x14ac:dyDescent="0.15"/>
    <row r="15175" s="69" customFormat="1" x14ac:dyDescent="0.15"/>
    <row r="15176" s="69" customFormat="1" x14ac:dyDescent="0.15"/>
    <row r="15177" s="69" customFormat="1" x14ac:dyDescent="0.15"/>
    <row r="15178" s="69" customFormat="1" x14ac:dyDescent="0.15"/>
    <row r="15179" s="69" customFormat="1" x14ac:dyDescent="0.15"/>
    <row r="15180" s="69" customFormat="1" x14ac:dyDescent="0.15"/>
    <row r="15181" s="69" customFormat="1" x14ac:dyDescent="0.15"/>
    <row r="15182" s="69" customFormat="1" x14ac:dyDescent="0.15"/>
    <row r="15183" s="69" customFormat="1" x14ac:dyDescent="0.15"/>
    <row r="15184" s="69" customFormat="1" x14ac:dyDescent="0.15"/>
    <row r="15185" s="69" customFormat="1" x14ac:dyDescent="0.15"/>
    <row r="15186" s="69" customFormat="1" x14ac:dyDescent="0.15"/>
    <row r="15187" s="69" customFormat="1" x14ac:dyDescent="0.15"/>
    <row r="15188" s="69" customFormat="1" x14ac:dyDescent="0.15"/>
    <row r="15189" s="69" customFormat="1" x14ac:dyDescent="0.15"/>
    <row r="15190" s="69" customFormat="1" x14ac:dyDescent="0.15"/>
    <row r="15191" s="69" customFormat="1" x14ac:dyDescent="0.15"/>
    <row r="15192" s="69" customFormat="1" x14ac:dyDescent="0.15"/>
    <row r="15193" s="69" customFormat="1" x14ac:dyDescent="0.15"/>
    <row r="15194" s="69" customFormat="1" x14ac:dyDescent="0.15"/>
    <row r="15195" s="69" customFormat="1" x14ac:dyDescent="0.15"/>
    <row r="15196" s="69" customFormat="1" x14ac:dyDescent="0.15"/>
    <row r="15197" s="69" customFormat="1" x14ac:dyDescent="0.15"/>
    <row r="15198" s="69" customFormat="1" x14ac:dyDescent="0.15"/>
    <row r="15199" s="69" customFormat="1" x14ac:dyDescent="0.15"/>
    <row r="15200" s="69" customFormat="1" x14ac:dyDescent="0.15"/>
    <row r="15201" s="69" customFormat="1" x14ac:dyDescent="0.15"/>
    <row r="15202" s="69" customFormat="1" x14ac:dyDescent="0.15"/>
    <row r="15203" s="69" customFormat="1" x14ac:dyDescent="0.15"/>
    <row r="15204" s="69" customFormat="1" x14ac:dyDescent="0.15"/>
    <row r="15205" s="69" customFormat="1" x14ac:dyDescent="0.15"/>
    <row r="15206" s="69" customFormat="1" x14ac:dyDescent="0.15"/>
    <row r="15207" s="69" customFormat="1" x14ac:dyDescent="0.15"/>
    <row r="15208" s="69" customFormat="1" x14ac:dyDescent="0.15"/>
    <row r="15209" s="69" customFormat="1" x14ac:dyDescent="0.15"/>
    <row r="15210" s="69" customFormat="1" x14ac:dyDescent="0.15"/>
    <row r="15211" s="69" customFormat="1" x14ac:dyDescent="0.15"/>
    <row r="15212" s="69" customFormat="1" x14ac:dyDescent="0.15"/>
    <row r="15213" s="69" customFormat="1" x14ac:dyDescent="0.15"/>
    <row r="15214" s="69" customFormat="1" x14ac:dyDescent="0.15"/>
    <row r="15215" s="69" customFormat="1" x14ac:dyDescent="0.15"/>
    <row r="15216" s="69" customFormat="1" x14ac:dyDescent="0.15"/>
    <row r="15217" s="69" customFormat="1" x14ac:dyDescent="0.15"/>
    <row r="15218" s="69" customFormat="1" x14ac:dyDescent="0.15"/>
    <row r="15219" s="69" customFormat="1" x14ac:dyDescent="0.15"/>
    <row r="15220" s="69" customFormat="1" x14ac:dyDescent="0.15"/>
    <row r="15221" s="69" customFormat="1" x14ac:dyDescent="0.15"/>
    <row r="15222" s="69" customFormat="1" x14ac:dyDescent="0.15"/>
    <row r="15223" s="69" customFormat="1" x14ac:dyDescent="0.15"/>
    <row r="15224" s="69" customFormat="1" x14ac:dyDescent="0.15"/>
    <row r="15225" s="69" customFormat="1" x14ac:dyDescent="0.15"/>
    <row r="15226" s="69" customFormat="1" x14ac:dyDescent="0.15"/>
    <row r="15227" s="69" customFormat="1" x14ac:dyDescent="0.15"/>
    <row r="15228" s="69" customFormat="1" x14ac:dyDescent="0.15"/>
    <row r="15229" s="69" customFormat="1" x14ac:dyDescent="0.15"/>
    <row r="15230" s="69" customFormat="1" x14ac:dyDescent="0.15"/>
    <row r="15231" s="69" customFormat="1" x14ac:dyDescent="0.15"/>
    <row r="15232" s="69" customFormat="1" x14ac:dyDescent="0.15"/>
    <row r="15233" s="69" customFormat="1" x14ac:dyDescent="0.15"/>
    <row r="15234" s="69" customFormat="1" x14ac:dyDescent="0.15"/>
    <row r="15235" s="69" customFormat="1" x14ac:dyDescent="0.15"/>
    <row r="15236" s="69" customFormat="1" x14ac:dyDescent="0.15"/>
    <row r="15237" s="69" customFormat="1" x14ac:dyDescent="0.15"/>
    <row r="15238" s="69" customFormat="1" x14ac:dyDescent="0.15"/>
    <row r="15239" s="69" customFormat="1" x14ac:dyDescent="0.15"/>
    <row r="15240" s="69" customFormat="1" x14ac:dyDescent="0.15"/>
    <row r="15241" s="69" customFormat="1" x14ac:dyDescent="0.15"/>
    <row r="15242" s="69" customFormat="1" x14ac:dyDescent="0.15"/>
    <row r="15243" s="69" customFormat="1" x14ac:dyDescent="0.15"/>
    <row r="15244" s="69" customFormat="1" x14ac:dyDescent="0.15"/>
    <row r="15245" s="69" customFormat="1" x14ac:dyDescent="0.15"/>
    <row r="15246" s="69" customFormat="1" x14ac:dyDescent="0.15"/>
    <row r="15247" s="69" customFormat="1" x14ac:dyDescent="0.15"/>
    <row r="15248" s="69" customFormat="1" x14ac:dyDescent="0.15"/>
    <row r="15249" s="69" customFormat="1" x14ac:dyDescent="0.15"/>
    <row r="15250" s="69" customFormat="1" x14ac:dyDescent="0.15"/>
    <row r="15251" s="69" customFormat="1" x14ac:dyDescent="0.15"/>
    <row r="15252" s="69" customFormat="1" x14ac:dyDescent="0.15"/>
    <row r="15253" s="69" customFormat="1" x14ac:dyDescent="0.15"/>
    <row r="15254" s="69" customFormat="1" x14ac:dyDescent="0.15"/>
    <row r="15255" s="69" customFormat="1" x14ac:dyDescent="0.15"/>
    <row r="15256" s="69" customFormat="1" x14ac:dyDescent="0.15"/>
    <row r="15257" s="69" customFormat="1" x14ac:dyDescent="0.15"/>
    <row r="15258" s="69" customFormat="1" x14ac:dyDescent="0.15"/>
    <row r="15259" s="69" customFormat="1" x14ac:dyDescent="0.15"/>
    <row r="15260" s="69" customFormat="1" x14ac:dyDescent="0.15"/>
    <row r="15261" s="69" customFormat="1" x14ac:dyDescent="0.15"/>
    <row r="15262" s="69" customFormat="1" x14ac:dyDescent="0.15"/>
    <row r="15263" s="69" customFormat="1" x14ac:dyDescent="0.15"/>
    <row r="15264" s="69" customFormat="1" x14ac:dyDescent="0.15"/>
    <row r="15265" s="69" customFormat="1" x14ac:dyDescent="0.15"/>
    <row r="15266" s="69" customFormat="1" x14ac:dyDescent="0.15"/>
    <row r="15267" s="69" customFormat="1" x14ac:dyDescent="0.15"/>
    <row r="15268" s="69" customFormat="1" x14ac:dyDescent="0.15"/>
    <row r="15269" s="69" customFormat="1" x14ac:dyDescent="0.15"/>
    <row r="15270" s="69" customFormat="1" x14ac:dyDescent="0.15"/>
    <row r="15271" s="69" customFormat="1" x14ac:dyDescent="0.15"/>
    <row r="15272" s="69" customFormat="1" x14ac:dyDescent="0.15"/>
    <row r="15273" s="69" customFormat="1" x14ac:dyDescent="0.15"/>
    <row r="15274" s="69" customFormat="1" x14ac:dyDescent="0.15"/>
    <row r="15275" s="69" customFormat="1" x14ac:dyDescent="0.15"/>
    <row r="15276" s="69" customFormat="1" x14ac:dyDescent="0.15"/>
    <row r="15277" s="69" customFormat="1" x14ac:dyDescent="0.15"/>
    <row r="15278" s="69" customFormat="1" x14ac:dyDescent="0.15"/>
    <row r="15279" s="69" customFormat="1" x14ac:dyDescent="0.15"/>
    <row r="15280" s="69" customFormat="1" x14ac:dyDescent="0.15"/>
    <row r="15281" s="69" customFormat="1" x14ac:dyDescent="0.15"/>
    <row r="15282" s="69" customFormat="1" x14ac:dyDescent="0.15"/>
    <row r="15283" s="69" customFormat="1" x14ac:dyDescent="0.15"/>
    <row r="15284" s="69" customFormat="1" x14ac:dyDescent="0.15"/>
    <row r="15285" s="69" customFormat="1" x14ac:dyDescent="0.15"/>
    <row r="15286" s="69" customFormat="1" x14ac:dyDescent="0.15"/>
    <row r="15287" s="69" customFormat="1" x14ac:dyDescent="0.15"/>
    <row r="15288" s="69" customFormat="1" x14ac:dyDescent="0.15"/>
    <row r="15289" s="69" customFormat="1" x14ac:dyDescent="0.15"/>
    <row r="15290" s="69" customFormat="1" x14ac:dyDescent="0.15"/>
    <row r="15291" s="69" customFormat="1" x14ac:dyDescent="0.15"/>
    <row r="15292" s="69" customFormat="1" x14ac:dyDescent="0.15"/>
    <row r="15293" s="69" customFormat="1" x14ac:dyDescent="0.15"/>
    <row r="15294" s="69" customFormat="1" x14ac:dyDescent="0.15"/>
    <row r="15295" s="69" customFormat="1" x14ac:dyDescent="0.15"/>
    <row r="15296" s="69" customFormat="1" x14ac:dyDescent="0.15"/>
    <row r="15297" s="69" customFormat="1" x14ac:dyDescent="0.15"/>
    <row r="15298" s="69" customFormat="1" x14ac:dyDescent="0.15"/>
    <row r="15299" s="69" customFormat="1" x14ac:dyDescent="0.15"/>
    <row r="15300" s="69" customFormat="1" x14ac:dyDescent="0.15"/>
    <row r="15301" s="69" customFormat="1" x14ac:dyDescent="0.15"/>
    <row r="15302" s="69" customFormat="1" x14ac:dyDescent="0.15"/>
    <row r="15303" s="69" customFormat="1" x14ac:dyDescent="0.15"/>
    <row r="15304" s="69" customFormat="1" x14ac:dyDescent="0.15"/>
    <row r="15305" s="69" customFormat="1" x14ac:dyDescent="0.15"/>
    <row r="15306" s="69" customFormat="1" x14ac:dyDescent="0.15"/>
    <row r="15307" s="69" customFormat="1" x14ac:dyDescent="0.15"/>
    <row r="15308" s="69" customFormat="1" x14ac:dyDescent="0.15"/>
    <row r="15309" s="69" customFormat="1" x14ac:dyDescent="0.15"/>
    <row r="15310" s="69" customFormat="1" x14ac:dyDescent="0.15"/>
    <row r="15311" s="69" customFormat="1" x14ac:dyDescent="0.15"/>
    <row r="15312" s="69" customFormat="1" x14ac:dyDescent="0.15"/>
    <row r="15313" s="69" customFormat="1" x14ac:dyDescent="0.15"/>
    <row r="15314" s="69" customFormat="1" x14ac:dyDescent="0.15"/>
    <row r="15315" s="69" customFormat="1" x14ac:dyDescent="0.15"/>
    <row r="15316" s="69" customFormat="1" x14ac:dyDescent="0.15"/>
    <row r="15317" s="69" customFormat="1" x14ac:dyDescent="0.15"/>
    <row r="15318" s="69" customFormat="1" x14ac:dyDescent="0.15"/>
    <row r="15319" s="69" customFormat="1" x14ac:dyDescent="0.15"/>
    <row r="15320" s="69" customFormat="1" x14ac:dyDescent="0.15"/>
    <row r="15321" s="69" customFormat="1" x14ac:dyDescent="0.15"/>
    <row r="15322" s="69" customFormat="1" x14ac:dyDescent="0.15"/>
    <row r="15323" s="69" customFormat="1" x14ac:dyDescent="0.15"/>
    <row r="15324" s="69" customFormat="1" x14ac:dyDescent="0.15"/>
    <row r="15325" s="69" customFormat="1" x14ac:dyDescent="0.15"/>
    <row r="15326" s="69" customFormat="1" x14ac:dyDescent="0.15"/>
    <row r="15327" s="69" customFormat="1" x14ac:dyDescent="0.15"/>
    <row r="15328" s="69" customFormat="1" x14ac:dyDescent="0.15"/>
    <row r="15329" s="69" customFormat="1" x14ac:dyDescent="0.15"/>
    <row r="15330" s="69" customFormat="1" x14ac:dyDescent="0.15"/>
    <row r="15331" s="69" customFormat="1" x14ac:dyDescent="0.15"/>
    <row r="15332" s="69" customFormat="1" x14ac:dyDescent="0.15"/>
    <row r="15333" s="69" customFormat="1" x14ac:dyDescent="0.15"/>
    <row r="15334" s="69" customFormat="1" x14ac:dyDescent="0.15"/>
    <row r="15335" s="69" customFormat="1" x14ac:dyDescent="0.15"/>
    <row r="15336" s="69" customFormat="1" x14ac:dyDescent="0.15"/>
    <row r="15337" s="69" customFormat="1" x14ac:dyDescent="0.15"/>
    <row r="15338" s="69" customFormat="1" x14ac:dyDescent="0.15"/>
    <row r="15339" s="69" customFormat="1" x14ac:dyDescent="0.15"/>
    <row r="15340" s="69" customFormat="1" x14ac:dyDescent="0.15"/>
    <row r="15341" s="69" customFormat="1" x14ac:dyDescent="0.15"/>
    <row r="15342" s="69" customFormat="1" x14ac:dyDescent="0.15"/>
    <row r="15343" s="69" customFormat="1" x14ac:dyDescent="0.15"/>
    <row r="15344" s="69" customFormat="1" x14ac:dyDescent="0.15"/>
    <row r="15345" s="69" customFormat="1" x14ac:dyDescent="0.15"/>
    <row r="15346" s="69" customFormat="1" x14ac:dyDescent="0.15"/>
    <row r="15347" s="69" customFormat="1" x14ac:dyDescent="0.15"/>
    <row r="15348" s="69" customFormat="1" x14ac:dyDescent="0.15"/>
    <row r="15349" s="69" customFormat="1" x14ac:dyDescent="0.15"/>
    <row r="15350" s="69" customFormat="1" x14ac:dyDescent="0.15"/>
    <row r="15351" s="69" customFormat="1" x14ac:dyDescent="0.15"/>
    <row r="15352" s="69" customFormat="1" x14ac:dyDescent="0.15"/>
    <row r="15353" s="69" customFormat="1" x14ac:dyDescent="0.15"/>
    <row r="15354" s="69" customFormat="1" x14ac:dyDescent="0.15"/>
    <row r="15355" s="69" customFormat="1" x14ac:dyDescent="0.15"/>
    <row r="15356" s="69" customFormat="1" x14ac:dyDescent="0.15"/>
    <row r="15357" s="69" customFormat="1" x14ac:dyDescent="0.15"/>
    <row r="15358" s="69" customFormat="1" x14ac:dyDescent="0.15"/>
    <row r="15359" s="69" customFormat="1" x14ac:dyDescent="0.15"/>
    <row r="15360" s="69" customFormat="1" x14ac:dyDescent="0.15"/>
    <row r="15361" s="69" customFormat="1" x14ac:dyDescent="0.15"/>
    <row r="15362" s="69" customFormat="1" x14ac:dyDescent="0.15"/>
    <row r="15363" s="69" customFormat="1" x14ac:dyDescent="0.15"/>
    <row r="15364" s="69" customFormat="1" x14ac:dyDescent="0.15"/>
    <row r="15365" s="69" customFormat="1" x14ac:dyDescent="0.15"/>
    <row r="15366" s="69" customFormat="1" x14ac:dyDescent="0.15"/>
    <row r="15367" s="69" customFormat="1" x14ac:dyDescent="0.15"/>
    <row r="15368" s="69" customFormat="1" x14ac:dyDescent="0.15"/>
    <row r="15369" s="69" customFormat="1" x14ac:dyDescent="0.15"/>
    <row r="15370" s="69" customFormat="1" x14ac:dyDescent="0.15"/>
    <row r="15371" s="69" customFormat="1" x14ac:dyDescent="0.15"/>
    <row r="15372" s="69" customFormat="1" x14ac:dyDescent="0.15"/>
    <row r="15373" s="69" customFormat="1" x14ac:dyDescent="0.15"/>
    <row r="15374" s="69" customFormat="1" x14ac:dyDescent="0.15"/>
    <row r="15375" s="69" customFormat="1" x14ac:dyDescent="0.15"/>
    <row r="15376" s="69" customFormat="1" x14ac:dyDescent="0.15"/>
    <row r="15377" s="69" customFormat="1" x14ac:dyDescent="0.15"/>
    <row r="15378" s="69" customFormat="1" x14ac:dyDescent="0.15"/>
    <row r="15379" s="69" customFormat="1" x14ac:dyDescent="0.15"/>
    <row r="15380" s="69" customFormat="1" x14ac:dyDescent="0.15"/>
    <row r="15381" s="69" customFormat="1" x14ac:dyDescent="0.15"/>
    <row r="15382" s="69" customFormat="1" x14ac:dyDescent="0.15"/>
    <row r="15383" s="69" customFormat="1" x14ac:dyDescent="0.15"/>
    <row r="15384" s="69" customFormat="1" x14ac:dyDescent="0.15"/>
    <row r="15385" s="69" customFormat="1" x14ac:dyDescent="0.15"/>
    <row r="15386" s="69" customFormat="1" x14ac:dyDescent="0.15"/>
    <row r="15387" s="69" customFormat="1" x14ac:dyDescent="0.15"/>
    <row r="15388" s="69" customFormat="1" x14ac:dyDescent="0.15"/>
    <row r="15389" s="69" customFormat="1" x14ac:dyDescent="0.15"/>
    <row r="15390" s="69" customFormat="1" x14ac:dyDescent="0.15"/>
    <row r="15391" s="69" customFormat="1" x14ac:dyDescent="0.15"/>
    <row r="15392" s="69" customFormat="1" x14ac:dyDescent="0.15"/>
    <row r="15393" s="69" customFormat="1" x14ac:dyDescent="0.15"/>
    <row r="15394" s="69" customFormat="1" x14ac:dyDescent="0.15"/>
    <row r="15395" s="69" customFormat="1" x14ac:dyDescent="0.15"/>
    <row r="15396" s="69" customFormat="1" x14ac:dyDescent="0.15"/>
    <row r="15397" s="69" customFormat="1" x14ac:dyDescent="0.15"/>
    <row r="15398" s="69" customFormat="1" x14ac:dyDescent="0.15"/>
    <row r="15399" s="69" customFormat="1" x14ac:dyDescent="0.15"/>
    <row r="15400" s="69" customFormat="1" x14ac:dyDescent="0.15"/>
    <row r="15401" s="69" customFormat="1" x14ac:dyDescent="0.15"/>
    <row r="15402" s="69" customFormat="1" x14ac:dyDescent="0.15"/>
    <row r="15403" s="69" customFormat="1" x14ac:dyDescent="0.15"/>
    <row r="15404" s="69" customFormat="1" x14ac:dyDescent="0.15"/>
    <row r="15405" s="69" customFormat="1" x14ac:dyDescent="0.15"/>
    <row r="15406" s="69" customFormat="1" x14ac:dyDescent="0.15"/>
    <row r="15407" s="69" customFormat="1" x14ac:dyDescent="0.15"/>
    <row r="15408" s="69" customFormat="1" x14ac:dyDescent="0.15"/>
    <row r="15409" s="69" customFormat="1" x14ac:dyDescent="0.15"/>
    <row r="15410" s="69" customFormat="1" x14ac:dyDescent="0.15"/>
    <row r="15411" s="69" customFormat="1" x14ac:dyDescent="0.15"/>
    <row r="15412" s="69" customFormat="1" x14ac:dyDescent="0.15"/>
    <row r="15413" s="69" customFormat="1" x14ac:dyDescent="0.15"/>
    <row r="15414" s="69" customFormat="1" x14ac:dyDescent="0.15"/>
    <row r="15415" s="69" customFormat="1" x14ac:dyDescent="0.15"/>
    <row r="15416" s="69" customFormat="1" x14ac:dyDescent="0.15"/>
    <row r="15417" s="69" customFormat="1" x14ac:dyDescent="0.15"/>
    <row r="15418" s="69" customFormat="1" x14ac:dyDescent="0.15"/>
    <row r="15419" s="69" customFormat="1" x14ac:dyDescent="0.15"/>
    <row r="15420" s="69" customFormat="1" x14ac:dyDescent="0.15"/>
    <row r="15421" s="69" customFormat="1" x14ac:dyDescent="0.15"/>
    <row r="15422" s="69" customFormat="1" x14ac:dyDescent="0.15"/>
    <row r="15423" s="69" customFormat="1" x14ac:dyDescent="0.15"/>
    <row r="15424" s="69" customFormat="1" x14ac:dyDescent="0.15"/>
    <row r="15425" s="69" customFormat="1" x14ac:dyDescent="0.15"/>
    <row r="15426" s="69" customFormat="1" x14ac:dyDescent="0.15"/>
    <row r="15427" s="69" customFormat="1" x14ac:dyDescent="0.15"/>
    <row r="15428" s="69" customFormat="1" x14ac:dyDescent="0.15"/>
    <row r="15429" s="69" customFormat="1" x14ac:dyDescent="0.15"/>
    <row r="15430" s="69" customFormat="1" x14ac:dyDescent="0.15"/>
    <row r="15431" s="69" customFormat="1" x14ac:dyDescent="0.15"/>
    <row r="15432" s="69" customFormat="1" x14ac:dyDescent="0.15"/>
    <row r="15433" s="69" customFormat="1" x14ac:dyDescent="0.15"/>
    <row r="15434" s="69" customFormat="1" x14ac:dyDescent="0.15"/>
    <row r="15435" s="69" customFormat="1" x14ac:dyDescent="0.15"/>
    <row r="15436" s="69" customFormat="1" x14ac:dyDescent="0.15"/>
    <row r="15437" s="69" customFormat="1" x14ac:dyDescent="0.15"/>
    <row r="15438" s="69" customFormat="1" x14ac:dyDescent="0.15"/>
    <row r="15439" s="69" customFormat="1" x14ac:dyDescent="0.15"/>
    <row r="15440" s="69" customFormat="1" x14ac:dyDescent="0.15"/>
    <row r="15441" s="69" customFormat="1" x14ac:dyDescent="0.15"/>
    <row r="15442" s="69" customFormat="1" x14ac:dyDescent="0.15"/>
    <row r="15443" s="69" customFormat="1" x14ac:dyDescent="0.15"/>
    <row r="15444" s="69" customFormat="1" x14ac:dyDescent="0.15"/>
    <row r="15445" s="69" customFormat="1" x14ac:dyDescent="0.15"/>
    <row r="15446" s="69" customFormat="1" x14ac:dyDescent="0.15"/>
    <row r="15447" s="69" customFormat="1" x14ac:dyDescent="0.15"/>
    <row r="15448" s="69" customFormat="1" x14ac:dyDescent="0.15"/>
    <row r="15449" s="69" customFormat="1" x14ac:dyDescent="0.15"/>
    <row r="15450" s="69" customFormat="1" x14ac:dyDescent="0.15"/>
    <row r="15451" s="69" customFormat="1" x14ac:dyDescent="0.15"/>
    <row r="15452" s="69" customFormat="1" x14ac:dyDescent="0.15"/>
    <row r="15453" s="69" customFormat="1" x14ac:dyDescent="0.15"/>
    <row r="15454" s="69" customFormat="1" x14ac:dyDescent="0.15"/>
    <row r="15455" s="69" customFormat="1" x14ac:dyDescent="0.15"/>
    <row r="15456" s="69" customFormat="1" x14ac:dyDescent="0.15"/>
    <row r="15457" s="69" customFormat="1" x14ac:dyDescent="0.15"/>
    <row r="15458" s="69" customFormat="1" x14ac:dyDescent="0.15"/>
    <row r="15459" s="69" customFormat="1" x14ac:dyDescent="0.15"/>
    <row r="15460" s="69" customFormat="1" x14ac:dyDescent="0.15"/>
    <row r="15461" s="69" customFormat="1" x14ac:dyDescent="0.15"/>
    <row r="15462" s="69" customFormat="1" x14ac:dyDescent="0.15"/>
    <row r="15463" s="69" customFormat="1" x14ac:dyDescent="0.15"/>
    <row r="15464" s="69" customFormat="1" x14ac:dyDescent="0.15"/>
    <row r="15465" s="69" customFormat="1" x14ac:dyDescent="0.15"/>
    <row r="15466" s="69" customFormat="1" x14ac:dyDescent="0.15"/>
    <row r="15467" s="69" customFormat="1" x14ac:dyDescent="0.15"/>
    <row r="15468" s="69" customFormat="1" x14ac:dyDescent="0.15"/>
    <row r="15469" s="69" customFormat="1" x14ac:dyDescent="0.15"/>
    <row r="15470" s="69" customFormat="1" x14ac:dyDescent="0.15"/>
    <row r="15471" s="69" customFormat="1" x14ac:dyDescent="0.15"/>
    <row r="15472" s="69" customFormat="1" x14ac:dyDescent="0.15"/>
    <row r="15473" s="69" customFormat="1" x14ac:dyDescent="0.15"/>
    <row r="15474" s="69" customFormat="1" x14ac:dyDescent="0.15"/>
    <row r="15475" s="69" customFormat="1" x14ac:dyDescent="0.15"/>
    <row r="15476" s="69" customFormat="1" x14ac:dyDescent="0.15"/>
    <row r="15477" s="69" customFormat="1" x14ac:dyDescent="0.15"/>
    <row r="15478" s="69" customFormat="1" x14ac:dyDescent="0.15"/>
    <row r="15479" s="69" customFormat="1" x14ac:dyDescent="0.15"/>
    <row r="15480" s="69" customFormat="1" x14ac:dyDescent="0.15"/>
    <row r="15481" s="69" customFormat="1" x14ac:dyDescent="0.15"/>
    <row r="15482" s="69" customFormat="1" x14ac:dyDescent="0.15"/>
    <row r="15483" s="69" customFormat="1" x14ac:dyDescent="0.15"/>
    <row r="15484" s="69" customFormat="1" x14ac:dyDescent="0.15"/>
    <row r="15485" s="69" customFormat="1" x14ac:dyDescent="0.15"/>
    <row r="15486" s="69" customFormat="1" x14ac:dyDescent="0.15"/>
    <row r="15487" s="69" customFormat="1" x14ac:dyDescent="0.15"/>
    <row r="15488" s="69" customFormat="1" x14ac:dyDescent="0.15"/>
    <row r="15489" s="69" customFormat="1" x14ac:dyDescent="0.15"/>
    <row r="15490" s="69" customFormat="1" x14ac:dyDescent="0.15"/>
    <row r="15491" s="69" customFormat="1" x14ac:dyDescent="0.15"/>
    <row r="15492" s="69" customFormat="1" x14ac:dyDescent="0.15"/>
    <row r="15493" s="69" customFormat="1" x14ac:dyDescent="0.15"/>
    <row r="15494" s="69" customFormat="1" x14ac:dyDescent="0.15"/>
    <row r="15495" s="69" customFormat="1" x14ac:dyDescent="0.15"/>
    <row r="15496" s="69" customFormat="1" x14ac:dyDescent="0.15"/>
    <row r="15497" s="69" customFormat="1" x14ac:dyDescent="0.15"/>
    <row r="15498" s="69" customFormat="1" x14ac:dyDescent="0.15"/>
    <row r="15499" s="69" customFormat="1" x14ac:dyDescent="0.15"/>
    <row r="15500" s="69" customFormat="1" x14ac:dyDescent="0.15"/>
    <row r="15501" s="69" customFormat="1" x14ac:dyDescent="0.15"/>
    <row r="15502" s="69" customFormat="1" x14ac:dyDescent="0.15"/>
    <row r="15503" s="69" customFormat="1" x14ac:dyDescent="0.15"/>
    <row r="15504" s="69" customFormat="1" x14ac:dyDescent="0.15"/>
    <row r="15505" s="69" customFormat="1" x14ac:dyDescent="0.15"/>
    <row r="15506" s="69" customFormat="1" x14ac:dyDescent="0.15"/>
    <row r="15507" s="69" customFormat="1" x14ac:dyDescent="0.15"/>
    <row r="15508" s="69" customFormat="1" x14ac:dyDescent="0.15"/>
    <row r="15509" s="69" customFormat="1" x14ac:dyDescent="0.15"/>
    <row r="15510" s="69" customFormat="1" x14ac:dyDescent="0.15"/>
    <row r="15511" s="69" customFormat="1" x14ac:dyDescent="0.15"/>
    <row r="15512" s="69" customFormat="1" x14ac:dyDescent="0.15"/>
    <row r="15513" s="69" customFormat="1" x14ac:dyDescent="0.15"/>
    <row r="15514" s="69" customFormat="1" x14ac:dyDescent="0.15"/>
    <row r="15515" s="69" customFormat="1" x14ac:dyDescent="0.15"/>
    <row r="15516" s="69" customFormat="1" x14ac:dyDescent="0.15"/>
    <row r="15517" s="69" customFormat="1" x14ac:dyDescent="0.15"/>
    <row r="15518" s="69" customFormat="1" x14ac:dyDescent="0.15"/>
    <row r="15519" s="69" customFormat="1" x14ac:dyDescent="0.15"/>
    <row r="15520" s="69" customFormat="1" x14ac:dyDescent="0.15"/>
    <row r="15521" s="69" customFormat="1" x14ac:dyDescent="0.15"/>
    <row r="15522" s="69" customFormat="1" x14ac:dyDescent="0.15"/>
    <row r="15523" s="69" customFormat="1" x14ac:dyDescent="0.15"/>
    <row r="15524" s="69" customFormat="1" x14ac:dyDescent="0.15"/>
    <row r="15525" s="69" customFormat="1" x14ac:dyDescent="0.15"/>
    <row r="15526" s="69" customFormat="1" x14ac:dyDescent="0.15"/>
    <row r="15527" s="69" customFormat="1" x14ac:dyDescent="0.15"/>
    <row r="15528" s="69" customFormat="1" x14ac:dyDescent="0.15"/>
    <row r="15529" s="69" customFormat="1" x14ac:dyDescent="0.15"/>
    <row r="15530" s="69" customFormat="1" x14ac:dyDescent="0.15"/>
    <row r="15531" s="69" customFormat="1" x14ac:dyDescent="0.15"/>
    <row r="15532" s="69" customFormat="1" x14ac:dyDescent="0.15"/>
    <row r="15533" s="69" customFormat="1" x14ac:dyDescent="0.15"/>
    <row r="15534" s="69" customFormat="1" x14ac:dyDescent="0.15"/>
    <row r="15535" s="69" customFormat="1" x14ac:dyDescent="0.15"/>
    <row r="15536" s="69" customFormat="1" x14ac:dyDescent="0.15"/>
    <row r="15537" s="69" customFormat="1" x14ac:dyDescent="0.15"/>
    <row r="15538" s="69" customFormat="1" x14ac:dyDescent="0.15"/>
    <row r="15539" s="69" customFormat="1" x14ac:dyDescent="0.15"/>
    <row r="15540" s="69" customFormat="1" x14ac:dyDescent="0.15"/>
    <row r="15541" s="69" customFormat="1" x14ac:dyDescent="0.15"/>
    <row r="15542" s="69" customFormat="1" x14ac:dyDescent="0.15"/>
    <row r="15543" s="69" customFormat="1" x14ac:dyDescent="0.15"/>
    <row r="15544" s="69" customFormat="1" x14ac:dyDescent="0.15"/>
    <row r="15545" s="69" customFormat="1" x14ac:dyDescent="0.15"/>
    <row r="15546" s="69" customFormat="1" x14ac:dyDescent="0.15"/>
    <row r="15547" s="69" customFormat="1" x14ac:dyDescent="0.15"/>
    <row r="15548" s="69" customFormat="1" x14ac:dyDescent="0.15"/>
    <row r="15549" s="69" customFormat="1" x14ac:dyDescent="0.15"/>
    <row r="15550" s="69" customFormat="1" x14ac:dyDescent="0.15"/>
    <row r="15551" s="69" customFormat="1" x14ac:dyDescent="0.15"/>
    <row r="15552" s="69" customFormat="1" x14ac:dyDescent="0.15"/>
    <row r="15553" s="69" customFormat="1" x14ac:dyDescent="0.15"/>
    <row r="15554" s="69" customFormat="1" x14ac:dyDescent="0.15"/>
    <row r="15555" s="69" customFormat="1" x14ac:dyDescent="0.15"/>
    <row r="15556" s="69" customFormat="1" x14ac:dyDescent="0.15"/>
    <row r="15557" s="69" customFormat="1" x14ac:dyDescent="0.15"/>
    <row r="15558" s="69" customFormat="1" x14ac:dyDescent="0.15"/>
    <row r="15559" s="69" customFormat="1" x14ac:dyDescent="0.15"/>
    <row r="15560" s="69" customFormat="1" x14ac:dyDescent="0.15"/>
    <row r="15561" s="69" customFormat="1" x14ac:dyDescent="0.15"/>
    <row r="15562" s="69" customFormat="1" x14ac:dyDescent="0.15"/>
    <row r="15563" s="69" customFormat="1" x14ac:dyDescent="0.15"/>
    <row r="15564" s="69" customFormat="1" x14ac:dyDescent="0.15"/>
    <row r="15565" s="69" customFormat="1" x14ac:dyDescent="0.15"/>
    <row r="15566" s="69" customFormat="1" x14ac:dyDescent="0.15"/>
    <row r="15567" s="69" customFormat="1" x14ac:dyDescent="0.15"/>
    <row r="15568" s="69" customFormat="1" x14ac:dyDescent="0.15"/>
    <row r="15569" s="69" customFormat="1" x14ac:dyDescent="0.15"/>
    <row r="15570" s="69" customFormat="1" x14ac:dyDescent="0.15"/>
    <row r="15571" s="69" customFormat="1" x14ac:dyDescent="0.15"/>
    <row r="15572" s="69" customFormat="1" x14ac:dyDescent="0.15"/>
    <row r="15573" s="69" customFormat="1" x14ac:dyDescent="0.15"/>
    <row r="15574" s="69" customFormat="1" x14ac:dyDescent="0.15"/>
    <row r="15575" s="69" customFormat="1" x14ac:dyDescent="0.15"/>
    <row r="15576" s="69" customFormat="1" x14ac:dyDescent="0.15"/>
    <row r="15577" s="69" customFormat="1" x14ac:dyDescent="0.15"/>
    <row r="15578" s="69" customFormat="1" x14ac:dyDescent="0.15"/>
    <row r="15579" s="69" customFormat="1" x14ac:dyDescent="0.15"/>
    <row r="15580" s="69" customFormat="1" x14ac:dyDescent="0.15"/>
    <row r="15581" s="69" customFormat="1" x14ac:dyDescent="0.15"/>
    <row r="15582" s="69" customFormat="1" x14ac:dyDescent="0.15"/>
    <row r="15583" s="69" customFormat="1" x14ac:dyDescent="0.15"/>
    <row r="15584" s="69" customFormat="1" x14ac:dyDescent="0.15"/>
    <row r="15585" s="69" customFormat="1" x14ac:dyDescent="0.15"/>
    <row r="15586" s="69" customFormat="1" x14ac:dyDescent="0.15"/>
    <row r="15587" s="69" customFormat="1" x14ac:dyDescent="0.15"/>
    <row r="15588" s="69" customFormat="1" x14ac:dyDescent="0.15"/>
    <row r="15589" s="69" customFormat="1" x14ac:dyDescent="0.15"/>
    <row r="15590" s="69" customFormat="1" x14ac:dyDescent="0.15"/>
    <row r="15591" s="69" customFormat="1" x14ac:dyDescent="0.15"/>
    <row r="15592" s="69" customFormat="1" x14ac:dyDescent="0.15"/>
    <row r="15593" s="69" customFormat="1" x14ac:dyDescent="0.15"/>
    <row r="15594" s="69" customFormat="1" x14ac:dyDescent="0.15"/>
    <row r="15595" s="69" customFormat="1" x14ac:dyDescent="0.15"/>
    <row r="15596" s="69" customFormat="1" x14ac:dyDescent="0.15"/>
    <row r="15597" s="69" customFormat="1" x14ac:dyDescent="0.15"/>
    <row r="15598" s="69" customFormat="1" x14ac:dyDescent="0.15"/>
    <row r="15599" s="69" customFormat="1" x14ac:dyDescent="0.15"/>
    <row r="15600" s="69" customFormat="1" x14ac:dyDescent="0.15"/>
    <row r="15601" s="69" customFormat="1" x14ac:dyDescent="0.15"/>
    <row r="15602" s="69" customFormat="1" x14ac:dyDescent="0.15"/>
    <row r="15603" s="69" customFormat="1" x14ac:dyDescent="0.15"/>
    <row r="15604" s="69" customFormat="1" x14ac:dyDescent="0.15"/>
    <row r="15605" s="69" customFormat="1" x14ac:dyDescent="0.15"/>
    <row r="15606" s="69" customFormat="1" x14ac:dyDescent="0.15"/>
    <row r="15607" s="69" customFormat="1" x14ac:dyDescent="0.15"/>
    <row r="15608" s="69" customFormat="1" x14ac:dyDescent="0.15"/>
    <row r="15609" s="69" customFormat="1" x14ac:dyDescent="0.15"/>
    <row r="15610" s="69" customFormat="1" x14ac:dyDescent="0.15"/>
    <row r="15611" s="69" customFormat="1" x14ac:dyDescent="0.15"/>
    <row r="15612" s="69" customFormat="1" x14ac:dyDescent="0.15"/>
    <row r="15613" s="69" customFormat="1" x14ac:dyDescent="0.15"/>
    <row r="15614" s="69" customFormat="1" x14ac:dyDescent="0.15"/>
    <row r="15615" s="69" customFormat="1" x14ac:dyDescent="0.15"/>
    <row r="15616" s="69" customFormat="1" x14ac:dyDescent="0.15"/>
    <row r="15617" s="69" customFormat="1" x14ac:dyDescent="0.15"/>
    <row r="15618" s="69" customFormat="1" x14ac:dyDescent="0.15"/>
    <row r="15619" s="69" customFormat="1" x14ac:dyDescent="0.15"/>
    <row r="15620" s="69" customFormat="1" x14ac:dyDescent="0.15"/>
    <row r="15621" s="69" customFormat="1" x14ac:dyDescent="0.15"/>
    <row r="15622" s="69" customFormat="1" x14ac:dyDescent="0.15"/>
    <row r="15623" s="69" customFormat="1" x14ac:dyDescent="0.15"/>
    <row r="15624" s="69" customFormat="1" x14ac:dyDescent="0.15"/>
    <row r="15625" s="69" customFormat="1" x14ac:dyDescent="0.15"/>
    <row r="15626" s="69" customFormat="1" x14ac:dyDescent="0.15"/>
    <row r="15627" s="69" customFormat="1" x14ac:dyDescent="0.15"/>
    <row r="15628" s="69" customFormat="1" x14ac:dyDescent="0.15"/>
    <row r="15629" s="69" customFormat="1" x14ac:dyDescent="0.15"/>
    <row r="15630" s="69" customFormat="1" x14ac:dyDescent="0.15"/>
    <row r="15631" s="69" customFormat="1" x14ac:dyDescent="0.15"/>
    <row r="15632" s="69" customFormat="1" x14ac:dyDescent="0.15"/>
    <row r="15633" s="69" customFormat="1" x14ac:dyDescent="0.15"/>
    <row r="15634" s="69" customFormat="1" x14ac:dyDescent="0.15"/>
    <row r="15635" s="69" customFormat="1" x14ac:dyDescent="0.15"/>
    <row r="15636" s="69" customFormat="1" x14ac:dyDescent="0.15"/>
    <row r="15637" s="69" customFormat="1" x14ac:dyDescent="0.15"/>
    <row r="15638" s="69" customFormat="1" x14ac:dyDescent="0.15"/>
    <row r="15639" s="69" customFormat="1" x14ac:dyDescent="0.15"/>
    <row r="15640" s="69" customFormat="1" x14ac:dyDescent="0.15"/>
    <row r="15641" s="69" customFormat="1" x14ac:dyDescent="0.15"/>
    <row r="15642" s="69" customFormat="1" x14ac:dyDescent="0.15"/>
    <row r="15643" s="69" customFormat="1" x14ac:dyDescent="0.15"/>
    <row r="15644" s="69" customFormat="1" x14ac:dyDescent="0.15"/>
    <row r="15645" s="69" customFormat="1" x14ac:dyDescent="0.15"/>
    <row r="15646" s="69" customFormat="1" x14ac:dyDescent="0.15"/>
    <row r="15647" s="69" customFormat="1" x14ac:dyDescent="0.15"/>
    <row r="15648" s="69" customFormat="1" x14ac:dyDescent="0.15"/>
    <row r="15649" s="69" customFormat="1" x14ac:dyDescent="0.15"/>
    <row r="15650" s="69" customFormat="1" x14ac:dyDescent="0.15"/>
    <row r="15651" s="69" customFormat="1" x14ac:dyDescent="0.15"/>
    <row r="15652" s="69" customFormat="1" x14ac:dyDescent="0.15"/>
    <row r="15653" s="69" customFormat="1" x14ac:dyDescent="0.15"/>
    <row r="15654" s="69" customFormat="1" x14ac:dyDescent="0.15"/>
    <row r="15655" s="69" customFormat="1" x14ac:dyDescent="0.15"/>
    <row r="15656" s="69" customFormat="1" x14ac:dyDescent="0.15"/>
    <row r="15657" s="69" customFormat="1" x14ac:dyDescent="0.15"/>
    <row r="15658" s="69" customFormat="1" x14ac:dyDescent="0.15"/>
    <row r="15659" s="69" customFormat="1" x14ac:dyDescent="0.15"/>
    <row r="15660" s="69" customFormat="1" x14ac:dyDescent="0.15"/>
    <row r="15661" s="69" customFormat="1" x14ac:dyDescent="0.15"/>
    <row r="15662" s="69" customFormat="1" x14ac:dyDescent="0.15"/>
    <row r="15663" s="69" customFormat="1" x14ac:dyDescent="0.15"/>
    <row r="15664" s="69" customFormat="1" x14ac:dyDescent="0.15"/>
    <row r="15665" s="69" customFormat="1" x14ac:dyDescent="0.15"/>
    <row r="15666" s="69" customFormat="1" x14ac:dyDescent="0.15"/>
    <row r="15667" s="69" customFormat="1" x14ac:dyDescent="0.15"/>
    <row r="15668" s="69" customFormat="1" x14ac:dyDescent="0.15"/>
    <row r="15669" s="69" customFormat="1" x14ac:dyDescent="0.15"/>
    <row r="15670" s="69" customFormat="1" x14ac:dyDescent="0.15"/>
    <row r="15671" s="69" customFormat="1" x14ac:dyDescent="0.15"/>
    <row r="15672" s="69" customFormat="1" x14ac:dyDescent="0.15"/>
    <row r="15673" s="69" customFormat="1" x14ac:dyDescent="0.15"/>
    <row r="15674" s="69" customFormat="1" x14ac:dyDescent="0.15"/>
    <row r="15675" s="69" customFormat="1" x14ac:dyDescent="0.15"/>
    <row r="15676" s="69" customFormat="1" x14ac:dyDescent="0.15"/>
    <row r="15677" s="69" customFormat="1" x14ac:dyDescent="0.15"/>
    <row r="15678" s="69" customFormat="1" x14ac:dyDescent="0.15"/>
    <row r="15679" s="69" customFormat="1" x14ac:dyDescent="0.15"/>
    <row r="15680" s="69" customFormat="1" x14ac:dyDescent="0.15"/>
    <row r="15681" s="69" customFormat="1" x14ac:dyDescent="0.15"/>
    <row r="15682" s="69" customFormat="1" x14ac:dyDescent="0.15"/>
    <row r="15683" s="69" customFormat="1" x14ac:dyDescent="0.15"/>
    <row r="15684" s="69" customFormat="1" x14ac:dyDescent="0.15"/>
    <row r="15685" s="69" customFormat="1" x14ac:dyDescent="0.15"/>
    <row r="15686" s="69" customFormat="1" x14ac:dyDescent="0.15"/>
    <row r="15687" s="69" customFormat="1" x14ac:dyDescent="0.15"/>
    <row r="15688" s="69" customFormat="1" x14ac:dyDescent="0.15"/>
    <row r="15689" s="69" customFormat="1" x14ac:dyDescent="0.15"/>
    <row r="15690" s="69" customFormat="1" x14ac:dyDescent="0.15"/>
    <row r="15691" s="69" customFormat="1" x14ac:dyDescent="0.15"/>
    <row r="15692" s="69" customFormat="1" x14ac:dyDescent="0.15"/>
    <row r="15693" s="69" customFormat="1" x14ac:dyDescent="0.15"/>
    <row r="15694" s="69" customFormat="1" x14ac:dyDescent="0.15"/>
    <row r="15695" s="69" customFormat="1" x14ac:dyDescent="0.15"/>
    <row r="15696" s="69" customFormat="1" x14ac:dyDescent="0.15"/>
    <row r="15697" s="69" customFormat="1" x14ac:dyDescent="0.15"/>
    <row r="15698" s="69" customFormat="1" x14ac:dyDescent="0.15"/>
    <row r="15699" s="69" customFormat="1" x14ac:dyDescent="0.15"/>
    <row r="15700" s="69" customFormat="1" x14ac:dyDescent="0.15"/>
    <row r="15701" s="69" customFormat="1" x14ac:dyDescent="0.15"/>
    <row r="15702" s="69" customFormat="1" x14ac:dyDescent="0.15"/>
    <row r="15703" s="69" customFormat="1" x14ac:dyDescent="0.15"/>
    <row r="15704" s="69" customFormat="1" x14ac:dyDescent="0.15"/>
    <row r="15705" s="69" customFormat="1" x14ac:dyDescent="0.15"/>
    <row r="15706" s="69" customFormat="1" x14ac:dyDescent="0.15"/>
    <row r="15707" s="69" customFormat="1" x14ac:dyDescent="0.15"/>
    <row r="15708" s="69" customFormat="1" x14ac:dyDescent="0.15"/>
    <row r="15709" s="69" customFormat="1" x14ac:dyDescent="0.15"/>
    <row r="15710" s="69" customFormat="1" x14ac:dyDescent="0.15"/>
    <row r="15711" s="69" customFormat="1" x14ac:dyDescent="0.15"/>
    <row r="15712" s="69" customFormat="1" x14ac:dyDescent="0.15"/>
    <row r="15713" s="69" customFormat="1" x14ac:dyDescent="0.15"/>
    <row r="15714" s="69" customFormat="1" x14ac:dyDescent="0.15"/>
    <row r="15715" s="69" customFormat="1" x14ac:dyDescent="0.15"/>
    <row r="15716" s="69" customFormat="1" x14ac:dyDescent="0.15"/>
    <row r="15717" s="69" customFormat="1" x14ac:dyDescent="0.15"/>
    <row r="15718" s="69" customFormat="1" x14ac:dyDescent="0.15"/>
    <row r="15719" s="69" customFormat="1" x14ac:dyDescent="0.15"/>
    <row r="15720" s="69" customFormat="1" x14ac:dyDescent="0.15"/>
    <row r="15721" s="69" customFormat="1" x14ac:dyDescent="0.15"/>
    <row r="15722" s="69" customFormat="1" x14ac:dyDescent="0.15"/>
    <row r="15723" s="69" customFormat="1" x14ac:dyDescent="0.15"/>
    <row r="15724" s="69" customFormat="1" x14ac:dyDescent="0.15"/>
    <row r="15725" s="69" customFormat="1" x14ac:dyDescent="0.15"/>
    <row r="15726" s="69" customFormat="1" x14ac:dyDescent="0.15"/>
    <row r="15727" s="69" customFormat="1" x14ac:dyDescent="0.15"/>
    <row r="15728" s="69" customFormat="1" x14ac:dyDescent="0.15"/>
    <row r="15729" s="69" customFormat="1" x14ac:dyDescent="0.15"/>
    <row r="15730" s="69" customFormat="1" x14ac:dyDescent="0.15"/>
    <row r="15731" s="69" customFormat="1" x14ac:dyDescent="0.15"/>
    <row r="15732" s="69" customFormat="1" x14ac:dyDescent="0.15"/>
    <row r="15733" s="69" customFormat="1" x14ac:dyDescent="0.15"/>
    <row r="15734" s="69" customFormat="1" x14ac:dyDescent="0.15"/>
    <row r="15735" s="69" customFormat="1" x14ac:dyDescent="0.15"/>
    <row r="15736" s="69" customFormat="1" x14ac:dyDescent="0.15"/>
    <row r="15737" s="69" customFormat="1" x14ac:dyDescent="0.15"/>
    <row r="15738" s="69" customFormat="1" x14ac:dyDescent="0.15"/>
    <row r="15739" s="69" customFormat="1" x14ac:dyDescent="0.15"/>
    <row r="15740" s="69" customFormat="1" x14ac:dyDescent="0.15"/>
    <row r="15741" s="69" customFormat="1" x14ac:dyDescent="0.15"/>
    <row r="15742" s="69" customFormat="1" x14ac:dyDescent="0.15"/>
    <row r="15743" s="69" customFormat="1" x14ac:dyDescent="0.15"/>
    <row r="15744" s="69" customFormat="1" x14ac:dyDescent="0.15"/>
    <row r="15745" s="69" customFormat="1" x14ac:dyDescent="0.15"/>
    <row r="15746" s="69" customFormat="1" x14ac:dyDescent="0.15"/>
    <row r="15747" s="69" customFormat="1" x14ac:dyDescent="0.15"/>
    <row r="15748" s="69" customFormat="1" x14ac:dyDescent="0.15"/>
    <row r="15749" s="69" customFormat="1" x14ac:dyDescent="0.15"/>
    <row r="15750" s="69" customFormat="1" x14ac:dyDescent="0.15"/>
    <row r="15751" s="69" customFormat="1" x14ac:dyDescent="0.15"/>
    <row r="15752" s="69" customFormat="1" x14ac:dyDescent="0.15"/>
    <row r="15753" s="69" customFormat="1" x14ac:dyDescent="0.15"/>
    <row r="15754" s="69" customFormat="1" x14ac:dyDescent="0.15"/>
    <row r="15755" s="69" customFormat="1" x14ac:dyDescent="0.15"/>
    <row r="15756" s="69" customFormat="1" x14ac:dyDescent="0.15"/>
    <row r="15757" s="69" customFormat="1" x14ac:dyDescent="0.15"/>
    <row r="15758" s="69" customFormat="1" x14ac:dyDescent="0.15"/>
    <row r="15759" s="69" customFormat="1" x14ac:dyDescent="0.15"/>
    <row r="15760" s="69" customFormat="1" x14ac:dyDescent="0.15"/>
    <row r="15761" s="69" customFormat="1" x14ac:dyDescent="0.15"/>
    <row r="15762" s="69" customFormat="1" x14ac:dyDescent="0.15"/>
    <row r="15763" s="69" customFormat="1" x14ac:dyDescent="0.15"/>
    <row r="15764" s="69" customFormat="1" x14ac:dyDescent="0.15"/>
    <row r="15765" s="69" customFormat="1" x14ac:dyDescent="0.15"/>
    <row r="15766" s="69" customFormat="1" x14ac:dyDescent="0.15"/>
    <row r="15767" s="69" customFormat="1" x14ac:dyDescent="0.15"/>
    <row r="15768" s="69" customFormat="1" x14ac:dyDescent="0.15"/>
    <row r="15769" s="69" customFormat="1" x14ac:dyDescent="0.15"/>
    <row r="15770" s="69" customFormat="1" x14ac:dyDescent="0.15"/>
    <row r="15771" s="69" customFormat="1" x14ac:dyDescent="0.15"/>
    <row r="15772" s="69" customFormat="1" x14ac:dyDescent="0.15"/>
    <row r="15773" s="69" customFormat="1" x14ac:dyDescent="0.15"/>
    <row r="15774" s="69" customFormat="1" x14ac:dyDescent="0.15"/>
    <row r="15775" s="69" customFormat="1" x14ac:dyDescent="0.15"/>
    <row r="15776" s="69" customFormat="1" x14ac:dyDescent="0.15"/>
    <row r="15777" s="69" customFormat="1" x14ac:dyDescent="0.15"/>
    <row r="15778" s="69" customFormat="1" x14ac:dyDescent="0.15"/>
    <row r="15779" s="69" customFormat="1" x14ac:dyDescent="0.15"/>
    <row r="15780" s="69" customFormat="1" x14ac:dyDescent="0.15"/>
    <row r="15781" s="69" customFormat="1" x14ac:dyDescent="0.15"/>
    <row r="15782" s="69" customFormat="1" x14ac:dyDescent="0.15"/>
    <row r="15783" s="69" customFormat="1" x14ac:dyDescent="0.15"/>
    <row r="15784" s="69" customFormat="1" x14ac:dyDescent="0.15"/>
    <row r="15785" s="69" customFormat="1" x14ac:dyDescent="0.15"/>
    <row r="15786" s="69" customFormat="1" x14ac:dyDescent="0.15"/>
    <row r="15787" s="69" customFormat="1" x14ac:dyDescent="0.15"/>
    <row r="15788" s="69" customFormat="1" x14ac:dyDescent="0.15"/>
    <row r="15789" s="69" customFormat="1" x14ac:dyDescent="0.15"/>
    <row r="15790" s="69" customFormat="1" x14ac:dyDescent="0.15"/>
    <row r="15791" s="69" customFormat="1" x14ac:dyDescent="0.15"/>
    <row r="15792" s="69" customFormat="1" x14ac:dyDescent="0.15"/>
    <row r="15793" s="69" customFormat="1" x14ac:dyDescent="0.15"/>
    <row r="15794" s="69" customFormat="1" x14ac:dyDescent="0.15"/>
    <row r="15795" s="69" customFormat="1" x14ac:dyDescent="0.15"/>
    <row r="15796" s="69" customFormat="1" x14ac:dyDescent="0.15"/>
    <row r="15797" s="69" customFormat="1" x14ac:dyDescent="0.15"/>
    <row r="15798" s="69" customFormat="1" x14ac:dyDescent="0.15"/>
    <row r="15799" s="69" customFormat="1" x14ac:dyDescent="0.15"/>
    <row r="15800" s="69" customFormat="1" x14ac:dyDescent="0.15"/>
    <row r="15801" s="69" customFormat="1" x14ac:dyDescent="0.15"/>
    <row r="15802" s="69" customFormat="1" x14ac:dyDescent="0.15"/>
    <row r="15803" s="69" customFormat="1" x14ac:dyDescent="0.15"/>
    <row r="15804" s="69" customFormat="1" x14ac:dyDescent="0.15"/>
    <row r="15805" s="69" customFormat="1" x14ac:dyDescent="0.15"/>
    <row r="15806" s="69" customFormat="1" x14ac:dyDescent="0.15"/>
    <row r="15807" s="69" customFormat="1" x14ac:dyDescent="0.15"/>
    <row r="15808" s="69" customFormat="1" x14ac:dyDescent="0.15"/>
    <row r="15809" s="69" customFormat="1" x14ac:dyDescent="0.15"/>
    <row r="15810" s="69" customFormat="1" x14ac:dyDescent="0.15"/>
    <row r="15811" s="69" customFormat="1" x14ac:dyDescent="0.15"/>
    <row r="15812" s="69" customFormat="1" x14ac:dyDescent="0.15"/>
    <row r="15813" s="69" customFormat="1" x14ac:dyDescent="0.15"/>
    <row r="15814" s="69" customFormat="1" x14ac:dyDescent="0.15"/>
    <row r="15815" s="69" customFormat="1" x14ac:dyDescent="0.15"/>
    <row r="15816" s="69" customFormat="1" x14ac:dyDescent="0.15"/>
    <row r="15817" s="69" customFormat="1" x14ac:dyDescent="0.15"/>
    <row r="15818" s="69" customFormat="1" x14ac:dyDescent="0.15"/>
    <row r="15819" s="69" customFormat="1" x14ac:dyDescent="0.15"/>
    <row r="15820" s="69" customFormat="1" x14ac:dyDescent="0.15"/>
    <row r="15821" s="69" customFormat="1" x14ac:dyDescent="0.15"/>
    <row r="15822" s="69" customFormat="1" x14ac:dyDescent="0.15"/>
    <row r="15823" s="69" customFormat="1" x14ac:dyDescent="0.15"/>
    <row r="15824" s="69" customFormat="1" x14ac:dyDescent="0.15"/>
    <row r="15825" s="69" customFormat="1" x14ac:dyDescent="0.15"/>
    <row r="15826" s="69" customFormat="1" x14ac:dyDescent="0.15"/>
    <row r="15827" s="69" customFormat="1" x14ac:dyDescent="0.15"/>
    <row r="15828" s="69" customFormat="1" x14ac:dyDescent="0.15"/>
    <row r="15829" s="69" customFormat="1" x14ac:dyDescent="0.15"/>
    <row r="15830" s="69" customFormat="1" x14ac:dyDescent="0.15"/>
    <row r="15831" s="69" customFormat="1" x14ac:dyDescent="0.15"/>
    <row r="15832" s="69" customFormat="1" x14ac:dyDescent="0.15"/>
    <row r="15833" s="69" customFormat="1" x14ac:dyDescent="0.15"/>
    <row r="15834" s="69" customFormat="1" x14ac:dyDescent="0.15"/>
    <row r="15835" s="69" customFormat="1" x14ac:dyDescent="0.15"/>
    <row r="15836" s="69" customFormat="1" x14ac:dyDescent="0.15"/>
    <row r="15837" s="69" customFormat="1" x14ac:dyDescent="0.15"/>
    <row r="15838" s="69" customFormat="1" x14ac:dyDescent="0.15"/>
    <row r="15839" s="69" customFormat="1" x14ac:dyDescent="0.15"/>
    <row r="15840" s="69" customFormat="1" x14ac:dyDescent="0.15"/>
    <row r="15841" s="69" customFormat="1" x14ac:dyDescent="0.15"/>
    <row r="15842" s="69" customFormat="1" x14ac:dyDescent="0.15"/>
    <row r="15843" s="69" customFormat="1" x14ac:dyDescent="0.15"/>
    <row r="15844" s="69" customFormat="1" x14ac:dyDescent="0.15"/>
    <row r="15845" s="69" customFormat="1" x14ac:dyDescent="0.15"/>
    <row r="15846" s="69" customFormat="1" x14ac:dyDescent="0.15"/>
    <row r="15847" s="69" customFormat="1" x14ac:dyDescent="0.15"/>
    <row r="15848" s="69" customFormat="1" x14ac:dyDescent="0.15"/>
    <row r="15849" s="69" customFormat="1" x14ac:dyDescent="0.15"/>
    <row r="15850" s="69" customFormat="1" x14ac:dyDescent="0.15"/>
    <row r="15851" s="69" customFormat="1" x14ac:dyDescent="0.15"/>
    <row r="15852" s="69" customFormat="1" x14ac:dyDescent="0.15"/>
    <row r="15853" s="69" customFormat="1" x14ac:dyDescent="0.15"/>
    <row r="15854" s="69" customFormat="1" x14ac:dyDescent="0.15"/>
    <row r="15855" s="69" customFormat="1" x14ac:dyDescent="0.15"/>
    <row r="15856" s="69" customFormat="1" x14ac:dyDescent="0.15"/>
    <row r="15857" s="69" customFormat="1" x14ac:dyDescent="0.15"/>
    <row r="15858" s="69" customFormat="1" x14ac:dyDescent="0.15"/>
    <row r="15859" s="69" customFormat="1" x14ac:dyDescent="0.15"/>
    <row r="15860" s="69" customFormat="1" x14ac:dyDescent="0.15"/>
    <row r="15861" s="69" customFormat="1" x14ac:dyDescent="0.15"/>
    <row r="15862" s="69" customFormat="1" x14ac:dyDescent="0.15"/>
    <row r="15863" s="69" customFormat="1" x14ac:dyDescent="0.15"/>
    <row r="15864" s="69" customFormat="1" x14ac:dyDescent="0.15"/>
    <row r="15865" s="69" customFormat="1" x14ac:dyDescent="0.15"/>
    <row r="15866" s="69" customFormat="1" x14ac:dyDescent="0.15"/>
    <row r="15867" s="69" customFormat="1" x14ac:dyDescent="0.15"/>
    <row r="15868" s="69" customFormat="1" x14ac:dyDescent="0.15"/>
    <row r="15869" s="69" customFormat="1" x14ac:dyDescent="0.15"/>
    <row r="15870" s="69" customFormat="1" x14ac:dyDescent="0.15"/>
    <row r="15871" s="69" customFormat="1" x14ac:dyDescent="0.15"/>
    <row r="15872" s="69" customFormat="1" x14ac:dyDescent="0.15"/>
    <row r="15873" s="69" customFormat="1" x14ac:dyDescent="0.15"/>
    <row r="15874" s="69" customFormat="1" x14ac:dyDescent="0.15"/>
    <row r="15875" s="69" customFormat="1" x14ac:dyDescent="0.15"/>
    <row r="15876" s="69" customFormat="1" x14ac:dyDescent="0.15"/>
    <row r="15877" s="69" customFormat="1" x14ac:dyDescent="0.15"/>
    <row r="15878" s="69" customFormat="1" x14ac:dyDescent="0.15"/>
    <row r="15879" s="69" customFormat="1" x14ac:dyDescent="0.15"/>
    <row r="15880" s="69" customFormat="1" x14ac:dyDescent="0.15"/>
    <row r="15881" s="69" customFormat="1" x14ac:dyDescent="0.15"/>
    <row r="15882" s="69" customFormat="1" x14ac:dyDescent="0.15"/>
    <row r="15883" s="69" customFormat="1" x14ac:dyDescent="0.15"/>
    <row r="15884" s="69" customFormat="1" x14ac:dyDescent="0.15"/>
    <row r="15885" s="69" customFormat="1" x14ac:dyDescent="0.15"/>
    <row r="15886" s="69" customFormat="1" x14ac:dyDescent="0.15"/>
    <row r="15887" s="69" customFormat="1" x14ac:dyDescent="0.15"/>
    <row r="15888" s="69" customFormat="1" x14ac:dyDescent="0.15"/>
    <row r="15889" s="69" customFormat="1" x14ac:dyDescent="0.15"/>
    <row r="15890" s="69" customFormat="1" x14ac:dyDescent="0.15"/>
    <row r="15891" s="69" customFormat="1" x14ac:dyDescent="0.15"/>
    <row r="15892" s="69" customFormat="1" x14ac:dyDescent="0.15"/>
    <row r="15893" s="69" customFormat="1" x14ac:dyDescent="0.15"/>
    <row r="15894" s="69" customFormat="1" x14ac:dyDescent="0.15"/>
    <row r="15895" s="69" customFormat="1" x14ac:dyDescent="0.15"/>
    <row r="15896" s="69" customFormat="1" x14ac:dyDescent="0.15"/>
    <row r="15897" s="69" customFormat="1" x14ac:dyDescent="0.15"/>
    <row r="15898" s="69" customFormat="1" x14ac:dyDescent="0.15"/>
    <row r="15899" s="69" customFormat="1" x14ac:dyDescent="0.15"/>
    <row r="15900" s="69" customFormat="1" x14ac:dyDescent="0.15"/>
    <row r="15901" s="69" customFormat="1" x14ac:dyDescent="0.15"/>
    <row r="15902" s="69" customFormat="1" x14ac:dyDescent="0.15"/>
    <row r="15903" s="69" customFormat="1" x14ac:dyDescent="0.15"/>
    <row r="15904" s="69" customFormat="1" x14ac:dyDescent="0.15"/>
    <row r="15905" s="69" customFormat="1" x14ac:dyDescent="0.15"/>
    <row r="15906" s="69" customFormat="1" x14ac:dyDescent="0.15"/>
    <row r="15907" s="69" customFormat="1" x14ac:dyDescent="0.15"/>
    <row r="15908" s="69" customFormat="1" x14ac:dyDescent="0.15"/>
    <row r="15909" s="69" customFormat="1" x14ac:dyDescent="0.15"/>
    <row r="15910" s="69" customFormat="1" x14ac:dyDescent="0.15"/>
    <row r="15911" s="69" customFormat="1" x14ac:dyDescent="0.15"/>
    <row r="15912" s="69" customFormat="1" x14ac:dyDescent="0.15"/>
    <row r="15913" s="69" customFormat="1" x14ac:dyDescent="0.15"/>
    <row r="15914" s="69" customFormat="1" x14ac:dyDescent="0.15"/>
    <row r="15915" s="69" customFormat="1" x14ac:dyDescent="0.15"/>
    <row r="15916" s="69" customFormat="1" x14ac:dyDescent="0.15"/>
    <row r="15917" s="69" customFormat="1" x14ac:dyDescent="0.15"/>
    <row r="15918" s="69" customFormat="1" x14ac:dyDescent="0.15"/>
    <row r="15919" s="69" customFormat="1" x14ac:dyDescent="0.15"/>
    <row r="15920" s="69" customFormat="1" x14ac:dyDescent="0.15"/>
    <row r="15921" s="69" customFormat="1" x14ac:dyDescent="0.15"/>
    <row r="15922" s="69" customFormat="1" x14ac:dyDescent="0.15"/>
    <row r="15923" s="69" customFormat="1" x14ac:dyDescent="0.15"/>
    <row r="15924" s="69" customFormat="1" x14ac:dyDescent="0.15"/>
    <row r="15925" s="69" customFormat="1" x14ac:dyDescent="0.15"/>
    <row r="15926" s="69" customFormat="1" x14ac:dyDescent="0.15"/>
    <row r="15927" s="69" customFormat="1" x14ac:dyDescent="0.15"/>
    <row r="15928" s="69" customFormat="1" x14ac:dyDescent="0.15"/>
    <row r="15929" s="69" customFormat="1" x14ac:dyDescent="0.15"/>
    <row r="15930" s="69" customFormat="1" x14ac:dyDescent="0.15"/>
    <row r="15931" s="69" customFormat="1" x14ac:dyDescent="0.15"/>
    <row r="15932" s="69" customFormat="1" x14ac:dyDescent="0.15"/>
    <row r="15933" s="69" customFormat="1" x14ac:dyDescent="0.15"/>
    <row r="15934" s="69" customFormat="1" x14ac:dyDescent="0.15"/>
    <row r="15935" s="69" customFormat="1" x14ac:dyDescent="0.15"/>
    <row r="15936" s="69" customFormat="1" x14ac:dyDescent="0.15"/>
    <row r="15937" s="69" customFormat="1" x14ac:dyDescent="0.15"/>
    <row r="15938" s="69" customFormat="1" x14ac:dyDescent="0.15"/>
    <row r="15939" s="69" customFormat="1" x14ac:dyDescent="0.15"/>
    <row r="15940" s="69" customFormat="1" x14ac:dyDescent="0.15"/>
    <row r="15941" s="69" customFormat="1" x14ac:dyDescent="0.15"/>
    <row r="15942" s="69" customFormat="1" x14ac:dyDescent="0.15"/>
    <row r="15943" s="69" customFormat="1" x14ac:dyDescent="0.15"/>
    <row r="15944" s="69" customFormat="1" x14ac:dyDescent="0.15"/>
    <row r="15945" s="69" customFormat="1" x14ac:dyDescent="0.15"/>
    <row r="15946" s="69" customFormat="1" x14ac:dyDescent="0.15"/>
    <row r="15947" s="69" customFormat="1" x14ac:dyDescent="0.15"/>
    <row r="15948" s="69" customFormat="1" x14ac:dyDescent="0.15"/>
    <row r="15949" s="69" customFormat="1" x14ac:dyDescent="0.15"/>
    <row r="15950" s="69" customFormat="1" x14ac:dyDescent="0.15"/>
    <row r="15951" s="69" customFormat="1" x14ac:dyDescent="0.15"/>
    <row r="15952" s="69" customFormat="1" x14ac:dyDescent="0.15"/>
    <row r="15953" s="69" customFormat="1" x14ac:dyDescent="0.15"/>
    <row r="15954" s="69" customFormat="1" x14ac:dyDescent="0.15"/>
    <row r="15955" s="69" customFormat="1" x14ac:dyDescent="0.15"/>
    <row r="15956" s="69" customFormat="1" x14ac:dyDescent="0.15"/>
    <row r="15957" s="69" customFormat="1" x14ac:dyDescent="0.15"/>
    <row r="15958" s="69" customFormat="1" x14ac:dyDescent="0.15"/>
    <row r="15959" s="69" customFormat="1" x14ac:dyDescent="0.15"/>
    <row r="15960" s="69" customFormat="1" x14ac:dyDescent="0.15"/>
    <row r="15961" s="69" customFormat="1" x14ac:dyDescent="0.15"/>
    <row r="15962" s="69" customFormat="1" x14ac:dyDescent="0.15"/>
    <row r="15963" s="69" customFormat="1" x14ac:dyDescent="0.15"/>
    <row r="15964" s="69" customFormat="1" x14ac:dyDescent="0.15"/>
    <row r="15965" s="69" customFormat="1" x14ac:dyDescent="0.15"/>
    <row r="15966" s="69" customFormat="1" x14ac:dyDescent="0.15"/>
    <row r="15967" s="69" customFormat="1" x14ac:dyDescent="0.15"/>
    <row r="15968" s="69" customFormat="1" x14ac:dyDescent="0.15"/>
    <row r="15969" s="69" customFormat="1" x14ac:dyDescent="0.15"/>
    <row r="15970" s="69" customFormat="1" x14ac:dyDescent="0.15"/>
    <row r="15971" s="69" customFormat="1" x14ac:dyDescent="0.15"/>
    <row r="15972" s="69" customFormat="1" x14ac:dyDescent="0.15"/>
    <row r="15973" s="69" customFormat="1" x14ac:dyDescent="0.15"/>
    <row r="15974" s="69" customFormat="1" x14ac:dyDescent="0.15"/>
    <row r="15975" s="69" customFormat="1" x14ac:dyDescent="0.15"/>
    <row r="15976" s="69" customFormat="1" x14ac:dyDescent="0.15"/>
    <row r="15977" s="69" customFormat="1" x14ac:dyDescent="0.15"/>
    <row r="15978" s="69" customFormat="1" x14ac:dyDescent="0.15"/>
    <row r="15979" s="69" customFormat="1" x14ac:dyDescent="0.15"/>
    <row r="15980" s="69" customFormat="1" x14ac:dyDescent="0.15"/>
    <row r="15981" s="69" customFormat="1" x14ac:dyDescent="0.15"/>
    <row r="15982" s="69" customFormat="1" x14ac:dyDescent="0.15"/>
    <row r="15983" s="69" customFormat="1" x14ac:dyDescent="0.15"/>
    <row r="15984" s="69" customFormat="1" x14ac:dyDescent="0.15"/>
    <row r="15985" s="69" customFormat="1" x14ac:dyDescent="0.15"/>
    <row r="15986" s="69" customFormat="1" x14ac:dyDescent="0.15"/>
    <row r="15987" s="69" customFormat="1" x14ac:dyDescent="0.15"/>
    <row r="15988" s="69" customFormat="1" x14ac:dyDescent="0.15"/>
    <row r="15989" s="69" customFormat="1" x14ac:dyDescent="0.15"/>
    <row r="15990" s="69" customFormat="1" x14ac:dyDescent="0.15"/>
    <row r="15991" s="69" customFormat="1" x14ac:dyDescent="0.15"/>
    <row r="15992" s="69" customFormat="1" x14ac:dyDescent="0.15"/>
    <row r="15993" s="69" customFormat="1" x14ac:dyDescent="0.15"/>
    <row r="15994" s="69" customFormat="1" x14ac:dyDescent="0.15"/>
    <row r="15995" s="69" customFormat="1" x14ac:dyDescent="0.15"/>
    <row r="15996" s="69" customFormat="1" x14ac:dyDescent="0.15"/>
    <row r="15997" s="69" customFormat="1" x14ac:dyDescent="0.15"/>
    <row r="15998" s="69" customFormat="1" x14ac:dyDescent="0.15"/>
    <row r="15999" s="69" customFormat="1" x14ac:dyDescent="0.15"/>
    <row r="16000" s="69" customFormat="1" x14ac:dyDescent="0.15"/>
    <row r="16001" s="69" customFormat="1" x14ac:dyDescent="0.15"/>
    <row r="16002" s="69" customFormat="1" x14ac:dyDescent="0.15"/>
    <row r="16003" s="69" customFormat="1" x14ac:dyDescent="0.15"/>
    <row r="16004" s="69" customFormat="1" x14ac:dyDescent="0.15"/>
    <row r="16005" s="69" customFormat="1" x14ac:dyDescent="0.15"/>
    <row r="16006" s="69" customFormat="1" x14ac:dyDescent="0.15"/>
    <row r="16007" s="69" customFormat="1" x14ac:dyDescent="0.15"/>
    <row r="16008" s="69" customFormat="1" x14ac:dyDescent="0.15"/>
    <row r="16009" s="69" customFormat="1" x14ac:dyDescent="0.15"/>
    <row r="16010" s="69" customFormat="1" x14ac:dyDescent="0.15"/>
    <row r="16011" s="69" customFormat="1" x14ac:dyDescent="0.15"/>
    <row r="16012" s="69" customFormat="1" x14ac:dyDescent="0.15"/>
    <row r="16013" s="69" customFormat="1" x14ac:dyDescent="0.15"/>
    <row r="16014" s="69" customFormat="1" x14ac:dyDescent="0.15"/>
    <row r="16015" s="69" customFormat="1" x14ac:dyDescent="0.15"/>
    <row r="16016" s="69" customFormat="1" x14ac:dyDescent="0.15"/>
    <row r="16017" s="69" customFormat="1" x14ac:dyDescent="0.15"/>
    <row r="16018" s="69" customFormat="1" x14ac:dyDescent="0.15"/>
    <row r="16019" s="69" customFormat="1" x14ac:dyDescent="0.15"/>
    <row r="16020" s="69" customFormat="1" x14ac:dyDescent="0.15"/>
    <row r="16021" s="69" customFormat="1" x14ac:dyDescent="0.15"/>
    <row r="16022" s="69" customFormat="1" x14ac:dyDescent="0.15"/>
    <row r="16023" s="69" customFormat="1" x14ac:dyDescent="0.15"/>
    <row r="16024" s="69" customFormat="1" x14ac:dyDescent="0.15"/>
    <row r="16025" s="69" customFormat="1" x14ac:dyDescent="0.15"/>
    <row r="16026" s="69" customFormat="1" x14ac:dyDescent="0.15"/>
    <row r="16027" s="69" customFormat="1" x14ac:dyDescent="0.15"/>
    <row r="16028" s="69" customFormat="1" x14ac:dyDescent="0.15"/>
    <row r="16029" s="69" customFormat="1" x14ac:dyDescent="0.15"/>
    <row r="16030" s="69" customFormat="1" x14ac:dyDescent="0.15"/>
    <row r="16031" s="69" customFormat="1" x14ac:dyDescent="0.15"/>
    <row r="16032" s="69" customFormat="1" x14ac:dyDescent="0.15"/>
    <row r="16033" s="69" customFormat="1" x14ac:dyDescent="0.15"/>
    <row r="16034" s="69" customFormat="1" x14ac:dyDescent="0.15"/>
    <row r="16035" s="69" customFormat="1" x14ac:dyDescent="0.15"/>
    <row r="16036" s="69" customFormat="1" x14ac:dyDescent="0.15"/>
    <row r="16037" s="69" customFormat="1" x14ac:dyDescent="0.15"/>
    <row r="16038" s="69" customFormat="1" x14ac:dyDescent="0.15"/>
    <row r="16039" s="69" customFormat="1" x14ac:dyDescent="0.15"/>
    <row r="16040" s="69" customFormat="1" x14ac:dyDescent="0.15"/>
    <row r="16041" s="69" customFormat="1" x14ac:dyDescent="0.15"/>
    <row r="16042" s="69" customFormat="1" x14ac:dyDescent="0.15"/>
    <row r="16043" s="69" customFormat="1" x14ac:dyDescent="0.15"/>
    <row r="16044" s="69" customFormat="1" x14ac:dyDescent="0.15"/>
    <row r="16045" s="69" customFormat="1" x14ac:dyDescent="0.15"/>
    <row r="16046" s="69" customFormat="1" x14ac:dyDescent="0.15"/>
    <row r="16047" s="69" customFormat="1" x14ac:dyDescent="0.15"/>
    <row r="16048" s="69" customFormat="1" x14ac:dyDescent="0.15"/>
    <row r="16049" s="69" customFormat="1" x14ac:dyDescent="0.15"/>
    <row r="16050" s="69" customFormat="1" x14ac:dyDescent="0.15"/>
    <row r="16051" s="69" customFormat="1" x14ac:dyDescent="0.15"/>
    <row r="16052" s="69" customFormat="1" x14ac:dyDescent="0.15"/>
    <row r="16053" s="69" customFormat="1" x14ac:dyDescent="0.15"/>
    <row r="16054" s="69" customFormat="1" x14ac:dyDescent="0.15"/>
    <row r="16055" s="69" customFormat="1" x14ac:dyDescent="0.15"/>
    <row r="16056" s="69" customFormat="1" x14ac:dyDescent="0.15"/>
    <row r="16057" s="69" customFormat="1" x14ac:dyDescent="0.15"/>
    <row r="16058" s="69" customFormat="1" x14ac:dyDescent="0.15"/>
    <row r="16059" s="69" customFormat="1" x14ac:dyDescent="0.15"/>
    <row r="16060" s="69" customFormat="1" x14ac:dyDescent="0.15"/>
    <row r="16061" s="69" customFormat="1" x14ac:dyDescent="0.15"/>
    <row r="16062" s="69" customFormat="1" x14ac:dyDescent="0.15"/>
    <row r="16063" s="69" customFormat="1" x14ac:dyDescent="0.15"/>
    <row r="16064" s="69" customFormat="1" x14ac:dyDescent="0.15"/>
    <row r="16065" s="69" customFormat="1" x14ac:dyDescent="0.15"/>
    <row r="16066" s="69" customFormat="1" x14ac:dyDescent="0.15"/>
    <row r="16067" s="69" customFormat="1" x14ac:dyDescent="0.15"/>
    <row r="16068" s="69" customFormat="1" x14ac:dyDescent="0.15"/>
    <row r="16069" s="69" customFormat="1" x14ac:dyDescent="0.15"/>
    <row r="16070" s="69" customFormat="1" x14ac:dyDescent="0.15"/>
    <row r="16071" s="69" customFormat="1" x14ac:dyDescent="0.15"/>
    <row r="16072" s="69" customFormat="1" x14ac:dyDescent="0.15"/>
    <row r="16073" s="69" customFormat="1" x14ac:dyDescent="0.15"/>
    <row r="16074" s="69" customFormat="1" x14ac:dyDescent="0.15"/>
    <row r="16075" s="69" customFormat="1" x14ac:dyDescent="0.15"/>
    <row r="16076" s="69" customFormat="1" x14ac:dyDescent="0.15"/>
    <row r="16077" s="69" customFormat="1" x14ac:dyDescent="0.15"/>
    <row r="16078" s="69" customFormat="1" x14ac:dyDescent="0.15"/>
    <row r="16079" s="69" customFormat="1" x14ac:dyDescent="0.15"/>
    <row r="16080" s="69" customFormat="1" x14ac:dyDescent="0.15"/>
    <row r="16081" s="69" customFormat="1" x14ac:dyDescent="0.15"/>
    <row r="16082" s="69" customFormat="1" x14ac:dyDescent="0.15"/>
    <row r="16083" s="69" customFormat="1" x14ac:dyDescent="0.15"/>
    <row r="16084" s="69" customFormat="1" x14ac:dyDescent="0.15"/>
    <row r="16085" s="69" customFormat="1" x14ac:dyDescent="0.15"/>
    <row r="16086" s="69" customFormat="1" x14ac:dyDescent="0.15"/>
    <row r="16087" s="69" customFormat="1" x14ac:dyDescent="0.15"/>
    <row r="16088" s="69" customFormat="1" x14ac:dyDescent="0.15"/>
    <row r="16089" s="69" customFormat="1" x14ac:dyDescent="0.15"/>
    <row r="16090" s="69" customFormat="1" x14ac:dyDescent="0.15"/>
    <row r="16091" s="69" customFormat="1" x14ac:dyDescent="0.15"/>
    <row r="16092" s="69" customFormat="1" x14ac:dyDescent="0.15"/>
    <row r="16093" s="69" customFormat="1" x14ac:dyDescent="0.15"/>
    <row r="16094" s="69" customFormat="1" x14ac:dyDescent="0.15"/>
    <row r="16095" s="69" customFormat="1" x14ac:dyDescent="0.15"/>
    <row r="16096" s="69" customFormat="1" x14ac:dyDescent="0.15"/>
    <row r="16097" s="69" customFormat="1" x14ac:dyDescent="0.15"/>
    <row r="16098" s="69" customFormat="1" x14ac:dyDescent="0.15"/>
    <row r="16099" s="69" customFormat="1" x14ac:dyDescent="0.15"/>
    <row r="16100" s="69" customFormat="1" x14ac:dyDescent="0.15"/>
    <row r="16101" s="69" customFormat="1" x14ac:dyDescent="0.15"/>
    <row r="16102" s="69" customFormat="1" x14ac:dyDescent="0.15"/>
    <row r="16103" s="69" customFormat="1" x14ac:dyDescent="0.15"/>
    <row r="16104" s="69" customFormat="1" x14ac:dyDescent="0.15"/>
    <row r="16105" s="69" customFormat="1" x14ac:dyDescent="0.15"/>
    <row r="16106" s="69" customFormat="1" x14ac:dyDescent="0.15"/>
    <row r="16107" s="69" customFormat="1" x14ac:dyDescent="0.15"/>
    <row r="16108" s="69" customFormat="1" x14ac:dyDescent="0.15"/>
    <row r="16109" s="69" customFormat="1" x14ac:dyDescent="0.15"/>
    <row r="16110" s="69" customFormat="1" x14ac:dyDescent="0.15"/>
    <row r="16111" s="69" customFormat="1" x14ac:dyDescent="0.15"/>
    <row r="16112" s="69" customFormat="1" x14ac:dyDescent="0.15"/>
    <row r="16113" s="69" customFormat="1" x14ac:dyDescent="0.15"/>
    <row r="16114" s="69" customFormat="1" x14ac:dyDescent="0.15"/>
    <row r="16115" s="69" customFormat="1" x14ac:dyDescent="0.15"/>
    <row r="16116" s="69" customFormat="1" x14ac:dyDescent="0.15"/>
    <row r="16117" s="69" customFormat="1" x14ac:dyDescent="0.15"/>
    <row r="16118" s="69" customFormat="1" x14ac:dyDescent="0.15"/>
    <row r="16119" s="69" customFormat="1" x14ac:dyDescent="0.15"/>
    <row r="16120" s="69" customFormat="1" x14ac:dyDescent="0.15"/>
    <row r="16121" s="69" customFormat="1" x14ac:dyDescent="0.15"/>
    <row r="16122" s="69" customFormat="1" x14ac:dyDescent="0.15"/>
    <row r="16123" s="69" customFormat="1" x14ac:dyDescent="0.15"/>
    <row r="16124" s="69" customFormat="1" x14ac:dyDescent="0.15"/>
    <row r="16125" s="69" customFormat="1" x14ac:dyDescent="0.15"/>
    <row r="16126" s="69" customFormat="1" x14ac:dyDescent="0.15"/>
    <row r="16127" s="69" customFormat="1" x14ac:dyDescent="0.15"/>
    <row r="16128" s="69" customFormat="1" x14ac:dyDescent="0.15"/>
    <row r="16129" s="69" customFormat="1" x14ac:dyDescent="0.15"/>
    <row r="16130" s="69" customFormat="1" x14ac:dyDescent="0.15"/>
    <row r="16131" s="69" customFormat="1" x14ac:dyDescent="0.15"/>
    <row r="16132" s="69" customFormat="1" x14ac:dyDescent="0.15"/>
    <row r="16133" s="69" customFormat="1" x14ac:dyDescent="0.15"/>
    <row r="16134" s="69" customFormat="1" x14ac:dyDescent="0.15"/>
    <row r="16135" s="69" customFormat="1" x14ac:dyDescent="0.15"/>
    <row r="16136" s="69" customFormat="1" x14ac:dyDescent="0.15"/>
    <row r="16137" s="69" customFormat="1" x14ac:dyDescent="0.15"/>
    <row r="16138" s="69" customFormat="1" x14ac:dyDescent="0.15"/>
    <row r="16139" s="69" customFormat="1" x14ac:dyDescent="0.15"/>
    <row r="16140" s="69" customFormat="1" x14ac:dyDescent="0.15"/>
    <row r="16141" s="69" customFormat="1" x14ac:dyDescent="0.15"/>
    <row r="16142" s="69" customFormat="1" x14ac:dyDescent="0.15"/>
    <row r="16143" s="69" customFormat="1" x14ac:dyDescent="0.15"/>
    <row r="16144" s="69" customFormat="1" x14ac:dyDescent="0.15"/>
    <row r="16145" s="69" customFormat="1" x14ac:dyDescent="0.15"/>
    <row r="16146" s="69" customFormat="1" x14ac:dyDescent="0.15"/>
    <row r="16147" s="69" customFormat="1" x14ac:dyDescent="0.15"/>
    <row r="16148" s="69" customFormat="1" x14ac:dyDescent="0.15"/>
    <row r="16149" s="69" customFormat="1" x14ac:dyDescent="0.15"/>
    <row r="16150" s="69" customFormat="1" x14ac:dyDescent="0.15"/>
    <row r="16151" s="69" customFormat="1" x14ac:dyDescent="0.15"/>
    <row r="16152" s="69" customFormat="1" x14ac:dyDescent="0.15"/>
    <row r="16153" s="69" customFormat="1" x14ac:dyDescent="0.15"/>
    <row r="16154" s="69" customFormat="1" x14ac:dyDescent="0.15"/>
    <row r="16155" s="69" customFormat="1" x14ac:dyDescent="0.15"/>
    <row r="16156" s="69" customFormat="1" x14ac:dyDescent="0.15"/>
    <row r="16157" s="69" customFormat="1" x14ac:dyDescent="0.15"/>
    <row r="16158" s="69" customFormat="1" x14ac:dyDescent="0.15"/>
    <row r="16159" s="69" customFormat="1" x14ac:dyDescent="0.15"/>
    <row r="16160" s="69" customFormat="1" x14ac:dyDescent="0.15"/>
    <row r="16161" s="69" customFormat="1" x14ac:dyDescent="0.15"/>
    <row r="16162" s="69" customFormat="1" x14ac:dyDescent="0.15"/>
    <row r="16163" s="69" customFormat="1" x14ac:dyDescent="0.15"/>
    <row r="16164" s="69" customFormat="1" x14ac:dyDescent="0.15"/>
    <row r="16165" s="69" customFormat="1" x14ac:dyDescent="0.15"/>
    <row r="16166" s="69" customFormat="1" x14ac:dyDescent="0.15"/>
    <row r="16167" s="69" customFormat="1" x14ac:dyDescent="0.15"/>
    <row r="16168" s="69" customFormat="1" x14ac:dyDescent="0.15"/>
    <row r="16169" s="69" customFormat="1" x14ac:dyDescent="0.15"/>
    <row r="16170" s="69" customFormat="1" x14ac:dyDescent="0.15"/>
    <row r="16171" s="69" customFormat="1" x14ac:dyDescent="0.15"/>
    <row r="16172" s="69" customFormat="1" x14ac:dyDescent="0.15"/>
    <row r="16173" s="69" customFormat="1" x14ac:dyDescent="0.15"/>
    <row r="16174" s="69" customFormat="1" x14ac:dyDescent="0.15"/>
    <row r="16175" s="69" customFormat="1" x14ac:dyDescent="0.15"/>
    <row r="16176" s="69" customFormat="1" x14ac:dyDescent="0.15"/>
    <row r="16177" s="69" customFormat="1" x14ac:dyDescent="0.15"/>
    <row r="16178" s="69" customFormat="1" x14ac:dyDescent="0.15"/>
    <row r="16179" s="69" customFormat="1" x14ac:dyDescent="0.15"/>
    <row r="16180" s="69" customFormat="1" x14ac:dyDescent="0.15"/>
    <row r="16181" s="69" customFormat="1" x14ac:dyDescent="0.15"/>
    <row r="16182" s="69" customFormat="1" x14ac:dyDescent="0.15"/>
    <row r="16183" s="69" customFormat="1" x14ac:dyDescent="0.15"/>
    <row r="16184" s="69" customFormat="1" x14ac:dyDescent="0.15"/>
    <row r="16185" s="69" customFormat="1" x14ac:dyDescent="0.15"/>
    <row r="16186" s="69" customFormat="1" x14ac:dyDescent="0.15"/>
    <row r="16187" s="69" customFormat="1" x14ac:dyDescent="0.15"/>
    <row r="16188" s="69" customFormat="1" x14ac:dyDescent="0.15"/>
    <row r="16189" s="69" customFormat="1" x14ac:dyDescent="0.15"/>
    <row r="16190" s="69" customFormat="1" x14ac:dyDescent="0.15"/>
    <row r="16191" s="69" customFormat="1" x14ac:dyDescent="0.15"/>
    <row r="16192" s="69" customFormat="1" x14ac:dyDescent="0.15"/>
    <row r="16193" s="69" customFormat="1" x14ac:dyDescent="0.15"/>
    <row r="16194" s="69" customFormat="1" x14ac:dyDescent="0.15"/>
    <row r="16195" s="69" customFormat="1" x14ac:dyDescent="0.15"/>
    <row r="16196" s="69" customFormat="1" x14ac:dyDescent="0.15"/>
    <row r="16197" s="69" customFormat="1" x14ac:dyDescent="0.15"/>
    <row r="16198" s="69" customFormat="1" x14ac:dyDescent="0.15"/>
    <row r="16199" s="69" customFormat="1" x14ac:dyDescent="0.15"/>
    <row r="16200" s="69" customFormat="1" x14ac:dyDescent="0.15"/>
    <row r="16201" s="69" customFormat="1" x14ac:dyDescent="0.15"/>
    <row r="16202" s="69" customFormat="1" x14ac:dyDescent="0.15"/>
    <row r="16203" s="69" customFormat="1" x14ac:dyDescent="0.15"/>
    <row r="16204" s="69" customFormat="1" x14ac:dyDescent="0.15"/>
    <row r="16205" s="69" customFormat="1" x14ac:dyDescent="0.15"/>
    <row r="16206" s="69" customFormat="1" x14ac:dyDescent="0.15"/>
    <row r="16207" s="69" customFormat="1" x14ac:dyDescent="0.15"/>
    <row r="16208" s="69" customFormat="1" x14ac:dyDescent="0.15"/>
    <row r="16209" s="69" customFormat="1" x14ac:dyDescent="0.15"/>
    <row r="16210" s="69" customFormat="1" x14ac:dyDescent="0.15"/>
    <row r="16211" s="69" customFormat="1" x14ac:dyDescent="0.15"/>
    <row r="16212" s="69" customFormat="1" x14ac:dyDescent="0.15"/>
    <row r="16213" s="69" customFormat="1" x14ac:dyDescent="0.15"/>
    <row r="16214" s="69" customFormat="1" x14ac:dyDescent="0.15"/>
    <row r="16215" s="69" customFormat="1" x14ac:dyDescent="0.15"/>
    <row r="16216" s="69" customFormat="1" x14ac:dyDescent="0.15"/>
    <row r="16217" s="69" customFormat="1" x14ac:dyDescent="0.15"/>
    <row r="16218" s="69" customFormat="1" x14ac:dyDescent="0.15"/>
    <row r="16219" s="69" customFormat="1" x14ac:dyDescent="0.15"/>
    <row r="16220" s="69" customFormat="1" x14ac:dyDescent="0.15"/>
    <row r="16221" s="69" customFormat="1" x14ac:dyDescent="0.15"/>
    <row r="16222" s="69" customFormat="1" x14ac:dyDescent="0.15"/>
    <row r="16223" s="69" customFormat="1" x14ac:dyDescent="0.15"/>
    <row r="16224" s="69" customFormat="1" x14ac:dyDescent="0.15"/>
    <row r="16225" s="69" customFormat="1" x14ac:dyDescent="0.15"/>
    <row r="16226" s="69" customFormat="1" x14ac:dyDescent="0.15"/>
    <row r="16227" s="69" customFormat="1" x14ac:dyDescent="0.15"/>
    <row r="16228" s="69" customFormat="1" x14ac:dyDescent="0.15"/>
    <row r="16229" s="69" customFormat="1" x14ac:dyDescent="0.15"/>
    <row r="16230" s="69" customFormat="1" x14ac:dyDescent="0.15"/>
    <row r="16231" s="69" customFormat="1" x14ac:dyDescent="0.15"/>
    <row r="16232" s="69" customFormat="1" x14ac:dyDescent="0.15"/>
    <row r="16233" s="69" customFormat="1" x14ac:dyDescent="0.15"/>
    <row r="16234" s="69" customFormat="1" x14ac:dyDescent="0.15"/>
    <row r="16235" s="69" customFormat="1" x14ac:dyDescent="0.15"/>
    <row r="16236" s="69" customFormat="1" x14ac:dyDescent="0.15"/>
    <row r="16237" s="69" customFormat="1" x14ac:dyDescent="0.15"/>
    <row r="16238" s="69" customFormat="1" x14ac:dyDescent="0.15"/>
    <row r="16239" s="69" customFormat="1" x14ac:dyDescent="0.15"/>
    <row r="16240" s="69" customFormat="1" x14ac:dyDescent="0.15"/>
    <row r="16241" s="69" customFormat="1" x14ac:dyDescent="0.15"/>
    <row r="16242" s="69" customFormat="1" x14ac:dyDescent="0.15"/>
    <row r="16243" s="69" customFormat="1" x14ac:dyDescent="0.15"/>
    <row r="16244" s="69" customFormat="1" x14ac:dyDescent="0.15"/>
    <row r="16245" s="69" customFormat="1" x14ac:dyDescent="0.15"/>
    <row r="16246" s="69" customFormat="1" x14ac:dyDescent="0.15"/>
    <row r="16247" s="69" customFormat="1" x14ac:dyDescent="0.15"/>
    <row r="16248" s="69" customFormat="1" x14ac:dyDescent="0.15"/>
    <row r="16249" s="69" customFormat="1" x14ac:dyDescent="0.15"/>
    <row r="16250" s="69" customFormat="1" x14ac:dyDescent="0.15"/>
    <row r="16251" s="69" customFormat="1" x14ac:dyDescent="0.15"/>
    <row r="16252" s="69" customFormat="1" x14ac:dyDescent="0.15"/>
    <row r="16253" s="69" customFormat="1" x14ac:dyDescent="0.15"/>
    <row r="16254" s="69" customFormat="1" x14ac:dyDescent="0.15"/>
    <row r="16255" s="69" customFormat="1" x14ac:dyDescent="0.15"/>
    <row r="16256" s="69" customFormat="1" x14ac:dyDescent="0.15"/>
    <row r="16257" s="69" customFormat="1" x14ac:dyDescent="0.15"/>
    <row r="16258" s="69" customFormat="1" x14ac:dyDescent="0.15"/>
    <row r="16259" s="69" customFormat="1" x14ac:dyDescent="0.15"/>
    <row r="16260" s="69" customFormat="1" x14ac:dyDescent="0.15"/>
    <row r="16261" s="69" customFormat="1" x14ac:dyDescent="0.15"/>
    <row r="16262" s="69" customFormat="1" x14ac:dyDescent="0.15"/>
    <row r="16263" s="69" customFormat="1" x14ac:dyDescent="0.15"/>
    <row r="16264" s="69" customFormat="1" x14ac:dyDescent="0.15"/>
    <row r="16265" s="69" customFormat="1" x14ac:dyDescent="0.15"/>
    <row r="16266" s="69" customFormat="1" x14ac:dyDescent="0.15"/>
    <row r="16267" s="69" customFormat="1" x14ac:dyDescent="0.15"/>
    <row r="16268" s="69" customFormat="1" x14ac:dyDescent="0.15"/>
    <row r="16269" s="69" customFormat="1" x14ac:dyDescent="0.15"/>
    <row r="16270" s="69" customFormat="1" x14ac:dyDescent="0.15"/>
    <row r="16271" s="69" customFormat="1" x14ac:dyDescent="0.15"/>
    <row r="16272" s="69" customFormat="1" x14ac:dyDescent="0.15"/>
    <row r="16273" s="69" customFormat="1" x14ac:dyDescent="0.15"/>
    <row r="16274" s="69" customFormat="1" x14ac:dyDescent="0.15"/>
    <row r="16275" s="69" customFormat="1" x14ac:dyDescent="0.15"/>
    <row r="16276" s="69" customFormat="1" x14ac:dyDescent="0.15"/>
    <row r="16277" s="69" customFormat="1" x14ac:dyDescent="0.15"/>
    <row r="16278" s="69" customFormat="1" x14ac:dyDescent="0.15"/>
    <row r="16279" s="69" customFormat="1" x14ac:dyDescent="0.15"/>
    <row r="16280" s="69" customFormat="1" x14ac:dyDescent="0.15"/>
    <row r="16281" s="69" customFormat="1" x14ac:dyDescent="0.15"/>
    <row r="16282" s="69" customFormat="1" x14ac:dyDescent="0.15"/>
    <row r="16283" s="69" customFormat="1" x14ac:dyDescent="0.15"/>
    <row r="16284" s="69" customFormat="1" x14ac:dyDescent="0.15"/>
    <row r="16285" s="69" customFormat="1" x14ac:dyDescent="0.15"/>
    <row r="16286" s="69" customFormat="1" x14ac:dyDescent="0.15"/>
    <row r="16287" s="69" customFormat="1" x14ac:dyDescent="0.15"/>
    <row r="16288" s="69" customFormat="1" x14ac:dyDescent="0.15"/>
    <row r="16289" s="69" customFormat="1" x14ac:dyDescent="0.15"/>
    <row r="16290" s="69" customFormat="1" x14ac:dyDescent="0.15"/>
    <row r="16291" s="69" customFormat="1" x14ac:dyDescent="0.15"/>
    <row r="16292" s="69" customFormat="1" x14ac:dyDescent="0.15"/>
    <row r="16293" s="69" customFormat="1" x14ac:dyDescent="0.15"/>
    <row r="16294" s="69" customFormat="1" x14ac:dyDescent="0.15"/>
    <row r="16295" s="69" customFormat="1" x14ac:dyDescent="0.15"/>
    <row r="16296" s="69" customFormat="1" x14ac:dyDescent="0.15"/>
    <row r="16297" s="69" customFormat="1" x14ac:dyDescent="0.15"/>
    <row r="16298" s="69" customFormat="1" x14ac:dyDescent="0.15"/>
    <row r="16299" s="69" customFormat="1" x14ac:dyDescent="0.15"/>
    <row r="16300" s="69" customFormat="1" x14ac:dyDescent="0.15"/>
    <row r="16301" s="69" customFormat="1" x14ac:dyDescent="0.15"/>
    <row r="16302" s="69" customFormat="1" x14ac:dyDescent="0.15"/>
    <row r="16303" s="69" customFormat="1" x14ac:dyDescent="0.15"/>
    <row r="16304" s="69" customFormat="1" x14ac:dyDescent="0.15"/>
    <row r="16305" s="69" customFormat="1" x14ac:dyDescent="0.15"/>
    <row r="16306" s="69" customFormat="1" x14ac:dyDescent="0.15"/>
    <row r="16307" s="69" customFormat="1" x14ac:dyDescent="0.15"/>
    <row r="16308" s="69" customFormat="1" x14ac:dyDescent="0.15"/>
    <row r="16309" s="69" customFormat="1" x14ac:dyDescent="0.15"/>
    <row r="16310" s="69" customFormat="1" x14ac:dyDescent="0.15"/>
    <row r="16311" s="69" customFormat="1" x14ac:dyDescent="0.15"/>
    <row r="16312" s="69" customFormat="1" x14ac:dyDescent="0.15"/>
    <row r="16313" s="69" customFormat="1" x14ac:dyDescent="0.15"/>
    <row r="16314" s="69" customFormat="1" x14ac:dyDescent="0.15"/>
    <row r="16315" s="69" customFormat="1" x14ac:dyDescent="0.15"/>
    <row r="16316" s="69" customFormat="1" x14ac:dyDescent="0.15"/>
    <row r="16317" s="69" customFormat="1" x14ac:dyDescent="0.15"/>
    <row r="16318" s="69" customFormat="1" x14ac:dyDescent="0.15"/>
    <row r="16319" s="69" customFormat="1" x14ac:dyDescent="0.15"/>
    <row r="16320" s="69" customFormat="1" x14ac:dyDescent="0.15"/>
    <row r="16321" s="69" customFormat="1" x14ac:dyDescent="0.15"/>
    <row r="16322" s="69" customFormat="1" x14ac:dyDescent="0.15"/>
    <row r="16323" s="69" customFormat="1" x14ac:dyDescent="0.15"/>
    <row r="16324" s="69" customFormat="1" x14ac:dyDescent="0.15"/>
    <row r="16325" s="69" customFormat="1" x14ac:dyDescent="0.15"/>
    <row r="16326" s="69" customFormat="1" x14ac:dyDescent="0.15"/>
    <row r="16327" s="69" customFormat="1" x14ac:dyDescent="0.15"/>
    <row r="16328" s="69" customFormat="1" x14ac:dyDescent="0.15"/>
    <row r="16329" s="69" customFormat="1" x14ac:dyDescent="0.15"/>
    <row r="16330" s="69" customFormat="1" x14ac:dyDescent="0.15"/>
    <row r="16331" s="69" customFormat="1" x14ac:dyDescent="0.15"/>
    <row r="16332" s="69" customFormat="1" x14ac:dyDescent="0.15"/>
    <row r="16333" s="69" customFormat="1" x14ac:dyDescent="0.15"/>
    <row r="16334" s="69" customFormat="1" x14ac:dyDescent="0.15"/>
    <row r="16335" s="69" customFormat="1" x14ac:dyDescent="0.15"/>
    <row r="16336" s="69" customFormat="1" x14ac:dyDescent="0.15"/>
    <row r="16337" s="69" customFormat="1" x14ac:dyDescent="0.15"/>
    <row r="16338" s="69" customFormat="1" x14ac:dyDescent="0.15"/>
    <row r="16339" s="69" customFormat="1" x14ac:dyDescent="0.15"/>
    <row r="16340" s="69" customFormat="1" x14ac:dyDescent="0.15"/>
    <row r="16341" s="69" customFormat="1" x14ac:dyDescent="0.15"/>
    <row r="16342" s="69" customFormat="1" x14ac:dyDescent="0.15"/>
    <row r="16343" s="69" customFormat="1" x14ac:dyDescent="0.15"/>
    <row r="16344" s="69" customFormat="1" x14ac:dyDescent="0.15"/>
    <row r="16345" s="69" customFormat="1" x14ac:dyDescent="0.15"/>
    <row r="16346" s="69" customFormat="1" x14ac:dyDescent="0.15"/>
    <row r="16347" s="69" customFormat="1" x14ac:dyDescent="0.15"/>
    <row r="16348" s="69" customFormat="1" x14ac:dyDescent="0.15"/>
    <row r="16349" s="69" customFormat="1" x14ac:dyDescent="0.15"/>
    <row r="16350" s="69" customFormat="1" x14ac:dyDescent="0.15"/>
    <row r="16351" s="69" customFormat="1" x14ac:dyDescent="0.15"/>
    <row r="16352" s="69" customFormat="1" x14ac:dyDescent="0.15"/>
    <row r="16353" s="69" customFormat="1" x14ac:dyDescent="0.15"/>
    <row r="16354" s="69" customFormat="1" x14ac:dyDescent="0.15"/>
    <row r="16355" s="69" customFormat="1" x14ac:dyDescent="0.15"/>
    <row r="16356" s="69" customFormat="1" x14ac:dyDescent="0.15"/>
    <row r="16357" s="69" customFormat="1" x14ac:dyDescent="0.15"/>
    <row r="16358" s="69" customFormat="1" x14ac:dyDescent="0.15"/>
    <row r="16359" s="69" customFormat="1" x14ac:dyDescent="0.15"/>
    <row r="16360" s="69" customFormat="1" x14ac:dyDescent="0.15"/>
    <row r="16361" s="69" customFormat="1" x14ac:dyDescent="0.15"/>
    <row r="16362" s="69" customFormat="1" x14ac:dyDescent="0.15"/>
    <row r="16363" s="69" customFormat="1" x14ac:dyDescent="0.15"/>
    <row r="16364" s="69" customFormat="1" x14ac:dyDescent="0.15"/>
    <row r="16365" s="69" customFormat="1" x14ac:dyDescent="0.15"/>
    <row r="16366" s="69" customFormat="1" x14ac:dyDescent="0.15"/>
    <row r="16367" s="69" customFormat="1" x14ac:dyDescent="0.15"/>
    <row r="16368" s="69" customFormat="1" x14ac:dyDescent="0.15"/>
    <row r="16369" s="69" customFormat="1" x14ac:dyDescent="0.15"/>
    <row r="16370" s="69" customFormat="1" x14ac:dyDescent="0.15"/>
    <row r="16371" s="69" customFormat="1" x14ac:dyDescent="0.15"/>
    <row r="16372" s="69" customFormat="1" x14ac:dyDescent="0.15"/>
    <row r="16373" s="69" customFormat="1" x14ac:dyDescent="0.15"/>
    <row r="16374" s="69" customFormat="1" x14ac:dyDescent="0.15"/>
    <row r="16375" s="69" customFormat="1" x14ac:dyDescent="0.15"/>
    <row r="16376" s="69" customFormat="1" x14ac:dyDescent="0.15"/>
    <row r="16377" s="69" customFormat="1" x14ac:dyDescent="0.15"/>
    <row r="16378" s="69" customFormat="1" x14ac:dyDescent="0.15"/>
    <row r="16379" s="69" customFormat="1" x14ac:dyDescent="0.15"/>
    <row r="16380" s="69" customFormat="1" x14ac:dyDescent="0.15"/>
    <row r="16381" s="69" customFormat="1" x14ac:dyDescent="0.15"/>
    <row r="16382" s="69" customFormat="1" x14ac:dyDescent="0.15"/>
    <row r="16383" s="69" customFormat="1" x14ac:dyDescent="0.15"/>
    <row r="16384" s="69" customFormat="1" x14ac:dyDescent="0.15"/>
    <row r="16385" s="69" customFormat="1" x14ac:dyDescent="0.15"/>
    <row r="16386" s="69" customFormat="1" x14ac:dyDescent="0.15"/>
    <row r="16387" s="69" customFormat="1" x14ac:dyDescent="0.15"/>
    <row r="16388" s="69" customFormat="1" x14ac:dyDescent="0.15"/>
    <row r="16389" s="69" customFormat="1" x14ac:dyDescent="0.15"/>
    <row r="16390" s="69" customFormat="1" x14ac:dyDescent="0.15"/>
    <row r="16391" s="69" customFormat="1" x14ac:dyDescent="0.15"/>
    <row r="16392" s="69" customFormat="1" x14ac:dyDescent="0.15"/>
    <row r="16393" s="69" customFormat="1" x14ac:dyDescent="0.15"/>
    <row r="16394" s="69" customFormat="1" x14ac:dyDescent="0.15"/>
    <row r="16395" s="69" customFormat="1" x14ac:dyDescent="0.15"/>
    <row r="16396" s="69" customFormat="1" x14ac:dyDescent="0.15"/>
    <row r="16397" s="69" customFormat="1" x14ac:dyDescent="0.15"/>
    <row r="16398" s="69" customFormat="1" x14ac:dyDescent="0.15"/>
    <row r="16399" s="69" customFormat="1" x14ac:dyDescent="0.15"/>
    <row r="16400" s="69" customFormat="1" x14ac:dyDescent="0.15"/>
    <row r="16401" s="69" customFormat="1" x14ac:dyDescent="0.15"/>
    <row r="16402" s="69" customFormat="1" x14ac:dyDescent="0.15"/>
    <row r="16403" s="69" customFormat="1" x14ac:dyDescent="0.15"/>
    <row r="16404" s="69" customFormat="1" x14ac:dyDescent="0.15"/>
    <row r="16405" s="69" customFormat="1" x14ac:dyDescent="0.15"/>
    <row r="16406" s="69" customFormat="1" x14ac:dyDescent="0.15"/>
    <row r="16407" s="69" customFormat="1" x14ac:dyDescent="0.15"/>
    <row r="16408" s="69" customFormat="1" x14ac:dyDescent="0.15"/>
    <row r="16409" s="69" customFormat="1" x14ac:dyDescent="0.15"/>
    <row r="16410" s="69" customFormat="1" x14ac:dyDescent="0.15"/>
    <row r="16411" s="69" customFormat="1" x14ac:dyDescent="0.15"/>
    <row r="16412" s="69" customFormat="1" x14ac:dyDescent="0.15"/>
    <row r="16413" s="69" customFormat="1" x14ac:dyDescent="0.15"/>
    <row r="16414" s="69" customFormat="1" x14ac:dyDescent="0.15"/>
    <row r="16415" s="69" customFormat="1" x14ac:dyDescent="0.15"/>
    <row r="16416" s="69" customFormat="1" x14ac:dyDescent="0.15"/>
    <row r="16417" s="69" customFormat="1" x14ac:dyDescent="0.15"/>
    <row r="16418" s="69" customFormat="1" x14ac:dyDescent="0.15"/>
    <row r="16419" s="69" customFormat="1" x14ac:dyDescent="0.15"/>
    <row r="16420" s="69" customFormat="1" x14ac:dyDescent="0.15"/>
    <row r="16421" s="69" customFormat="1" x14ac:dyDescent="0.15"/>
    <row r="16422" s="69" customFormat="1" x14ac:dyDescent="0.15"/>
    <row r="16423" s="69" customFormat="1" x14ac:dyDescent="0.15"/>
    <row r="16424" s="69" customFormat="1" x14ac:dyDescent="0.15"/>
    <row r="16425" s="69" customFormat="1" x14ac:dyDescent="0.15"/>
    <row r="16426" s="69" customFormat="1" x14ac:dyDescent="0.15"/>
    <row r="16427" s="69" customFormat="1" x14ac:dyDescent="0.15"/>
    <row r="16428" s="69" customFormat="1" x14ac:dyDescent="0.15"/>
    <row r="16429" s="69" customFormat="1" x14ac:dyDescent="0.15"/>
    <row r="16430" s="69" customFormat="1" x14ac:dyDescent="0.15"/>
    <row r="16431" s="69" customFormat="1" x14ac:dyDescent="0.15"/>
    <row r="16432" s="69" customFormat="1" x14ac:dyDescent="0.15"/>
    <row r="16433" s="69" customFormat="1" x14ac:dyDescent="0.15"/>
    <row r="16434" s="69" customFormat="1" x14ac:dyDescent="0.15"/>
    <row r="16435" s="69" customFormat="1" x14ac:dyDescent="0.15"/>
    <row r="16436" s="69" customFormat="1" x14ac:dyDescent="0.15"/>
    <row r="16437" s="69" customFormat="1" x14ac:dyDescent="0.15"/>
    <row r="16438" s="69" customFormat="1" x14ac:dyDescent="0.15"/>
    <row r="16439" s="69" customFormat="1" x14ac:dyDescent="0.15"/>
    <row r="16440" s="69" customFormat="1" x14ac:dyDescent="0.15"/>
    <row r="16441" s="69" customFormat="1" x14ac:dyDescent="0.15"/>
    <row r="16442" s="69" customFormat="1" x14ac:dyDescent="0.15"/>
    <row r="16443" s="69" customFormat="1" x14ac:dyDescent="0.15"/>
    <row r="16444" s="69" customFormat="1" x14ac:dyDescent="0.15"/>
    <row r="16445" s="69" customFormat="1" x14ac:dyDescent="0.15"/>
    <row r="16446" s="69" customFormat="1" x14ac:dyDescent="0.15"/>
    <row r="16447" s="69" customFormat="1" x14ac:dyDescent="0.15"/>
    <row r="16448" s="69" customFormat="1" x14ac:dyDescent="0.15"/>
    <row r="16449" s="69" customFormat="1" x14ac:dyDescent="0.15"/>
    <row r="16450" s="69" customFormat="1" x14ac:dyDescent="0.15"/>
    <row r="16451" s="69" customFormat="1" x14ac:dyDescent="0.15"/>
    <row r="16452" s="69" customFormat="1" x14ac:dyDescent="0.15"/>
    <row r="16453" s="69" customFormat="1" x14ac:dyDescent="0.15"/>
    <row r="16454" s="69" customFormat="1" x14ac:dyDescent="0.15"/>
    <row r="16455" s="69" customFormat="1" x14ac:dyDescent="0.15"/>
    <row r="16456" s="69" customFormat="1" x14ac:dyDescent="0.15"/>
    <row r="16457" s="69" customFormat="1" x14ac:dyDescent="0.15"/>
    <row r="16458" s="69" customFormat="1" x14ac:dyDescent="0.15"/>
    <row r="16459" s="69" customFormat="1" x14ac:dyDescent="0.15"/>
    <row r="16460" s="69" customFormat="1" x14ac:dyDescent="0.15"/>
    <row r="16461" s="69" customFormat="1" x14ac:dyDescent="0.15"/>
    <row r="16462" s="69" customFormat="1" x14ac:dyDescent="0.15"/>
    <row r="16463" s="69" customFormat="1" x14ac:dyDescent="0.15"/>
    <row r="16464" s="69" customFormat="1" x14ac:dyDescent="0.15"/>
    <row r="16465" s="69" customFormat="1" x14ac:dyDescent="0.15"/>
    <row r="16466" s="69" customFormat="1" x14ac:dyDescent="0.15"/>
    <row r="16467" s="69" customFormat="1" x14ac:dyDescent="0.15"/>
    <row r="16468" s="69" customFormat="1" x14ac:dyDescent="0.15"/>
    <row r="16469" s="69" customFormat="1" x14ac:dyDescent="0.15"/>
    <row r="16470" s="69" customFormat="1" x14ac:dyDescent="0.15"/>
    <row r="16471" s="69" customFormat="1" x14ac:dyDescent="0.15"/>
    <row r="16472" s="69" customFormat="1" x14ac:dyDescent="0.15"/>
    <row r="16473" s="69" customFormat="1" x14ac:dyDescent="0.15"/>
    <row r="16474" s="69" customFormat="1" x14ac:dyDescent="0.15"/>
    <row r="16475" s="69" customFormat="1" x14ac:dyDescent="0.15"/>
    <row r="16476" s="69" customFormat="1" x14ac:dyDescent="0.15"/>
    <row r="16477" s="69" customFormat="1" x14ac:dyDescent="0.15"/>
    <row r="16478" s="69" customFormat="1" x14ac:dyDescent="0.15"/>
    <row r="16479" s="69" customFormat="1" x14ac:dyDescent="0.15"/>
    <row r="16480" s="69" customFormat="1" x14ac:dyDescent="0.15"/>
    <row r="16481" s="69" customFormat="1" x14ac:dyDescent="0.15"/>
    <row r="16482" s="69" customFormat="1" x14ac:dyDescent="0.15"/>
    <row r="16483" s="69" customFormat="1" x14ac:dyDescent="0.15"/>
    <row r="16484" s="69" customFormat="1" x14ac:dyDescent="0.15"/>
    <row r="16485" s="69" customFormat="1" x14ac:dyDescent="0.15"/>
    <row r="16486" s="69" customFormat="1" x14ac:dyDescent="0.15"/>
    <row r="16487" s="69" customFormat="1" x14ac:dyDescent="0.15"/>
    <row r="16488" s="69" customFormat="1" x14ac:dyDescent="0.15"/>
    <row r="16489" s="69" customFormat="1" x14ac:dyDescent="0.15"/>
    <row r="16490" s="69" customFormat="1" x14ac:dyDescent="0.15"/>
    <row r="16491" s="69" customFormat="1" x14ac:dyDescent="0.15"/>
    <row r="16492" s="69" customFormat="1" x14ac:dyDescent="0.15"/>
    <row r="16493" s="69" customFormat="1" x14ac:dyDescent="0.15"/>
    <row r="16494" s="69" customFormat="1" x14ac:dyDescent="0.15"/>
    <row r="16495" s="69" customFormat="1" x14ac:dyDescent="0.15"/>
    <row r="16496" s="69" customFormat="1" x14ac:dyDescent="0.15"/>
    <row r="16497" s="69" customFormat="1" x14ac:dyDescent="0.15"/>
    <row r="16498" s="69" customFormat="1" x14ac:dyDescent="0.15"/>
    <row r="16499" s="69" customFormat="1" x14ac:dyDescent="0.15"/>
    <row r="16500" s="69" customFormat="1" x14ac:dyDescent="0.15"/>
    <row r="16501" s="69" customFormat="1" x14ac:dyDescent="0.15"/>
    <row r="16502" s="69" customFormat="1" x14ac:dyDescent="0.15"/>
    <row r="16503" s="69" customFormat="1" x14ac:dyDescent="0.15"/>
    <row r="16504" s="69" customFormat="1" x14ac:dyDescent="0.15"/>
    <row r="16505" s="69" customFormat="1" x14ac:dyDescent="0.15"/>
    <row r="16506" s="69" customFormat="1" x14ac:dyDescent="0.15"/>
    <row r="16507" s="69" customFormat="1" x14ac:dyDescent="0.15"/>
    <row r="16508" s="69" customFormat="1" x14ac:dyDescent="0.15"/>
    <row r="16509" s="69" customFormat="1" x14ac:dyDescent="0.15"/>
    <row r="16510" s="69" customFormat="1" x14ac:dyDescent="0.15"/>
    <row r="16511" s="69" customFormat="1" x14ac:dyDescent="0.15"/>
    <row r="16512" s="69" customFormat="1" x14ac:dyDescent="0.15"/>
    <row r="16513" s="69" customFormat="1" x14ac:dyDescent="0.15"/>
    <row r="16514" s="69" customFormat="1" x14ac:dyDescent="0.15"/>
    <row r="16515" s="69" customFormat="1" x14ac:dyDescent="0.15"/>
    <row r="16516" s="69" customFormat="1" x14ac:dyDescent="0.15"/>
    <row r="16517" s="69" customFormat="1" x14ac:dyDescent="0.15"/>
    <row r="16518" s="69" customFormat="1" x14ac:dyDescent="0.15"/>
    <row r="16519" s="69" customFormat="1" x14ac:dyDescent="0.15"/>
    <row r="16520" s="69" customFormat="1" x14ac:dyDescent="0.15"/>
    <row r="16521" s="69" customFormat="1" x14ac:dyDescent="0.15"/>
    <row r="16522" s="69" customFormat="1" x14ac:dyDescent="0.15"/>
    <row r="16523" s="69" customFormat="1" x14ac:dyDescent="0.15"/>
    <row r="16524" s="69" customFormat="1" x14ac:dyDescent="0.15"/>
    <row r="16525" s="69" customFormat="1" x14ac:dyDescent="0.15"/>
    <row r="16526" s="69" customFormat="1" x14ac:dyDescent="0.15"/>
    <row r="16527" s="69" customFormat="1" x14ac:dyDescent="0.15"/>
    <row r="16528" s="69" customFormat="1" x14ac:dyDescent="0.15"/>
    <row r="16529" s="69" customFormat="1" x14ac:dyDescent="0.15"/>
    <row r="16530" s="69" customFormat="1" x14ac:dyDescent="0.15"/>
    <row r="16531" s="69" customFormat="1" x14ac:dyDescent="0.15"/>
    <row r="16532" s="69" customFormat="1" x14ac:dyDescent="0.15"/>
    <row r="16533" s="69" customFormat="1" x14ac:dyDescent="0.15"/>
    <row r="16534" s="69" customFormat="1" x14ac:dyDescent="0.15"/>
    <row r="16535" s="69" customFormat="1" x14ac:dyDescent="0.15"/>
    <row r="16536" s="69" customFormat="1" x14ac:dyDescent="0.15"/>
    <row r="16537" s="69" customFormat="1" x14ac:dyDescent="0.15"/>
    <row r="16538" s="69" customFormat="1" x14ac:dyDescent="0.15"/>
    <row r="16539" s="69" customFormat="1" x14ac:dyDescent="0.15"/>
    <row r="16540" s="69" customFormat="1" x14ac:dyDescent="0.15"/>
    <row r="16541" s="69" customFormat="1" x14ac:dyDescent="0.15"/>
    <row r="16542" s="69" customFormat="1" x14ac:dyDescent="0.15"/>
    <row r="16543" s="69" customFormat="1" x14ac:dyDescent="0.15"/>
    <row r="16544" s="69" customFormat="1" x14ac:dyDescent="0.15"/>
    <row r="16545" s="69" customFormat="1" x14ac:dyDescent="0.15"/>
    <row r="16546" s="69" customFormat="1" x14ac:dyDescent="0.15"/>
    <row r="16547" s="69" customFormat="1" x14ac:dyDescent="0.15"/>
    <row r="16548" s="69" customFormat="1" x14ac:dyDescent="0.15"/>
    <row r="16549" s="69" customFormat="1" x14ac:dyDescent="0.15"/>
    <row r="16550" s="69" customFormat="1" x14ac:dyDescent="0.15"/>
    <row r="16551" s="69" customFormat="1" x14ac:dyDescent="0.15"/>
    <row r="16552" s="69" customFormat="1" x14ac:dyDescent="0.15"/>
    <row r="16553" s="69" customFormat="1" x14ac:dyDescent="0.15"/>
    <row r="16554" s="69" customFormat="1" x14ac:dyDescent="0.15"/>
    <row r="16555" s="69" customFormat="1" x14ac:dyDescent="0.15"/>
    <row r="16556" s="69" customFormat="1" x14ac:dyDescent="0.15"/>
    <row r="16557" s="69" customFormat="1" x14ac:dyDescent="0.15"/>
    <row r="16558" s="69" customFormat="1" x14ac:dyDescent="0.15"/>
    <row r="16559" s="69" customFormat="1" x14ac:dyDescent="0.15"/>
    <row r="16560" s="69" customFormat="1" x14ac:dyDescent="0.15"/>
    <row r="16561" s="69" customFormat="1" x14ac:dyDescent="0.15"/>
    <row r="16562" s="69" customFormat="1" x14ac:dyDescent="0.15"/>
    <row r="16563" s="69" customFormat="1" x14ac:dyDescent="0.15"/>
    <row r="16564" s="69" customFormat="1" x14ac:dyDescent="0.15"/>
    <row r="16565" s="69" customFormat="1" x14ac:dyDescent="0.15"/>
    <row r="16566" s="69" customFormat="1" x14ac:dyDescent="0.15"/>
    <row r="16567" s="69" customFormat="1" x14ac:dyDescent="0.15"/>
    <row r="16568" s="69" customFormat="1" x14ac:dyDescent="0.15"/>
    <row r="16569" s="69" customFormat="1" x14ac:dyDescent="0.15"/>
    <row r="16570" s="69" customFormat="1" x14ac:dyDescent="0.15"/>
    <row r="16571" s="69" customFormat="1" x14ac:dyDescent="0.15"/>
    <row r="16572" s="69" customFormat="1" x14ac:dyDescent="0.15"/>
    <row r="16573" s="69" customFormat="1" x14ac:dyDescent="0.15"/>
    <row r="16574" s="69" customFormat="1" x14ac:dyDescent="0.15"/>
    <row r="16575" s="69" customFormat="1" x14ac:dyDescent="0.15"/>
    <row r="16576" s="69" customFormat="1" x14ac:dyDescent="0.15"/>
    <row r="16577" s="69" customFormat="1" x14ac:dyDescent="0.15"/>
    <row r="16578" s="69" customFormat="1" x14ac:dyDescent="0.15"/>
    <row r="16579" s="69" customFormat="1" x14ac:dyDescent="0.15"/>
    <row r="16580" s="69" customFormat="1" x14ac:dyDescent="0.15"/>
    <row r="16581" s="69" customFormat="1" x14ac:dyDescent="0.15"/>
    <row r="16582" s="69" customFormat="1" x14ac:dyDescent="0.15"/>
    <row r="16583" s="69" customFormat="1" x14ac:dyDescent="0.15"/>
    <row r="16584" s="69" customFormat="1" x14ac:dyDescent="0.15"/>
    <row r="16585" s="69" customFormat="1" x14ac:dyDescent="0.15"/>
    <row r="16586" s="69" customFormat="1" x14ac:dyDescent="0.15"/>
    <row r="16587" s="69" customFormat="1" x14ac:dyDescent="0.15"/>
    <row r="16588" s="69" customFormat="1" x14ac:dyDescent="0.15"/>
    <row r="16589" s="69" customFormat="1" x14ac:dyDescent="0.15"/>
    <row r="16590" s="69" customFormat="1" x14ac:dyDescent="0.15"/>
    <row r="16591" s="69" customFormat="1" x14ac:dyDescent="0.15"/>
    <row r="16592" s="69" customFormat="1" x14ac:dyDescent="0.15"/>
    <row r="16593" s="69" customFormat="1" x14ac:dyDescent="0.15"/>
    <row r="16594" s="69" customFormat="1" x14ac:dyDescent="0.15"/>
    <row r="16595" s="69" customFormat="1" x14ac:dyDescent="0.15"/>
    <row r="16596" s="69" customFormat="1" x14ac:dyDescent="0.15"/>
    <row r="16597" s="69" customFormat="1" x14ac:dyDescent="0.15"/>
    <row r="16598" s="69" customFormat="1" x14ac:dyDescent="0.15"/>
    <row r="16599" s="69" customFormat="1" x14ac:dyDescent="0.15"/>
    <row r="16600" s="69" customFormat="1" x14ac:dyDescent="0.15"/>
    <row r="16601" s="69" customFormat="1" x14ac:dyDescent="0.15"/>
    <row r="16602" s="69" customFormat="1" x14ac:dyDescent="0.15"/>
    <row r="16603" s="69" customFormat="1" x14ac:dyDescent="0.15"/>
    <row r="16604" s="69" customFormat="1" x14ac:dyDescent="0.15"/>
    <row r="16605" s="69" customFormat="1" x14ac:dyDescent="0.15"/>
    <row r="16606" s="69" customFormat="1" x14ac:dyDescent="0.15"/>
    <row r="16607" s="69" customFormat="1" x14ac:dyDescent="0.15"/>
    <row r="16608" s="69" customFormat="1" x14ac:dyDescent="0.15"/>
    <row r="16609" s="69" customFormat="1" x14ac:dyDescent="0.15"/>
    <row r="16610" s="69" customFormat="1" x14ac:dyDescent="0.15"/>
    <row r="16611" s="69" customFormat="1" x14ac:dyDescent="0.15"/>
    <row r="16612" s="69" customFormat="1" x14ac:dyDescent="0.15"/>
    <row r="16613" s="69" customFormat="1" x14ac:dyDescent="0.15"/>
    <row r="16614" s="69" customFormat="1" x14ac:dyDescent="0.15"/>
    <row r="16615" s="69" customFormat="1" x14ac:dyDescent="0.15"/>
    <row r="16616" s="69" customFormat="1" x14ac:dyDescent="0.15"/>
    <row r="16617" s="69" customFormat="1" x14ac:dyDescent="0.15"/>
    <row r="16618" s="69" customFormat="1" x14ac:dyDescent="0.15"/>
    <row r="16619" s="69" customFormat="1" x14ac:dyDescent="0.15"/>
    <row r="16620" s="69" customFormat="1" x14ac:dyDescent="0.15"/>
    <row r="16621" s="69" customFormat="1" x14ac:dyDescent="0.15"/>
    <row r="16622" s="69" customFormat="1" x14ac:dyDescent="0.15"/>
    <row r="16623" s="69" customFormat="1" x14ac:dyDescent="0.15"/>
    <row r="16624" s="69" customFormat="1" x14ac:dyDescent="0.15"/>
    <row r="16625" s="69" customFormat="1" x14ac:dyDescent="0.15"/>
    <row r="16626" s="69" customFormat="1" x14ac:dyDescent="0.15"/>
    <row r="16627" s="69" customFormat="1" x14ac:dyDescent="0.15"/>
    <row r="16628" s="69" customFormat="1" x14ac:dyDescent="0.15"/>
    <row r="16629" s="69" customFormat="1" x14ac:dyDescent="0.15"/>
    <row r="16630" s="69" customFormat="1" x14ac:dyDescent="0.15"/>
    <row r="16631" s="69" customFormat="1" x14ac:dyDescent="0.15"/>
    <row r="16632" s="69" customFormat="1" x14ac:dyDescent="0.15"/>
    <row r="16633" s="69" customFormat="1" x14ac:dyDescent="0.15"/>
    <row r="16634" s="69" customFormat="1" x14ac:dyDescent="0.15"/>
    <row r="16635" s="69" customFormat="1" x14ac:dyDescent="0.15"/>
    <row r="16636" s="69" customFormat="1" x14ac:dyDescent="0.15"/>
    <row r="16637" s="69" customFormat="1" x14ac:dyDescent="0.15"/>
    <row r="16638" s="69" customFormat="1" x14ac:dyDescent="0.15"/>
    <row r="16639" s="69" customFormat="1" x14ac:dyDescent="0.15"/>
    <row r="16640" s="69" customFormat="1" x14ac:dyDescent="0.15"/>
    <row r="16641" s="69" customFormat="1" x14ac:dyDescent="0.15"/>
    <row r="16642" s="69" customFormat="1" x14ac:dyDescent="0.15"/>
    <row r="16643" s="69" customFormat="1" x14ac:dyDescent="0.15"/>
    <row r="16644" s="69" customFormat="1" x14ac:dyDescent="0.15"/>
    <row r="16645" s="69" customFormat="1" x14ac:dyDescent="0.15"/>
    <row r="16646" s="69" customFormat="1" x14ac:dyDescent="0.15"/>
    <row r="16647" s="69" customFormat="1" x14ac:dyDescent="0.15"/>
    <row r="16648" s="69" customFormat="1" x14ac:dyDescent="0.15"/>
    <row r="16649" s="69" customFormat="1" x14ac:dyDescent="0.15"/>
    <row r="16650" s="69" customFormat="1" x14ac:dyDescent="0.15"/>
    <row r="16651" s="69" customFormat="1" x14ac:dyDescent="0.15"/>
    <row r="16652" s="69" customFormat="1" x14ac:dyDescent="0.15"/>
    <row r="16653" s="69" customFormat="1" x14ac:dyDescent="0.15"/>
    <row r="16654" s="69" customFormat="1" x14ac:dyDescent="0.15"/>
    <row r="16655" s="69" customFormat="1" x14ac:dyDescent="0.15"/>
    <row r="16656" s="69" customFormat="1" x14ac:dyDescent="0.15"/>
    <row r="16657" s="69" customFormat="1" x14ac:dyDescent="0.15"/>
    <row r="16658" s="69" customFormat="1" x14ac:dyDescent="0.15"/>
    <row r="16659" s="69" customFormat="1" x14ac:dyDescent="0.15"/>
    <row r="16660" s="69" customFormat="1" x14ac:dyDescent="0.15"/>
    <row r="16661" s="69" customFormat="1" x14ac:dyDescent="0.15"/>
    <row r="16662" s="69" customFormat="1" x14ac:dyDescent="0.15"/>
    <row r="16663" s="69" customFormat="1" x14ac:dyDescent="0.15"/>
    <row r="16664" s="69" customFormat="1" x14ac:dyDescent="0.15"/>
    <row r="16665" s="69" customFormat="1" x14ac:dyDescent="0.15"/>
    <row r="16666" s="69" customFormat="1" x14ac:dyDescent="0.15"/>
    <row r="16667" s="69" customFormat="1" x14ac:dyDescent="0.15"/>
    <row r="16668" s="69" customFormat="1" x14ac:dyDescent="0.15"/>
    <row r="16669" s="69" customFormat="1" x14ac:dyDescent="0.15"/>
    <row r="16670" s="69" customFormat="1" x14ac:dyDescent="0.15"/>
    <row r="16671" s="69" customFormat="1" x14ac:dyDescent="0.15"/>
    <row r="16672" s="69" customFormat="1" x14ac:dyDescent="0.15"/>
    <row r="16673" s="69" customFormat="1" x14ac:dyDescent="0.15"/>
    <row r="16674" s="69" customFormat="1" x14ac:dyDescent="0.15"/>
    <row r="16675" s="69" customFormat="1" x14ac:dyDescent="0.15"/>
    <row r="16676" s="69" customFormat="1" x14ac:dyDescent="0.15"/>
    <row r="16677" s="69" customFormat="1" x14ac:dyDescent="0.15"/>
    <row r="16678" s="69" customFormat="1" x14ac:dyDescent="0.15"/>
    <row r="16679" s="69" customFormat="1" x14ac:dyDescent="0.15"/>
    <row r="16680" s="69" customFormat="1" x14ac:dyDescent="0.15"/>
    <row r="16681" s="69" customFormat="1" x14ac:dyDescent="0.15"/>
    <row r="16682" s="69" customFormat="1" x14ac:dyDescent="0.15"/>
    <row r="16683" s="69" customFormat="1" x14ac:dyDescent="0.15"/>
    <row r="16684" s="69" customFormat="1" x14ac:dyDescent="0.15"/>
    <row r="16685" s="69" customFormat="1" x14ac:dyDescent="0.15"/>
    <row r="16686" s="69" customFormat="1" x14ac:dyDescent="0.15"/>
    <row r="16687" s="69" customFormat="1" x14ac:dyDescent="0.15"/>
    <row r="16688" s="69" customFormat="1" x14ac:dyDescent="0.15"/>
    <row r="16689" s="69" customFormat="1" x14ac:dyDescent="0.15"/>
    <row r="16690" s="69" customFormat="1" x14ac:dyDescent="0.15"/>
    <row r="16691" s="69" customFormat="1" x14ac:dyDescent="0.15"/>
    <row r="16692" s="69" customFormat="1" x14ac:dyDescent="0.15"/>
    <row r="16693" s="69" customFormat="1" x14ac:dyDescent="0.15"/>
    <row r="16694" s="69" customFormat="1" x14ac:dyDescent="0.15"/>
    <row r="16695" s="69" customFormat="1" x14ac:dyDescent="0.15"/>
    <row r="16696" s="69" customFormat="1" x14ac:dyDescent="0.15"/>
    <row r="16697" s="69" customFormat="1" x14ac:dyDescent="0.15"/>
    <row r="16698" s="69" customFormat="1" x14ac:dyDescent="0.15"/>
    <row r="16699" s="69" customFormat="1" x14ac:dyDescent="0.15"/>
    <row r="16700" s="69" customFormat="1" x14ac:dyDescent="0.15"/>
    <row r="16701" s="69" customFormat="1" x14ac:dyDescent="0.15"/>
    <row r="16702" s="69" customFormat="1" x14ac:dyDescent="0.15"/>
    <row r="16703" s="69" customFormat="1" x14ac:dyDescent="0.15"/>
    <row r="16704" s="69" customFormat="1" x14ac:dyDescent="0.15"/>
    <row r="16705" s="69" customFormat="1" x14ac:dyDescent="0.15"/>
    <row r="16706" s="69" customFormat="1" x14ac:dyDescent="0.15"/>
    <row r="16707" s="69" customFormat="1" x14ac:dyDescent="0.15"/>
    <row r="16708" s="69" customFormat="1" x14ac:dyDescent="0.15"/>
    <row r="16709" s="69" customFormat="1" x14ac:dyDescent="0.15"/>
    <row r="16710" s="69" customFormat="1" x14ac:dyDescent="0.15"/>
    <row r="16711" s="69" customFormat="1" x14ac:dyDescent="0.15"/>
    <row r="16712" s="69" customFormat="1" x14ac:dyDescent="0.15"/>
    <row r="16713" s="69" customFormat="1" x14ac:dyDescent="0.15"/>
    <row r="16714" s="69" customFormat="1" x14ac:dyDescent="0.15"/>
    <row r="16715" s="69" customFormat="1" x14ac:dyDescent="0.15"/>
    <row r="16716" s="69" customFormat="1" x14ac:dyDescent="0.15"/>
    <row r="16717" s="69" customFormat="1" x14ac:dyDescent="0.15"/>
    <row r="16718" s="69" customFormat="1" x14ac:dyDescent="0.15"/>
    <row r="16719" s="69" customFormat="1" x14ac:dyDescent="0.15"/>
    <row r="16720" s="69" customFormat="1" x14ac:dyDescent="0.15"/>
    <row r="16721" s="69" customFormat="1" x14ac:dyDescent="0.15"/>
    <row r="16722" s="69" customFormat="1" x14ac:dyDescent="0.15"/>
    <row r="16723" s="69" customFormat="1" x14ac:dyDescent="0.15"/>
    <row r="16724" s="69" customFormat="1" x14ac:dyDescent="0.15"/>
    <row r="16725" s="69" customFormat="1" x14ac:dyDescent="0.15"/>
    <row r="16726" s="69" customFormat="1" x14ac:dyDescent="0.15"/>
    <row r="16727" s="69" customFormat="1" x14ac:dyDescent="0.15"/>
    <row r="16728" s="69" customFormat="1" x14ac:dyDescent="0.15"/>
    <row r="16729" s="69" customFormat="1" x14ac:dyDescent="0.15"/>
    <row r="16730" s="69" customFormat="1" x14ac:dyDescent="0.15"/>
    <row r="16731" s="69" customFormat="1" x14ac:dyDescent="0.15"/>
    <row r="16732" s="69" customFormat="1" x14ac:dyDescent="0.15"/>
    <row r="16733" s="69" customFormat="1" x14ac:dyDescent="0.15"/>
    <row r="16734" s="69" customFormat="1" x14ac:dyDescent="0.15"/>
    <row r="16735" s="69" customFormat="1" x14ac:dyDescent="0.15"/>
    <row r="16736" s="69" customFormat="1" x14ac:dyDescent="0.15"/>
    <row r="16737" s="69" customFormat="1" x14ac:dyDescent="0.15"/>
    <row r="16738" s="69" customFormat="1" x14ac:dyDescent="0.15"/>
    <row r="16739" s="69" customFormat="1" x14ac:dyDescent="0.15"/>
    <row r="16740" s="69" customFormat="1" x14ac:dyDescent="0.15"/>
    <row r="16741" s="69" customFormat="1" x14ac:dyDescent="0.15"/>
    <row r="16742" s="69" customFormat="1" x14ac:dyDescent="0.15"/>
    <row r="16743" s="69" customFormat="1" x14ac:dyDescent="0.15"/>
    <row r="16744" s="69" customFormat="1" x14ac:dyDescent="0.15"/>
    <row r="16745" s="69" customFormat="1" x14ac:dyDescent="0.15"/>
    <row r="16746" s="69" customFormat="1" x14ac:dyDescent="0.15"/>
    <row r="16747" s="69" customFormat="1" x14ac:dyDescent="0.15"/>
    <row r="16748" s="69" customFormat="1" x14ac:dyDescent="0.15"/>
    <row r="16749" s="69" customFormat="1" x14ac:dyDescent="0.15"/>
    <row r="16750" s="69" customFormat="1" x14ac:dyDescent="0.15"/>
    <row r="16751" s="69" customFormat="1" x14ac:dyDescent="0.15"/>
    <row r="16752" s="69" customFormat="1" x14ac:dyDescent="0.15"/>
    <row r="16753" s="69" customFormat="1" x14ac:dyDescent="0.15"/>
    <row r="16754" s="69" customFormat="1" x14ac:dyDescent="0.15"/>
    <row r="16755" s="69" customFormat="1" x14ac:dyDescent="0.15"/>
    <row r="16756" s="69" customFormat="1" x14ac:dyDescent="0.15"/>
    <row r="16757" s="69" customFormat="1" x14ac:dyDescent="0.15"/>
    <row r="16758" s="69" customFormat="1" x14ac:dyDescent="0.15"/>
    <row r="16759" s="69" customFormat="1" x14ac:dyDescent="0.15"/>
    <row r="16760" s="69" customFormat="1" x14ac:dyDescent="0.15"/>
    <row r="16761" s="69" customFormat="1" x14ac:dyDescent="0.15"/>
    <row r="16762" s="69" customFormat="1" x14ac:dyDescent="0.15"/>
    <row r="16763" s="69" customFormat="1" x14ac:dyDescent="0.15"/>
    <row r="16764" s="69" customFormat="1" x14ac:dyDescent="0.15"/>
    <row r="16765" s="69" customFormat="1" x14ac:dyDescent="0.15"/>
    <row r="16766" s="69" customFormat="1" x14ac:dyDescent="0.15"/>
    <row r="16767" s="69" customFormat="1" x14ac:dyDescent="0.15"/>
    <row r="16768" s="69" customFormat="1" x14ac:dyDescent="0.15"/>
    <row r="16769" s="69" customFormat="1" x14ac:dyDescent="0.15"/>
    <row r="16770" s="69" customFormat="1" x14ac:dyDescent="0.15"/>
    <row r="16771" s="69" customFormat="1" x14ac:dyDescent="0.15"/>
    <row r="16772" s="69" customFormat="1" x14ac:dyDescent="0.15"/>
    <row r="16773" s="69" customFormat="1" x14ac:dyDescent="0.15"/>
    <row r="16774" s="69" customFormat="1" x14ac:dyDescent="0.15"/>
    <row r="16775" s="69" customFormat="1" x14ac:dyDescent="0.15"/>
    <row r="16776" s="69" customFormat="1" x14ac:dyDescent="0.15"/>
    <row r="16777" s="69" customFormat="1" x14ac:dyDescent="0.15"/>
    <row r="16778" s="69" customFormat="1" x14ac:dyDescent="0.15"/>
    <row r="16779" s="69" customFormat="1" x14ac:dyDescent="0.15"/>
    <row r="16780" s="69" customFormat="1" x14ac:dyDescent="0.15"/>
    <row r="16781" s="69" customFormat="1" x14ac:dyDescent="0.15"/>
    <row r="16782" s="69" customFormat="1" x14ac:dyDescent="0.15"/>
    <row r="16783" s="69" customFormat="1" x14ac:dyDescent="0.15"/>
    <row r="16784" s="69" customFormat="1" x14ac:dyDescent="0.15"/>
    <row r="16785" s="69" customFormat="1" x14ac:dyDescent="0.15"/>
    <row r="16786" s="69" customFormat="1" x14ac:dyDescent="0.15"/>
    <row r="16787" s="69" customFormat="1" x14ac:dyDescent="0.15"/>
    <row r="16788" s="69" customFormat="1" x14ac:dyDescent="0.15"/>
    <row r="16789" s="69" customFormat="1" x14ac:dyDescent="0.15"/>
    <row r="16790" s="69" customFormat="1" x14ac:dyDescent="0.15"/>
    <row r="16791" s="69" customFormat="1" x14ac:dyDescent="0.15"/>
    <row r="16792" s="69" customFormat="1" x14ac:dyDescent="0.15"/>
    <row r="16793" s="69" customFormat="1" x14ac:dyDescent="0.15"/>
    <row r="16794" s="69" customFormat="1" x14ac:dyDescent="0.15"/>
    <row r="16795" s="69" customFormat="1" x14ac:dyDescent="0.15"/>
    <row r="16796" s="69" customFormat="1" x14ac:dyDescent="0.15"/>
    <row r="16797" s="69" customFormat="1" x14ac:dyDescent="0.15"/>
    <row r="16798" s="69" customFormat="1" x14ac:dyDescent="0.15"/>
    <row r="16799" s="69" customFormat="1" x14ac:dyDescent="0.15"/>
    <row r="16800" s="69" customFormat="1" x14ac:dyDescent="0.15"/>
    <row r="16801" s="69" customFormat="1" x14ac:dyDescent="0.15"/>
    <row r="16802" s="69" customFormat="1" x14ac:dyDescent="0.15"/>
    <row r="16803" s="69" customFormat="1" x14ac:dyDescent="0.15"/>
    <row r="16804" s="69" customFormat="1" x14ac:dyDescent="0.15"/>
    <row r="16805" s="69" customFormat="1" x14ac:dyDescent="0.15"/>
    <row r="16806" s="69" customFormat="1" x14ac:dyDescent="0.15"/>
    <row r="16807" s="69" customFormat="1" x14ac:dyDescent="0.15"/>
    <row r="16808" s="69" customFormat="1" x14ac:dyDescent="0.15"/>
    <row r="16809" s="69" customFormat="1" x14ac:dyDescent="0.15"/>
    <row r="16810" s="69" customFormat="1" x14ac:dyDescent="0.15"/>
    <row r="16811" s="69" customFormat="1" x14ac:dyDescent="0.15"/>
    <row r="16812" s="69" customFormat="1" x14ac:dyDescent="0.15"/>
    <row r="16813" s="69" customFormat="1" x14ac:dyDescent="0.15"/>
    <row r="16814" s="69" customFormat="1" x14ac:dyDescent="0.15"/>
    <row r="16815" s="69" customFormat="1" x14ac:dyDescent="0.15"/>
    <row r="16816" s="69" customFormat="1" x14ac:dyDescent="0.15"/>
    <row r="16817" s="69" customFormat="1" x14ac:dyDescent="0.15"/>
    <row r="16818" s="69" customFormat="1" x14ac:dyDescent="0.15"/>
    <row r="16819" s="69" customFormat="1" x14ac:dyDescent="0.15"/>
    <row r="16820" s="69" customFormat="1" x14ac:dyDescent="0.15"/>
    <row r="16821" s="69" customFormat="1" x14ac:dyDescent="0.15"/>
    <row r="16822" s="69" customFormat="1" x14ac:dyDescent="0.15"/>
    <row r="16823" s="69" customFormat="1" x14ac:dyDescent="0.15"/>
    <row r="16824" s="69" customFormat="1" x14ac:dyDescent="0.15"/>
    <row r="16825" s="69" customFormat="1" x14ac:dyDescent="0.15"/>
    <row r="16826" s="69" customFormat="1" x14ac:dyDescent="0.15"/>
    <row r="16827" s="69" customFormat="1" x14ac:dyDescent="0.15"/>
    <row r="16828" s="69" customFormat="1" x14ac:dyDescent="0.15"/>
    <row r="16829" s="69" customFormat="1" x14ac:dyDescent="0.15"/>
    <row r="16830" s="69" customFormat="1" x14ac:dyDescent="0.15"/>
    <row r="16831" s="69" customFormat="1" x14ac:dyDescent="0.15"/>
    <row r="16832" s="69" customFormat="1" x14ac:dyDescent="0.15"/>
    <row r="16833" s="69" customFormat="1" x14ac:dyDescent="0.15"/>
    <row r="16834" s="69" customFormat="1" x14ac:dyDescent="0.15"/>
    <row r="16835" s="69" customFormat="1" x14ac:dyDescent="0.15"/>
    <row r="16836" s="69" customFormat="1" x14ac:dyDescent="0.15"/>
    <row r="16837" s="69" customFormat="1" x14ac:dyDescent="0.15"/>
    <row r="16838" s="69" customFormat="1" x14ac:dyDescent="0.15"/>
    <row r="16839" s="69" customFormat="1" x14ac:dyDescent="0.15"/>
    <row r="16840" s="69" customFormat="1" x14ac:dyDescent="0.15"/>
    <row r="16841" s="69" customFormat="1" x14ac:dyDescent="0.15"/>
    <row r="16842" s="69" customFormat="1" x14ac:dyDescent="0.15"/>
    <row r="16843" s="69" customFormat="1" x14ac:dyDescent="0.15"/>
    <row r="16844" s="69" customFormat="1" x14ac:dyDescent="0.15"/>
    <row r="16845" s="69" customFormat="1" x14ac:dyDescent="0.15"/>
    <row r="16846" s="69" customFormat="1" x14ac:dyDescent="0.15"/>
    <row r="16847" s="69" customFormat="1" x14ac:dyDescent="0.15"/>
    <row r="16848" s="69" customFormat="1" x14ac:dyDescent="0.15"/>
    <row r="16849" s="69" customFormat="1" x14ac:dyDescent="0.15"/>
    <row r="16850" s="69" customFormat="1" x14ac:dyDescent="0.15"/>
    <row r="16851" s="69" customFormat="1" x14ac:dyDescent="0.15"/>
    <row r="16852" s="69" customFormat="1" x14ac:dyDescent="0.15"/>
    <row r="16853" s="69" customFormat="1" x14ac:dyDescent="0.15"/>
    <row r="16854" s="69" customFormat="1" x14ac:dyDescent="0.15"/>
    <row r="16855" s="69" customFormat="1" x14ac:dyDescent="0.15"/>
    <row r="16856" s="69" customFormat="1" x14ac:dyDescent="0.15"/>
    <row r="16857" s="69" customFormat="1" x14ac:dyDescent="0.15"/>
    <row r="16858" s="69" customFormat="1" x14ac:dyDescent="0.15"/>
    <row r="16859" s="69" customFormat="1" x14ac:dyDescent="0.15"/>
    <row r="16860" s="69" customFormat="1" x14ac:dyDescent="0.15"/>
    <row r="16861" s="69" customFormat="1" x14ac:dyDescent="0.15"/>
    <row r="16862" s="69" customFormat="1" x14ac:dyDescent="0.15"/>
    <row r="16863" s="69" customFormat="1" x14ac:dyDescent="0.15"/>
    <row r="16864" s="69" customFormat="1" x14ac:dyDescent="0.15"/>
    <row r="16865" s="69" customFormat="1" x14ac:dyDescent="0.15"/>
    <row r="16866" s="69" customFormat="1" x14ac:dyDescent="0.15"/>
    <row r="16867" s="69" customFormat="1" x14ac:dyDescent="0.15"/>
    <row r="16868" s="69" customFormat="1" x14ac:dyDescent="0.15"/>
    <row r="16869" s="69" customFormat="1" x14ac:dyDescent="0.15"/>
    <row r="16870" s="69" customFormat="1" x14ac:dyDescent="0.15"/>
    <row r="16871" s="69" customFormat="1" x14ac:dyDescent="0.15"/>
    <row r="16872" s="69" customFormat="1" x14ac:dyDescent="0.15"/>
    <row r="16873" s="69" customFormat="1" x14ac:dyDescent="0.15"/>
    <row r="16874" s="69" customFormat="1" x14ac:dyDescent="0.15"/>
    <row r="16875" s="69" customFormat="1" x14ac:dyDescent="0.15"/>
    <row r="16876" s="69" customFormat="1" x14ac:dyDescent="0.15"/>
    <row r="16877" s="69" customFormat="1" x14ac:dyDescent="0.15"/>
    <row r="16878" s="69" customFormat="1" x14ac:dyDescent="0.15"/>
    <row r="16879" s="69" customFormat="1" x14ac:dyDescent="0.15"/>
    <row r="16880" s="69" customFormat="1" x14ac:dyDescent="0.15"/>
    <row r="16881" s="69" customFormat="1" x14ac:dyDescent="0.15"/>
    <row r="16882" s="69" customFormat="1" x14ac:dyDescent="0.15"/>
    <row r="16883" s="69" customFormat="1" x14ac:dyDescent="0.15"/>
    <row r="16884" s="69" customFormat="1" x14ac:dyDescent="0.15"/>
    <row r="16885" s="69" customFormat="1" x14ac:dyDescent="0.15"/>
    <row r="16886" s="69" customFormat="1" x14ac:dyDescent="0.15"/>
    <row r="16887" s="69" customFormat="1" x14ac:dyDescent="0.15"/>
    <row r="16888" s="69" customFormat="1" x14ac:dyDescent="0.15"/>
    <row r="16889" s="69" customFormat="1" x14ac:dyDescent="0.15"/>
    <row r="16890" s="69" customFormat="1" x14ac:dyDescent="0.15"/>
    <row r="16891" s="69" customFormat="1" x14ac:dyDescent="0.15"/>
    <row r="16892" s="69" customFormat="1" x14ac:dyDescent="0.15"/>
    <row r="16893" s="69" customFormat="1" x14ac:dyDescent="0.15"/>
    <row r="16894" s="69" customFormat="1" x14ac:dyDescent="0.15"/>
    <row r="16895" s="69" customFormat="1" x14ac:dyDescent="0.15"/>
    <row r="16896" s="69" customFormat="1" x14ac:dyDescent="0.15"/>
    <row r="16897" s="69" customFormat="1" x14ac:dyDescent="0.15"/>
    <row r="16898" s="69" customFormat="1" x14ac:dyDescent="0.15"/>
    <row r="16899" s="69" customFormat="1" x14ac:dyDescent="0.15"/>
    <row r="16900" s="69" customFormat="1" x14ac:dyDescent="0.15"/>
    <row r="16901" s="69" customFormat="1" x14ac:dyDescent="0.15"/>
    <row r="16902" s="69" customFormat="1" x14ac:dyDescent="0.15"/>
    <row r="16903" s="69" customFormat="1" x14ac:dyDescent="0.15"/>
    <row r="16904" s="69" customFormat="1" x14ac:dyDescent="0.15"/>
    <row r="16905" s="69" customFormat="1" x14ac:dyDescent="0.15"/>
    <row r="16906" s="69" customFormat="1" x14ac:dyDescent="0.15"/>
    <row r="16907" s="69" customFormat="1" x14ac:dyDescent="0.15"/>
    <row r="16908" s="69" customFormat="1" x14ac:dyDescent="0.15"/>
    <row r="16909" s="69" customFormat="1" x14ac:dyDescent="0.15"/>
    <row r="16910" s="69" customFormat="1" x14ac:dyDescent="0.15"/>
    <row r="16911" s="69" customFormat="1" x14ac:dyDescent="0.15"/>
    <row r="16912" s="69" customFormat="1" x14ac:dyDescent="0.15"/>
    <row r="16913" s="69" customFormat="1" x14ac:dyDescent="0.15"/>
    <row r="16914" s="69" customFormat="1" x14ac:dyDescent="0.15"/>
    <row r="16915" s="69" customFormat="1" x14ac:dyDescent="0.15"/>
    <row r="16916" s="69" customFormat="1" x14ac:dyDescent="0.15"/>
    <row r="16917" s="69" customFormat="1" x14ac:dyDescent="0.15"/>
    <row r="16918" s="69" customFormat="1" x14ac:dyDescent="0.15"/>
    <row r="16919" s="69" customFormat="1" x14ac:dyDescent="0.15"/>
    <row r="16920" s="69" customFormat="1" x14ac:dyDescent="0.15"/>
    <row r="16921" s="69" customFormat="1" x14ac:dyDescent="0.15"/>
    <row r="16922" s="69" customFormat="1" x14ac:dyDescent="0.15"/>
    <row r="16923" s="69" customFormat="1" x14ac:dyDescent="0.15"/>
    <row r="16924" s="69" customFormat="1" x14ac:dyDescent="0.15"/>
    <row r="16925" s="69" customFormat="1" x14ac:dyDescent="0.15"/>
    <row r="16926" s="69" customFormat="1" x14ac:dyDescent="0.15"/>
    <row r="16927" s="69" customFormat="1" x14ac:dyDescent="0.15"/>
    <row r="16928" s="69" customFormat="1" x14ac:dyDescent="0.15"/>
    <row r="16929" s="69" customFormat="1" x14ac:dyDescent="0.15"/>
    <row r="16930" s="69" customFormat="1" x14ac:dyDescent="0.15"/>
    <row r="16931" s="69" customFormat="1" x14ac:dyDescent="0.15"/>
    <row r="16932" s="69" customFormat="1" x14ac:dyDescent="0.15"/>
    <row r="16933" s="69" customFormat="1" x14ac:dyDescent="0.15"/>
    <row r="16934" s="69" customFormat="1" x14ac:dyDescent="0.15"/>
    <row r="16935" s="69" customFormat="1" x14ac:dyDescent="0.15"/>
    <row r="16936" s="69" customFormat="1" x14ac:dyDescent="0.15"/>
    <row r="16937" s="69" customFormat="1" x14ac:dyDescent="0.15"/>
    <row r="16938" s="69" customFormat="1" x14ac:dyDescent="0.15"/>
    <row r="16939" s="69" customFormat="1" x14ac:dyDescent="0.15"/>
    <row r="16940" s="69" customFormat="1" x14ac:dyDescent="0.15"/>
    <row r="16941" s="69" customFormat="1" x14ac:dyDescent="0.15"/>
    <row r="16942" s="69" customFormat="1" x14ac:dyDescent="0.15"/>
    <row r="16943" s="69" customFormat="1" x14ac:dyDescent="0.15"/>
    <row r="16944" s="69" customFormat="1" x14ac:dyDescent="0.15"/>
    <row r="16945" s="69" customFormat="1" x14ac:dyDescent="0.15"/>
    <row r="16946" s="69" customFormat="1" x14ac:dyDescent="0.15"/>
    <row r="16947" s="69" customFormat="1" x14ac:dyDescent="0.15"/>
    <row r="16948" s="69" customFormat="1" x14ac:dyDescent="0.15"/>
    <row r="16949" s="69" customFormat="1" x14ac:dyDescent="0.15"/>
    <row r="16950" s="69" customFormat="1" x14ac:dyDescent="0.15"/>
    <row r="16951" s="69" customFormat="1" x14ac:dyDescent="0.15"/>
    <row r="16952" s="69" customFormat="1" x14ac:dyDescent="0.15"/>
    <row r="16953" s="69" customFormat="1" x14ac:dyDescent="0.15"/>
    <row r="16954" s="69" customFormat="1" x14ac:dyDescent="0.15"/>
    <row r="16955" s="69" customFormat="1" x14ac:dyDescent="0.15"/>
    <row r="16956" s="69" customFormat="1" x14ac:dyDescent="0.15"/>
    <row r="16957" s="69" customFormat="1" x14ac:dyDescent="0.15"/>
    <row r="16958" s="69" customFormat="1" x14ac:dyDescent="0.15"/>
    <row r="16959" s="69" customFormat="1" x14ac:dyDescent="0.15"/>
    <row r="16960" s="69" customFormat="1" x14ac:dyDescent="0.15"/>
    <row r="16961" s="69" customFormat="1" x14ac:dyDescent="0.15"/>
    <row r="16962" s="69" customFormat="1" x14ac:dyDescent="0.15"/>
    <row r="16963" s="69" customFormat="1" x14ac:dyDescent="0.15"/>
    <row r="16964" s="69" customFormat="1" x14ac:dyDescent="0.15"/>
    <row r="16965" s="69" customFormat="1" x14ac:dyDescent="0.15"/>
    <row r="16966" s="69" customFormat="1" x14ac:dyDescent="0.15"/>
    <row r="16967" s="69" customFormat="1" x14ac:dyDescent="0.15"/>
    <row r="16968" s="69" customFormat="1" x14ac:dyDescent="0.15"/>
    <row r="16969" s="69" customFormat="1" x14ac:dyDescent="0.15"/>
    <row r="16970" s="69" customFormat="1" x14ac:dyDescent="0.15"/>
    <row r="16971" s="69" customFormat="1" x14ac:dyDescent="0.15"/>
    <row r="16972" s="69" customFormat="1" x14ac:dyDescent="0.15"/>
    <row r="16973" s="69" customFormat="1" x14ac:dyDescent="0.15"/>
    <row r="16974" s="69" customFormat="1" x14ac:dyDescent="0.15"/>
    <row r="16975" s="69" customFormat="1" x14ac:dyDescent="0.15"/>
    <row r="16976" s="69" customFormat="1" x14ac:dyDescent="0.15"/>
    <row r="16977" s="69" customFormat="1" x14ac:dyDescent="0.15"/>
    <row r="16978" s="69" customFormat="1" x14ac:dyDescent="0.15"/>
    <row r="16979" s="69" customFormat="1" x14ac:dyDescent="0.15"/>
    <row r="16980" s="69" customFormat="1" x14ac:dyDescent="0.15"/>
    <row r="16981" s="69" customFormat="1" x14ac:dyDescent="0.15"/>
    <row r="16982" s="69" customFormat="1" x14ac:dyDescent="0.15"/>
    <row r="16983" s="69" customFormat="1" x14ac:dyDescent="0.15"/>
    <row r="16984" s="69" customFormat="1" x14ac:dyDescent="0.15"/>
    <row r="16985" s="69" customFormat="1" x14ac:dyDescent="0.15"/>
    <row r="16986" s="69" customFormat="1" x14ac:dyDescent="0.15"/>
    <row r="16987" s="69" customFormat="1" x14ac:dyDescent="0.15"/>
    <row r="16988" s="69" customFormat="1" x14ac:dyDescent="0.15"/>
    <row r="16989" s="69" customFormat="1" x14ac:dyDescent="0.15"/>
    <row r="16990" s="69" customFormat="1" x14ac:dyDescent="0.15"/>
    <row r="16991" s="69" customFormat="1" x14ac:dyDescent="0.15"/>
    <row r="16992" s="69" customFormat="1" x14ac:dyDescent="0.15"/>
    <row r="16993" s="69" customFormat="1" x14ac:dyDescent="0.15"/>
    <row r="16994" s="69" customFormat="1" x14ac:dyDescent="0.15"/>
    <row r="16995" s="69" customFormat="1" x14ac:dyDescent="0.15"/>
    <row r="16996" s="69" customFormat="1" x14ac:dyDescent="0.15"/>
    <row r="16997" s="69" customFormat="1" x14ac:dyDescent="0.15"/>
    <row r="16998" s="69" customFormat="1" x14ac:dyDescent="0.15"/>
    <row r="16999" s="69" customFormat="1" x14ac:dyDescent="0.15"/>
    <row r="17000" s="69" customFormat="1" x14ac:dyDescent="0.15"/>
    <row r="17001" s="69" customFormat="1" x14ac:dyDescent="0.15"/>
    <row r="17002" s="69" customFormat="1" x14ac:dyDescent="0.15"/>
    <row r="17003" s="69" customFormat="1" x14ac:dyDescent="0.15"/>
    <row r="17004" s="69" customFormat="1" x14ac:dyDescent="0.15"/>
    <row r="17005" s="69" customFormat="1" x14ac:dyDescent="0.15"/>
    <row r="17006" s="69" customFormat="1" x14ac:dyDescent="0.15"/>
    <row r="17007" s="69" customFormat="1" x14ac:dyDescent="0.15"/>
    <row r="17008" s="69" customFormat="1" x14ac:dyDescent="0.15"/>
    <row r="17009" s="69" customFormat="1" x14ac:dyDescent="0.15"/>
    <row r="17010" s="69" customFormat="1" x14ac:dyDescent="0.15"/>
    <row r="17011" s="69" customFormat="1" x14ac:dyDescent="0.15"/>
    <row r="17012" s="69" customFormat="1" x14ac:dyDescent="0.15"/>
    <row r="17013" s="69" customFormat="1" x14ac:dyDescent="0.15"/>
    <row r="17014" s="69" customFormat="1" x14ac:dyDescent="0.15"/>
    <row r="17015" s="69" customFormat="1" x14ac:dyDescent="0.15"/>
    <row r="17016" s="69" customFormat="1" x14ac:dyDescent="0.15"/>
    <row r="17017" s="69" customFormat="1" x14ac:dyDescent="0.15"/>
    <row r="17018" s="69" customFormat="1" x14ac:dyDescent="0.15"/>
    <row r="17019" s="69" customFormat="1" x14ac:dyDescent="0.15"/>
    <row r="17020" s="69" customFormat="1" x14ac:dyDescent="0.15"/>
    <row r="17021" s="69" customFormat="1" x14ac:dyDescent="0.15"/>
    <row r="17022" s="69" customFormat="1" x14ac:dyDescent="0.15"/>
    <row r="17023" s="69" customFormat="1" x14ac:dyDescent="0.15"/>
    <row r="17024" s="69" customFormat="1" x14ac:dyDescent="0.15"/>
    <row r="17025" s="69" customFormat="1" x14ac:dyDescent="0.15"/>
    <row r="17026" s="69" customFormat="1" x14ac:dyDescent="0.15"/>
    <row r="17027" s="69" customFormat="1" x14ac:dyDescent="0.15"/>
    <row r="17028" s="69" customFormat="1" x14ac:dyDescent="0.15"/>
    <row r="17029" s="69" customFormat="1" x14ac:dyDescent="0.15"/>
    <row r="17030" s="69" customFormat="1" x14ac:dyDescent="0.15"/>
    <row r="17031" s="69" customFormat="1" x14ac:dyDescent="0.15"/>
    <row r="17032" s="69" customFormat="1" x14ac:dyDescent="0.15"/>
    <row r="17033" s="69" customFormat="1" x14ac:dyDescent="0.15"/>
    <row r="17034" s="69" customFormat="1" x14ac:dyDescent="0.15"/>
    <row r="17035" s="69" customFormat="1" x14ac:dyDescent="0.15"/>
    <row r="17036" s="69" customFormat="1" x14ac:dyDescent="0.15"/>
    <row r="17037" s="69" customFormat="1" x14ac:dyDescent="0.15"/>
    <row r="17038" s="69" customFormat="1" x14ac:dyDescent="0.15"/>
    <row r="17039" s="69" customFormat="1" x14ac:dyDescent="0.15"/>
    <row r="17040" s="69" customFormat="1" x14ac:dyDescent="0.15"/>
    <row r="17041" s="69" customFormat="1" x14ac:dyDescent="0.15"/>
    <row r="17042" s="69" customFormat="1" x14ac:dyDescent="0.15"/>
    <row r="17043" s="69" customFormat="1" x14ac:dyDescent="0.15"/>
    <row r="17044" s="69" customFormat="1" x14ac:dyDescent="0.15"/>
    <row r="17045" s="69" customFormat="1" x14ac:dyDescent="0.15"/>
    <row r="17046" s="69" customFormat="1" x14ac:dyDescent="0.15"/>
    <row r="17047" s="69" customFormat="1" x14ac:dyDescent="0.15"/>
    <row r="17048" s="69" customFormat="1" x14ac:dyDescent="0.15"/>
    <row r="17049" s="69" customFormat="1" x14ac:dyDescent="0.15"/>
    <row r="17050" s="69" customFormat="1" x14ac:dyDescent="0.15"/>
    <row r="17051" s="69" customFormat="1" x14ac:dyDescent="0.15"/>
    <row r="17052" s="69" customFormat="1" x14ac:dyDescent="0.15"/>
    <row r="17053" s="69" customFormat="1" x14ac:dyDescent="0.15"/>
    <row r="17054" s="69" customFormat="1" x14ac:dyDescent="0.15"/>
    <row r="17055" s="69" customFormat="1" x14ac:dyDescent="0.15"/>
    <row r="17056" s="69" customFormat="1" x14ac:dyDescent="0.15"/>
    <row r="17057" s="69" customFormat="1" x14ac:dyDescent="0.15"/>
    <row r="17058" s="69" customFormat="1" x14ac:dyDescent="0.15"/>
    <row r="17059" s="69" customFormat="1" x14ac:dyDescent="0.15"/>
    <row r="17060" s="69" customFormat="1" x14ac:dyDescent="0.15"/>
    <row r="17061" s="69" customFormat="1" x14ac:dyDescent="0.15"/>
    <row r="17062" s="69" customFormat="1" x14ac:dyDescent="0.15"/>
    <row r="17063" s="69" customFormat="1" x14ac:dyDescent="0.15"/>
    <row r="17064" s="69" customFormat="1" x14ac:dyDescent="0.15"/>
    <row r="17065" s="69" customFormat="1" x14ac:dyDescent="0.15"/>
    <row r="17066" s="69" customFormat="1" x14ac:dyDescent="0.15"/>
    <row r="17067" s="69" customFormat="1" x14ac:dyDescent="0.15"/>
    <row r="17068" s="69" customFormat="1" x14ac:dyDescent="0.15"/>
    <row r="17069" s="69" customFormat="1" x14ac:dyDescent="0.15"/>
    <row r="17070" s="69" customFormat="1" x14ac:dyDescent="0.15"/>
    <row r="17071" s="69" customFormat="1" x14ac:dyDescent="0.15"/>
    <row r="17072" s="69" customFormat="1" x14ac:dyDescent="0.15"/>
    <row r="17073" s="69" customFormat="1" x14ac:dyDescent="0.15"/>
    <row r="17074" s="69" customFormat="1" x14ac:dyDescent="0.15"/>
    <row r="17075" s="69" customFormat="1" x14ac:dyDescent="0.15"/>
    <row r="17076" s="69" customFormat="1" x14ac:dyDescent="0.15"/>
    <row r="17077" s="69" customFormat="1" x14ac:dyDescent="0.15"/>
    <row r="17078" s="69" customFormat="1" x14ac:dyDescent="0.15"/>
    <row r="17079" s="69" customFormat="1" x14ac:dyDescent="0.15"/>
    <row r="17080" s="69" customFormat="1" x14ac:dyDescent="0.15"/>
    <row r="17081" s="69" customFormat="1" x14ac:dyDescent="0.15"/>
    <row r="17082" s="69" customFormat="1" x14ac:dyDescent="0.15"/>
    <row r="17083" s="69" customFormat="1" x14ac:dyDescent="0.15"/>
    <row r="17084" s="69" customFormat="1" x14ac:dyDescent="0.15"/>
    <row r="17085" s="69" customFormat="1" x14ac:dyDescent="0.15"/>
    <row r="17086" s="69" customFormat="1" x14ac:dyDescent="0.15"/>
    <row r="17087" s="69" customFormat="1" x14ac:dyDescent="0.15"/>
    <row r="17088" s="69" customFormat="1" x14ac:dyDescent="0.15"/>
    <row r="17089" s="69" customFormat="1" x14ac:dyDescent="0.15"/>
    <row r="17090" s="69" customFormat="1" x14ac:dyDescent="0.15"/>
    <row r="17091" s="69" customFormat="1" x14ac:dyDescent="0.15"/>
    <row r="17092" s="69" customFormat="1" x14ac:dyDescent="0.15"/>
    <row r="17093" s="69" customFormat="1" x14ac:dyDescent="0.15"/>
    <row r="17094" s="69" customFormat="1" x14ac:dyDescent="0.15"/>
    <row r="17095" s="69" customFormat="1" x14ac:dyDescent="0.15"/>
    <row r="17096" s="69" customFormat="1" x14ac:dyDescent="0.15"/>
    <row r="17097" s="69" customFormat="1" x14ac:dyDescent="0.15"/>
    <row r="17098" s="69" customFormat="1" x14ac:dyDescent="0.15"/>
    <row r="17099" s="69" customFormat="1" x14ac:dyDescent="0.15"/>
    <row r="17100" s="69" customFormat="1" x14ac:dyDescent="0.15"/>
    <row r="17101" s="69" customFormat="1" x14ac:dyDescent="0.15"/>
    <row r="17102" s="69" customFormat="1" x14ac:dyDescent="0.15"/>
    <row r="17103" s="69" customFormat="1" x14ac:dyDescent="0.15"/>
    <row r="17104" s="69" customFormat="1" x14ac:dyDescent="0.15"/>
    <row r="17105" s="69" customFormat="1" x14ac:dyDescent="0.15"/>
    <row r="17106" s="69" customFormat="1" x14ac:dyDescent="0.15"/>
    <row r="17107" s="69" customFormat="1" x14ac:dyDescent="0.15"/>
    <row r="17108" s="69" customFormat="1" x14ac:dyDescent="0.15"/>
    <row r="17109" s="69" customFormat="1" x14ac:dyDescent="0.15"/>
    <row r="17110" s="69" customFormat="1" x14ac:dyDescent="0.15"/>
    <row r="17111" s="69" customFormat="1" x14ac:dyDescent="0.15"/>
    <row r="17112" s="69" customFormat="1" x14ac:dyDescent="0.15"/>
    <row r="17113" s="69" customFormat="1" x14ac:dyDescent="0.15"/>
    <row r="17114" s="69" customFormat="1" x14ac:dyDescent="0.15"/>
    <row r="17115" s="69" customFormat="1" x14ac:dyDescent="0.15"/>
    <row r="17116" s="69" customFormat="1" x14ac:dyDescent="0.15"/>
    <row r="17117" s="69" customFormat="1" x14ac:dyDescent="0.15"/>
    <row r="17118" s="69" customFormat="1" x14ac:dyDescent="0.15"/>
    <row r="17119" s="69" customFormat="1" x14ac:dyDescent="0.15"/>
    <row r="17120" s="69" customFormat="1" x14ac:dyDescent="0.15"/>
    <row r="17121" s="69" customFormat="1" x14ac:dyDescent="0.15"/>
    <row r="17122" s="69" customFormat="1" x14ac:dyDescent="0.15"/>
    <row r="17123" s="69" customFormat="1" x14ac:dyDescent="0.15"/>
    <row r="17124" s="69" customFormat="1" x14ac:dyDescent="0.15"/>
    <row r="17125" s="69" customFormat="1" x14ac:dyDescent="0.15"/>
    <row r="17126" s="69" customFormat="1" x14ac:dyDescent="0.15"/>
    <row r="17127" s="69" customFormat="1" x14ac:dyDescent="0.15"/>
    <row r="17128" s="69" customFormat="1" x14ac:dyDescent="0.15"/>
    <row r="17129" s="69" customFormat="1" x14ac:dyDescent="0.15"/>
    <row r="17130" s="69" customFormat="1" x14ac:dyDescent="0.15"/>
    <row r="17131" s="69" customFormat="1" x14ac:dyDescent="0.15"/>
    <row r="17132" s="69" customFormat="1" x14ac:dyDescent="0.15"/>
    <row r="17133" s="69" customFormat="1" x14ac:dyDescent="0.15"/>
    <row r="17134" s="69" customFormat="1" x14ac:dyDescent="0.15"/>
    <row r="17135" s="69" customFormat="1" x14ac:dyDescent="0.15"/>
    <row r="17136" s="69" customFormat="1" x14ac:dyDescent="0.15"/>
    <row r="17137" s="69" customFormat="1" x14ac:dyDescent="0.15"/>
    <row r="17138" s="69" customFormat="1" x14ac:dyDescent="0.15"/>
    <row r="17139" s="69" customFormat="1" x14ac:dyDescent="0.15"/>
    <row r="17140" s="69" customFormat="1" x14ac:dyDescent="0.15"/>
    <row r="17141" s="69" customFormat="1" x14ac:dyDescent="0.15"/>
    <row r="17142" s="69" customFormat="1" x14ac:dyDescent="0.15"/>
    <row r="17143" s="69" customFormat="1" x14ac:dyDescent="0.15"/>
    <row r="17144" s="69" customFormat="1" x14ac:dyDescent="0.15"/>
    <row r="17145" s="69" customFormat="1" x14ac:dyDescent="0.15"/>
    <row r="17146" s="69" customFormat="1" x14ac:dyDescent="0.15"/>
    <row r="17147" s="69" customFormat="1" x14ac:dyDescent="0.15"/>
    <row r="17148" s="69" customFormat="1" x14ac:dyDescent="0.15"/>
    <row r="17149" s="69" customFormat="1" x14ac:dyDescent="0.15"/>
    <row r="17150" s="69" customFormat="1" x14ac:dyDescent="0.15"/>
    <row r="17151" s="69" customFormat="1" x14ac:dyDescent="0.15"/>
    <row r="17152" s="69" customFormat="1" x14ac:dyDescent="0.15"/>
    <row r="17153" s="69" customFormat="1" x14ac:dyDescent="0.15"/>
    <row r="17154" s="69" customFormat="1" x14ac:dyDescent="0.15"/>
    <row r="17155" s="69" customFormat="1" x14ac:dyDescent="0.15"/>
    <row r="17156" s="69" customFormat="1" x14ac:dyDescent="0.15"/>
    <row r="17157" s="69" customFormat="1" x14ac:dyDescent="0.15"/>
    <row r="17158" s="69" customFormat="1" x14ac:dyDescent="0.15"/>
    <row r="17159" s="69" customFormat="1" x14ac:dyDescent="0.15"/>
    <row r="17160" s="69" customFormat="1" x14ac:dyDescent="0.15"/>
    <row r="17161" s="69" customFormat="1" x14ac:dyDescent="0.15"/>
    <row r="17162" s="69" customFormat="1" x14ac:dyDescent="0.15"/>
    <row r="17163" s="69" customFormat="1" x14ac:dyDescent="0.15"/>
    <row r="17164" s="69" customFormat="1" x14ac:dyDescent="0.15"/>
    <row r="17165" s="69" customFormat="1" x14ac:dyDescent="0.15"/>
    <row r="17166" s="69" customFormat="1" x14ac:dyDescent="0.15"/>
    <row r="17167" s="69" customFormat="1" x14ac:dyDescent="0.15"/>
    <row r="17168" s="69" customFormat="1" x14ac:dyDescent="0.15"/>
    <row r="17169" s="69" customFormat="1" x14ac:dyDescent="0.15"/>
    <row r="17170" s="69" customFormat="1" x14ac:dyDescent="0.15"/>
    <row r="17171" s="69" customFormat="1" x14ac:dyDescent="0.15"/>
    <row r="17172" s="69" customFormat="1" x14ac:dyDescent="0.15"/>
    <row r="17173" s="69" customFormat="1" x14ac:dyDescent="0.15"/>
    <row r="17174" s="69" customFormat="1" x14ac:dyDescent="0.15"/>
    <row r="17175" s="69" customFormat="1" x14ac:dyDescent="0.15"/>
    <row r="17176" s="69" customFormat="1" x14ac:dyDescent="0.15"/>
    <row r="17177" s="69" customFormat="1" x14ac:dyDescent="0.15"/>
    <row r="17178" s="69" customFormat="1" x14ac:dyDescent="0.15"/>
    <row r="17179" s="69" customFormat="1" x14ac:dyDescent="0.15"/>
    <row r="17180" s="69" customFormat="1" x14ac:dyDescent="0.15"/>
    <row r="17181" s="69" customFormat="1" x14ac:dyDescent="0.15"/>
    <row r="17182" s="69" customFormat="1" x14ac:dyDescent="0.15"/>
    <row r="17183" s="69" customFormat="1" x14ac:dyDescent="0.15"/>
    <row r="17184" s="69" customFormat="1" x14ac:dyDescent="0.15"/>
    <row r="17185" s="69" customFormat="1" x14ac:dyDescent="0.15"/>
    <row r="17186" s="69" customFormat="1" x14ac:dyDescent="0.15"/>
    <row r="17187" s="69" customFormat="1" x14ac:dyDescent="0.15"/>
    <row r="17188" s="69" customFormat="1" x14ac:dyDescent="0.15"/>
    <row r="17189" s="69" customFormat="1" x14ac:dyDescent="0.15"/>
    <row r="17190" s="69" customFormat="1" x14ac:dyDescent="0.15"/>
    <row r="17191" s="69" customFormat="1" x14ac:dyDescent="0.15"/>
    <row r="17192" s="69" customFormat="1" x14ac:dyDescent="0.15"/>
    <row r="17193" s="69" customFormat="1" x14ac:dyDescent="0.15"/>
    <row r="17194" s="69" customFormat="1" x14ac:dyDescent="0.15"/>
    <row r="17195" s="69" customFormat="1" x14ac:dyDescent="0.15"/>
    <row r="17196" s="69" customFormat="1" x14ac:dyDescent="0.15"/>
    <row r="17197" s="69" customFormat="1" x14ac:dyDescent="0.15"/>
    <row r="17198" s="69" customFormat="1" x14ac:dyDescent="0.15"/>
    <row r="17199" s="69" customFormat="1" x14ac:dyDescent="0.15"/>
    <row r="17200" s="69" customFormat="1" x14ac:dyDescent="0.15"/>
    <row r="17201" s="69" customFormat="1" x14ac:dyDescent="0.15"/>
    <row r="17202" s="69" customFormat="1" x14ac:dyDescent="0.15"/>
    <row r="17203" s="69" customFormat="1" x14ac:dyDescent="0.15"/>
    <row r="17204" s="69" customFormat="1" x14ac:dyDescent="0.15"/>
    <row r="17205" s="69" customFormat="1" x14ac:dyDescent="0.15"/>
    <row r="17206" s="69" customFormat="1" x14ac:dyDescent="0.15"/>
    <row r="17207" s="69" customFormat="1" x14ac:dyDescent="0.15"/>
    <row r="17208" s="69" customFormat="1" x14ac:dyDescent="0.15"/>
    <row r="17209" s="69" customFormat="1" x14ac:dyDescent="0.15"/>
    <row r="17210" s="69" customFormat="1" x14ac:dyDescent="0.15"/>
    <row r="17211" s="69" customFormat="1" x14ac:dyDescent="0.15"/>
    <row r="17212" s="69" customFormat="1" x14ac:dyDescent="0.15"/>
    <row r="17213" s="69" customFormat="1" x14ac:dyDescent="0.15"/>
    <row r="17214" s="69" customFormat="1" x14ac:dyDescent="0.15"/>
    <row r="17215" s="69" customFormat="1" x14ac:dyDescent="0.15"/>
    <row r="17216" s="69" customFormat="1" x14ac:dyDescent="0.15"/>
    <row r="17217" s="69" customFormat="1" x14ac:dyDescent="0.15"/>
    <row r="17218" s="69" customFormat="1" x14ac:dyDescent="0.15"/>
    <row r="17219" s="69" customFormat="1" x14ac:dyDescent="0.15"/>
    <row r="17220" s="69" customFormat="1" x14ac:dyDescent="0.15"/>
    <row r="17221" s="69" customFormat="1" x14ac:dyDescent="0.15"/>
    <row r="17222" s="69" customFormat="1" x14ac:dyDescent="0.15"/>
    <row r="17223" s="69" customFormat="1" x14ac:dyDescent="0.15"/>
    <row r="17224" s="69" customFormat="1" x14ac:dyDescent="0.15"/>
    <row r="17225" s="69" customFormat="1" x14ac:dyDescent="0.15"/>
    <row r="17226" s="69" customFormat="1" x14ac:dyDescent="0.15"/>
    <row r="17227" s="69" customFormat="1" x14ac:dyDescent="0.15"/>
    <row r="17228" s="69" customFormat="1" x14ac:dyDescent="0.15"/>
    <row r="17229" s="69" customFormat="1" x14ac:dyDescent="0.15"/>
    <row r="17230" s="69" customFormat="1" x14ac:dyDescent="0.15"/>
    <row r="17231" s="69" customFormat="1" x14ac:dyDescent="0.15"/>
    <row r="17232" s="69" customFormat="1" x14ac:dyDescent="0.15"/>
    <row r="17233" s="69" customFormat="1" x14ac:dyDescent="0.15"/>
    <row r="17234" s="69" customFormat="1" x14ac:dyDescent="0.15"/>
    <row r="17235" s="69" customFormat="1" x14ac:dyDescent="0.15"/>
    <row r="17236" s="69" customFormat="1" x14ac:dyDescent="0.15"/>
    <row r="17237" s="69" customFormat="1" x14ac:dyDescent="0.15"/>
    <row r="17238" s="69" customFormat="1" x14ac:dyDescent="0.15"/>
    <row r="17239" s="69" customFormat="1" x14ac:dyDescent="0.15"/>
    <row r="17240" s="69" customFormat="1" x14ac:dyDescent="0.15"/>
    <row r="17241" s="69" customFormat="1" x14ac:dyDescent="0.15"/>
    <row r="17242" s="69" customFormat="1" x14ac:dyDescent="0.15"/>
    <row r="17243" s="69" customFormat="1" x14ac:dyDescent="0.15"/>
    <row r="17244" s="69" customFormat="1" x14ac:dyDescent="0.15"/>
    <row r="17245" s="69" customFormat="1" x14ac:dyDescent="0.15"/>
    <row r="17246" s="69" customFormat="1" x14ac:dyDescent="0.15"/>
    <row r="17247" s="69" customFormat="1" x14ac:dyDescent="0.15"/>
    <row r="17248" s="69" customFormat="1" x14ac:dyDescent="0.15"/>
    <row r="17249" s="69" customFormat="1" x14ac:dyDescent="0.15"/>
    <row r="17250" s="69" customFormat="1" x14ac:dyDescent="0.15"/>
    <row r="17251" s="69" customFormat="1" x14ac:dyDescent="0.15"/>
    <row r="17252" s="69" customFormat="1" x14ac:dyDescent="0.15"/>
    <row r="17253" s="69" customFormat="1" x14ac:dyDescent="0.15"/>
    <row r="17254" s="69" customFormat="1" x14ac:dyDescent="0.15"/>
    <row r="17255" s="69" customFormat="1" x14ac:dyDescent="0.15"/>
    <row r="17256" s="69" customFormat="1" x14ac:dyDescent="0.15"/>
    <row r="17257" s="69" customFormat="1" x14ac:dyDescent="0.15"/>
    <row r="17258" s="69" customFormat="1" x14ac:dyDescent="0.15"/>
    <row r="17259" s="69" customFormat="1" x14ac:dyDescent="0.15"/>
    <row r="17260" s="69" customFormat="1" x14ac:dyDescent="0.15"/>
    <row r="17261" s="69" customFormat="1" x14ac:dyDescent="0.15"/>
    <row r="17262" s="69" customFormat="1" x14ac:dyDescent="0.15"/>
    <row r="17263" s="69" customFormat="1" x14ac:dyDescent="0.15"/>
    <row r="17264" s="69" customFormat="1" x14ac:dyDescent="0.15"/>
    <row r="17265" s="69" customFormat="1" x14ac:dyDescent="0.15"/>
    <row r="17266" s="69" customFormat="1" x14ac:dyDescent="0.15"/>
    <row r="17267" s="69" customFormat="1" x14ac:dyDescent="0.15"/>
    <row r="17268" s="69" customFormat="1" x14ac:dyDescent="0.15"/>
    <row r="17269" s="69" customFormat="1" x14ac:dyDescent="0.15"/>
    <row r="17270" s="69" customFormat="1" x14ac:dyDescent="0.15"/>
    <row r="17271" s="69" customFormat="1" x14ac:dyDescent="0.15"/>
    <row r="17272" s="69" customFormat="1" x14ac:dyDescent="0.15"/>
    <row r="17273" s="69" customFormat="1" x14ac:dyDescent="0.15"/>
    <row r="17274" s="69" customFormat="1" x14ac:dyDescent="0.15"/>
    <row r="17275" s="69" customFormat="1" x14ac:dyDescent="0.15"/>
    <row r="17276" s="69" customFormat="1" x14ac:dyDescent="0.15"/>
    <row r="17277" s="69" customFormat="1" x14ac:dyDescent="0.15"/>
    <row r="17278" s="69" customFormat="1" x14ac:dyDescent="0.15"/>
    <row r="17279" s="69" customFormat="1" x14ac:dyDescent="0.15"/>
    <row r="17280" s="69" customFormat="1" x14ac:dyDescent="0.15"/>
    <row r="17281" s="69" customFormat="1" x14ac:dyDescent="0.15"/>
    <row r="17282" s="69" customFormat="1" x14ac:dyDescent="0.15"/>
    <row r="17283" s="69" customFormat="1" x14ac:dyDescent="0.15"/>
    <row r="17284" s="69" customFormat="1" x14ac:dyDescent="0.15"/>
    <row r="17285" s="69" customFormat="1" x14ac:dyDescent="0.15"/>
    <row r="17286" s="69" customFormat="1" x14ac:dyDescent="0.15"/>
    <row r="17287" s="69" customFormat="1" x14ac:dyDescent="0.15"/>
    <row r="17288" s="69" customFormat="1" x14ac:dyDescent="0.15"/>
    <row r="17289" s="69" customFormat="1" x14ac:dyDescent="0.15"/>
    <row r="17290" s="69" customFormat="1" x14ac:dyDescent="0.15"/>
    <row r="17291" s="69" customFormat="1" x14ac:dyDescent="0.15"/>
    <row r="17292" s="69" customFormat="1" x14ac:dyDescent="0.15"/>
    <row r="17293" s="69" customFormat="1" x14ac:dyDescent="0.15"/>
    <row r="17294" s="69" customFormat="1" x14ac:dyDescent="0.15"/>
    <row r="17295" s="69" customFormat="1" x14ac:dyDescent="0.15"/>
    <row r="17296" s="69" customFormat="1" x14ac:dyDescent="0.15"/>
    <row r="17297" s="69" customFormat="1" x14ac:dyDescent="0.15"/>
    <row r="17298" s="69" customFormat="1" x14ac:dyDescent="0.15"/>
    <row r="17299" s="69" customFormat="1" x14ac:dyDescent="0.15"/>
    <row r="17300" s="69" customFormat="1" x14ac:dyDescent="0.15"/>
    <row r="17301" s="69" customFormat="1" x14ac:dyDescent="0.15"/>
    <row r="17302" s="69" customFormat="1" x14ac:dyDescent="0.15"/>
    <row r="17303" s="69" customFormat="1" x14ac:dyDescent="0.15"/>
    <row r="17304" s="69" customFormat="1" x14ac:dyDescent="0.15"/>
    <row r="17305" s="69" customFormat="1" x14ac:dyDescent="0.15"/>
    <row r="17306" s="69" customFormat="1" x14ac:dyDescent="0.15"/>
    <row r="17307" s="69" customFormat="1" x14ac:dyDescent="0.15"/>
    <row r="17308" s="69" customFormat="1" x14ac:dyDescent="0.15"/>
    <row r="17309" s="69" customFormat="1" x14ac:dyDescent="0.15"/>
    <row r="17310" s="69" customFormat="1" x14ac:dyDescent="0.15"/>
    <row r="17311" s="69" customFormat="1" x14ac:dyDescent="0.15"/>
    <row r="17312" s="69" customFormat="1" x14ac:dyDescent="0.15"/>
    <row r="17313" s="69" customFormat="1" x14ac:dyDescent="0.15"/>
    <row r="17314" s="69" customFormat="1" x14ac:dyDescent="0.15"/>
    <row r="17315" s="69" customFormat="1" x14ac:dyDescent="0.15"/>
    <row r="17316" s="69" customFormat="1" x14ac:dyDescent="0.15"/>
    <row r="17317" s="69" customFormat="1" x14ac:dyDescent="0.15"/>
    <row r="17318" s="69" customFormat="1" x14ac:dyDescent="0.15"/>
    <row r="17319" s="69" customFormat="1" x14ac:dyDescent="0.15"/>
    <row r="17320" s="69" customFormat="1" x14ac:dyDescent="0.15"/>
    <row r="17321" s="69" customFormat="1" x14ac:dyDescent="0.15"/>
    <row r="17322" s="69" customFormat="1" x14ac:dyDescent="0.15"/>
    <row r="17323" s="69" customFormat="1" x14ac:dyDescent="0.15"/>
    <row r="17324" s="69" customFormat="1" x14ac:dyDescent="0.15"/>
    <row r="17325" s="69" customFormat="1" x14ac:dyDescent="0.15"/>
    <row r="17326" s="69" customFormat="1" x14ac:dyDescent="0.15"/>
    <row r="17327" s="69" customFormat="1" x14ac:dyDescent="0.15"/>
    <row r="17328" s="69" customFormat="1" x14ac:dyDescent="0.15"/>
    <row r="17329" s="69" customFormat="1" x14ac:dyDescent="0.15"/>
    <row r="17330" s="69" customFormat="1" x14ac:dyDescent="0.15"/>
    <row r="17331" s="69" customFormat="1" x14ac:dyDescent="0.15"/>
    <row r="17332" s="69" customFormat="1" x14ac:dyDescent="0.15"/>
    <row r="17333" s="69" customFormat="1" x14ac:dyDescent="0.15"/>
    <row r="17334" s="69" customFormat="1" x14ac:dyDescent="0.15"/>
    <row r="17335" s="69" customFormat="1" x14ac:dyDescent="0.15"/>
    <row r="17336" s="69" customFormat="1" x14ac:dyDescent="0.15"/>
    <row r="17337" s="69" customFormat="1" x14ac:dyDescent="0.15"/>
    <row r="17338" s="69" customFormat="1" x14ac:dyDescent="0.15"/>
    <row r="17339" s="69" customFormat="1" x14ac:dyDescent="0.15"/>
    <row r="17340" s="69" customFormat="1" x14ac:dyDescent="0.15"/>
    <row r="17341" s="69" customFormat="1" x14ac:dyDescent="0.15"/>
    <row r="17342" s="69" customFormat="1" x14ac:dyDescent="0.15"/>
    <row r="17343" s="69" customFormat="1" x14ac:dyDescent="0.15"/>
    <row r="17344" s="69" customFormat="1" x14ac:dyDescent="0.15"/>
    <row r="17345" s="69" customFormat="1" x14ac:dyDescent="0.15"/>
    <row r="17346" s="69" customFormat="1" x14ac:dyDescent="0.15"/>
    <row r="17347" s="69" customFormat="1" x14ac:dyDescent="0.15"/>
    <row r="17348" s="69" customFormat="1" x14ac:dyDescent="0.15"/>
    <row r="17349" s="69" customFormat="1" x14ac:dyDescent="0.15"/>
    <row r="17350" s="69" customFormat="1" x14ac:dyDescent="0.15"/>
    <row r="17351" s="69" customFormat="1" x14ac:dyDescent="0.15"/>
    <row r="17352" s="69" customFormat="1" x14ac:dyDescent="0.15"/>
    <row r="17353" s="69" customFormat="1" x14ac:dyDescent="0.15"/>
    <row r="17354" s="69" customFormat="1" x14ac:dyDescent="0.15"/>
    <row r="17355" s="69" customFormat="1" x14ac:dyDescent="0.15"/>
    <row r="17356" s="69" customFormat="1" x14ac:dyDescent="0.15"/>
    <row r="17357" s="69" customFormat="1" x14ac:dyDescent="0.15"/>
    <row r="17358" s="69" customFormat="1" x14ac:dyDescent="0.15"/>
    <row r="17359" s="69" customFormat="1" x14ac:dyDescent="0.15"/>
    <row r="17360" s="69" customFormat="1" x14ac:dyDescent="0.15"/>
    <row r="17361" s="69" customFormat="1" x14ac:dyDescent="0.15"/>
    <row r="17362" s="69" customFormat="1" x14ac:dyDescent="0.15"/>
    <row r="17363" s="69" customFormat="1" x14ac:dyDescent="0.15"/>
    <row r="17364" s="69" customFormat="1" x14ac:dyDescent="0.15"/>
    <row r="17365" s="69" customFormat="1" x14ac:dyDescent="0.15"/>
    <row r="17366" s="69" customFormat="1" x14ac:dyDescent="0.15"/>
    <row r="17367" s="69" customFormat="1" x14ac:dyDescent="0.15"/>
    <row r="17368" s="69" customFormat="1" x14ac:dyDescent="0.15"/>
    <row r="17369" s="69" customFormat="1" x14ac:dyDescent="0.15"/>
    <row r="17370" s="69" customFormat="1" x14ac:dyDescent="0.15"/>
    <row r="17371" s="69" customFormat="1" x14ac:dyDescent="0.15"/>
    <row r="17372" s="69" customFormat="1" x14ac:dyDescent="0.15"/>
    <row r="17373" s="69" customFormat="1" x14ac:dyDescent="0.15"/>
    <row r="17374" s="69" customFormat="1" x14ac:dyDescent="0.15"/>
    <row r="17375" s="69" customFormat="1" x14ac:dyDescent="0.15"/>
    <row r="17376" s="69" customFormat="1" x14ac:dyDescent="0.15"/>
    <row r="17377" s="69" customFormat="1" x14ac:dyDescent="0.15"/>
    <row r="17378" s="69" customFormat="1" x14ac:dyDescent="0.15"/>
    <row r="17379" s="69" customFormat="1" x14ac:dyDescent="0.15"/>
    <row r="17380" s="69" customFormat="1" x14ac:dyDescent="0.15"/>
    <row r="17381" s="69" customFormat="1" x14ac:dyDescent="0.15"/>
    <row r="17382" s="69" customFormat="1" x14ac:dyDescent="0.15"/>
    <row r="17383" s="69" customFormat="1" x14ac:dyDescent="0.15"/>
    <row r="17384" s="69" customFormat="1" x14ac:dyDescent="0.15"/>
    <row r="17385" s="69" customFormat="1" x14ac:dyDescent="0.15"/>
    <row r="17386" s="69" customFormat="1" x14ac:dyDescent="0.15"/>
    <row r="17387" s="69" customFormat="1" x14ac:dyDescent="0.15"/>
    <row r="17388" s="69" customFormat="1" x14ac:dyDescent="0.15"/>
    <row r="17389" s="69" customFormat="1" x14ac:dyDescent="0.15"/>
    <row r="17390" s="69" customFormat="1" x14ac:dyDescent="0.15"/>
    <row r="17391" s="69" customFormat="1" x14ac:dyDescent="0.15"/>
    <row r="17392" s="69" customFormat="1" x14ac:dyDescent="0.15"/>
    <row r="17393" s="69" customFormat="1" x14ac:dyDescent="0.15"/>
    <row r="17394" s="69" customFormat="1" x14ac:dyDescent="0.15"/>
    <row r="17395" s="69" customFormat="1" x14ac:dyDescent="0.15"/>
    <row r="17396" s="69" customFormat="1" x14ac:dyDescent="0.15"/>
    <row r="17397" s="69" customFormat="1" x14ac:dyDescent="0.15"/>
    <row r="17398" s="69" customFormat="1" x14ac:dyDescent="0.15"/>
    <row r="17399" s="69" customFormat="1" x14ac:dyDescent="0.15"/>
    <row r="17400" s="69" customFormat="1" x14ac:dyDescent="0.15"/>
    <row r="17401" s="69" customFormat="1" x14ac:dyDescent="0.15"/>
    <row r="17402" s="69" customFormat="1" x14ac:dyDescent="0.15"/>
    <row r="17403" s="69" customFormat="1" x14ac:dyDescent="0.15"/>
    <row r="17404" s="69" customFormat="1" x14ac:dyDescent="0.15"/>
    <row r="17405" s="69" customFormat="1" x14ac:dyDescent="0.15"/>
    <row r="17406" s="69" customFormat="1" x14ac:dyDescent="0.15"/>
    <row r="17407" s="69" customFormat="1" x14ac:dyDescent="0.15"/>
    <row r="17408" s="69" customFormat="1" x14ac:dyDescent="0.15"/>
    <row r="17409" s="69" customFormat="1" x14ac:dyDescent="0.15"/>
    <row r="17410" s="69" customFormat="1" x14ac:dyDescent="0.15"/>
    <row r="17411" s="69" customFormat="1" x14ac:dyDescent="0.15"/>
    <row r="17412" s="69" customFormat="1" x14ac:dyDescent="0.15"/>
    <row r="17413" s="69" customFormat="1" x14ac:dyDescent="0.15"/>
    <row r="17414" s="69" customFormat="1" x14ac:dyDescent="0.15"/>
    <row r="17415" s="69" customFormat="1" x14ac:dyDescent="0.15"/>
    <row r="17416" s="69" customFormat="1" x14ac:dyDescent="0.15"/>
    <row r="17417" s="69" customFormat="1" x14ac:dyDescent="0.15"/>
    <row r="17418" s="69" customFormat="1" x14ac:dyDescent="0.15"/>
    <row r="17419" s="69" customFormat="1" x14ac:dyDescent="0.15"/>
    <row r="17420" s="69" customFormat="1" x14ac:dyDescent="0.15"/>
    <row r="17421" s="69" customFormat="1" x14ac:dyDescent="0.15"/>
    <row r="17422" s="69" customFormat="1" x14ac:dyDescent="0.15"/>
    <row r="17423" s="69" customFormat="1" x14ac:dyDescent="0.15"/>
    <row r="17424" s="69" customFormat="1" x14ac:dyDescent="0.15"/>
    <row r="17425" s="69" customFormat="1" x14ac:dyDescent="0.15"/>
    <row r="17426" s="69" customFormat="1" x14ac:dyDescent="0.15"/>
    <row r="17427" s="69" customFormat="1" x14ac:dyDescent="0.15"/>
    <row r="17428" s="69" customFormat="1" x14ac:dyDescent="0.15"/>
    <row r="17429" s="69" customFormat="1" x14ac:dyDescent="0.15"/>
    <row r="17430" s="69" customFormat="1" x14ac:dyDescent="0.15"/>
    <row r="17431" s="69" customFormat="1" x14ac:dyDescent="0.15"/>
    <row r="17432" s="69" customFormat="1" x14ac:dyDescent="0.15"/>
    <row r="17433" s="69" customFormat="1" x14ac:dyDescent="0.15"/>
    <row r="17434" s="69" customFormat="1" x14ac:dyDescent="0.15"/>
    <row r="17435" s="69" customFormat="1" x14ac:dyDescent="0.15"/>
    <row r="17436" s="69" customFormat="1" x14ac:dyDescent="0.15"/>
    <row r="17437" s="69" customFormat="1" x14ac:dyDescent="0.15"/>
    <row r="17438" s="69" customFormat="1" x14ac:dyDescent="0.15"/>
    <row r="17439" s="69" customFormat="1" x14ac:dyDescent="0.15"/>
    <row r="17440" s="69" customFormat="1" x14ac:dyDescent="0.15"/>
    <row r="17441" s="69" customFormat="1" x14ac:dyDescent="0.15"/>
    <row r="17442" s="69" customFormat="1" x14ac:dyDescent="0.15"/>
    <row r="17443" s="69" customFormat="1" x14ac:dyDescent="0.15"/>
    <row r="17444" s="69" customFormat="1" x14ac:dyDescent="0.15"/>
    <row r="17445" s="69" customFormat="1" x14ac:dyDescent="0.15"/>
    <row r="17446" s="69" customFormat="1" x14ac:dyDescent="0.15"/>
    <row r="17447" s="69" customFormat="1" x14ac:dyDescent="0.15"/>
    <row r="17448" s="69" customFormat="1" x14ac:dyDescent="0.15"/>
    <row r="17449" s="69" customFormat="1" x14ac:dyDescent="0.15"/>
    <row r="17450" s="69" customFormat="1" x14ac:dyDescent="0.15"/>
    <row r="17451" s="69" customFormat="1" x14ac:dyDescent="0.15"/>
    <row r="17452" s="69" customFormat="1" x14ac:dyDescent="0.15"/>
    <row r="17453" s="69" customFormat="1" x14ac:dyDescent="0.15"/>
    <row r="17454" s="69" customFormat="1" x14ac:dyDescent="0.15"/>
    <row r="17455" s="69" customFormat="1" x14ac:dyDescent="0.15"/>
    <row r="17456" s="69" customFormat="1" x14ac:dyDescent="0.15"/>
    <row r="17457" s="69" customFormat="1" x14ac:dyDescent="0.15"/>
    <row r="17458" s="69" customFormat="1" x14ac:dyDescent="0.15"/>
    <row r="17459" s="69" customFormat="1" x14ac:dyDescent="0.15"/>
    <row r="17460" s="69" customFormat="1" x14ac:dyDescent="0.15"/>
    <row r="17461" s="69" customFormat="1" x14ac:dyDescent="0.15"/>
    <row r="17462" s="69" customFormat="1" x14ac:dyDescent="0.15"/>
    <row r="17463" s="69" customFormat="1" x14ac:dyDescent="0.15"/>
    <row r="17464" s="69" customFormat="1" x14ac:dyDescent="0.15"/>
    <row r="17465" s="69" customFormat="1" x14ac:dyDescent="0.15"/>
    <row r="17466" s="69" customFormat="1" x14ac:dyDescent="0.15"/>
    <row r="17467" s="69" customFormat="1" x14ac:dyDescent="0.15"/>
    <row r="17468" s="69" customFormat="1" x14ac:dyDescent="0.15"/>
    <row r="17469" s="69" customFormat="1" x14ac:dyDescent="0.15"/>
    <row r="17470" s="69" customFormat="1" x14ac:dyDescent="0.15"/>
    <row r="17471" s="69" customFormat="1" x14ac:dyDescent="0.15"/>
    <row r="17472" s="69" customFormat="1" x14ac:dyDescent="0.15"/>
    <row r="17473" s="69" customFormat="1" x14ac:dyDescent="0.15"/>
    <row r="17474" s="69" customFormat="1" x14ac:dyDescent="0.15"/>
    <row r="17475" s="69" customFormat="1" x14ac:dyDescent="0.15"/>
    <row r="17476" s="69" customFormat="1" x14ac:dyDescent="0.15"/>
    <row r="17477" s="69" customFormat="1" x14ac:dyDescent="0.15"/>
    <row r="17478" s="69" customFormat="1" x14ac:dyDescent="0.15"/>
    <row r="17479" s="69" customFormat="1" x14ac:dyDescent="0.15"/>
    <row r="17480" s="69" customFormat="1" x14ac:dyDescent="0.15"/>
    <row r="17481" s="69" customFormat="1" x14ac:dyDescent="0.15"/>
    <row r="17482" s="69" customFormat="1" x14ac:dyDescent="0.15"/>
    <row r="17483" s="69" customFormat="1" x14ac:dyDescent="0.15"/>
    <row r="17484" s="69" customFormat="1" x14ac:dyDescent="0.15"/>
    <row r="17485" s="69" customFormat="1" x14ac:dyDescent="0.15"/>
    <row r="17486" s="69" customFormat="1" x14ac:dyDescent="0.15"/>
    <row r="17487" s="69" customFormat="1" x14ac:dyDescent="0.15"/>
    <row r="17488" s="69" customFormat="1" x14ac:dyDescent="0.15"/>
    <row r="17489" s="69" customFormat="1" x14ac:dyDescent="0.15"/>
    <row r="17490" s="69" customFormat="1" x14ac:dyDescent="0.15"/>
    <row r="17491" s="69" customFormat="1" x14ac:dyDescent="0.15"/>
    <row r="17492" s="69" customFormat="1" x14ac:dyDescent="0.15"/>
    <row r="17493" s="69" customFormat="1" x14ac:dyDescent="0.15"/>
    <row r="17494" s="69" customFormat="1" x14ac:dyDescent="0.15"/>
    <row r="17495" s="69" customFormat="1" x14ac:dyDescent="0.15"/>
    <row r="17496" s="69" customFormat="1" x14ac:dyDescent="0.15"/>
    <row r="17497" s="69" customFormat="1" x14ac:dyDescent="0.15"/>
    <row r="17498" s="69" customFormat="1" x14ac:dyDescent="0.15"/>
    <row r="17499" s="69" customFormat="1" x14ac:dyDescent="0.15"/>
    <row r="17500" s="69" customFormat="1" x14ac:dyDescent="0.15"/>
    <row r="17501" s="69" customFormat="1" x14ac:dyDescent="0.15"/>
    <row r="17502" s="69" customFormat="1" x14ac:dyDescent="0.15"/>
    <row r="17503" s="69" customFormat="1" x14ac:dyDescent="0.15"/>
    <row r="17504" s="69" customFormat="1" x14ac:dyDescent="0.15"/>
    <row r="17505" s="69" customFormat="1" x14ac:dyDescent="0.15"/>
    <row r="17506" s="69" customFormat="1" x14ac:dyDescent="0.15"/>
    <row r="17507" s="69" customFormat="1" x14ac:dyDescent="0.15"/>
    <row r="17508" s="69" customFormat="1" x14ac:dyDescent="0.15"/>
    <row r="17509" s="69" customFormat="1" x14ac:dyDescent="0.15"/>
    <row r="17510" s="69" customFormat="1" x14ac:dyDescent="0.15"/>
    <row r="17511" s="69" customFormat="1" x14ac:dyDescent="0.15"/>
    <row r="17512" s="69" customFormat="1" x14ac:dyDescent="0.15"/>
    <row r="17513" s="69" customFormat="1" x14ac:dyDescent="0.15"/>
    <row r="17514" s="69" customFormat="1" x14ac:dyDescent="0.15"/>
    <row r="17515" s="69" customFormat="1" x14ac:dyDescent="0.15"/>
    <row r="17516" s="69" customFormat="1" x14ac:dyDescent="0.15"/>
    <row r="17517" s="69" customFormat="1" x14ac:dyDescent="0.15"/>
    <row r="17518" s="69" customFormat="1" x14ac:dyDescent="0.15"/>
    <row r="17519" s="69" customFormat="1" x14ac:dyDescent="0.15"/>
    <row r="17520" s="69" customFormat="1" x14ac:dyDescent="0.15"/>
    <row r="17521" s="69" customFormat="1" x14ac:dyDescent="0.15"/>
    <row r="17522" s="69" customFormat="1" x14ac:dyDescent="0.15"/>
    <row r="17523" s="69" customFormat="1" x14ac:dyDescent="0.15"/>
    <row r="17524" s="69" customFormat="1" x14ac:dyDescent="0.15"/>
    <row r="17525" s="69" customFormat="1" x14ac:dyDescent="0.15"/>
    <row r="17526" s="69" customFormat="1" x14ac:dyDescent="0.15"/>
    <row r="17527" s="69" customFormat="1" x14ac:dyDescent="0.15"/>
    <row r="17528" s="69" customFormat="1" x14ac:dyDescent="0.15"/>
    <row r="17529" s="69" customFormat="1" x14ac:dyDescent="0.15"/>
    <row r="17530" s="69" customFormat="1" x14ac:dyDescent="0.15"/>
    <row r="17531" s="69" customFormat="1" x14ac:dyDescent="0.15"/>
    <row r="17532" s="69" customFormat="1" x14ac:dyDescent="0.15"/>
    <row r="17533" s="69" customFormat="1" x14ac:dyDescent="0.15"/>
    <row r="17534" s="69" customFormat="1" x14ac:dyDescent="0.15"/>
    <row r="17535" s="69" customFormat="1" x14ac:dyDescent="0.15"/>
    <row r="17536" s="69" customFormat="1" x14ac:dyDescent="0.15"/>
    <row r="17537" s="69" customFormat="1" x14ac:dyDescent="0.15"/>
    <row r="17538" s="69" customFormat="1" x14ac:dyDescent="0.15"/>
    <row r="17539" s="69" customFormat="1" x14ac:dyDescent="0.15"/>
    <row r="17540" s="69" customFormat="1" x14ac:dyDescent="0.15"/>
    <row r="17541" s="69" customFormat="1" x14ac:dyDescent="0.15"/>
    <row r="17542" s="69" customFormat="1" x14ac:dyDescent="0.15"/>
    <row r="17543" s="69" customFormat="1" x14ac:dyDescent="0.15"/>
    <row r="17544" s="69" customFormat="1" x14ac:dyDescent="0.15"/>
    <row r="17545" s="69" customFormat="1" x14ac:dyDescent="0.15"/>
    <row r="17546" s="69" customFormat="1" x14ac:dyDescent="0.15"/>
    <row r="17547" s="69" customFormat="1" x14ac:dyDescent="0.15"/>
    <row r="17548" s="69" customFormat="1" x14ac:dyDescent="0.15"/>
    <row r="17549" s="69" customFormat="1" x14ac:dyDescent="0.15"/>
    <row r="17550" s="69" customFormat="1" x14ac:dyDescent="0.15"/>
    <row r="17551" s="69" customFormat="1" x14ac:dyDescent="0.15"/>
    <row r="17552" s="69" customFormat="1" x14ac:dyDescent="0.15"/>
    <row r="17553" s="69" customFormat="1" x14ac:dyDescent="0.15"/>
    <row r="17554" s="69" customFormat="1" x14ac:dyDescent="0.15"/>
    <row r="17555" s="69" customFormat="1" x14ac:dyDescent="0.15"/>
    <row r="17556" s="69" customFormat="1" x14ac:dyDescent="0.15"/>
    <row r="17557" s="69" customFormat="1" x14ac:dyDescent="0.15"/>
    <row r="17558" s="69" customFormat="1" x14ac:dyDescent="0.15"/>
    <row r="17559" s="69" customFormat="1" x14ac:dyDescent="0.15"/>
    <row r="17560" s="69" customFormat="1" x14ac:dyDescent="0.15"/>
    <row r="17561" s="69" customFormat="1" x14ac:dyDescent="0.15"/>
    <row r="17562" s="69" customFormat="1" x14ac:dyDescent="0.15"/>
    <row r="17563" s="69" customFormat="1" x14ac:dyDescent="0.15"/>
    <row r="17564" s="69" customFormat="1" x14ac:dyDescent="0.15"/>
    <row r="17565" s="69" customFormat="1" x14ac:dyDescent="0.15"/>
    <row r="17566" s="69" customFormat="1" x14ac:dyDescent="0.15"/>
    <row r="17567" s="69" customFormat="1" x14ac:dyDescent="0.15"/>
    <row r="17568" s="69" customFormat="1" x14ac:dyDescent="0.15"/>
    <row r="17569" s="69" customFormat="1" x14ac:dyDescent="0.15"/>
    <row r="17570" s="69" customFormat="1" x14ac:dyDescent="0.15"/>
    <row r="17571" s="69" customFormat="1" x14ac:dyDescent="0.15"/>
    <row r="17572" s="69" customFormat="1" x14ac:dyDescent="0.15"/>
    <row r="17573" s="69" customFormat="1" x14ac:dyDescent="0.15"/>
    <row r="17574" s="69" customFormat="1" x14ac:dyDescent="0.15"/>
    <row r="17575" s="69" customFormat="1" x14ac:dyDescent="0.15"/>
    <row r="17576" s="69" customFormat="1" x14ac:dyDescent="0.15"/>
    <row r="17577" s="69" customFormat="1" x14ac:dyDescent="0.15"/>
    <row r="17578" s="69" customFormat="1" x14ac:dyDescent="0.15"/>
    <row r="17579" s="69" customFormat="1" x14ac:dyDescent="0.15"/>
    <row r="17580" s="69" customFormat="1" x14ac:dyDescent="0.15"/>
    <row r="17581" s="69" customFormat="1" x14ac:dyDescent="0.15"/>
    <row r="17582" s="69" customFormat="1" x14ac:dyDescent="0.15"/>
    <row r="17583" s="69" customFormat="1" x14ac:dyDescent="0.15"/>
    <row r="17584" s="69" customFormat="1" x14ac:dyDescent="0.15"/>
    <row r="17585" s="69" customFormat="1" x14ac:dyDescent="0.15"/>
    <row r="17586" s="69" customFormat="1" x14ac:dyDescent="0.15"/>
    <row r="17587" s="69" customFormat="1" x14ac:dyDescent="0.15"/>
    <row r="17588" s="69" customFormat="1" x14ac:dyDescent="0.15"/>
    <row r="17589" s="69" customFormat="1" x14ac:dyDescent="0.15"/>
    <row r="17590" s="69" customFormat="1" x14ac:dyDescent="0.15"/>
    <row r="17591" s="69" customFormat="1" x14ac:dyDescent="0.15"/>
    <row r="17592" s="69" customFormat="1" x14ac:dyDescent="0.15"/>
    <row r="17593" s="69" customFormat="1" x14ac:dyDescent="0.15"/>
    <row r="17594" s="69" customFormat="1" x14ac:dyDescent="0.15"/>
    <row r="17595" s="69" customFormat="1" x14ac:dyDescent="0.15"/>
    <row r="17596" s="69" customFormat="1" x14ac:dyDescent="0.15"/>
    <row r="17597" s="69" customFormat="1" x14ac:dyDescent="0.15"/>
    <row r="17598" s="69" customFormat="1" x14ac:dyDescent="0.15"/>
    <row r="17599" s="69" customFormat="1" x14ac:dyDescent="0.15"/>
    <row r="17600" s="69" customFormat="1" x14ac:dyDescent="0.15"/>
    <row r="17601" s="69" customFormat="1" x14ac:dyDescent="0.15"/>
    <row r="17602" s="69" customFormat="1" x14ac:dyDescent="0.15"/>
    <row r="17603" s="69" customFormat="1" x14ac:dyDescent="0.15"/>
    <row r="17604" s="69" customFormat="1" x14ac:dyDescent="0.15"/>
    <row r="17605" s="69" customFormat="1" x14ac:dyDescent="0.15"/>
    <row r="17606" s="69" customFormat="1" x14ac:dyDescent="0.15"/>
    <row r="17607" s="69" customFormat="1" x14ac:dyDescent="0.15"/>
    <row r="17608" s="69" customFormat="1" x14ac:dyDescent="0.15"/>
    <row r="17609" s="69" customFormat="1" x14ac:dyDescent="0.15"/>
    <row r="17610" s="69" customFormat="1" x14ac:dyDescent="0.15"/>
    <row r="17611" s="69" customFormat="1" x14ac:dyDescent="0.15"/>
    <row r="17612" s="69" customFormat="1" x14ac:dyDescent="0.15"/>
    <row r="17613" s="69" customFormat="1" x14ac:dyDescent="0.15"/>
    <row r="17614" s="69" customFormat="1" x14ac:dyDescent="0.15"/>
    <row r="17615" s="69" customFormat="1" x14ac:dyDescent="0.15"/>
    <row r="17616" s="69" customFormat="1" x14ac:dyDescent="0.15"/>
    <row r="17617" s="69" customFormat="1" x14ac:dyDescent="0.15"/>
    <row r="17618" s="69" customFormat="1" x14ac:dyDescent="0.15"/>
    <row r="17619" s="69" customFormat="1" x14ac:dyDescent="0.15"/>
    <row r="17620" s="69" customFormat="1" x14ac:dyDescent="0.15"/>
    <row r="17621" s="69" customFormat="1" x14ac:dyDescent="0.15"/>
    <row r="17622" s="69" customFormat="1" x14ac:dyDescent="0.15"/>
    <row r="17623" s="69" customFormat="1" x14ac:dyDescent="0.15"/>
    <row r="17624" s="69" customFormat="1" x14ac:dyDescent="0.15"/>
    <row r="17625" s="69" customFormat="1" x14ac:dyDescent="0.15"/>
    <row r="17626" s="69" customFormat="1" x14ac:dyDescent="0.15"/>
    <row r="17627" s="69" customFormat="1" x14ac:dyDescent="0.15"/>
    <row r="17628" s="69" customFormat="1" x14ac:dyDescent="0.15"/>
    <row r="17629" s="69" customFormat="1" x14ac:dyDescent="0.15"/>
    <row r="17630" s="69" customFormat="1" x14ac:dyDescent="0.15"/>
    <row r="17631" s="69" customFormat="1" x14ac:dyDescent="0.15"/>
    <row r="17632" s="69" customFormat="1" x14ac:dyDescent="0.15"/>
    <row r="17633" s="69" customFormat="1" x14ac:dyDescent="0.15"/>
    <row r="17634" s="69" customFormat="1" x14ac:dyDescent="0.15"/>
    <row r="17635" s="69" customFormat="1" x14ac:dyDescent="0.15"/>
    <row r="17636" s="69" customFormat="1" x14ac:dyDescent="0.15"/>
    <row r="17637" s="69" customFormat="1" x14ac:dyDescent="0.15"/>
    <row r="17638" s="69" customFormat="1" x14ac:dyDescent="0.15"/>
    <row r="17639" s="69" customFormat="1" x14ac:dyDescent="0.15"/>
    <row r="17640" s="69" customFormat="1" x14ac:dyDescent="0.15"/>
    <row r="17641" s="69" customFormat="1" x14ac:dyDescent="0.15"/>
    <row r="17642" s="69" customFormat="1" x14ac:dyDescent="0.15"/>
    <row r="17643" s="69" customFormat="1" x14ac:dyDescent="0.15"/>
    <row r="17644" s="69" customFormat="1" x14ac:dyDescent="0.15"/>
    <row r="17645" s="69" customFormat="1" x14ac:dyDescent="0.15"/>
    <row r="17646" s="69" customFormat="1" x14ac:dyDescent="0.15"/>
    <row r="17647" s="69" customFormat="1" x14ac:dyDescent="0.15"/>
    <row r="17648" s="69" customFormat="1" x14ac:dyDescent="0.15"/>
    <row r="17649" s="69" customFormat="1" x14ac:dyDescent="0.15"/>
    <row r="17650" s="69" customFormat="1" x14ac:dyDescent="0.15"/>
    <row r="17651" s="69" customFormat="1" x14ac:dyDescent="0.15"/>
    <row r="17652" s="69" customFormat="1" x14ac:dyDescent="0.15"/>
    <row r="17653" s="69" customFormat="1" x14ac:dyDescent="0.15"/>
    <row r="17654" s="69" customFormat="1" x14ac:dyDescent="0.15"/>
    <row r="17655" s="69" customFormat="1" x14ac:dyDescent="0.15"/>
    <row r="17656" s="69" customFormat="1" x14ac:dyDescent="0.15"/>
    <row r="17657" s="69" customFormat="1" x14ac:dyDescent="0.15"/>
    <row r="17658" s="69" customFormat="1" x14ac:dyDescent="0.15"/>
    <row r="17659" s="69" customFormat="1" x14ac:dyDescent="0.15"/>
    <row r="17660" s="69" customFormat="1" x14ac:dyDescent="0.15"/>
    <row r="17661" s="69" customFormat="1" x14ac:dyDescent="0.15"/>
    <row r="17662" s="69" customFormat="1" x14ac:dyDescent="0.15"/>
    <row r="17663" s="69" customFormat="1" x14ac:dyDescent="0.15"/>
    <row r="17664" s="69" customFormat="1" x14ac:dyDescent="0.15"/>
    <row r="17665" s="69" customFormat="1" x14ac:dyDescent="0.15"/>
    <row r="17666" s="69" customFormat="1" x14ac:dyDescent="0.15"/>
    <row r="17667" s="69" customFormat="1" x14ac:dyDescent="0.15"/>
    <row r="17668" s="69" customFormat="1" x14ac:dyDescent="0.15"/>
    <row r="17669" s="69" customFormat="1" x14ac:dyDescent="0.15"/>
    <row r="17670" s="69" customFormat="1" x14ac:dyDescent="0.15"/>
    <row r="17671" s="69" customFormat="1" x14ac:dyDescent="0.15"/>
    <row r="17672" s="69" customFormat="1" x14ac:dyDescent="0.15"/>
    <row r="17673" s="69" customFormat="1" x14ac:dyDescent="0.15"/>
    <row r="17674" s="69" customFormat="1" x14ac:dyDescent="0.15"/>
    <row r="17675" s="69" customFormat="1" x14ac:dyDescent="0.15"/>
    <row r="17676" s="69" customFormat="1" x14ac:dyDescent="0.15"/>
    <row r="17677" s="69" customFormat="1" x14ac:dyDescent="0.15"/>
    <row r="17678" s="69" customFormat="1" x14ac:dyDescent="0.15"/>
    <row r="17679" s="69" customFormat="1" x14ac:dyDescent="0.15"/>
    <row r="17680" s="69" customFormat="1" x14ac:dyDescent="0.15"/>
    <row r="17681" s="69" customFormat="1" x14ac:dyDescent="0.15"/>
    <row r="17682" s="69" customFormat="1" x14ac:dyDescent="0.15"/>
    <row r="17683" s="69" customFormat="1" x14ac:dyDescent="0.15"/>
    <row r="17684" s="69" customFormat="1" x14ac:dyDescent="0.15"/>
    <row r="17685" s="69" customFormat="1" x14ac:dyDescent="0.15"/>
    <row r="17686" s="69" customFormat="1" x14ac:dyDescent="0.15"/>
    <row r="17687" s="69" customFormat="1" x14ac:dyDescent="0.15"/>
    <row r="17688" s="69" customFormat="1" x14ac:dyDescent="0.15"/>
    <row r="17689" s="69" customFormat="1" x14ac:dyDescent="0.15"/>
    <row r="17690" s="69" customFormat="1" x14ac:dyDescent="0.15"/>
    <row r="17691" s="69" customFormat="1" x14ac:dyDescent="0.15"/>
    <row r="17692" s="69" customFormat="1" x14ac:dyDescent="0.15"/>
    <row r="17693" s="69" customFormat="1" x14ac:dyDescent="0.15"/>
    <row r="17694" s="69" customFormat="1" x14ac:dyDescent="0.15"/>
    <row r="17695" s="69" customFormat="1" x14ac:dyDescent="0.15"/>
    <row r="17696" s="69" customFormat="1" x14ac:dyDescent="0.15"/>
    <row r="17697" s="69" customFormat="1" x14ac:dyDescent="0.15"/>
    <row r="17698" s="69" customFormat="1" x14ac:dyDescent="0.15"/>
    <row r="17699" s="69" customFormat="1" x14ac:dyDescent="0.15"/>
    <row r="17700" s="69" customFormat="1" x14ac:dyDescent="0.15"/>
    <row r="17701" s="69" customFormat="1" x14ac:dyDescent="0.15"/>
    <row r="17702" s="69" customFormat="1" x14ac:dyDescent="0.15"/>
    <row r="17703" s="69" customFormat="1" x14ac:dyDescent="0.15"/>
    <row r="17704" s="69" customFormat="1" x14ac:dyDescent="0.15"/>
    <row r="17705" s="69" customFormat="1" x14ac:dyDescent="0.15"/>
    <row r="17706" s="69" customFormat="1" x14ac:dyDescent="0.15"/>
    <row r="17707" s="69" customFormat="1" x14ac:dyDescent="0.15"/>
    <row r="17708" s="69" customFormat="1" x14ac:dyDescent="0.15"/>
    <row r="17709" s="69" customFormat="1" x14ac:dyDescent="0.15"/>
    <row r="17710" s="69" customFormat="1" x14ac:dyDescent="0.15"/>
    <row r="17711" s="69" customFormat="1" x14ac:dyDescent="0.15"/>
    <row r="17712" s="69" customFormat="1" x14ac:dyDescent="0.15"/>
    <row r="17713" s="69" customFormat="1" x14ac:dyDescent="0.15"/>
    <row r="17714" s="69" customFormat="1" x14ac:dyDescent="0.15"/>
    <row r="17715" s="69" customFormat="1" x14ac:dyDescent="0.15"/>
    <row r="17716" s="69" customFormat="1" x14ac:dyDescent="0.15"/>
    <row r="17717" s="69" customFormat="1" x14ac:dyDescent="0.15"/>
    <row r="17718" s="69" customFormat="1" x14ac:dyDescent="0.15"/>
    <row r="17719" s="69" customFormat="1" x14ac:dyDescent="0.15"/>
    <row r="17720" s="69" customFormat="1" x14ac:dyDescent="0.15"/>
    <row r="17721" s="69" customFormat="1" x14ac:dyDescent="0.15"/>
    <row r="17722" s="69" customFormat="1" x14ac:dyDescent="0.15"/>
    <row r="17723" s="69" customFormat="1" x14ac:dyDescent="0.15"/>
    <row r="17724" s="69" customFormat="1" x14ac:dyDescent="0.15"/>
    <row r="17725" s="69" customFormat="1" x14ac:dyDescent="0.15"/>
    <row r="17726" s="69" customFormat="1" x14ac:dyDescent="0.15"/>
    <row r="17727" s="69" customFormat="1" x14ac:dyDescent="0.15"/>
    <row r="17728" s="69" customFormat="1" x14ac:dyDescent="0.15"/>
    <row r="17729" s="69" customFormat="1" x14ac:dyDescent="0.15"/>
    <row r="17730" s="69" customFormat="1" x14ac:dyDescent="0.15"/>
    <row r="17731" s="69" customFormat="1" x14ac:dyDescent="0.15"/>
    <row r="17732" s="69" customFormat="1" x14ac:dyDescent="0.15"/>
    <row r="17733" s="69" customFormat="1" x14ac:dyDescent="0.15"/>
    <row r="17734" s="69" customFormat="1" x14ac:dyDescent="0.15"/>
    <row r="17735" s="69" customFormat="1" x14ac:dyDescent="0.15"/>
    <row r="17736" s="69" customFormat="1" x14ac:dyDescent="0.15"/>
    <row r="17737" s="69" customFormat="1" x14ac:dyDescent="0.15"/>
    <row r="17738" s="69" customFormat="1" x14ac:dyDescent="0.15"/>
    <row r="17739" s="69" customFormat="1" x14ac:dyDescent="0.15"/>
    <row r="17740" s="69" customFormat="1" x14ac:dyDescent="0.15"/>
    <row r="17741" s="69" customFormat="1" x14ac:dyDescent="0.15"/>
    <row r="17742" s="69" customFormat="1" x14ac:dyDescent="0.15"/>
    <row r="17743" s="69" customFormat="1" x14ac:dyDescent="0.15"/>
    <row r="17744" s="69" customFormat="1" x14ac:dyDescent="0.15"/>
    <row r="17745" s="69" customFormat="1" x14ac:dyDescent="0.15"/>
    <row r="17746" s="69" customFormat="1" x14ac:dyDescent="0.15"/>
    <row r="17747" s="69" customFormat="1" x14ac:dyDescent="0.15"/>
    <row r="17748" s="69" customFormat="1" x14ac:dyDescent="0.15"/>
    <row r="17749" s="69" customFormat="1" x14ac:dyDescent="0.15"/>
    <row r="17750" s="69" customFormat="1" x14ac:dyDescent="0.15"/>
    <row r="17751" s="69" customFormat="1" x14ac:dyDescent="0.15"/>
    <row r="17752" s="69" customFormat="1" x14ac:dyDescent="0.15"/>
    <row r="17753" s="69" customFormat="1" x14ac:dyDescent="0.15"/>
    <row r="17754" s="69" customFormat="1" x14ac:dyDescent="0.15"/>
    <row r="17755" s="69" customFormat="1" x14ac:dyDescent="0.15"/>
    <row r="17756" s="69" customFormat="1" x14ac:dyDescent="0.15"/>
    <row r="17757" s="69" customFormat="1" x14ac:dyDescent="0.15"/>
    <row r="17758" s="69" customFormat="1" x14ac:dyDescent="0.15"/>
    <row r="17759" s="69" customFormat="1" x14ac:dyDescent="0.15"/>
    <row r="17760" s="69" customFormat="1" x14ac:dyDescent="0.15"/>
    <row r="17761" s="69" customFormat="1" x14ac:dyDescent="0.15"/>
    <row r="17762" s="69" customFormat="1" x14ac:dyDescent="0.15"/>
    <row r="17763" s="69" customFormat="1" x14ac:dyDescent="0.15"/>
    <row r="17764" s="69" customFormat="1" x14ac:dyDescent="0.15"/>
    <row r="17765" s="69" customFormat="1" x14ac:dyDescent="0.15"/>
    <row r="17766" s="69" customFormat="1" x14ac:dyDescent="0.15"/>
    <row r="17767" s="69" customFormat="1" x14ac:dyDescent="0.15"/>
    <row r="17768" s="69" customFormat="1" x14ac:dyDescent="0.15"/>
    <row r="17769" s="69" customFormat="1" x14ac:dyDescent="0.15"/>
    <row r="17770" s="69" customFormat="1" x14ac:dyDescent="0.15"/>
    <row r="17771" s="69" customFormat="1" x14ac:dyDescent="0.15"/>
    <row r="17772" s="69" customFormat="1" x14ac:dyDescent="0.15"/>
    <row r="17773" s="69" customFormat="1" x14ac:dyDescent="0.15"/>
    <row r="17774" s="69" customFormat="1" x14ac:dyDescent="0.15"/>
    <row r="17775" s="69" customFormat="1" x14ac:dyDescent="0.15"/>
    <row r="17776" s="69" customFormat="1" x14ac:dyDescent="0.15"/>
    <row r="17777" s="69" customFormat="1" x14ac:dyDescent="0.15"/>
    <row r="17778" s="69" customFormat="1" x14ac:dyDescent="0.15"/>
    <row r="17779" s="69" customFormat="1" x14ac:dyDescent="0.15"/>
    <row r="17780" s="69" customFormat="1" x14ac:dyDescent="0.15"/>
    <row r="17781" s="69" customFormat="1" x14ac:dyDescent="0.15"/>
    <row r="17782" s="69" customFormat="1" x14ac:dyDescent="0.15"/>
    <row r="17783" s="69" customFormat="1" x14ac:dyDescent="0.15"/>
    <row r="17784" s="69" customFormat="1" x14ac:dyDescent="0.15"/>
    <row r="17785" s="69" customFormat="1" x14ac:dyDescent="0.15"/>
    <row r="17786" s="69" customFormat="1" x14ac:dyDescent="0.15"/>
    <row r="17787" s="69" customFormat="1" x14ac:dyDescent="0.15"/>
    <row r="17788" s="69" customFormat="1" x14ac:dyDescent="0.15"/>
    <row r="17789" s="69" customFormat="1" x14ac:dyDescent="0.15"/>
    <row r="17790" s="69" customFormat="1" x14ac:dyDescent="0.15"/>
    <row r="17791" s="69" customFormat="1" x14ac:dyDescent="0.15"/>
    <row r="17792" s="69" customFormat="1" x14ac:dyDescent="0.15"/>
    <row r="17793" s="69" customFormat="1" x14ac:dyDescent="0.15"/>
    <row r="17794" s="69" customFormat="1" x14ac:dyDescent="0.15"/>
    <row r="17795" s="69" customFormat="1" x14ac:dyDescent="0.15"/>
    <row r="17796" s="69" customFormat="1" x14ac:dyDescent="0.15"/>
    <row r="17797" s="69" customFormat="1" x14ac:dyDescent="0.15"/>
    <row r="17798" s="69" customFormat="1" x14ac:dyDescent="0.15"/>
    <row r="17799" s="69" customFormat="1" x14ac:dyDescent="0.15"/>
    <row r="17800" s="69" customFormat="1" x14ac:dyDescent="0.15"/>
    <row r="17801" s="69" customFormat="1" x14ac:dyDescent="0.15"/>
    <row r="17802" s="69" customFormat="1" x14ac:dyDescent="0.15"/>
    <row r="17803" s="69" customFormat="1" x14ac:dyDescent="0.15"/>
    <row r="17804" s="69" customFormat="1" x14ac:dyDescent="0.15"/>
    <row r="17805" s="69" customFormat="1" x14ac:dyDescent="0.15"/>
    <row r="17806" s="69" customFormat="1" x14ac:dyDescent="0.15"/>
    <row r="17807" s="69" customFormat="1" x14ac:dyDescent="0.15"/>
    <row r="17808" s="69" customFormat="1" x14ac:dyDescent="0.15"/>
    <row r="17809" s="69" customFormat="1" x14ac:dyDescent="0.15"/>
    <row r="17810" s="69" customFormat="1" x14ac:dyDescent="0.15"/>
    <row r="17811" s="69" customFormat="1" x14ac:dyDescent="0.15"/>
    <row r="17812" s="69" customFormat="1" x14ac:dyDescent="0.15"/>
    <row r="17813" s="69" customFormat="1" x14ac:dyDescent="0.15"/>
    <row r="17814" s="69" customFormat="1" x14ac:dyDescent="0.15"/>
    <row r="17815" s="69" customFormat="1" x14ac:dyDescent="0.15"/>
    <row r="17816" s="69" customFormat="1" x14ac:dyDescent="0.15"/>
    <row r="17817" s="69" customFormat="1" x14ac:dyDescent="0.15"/>
    <row r="17818" s="69" customFormat="1" x14ac:dyDescent="0.15"/>
    <row r="17819" s="69" customFormat="1" x14ac:dyDescent="0.15"/>
    <row r="17820" s="69" customFormat="1" x14ac:dyDescent="0.15"/>
    <row r="17821" s="69" customFormat="1" x14ac:dyDescent="0.15"/>
    <row r="17822" s="69" customFormat="1" x14ac:dyDescent="0.15"/>
    <row r="17823" s="69" customFormat="1" x14ac:dyDescent="0.15"/>
    <row r="17824" s="69" customFormat="1" x14ac:dyDescent="0.15"/>
    <row r="17825" s="69" customFormat="1" x14ac:dyDescent="0.15"/>
    <row r="17826" s="69" customFormat="1" x14ac:dyDescent="0.15"/>
    <row r="17827" s="69" customFormat="1" x14ac:dyDescent="0.15"/>
    <row r="17828" s="69" customFormat="1" x14ac:dyDescent="0.15"/>
    <row r="17829" s="69" customFormat="1" x14ac:dyDescent="0.15"/>
    <row r="17830" s="69" customFormat="1" x14ac:dyDescent="0.15"/>
    <row r="17831" s="69" customFormat="1" x14ac:dyDescent="0.15"/>
    <row r="17832" s="69" customFormat="1" x14ac:dyDescent="0.15"/>
    <row r="17833" s="69" customFormat="1" x14ac:dyDescent="0.15"/>
    <row r="17834" s="69" customFormat="1" x14ac:dyDescent="0.15"/>
    <row r="17835" s="69" customFormat="1" x14ac:dyDescent="0.15"/>
    <row r="17836" s="69" customFormat="1" x14ac:dyDescent="0.15"/>
    <row r="17837" s="69" customFormat="1" x14ac:dyDescent="0.15"/>
    <row r="17838" s="69" customFormat="1" x14ac:dyDescent="0.15"/>
    <row r="17839" s="69" customFormat="1" x14ac:dyDescent="0.15"/>
    <row r="17840" s="69" customFormat="1" x14ac:dyDescent="0.15"/>
    <row r="17841" s="69" customFormat="1" x14ac:dyDescent="0.15"/>
    <row r="17842" s="69" customFormat="1" x14ac:dyDescent="0.15"/>
    <row r="17843" s="69" customFormat="1" x14ac:dyDescent="0.15"/>
    <row r="17844" s="69" customFormat="1" x14ac:dyDescent="0.15"/>
    <row r="17845" s="69" customFormat="1" x14ac:dyDescent="0.15"/>
    <row r="17846" s="69" customFormat="1" x14ac:dyDescent="0.15"/>
    <row r="17847" s="69" customFormat="1" x14ac:dyDescent="0.15"/>
    <row r="17848" s="69" customFormat="1" x14ac:dyDescent="0.15"/>
    <row r="17849" s="69" customFormat="1" x14ac:dyDescent="0.15"/>
    <row r="17850" s="69" customFormat="1" x14ac:dyDescent="0.15"/>
    <row r="17851" s="69" customFormat="1" x14ac:dyDescent="0.15"/>
    <row r="17852" s="69" customFormat="1" x14ac:dyDescent="0.15"/>
    <row r="17853" s="69" customFormat="1" x14ac:dyDescent="0.15"/>
    <row r="17854" s="69" customFormat="1" x14ac:dyDescent="0.15"/>
    <row r="17855" s="69" customFormat="1" x14ac:dyDescent="0.15"/>
    <row r="17856" s="69" customFormat="1" x14ac:dyDescent="0.15"/>
    <row r="17857" s="69" customFormat="1" x14ac:dyDescent="0.15"/>
    <row r="17858" s="69" customFormat="1" x14ac:dyDescent="0.15"/>
    <row r="17859" s="69" customFormat="1" x14ac:dyDescent="0.15"/>
    <row r="17860" s="69" customFormat="1" x14ac:dyDescent="0.15"/>
    <row r="17861" s="69" customFormat="1" x14ac:dyDescent="0.15"/>
    <row r="17862" s="69" customFormat="1" x14ac:dyDescent="0.15"/>
    <row r="17863" s="69" customFormat="1" x14ac:dyDescent="0.15"/>
    <row r="17864" s="69" customFormat="1" x14ac:dyDescent="0.15"/>
    <row r="17865" s="69" customFormat="1" x14ac:dyDescent="0.15"/>
    <row r="17866" s="69" customFormat="1" x14ac:dyDescent="0.15"/>
    <row r="17867" s="69" customFormat="1" x14ac:dyDescent="0.15"/>
    <row r="17868" s="69" customFormat="1" x14ac:dyDescent="0.15"/>
    <row r="17869" s="69" customFormat="1" x14ac:dyDescent="0.15"/>
    <row r="17870" s="69" customFormat="1" x14ac:dyDescent="0.15"/>
    <row r="17871" s="69" customFormat="1" x14ac:dyDescent="0.15"/>
    <row r="17872" s="69" customFormat="1" x14ac:dyDescent="0.15"/>
    <row r="17873" s="69" customFormat="1" x14ac:dyDescent="0.15"/>
    <row r="17874" s="69" customFormat="1" x14ac:dyDescent="0.15"/>
    <row r="17875" s="69" customFormat="1" x14ac:dyDescent="0.15"/>
    <row r="17876" s="69" customFormat="1" x14ac:dyDescent="0.15"/>
    <row r="17877" s="69" customFormat="1" x14ac:dyDescent="0.15"/>
    <row r="17878" s="69" customFormat="1" x14ac:dyDescent="0.15"/>
    <row r="17879" s="69" customFormat="1" x14ac:dyDescent="0.15"/>
    <row r="17880" s="69" customFormat="1" x14ac:dyDescent="0.15"/>
    <row r="17881" s="69" customFormat="1" x14ac:dyDescent="0.15"/>
    <row r="17882" s="69" customFormat="1" x14ac:dyDescent="0.15"/>
    <row r="17883" s="69" customFormat="1" x14ac:dyDescent="0.15"/>
    <row r="17884" s="69" customFormat="1" x14ac:dyDescent="0.15"/>
    <row r="17885" s="69" customFormat="1" x14ac:dyDescent="0.15"/>
    <row r="17886" s="69" customFormat="1" x14ac:dyDescent="0.15"/>
    <row r="17887" s="69" customFormat="1" x14ac:dyDescent="0.15"/>
    <row r="17888" s="69" customFormat="1" x14ac:dyDescent="0.15"/>
    <row r="17889" s="69" customFormat="1" x14ac:dyDescent="0.15"/>
    <row r="17890" s="69" customFormat="1" x14ac:dyDescent="0.15"/>
    <row r="17891" s="69" customFormat="1" x14ac:dyDescent="0.15"/>
    <row r="17892" s="69" customFormat="1" x14ac:dyDescent="0.15"/>
    <row r="17893" s="69" customFormat="1" x14ac:dyDescent="0.15"/>
    <row r="17894" s="69" customFormat="1" x14ac:dyDescent="0.15"/>
    <row r="17895" s="69" customFormat="1" x14ac:dyDescent="0.15"/>
    <row r="17896" s="69" customFormat="1" x14ac:dyDescent="0.15"/>
    <row r="17897" s="69" customFormat="1" x14ac:dyDescent="0.15"/>
    <row r="17898" s="69" customFormat="1" x14ac:dyDescent="0.15"/>
    <row r="17899" s="69" customFormat="1" x14ac:dyDescent="0.15"/>
    <row r="17900" s="69" customFormat="1" x14ac:dyDescent="0.15"/>
    <row r="17901" s="69" customFormat="1" x14ac:dyDescent="0.15"/>
    <row r="17902" s="69" customFormat="1" x14ac:dyDescent="0.15"/>
    <row r="17903" s="69" customFormat="1" x14ac:dyDescent="0.15"/>
    <row r="17904" s="69" customFormat="1" x14ac:dyDescent="0.15"/>
    <row r="17905" s="69" customFormat="1" x14ac:dyDescent="0.15"/>
    <row r="17906" s="69" customFormat="1" x14ac:dyDescent="0.15"/>
    <row r="17907" s="69" customFormat="1" x14ac:dyDescent="0.15"/>
    <row r="17908" s="69" customFormat="1" x14ac:dyDescent="0.15"/>
    <row r="17909" s="69" customFormat="1" x14ac:dyDescent="0.15"/>
    <row r="17910" s="69" customFormat="1" x14ac:dyDescent="0.15"/>
    <row r="17911" s="69" customFormat="1" x14ac:dyDescent="0.15"/>
    <row r="17912" s="69" customFormat="1" x14ac:dyDescent="0.15"/>
    <row r="17913" s="69" customFormat="1" x14ac:dyDescent="0.15"/>
    <row r="17914" s="69" customFormat="1" x14ac:dyDescent="0.15"/>
    <row r="17915" s="69" customFormat="1" x14ac:dyDescent="0.15"/>
    <row r="17916" s="69" customFormat="1" x14ac:dyDescent="0.15"/>
    <row r="17917" s="69" customFormat="1" x14ac:dyDescent="0.15"/>
    <row r="17918" s="69" customFormat="1" x14ac:dyDescent="0.15"/>
    <row r="17919" s="69" customFormat="1" x14ac:dyDescent="0.15"/>
    <row r="17920" s="69" customFormat="1" x14ac:dyDescent="0.15"/>
    <row r="17921" s="69" customFormat="1" x14ac:dyDescent="0.15"/>
    <row r="17922" s="69" customFormat="1" x14ac:dyDescent="0.15"/>
    <row r="17923" s="69" customFormat="1" x14ac:dyDescent="0.15"/>
    <row r="17924" s="69" customFormat="1" x14ac:dyDescent="0.15"/>
    <row r="17925" s="69" customFormat="1" x14ac:dyDescent="0.15"/>
    <row r="17926" s="69" customFormat="1" x14ac:dyDescent="0.15"/>
    <row r="17927" s="69" customFormat="1" x14ac:dyDescent="0.15"/>
    <row r="17928" s="69" customFormat="1" x14ac:dyDescent="0.15"/>
    <row r="17929" s="69" customFormat="1" x14ac:dyDescent="0.15"/>
    <row r="17930" s="69" customFormat="1" x14ac:dyDescent="0.15"/>
    <row r="17931" s="69" customFormat="1" x14ac:dyDescent="0.15"/>
    <row r="17932" s="69" customFormat="1" x14ac:dyDescent="0.15"/>
    <row r="17933" s="69" customFormat="1" x14ac:dyDescent="0.15"/>
    <row r="17934" s="69" customFormat="1" x14ac:dyDescent="0.15"/>
    <row r="17935" s="69" customFormat="1" x14ac:dyDescent="0.15"/>
    <row r="17936" s="69" customFormat="1" x14ac:dyDescent="0.15"/>
    <row r="17937" s="69" customFormat="1" x14ac:dyDescent="0.15"/>
    <row r="17938" s="69" customFormat="1" x14ac:dyDescent="0.15"/>
    <row r="17939" s="69" customFormat="1" x14ac:dyDescent="0.15"/>
    <row r="17940" s="69" customFormat="1" x14ac:dyDescent="0.15"/>
    <row r="17941" s="69" customFormat="1" x14ac:dyDescent="0.15"/>
    <row r="17942" s="69" customFormat="1" x14ac:dyDescent="0.15"/>
    <row r="17943" s="69" customFormat="1" x14ac:dyDescent="0.15"/>
    <row r="17944" s="69" customFormat="1" x14ac:dyDescent="0.15"/>
    <row r="17945" s="69" customFormat="1" x14ac:dyDescent="0.15"/>
    <row r="17946" s="69" customFormat="1" x14ac:dyDescent="0.15"/>
    <row r="17947" s="69" customFormat="1" x14ac:dyDescent="0.15"/>
    <row r="17948" s="69" customFormat="1" x14ac:dyDescent="0.15"/>
    <row r="17949" s="69" customFormat="1" x14ac:dyDescent="0.15"/>
    <row r="17950" s="69" customFormat="1" x14ac:dyDescent="0.15"/>
    <row r="17951" s="69" customFormat="1" x14ac:dyDescent="0.15"/>
    <row r="17952" s="69" customFormat="1" x14ac:dyDescent="0.15"/>
    <row r="17953" s="69" customFormat="1" x14ac:dyDescent="0.15"/>
    <row r="17954" s="69" customFormat="1" x14ac:dyDescent="0.15"/>
    <row r="17955" s="69" customFormat="1" x14ac:dyDescent="0.15"/>
    <row r="17956" s="69" customFormat="1" x14ac:dyDescent="0.15"/>
    <row r="17957" s="69" customFormat="1" x14ac:dyDescent="0.15"/>
    <row r="17958" s="69" customFormat="1" x14ac:dyDescent="0.15"/>
    <row r="17959" s="69" customFormat="1" x14ac:dyDescent="0.15"/>
    <row r="17960" s="69" customFormat="1" x14ac:dyDescent="0.15"/>
    <row r="17961" s="69" customFormat="1" x14ac:dyDescent="0.15"/>
    <row r="17962" s="69" customFormat="1" x14ac:dyDescent="0.15"/>
    <row r="17963" s="69" customFormat="1" x14ac:dyDescent="0.15"/>
    <row r="17964" s="69" customFormat="1" x14ac:dyDescent="0.15"/>
    <row r="17965" s="69" customFormat="1" x14ac:dyDescent="0.15"/>
    <row r="17966" s="69" customFormat="1" x14ac:dyDescent="0.15"/>
    <row r="17967" s="69" customFormat="1" x14ac:dyDescent="0.15"/>
    <row r="17968" s="69" customFormat="1" x14ac:dyDescent="0.15"/>
    <row r="17969" s="69" customFormat="1" x14ac:dyDescent="0.15"/>
    <row r="17970" s="69" customFormat="1" x14ac:dyDescent="0.15"/>
    <row r="17971" s="69" customFormat="1" x14ac:dyDescent="0.15"/>
    <row r="17972" s="69" customFormat="1" x14ac:dyDescent="0.15"/>
    <row r="17973" s="69" customFormat="1" x14ac:dyDescent="0.15"/>
    <row r="17974" s="69" customFormat="1" x14ac:dyDescent="0.15"/>
    <row r="17975" s="69" customFormat="1" x14ac:dyDescent="0.15"/>
    <row r="17976" s="69" customFormat="1" x14ac:dyDescent="0.15"/>
    <row r="17977" s="69" customFormat="1" x14ac:dyDescent="0.15"/>
    <row r="17978" s="69" customFormat="1" x14ac:dyDescent="0.15"/>
    <row r="17979" s="69" customFormat="1" x14ac:dyDescent="0.15"/>
    <row r="17980" s="69" customFormat="1" x14ac:dyDescent="0.15"/>
    <row r="17981" s="69" customFormat="1" x14ac:dyDescent="0.15"/>
    <row r="17982" s="69" customFormat="1" x14ac:dyDescent="0.15"/>
    <row r="17983" s="69" customFormat="1" x14ac:dyDescent="0.15"/>
    <row r="17984" s="69" customFormat="1" x14ac:dyDescent="0.15"/>
    <row r="17985" s="69" customFormat="1" x14ac:dyDescent="0.15"/>
    <row r="17986" s="69" customFormat="1" x14ac:dyDescent="0.15"/>
    <row r="17987" s="69" customFormat="1" x14ac:dyDescent="0.15"/>
    <row r="17988" s="69" customFormat="1" x14ac:dyDescent="0.15"/>
    <row r="17989" s="69" customFormat="1" x14ac:dyDescent="0.15"/>
    <row r="17990" s="69" customFormat="1" x14ac:dyDescent="0.15"/>
    <row r="17991" s="69" customFormat="1" x14ac:dyDescent="0.15"/>
    <row r="17992" s="69" customFormat="1" x14ac:dyDescent="0.15"/>
    <row r="17993" s="69" customFormat="1" x14ac:dyDescent="0.15"/>
    <row r="17994" s="69" customFormat="1" x14ac:dyDescent="0.15"/>
    <row r="17995" s="69" customFormat="1" x14ac:dyDescent="0.15"/>
    <row r="17996" s="69" customFormat="1" x14ac:dyDescent="0.15"/>
    <row r="17997" s="69" customFormat="1" x14ac:dyDescent="0.15"/>
    <row r="17998" s="69" customFormat="1" x14ac:dyDescent="0.15"/>
    <row r="17999" s="69" customFormat="1" x14ac:dyDescent="0.15"/>
    <row r="18000" s="69" customFormat="1" x14ac:dyDescent="0.15"/>
    <row r="18001" s="69" customFormat="1" x14ac:dyDescent="0.15"/>
    <row r="18002" s="69" customFormat="1" x14ac:dyDescent="0.15"/>
    <row r="18003" s="69" customFormat="1" x14ac:dyDescent="0.15"/>
    <row r="18004" s="69" customFormat="1" x14ac:dyDescent="0.15"/>
    <row r="18005" s="69" customFormat="1" x14ac:dyDescent="0.15"/>
    <row r="18006" s="69" customFormat="1" x14ac:dyDescent="0.15"/>
    <row r="18007" s="69" customFormat="1" x14ac:dyDescent="0.15"/>
    <row r="18008" s="69" customFormat="1" x14ac:dyDescent="0.15"/>
    <row r="18009" s="69" customFormat="1" x14ac:dyDescent="0.15"/>
    <row r="18010" s="69" customFormat="1" x14ac:dyDescent="0.15"/>
    <row r="18011" s="69" customFormat="1" x14ac:dyDescent="0.15"/>
    <row r="18012" s="69" customFormat="1" x14ac:dyDescent="0.15"/>
    <row r="18013" s="69" customFormat="1" x14ac:dyDescent="0.15"/>
    <row r="18014" s="69" customFormat="1" x14ac:dyDescent="0.15"/>
    <row r="18015" s="69" customFormat="1" x14ac:dyDescent="0.15"/>
    <row r="18016" s="69" customFormat="1" x14ac:dyDescent="0.15"/>
    <row r="18017" s="69" customFormat="1" x14ac:dyDescent="0.15"/>
    <row r="18018" s="69" customFormat="1" x14ac:dyDescent="0.15"/>
    <row r="18019" s="69" customFormat="1" x14ac:dyDescent="0.15"/>
    <row r="18020" s="69" customFormat="1" x14ac:dyDescent="0.15"/>
    <row r="18021" s="69" customFormat="1" x14ac:dyDescent="0.15"/>
    <row r="18022" s="69" customFormat="1" x14ac:dyDescent="0.15"/>
    <row r="18023" s="69" customFormat="1" x14ac:dyDescent="0.15"/>
    <row r="18024" s="69" customFormat="1" x14ac:dyDescent="0.15"/>
    <row r="18025" s="69" customFormat="1" x14ac:dyDescent="0.15"/>
    <row r="18026" s="69" customFormat="1" x14ac:dyDescent="0.15"/>
    <row r="18027" s="69" customFormat="1" x14ac:dyDescent="0.15"/>
    <row r="18028" s="69" customFormat="1" x14ac:dyDescent="0.15"/>
    <row r="18029" s="69" customFormat="1" x14ac:dyDescent="0.15"/>
    <row r="18030" s="69" customFormat="1" x14ac:dyDescent="0.15"/>
    <row r="18031" s="69" customFormat="1" x14ac:dyDescent="0.15"/>
    <row r="18032" s="69" customFormat="1" x14ac:dyDescent="0.15"/>
    <row r="18033" s="69" customFormat="1" x14ac:dyDescent="0.15"/>
    <row r="18034" s="69" customFormat="1" x14ac:dyDescent="0.15"/>
    <row r="18035" s="69" customFormat="1" x14ac:dyDescent="0.15"/>
    <row r="18036" s="69" customFormat="1" x14ac:dyDescent="0.15"/>
    <row r="18037" s="69" customFormat="1" x14ac:dyDescent="0.15"/>
    <row r="18038" s="69" customFormat="1" x14ac:dyDescent="0.15"/>
    <row r="18039" s="69" customFormat="1" x14ac:dyDescent="0.15"/>
    <row r="18040" s="69" customFormat="1" x14ac:dyDescent="0.15"/>
    <row r="18041" s="69" customFormat="1" x14ac:dyDescent="0.15"/>
    <row r="18042" s="69" customFormat="1" x14ac:dyDescent="0.15"/>
    <row r="18043" s="69" customFormat="1" x14ac:dyDescent="0.15"/>
    <row r="18044" s="69" customFormat="1" x14ac:dyDescent="0.15"/>
    <row r="18045" s="69" customFormat="1" x14ac:dyDescent="0.15"/>
    <row r="18046" s="69" customFormat="1" x14ac:dyDescent="0.15"/>
    <row r="18047" s="69" customFormat="1" x14ac:dyDescent="0.15"/>
    <row r="18048" s="69" customFormat="1" x14ac:dyDescent="0.15"/>
    <row r="18049" s="69" customFormat="1" x14ac:dyDescent="0.15"/>
    <row r="18050" s="69" customFormat="1" x14ac:dyDescent="0.15"/>
    <row r="18051" s="69" customFormat="1" x14ac:dyDescent="0.15"/>
    <row r="18052" s="69" customFormat="1" x14ac:dyDescent="0.15"/>
    <row r="18053" s="69" customFormat="1" x14ac:dyDescent="0.15"/>
    <row r="18054" s="69" customFormat="1" x14ac:dyDescent="0.15"/>
    <row r="18055" s="69" customFormat="1" x14ac:dyDescent="0.15"/>
    <row r="18056" s="69" customFormat="1" x14ac:dyDescent="0.15"/>
    <row r="18057" s="69" customFormat="1" x14ac:dyDescent="0.15"/>
    <row r="18058" s="69" customFormat="1" x14ac:dyDescent="0.15"/>
    <row r="18059" s="69" customFormat="1" x14ac:dyDescent="0.15"/>
    <row r="18060" s="69" customFormat="1" x14ac:dyDescent="0.15"/>
    <row r="18061" s="69" customFormat="1" x14ac:dyDescent="0.15"/>
    <row r="18062" s="69" customFormat="1" x14ac:dyDescent="0.15"/>
    <row r="18063" s="69" customFormat="1" x14ac:dyDescent="0.15"/>
    <row r="18064" s="69" customFormat="1" x14ac:dyDescent="0.15"/>
    <row r="18065" s="69" customFormat="1" x14ac:dyDescent="0.15"/>
    <row r="18066" s="69" customFormat="1" x14ac:dyDescent="0.15"/>
    <row r="18067" s="69" customFormat="1" x14ac:dyDescent="0.15"/>
    <row r="18068" s="69" customFormat="1" x14ac:dyDescent="0.15"/>
    <row r="18069" s="69" customFormat="1" x14ac:dyDescent="0.15"/>
    <row r="18070" s="69" customFormat="1" x14ac:dyDescent="0.15"/>
    <row r="18071" s="69" customFormat="1" x14ac:dyDescent="0.15"/>
    <row r="18072" s="69" customFormat="1" x14ac:dyDescent="0.15"/>
    <row r="18073" s="69" customFormat="1" x14ac:dyDescent="0.15"/>
    <row r="18074" s="69" customFormat="1" x14ac:dyDescent="0.15"/>
    <row r="18075" s="69" customFormat="1" x14ac:dyDescent="0.15"/>
    <row r="18076" s="69" customFormat="1" x14ac:dyDescent="0.15"/>
    <row r="18077" s="69" customFormat="1" x14ac:dyDescent="0.15"/>
    <row r="18078" s="69" customFormat="1" x14ac:dyDescent="0.15"/>
    <row r="18079" s="69" customFormat="1" x14ac:dyDescent="0.15"/>
    <row r="18080" s="69" customFormat="1" x14ac:dyDescent="0.15"/>
    <row r="18081" s="69" customFormat="1" x14ac:dyDescent="0.15"/>
    <row r="18082" s="69" customFormat="1" x14ac:dyDescent="0.15"/>
    <row r="18083" s="69" customFormat="1" x14ac:dyDescent="0.15"/>
    <row r="18084" s="69" customFormat="1" x14ac:dyDescent="0.15"/>
    <row r="18085" s="69" customFormat="1" x14ac:dyDescent="0.15"/>
    <row r="18086" s="69" customFormat="1" x14ac:dyDescent="0.15"/>
    <row r="18087" s="69" customFormat="1" x14ac:dyDescent="0.15"/>
    <row r="18088" s="69" customFormat="1" x14ac:dyDescent="0.15"/>
    <row r="18089" s="69" customFormat="1" x14ac:dyDescent="0.15"/>
    <row r="18090" s="69" customFormat="1" x14ac:dyDescent="0.15"/>
    <row r="18091" s="69" customFormat="1" x14ac:dyDescent="0.15"/>
    <row r="18092" s="69" customFormat="1" x14ac:dyDescent="0.15"/>
    <row r="18093" s="69" customFormat="1" x14ac:dyDescent="0.15"/>
    <row r="18094" s="69" customFormat="1" x14ac:dyDescent="0.15"/>
    <row r="18095" s="69" customFormat="1" x14ac:dyDescent="0.15"/>
    <row r="18096" s="69" customFormat="1" x14ac:dyDescent="0.15"/>
    <row r="18097" s="69" customFormat="1" x14ac:dyDescent="0.15"/>
    <row r="18098" s="69" customFormat="1" x14ac:dyDescent="0.15"/>
    <row r="18099" s="69" customFormat="1" x14ac:dyDescent="0.15"/>
    <row r="18100" s="69" customFormat="1" x14ac:dyDescent="0.15"/>
    <row r="18101" s="69" customFormat="1" x14ac:dyDescent="0.15"/>
    <row r="18102" s="69" customFormat="1" x14ac:dyDescent="0.15"/>
    <row r="18103" s="69" customFormat="1" x14ac:dyDescent="0.15"/>
    <row r="18104" s="69" customFormat="1" x14ac:dyDescent="0.15"/>
    <row r="18105" s="69" customFormat="1" x14ac:dyDescent="0.15"/>
    <row r="18106" s="69" customFormat="1" x14ac:dyDescent="0.15"/>
    <row r="18107" s="69" customFormat="1" x14ac:dyDescent="0.15"/>
    <row r="18108" s="69" customFormat="1" x14ac:dyDescent="0.15"/>
    <row r="18109" s="69" customFormat="1" x14ac:dyDescent="0.15"/>
    <row r="18110" s="69" customFormat="1" x14ac:dyDescent="0.15"/>
    <row r="18111" s="69" customFormat="1" x14ac:dyDescent="0.15"/>
    <row r="18112" s="69" customFormat="1" x14ac:dyDescent="0.15"/>
    <row r="18113" s="69" customFormat="1" x14ac:dyDescent="0.15"/>
    <row r="18114" s="69" customFormat="1" x14ac:dyDescent="0.15"/>
    <row r="18115" s="69" customFormat="1" x14ac:dyDescent="0.15"/>
    <row r="18116" s="69" customFormat="1" x14ac:dyDescent="0.15"/>
    <row r="18117" s="69" customFormat="1" x14ac:dyDescent="0.15"/>
    <row r="18118" s="69" customFormat="1" x14ac:dyDescent="0.15"/>
    <row r="18119" s="69" customFormat="1" x14ac:dyDescent="0.15"/>
    <row r="18120" s="69" customFormat="1" x14ac:dyDescent="0.15"/>
    <row r="18121" s="69" customFormat="1" x14ac:dyDescent="0.15"/>
    <row r="18122" s="69" customFormat="1" x14ac:dyDescent="0.15"/>
    <row r="18123" s="69" customFormat="1" x14ac:dyDescent="0.15"/>
    <row r="18124" s="69" customFormat="1" x14ac:dyDescent="0.15"/>
    <row r="18125" s="69" customFormat="1" x14ac:dyDescent="0.15"/>
    <row r="18126" s="69" customFormat="1" x14ac:dyDescent="0.15"/>
    <row r="18127" s="69" customFormat="1" x14ac:dyDescent="0.15"/>
    <row r="18128" s="69" customFormat="1" x14ac:dyDescent="0.15"/>
    <row r="18129" s="69" customFormat="1" x14ac:dyDescent="0.15"/>
    <row r="18130" s="69" customFormat="1" x14ac:dyDescent="0.15"/>
    <row r="18131" s="69" customFormat="1" x14ac:dyDescent="0.15"/>
    <row r="18132" s="69" customFormat="1" x14ac:dyDescent="0.15"/>
    <row r="18133" s="69" customFormat="1" x14ac:dyDescent="0.15"/>
    <row r="18134" s="69" customFormat="1" x14ac:dyDescent="0.15"/>
    <row r="18135" s="69" customFormat="1" x14ac:dyDescent="0.15"/>
    <row r="18136" s="69" customFormat="1" x14ac:dyDescent="0.15"/>
    <row r="18137" s="69" customFormat="1" x14ac:dyDescent="0.15"/>
    <row r="18138" s="69" customFormat="1" x14ac:dyDescent="0.15"/>
    <row r="18139" s="69" customFormat="1" x14ac:dyDescent="0.15"/>
    <row r="18140" s="69" customFormat="1" x14ac:dyDescent="0.15"/>
    <row r="18141" s="69" customFormat="1" x14ac:dyDescent="0.15"/>
    <row r="18142" s="69" customFormat="1" x14ac:dyDescent="0.15"/>
    <row r="18143" s="69" customFormat="1" x14ac:dyDescent="0.15"/>
    <row r="18144" s="69" customFormat="1" x14ac:dyDescent="0.15"/>
    <row r="18145" s="69" customFormat="1" x14ac:dyDescent="0.15"/>
    <row r="18146" s="69" customFormat="1" x14ac:dyDescent="0.15"/>
    <row r="18147" s="69" customFormat="1" x14ac:dyDescent="0.15"/>
    <row r="18148" s="69" customFormat="1" x14ac:dyDescent="0.15"/>
    <row r="18149" s="69" customFormat="1" x14ac:dyDescent="0.15"/>
    <row r="18150" s="69" customFormat="1" x14ac:dyDescent="0.15"/>
    <row r="18151" s="69" customFormat="1" x14ac:dyDescent="0.15"/>
    <row r="18152" s="69" customFormat="1" x14ac:dyDescent="0.15"/>
    <row r="18153" s="69" customFormat="1" x14ac:dyDescent="0.15"/>
    <row r="18154" s="69" customFormat="1" x14ac:dyDescent="0.15"/>
    <row r="18155" s="69" customFormat="1" x14ac:dyDescent="0.15"/>
    <row r="18156" s="69" customFormat="1" x14ac:dyDescent="0.15"/>
    <row r="18157" s="69" customFormat="1" x14ac:dyDescent="0.15"/>
    <row r="18158" s="69" customFormat="1" x14ac:dyDescent="0.15"/>
    <row r="18159" s="69" customFormat="1" x14ac:dyDescent="0.15"/>
    <row r="18160" s="69" customFormat="1" x14ac:dyDescent="0.15"/>
    <row r="18161" s="69" customFormat="1" x14ac:dyDescent="0.15"/>
    <row r="18162" s="69" customFormat="1" x14ac:dyDescent="0.15"/>
    <row r="18163" s="69" customFormat="1" x14ac:dyDescent="0.15"/>
    <row r="18164" s="69" customFormat="1" x14ac:dyDescent="0.15"/>
    <row r="18165" s="69" customFormat="1" x14ac:dyDescent="0.15"/>
    <row r="18166" s="69" customFormat="1" x14ac:dyDescent="0.15"/>
    <row r="18167" s="69" customFormat="1" x14ac:dyDescent="0.15"/>
    <row r="18168" s="69" customFormat="1" x14ac:dyDescent="0.15"/>
    <row r="18169" s="69" customFormat="1" x14ac:dyDescent="0.15"/>
    <row r="18170" s="69" customFormat="1" x14ac:dyDescent="0.15"/>
    <row r="18171" s="69" customFormat="1" x14ac:dyDescent="0.15"/>
    <row r="18172" s="69" customFormat="1" x14ac:dyDescent="0.15"/>
    <row r="18173" s="69" customFormat="1" x14ac:dyDescent="0.15"/>
    <row r="18174" s="69" customFormat="1" x14ac:dyDescent="0.15"/>
    <row r="18175" s="69" customFormat="1" x14ac:dyDescent="0.15"/>
    <row r="18176" s="69" customFormat="1" x14ac:dyDescent="0.15"/>
    <row r="18177" s="69" customFormat="1" x14ac:dyDescent="0.15"/>
    <row r="18178" s="69" customFormat="1" x14ac:dyDescent="0.15"/>
    <row r="18179" s="69" customFormat="1" x14ac:dyDescent="0.15"/>
    <row r="18180" s="69" customFormat="1" x14ac:dyDescent="0.15"/>
    <row r="18181" s="69" customFormat="1" x14ac:dyDescent="0.15"/>
    <row r="18182" s="69" customFormat="1" x14ac:dyDescent="0.15"/>
    <row r="18183" s="69" customFormat="1" x14ac:dyDescent="0.15"/>
    <row r="18184" s="69" customFormat="1" x14ac:dyDescent="0.15"/>
    <row r="18185" s="69" customFormat="1" x14ac:dyDescent="0.15"/>
    <row r="18186" s="69" customFormat="1" x14ac:dyDescent="0.15"/>
    <row r="18187" s="69" customFormat="1" x14ac:dyDescent="0.15"/>
    <row r="18188" s="69" customFormat="1" x14ac:dyDescent="0.15"/>
    <row r="18189" s="69" customFormat="1" x14ac:dyDescent="0.15"/>
    <row r="18190" s="69" customFormat="1" x14ac:dyDescent="0.15"/>
    <row r="18191" s="69" customFormat="1" x14ac:dyDescent="0.15"/>
    <row r="18192" s="69" customFormat="1" x14ac:dyDescent="0.15"/>
    <row r="18193" s="69" customFormat="1" x14ac:dyDescent="0.15"/>
    <row r="18194" s="69" customFormat="1" x14ac:dyDescent="0.15"/>
    <row r="18195" s="69" customFormat="1" x14ac:dyDescent="0.15"/>
    <row r="18196" s="69" customFormat="1" x14ac:dyDescent="0.15"/>
    <row r="18197" s="69" customFormat="1" x14ac:dyDescent="0.15"/>
    <row r="18198" s="69" customFormat="1" x14ac:dyDescent="0.15"/>
    <row r="18199" s="69" customFormat="1" x14ac:dyDescent="0.15"/>
    <row r="18200" s="69" customFormat="1" x14ac:dyDescent="0.15"/>
    <row r="18201" s="69" customFormat="1" x14ac:dyDescent="0.15"/>
    <row r="18202" s="69" customFormat="1" x14ac:dyDescent="0.15"/>
    <row r="18203" s="69" customFormat="1" x14ac:dyDescent="0.15"/>
    <row r="18204" s="69" customFormat="1" x14ac:dyDescent="0.15"/>
    <row r="18205" s="69" customFormat="1" x14ac:dyDescent="0.15"/>
    <row r="18206" s="69" customFormat="1" x14ac:dyDescent="0.15"/>
    <row r="18207" s="69" customFormat="1" x14ac:dyDescent="0.15"/>
    <row r="18208" s="69" customFormat="1" x14ac:dyDescent="0.15"/>
    <row r="18209" s="69" customFormat="1" x14ac:dyDescent="0.15"/>
    <row r="18210" s="69" customFormat="1" x14ac:dyDescent="0.15"/>
    <row r="18211" s="69" customFormat="1" x14ac:dyDescent="0.15"/>
    <row r="18212" s="69" customFormat="1" x14ac:dyDescent="0.15"/>
    <row r="18213" s="69" customFormat="1" x14ac:dyDescent="0.15"/>
    <row r="18214" s="69" customFormat="1" x14ac:dyDescent="0.15"/>
    <row r="18215" s="69" customFormat="1" x14ac:dyDescent="0.15"/>
    <row r="18216" s="69" customFormat="1" x14ac:dyDescent="0.15"/>
    <row r="18217" s="69" customFormat="1" x14ac:dyDescent="0.15"/>
    <row r="18218" s="69" customFormat="1" x14ac:dyDescent="0.15"/>
    <row r="18219" s="69" customFormat="1" x14ac:dyDescent="0.15"/>
    <row r="18220" s="69" customFormat="1" x14ac:dyDescent="0.15"/>
    <row r="18221" s="69" customFormat="1" x14ac:dyDescent="0.15"/>
    <row r="18222" s="69" customFormat="1" x14ac:dyDescent="0.15"/>
    <row r="18223" s="69" customFormat="1" x14ac:dyDescent="0.15"/>
    <row r="18224" s="69" customFormat="1" x14ac:dyDescent="0.15"/>
    <row r="18225" s="69" customFormat="1" x14ac:dyDescent="0.15"/>
    <row r="18226" s="69" customFormat="1" x14ac:dyDescent="0.15"/>
    <row r="18227" s="69" customFormat="1" x14ac:dyDescent="0.15"/>
    <row r="18228" s="69" customFormat="1" x14ac:dyDescent="0.15"/>
    <row r="18229" s="69" customFormat="1" x14ac:dyDescent="0.15"/>
    <row r="18230" s="69" customFormat="1" x14ac:dyDescent="0.15"/>
    <row r="18231" s="69" customFormat="1" x14ac:dyDescent="0.15"/>
    <row r="18232" s="69" customFormat="1" x14ac:dyDescent="0.15"/>
    <row r="18233" s="69" customFormat="1" x14ac:dyDescent="0.15"/>
    <row r="18234" s="69" customFormat="1" x14ac:dyDescent="0.15"/>
    <row r="18235" s="69" customFormat="1" x14ac:dyDescent="0.15"/>
    <row r="18236" s="69" customFormat="1" x14ac:dyDescent="0.15"/>
    <row r="18237" s="69" customFormat="1" x14ac:dyDescent="0.15"/>
    <row r="18238" s="69" customFormat="1" x14ac:dyDescent="0.15"/>
    <row r="18239" s="69" customFormat="1" x14ac:dyDescent="0.15"/>
    <row r="18240" s="69" customFormat="1" x14ac:dyDescent="0.15"/>
    <row r="18241" s="69" customFormat="1" x14ac:dyDescent="0.15"/>
    <row r="18242" s="69" customFormat="1" x14ac:dyDescent="0.15"/>
    <row r="18243" s="69" customFormat="1" x14ac:dyDescent="0.15"/>
    <row r="18244" s="69" customFormat="1" x14ac:dyDescent="0.15"/>
    <row r="18245" s="69" customFormat="1" x14ac:dyDescent="0.15"/>
    <row r="18246" s="69" customFormat="1" x14ac:dyDescent="0.15"/>
    <row r="18247" s="69" customFormat="1" x14ac:dyDescent="0.15"/>
    <row r="18248" s="69" customFormat="1" x14ac:dyDescent="0.15"/>
    <row r="18249" s="69" customFormat="1" x14ac:dyDescent="0.15"/>
    <row r="18250" s="69" customFormat="1" x14ac:dyDescent="0.15"/>
    <row r="18251" s="69" customFormat="1" x14ac:dyDescent="0.15"/>
    <row r="18252" s="69" customFormat="1" x14ac:dyDescent="0.15"/>
    <row r="18253" s="69" customFormat="1" x14ac:dyDescent="0.15"/>
    <row r="18254" s="69" customFormat="1" x14ac:dyDescent="0.15"/>
    <row r="18255" s="69" customFormat="1" x14ac:dyDescent="0.15"/>
    <row r="18256" s="69" customFormat="1" x14ac:dyDescent="0.15"/>
    <row r="18257" s="69" customFormat="1" x14ac:dyDescent="0.15"/>
    <row r="18258" s="69" customFormat="1" x14ac:dyDescent="0.15"/>
    <row r="18259" s="69" customFormat="1" x14ac:dyDescent="0.15"/>
    <row r="18260" s="69" customFormat="1" x14ac:dyDescent="0.15"/>
    <row r="18261" s="69" customFormat="1" x14ac:dyDescent="0.15"/>
    <row r="18262" s="69" customFormat="1" x14ac:dyDescent="0.15"/>
    <row r="18263" s="69" customFormat="1" x14ac:dyDescent="0.15"/>
    <row r="18264" s="69" customFormat="1" x14ac:dyDescent="0.15"/>
    <row r="18265" s="69" customFormat="1" x14ac:dyDescent="0.15"/>
    <row r="18266" s="69" customFormat="1" x14ac:dyDescent="0.15"/>
    <row r="18267" s="69" customFormat="1" x14ac:dyDescent="0.15"/>
    <row r="18268" s="69" customFormat="1" x14ac:dyDescent="0.15"/>
    <row r="18269" s="69" customFormat="1" x14ac:dyDescent="0.15"/>
    <row r="18270" s="69" customFormat="1" x14ac:dyDescent="0.15"/>
    <row r="18271" s="69" customFormat="1" x14ac:dyDescent="0.15"/>
    <row r="18272" s="69" customFormat="1" x14ac:dyDescent="0.15"/>
    <row r="18273" s="69" customFormat="1" x14ac:dyDescent="0.15"/>
    <row r="18274" s="69" customFormat="1" x14ac:dyDescent="0.15"/>
    <row r="18275" s="69" customFormat="1" x14ac:dyDescent="0.15"/>
    <row r="18276" s="69" customFormat="1" x14ac:dyDescent="0.15"/>
    <row r="18277" s="69" customFormat="1" x14ac:dyDescent="0.15"/>
    <row r="18278" s="69" customFormat="1" x14ac:dyDescent="0.15"/>
    <row r="18279" s="69" customFormat="1" x14ac:dyDescent="0.15"/>
    <row r="18280" s="69" customFormat="1" x14ac:dyDescent="0.15"/>
    <row r="18281" s="69" customFormat="1" x14ac:dyDescent="0.15"/>
    <row r="18282" s="69" customFormat="1" x14ac:dyDescent="0.15"/>
    <row r="18283" s="69" customFormat="1" x14ac:dyDescent="0.15"/>
    <row r="18284" s="69" customFormat="1" x14ac:dyDescent="0.15"/>
    <row r="18285" s="69" customFormat="1" x14ac:dyDescent="0.15"/>
    <row r="18286" s="69" customFormat="1" x14ac:dyDescent="0.15"/>
    <row r="18287" s="69" customFormat="1" x14ac:dyDescent="0.15"/>
    <row r="18288" s="69" customFormat="1" x14ac:dyDescent="0.15"/>
    <row r="18289" s="69" customFormat="1" x14ac:dyDescent="0.15"/>
    <row r="18290" s="69" customFormat="1" x14ac:dyDescent="0.15"/>
    <row r="18291" s="69" customFormat="1" x14ac:dyDescent="0.15"/>
    <row r="18292" s="69" customFormat="1" x14ac:dyDescent="0.15"/>
    <row r="18293" s="69" customFormat="1" x14ac:dyDescent="0.15"/>
    <row r="18294" s="69" customFormat="1" x14ac:dyDescent="0.15"/>
    <row r="18295" s="69" customFormat="1" x14ac:dyDescent="0.15"/>
    <row r="18296" s="69" customFormat="1" x14ac:dyDescent="0.15"/>
    <row r="18297" s="69" customFormat="1" x14ac:dyDescent="0.15"/>
    <row r="18298" s="69" customFormat="1" x14ac:dyDescent="0.15"/>
    <row r="18299" s="69" customFormat="1" x14ac:dyDescent="0.15"/>
    <row r="18300" s="69" customFormat="1" x14ac:dyDescent="0.15"/>
    <row r="18301" s="69" customFormat="1" x14ac:dyDescent="0.15"/>
    <row r="18302" s="69" customFormat="1" x14ac:dyDescent="0.15"/>
    <row r="18303" s="69" customFormat="1" x14ac:dyDescent="0.15"/>
    <row r="18304" s="69" customFormat="1" x14ac:dyDescent="0.15"/>
    <row r="18305" s="69" customFormat="1" x14ac:dyDescent="0.15"/>
    <row r="18306" s="69" customFormat="1" x14ac:dyDescent="0.15"/>
    <row r="18307" s="69" customFormat="1" x14ac:dyDescent="0.15"/>
    <row r="18308" s="69" customFormat="1" x14ac:dyDescent="0.15"/>
    <row r="18309" s="69" customFormat="1" x14ac:dyDescent="0.15"/>
    <row r="18310" s="69" customFormat="1" x14ac:dyDescent="0.15"/>
    <row r="18311" s="69" customFormat="1" x14ac:dyDescent="0.15"/>
    <row r="18312" s="69" customFormat="1" x14ac:dyDescent="0.15"/>
    <row r="18313" s="69" customFormat="1" x14ac:dyDescent="0.15"/>
    <row r="18314" s="69" customFormat="1" x14ac:dyDescent="0.15"/>
    <row r="18315" s="69" customFormat="1" x14ac:dyDescent="0.15"/>
    <row r="18316" s="69" customFormat="1" x14ac:dyDescent="0.15"/>
    <row r="18317" s="69" customFormat="1" x14ac:dyDescent="0.15"/>
    <row r="18318" s="69" customFormat="1" x14ac:dyDescent="0.15"/>
    <row r="18319" s="69" customFormat="1" x14ac:dyDescent="0.15"/>
    <row r="18320" s="69" customFormat="1" x14ac:dyDescent="0.15"/>
    <row r="18321" s="69" customFormat="1" x14ac:dyDescent="0.15"/>
    <row r="18322" s="69" customFormat="1" x14ac:dyDescent="0.15"/>
    <row r="18323" s="69" customFormat="1" x14ac:dyDescent="0.15"/>
    <row r="18324" s="69" customFormat="1" x14ac:dyDescent="0.15"/>
    <row r="18325" s="69" customFormat="1" x14ac:dyDescent="0.15"/>
    <row r="18326" s="69" customFormat="1" x14ac:dyDescent="0.15"/>
    <row r="18327" s="69" customFormat="1" x14ac:dyDescent="0.15"/>
    <row r="18328" s="69" customFormat="1" x14ac:dyDescent="0.15"/>
    <row r="18329" s="69" customFormat="1" x14ac:dyDescent="0.15"/>
    <row r="18330" s="69" customFormat="1" x14ac:dyDescent="0.15"/>
    <row r="18331" s="69" customFormat="1" x14ac:dyDescent="0.15"/>
    <row r="18332" s="69" customFormat="1" x14ac:dyDescent="0.15"/>
    <row r="18333" s="69" customFormat="1" x14ac:dyDescent="0.15"/>
    <row r="18334" s="69" customFormat="1" x14ac:dyDescent="0.15"/>
    <row r="18335" s="69" customFormat="1" x14ac:dyDescent="0.15"/>
    <row r="18336" s="69" customFormat="1" x14ac:dyDescent="0.15"/>
    <row r="18337" s="69" customFormat="1" x14ac:dyDescent="0.15"/>
    <row r="18338" s="69" customFormat="1" x14ac:dyDescent="0.15"/>
    <row r="18339" s="69" customFormat="1" x14ac:dyDescent="0.15"/>
    <row r="18340" s="69" customFormat="1" x14ac:dyDescent="0.15"/>
    <row r="18341" s="69" customFormat="1" x14ac:dyDescent="0.15"/>
    <row r="18342" s="69" customFormat="1" x14ac:dyDescent="0.15"/>
    <row r="18343" s="69" customFormat="1" x14ac:dyDescent="0.15"/>
    <row r="18344" s="69" customFormat="1" x14ac:dyDescent="0.15"/>
    <row r="18345" s="69" customFormat="1" x14ac:dyDescent="0.15"/>
    <row r="18346" s="69" customFormat="1" x14ac:dyDescent="0.15"/>
    <row r="18347" s="69" customFormat="1" x14ac:dyDescent="0.15"/>
    <row r="18348" s="69" customFormat="1" x14ac:dyDescent="0.15"/>
    <row r="18349" s="69" customFormat="1" x14ac:dyDescent="0.15"/>
    <row r="18350" s="69" customFormat="1" x14ac:dyDescent="0.15"/>
    <row r="18351" s="69" customFormat="1" x14ac:dyDescent="0.15"/>
    <row r="18352" s="69" customFormat="1" x14ac:dyDescent="0.15"/>
    <row r="18353" s="69" customFormat="1" x14ac:dyDescent="0.15"/>
    <row r="18354" s="69" customFormat="1" x14ac:dyDescent="0.15"/>
    <row r="18355" s="69" customFormat="1" x14ac:dyDescent="0.15"/>
    <row r="18356" s="69" customFormat="1" x14ac:dyDescent="0.15"/>
    <row r="18357" s="69" customFormat="1" x14ac:dyDescent="0.15"/>
    <row r="18358" s="69" customFormat="1" x14ac:dyDescent="0.15"/>
    <row r="18359" s="69" customFormat="1" x14ac:dyDescent="0.15"/>
    <row r="18360" s="69" customFormat="1" x14ac:dyDescent="0.15"/>
    <row r="18361" s="69" customFormat="1" x14ac:dyDescent="0.15"/>
    <row r="18362" s="69" customFormat="1" x14ac:dyDescent="0.15"/>
    <row r="18363" s="69" customFormat="1" x14ac:dyDescent="0.15"/>
    <row r="18364" s="69" customFormat="1" x14ac:dyDescent="0.15"/>
    <row r="18365" s="69" customFormat="1" x14ac:dyDescent="0.15"/>
    <row r="18366" s="69" customFormat="1" x14ac:dyDescent="0.15"/>
    <row r="18367" s="69" customFormat="1" x14ac:dyDescent="0.15"/>
    <row r="18368" s="69" customFormat="1" x14ac:dyDescent="0.15"/>
    <row r="18369" s="69" customFormat="1" x14ac:dyDescent="0.15"/>
    <row r="18370" s="69" customFormat="1" x14ac:dyDescent="0.15"/>
    <row r="18371" s="69" customFormat="1" x14ac:dyDescent="0.15"/>
    <row r="18372" s="69" customFormat="1" x14ac:dyDescent="0.15"/>
    <row r="18373" s="69" customFormat="1" x14ac:dyDescent="0.15"/>
    <row r="18374" s="69" customFormat="1" x14ac:dyDescent="0.15"/>
    <row r="18375" s="69" customFormat="1" x14ac:dyDescent="0.15"/>
    <row r="18376" s="69" customFormat="1" x14ac:dyDescent="0.15"/>
    <row r="18377" s="69" customFormat="1" x14ac:dyDescent="0.15"/>
    <row r="18378" s="69" customFormat="1" x14ac:dyDescent="0.15"/>
    <row r="18379" s="69" customFormat="1" x14ac:dyDescent="0.15"/>
    <row r="18380" s="69" customFormat="1" x14ac:dyDescent="0.15"/>
    <row r="18381" s="69" customFormat="1" x14ac:dyDescent="0.15"/>
    <row r="18382" s="69" customFormat="1" x14ac:dyDescent="0.15"/>
    <row r="18383" s="69" customFormat="1" x14ac:dyDescent="0.15"/>
    <row r="18384" s="69" customFormat="1" x14ac:dyDescent="0.15"/>
    <row r="18385" s="69" customFormat="1" x14ac:dyDescent="0.15"/>
    <row r="18386" s="69" customFormat="1" x14ac:dyDescent="0.15"/>
    <row r="18387" s="69" customFormat="1" x14ac:dyDescent="0.15"/>
    <row r="18388" s="69" customFormat="1" x14ac:dyDescent="0.15"/>
    <row r="18389" s="69" customFormat="1" x14ac:dyDescent="0.15"/>
    <row r="18390" s="69" customFormat="1" x14ac:dyDescent="0.15"/>
    <row r="18391" s="69" customFormat="1" x14ac:dyDescent="0.15"/>
    <row r="18392" s="69" customFormat="1" x14ac:dyDescent="0.15"/>
    <row r="18393" s="69" customFormat="1" x14ac:dyDescent="0.15"/>
    <row r="18394" s="69" customFormat="1" x14ac:dyDescent="0.15"/>
    <row r="18395" s="69" customFormat="1" x14ac:dyDescent="0.15"/>
    <row r="18396" s="69" customFormat="1" x14ac:dyDescent="0.15"/>
    <row r="18397" s="69" customFormat="1" x14ac:dyDescent="0.15"/>
    <row r="18398" s="69" customFormat="1" x14ac:dyDescent="0.15"/>
    <row r="18399" s="69" customFormat="1" x14ac:dyDescent="0.15"/>
    <row r="18400" s="69" customFormat="1" x14ac:dyDescent="0.15"/>
    <row r="18401" s="69" customFormat="1" x14ac:dyDescent="0.15"/>
    <row r="18402" s="69" customFormat="1" x14ac:dyDescent="0.15"/>
    <row r="18403" s="69" customFormat="1" x14ac:dyDescent="0.15"/>
    <row r="18404" s="69" customFormat="1" x14ac:dyDescent="0.15"/>
    <row r="18405" s="69" customFormat="1" x14ac:dyDescent="0.15"/>
    <row r="18406" s="69" customFormat="1" x14ac:dyDescent="0.15"/>
    <row r="18407" s="69" customFormat="1" x14ac:dyDescent="0.15"/>
    <row r="18408" s="69" customFormat="1" x14ac:dyDescent="0.15"/>
    <row r="18409" s="69" customFormat="1" x14ac:dyDescent="0.15"/>
    <row r="18410" s="69" customFormat="1" x14ac:dyDescent="0.15"/>
    <row r="18411" s="69" customFormat="1" x14ac:dyDescent="0.15"/>
    <row r="18412" s="69" customFormat="1" x14ac:dyDescent="0.15"/>
    <row r="18413" s="69" customFormat="1" x14ac:dyDescent="0.15"/>
    <row r="18414" s="69" customFormat="1" x14ac:dyDescent="0.15"/>
    <row r="18415" s="69" customFormat="1" x14ac:dyDescent="0.15"/>
    <row r="18416" s="69" customFormat="1" x14ac:dyDescent="0.15"/>
    <row r="18417" s="69" customFormat="1" x14ac:dyDescent="0.15"/>
    <row r="18418" s="69" customFormat="1" x14ac:dyDescent="0.15"/>
    <row r="18419" s="69" customFormat="1" x14ac:dyDescent="0.15"/>
    <row r="18420" s="69" customFormat="1" x14ac:dyDescent="0.15"/>
    <row r="18421" s="69" customFormat="1" x14ac:dyDescent="0.15"/>
    <row r="18422" s="69" customFormat="1" x14ac:dyDescent="0.15"/>
    <row r="18423" s="69" customFormat="1" x14ac:dyDescent="0.15"/>
    <row r="18424" s="69" customFormat="1" x14ac:dyDescent="0.15"/>
    <row r="18425" s="69" customFormat="1" x14ac:dyDescent="0.15"/>
    <row r="18426" s="69" customFormat="1" x14ac:dyDescent="0.15"/>
    <row r="18427" s="69" customFormat="1" x14ac:dyDescent="0.15"/>
    <row r="18428" s="69" customFormat="1" x14ac:dyDescent="0.15"/>
    <row r="18429" s="69" customFormat="1" x14ac:dyDescent="0.15"/>
    <row r="18430" s="69" customFormat="1" x14ac:dyDescent="0.15"/>
    <row r="18431" s="69" customFormat="1" x14ac:dyDescent="0.15"/>
    <row r="18432" s="69" customFormat="1" x14ac:dyDescent="0.15"/>
    <row r="18433" s="69" customFormat="1" x14ac:dyDescent="0.15"/>
    <row r="18434" s="69" customFormat="1" x14ac:dyDescent="0.15"/>
    <row r="18435" s="69" customFormat="1" x14ac:dyDescent="0.15"/>
    <row r="18436" s="69" customFormat="1" x14ac:dyDescent="0.15"/>
    <row r="18437" s="69" customFormat="1" x14ac:dyDescent="0.15"/>
    <row r="18438" s="69" customFormat="1" x14ac:dyDescent="0.15"/>
    <row r="18439" s="69" customFormat="1" x14ac:dyDescent="0.15"/>
    <row r="18440" s="69" customFormat="1" x14ac:dyDescent="0.15"/>
    <row r="18441" s="69" customFormat="1" x14ac:dyDescent="0.15"/>
    <row r="18442" s="69" customFormat="1" x14ac:dyDescent="0.15"/>
    <row r="18443" s="69" customFormat="1" x14ac:dyDescent="0.15"/>
    <row r="18444" s="69" customFormat="1" x14ac:dyDescent="0.15"/>
    <row r="18445" s="69" customFormat="1" x14ac:dyDescent="0.15"/>
    <row r="18446" s="69" customFormat="1" x14ac:dyDescent="0.15"/>
    <row r="18447" s="69" customFormat="1" x14ac:dyDescent="0.15"/>
    <row r="18448" s="69" customFormat="1" x14ac:dyDescent="0.15"/>
    <row r="18449" s="69" customFormat="1" x14ac:dyDescent="0.15"/>
    <row r="18450" s="69" customFormat="1" x14ac:dyDescent="0.15"/>
    <row r="18451" s="69" customFormat="1" x14ac:dyDescent="0.15"/>
    <row r="18452" s="69" customFormat="1" x14ac:dyDescent="0.15"/>
    <row r="18453" s="69" customFormat="1" x14ac:dyDescent="0.15"/>
    <row r="18454" s="69" customFormat="1" x14ac:dyDescent="0.15"/>
    <row r="18455" s="69" customFormat="1" x14ac:dyDescent="0.15"/>
    <row r="18456" s="69" customFormat="1" x14ac:dyDescent="0.15"/>
    <row r="18457" s="69" customFormat="1" x14ac:dyDescent="0.15"/>
    <row r="18458" s="69" customFormat="1" x14ac:dyDescent="0.15"/>
    <row r="18459" s="69" customFormat="1" x14ac:dyDescent="0.15"/>
    <row r="18460" s="69" customFormat="1" x14ac:dyDescent="0.15"/>
    <row r="18461" s="69" customFormat="1" x14ac:dyDescent="0.15"/>
    <row r="18462" s="69" customFormat="1" x14ac:dyDescent="0.15"/>
    <row r="18463" s="69" customFormat="1" x14ac:dyDescent="0.15"/>
    <row r="18464" s="69" customFormat="1" x14ac:dyDescent="0.15"/>
    <row r="18465" s="69" customFormat="1" x14ac:dyDescent="0.15"/>
    <row r="18466" s="69" customFormat="1" x14ac:dyDescent="0.15"/>
    <row r="18467" s="69" customFormat="1" x14ac:dyDescent="0.15"/>
    <row r="18468" s="69" customFormat="1" x14ac:dyDescent="0.15"/>
    <row r="18469" s="69" customFormat="1" x14ac:dyDescent="0.15"/>
    <row r="18470" s="69" customFormat="1" x14ac:dyDescent="0.15"/>
    <row r="18471" s="69" customFormat="1" x14ac:dyDescent="0.15"/>
    <row r="18472" s="69" customFormat="1" x14ac:dyDescent="0.15"/>
    <row r="18473" s="69" customFormat="1" x14ac:dyDescent="0.15"/>
    <row r="18474" s="69" customFormat="1" x14ac:dyDescent="0.15"/>
    <row r="18475" s="69" customFormat="1" x14ac:dyDescent="0.15"/>
    <row r="18476" s="69" customFormat="1" x14ac:dyDescent="0.15"/>
    <row r="18477" s="69" customFormat="1" x14ac:dyDescent="0.15"/>
    <row r="18478" s="69" customFormat="1" x14ac:dyDescent="0.15"/>
    <row r="18479" s="69" customFormat="1" x14ac:dyDescent="0.15"/>
    <row r="18480" s="69" customFormat="1" x14ac:dyDescent="0.15"/>
    <row r="18481" s="69" customFormat="1" x14ac:dyDescent="0.15"/>
    <row r="18482" s="69" customFormat="1" x14ac:dyDescent="0.15"/>
    <row r="18483" s="69" customFormat="1" x14ac:dyDescent="0.15"/>
    <row r="18484" s="69" customFormat="1" x14ac:dyDescent="0.15"/>
    <row r="18485" s="69" customFormat="1" x14ac:dyDescent="0.15"/>
    <row r="18486" s="69" customFormat="1" x14ac:dyDescent="0.15"/>
    <row r="18487" s="69" customFormat="1" x14ac:dyDescent="0.15"/>
    <row r="18488" s="69" customFormat="1" x14ac:dyDescent="0.15"/>
    <row r="18489" s="69" customFormat="1" x14ac:dyDescent="0.15"/>
    <row r="18490" s="69" customFormat="1" x14ac:dyDescent="0.15"/>
    <row r="18491" s="69" customFormat="1" x14ac:dyDescent="0.15"/>
    <row r="18492" s="69" customFormat="1" x14ac:dyDescent="0.15"/>
    <row r="18493" s="69" customFormat="1" x14ac:dyDescent="0.15"/>
    <row r="18494" s="69" customFormat="1" x14ac:dyDescent="0.15"/>
    <row r="18495" s="69" customFormat="1" x14ac:dyDescent="0.15"/>
    <row r="18496" s="69" customFormat="1" x14ac:dyDescent="0.15"/>
    <row r="18497" s="69" customFormat="1" x14ac:dyDescent="0.15"/>
    <row r="18498" s="69" customFormat="1" x14ac:dyDescent="0.15"/>
    <row r="18499" s="69" customFormat="1" x14ac:dyDescent="0.15"/>
    <row r="18500" s="69" customFormat="1" x14ac:dyDescent="0.15"/>
    <row r="18501" s="69" customFormat="1" x14ac:dyDescent="0.15"/>
    <row r="18502" s="69" customFormat="1" x14ac:dyDescent="0.15"/>
    <row r="18503" s="69" customFormat="1" x14ac:dyDescent="0.15"/>
    <row r="18504" s="69" customFormat="1" x14ac:dyDescent="0.15"/>
    <row r="18505" s="69" customFormat="1" x14ac:dyDescent="0.15"/>
    <row r="18506" s="69" customFormat="1" x14ac:dyDescent="0.15"/>
    <row r="18507" s="69" customFormat="1" x14ac:dyDescent="0.15"/>
    <row r="18508" s="69" customFormat="1" x14ac:dyDescent="0.15"/>
    <row r="18509" s="69" customFormat="1" x14ac:dyDescent="0.15"/>
    <row r="18510" s="69" customFormat="1" x14ac:dyDescent="0.15"/>
    <row r="18511" s="69" customFormat="1" x14ac:dyDescent="0.15"/>
    <row r="18512" s="69" customFormat="1" x14ac:dyDescent="0.15"/>
    <row r="18513" s="69" customFormat="1" x14ac:dyDescent="0.15"/>
    <row r="18514" s="69" customFormat="1" x14ac:dyDescent="0.15"/>
    <row r="18515" s="69" customFormat="1" x14ac:dyDescent="0.15"/>
    <row r="18516" s="69" customFormat="1" x14ac:dyDescent="0.15"/>
    <row r="18517" s="69" customFormat="1" x14ac:dyDescent="0.15"/>
    <row r="18518" s="69" customFormat="1" x14ac:dyDescent="0.15"/>
    <row r="18519" s="69" customFormat="1" x14ac:dyDescent="0.15"/>
    <row r="18520" s="69" customFormat="1" x14ac:dyDescent="0.15"/>
    <row r="18521" s="69" customFormat="1" x14ac:dyDescent="0.15"/>
    <row r="18522" s="69" customFormat="1" x14ac:dyDescent="0.15"/>
    <row r="18523" s="69" customFormat="1" x14ac:dyDescent="0.15"/>
    <row r="18524" s="69" customFormat="1" x14ac:dyDescent="0.15"/>
    <row r="18525" s="69" customFormat="1" x14ac:dyDescent="0.15"/>
    <row r="18526" s="69" customFormat="1" x14ac:dyDescent="0.15"/>
    <row r="18527" s="69" customFormat="1" x14ac:dyDescent="0.15"/>
    <row r="18528" s="69" customFormat="1" x14ac:dyDescent="0.15"/>
    <row r="18529" s="69" customFormat="1" x14ac:dyDescent="0.15"/>
    <row r="18530" s="69" customFormat="1" x14ac:dyDescent="0.15"/>
    <row r="18531" s="69" customFormat="1" x14ac:dyDescent="0.15"/>
    <row r="18532" s="69" customFormat="1" x14ac:dyDescent="0.15"/>
    <row r="18533" s="69" customFormat="1" x14ac:dyDescent="0.15"/>
    <row r="18534" s="69" customFormat="1" x14ac:dyDescent="0.15"/>
    <row r="18535" s="69" customFormat="1" x14ac:dyDescent="0.15"/>
    <row r="18536" s="69" customFormat="1" x14ac:dyDescent="0.15"/>
    <row r="18537" s="69" customFormat="1" x14ac:dyDescent="0.15"/>
    <row r="18538" s="69" customFormat="1" x14ac:dyDescent="0.15"/>
    <row r="18539" s="69" customFormat="1" x14ac:dyDescent="0.15"/>
    <row r="18540" s="69" customFormat="1" x14ac:dyDescent="0.15"/>
    <row r="18541" s="69" customFormat="1" x14ac:dyDescent="0.15"/>
    <row r="18542" s="69" customFormat="1" x14ac:dyDescent="0.15"/>
    <row r="18543" s="69" customFormat="1" x14ac:dyDescent="0.15"/>
    <row r="18544" s="69" customFormat="1" x14ac:dyDescent="0.15"/>
    <row r="18545" s="69" customFormat="1" x14ac:dyDescent="0.15"/>
    <row r="18546" s="69" customFormat="1" x14ac:dyDescent="0.15"/>
    <row r="18547" s="69" customFormat="1" x14ac:dyDescent="0.15"/>
    <row r="18548" s="69" customFormat="1" x14ac:dyDescent="0.15"/>
    <row r="18549" s="69" customFormat="1" x14ac:dyDescent="0.15"/>
    <row r="18550" s="69" customFormat="1" x14ac:dyDescent="0.15"/>
    <row r="18551" s="69" customFormat="1" x14ac:dyDescent="0.15"/>
    <row r="18552" s="69" customFormat="1" x14ac:dyDescent="0.15"/>
    <row r="18553" s="69" customFormat="1" x14ac:dyDescent="0.15"/>
    <row r="18554" s="69" customFormat="1" x14ac:dyDescent="0.15"/>
    <row r="18555" s="69" customFormat="1" x14ac:dyDescent="0.15"/>
    <row r="18556" s="69" customFormat="1" x14ac:dyDescent="0.15"/>
    <row r="18557" s="69" customFormat="1" x14ac:dyDescent="0.15"/>
    <row r="18558" s="69" customFormat="1" x14ac:dyDescent="0.15"/>
    <row r="18559" s="69" customFormat="1" x14ac:dyDescent="0.15"/>
    <row r="18560" s="69" customFormat="1" x14ac:dyDescent="0.15"/>
    <row r="18561" s="69" customFormat="1" x14ac:dyDescent="0.15"/>
    <row r="18562" s="69" customFormat="1" x14ac:dyDescent="0.15"/>
    <row r="18563" s="69" customFormat="1" x14ac:dyDescent="0.15"/>
    <row r="18564" s="69" customFormat="1" x14ac:dyDescent="0.15"/>
    <row r="18565" s="69" customFormat="1" x14ac:dyDescent="0.15"/>
    <row r="18566" s="69" customFormat="1" x14ac:dyDescent="0.15"/>
    <row r="18567" s="69" customFormat="1" x14ac:dyDescent="0.15"/>
    <row r="18568" s="69" customFormat="1" x14ac:dyDescent="0.15"/>
    <row r="18569" s="69" customFormat="1" x14ac:dyDescent="0.15"/>
    <row r="18570" s="69" customFormat="1" x14ac:dyDescent="0.15"/>
    <row r="18571" s="69" customFormat="1" x14ac:dyDescent="0.15"/>
    <row r="18572" s="69" customFormat="1" x14ac:dyDescent="0.15"/>
    <row r="18573" s="69" customFormat="1" x14ac:dyDescent="0.15"/>
    <row r="18574" s="69" customFormat="1" x14ac:dyDescent="0.15"/>
    <row r="18575" s="69" customFormat="1" x14ac:dyDescent="0.15"/>
    <row r="18576" s="69" customFormat="1" x14ac:dyDescent="0.15"/>
    <row r="18577" s="69" customFormat="1" x14ac:dyDescent="0.15"/>
    <row r="18578" s="69" customFormat="1" x14ac:dyDescent="0.15"/>
    <row r="18579" s="69" customFormat="1" x14ac:dyDescent="0.15"/>
    <row r="18580" s="69" customFormat="1" x14ac:dyDescent="0.15"/>
    <row r="18581" s="69" customFormat="1" x14ac:dyDescent="0.15"/>
    <row r="18582" s="69" customFormat="1" x14ac:dyDescent="0.15"/>
    <row r="18583" s="69" customFormat="1" x14ac:dyDescent="0.15"/>
    <row r="18584" s="69" customFormat="1" x14ac:dyDescent="0.15"/>
    <row r="18585" s="69" customFormat="1" x14ac:dyDescent="0.15"/>
    <row r="18586" s="69" customFormat="1" x14ac:dyDescent="0.15"/>
    <row r="18587" s="69" customFormat="1" x14ac:dyDescent="0.15"/>
    <row r="18588" s="69" customFormat="1" x14ac:dyDescent="0.15"/>
    <row r="18589" s="69" customFormat="1" x14ac:dyDescent="0.15"/>
    <row r="18590" s="69" customFormat="1" x14ac:dyDescent="0.15"/>
    <row r="18591" s="69" customFormat="1" x14ac:dyDescent="0.15"/>
    <row r="18592" s="69" customFormat="1" x14ac:dyDescent="0.15"/>
    <row r="18593" s="69" customFormat="1" x14ac:dyDescent="0.15"/>
    <row r="18594" s="69" customFormat="1" x14ac:dyDescent="0.15"/>
    <row r="18595" s="69" customFormat="1" x14ac:dyDescent="0.15"/>
    <row r="18596" s="69" customFormat="1" x14ac:dyDescent="0.15"/>
    <row r="18597" s="69" customFormat="1" x14ac:dyDescent="0.15"/>
    <row r="18598" s="69" customFormat="1" x14ac:dyDescent="0.15"/>
    <row r="18599" s="69" customFormat="1" x14ac:dyDescent="0.15"/>
    <row r="18600" s="69" customFormat="1" x14ac:dyDescent="0.15"/>
    <row r="18601" s="69" customFormat="1" x14ac:dyDescent="0.15"/>
    <row r="18602" s="69" customFormat="1" x14ac:dyDescent="0.15"/>
    <row r="18603" s="69" customFormat="1" x14ac:dyDescent="0.15"/>
    <row r="18604" s="69" customFormat="1" x14ac:dyDescent="0.15"/>
    <row r="18605" s="69" customFormat="1" x14ac:dyDescent="0.15"/>
    <row r="18606" s="69" customFormat="1" x14ac:dyDescent="0.15"/>
    <row r="18607" s="69" customFormat="1" x14ac:dyDescent="0.15"/>
    <row r="18608" s="69" customFormat="1" x14ac:dyDescent="0.15"/>
    <row r="18609" s="69" customFormat="1" x14ac:dyDescent="0.15"/>
    <row r="18610" s="69" customFormat="1" x14ac:dyDescent="0.15"/>
    <row r="18611" s="69" customFormat="1" x14ac:dyDescent="0.15"/>
    <row r="18612" s="69" customFormat="1" x14ac:dyDescent="0.15"/>
    <row r="18613" s="69" customFormat="1" x14ac:dyDescent="0.15"/>
    <row r="18614" s="69" customFormat="1" x14ac:dyDescent="0.15"/>
    <row r="18615" s="69" customFormat="1" x14ac:dyDescent="0.15"/>
    <row r="18616" s="69" customFormat="1" x14ac:dyDescent="0.15"/>
    <row r="18617" s="69" customFormat="1" x14ac:dyDescent="0.15"/>
    <row r="18618" s="69" customFormat="1" x14ac:dyDescent="0.15"/>
    <row r="18619" s="69" customFormat="1" x14ac:dyDescent="0.15"/>
    <row r="18620" s="69" customFormat="1" x14ac:dyDescent="0.15"/>
    <row r="18621" s="69" customFormat="1" x14ac:dyDescent="0.15"/>
    <row r="18622" s="69" customFormat="1" x14ac:dyDescent="0.15"/>
    <row r="18623" s="69" customFormat="1" x14ac:dyDescent="0.15"/>
    <row r="18624" s="69" customFormat="1" x14ac:dyDescent="0.15"/>
    <row r="18625" s="69" customFormat="1" x14ac:dyDescent="0.15"/>
    <row r="18626" s="69" customFormat="1" x14ac:dyDescent="0.15"/>
    <row r="18627" s="69" customFormat="1" x14ac:dyDescent="0.15"/>
    <row r="18628" s="69" customFormat="1" x14ac:dyDescent="0.15"/>
    <row r="18629" s="69" customFormat="1" x14ac:dyDescent="0.15"/>
    <row r="18630" s="69" customFormat="1" x14ac:dyDescent="0.15"/>
    <row r="18631" s="69" customFormat="1" x14ac:dyDescent="0.15"/>
    <row r="18632" s="69" customFormat="1" x14ac:dyDescent="0.15"/>
    <row r="18633" s="69" customFormat="1" x14ac:dyDescent="0.15"/>
    <row r="18634" s="69" customFormat="1" x14ac:dyDescent="0.15"/>
    <row r="18635" s="69" customFormat="1" x14ac:dyDescent="0.15"/>
    <row r="18636" s="69" customFormat="1" x14ac:dyDescent="0.15"/>
    <row r="18637" s="69" customFormat="1" x14ac:dyDescent="0.15"/>
    <row r="18638" s="69" customFormat="1" x14ac:dyDescent="0.15"/>
    <row r="18639" s="69" customFormat="1" x14ac:dyDescent="0.15"/>
    <row r="18640" s="69" customFormat="1" x14ac:dyDescent="0.15"/>
    <row r="18641" s="69" customFormat="1" x14ac:dyDescent="0.15"/>
    <row r="18642" s="69" customFormat="1" x14ac:dyDescent="0.15"/>
    <row r="18643" s="69" customFormat="1" x14ac:dyDescent="0.15"/>
    <row r="18644" s="69" customFormat="1" x14ac:dyDescent="0.15"/>
    <row r="18645" s="69" customFormat="1" x14ac:dyDescent="0.15"/>
    <row r="18646" s="69" customFormat="1" x14ac:dyDescent="0.15"/>
    <row r="18647" s="69" customFormat="1" x14ac:dyDescent="0.15"/>
    <row r="18648" s="69" customFormat="1" x14ac:dyDescent="0.15"/>
    <row r="18649" s="69" customFormat="1" x14ac:dyDescent="0.15"/>
    <row r="18650" s="69" customFormat="1" x14ac:dyDescent="0.15"/>
    <row r="18651" s="69" customFormat="1" x14ac:dyDescent="0.15"/>
    <row r="18652" s="69" customFormat="1" x14ac:dyDescent="0.15"/>
    <row r="18653" s="69" customFormat="1" x14ac:dyDescent="0.15"/>
    <row r="18654" s="69" customFormat="1" x14ac:dyDescent="0.15"/>
    <row r="18655" s="69" customFormat="1" x14ac:dyDescent="0.15"/>
    <row r="18656" s="69" customFormat="1" x14ac:dyDescent="0.15"/>
    <row r="18657" s="69" customFormat="1" x14ac:dyDescent="0.15"/>
    <row r="18658" s="69" customFormat="1" x14ac:dyDescent="0.15"/>
    <row r="18659" s="69" customFormat="1" x14ac:dyDescent="0.15"/>
    <row r="18660" s="69" customFormat="1" x14ac:dyDescent="0.15"/>
    <row r="18661" s="69" customFormat="1" x14ac:dyDescent="0.15"/>
    <row r="18662" s="69" customFormat="1" x14ac:dyDescent="0.15"/>
    <row r="18663" s="69" customFormat="1" x14ac:dyDescent="0.15"/>
    <row r="18664" s="69" customFormat="1" x14ac:dyDescent="0.15"/>
    <row r="18665" s="69" customFormat="1" x14ac:dyDescent="0.15"/>
    <row r="18666" s="69" customFormat="1" x14ac:dyDescent="0.15"/>
    <row r="18667" s="69" customFormat="1" x14ac:dyDescent="0.15"/>
    <row r="18668" s="69" customFormat="1" x14ac:dyDescent="0.15"/>
    <row r="18669" s="69" customFormat="1" x14ac:dyDescent="0.15"/>
    <row r="18670" s="69" customFormat="1" x14ac:dyDescent="0.15"/>
    <row r="18671" s="69" customFormat="1" x14ac:dyDescent="0.15"/>
    <row r="18672" s="69" customFormat="1" x14ac:dyDescent="0.15"/>
    <row r="18673" s="69" customFormat="1" x14ac:dyDescent="0.15"/>
    <row r="18674" s="69" customFormat="1" x14ac:dyDescent="0.15"/>
    <row r="18675" s="69" customFormat="1" x14ac:dyDescent="0.15"/>
    <row r="18676" s="69" customFormat="1" x14ac:dyDescent="0.15"/>
    <row r="18677" s="69" customFormat="1" x14ac:dyDescent="0.15"/>
    <row r="18678" s="69" customFormat="1" x14ac:dyDescent="0.15"/>
    <row r="18679" s="69" customFormat="1" x14ac:dyDescent="0.15"/>
    <row r="18680" s="69" customFormat="1" x14ac:dyDescent="0.15"/>
    <row r="18681" s="69" customFormat="1" x14ac:dyDescent="0.15"/>
    <row r="18682" s="69" customFormat="1" x14ac:dyDescent="0.15"/>
    <row r="18683" s="69" customFormat="1" x14ac:dyDescent="0.15"/>
    <row r="18684" s="69" customFormat="1" x14ac:dyDescent="0.15"/>
    <row r="18685" s="69" customFormat="1" x14ac:dyDescent="0.15"/>
    <row r="18686" s="69" customFormat="1" x14ac:dyDescent="0.15"/>
    <row r="18687" s="69" customFormat="1" x14ac:dyDescent="0.15"/>
    <row r="18688" s="69" customFormat="1" x14ac:dyDescent="0.15"/>
    <row r="18689" s="69" customFormat="1" x14ac:dyDescent="0.15"/>
    <row r="18690" s="69" customFormat="1" x14ac:dyDescent="0.15"/>
    <row r="18691" s="69" customFormat="1" x14ac:dyDescent="0.15"/>
    <row r="18692" s="69" customFormat="1" x14ac:dyDescent="0.15"/>
    <row r="18693" s="69" customFormat="1" x14ac:dyDescent="0.15"/>
    <row r="18694" s="69" customFormat="1" x14ac:dyDescent="0.15"/>
    <row r="18695" s="69" customFormat="1" x14ac:dyDescent="0.15"/>
    <row r="18696" s="69" customFormat="1" x14ac:dyDescent="0.15"/>
    <row r="18697" s="69" customFormat="1" x14ac:dyDescent="0.15"/>
    <row r="18698" s="69" customFormat="1" x14ac:dyDescent="0.15"/>
    <row r="18699" s="69" customFormat="1" x14ac:dyDescent="0.15"/>
    <row r="18700" s="69" customFormat="1" x14ac:dyDescent="0.15"/>
    <row r="18701" s="69" customFormat="1" x14ac:dyDescent="0.15"/>
    <row r="18702" s="69" customFormat="1" x14ac:dyDescent="0.15"/>
    <row r="18703" s="69" customFormat="1" x14ac:dyDescent="0.15"/>
    <row r="18704" s="69" customFormat="1" x14ac:dyDescent="0.15"/>
    <row r="18705" s="69" customFormat="1" x14ac:dyDescent="0.15"/>
    <row r="18706" s="69" customFormat="1" x14ac:dyDescent="0.15"/>
    <row r="18707" s="69" customFormat="1" x14ac:dyDescent="0.15"/>
    <row r="18708" s="69" customFormat="1" x14ac:dyDescent="0.15"/>
    <row r="18709" s="69" customFormat="1" x14ac:dyDescent="0.15"/>
    <row r="18710" s="69" customFormat="1" x14ac:dyDescent="0.15"/>
    <row r="18711" s="69" customFormat="1" x14ac:dyDescent="0.15"/>
    <row r="18712" s="69" customFormat="1" x14ac:dyDescent="0.15"/>
    <row r="18713" s="69" customFormat="1" x14ac:dyDescent="0.15"/>
    <row r="18714" s="69" customFormat="1" x14ac:dyDescent="0.15"/>
    <row r="18715" s="69" customFormat="1" x14ac:dyDescent="0.15"/>
    <row r="18716" s="69" customFormat="1" x14ac:dyDescent="0.15"/>
    <row r="18717" s="69" customFormat="1" x14ac:dyDescent="0.15"/>
    <row r="18718" s="69" customFormat="1" x14ac:dyDescent="0.15"/>
    <row r="18719" s="69" customFormat="1" x14ac:dyDescent="0.15"/>
    <row r="18720" s="69" customFormat="1" x14ac:dyDescent="0.15"/>
    <row r="18721" s="69" customFormat="1" x14ac:dyDescent="0.15"/>
    <row r="18722" s="69" customFormat="1" x14ac:dyDescent="0.15"/>
    <row r="18723" s="69" customFormat="1" x14ac:dyDescent="0.15"/>
    <row r="18724" s="69" customFormat="1" x14ac:dyDescent="0.15"/>
    <row r="18725" s="69" customFormat="1" x14ac:dyDescent="0.15"/>
    <row r="18726" s="69" customFormat="1" x14ac:dyDescent="0.15"/>
    <row r="18727" s="69" customFormat="1" x14ac:dyDescent="0.15"/>
    <row r="18728" s="69" customFormat="1" x14ac:dyDescent="0.15"/>
    <row r="18729" s="69" customFormat="1" x14ac:dyDescent="0.15"/>
    <row r="18730" s="69" customFormat="1" x14ac:dyDescent="0.15"/>
    <row r="18731" s="69" customFormat="1" x14ac:dyDescent="0.15"/>
    <row r="18732" s="69" customFormat="1" x14ac:dyDescent="0.15"/>
    <row r="18733" s="69" customFormat="1" x14ac:dyDescent="0.15"/>
    <row r="18734" s="69" customFormat="1" x14ac:dyDescent="0.15"/>
    <row r="18735" s="69" customFormat="1" x14ac:dyDescent="0.15"/>
    <row r="18736" s="69" customFormat="1" x14ac:dyDescent="0.15"/>
    <row r="18737" s="69" customFormat="1" x14ac:dyDescent="0.15"/>
    <row r="18738" s="69" customFormat="1" x14ac:dyDescent="0.15"/>
    <row r="18739" s="69" customFormat="1" x14ac:dyDescent="0.15"/>
    <row r="18740" s="69" customFormat="1" x14ac:dyDescent="0.15"/>
    <row r="18741" s="69" customFormat="1" x14ac:dyDescent="0.15"/>
    <row r="18742" s="69" customFormat="1" x14ac:dyDescent="0.15"/>
    <row r="18743" s="69" customFormat="1" x14ac:dyDescent="0.15"/>
    <row r="18744" s="69" customFormat="1" x14ac:dyDescent="0.15"/>
    <row r="18745" s="69" customFormat="1" x14ac:dyDescent="0.15"/>
    <row r="18746" s="69" customFormat="1" x14ac:dyDescent="0.15"/>
    <row r="18747" s="69" customFormat="1" x14ac:dyDescent="0.15"/>
    <row r="18748" s="69" customFormat="1" x14ac:dyDescent="0.15"/>
    <row r="18749" s="69" customFormat="1" x14ac:dyDescent="0.15"/>
    <row r="18750" s="69" customFormat="1" x14ac:dyDescent="0.15"/>
    <row r="18751" s="69" customFormat="1" x14ac:dyDescent="0.15"/>
    <row r="18752" s="69" customFormat="1" x14ac:dyDescent="0.15"/>
    <row r="18753" s="69" customFormat="1" x14ac:dyDescent="0.15"/>
    <row r="18754" s="69" customFormat="1" x14ac:dyDescent="0.15"/>
    <row r="18755" s="69" customFormat="1" x14ac:dyDescent="0.15"/>
    <row r="18756" s="69" customFormat="1" x14ac:dyDescent="0.15"/>
    <row r="18757" s="69" customFormat="1" x14ac:dyDescent="0.15"/>
    <row r="18758" s="69" customFormat="1" x14ac:dyDescent="0.15"/>
    <row r="18759" s="69" customFormat="1" x14ac:dyDescent="0.15"/>
    <row r="18760" s="69" customFormat="1" x14ac:dyDescent="0.15"/>
    <row r="18761" s="69" customFormat="1" x14ac:dyDescent="0.15"/>
    <row r="18762" s="69" customFormat="1" x14ac:dyDescent="0.15"/>
    <row r="18763" s="69" customFormat="1" x14ac:dyDescent="0.15"/>
    <row r="18764" s="69" customFormat="1" x14ac:dyDescent="0.15"/>
    <row r="18765" s="69" customFormat="1" x14ac:dyDescent="0.15"/>
    <row r="18766" s="69" customFormat="1" x14ac:dyDescent="0.15"/>
    <row r="18767" s="69" customFormat="1" x14ac:dyDescent="0.15"/>
    <row r="18768" s="69" customFormat="1" x14ac:dyDescent="0.15"/>
    <row r="18769" s="69" customFormat="1" x14ac:dyDescent="0.15"/>
    <row r="18770" s="69" customFormat="1" x14ac:dyDescent="0.15"/>
    <row r="18771" s="69" customFormat="1" x14ac:dyDescent="0.15"/>
    <row r="18772" s="69" customFormat="1" x14ac:dyDescent="0.15"/>
    <row r="18773" s="69" customFormat="1" x14ac:dyDescent="0.15"/>
    <row r="18774" s="69" customFormat="1" x14ac:dyDescent="0.15"/>
    <row r="18775" s="69" customFormat="1" x14ac:dyDescent="0.15"/>
    <row r="18776" s="69" customFormat="1" x14ac:dyDescent="0.15"/>
    <row r="18777" s="69" customFormat="1" x14ac:dyDescent="0.15"/>
    <row r="18778" s="69" customFormat="1" x14ac:dyDescent="0.15"/>
    <row r="18779" s="69" customFormat="1" x14ac:dyDescent="0.15"/>
    <row r="18780" s="69" customFormat="1" x14ac:dyDescent="0.15"/>
    <row r="18781" s="69" customFormat="1" x14ac:dyDescent="0.15"/>
    <row r="18782" s="69" customFormat="1" x14ac:dyDescent="0.15"/>
    <row r="18783" s="69" customFormat="1" x14ac:dyDescent="0.15"/>
    <row r="18784" s="69" customFormat="1" x14ac:dyDescent="0.15"/>
    <row r="18785" s="69" customFormat="1" x14ac:dyDescent="0.15"/>
    <row r="18786" s="69" customFormat="1" x14ac:dyDescent="0.15"/>
    <row r="18787" s="69" customFormat="1" x14ac:dyDescent="0.15"/>
    <row r="18788" s="69" customFormat="1" x14ac:dyDescent="0.15"/>
    <row r="18789" s="69" customFormat="1" x14ac:dyDescent="0.15"/>
    <row r="18790" s="69" customFormat="1" x14ac:dyDescent="0.15"/>
    <row r="18791" s="69" customFormat="1" x14ac:dyDescent="0.15"/>
    <row r="18792" s="69" customFormat="1" x14ac:dyDescent="0.15"/>
    <row r="18793" s="69" customFormat="1" x14ac:dyDescent="0.15"/>
    <row r="18794" s="69" customFormat="1" x14ac:dyDescent="0.15"/>
    <row r="18795" s="69" customFormat="1" x14ac:dyDescent="0.15"/>
    <row r="18796" s="69" customFormat="1" x14ac:dyDescent="0.15"/>
    <row r="18797" s="69" customFormat="1" x14ac:dyDescent="0.15"/>
    <row r="18798" s="69" customFormat="1" x14ac:dyDescent="0.15"/>
    <row r="18799" s="69" customFormat="1" x14ac:dyDescent="0.15"/>
    <row r="18800" s="69" customFormat="1" x14ac:dyDescent="0.15"/>
    <row r="18801" s="69" customFormat="1" x14ac:dyDescent="0.15"/>
    <row r="18802" s="69" customFormat="1" x14ac:dyDescent="0.15"/>
    <row r="18803" s="69" customFormat="1" x14ac:dyDescent="0.15"/>
    <row r="18804" s="69" customFormat="1" x14ac:dyDescent="0.15"/>
    <row r="18805" s="69" customFormat="1" x14ac:dyDescent="0.15"/>
    <row r="18806" s="69" customFormat="1" x14ac:dyDescent="0.15"/>
    <row r="18807" s="69" customFormat="1" x14ac:dyDescent="0.15"/>
    <row r="18808" s="69" customFormat="1" x14ac:dyDescent="0.15"/>
    <row r="18809" s="69" customFormat="1" x14ac:dyDescent="0.15"/>
    <row r="18810" s="69" customFormat="1" x14ac:dyDescent="0.15"/>
    <row r="18811" s="69" customFormat="1" x14ac:dyDescent="0.15"/>
    <row r="18812" s="69" customFormat="1" x14ac:dyDescent="0.15"/>
    <row r="18813" s="69" customFormat="1" x14ac:dyDescent="0.15"/>
    <row r="18814" s="69" customFormat="1" x14ac:dyDescent="0.15"/>
    <row r="18815" s="69" customFormat="1" x14ac:dyDescent="0.15"/>
    <row r="18816" s="69" customFormat="1" x14ac:dyDescent="0.15"/>
    <row r="18817" s="69" customFormat="1" x14ac:dyDescent="0.15"/>
    <row r="18818" s="69" customFormat="1" x14ac:dyDescent="0.15"/>
    <row r="18819" s="69" customFormat="1" x14ac:dyDescent="0.15"/>
    <row r="18820" s="69" customFormat="1" x14ac:dyDescent="0.15"/>
    <row r="18821" s="69" customFormat="1" x14ac:dyDescent="0.15"/>
    <row r="18822" s="69" customFormat="1" x14ac:dyDescent="0.15"/>
    <row r="18823" s="69" customFormat="1" x14ac:dyDescent="0.15"/>
    <row r="18824" s="69" customFormat="1" x14ac:dyDescent="0.15"/>
    <row r="18825" s="69" customFormat="1" x14ac:dyDescent="0.15"/>
    <row r="18826" s="69" customFormat="1" x14ac:dyDescent="0.15"/>
    <row r="18827" s="69" customFormat="1" x14ac:dyDescent="0.15"/>
    <row r="18828" s="69" customFormat="1" x14ac:dyDescent="0.15"/>
    <row r="18829" s="69" customFormat="1" x14ac:dyDescent="0.15"/>
    <row r="18830" s="69" customFormat="1" x14ac:dyDescent="0.15"/>
    <row r="18831" s="69" customFormat="1" x14ac:dyDescent="0.15"/>
    <row r="18832" s="69" customFormat="1" x14ac:dyDescent="0.15"/>
    <row r="18833" s="69" customFormat="1" x14ac:dyDescent="0.15"/>
    <row r="18834" s="69" customFormat="1" x14ac:dyDescent="0.15"/>
    <row r="18835" s="69" customFormat="1" x14ac:dyDescent="0.15"/>
    <row r="18836" s="69" customFormat="1" x14ac:dyDescent="0.15"/>
    <row r="18837" s="69" customFormat="1" x14ac:dyDescent="0.15"/>
    <row r="18838" s="69" customFormat="1" x14ac:dyDescent="0.15"/>
    <row r="18839" s="69" customFormat="1" x14ac:dyDescent="0.15"/>
    <row r="18840" s="69" customFormat="1" x14ac:dyDescent="0.15"/>
    <row r="18841" s="69" customFormat="1" x14ac:dyDescent="0.15"/>
    <row r="18842" s="69" customFormat="1" x14ac:dyDescent="0.15"/>
    <row r="18843" s="69" customFormat="1" x14ac:dyDescent="0.15"/>
    <row r="18844" s="69" customFormat="1" x14ac:dyDescent="0.15"/>
    <row r="18845" s="69" customFormat="1" x14ac:dyDescent="0.15"/>
    <row r="18846" s="69" customFormat="1" x14ac:dyDescent="0.15"/>
    <row r="18847" s="69" customFormat="1" x14ac:dyDescent="0.15"/>
    <row r="18848" s="69" customFormat="1" x14ac:dyDescent="0.15"/>
    <row r="18849" s="69" customFormat="1" x14ac:dyDescent="0.15"/>
    <row r="18850" s="69" customFormat="1" x14ac:dyDescent="0.15"/>
    <row r="18851" s="69" customFormat="1" x14ac:dyDescent="0.15"/>
    <row r="18852" s="69" customFormat="1" x14ac:dyDescent="0.15"/>
    <row r="18853" s="69" customFormat="1" x14ac:dyDescent="0.15"/>
    <row r="18854" s="69" customFormat="1" x14ac:dyDescent="0.15"/>
    <row r="18855" s="69" customFormat="1" x14ac:dyDescent="0.15"/>
    <row r="18856" s="69" customFormat="1" x14ac:dyDescent="0.15"/>
    <row r="18857" s="69" customFormat="1" x14ac:dyDescent="0.15"/>
    <row r="18858" s="69" customFormat="1" x14ac:dyDescent="0.15"/>
    <row r="18859" s="69" customFormat="1" x14ac:dyDescent="0.15"/>
    <row r="18860" s="69" customFormat="1" x14ac:dyDescent="0.15"/>
    <row r="18861" s="69" customFormat="1" x14ac:dyDescent="0.15"/>
    <row r="18862" s="69" customFormat="1" x14ac:dyDescent="0.15"/>
    <row r="18863" s="69" customFormat="1" x14ac:dyDescent="0.15"/>
    <row r="18864" s="69" customFormat="1" x14ac:dyDescent="0.15"/>
    <row r="18865" s="69" customFormat="1" x14ac:dyDescent="0.15"/>
    <row r="18866" s="69" customFormat="1" x14ac:dyDescent="0.15"/>
    <row r="18867" s="69" customFormat="1" x14ac:dyDescent="0.15"/>
    <row r="18868" s="69" customFormat="1" x14ac:dyDescent="0.15"/>
    <row r="18869" s="69" customFormat="1" x14ac:dyDescent="0.15"/>
    <row r="18870" s="69" customFormat="1" x14ac:dyDescent="0.15"/>
    <row r="18871" s="69" customFormat="1" x14ac:dyDescent="0.15"/>
    <row r="18872" s="69" customFormat="1" x14ac:dyDescent="0.15"/>
    <row r="18873" s="69" customFormat="1" x14ac:dyDescent="0.15"/>
    <row r="18874" s="69" customFormat="1" x14ac:dyDescent="0.15"/>
    <row r="18875" s="69" customFormat="1" x14ac:dyDescent="0.15"/>
    <row r="18876" s="69" customFormat="1" x14ac:dyDescent="0.15"/>
    <row r="18877" s="69" customFormat="1" x14ac:dyDescent="0.15"/>
    <row r="18878" s="69" customFormat="1" x14ac:dyDescent="0.15"/>
    <row r="18879" s="69" customFormat="1" x14ac:dyDescent="0.15"/>
    <row r="18880" s="69" customFormat="1" x14ac:dyDescent="0.15"/>
    <row r="18881" s="69" customFormat="1" x14ac:dyDescent="0.15"/>
    <row r="18882" s="69" customFormat="1" x14ac:dyDescent="0.15"/>
    <row r="18883" s="69" customFormat="1" x14ac:dyDescent="0.15"/>
    <row r="18884" s="69" customFormat="1" x14ac:dyDescent="0.15"/>
    <row r="18885" s="69" customFormat="1" x14ac:dyDescent="0.15"/>
    <row r="18886" s="69" customFormat="1" x14ac:dyDescent="0.15"/>
    <row r="18887" s="69" customFormat="1" x14ac:dyDescent="0.15"/>
    <row r="18888" s="69" customFormat="1" x14ac:dyDescent="0.15"/>
    <row r="18889" s="69" customFormat="1" x14ac:dyDescent="0.15"/>
    <row r="18890" s="69" customFormat="1" x14ac:dyDescent="0.15"/>
    <row r="18891" s="69" customFormat="1" x14ac:dyDescent="0.15"/>
    <row r="18892" s="69" customFormat="1" x14ac:dyDescent="0.15"/>
    <row r="18893" s="69" customFormat="1" x14ac:dyDescent="0.15"/>
    <row r="18894" s="69" customFormat="1" x14ac:dyDescent="0.15"/>
    <row r="18895" s="69" customFormat="1" x14ac:dyDescent="0.15"/>
    <row r="18896" s="69" customFormat="1" x14ac:dyDescent="0.15"/>
    <row r="18897" s="69" customFormat="1" x14ac:dyDescent="0.15"/>
    <row r="18898" s="69" customFormat="1" x14ac:dyDescent="0.15"/>
    <row r="18899" s="69" customFormat="1" x14ac:dyDescent="0.15"/>
    <row r="18900" s="69" customFormat="1" x14ac:dyDescent="0.15"/>
    <row r="18901" s="69" customFormat="1" x14ac:dyDescent="0.15"/>
    <row r="18902" s="69" customFormat="1" x14ac:dyDescent="0.15"/>
    <row r="18903" s="69" customFormat="1" x14ac:dyDescent="0.15"/>
    <row r="18904" s="69" customFormat="1" x14ac:dyDescent="0.15"/>
    <row r="18905" s="69" customFormat="1" x14ac:dyDescent="0.15"/>
    <row r="18906" s="69" customFormat="1" x14ac:dyDescent="0.15"/>
    <row r="18907" s="69" customFormat="1" x14ac:dyDescent="0.15"/>
    <row r="18908" s="69" customFormat="1" x14ac:dyDescent="0.15"/>
    <row r="18909" s="69" customFormat="1" x14ac:dyDescent="0.15"/>
    <row r="18910" s="69" customFormat="1" x14ac:dyDescent="0.15"/>
    <row r="18911" s="69" customFormat="1" x14ac:dyDescent="0.15"/>
    <row r="18912" s="69" customFormat="1" x14ac:dyDescent="0.15"/>
    <row r="18913" s="69" customFormat="1" x14ac:dyDescent="0.15"/>
    <row r="18914" s="69" customFormat="1" x14ac:dyDescent="0.15"/>
    <row r="18915" s="69" customFormat="1" x14ac:dyDescent="0.15"/>
    <row r="18916" s="69" customFormat="1" x14ac:dyDescent="0.15"/>
    <row r="18917" s="69" customFormat="1" x14ac:dyDescent="0.15"/>
    <row r="18918" s="69" customFormat="1" x14ac:dyDescent="0.15"/>
    <row r="18919" s="69" customFormat="1" x14ac:dyDescent="0.15"/>
    <row r="18920" s="69" customFormat="1" x14ac:dyDescent="0.15"/>
    <row r="18921" s="69" customFormat="1" x14ac:dyDescent="0.15"/>
    <row r="18922" s="69" customFormat="1" x14ac:dyDescent="0.15"/>
    <row r="18923" s="69" customFormat="1" x14ac:dyDescent="0.15"/>
    <row r="18924" s="69" customFormat="1" x14ac:dyDescent="0.15"/>
    <row r="18925" s="69" customFormat="1" x14ac:dyDescent="0.15"/>
    <row r="18926" s="69" customFormat="1" x14ac:dyDescent="0.15"/>
    <row r="18927" s="69" customFormat="1" x14ac:dyDescent="0.15"/>
    <row r="18928" s="69" customFormat="1" x14ac:dyDescent="0.15"/>
    <row r="18929" s="69" customFormat="1" x14ac:dyDescent="0.15"/>
    <row r="18930" s="69" customFormat="1" x14ac:dyDescent="0.15"/>
    <row r="18931" s="69" customFormat="1" x14ac:dyDescent="0.15"/>
    <row r="18932" s="69" customFormat="1" x14ac:dyDescent="0.15"/>
    <row r="18933" s="69" customFormat="1" x14ac:dyDescent="0.15"/>
    <row r="18934" s="69" customFormat="1" x14ac:dyDescent="0.15"/>
    <row r="18935" s="69" customFormat="1" x14ac:dyDescent="0.15"/>
    <row r="18936" s="69" customFormat="1" x14ac:dyDescent="0.15"/>
    <row r="18937" s="69" customFormat="1" x14ac:dyDescent="0.15"/>
    <row r="18938" s="69" customFormat="1" x14ac:dyDescent="0.15"/>
    <row r="18939" s="69" customFormat="1" x14ac:dyDescent="0.15"/>
    <row r="18940" s="69" customFormat="1" x14ac:dyDescent="0.15"/>
    <row r="18941" s="69" customFormat="1" x14ac:dyDescent="0.15"/>
    <row r="18942" s="69" customFormat="1" x14ac:dyDescent="0.15"/>
    <row r="18943" s="69" customFormat="1" x14ac:dyDescent="0.15"/>
    <row r="18944" s="69" customFormat="1" x14ac:dyDescent="0.15"/>
    <row r="18945" s="69" customFormat="1" x14ac:dyDescent="0.15"/>
    <row r="18946" s="69" customFormat="1" x14ac:dyDescent="0.15"/>
    <row r="18947" s="69" customFormat="1" x14ac:dyDescent="0.15"/>
    <row r="18948" s="69" customFormat="1" x14ac:dyDescent="0.15"/>
    <row r="18949" s="69" customFormat="1" x14ac:dyDescent="0.15"/>
    <row r="18950" s="69" customFormat="1" x14ac:dyDescent="0.15"/>
    <row r="18951" s="69" customFormat="1" x14ac:dyDescent="0.15"/>
    <row r="18952" s="69" customFormat="1" x14ac:dyDescent="0.15"/>
    <row r="18953" s="69" customFormat="1" x14ac:dyDescent="0.15"/>
    <row r="18954" s="69" customFormat="1" x14ac:dyDescent="0.15"/>
    <row r="18955" s="69" customFormat="1" x14ac:dyDescent="0.15"/>
    <row r="18956" s="69" customFormat="1" x14ac:dyDescent="0.15"/>
    <row r="18957" s="69" customFormat="1" x14ac:dyDescent="0.15"/>
    <row r="18958" s="69" customFormat="1" x14ac:dyDescent="0.15"/>
    <row r="18959" s="69" customFormat="1" x14ac:dyDescent="0.15"/>
    <row r="18960" s="69" customFormat="1" x14ac:dyDescent="0.15"/>
    <row r="18961" s="69" customFormat="1" x14ac:dyDescent="0.15"/>
    <row r="18962" s="69" customFormat="1" x14ac:dyDescent="0.15"/>
    <row r="18963" s="69" customFormat="1" x14ac:dyDescent="0.15"/>
    <row r="18964" s="69" customFormat="1" x14ac:dyDescent="0.15"/>
    <row r="18965" s="69" customFormat="1" x14ac:dyDescent="0.15"/>
    <row r="18966" s="69" customFormat="1" x14ac:dyDescent="0.15"/>
    <row r="18967" s="69" customFormat="1" x14ac:dyDescent="0.15"/>
    <row r="18968" s="69" customFormat="1" x14ac:dyDescent="0.15"/>
    <row r="18969" s="69" customFormat="1" x14ac:dyDescent="0.15"/>
    <row r="18970" s="69" customFormat="1" x14ac:dyDescent="0.15"/>
    <row r="18971" s="69" customFormat="1" x14ac:dyDescent="0.15"/>
    <row r="18972" s="69" customFormat="1" x14ac:dyDescent="0.15"/>
    <row r="18973" s="69" customFormat="1" x14ac:dyDescent="0.15"/>
    <row r="18974" s="69" customFormat="1" x14ac:dyDescent="0.15"/>
    <row r="18975" s="69" customFormat="1" x14ac:dyDescent="0.15"/>
    <row r="18976" s="69" customFormat="1" x14ac:dyDescent="0.15"/>
    <row r="18977" s="69" customFormat="1" x14ac:dyDescent="0.15"/>
    <row r="18978" s="69" customFormat="1" x14ac:dyDescent="0.15"/>
    <row r="18979" s="69" customFormat="1" x14ac:dyDescent="0.15"/>
    <row r="18980" s="69" customFormat="1" x14ac:dyDescent="0.15"/>
    <row r="18981" s="69" customFormat="1" x14ac:dyDescent="0.15"/>
    <row r="18982" s="69" customFormat="1" x14ac:dyDescent="0.15"/>
    <row r="18983" s="69" customFormat="1" x14ac:dyDescent="0.15"/>
    <row r="18984" s="69" customFormat="1" x14ac:dyDescent="0.15"/>
    <row r="18985" s="69" customFormat="1" x14ac:dyDescent="0.15"/>
    <row r="18986" s="69" customFormat="1" x14ac:dyDescent="0.15"/>
    <row r="18987" s="69" customFormat="1" x14ac:dyDescent="0.15"/>
    <row r="18988" s="69" customFormat="1" x14ac:dyDescent="0.15"/>
    <row r="18989" s="69" customFormat="1" x14ac:dyDescent="0.15"/>
    <row r="18990" s="69" customFormat="1" x14ac:dyDescent="0.15"/>
    <row r="18991" s="69" customFormat="1" x14ac:dyDescent="0.15"/>
    <row r="18992" s="69" customFormat="1" x14ac:dyDescent="0.15"/>
    <row r="18993" s="69" customFormat="1" x14ac:dyDescent="0.15"/>
    <row r="18994" s="69" customFormat="1" x14ac:dyDescent="0.15"/>
    <row r="18995" s="69" customFormat="1" x14ac:dyDescent="0.15"/>
    <row r="18996" s="69" customFormat="1" x14ac:dyDescent="0.15"/>
    <row r="18997" s="69" customFormat="1" x14ac:dyDescent="0.15"/>
    <row r="18998" s="69" customFormat="1" x14ac:dyDescent="0.15"/>
    <row r="18999" s="69" customFormat="1" x14ac:dyDescent="0.15"/>
    <row r="19000" s="69" customFormat="1" x14ac:dyDescent="0.15"/>
    <row r="19001" s="69" customFormat="1" x14ac:dyDescent="0.15"/>
    <row r="19002" s="69" customFormat="1" x14ac:dyDescent="0.15"/>
    <row r="19003" s="69" customFormat="1" x14ac:dyDescent="0.15"/>
    <row r="19004" s="69" customFormat="1" x14ac:dyDescent="0.15"/>
    <row r="19005" s="69" customFormat="1" x14ac:dyDescent="0.15"/>
    <row r="19006" s="69" customFormat="1" x14ac:dyDescent="0.15"/>
    <row r="19007" s="69" customFormat="1" x14ac:dyDescent="0.15"/>
    <row r="19008" s="69" customFormat="1" x14ac:dyDescent="0.15"/>
    <row r="19009" s="69" customFormat="1" x14ac:dyDescent="0.15"/>
    <row r="19010" s="69" customFormat="1" x14ac:dyDescent="0.15"/>
    <row r="19011" s="69" customFormat="1" x14ac:dyDescent="0.15"/>
    <row r="19012" s="69" customFormat="1" x14ac:dyDescent="0.15"/>
    <row r="19013" s="69" customFormat="1" x14ac:dyDescent="0.15"/>
    <row r="19014" s="69" customFormat="1" x14ac:dyDescent="0.15"/>
    <row r="19015" s="69" customFormat="1" x14ac:dyDescent="0.15"/>
    <row r="19016" s="69" customFormat="1" x14ac:dyDescent="0.15"/>
    <row r="19017" s="69" customFormat="1" x14ac:dyDescent="0.15"/>
    <row r="19018" s="69" customFormat="1" x14ac:dyDescent="0.15"/>
    <row r="19019" s="69" customFormat="1" x14ac:dyDescent="0.15"/>
    <row r="19020" s="69" customFormat="1" x14ac:dyDescent="0.15"/>
    <row r="19021" s="69" customFormat="1" x14ac:dyDescent="0.15"/>
    <row r="19022" s="69" customFormat="1" x14ac:dyDescent="0.15"/>
    <row r="19023" s="69" customFormat="1" x14ac:dyDescent="0.15"/>
    <row r="19024" s="69" customFormat="1" x14ac:dyDescent="0.15"/>
    <row r="19025" s="69" customFormat="1" x14ac:dyDescent="0.15"/>
    <row r="19026" s="69" customFormat="1" x14ac:dyDescent="0.15"/>
    <row r="19027" s="69" customFormat="1" x14ac:dyDescent="0.15"/>
    <row r="19028" s="69" customFormat="1" x14ac:dyDescent="0.15"/>
    <row r="19029" s="69" customFormat="1" x14ac:dyDescent="0.15"/>
    <row r="19030" s="69" customFormat="1" x14ac:dyDescent="0.15"/>
    <row r="19031" s="69" customFormat="1" x14ac:dyDescent="0.15"/>
    <row r="19032" s="69" customFormat="1" x14ac:dyDescent="0.15"/>
    <row r="19033" s="69" customFormat="1" x14ac:dyDescent="0.15"/>
    <row r="19034" s="69" customFormat="1" x14ac:dyDescent="0.15"/>
    <row r="19035" s="69" customFormat="1" x14ac:dyDescent="0.15"/>
    <row r="19036" s="69" customFormat="1" x14ac:dyDescent="0.15"/>
    <row r="19037" s="69" customFormat="1" x14ac:dyDescent="0.15"/>
    <row r="19038" s="69" customFormat="1" x14ac:dyDescent="0.15"/>
    <row r="19039" s="69" customFormat="1" x14ac:dyDescent="0.15"/>
    <row r="19040" s="69" customFormat="1" x14ac:dyDescent="0.15"/>
    <row r="19041" s="69" customFormat="1" x14ac:dyDescent="0.15"/>
    <row r="19042" s="69" customFormat="1" x14ac:dyDescent="0.15"/>
    <row r="19043" s="69" customFormat="1" x14ac:dyDescent="0.15"/>
    <row r="19044" s="69" customFormat="1" x14ac:dyDescent="0.15"/>
    <row r="19045" s="69" customFormat="1" x14ac:dyDescent="0.15"/>
    <row r="19046" s="69" customFormat="1" x14ac:dyDescent="0.15"/>
    <row r="19047" s="69" customFormat="1" x14ac:dyDescent="0.15"/>
    <row r="19048" s="69" customFormat="1" x14ac:dyDescent="0.15"/>
    <row r="19049" s="69" customFormat="1" x14ac:dyDescent="0.15"/>
    <row r="19050" s="69" customFormat="1" x14ac:dyDescent="0.15"/>
    <row r="19051" s="69" customFormat="1" x14ac:dyDescent="0.15"/>
    <row r="19052" s="69" customFormat="1" x14ac:dyDescent="0.15"/>
    <row r="19053" s="69" customFormat="1" x14ac:dyDescent="0.15"/>
    <row r="19054" s="69" customFormat="1" x14ac:dyDescent="0.15"/>
    <row r="19055" s="69" customFormat="1" x14ac:dyDescent="0.15"/>
    <row r="19056" s="69" customFormat="1" x14ac:dyDescent="0.15"/>
    <row r="19057" s="69" customFormat="1" x14ac:dyDescent="0.15"/>
    <row r="19058" s="69" customFormat="1" x14ac:dyDescent="0.15"/>
    <row r="19059" s="69" customFormat="1" x14ac:dyDescent="0.15"/>
    <row r="19060" s="69" customFormat="1" x14ac:dyDescent="0.15"/>
    <row r="19061" s="69" customFormat="1" x14ac:dyDescent="0.15"/>
    <row r="19062" s="69" customFormat="1" x14ac:dyDescent="0.15"/>
    <row r="19063" s="69" customFormat="1" x14ac:dyDescent="0.15"/>
    <row r="19064" s="69" customFormat="1" x14ac:dyDescent="0.15"/>
    <row r="19065" s="69" customFormat="1" x14ac:dyDescent="0.15"/>
    <row r="19066" s="69" customFormat="1" x14ac:dyDescent="0.15"/>
    <row r="19067" s="69" customFormat="1" x14ac:dyDescent="0.15"/>
    <row r="19068" s="69" customFormat="1" x14ac:dyDescent="0.15"/>
    <row r="19069" s="69" customFormat="1" x14ac:dyDescent="0.15"/>
    <row r="19070" s="69" customFormat="1" x14ac:dyDescent="0.15"/>
    <row r="19071" s="69" customFormat="1" x14ac:dyDescent="0.15"/>
    <row r="19072" s="69" customFormat="1" x14ac:dyDescent="0.15"/>
    <row r="19073" s="69" customFormat="1" x14ac:dyDescent="0.15"/>
    <row r="19074" s="69" customFormat="1" x14ac:dyDescent="0.15"/>
    <row r="19075" s="69" customFormat="1" x14ac:dyDescent="0.15"/>
    <row r="19076" s="69" customFormat="1" x14ac:dyDescent="0.15"/>
    <row r="19077" s="69" customFormat="1" x14ac:dyDescent="0.15"/>
    <row r="19078" s="69" customFormat="1" x14ac:dyDescent="0.15"/>
    <row r="19079" s="69" customFormat="1" x14ac:dyDescent="0.15"/>
    <row r="19080" s="69" customFormat="1" x14ac:dyDescent="0.15"/>
    <row r="19081" s="69" customFormat="1" x14ac:dyDescent="0.15"/>
    <row r="19082" s="69" customFormat="1" x14ac:dyDescent="0.15"/>
    <row r="19083" s="69" customFormat="1" x14ac:dyDescent="0.15"/>
    <row r="19084" s="69" customFormat="1" x14ac:dyDescent="0.15"/>
    <row r="19085" s="69" customFormat="1" x14ac:dyDescent="0.15"/>
    <row r="19086" s="69" customFormat="1" x14ac:dyDescent="0.15"/>
    <row r="19087" s="69" customFormat="1" x14ac:dyDescent="0.15"/>
    <row r="19088" s="69" customFormat="1" x14ac:dyDescent="0.15"/>
    <row r="19089" s="69" customFormat="1" x14ac:dyDescent="0.15"/>
    <row r="19090" s="69" customFormat="1" x14ac:dyDescent="0.15"/>
    <row r="19091" s="69" customFormat="1" x14ac:dyDescent="0.15"/>
    <row r="19092" s="69" customFormat="1" x14ac:dyDescent="0.15"/>
    <row r="19093" s="69" customFormat="1" x14ac:dyDescent="0.15"/>
    <row r="19094" s="69" customFormat="1" x14ac:dyDescent="0.15"/>
    <row r="19095" s="69" customFormat="1" x14ac:dyDescent="0.15"/>
    <row r="19096" s="69" customFormat="1" x14ac:dyDescent="0.15"/>
    <row r="19097" s="69" customFormat="1" x14ac:dyDescent="0.15"/>
    <row r="19098" s="69" customFormat="1" x14ac:dyDescent="0.15"/>
    <row r="19099" s="69" customFormat="1" x14ac:dyDescent="0.15"/>
    <row r="19100" s="69" customFormat="1" x14ac:dyDescent="0.15"/>
    <row r="19101" s="69" customFormat="1" x14ac:dyDescent="0.15"/>
    <row r="19102" s="69" customFormat="1" x14ac:dyDescent="0.15"/>
    <row r="19103" s="69" customFormat="1" x14ac:dyDescent="0.15"/>
    <row r="19104" s="69" customFormat="1" x14ac:dyDescent="0.15"/>
    <row r="19105" s="69" customFormat="1" x14ac:dyDescent="0.15"/>
    <row r="19106" s="69" customFormat="1" x14ac:dyDescent="0.15"/>
    <row r="19107" s="69" customFormat="1" x14ac:dyDescent="0.15"/>
    <row r="19108" s="69" customFormat="1" x14ac:dyDescent="0.15"/>
    <row r="19109" s="69" customFormat="1" x14ac:dyDescent="0.15"/>
    <row r="19110" s="69" customFormat="1" x14ac:dyDescent="0.15"/>
    <row r="19111" s="69" customFormat="1" x14ac:dyDescent="0.15"/>
    <row r="19112" s="69" customFormat="1" x14ac:dyDescent="0.15"/>
    <row r="19113" s="69" customFormat="1" x14ac:dyDescent="0.15"/>
    <row r="19114" s="69" customFormat="1" x14ac:dyDescent="0.15"/>
    <row r="19115" s="69" customFormat="1" x14ac:dyDescent="0.15"/>
    <row r="19116" s="69" customFormat="1" x14ac:dyDescent="0.15"/>
    <row r="19117" s="69" customFormat="1" x14ac:dyDescent="0.15"/>
    <row r="19118" s="69" customFormat="1" x14ac:dyDescent="0.15"/>
    <row r="19119" s="69" customFormat="1" x14ac:dyDescent="0.15"/>
    <row r="19120" s="69" customFormat="1" x14ac:dyDescent="0.15"/>
    <row r="19121" s="69" customFormat="1" x14ac:dyDescent="0.15"/>
    <row r="19122" s="69" customFormat="1" x14ac:dyDescent="0.15"/>
    <row r="19123" s="69" customFormat="1" x14ac:dyDescent="0.15"/>
    <row r="19124" s="69" customFormat="1" x14ac:dyDescent="0.15"/>
    <row r="19125" s="69" customFormat="1" x14ac:dyDescent="0.15"/>
    <row r="19126" s="69" customFormat="1" x14ac:dyDescent="0.15"/>
    <row r="19127" s="69" customFormat="1" x14ac:dyDescent="0.15"/>
    <row r="19128" s="69" customFormat="1" x14ac:dyDescent="0.15"/>
    <row r="19129" s="69" customFormat="1" x14ac:dyDescent="0.15"/>
    <row r="19130" s="69" customFormat="1" x14ac:dyDescent="0.15"/>
    <row r="19131" s="69" customFormat="1" x14ac:dyDescent="0.15"/>
    <row r="19132" s="69" customFormat="1" x14ac:dyDescent="0.15"/>
    <row r="19133" s="69" customFormat="1" x14ac:dyDescent="0.15"/>
    <row r="19134" s="69" customFormat="1" x14ac:dyDescent="0.15"/>
    <row r="19135" s="69" customFormat="1" x14ac:dyDescent="0.15"/>
    <row r="19136" s="69" customFormat="1" x14ac:dyDescent="0.15"/>
    <row r="19137" s="69" customFormat="1" x14ac:dyDescent="0.15"/>
    <row r="19138" s="69" customFormat="1" x14ac:dyDescent="0.15"/>
    <row r="19139" s="69" customFormat="1" x14ac:dyDescent="0.15"/>
    <row r="19140" s="69" customFormat="1" x14ac:dyDescent="0.15"/>
    <row r="19141" s="69" customFormat="1" x14ac:dyDescent="0.15"/>
    <row r="19142" s="69" customFormat="1" x14ac:dyDescent="0.15"/>
    <row r="19143" s="69" customFormat="1" x14ac:dyDescent="0.15"/>
    <row r="19144" s="69" customFormat="1" x14ac:dyDescent="0.15"/>
    <row r="19145" s="69" customFormat="1" x14ac:dyDescent="0.15"/>
    <row r="19146" s="69" customFormat="1" x14ac:dyDescent="0.15"/>
    <row r="19147" s="69" customFormat="1" x14ac:dyDescent="0.15"/>
    <row r="19148" s="69" customFormat="1" x14ac:dyDescent="0.15"/>
    <row r="19149" s="69" customFormat="1" x14ac:dyDescent="0.15"/>
    <row r="19150" s="69" customFormat="1" x14ac:dyDescent="0.15"/>
    <row r="19151" s="69" customFormat="1" x14ac:dyDescent="0.15"/>
    <row r="19152" s="69" customFormat="1" x14ac:dyDescent="0.15"/>
    <row r="19153" s="69" customFormat="1" x14ac:dyDescent="0.15"/>
    <row r="19154" s="69" customFormat="1" x14ac:dyDescent="0.15"/>
    <row r="19155" s="69" customFormat="1" x14ac:dyDescent="0.15"/>
    <row r="19156" s="69" customFormat="1" x14ac:dyDescent="0.15"/>
    <row r="19157" s="69" customFormat="1" x14ac:dyDescent="0.15"/>
    <row r="19158" s="69" customFormat="1" x14ac:dyDescent="0.15"/>
    <row r="19159" s="69" customFormat="1" x14ac:dyDescent="0.15"/>
    <row r="19160" s="69" customFormat="1" x14ac:dyDescent="0.15"/>
    <row r="19161" s="69" customFormat="1" x14ac:dyDescent="0.15"/>
    <row r="19162" s="69" customFormat="1" x14ac:dyDescent="0.15"/>
    <row r="19163" s="69" customFormat="1" x14ac:dyDescent="0.15"/>
    <row r="19164" s="69" customFormat="1" x14ac:dyDescent="0.15"/>
    <row r="19165" s="69" customFormat="1" x14ac:dyDescent="0.15"/>
    <row r="19166" s="69" customFormat="1" x14ac:dyDescent="0.15"/>
    <row r="19167" s="69" customFormat="1" x14ac:dyDescent="0.15"/>
    <row r="19168" s="69" customFormat="1" x14ac:dyDescent="0.15"/>
    <row r="19169" s="69" customFormat="1" x14ac:dyDescent="0.15"/>
    <row r="19170" s="69" customFormat="1" x14ac:dyDescent="0.15"/>
    <row r="19171" s="69" customFormat="1" x14ac:dyDescent="0.15"/>
    <row r="19172" s="69" customFormat="1" x14ac:dyDescent="0.15"/>
    <row r="19173" s="69" customFormat="1" x14ac:dyDescent="0.15"/>
    <row r="19174" s="69" customFormat="1" x14ac:dyDescent="0.15"/>
    <row r="19175" s="69" customFormat="1" x14ac:dyDescent="0.15"/>
    <row r="19176" s="69" customFormat="1" x14ac:dyDescent="0.15"/>
    <row r="19177" s="69" customFormat="1" x14ac:dyDescent="0.15"/>
    <row r="19178" s="69" customFormat="1" x14ac:dyDescent="0.15"/>
    <row r="19179" s="69" customFormat="1" x14ac:dyDescent="0.15"/>
    <row r="19180" s="69" customFormat="1" x14ac:dyDescent="0.15"/>
    <row r="19181" s="69" customFormat="1" x14ac:dyDescent="0.15"/>
    <row r="19182" s="69" customFormat="1" x14ac:dyDescent="0.15"/>
    <row r="19183" s="69" customFormat="1" x14ac:dyDescent="0.15"/>
    <row r="19184" s="69" customFormat="1" x14ac:dyDescent="0.15"/>
    <row r="19185" s="69" customFormat="1" x14ac:dyDescent="0.15"/>
    <row r="19186" s="69" customFormat="1" x14ac:dyDescent="0.15"/>
    <row r="19187" s="69" customFormat="1" x14ac:dyDescent="0.15"/>
    <row r="19188" s="69" customFormat="1" x14ac:dyDescent="0.15"/>
    <row r="19189" s="69" customFormat="1" x14ac:dyDescent="0.15"/>
    <row r="19190" s="69" customFormat="1" x14ac:dyDescent="0.15"/>
    <row r="19191" s="69" customFormat="1" x14ac:dyDescent="0.15"/>
    <row r="19192" s="69" customFormat="1" x14ac:dyDescent="0.15"/>
    <row r="19193" s="69" customFormat="1" x14ac:dyDescent="0.15"/>
    <row r="19194" s="69" customFormat="1" x14ac:dyDescent="0.15"/>
    <row r="19195" s="69" customFormat="1" x14ac:dyDescent="0.15"/>
    <row r="19196" s="69" customFormat="1" x14ac:dyDescent="0.15"/>
    <row r="19197" s="69" customFormat="1" x14ac:dyDescent="0.15"/>
    <row r="19198" s="69" customFormat="1" x14ac:dyDescent="0.15"/>
    <row r="19199" s="69" customFormat="1" x14ac:dyDescent="0.15"/>
    <row r="19200" s="69" customFormat="1" x14ac:dyDescent="0.15"/>
    <row r="19201" s="69" customFormat="1" x14ac:dyDescent="0.15"/>
    <row r="19202" s="69" customFormat="1" x14ac:dyDescent="0.15"/>
    <row r="19203" s="69" customFormat="1" x14ac:dyDescent="0.15"/>
    <row r="19204" s="69" customFormat="1" x14ac:dyDescent="0.15"/>
    <row r="19205" s="69" customFormat="1" x14ac:dyDescent="0.15"/>
    <row r="19206" s="69" customFormat="1" x14ac:dyDescent="0.15"/>
    <row r="19207" s="69" customFormat="1" x14ac:dyDescent="0.15"/>
    <row r="19208" s="69" customFormat="1" x14ac:dyDescent="0.15"/>
    <row r="19209" s="69" customFormat="1" x14ac:dyDescent="0.15"/>
    <row r="19210" s="69" customFormat="1" x14ac:dyDescent="0.15"/>
    <row r="19211" s="69" customFormat="1" x14ac:dyDescent="0.15"/>
    <row r="19212" s="69" customFormat="1" x14ac:dyDescent="0.15"/>
    <row r="19213" s="69" customFormat="1" x14ac:dyDescent="0.15"/>
    <row r="19214" s="69" customFormat="1" x14ac:dyDescent="0.15"/>
    <row r="19215" s="69" customFormat="1" x14ac:dyDescent="0.15"/>
    <row r="19216" s="69" customFormat="1" x14ac:dyDescent="0.15"/>
    <row r="19217" s="69" customFormat="1" x14ac:dyDescent="0.15"/>
    <row r="19218" s="69" customFormat="1" x14ac:dyDescent="0.15"/>
    <row r="19219" s="69" customFormat="1" x14ac:dyDescent="0.15"/>
    <row r="19220" s="69" customFormat="1" x14ac:dyDescent="0.15"/>
    <row r="19221" s="69" customFormat="1" x14ac:dyDescent="0.15"/>
    <row r="19222" s="69" customFormat="1" x14ac:dyDescent="0.15"/>
    <row r="19223" s="69" customFormat="1" x14ac:dyDescent="0.15"/>
    <row r="19224" s="69" customFormat="1" x14ac:dyDescent="0.15"/>
    <row r="19225" s="69" customFormat="1" x14ac:dyDescent="0.15"/>
    <row r="19226" s="69" customFormat="1" x14ac:dyDescent="0.15"/>
    <row r="19227" s="69" customFormat="1" x14ac:dyDescent="0.15"/>
    <row r="19228" s="69" customFormat="1" x14ac:dyDescent="0.15"/>
    <row r="19229" s="69" customFormat="1" x14ac:dyDescent="0.15"/>
    <row r="19230" s="69" customFormat="1" x14ac:dyDescent="0.15"/>
    <row r="19231" s="69" customFormat="1" x14ac:dyDescent="0.15"/>
    <row r="19232" s="69" customFormat="1" x14ac:dyDescent="0.15"/>
    <row r="19233" s="69" customFormat="1" x14ac:dyDescent="0.15"/>
    <row r="19234" s="69" customFormat="1" x14ac:dyDescent="0.15"/>
    <row r="19235" s="69" customFormat="1" x14ac:dyDescent="0.15"/>
    <row r="19236" s="69" customFormat="1" x14ac:dyDescent="0.15"/>
    <row r="19237" s="69" customFormat="1" x14ac:dyDescent="0.15"/>
    <row r="19238" s="69" customFormat="1" x14ac:dyDescent="0.15"/>
    <row r="19239" s="69" customFormat="1" x14ac:dyDescent="0.15"/>
    <row r="19240" s="69" customFormat="1" x14ac:dyDescent="0.15"/>
    <row r="19241" s="69" customFormat="1" x14ac:dyDescent="0.15"/>
    <row r="19242" s="69" customFormat="1" x14ac:dyDescent="0.15"/>
    <row r="19243" s="69" customFormat="1" x14ac:dyDescent="0.15"/>
    <row r="19244" s="69" customFormat="1" x14ac:dyDescent="0.15"/>
    <row r="19245" s="69" customFormat="1" x14ac:dyDescent="0.15"/>
    <row r="19246" s="69" customFormat="1" x14ac:dyDescent="0.15"/>
    <row r="19247" s="69" customFormat="1" x14ac:dyDescent="0.15"/>
    <row r="19248" s="69" customFormat="1" x14ac:dyDescent="0.15"/>
    <row r="19249" s="69" customFormat="1" x14ac:dyDescent="0.15"/>
    <row r="19250" s="69" customFormat="1" x14ac:dyDescent="0.15"/>
    <row r="19251" s="69" customFormat="1" x14ac:dyDescent="0.15"/>
    <row r="19252" s="69" customFormat="1" x14ac:dyDescent="0.15"/>
    <row r="19253" s="69" customFormat="1" x14ac:dyDescent="0.15"/>
    <row r="19254" s="69" customFormat="1" x14ac:dyDescent="0.15"/>
    <row r="19255" s="69" customFormat="1" x14ac:dyDescent="0.15"/>
    <row r="19256" s="69" customFormat="1" x14ac:dyDescent="0.15"/>
    <row r="19257" s="69" customFormat="1" x14ac:dyDescent="0.15"/>
    <row r="19258" s="69" customFormat="1" x14ac:dyDescent="0.15"/>
    <row r="19259" s="69" customFormat="1" x14ac:dyDescent="0.15"/>
    <row r="19260" s="69" customFormat="1" x14ac:dyDescent="0.15"/>
    <row r="19261" s="69" customFormat="1" x14ac:dyDescent="0.15"/>
    <row r="19262" s="69" customFormat="1" x14ac:dyDescent="0.15"/>
    <row r="19263" s="69" customFormat="1" x14ac:dyDescent="0.15"/>
    <row r="19264" s="69" customFormat="1" x14ac:dyDescent="0.15"/>
    <row r="19265" s="69" customFormat="1" x14ac:dyDescent="0.15"/>
    <row r="19266" s="69" customFormat="1" x14ac:dyDescent="0.15"/>
    <row r="19267" s="69" customFormat="1" x14ac:dyDescent="0.15"/>
    <row r="19268" s="69" customFormat="1" x14ac:dyDescent="0.15"/>
    <row r="19269" s="69" customFormat="1" x14ac:dyDescent="0.15"/>
    <row r="19270" s="69" customFormat="1" x14ac:dyDescent="0.15"/>
    <row r="19271" s="69" customFormat="1" x14ac:dyDescent="0.15"/>
    <row r="19272" s="69" customFormat="1" x14ac:dyDescent="0.15"/>
    <row r="19273" s="69" customFormat="1" x14ac:dyDescent="0.15"/>
    <row r="19274" s="69" customFormat="1" x14ac:dyDescent="0.15"/>
    <row r="19275" s="69" customFormat="1" x14ac:dyDescent="0.15"/>
    <row r="19276" s="69" customFormat="1" x14ac:dyDescent="0.15"/>
    <row r="19277" s="69" customFormat="1" x14ac:dyDescent="0.15"/>
    <row r="19278" s="69" customFormat="1" x14ac:dyDescent="0.15"/>
    <row r="19279" s="69" customFormat="1" x14ac:dyDescent="0.15"/>
    <row r="19280" s="69" customFormat="1" x14ac:dyDescent="0.15"/>
    <row r="19281" s="69" customFormat="1" x14ac:dyDescent="0.15"/>
    <row r="19282" s="69" customFormat="1" x14ac:dyDescent="0.15"/>
    <row r="19283" s="69" customFormat="1" x14ac:dyDescent="0.15"/>
    <row r="19284" s="69" customFormat="1" x14ac:dyDescent="0.15"/>
    <row r="19285" s="69" customFormat="1" x14ac:dyDescent="0.15"/>
    <row r="19286" s="69" customFormat="1" x14ac:dyDescent="0.15"/>
    <row r="19287" s="69" customFormat="1" x14ac:dyDescent="0.15"/>
    <row r="19288" s="69" customFormat="1" x14ac:dyDescent="0.15"/>
    <row r="19289" s="69" customFormat="1" x14ac:dyDescent="0.15"/>
    <row r="19290" s="69" customFormat="1" x14ac:dyDescent="0.15"/>
    <row r="19291" s="69" customFormat="1" x14ac:dyDescent="0.15"/>
    <row r="19292" s="69" customFormat="1" x14ac:dyDescent="0.15"/>
    <row r="19293" s="69" customFormat="1" x14ac:dyDescent="0.15"/>
    <row r="19294" s="69" customFormat="1" x14ac:dyDescent="0.15"/>
    <row r="19295" s="69" customFormat="1" x14ac:dyDescent="0.15"/>
    <row r="19296" s="69" customFormat="1" x14ac:dyDescent="0.15"/>
    <row r="19297" s="69" customFormat="1" x14ac:dyDescent="0.15"/>
    <row r="19298" s="69" customFormat="1" x14ac:dyDescent="0.15"/>
    <row r="19299" s="69" customFormat="1" x14ac:dyDescent="0.15"/>
    <row r="19300" s="69" customFormat="1" x14ac:dyDescent="0.15"/>
    <row r="19301" s="69" customFormat="1" x14ac:dyDescent="0.15"/>
    <row r="19302" s="69" customFormat="1" x14ac:dyDescent="0.15"/>
    <row r="19303" s="69" customFormat="1" x14ac:dyDescent="0.15"/>
    <row r="19304" s="69" customFormat="1" x14ac:dyDescent="0.15"/>
    <row r="19305" s="69" customFormat="1" x14ac:dyDescent="0.15"/>
    <row r="19306" s="69" customFormat="1" x14ac:dyDescent="0.15"/>
    <row r="19307" s="69" customFormat="1" x14ac:dyDescent="0.15"/>
    <row r="19308" s="69" customFormat="1" x14ac:dyDescent="0.15"/>
    <row r="19309" s="69" customFormat="1" x14ac:dyDescent="0.15"/>
    <row r="19310" s="69" customFormat="1" x14ac:dyDescent="0.15"/>
    <row r="19311" s="69" customFormat="1" x14ac:dyDescent="0.15"/>
    <row r="19312" s="69" customFormat="1" x14ac:dyDescent="0.15"/>
    <row r="19313" s="69" customFormat="1" x14ac:dyDescent="0.15"/>
    <row r="19314" s="69" customFormat="1" x14ac:dyDescent="0.15"/>
    <row r="19315" s="69" customFormat="1" x14ac:dyDescent="0.15"/>
    <row r="19316" s="69" customFormat="1" x14ac:dyDescent="0.15"/>
    <row r="19317" s="69" customFormat="1" x14ac:dyDescent="0.15"/>
    <row r="19318" s="69" customFormat="1" x14ac:dyDescent="0.15"/>
    <row r="19319" s="69" customFormat="1" x14ac:dyDescent="0.15"/>
    <row r="19320" s="69" customFormat="1" x14ac:dyDescent="0.15"/>
    <row r="19321" s="69" customFormat="1" x14ac:dyDescent="0.15"/>
    <row r="19322" s="69" customFormat="1" x14ac:dyDescent="0.15"/>
    <row r="19323" s="69" customFormat="1" x14ac:dyDescent="0.15"/>
    <row r="19324" s="69" customFormat="1" x14ac:dyDescent="0.15"/>
    <row r="19325" s="69" customFormat="1" x14ac:dyDescent="0.15"/>
    <row r="19326" s="69" customFormat="1" x14ac:dyDescent="0.15"/>
    <row r="19327" s="69" customFormat="1" x14ac:dyDescent="0.15"/>
    <row r="19328" s="69" customFormat="1" x14ac:dyDescent="0.15"/>
    <row r="19329" s="69" customFormat="1" x14ac:dyDescent="0.15"/>
    <row r="19330" s="69" customFormat="1" x14ac:dyDescent="0.15"/>
    <row r="19331" s="69" customFormat="1" x14ac:dyDescent="0.15"/>
    <row r="19332" s="69" customFormat="1" x14ac:dyDescent="0.15"/>
    <row r="19333" s="69" customFormat="1" x14ac:dyDescent="0.15"/>
    <row r="19334" s="69" customFormat="1" x14ac:dyDescent="0.15"/>
    <row r="19335" s="69" customFormat="1" x14ac:dyDescent="0.15"/>
    <row r="19336" s="69" customFormat="1" x14ac:dyDescent="0.15"/>
    <row r="19337" s="69" customFormat="1" x14ac:dyDescent="0.15"/>
    <row r="19338" s="69" customFormat="1" x14ac:dyDescent="0.15"/>
    <row r="19339" s="69" customFormat="1" x14ac:dyDescent="0.15"/>
    <row r="19340" s="69" customFormat="1" x14ac:dyDescent="0.15"/>
    <row r="19341" s="69" customFormat="1" x14ac:dyDescent="0.15"/>
    <row r="19342" s="69" customFormat="1" x14ac:dyDescent="0.15"/>
    <row r="19343" s="69" customFormat="1" x14ac:dyDescent="0.15"/>
    <row r="19344" s="69" customFormat="1" x14ac:dyDescent="0.15"/>
    <row r="19345" s="69" customFormat="1" x14ac:dyDescent="0.15"/>
    <row r="19346" s="69" customFormat="1" x14ac:dyDescent="0.15"/>
    <row r="19347" s="69" customFormat="1" x14ac:dyDescent="0.15"/>
    <row r="19348" s="69" customFormat="1" x14ac:dyDescent="0.15"/>
    <row r="19349" s="69" customFormat="1" x14ac:dyDescent="0.15"/>
    <row r="19350" s="69" customFormat="1" x14ac:dyDescent="0.15"/>
    <row r="19351" s="69" customFormat="1" x14ac:dyDescent="0.15"/>
    <row r="19352" s="69" customFormat="1" x14ac:dyDescent="0.15"/>
    <row r="19353" s="69" customFormat="1" x14ac:dyDescent="0.15"/>
    <row r="19354" s="69" customFormat="1" x14ac:dyDescent="0.15"/>
    <row r="19355" s="69" customFormat="1" x14ac:dyDescent="0.15"/>
    <row r="19356" s="69" customFormat="1" x14ac:dyDescent="0.15"/>
    <row r="19357" s="69" customFormat="1" x14ac:dyDescent="0.15"/>
    <row r="19358" s="69" customFormat="1" x14ac:dyDescent="0.15"/>
    <row r="19359" s="69" customFormat="1" x14ac:dyDescent="0.15"/>
    <row r="19360" s="69" customFormat="1" x14ac:dyDescent="0.15"/>
    <row r="19361" s="69" customFormat="1" x14ac:dyDescent="0.15"/>
    <row r="19362" s="69" customFormat="1" x14ac:dyDescent="0.15"/>
    <row r="19363" s="69" customFormat="1" x14ac:dyDescent="0.15"/>
    <row r="19364" s="69" customFormat="1" x14ac:dyDescent="0.15"/>
    <row r="19365" s="69" customFormat="1" x14ac:dyDescent="0.15"/>
    <row r="19366" s="69" customFormat="1" x14ac:dyDescent="0.15"/>
    <row r="19367" s="69" customFormat="1" x14ac:dyDescent="0.15"/>
    <row r="19368" s="69" customFormat="1" x14ac:dyDescent="0.15"/>
    <row r="19369" s="69" customFormat="1" x14ac:dyDescent="0.15"/>
    <row r="19370" s="69" customFormat="1" x14ac:dyDescent="0.15"/>
    <row r="19371" s="69" customFormat="1" x14ac:dyDescent="0.15"/>
    <row r="19372" s="69" customFormat="1" x14ac:dyDescent="0.15"/>
    <row r="19373" s="69" customFormat="1" x14ac:dyDescent="0.15"/>
    <row r="19374" s="69" customFormat="1" x14ac:dyDescent="0.15"/>
    <row r="19375" s="69" customFormat="1" x14ac:dyDescent="0.15"/>
    <row r="19376" s="69" customFormat="1" x14ac:dyDescent="0.15"/>
    <row r="19377" s="69" customFormat="1" x14ac:dyDescent="0.15"/>
    <row r="19378" s="69" customFormat="1" x14ac:dyDescent="0.15"/>
    <row r="19379" s="69" customFormat="1" x14ac:dyDescent="0.15"/>
    <row r="19380" s="69" customFormat="1" x14ac:dyDescent="0.15"/>
    <row r="19381" s="69" customFormat="1" x14ac:dyDescent="0.15"/>
    <row r="19382" s="69" customFormat="1" x14ac:dyDescent="0.15"/>
    <row r="19383" s="69" customFormat="1" x14ac:dyDescent="0.15"/>
    <row r="19384" s="69" customFormat="1" x14ac:dyDescent="0.15"/>
    <row r="19385" s="69" customFormat="1" x14ac:dyDescent="0.15"/>
    <row r="19386" s="69" customFormat="1" x14ac:dyDescent="0.15"/>
    <row r="19387" s="69" customFormat="1" x14ac:dyDescent="0.15"/>
    <row r="19388" s="69" customFormat="1" x14ac:dyDescent="0.15"/>
    <row r="19389" s="69" customFormat="1" x14ac:dyDescent="0.15"/>
    <row r="19390" s="69" customFormat="1" x14ac:dyDescent="0.15"/>
    <row r="19391" s="69" customFormat="1" x14ac:dyDescent="0.15"/>
    <row r="19392" s="69" customFormat="1" x14ac:dyDescent="0.15"/>
    <row r="19393" s="69" customFormat="1" x14ac:dyDescent="0.15"/>
    <row r="19394" s="69" customFormat="1" x14ac:dyDescent="0.15"/>
    <row r="19395" s="69" customFormat="1" x14ac:dyDescent="0.15"/>
    <row r="19396" s="69" customFormat="1" x14ac:dyDescent="0.15"/>
    <row r="19397" s="69" customFormat="1" x14ac:dyDescent="0.15"/>
    <row r="19398" s="69" customFormat="1" x14ac:dyDescent="0.15"/>
    <row r="19399" s="69" customFormat="1" x14ac:dyDescent="0.15"/>
    <row r="19400" s="69" customFormat="1" x14ac:dyDescent="0.15"/>
    <row r="19401" s="69" customFormat="1" x14ac:dyDescent="0.15"/>
    <row r="19402" s="69" customFormat="1" x14ac:dyDescent="0.15"/>
    <row r="19403" s="69" customFormat="1" x14ac:dyDescent="0.15"/>
    <row r="19404" s="69" customFormat="1" x14ac:dyDescent="0.15"/>
    <row r="19405" s="69" customFormat="1" x14ac:dyDescent="0.15"/>
    <row r="19406" s="69" customFormat="1" x14ac:dyDescent="0.15"/>
    <row r="19407" s="69" customFormat="1" x14ac:dyDescent="0.15"/>
    <row r="19408" s="69" customFormat="1" x14ac:dyDescent="0.15"/>
    <row r="19409" s="69" customFormat="1" x14ac:dyDescent="0.15"/>
    <row r="19410" s="69" customFormat="1" x14ac:dyDescent="0.15"/>
    <row r="19411" s="69" customFormat="1" x14ac:dyDescent="0.15"/>
    <row r="19412" s="69" customFormat="1" x14ac:dyDescent="0.15"/>
    <row r="19413" s="69" customFormat="1" x14ac:dyDescent="0.15"/>
    <row r="19414" s="69" customFormat="1" x14ac:dyDescent="0.15"/>
    <row r="19415" s="69" customFormat="1" x14ac:dyDescent="0.15"/>
    <row r="19416" s="69" customFormat="1" x14ac:dyDescent="0.15"/>
    <row r="19417" s="69" customFormat="1" x14ac:dyDescent="0.15"/>
    <row r="19418" s="69" customFormat="1" x14ac:dyDescent="0.15"/>
    <row r="19419" s="69" customFormat="1" x14ac:dyDescent="0.15"/>
    <row r="19420" s="69" customFormat="1" x14ac:dyDescent="0.15"/>
    <row r="19421" s="69" customFormat="1" x14ac:dyDescent="0.15"/>
    <row r="19422" s="69" customFormat="1" x14ac:dyDescent="0.15"/>
    <row r="19423" s="69" customFormat="1" x14ac:dyDescent="0.15"/>
    <row r="19424" s="69" customFormat="1" x14ac:dyDescent="0.15"/>
    <row r="19425" s="69" customFormat="1" x14ac:dyDescent="0.15"/>
    <row r="19426" s="69" customFormat="1" x14ac:dyDescent="0.15"/>
    <row r="19427" s="69" customFormat="1" x14ac:dyDescent="0.15"/>
    <row r="19428" s="69" customFormat="1" x14ac:dyDescent="0.15"/>
    <row r="19429" s="69" customFormat="1" x14ac:dyDescent="0.15"/>
    <row r="19430" s="69" customFormat="1" x14ac:dyDescent="0.15"/>
    <row r="19431" s="69" customFormat="1" x14ac:dyDescent="0.15"/>
    <row r="19432" s="69" customFormat="1" x14ac:dyDescent="0.15"/>
    <row r="19433" s="69" customFormat="1" x14ac:dyDescent="0.15"/>
    <row r="19434" s="69" customFormat="1" x14ac:dyDescent="0.15"/>
    <row r="19435" s="69" customFormat="1" x14ac:dyDescent="0.15"/>
    <row r="19436" s="69" customFormat="1" x14ac:dyDescent="0.15"/>
    <row r="19437" s="69" customFormat="1" x14ac:dyDescent="0.15"/>
    <row r="19438" s="69" customFormat="1" x14ac:dyDescent="0.15"/>
    <row r="19439" s="69" customFormat="1" x14ac:dyDescent="0.15"/>
    <row r="19440" s="69" customFormat="1" x14ac:dyDescent="0.15"/>
    <row r="19441" s="69" customFormat="1" x14ac:dyDescent="0.15"/>
    <row r="19442" s="69" customFormat="1" x14ac:dyDescent="0.15"/>
    <row r="19443" s="69" customFormat="1" x14ac:dyDescent="0.15"/>
    <row r="19444" s="69" customFormat="1" x14ac:dyDescent="0.15"/>
    <row r="19445" s="69" customFormat="1" x14ac:dyDescent="0.15"/>
    <row r="19446" s="69" customFormat="1" x14ac:dyDescent="0.15"/>
    <row r="19447" s="69" customFormat="1" x14ac:dyDescent="0.15"/>
    <row r="19448" s="69" customFormat="1" x14ac:dyDescent="0.15"/>
    <row r="19449" s="69" customFormat="1" x14ac:dyDescent="0.15"/>
    <row r="19450" s="69" customFormat="1" x14ac:dyDescent="0.15"/>
    <row r="19451" s="69" customFormat="1" x14ac:dyDescent="0.15"/>
    <row r="19452" s="69" customFormat="1" x14ac:dyDescent="0.15"/>
    <row r="19453" s="69" customFormat="1" x14ac:dyDescent="0.15"/>
    <row r="19454" s="69" customFormat="1" x14ac:dyDescent="0.15"/>
    <row r="19455" s="69" customFormat="1" x14ac:dyDescent="0.15"/>
    <row r="19456" s="69" customFormat="1" x14ac:dyDescent="0.15"/>
    <row r="19457" s="69" customFormat="1" x14ac:dyDescent="0.15"/>
    <row r="19458" s="69" customFormat="1" x14ac:dyDescent="0.15"/>
    <row r="19459" s="69" customFormat="1" x14ac:dyDescent="0.15"/>
    <row r="19460" s="69" customFormat="1" x14ac:dyDescent="0.15"/>
    <row r="19461" s="69" customFormat="1" x14ac:dyDescent="0.15"/>
    <row r="19462" s="69" customFormat="1" x14ac:dyDescent="0.15"/>
    <row r="19463" s="69" customFormat="1" x14ac:dyDescent="0.15"/>
    <row r="19464" s="69" customFormat="1" x14ac:dyDescent="0.15"/>
    <row r="19465" s="69" customFormat="1" x14ac:dyDescent="0.15"/>
    <row r="19466" s="69" customFormat="1" x14ac:dyDescent="0.15"/>
    <row r="19467" s="69" customFormat="1" x14ac:dyDescent="0.15"/>
    <row r="19468" s="69" customFormat="1" x14ac:dyDescent="0.15"/>
    <row r="19469" s="69" customFormat="1" x14ac:dyDescent="0.15"/>
    <row r="19470" s="69" customFormat="1" x14ac:dyDescent="0.15"/>
    <row r="19471" s="69" customFormat="1" x14ac:dyDescent="0.15"/>
    <row r="19472" s="69" customFormat="1" x14ac:dyDescent="0.15"/>
    <row r="19473" s="69" customFormat="1" x14ac:dyDescent="0.15"/>
    <row r="19474" s="69" customFormat="1" x14ac:dyDescent="0.15"/>
    <row r="19475" s="69" customFormat="1" x14ac:dyDescent="0.15"/>
    <row r="19476" s="69" customFormat="1" x14ac:dyDescent="0.15"/>
    <row r="19477" s="69" customFormat="1" x14ac:dyDescent="0.15"/>
    <row r="19478" s="69" customFormat="1" x14ac:dyDescent="0.15"/>
    <row r="19479" s="69" customFormat="1" x14ac:dyDescent="0.15"/>
    <row r="19480" s="69" customFormat="1" x14ac:dyDescent="0.15"/>
    <row r="19481" s="69" customFormat="1" x14ac:dyDescent="0.15"/>
    <row r="19482" s="69" customFormat="1" x14ac:dyDescent="0.15"/>
    <row r="19483" s="69" customFormat="1" x14ac:dyDescent="0.15"/>
    <row r="19484" s="69" customFormat="1" x14ac:dyDescent="0.15"/>
    <row r="19485" s="69" customFormat="1" x14ac:dyDescent="0.15"/>
    <row r="19486" s="69" customFormat="1" x14ac:dyDescent="0.15"/>
    <row r="19487" s="69" customFormat="1" x14ac:dyDescent="0.15"/>
    <row r="19488" s="69" customFormat="1" x14ac:dyDescent="0.15"/>
    <row r="19489" s="69" customFormat="1" x14ac:dyDescent="0.15"/>
    <row r="19490" s="69" customFormat="1" x14ac:dyDescent="0.15"/>
    <row r="19491" s="69" customFormat="1" x14ac:dyDescent="0.15"/>
    <row r="19492" s="69" customFormat="1" x14ac:dyDescent="0.15"/>
    <row r="19493" s="69" customFormat="1" x14ac:dyDescent="0.15"/>
    <row r="19494" s="69" customFormat="1" x14ac:dyDescent="0.15"/>
    <row r="19495" s="69" customFormat="1" x14ac:dyDescent="0.15"/>
    <row r="19496" s="69" customFormat="1" x14ac:dyDescent="0.15"/>
    <row r="19497" s="69" customFormat="1" x14ac:dyDescent="0.15"/>
    <row r="19498" s="69" customFormat="1" x14ac:dyDescent="0.15"/>
    <row r="19499" s="69" customFormat="1" x14ac:dyDescent="0.15"/>
    <row r="19500" s="69" customFormat="1" x14ac:dyDescent="0.15"/>
    <row r="19501" s="69" customFormat="1" x14ac:dyDescent="0.15"/>
    <row r="19502" s="69" customFormat="1" x14ac:dyDescent="0.15"/>
    <row r="19503" s="69" customFormat="1" x14ac:dyDescent="0.15"/>
    <row r="19504" s="69" customFormat="1" x14ac:dyDescent="0.15"/>
    <row r="19505" s="69" customFormat="1" x14ac:dyDescent="0.15"/>
    <row r="19506" s="69" customFormat="1" x14ac:dyDescent="0.15"/>
    <row r="19507" s="69" customFormat="1" x14ac:dyDescent="0.15"/>
    <row r="19508" s="69" customFormat="1" x14ac:dyDescent="0.15"/>
    <row r="19509" s="69" customFormat="1" x14ac:dyDescent="0.15"/>
    <row r="19510" s="69" customFormat="1" x14ac:dyDescent="0.15"/>
    <row r="19511" s="69" customFormat="1" x14ac:dyDescent="0.15"/>
    <row r="19512" s="69" customFormat="1" x14ac:dyDescent="0.15"/>
    <row r="19513" s="69" customFormat="1" x14ac:dyDescent="0.15"/>
    <row r="19514" s="69" customFormat="1" x14ac:dyDescent="0.15"/>
    <row r="19515" s="69" customFormat="1" x14ac:dyDescent="0.15"/>
    <row r="19516" s="69" customFormat="1" x14ac:dyDescent="0.15"/>
    <row r="19517" s="69" customFormat="1" x14ac:dyDescent="0.15"/>
    <row r="19518" s="69" customFormat="1" x14ac:dyDescent="0.15"/>
    <row r="19519" s="69" customFormat="1" x14ac:dyDescent="0.15"/>
    <row r="19520" s="69" customFormat="1" x14ac:dyDescent="0.15"/>
    <row r="19521" s="69" customFormat="1" x14ac:dyDescent="0.15"/>
    <row r="19522" s="69" customFormat="1" x14ac:dyDescent="0.15"/>
    <row r="19523" s="69" customFormat="1" x14ac:dyDescent="0.15"/>
    <row r="19524" s="69" customFormat="1" x14ac:dyDescent="0.15"/>
    <row r="19525" s="69" customFormat="1" x14ac:dyDescent="0.15"/>
    <row r="19526" s="69" customFormat="1" x14ac:dyDescent="0.15"/>
    <row r="19527" s="69" customFormat="1" x14ac:dyDescent="0.15"/>
    <row r="19528" s="69" customFormat="1" x14ac:dyDescent="0.15"/>
    <row r="19529" s="69" customFormat="1" x14ac:dyDescent="0.15"/>
    <row r="19530" s="69" customFormat="1" x14ac:dyDescent="0.15"/>
    <row r="19531" s="69" customFormat="1" x14ac:dyDescent="0.15"/>
    <row r="19532" s="69" customFormat="1" x14ac:dyDescent="0.15"/>
    <row r="19533" s="69" customFormat="1" x14ac:dyDescent="0.15"/>
    <row r="19534" s="69" customFormat="1" x14ac:dyDescent="0.15"/>
    <row r="19535" s="69" customFormat="1" x14ac:dyDescent="0.15"/>
    <row r="19536" s="69" customFormat="1" x14ac:dyDescent="0.15"/>
    <row r="19537" s="69" customFormat="1" x14ac:dyDescent="0.15"/>
    <row r="19538" s="69" customFormat="1" x14ac:dyDescent="0.15"/>
    <row r="19539" s="69" customFormat="1" x14ac:dyDescent="0.15"/>
    <row r="19540" s="69" customFormat="1" x14ac:dyDescent="0.15"/>
    <row r="19541" s="69" customFormat="1" x14ac:dyDescent="0.15"/>
    <row r="19542" s="69" customFormat="1" x14ac:dyDescent="0.15"/>
    <row r="19543" s="69" customFormat="1" x14ac:dyDescent="0.15"/>
    <row r="19544" s="69" customFormat="1" x14ac:dyDescent="0.15"/>
    <row r="19545" s="69" customFormat="1" x14ac:dyDescent="0.15"/>
    <row r="19546" s="69" customFormat="1" x14ac:dyDescent="0.15"/>
    <row r="19547" s="69" customFormat="1" x14ac:dyDescent="0.15"/>
    <row r="19548" s="69" customFormat="1" x14ac:dyDescent="0.15"/>
    <row r="19549" s="69" customFormat="1" x14ac:dyDescent="0.15"/>
    <row r="19550" s="69" customFormat="1" x14ac:dyDescent="0.15"/>
    <row r="19551" s="69" customFormat="1" x14ac:dyDescent="0.15"/>
    <row r="19552" s="69" customFormat="1" x14ac:dyDescent="0.15"/>
    <row r="19553" s="69" customFormat="1" x14ac:dyDescent="0.15"/>
    <row r="19554" s="69" customFormat="1" x14ac:dyDescent="0.15"/>
    <row r="19555" s="69" customFormat="1" x14ac:dyDescent="0.15"/>
    <row r="19556" s="69" customFormat="1" x14ac:dyDescent="0.15"/>
    <row r="19557" s="69" customFormat="1" x14ac:dyDescent="0.15"/>
    <row r="19558" s="69" customFormat="1" x14ac:dyDescent="0.15"/>
    <row r="19559" s="69" customFormat="1" x14ac:dyDescent="0.15"/>
    <row r="19560" s="69" customFormat="1" x14ac:dyDescent="0.15"/>
    <row r="19561" s="69" customFormat="1" x14ac:dyDescent="0.15"/>
    <row r="19562" s="69" customFormat="1" x14ac:dyDescent="0.15"/>
    <row r="19563" s="69" customFormat="1" x14ac:dyDescent="0.15"/>
    <row r="19564" s="69" customFormat="1" x14ac:dyDescent="0.15"/>
    <row r="19565" s="69" customFormat="1" x14ac:dyDescent="0.15"/>
    <row r="19566" s="69" customFormat="1" x14ac:dyDescent="0.15"/>
    <row r="19567" s="69" customFormat="1" x14ac:dyDescent="0.15"/>
    <row r="19568" s="69" customFormat="1" x14ac:dyDescent="0.15"/>
    <row r="19569" s="69" customFormat="1" x14ac:dyDescent="0.15"/>
    <row r="19570" s="69" customFormat="1" x14ac:dyDescent="0.15"/>
    <row r="19571" s="69" customFormat="1" x14ac:dyDescent="0.15"/>
    <row r="19572" s="69" customFormat="1" x14ac:dyDescent="0.15"/>
    <row r="19573" s="69" customFormat="1" x14ac:dyDescent="0.15"/>
    <row r="19574" s="69" customFormat="1" x14ac:dyDescent="0.15"/>
    <row r="19575" s="69" customFormat="1" x14ac:dyDescent="0.15"/>
    <row r="19576" s="69" customFormat="1" x14ac:dyDescent="0.15"/>
    <row r="19577" s="69" customFormat="1" x14ac:dyDescent="0.15"/>
    <row r="19578" s="69" customFormat="1" x14ac:dyDescent="0.15"/>
    <row r="19579" s="69" customFormat="1" x14ac:dyDescent="0.15"/>
    <row r="19580" s="69" customFormat="1" x14ac:dyDescent="0.15"/>
    <row r="19581" s="69" customFormat="1" x14ac:dyDescent="0.15"/>
    <row r="19582" s="69" customFormat="1" x14ac:dyDescent="0.15"/>
    <row r="19583" s="69" customFormat="1" x14ac:dyDescent="0.15"/>
    <row r="19584" s="69" customFormat="1" x14ac:dyDescent="0.15"/>
    <row r="19585" s="69" customFormat="1" x14ac:dyDescent="0.15"/>
    <row r="19586" s="69" customFormat="1" x14ac:dyDescent="0.15"/>
    <row r="19587" s="69" customFormat="1" x14ac:dyDescent="0.15"/>
    <row r="19588" s="69" customFormat="1" x14ac:dyDescent="0.15"/>
    <row r="19589" s="69" customFormat="1" x14ac:dyDescent="0.15"/>
    <row r="19590" s="69" customFormat="1" x14ac:dyDescent="0.15"/>
    <row r="19591" s="69" customFormat="1" x14ac:dyDescent="0.15"/>
    <row r="19592" s="69" customFormat="1" x14ac:dyDescent="0.15"/>
    <row r="19593" s="69" customFormat="1" x14ac:dyDescent="0.15"/>
    <row r="19594" s="69" customFormat="1" x14ac:dyDescent="0.15"/>
    <row r="19595" s="69" customFormat="1" x14ac:dyDescent="0.15"/>
    <row r="19596" s="69" customFormat="1" x14ac:dyDescent="0.15"/>
    <row r="19597" s="69" customFormat="1" x14ac:dyDescent="0.15"/>
    <row r="19598" s="69" customFormat="1" x14ac:dyDescent="0.15"/>
    <row r="19599" s="69" customFormat="1" x14ac:dyDescent="0.15"/>
    <row r="19600" s="69" customFormat="1" x14ac:dyDescent="0.15"/>
    <row r="19601" s="69" customFormat="1" x14ac:dyDescent="0.15"/>
    <row r="19602" s="69" customFormat="1" x14ac:dyDescent="0.15"/>
    <row r="19603" s="69" customFormat="1" x14ac:dyDescent="0.15"/>
    <row r="19604" s="69" customFormat="1" x14ac:dyDescent="0.15"/>
    <row r="19605" s="69" customFormat="1" x14ac:dyDescent="0.15"/>
    <row r="19606" s="69" customFormat="1" x14ac:dyDescent="0.15"/>
    <row r="19607" s="69" customFormat="1" x14ac:dyDescent="0.15"/>
    <row r="19608" s="69" customFormat="1" x14ac:dyDescent="0.15"/>
    <row r="19609" s="69" customFormat="1" x14ac:dyDescent="0.15"/>
    <row r="19610" s="69" customFormat="1" x14ac:dyDescent="0.15"/>
    <row r="19611" s="69" customFormat="1" x14ac:dyDescent="0.15"/>
    <row r="19612" s="69" customFormat="1" x14ac:dyDescent="0.15"/>
    <row r="19613" s="69" customFormat="1" x14ac:dyDescent="0.15"/>
    <row r="19614" s="69" customFormat="1" x14ac:dyDescent="0.15"/>
    <row r="19615" s="69" customFormat="1" x14ac:dyDescent="0.15"/>
    <row r="19616" s="69" customFormat="1" x14ac:dyDescent="0.15"/>
    <row r="19617" s="69" customFormat="1" x14ac:dyDescent="0.15"/>
    <row r="19618" s="69" customFormat="1" x14ac:dyDescent="0.15"/>
    <row r="19619" s="69" customFormat="1" x14ac:dyDescent="0.15"/>
    <row r="19620" s="69" customFormat="1" x14ac:dyDescent="0.15"/>
    <row r="19621" s="69" customFormat="1" x14ac:dyDescent="0.15"/>
    <row r="19622" s="69" customFormat="1" x14ac:dyDescent="0.15"/>
    <row r="19623" s="69" customFormat="1" x14ac:dyDescent="0.15"/>
    <row r="19624" s="69" customFormat="1" x14ac:dyDescent="0.15"/>
    <row r="19625" s="69" customFormat="1" x14ac:dyDescent="0.15"/>
    <row r="19626" s="69" customFormat="1" x14ac:dyDescent="0.15"/>
    <row r="19627" s="69" customFormat="1" x14ac:dyDescent="0.15"/>
    <row r="19628" s="69" customFormat="1" x14ac:dyDescent="0.15"/>
    <row r="19629" s="69" customFormat="1" x14ac:dyDescent="0.15"/>
    <row r="19630" s="69" customFormat="1" x14ac:dyDescent="0.15"/>
    <row r="19631" s="69" customFormat="1" x14ac:dyDescent="0.15"/>
    <row r="19632" s="69" customFormat="1" x14ac:dyDescent="0.15"/>
    <row r="19633" s="69" customFormat="1" x14ac:dyDescent="0.15"/>
    <row r="19634" s="69" customFormat="1" x14ac:dyDescent="0.15"/>
    <row r="19635" s="69" customFormat="1" x14ac:dyDescent="0.15"/>
    <row r="19636" s="69" customFormat="1" x14ac:dyDescent="0.15"/>
    <row r="19637" s="69" customFormat="1" x14ac:dyDescent="0.15"/>
    <row r="19638" s="69" customFormat="1" x14ac:dyDescent="0.15"/>
    <row r="19639" s="69" customFormat="1" x14ac:dyDescent="0.15"/>
    <row r="19640" s="69" customFormat="1" x14ac:dyDescent="0.15"/>
    <row r="19641" s="69" customFormat="1" x14ac:dyDescent="0.15"/>
    <row r="19642" s="69" customFormat="1" x14ac:dyDescent="0.15"/>
    <row r="19643" s="69" customFormat="1" x14ac:dyDescent="0.15"/>
    <row r="19644" s="69" customFormat="1" x14ac:dyDescent="0.15"/>
    <row r="19645" s="69" customFormat="1" x14ac:dyDescent="0.15"/>
    <row r="19646" s="69" customFormat="1" x14ac:dyDescent="0.15"/>
    <row r="19647" s="69" customFormat="1" x14ac:dyDescent="0.15"/>
    <row r="19648" s="69" customFormat="1" x14ac:dyDescent="0.15"/>
    <row r="19649" s="69" customFormat="1" x14ac:dyDescent="0.15"/>
    <row r="19650" s="69" customFormat="1" x14ac:dyDescent="0.15"/>
    <row r="19651" s="69" customFormat="1" x14ac:dyDescent="0.15"/>
    <row r="19652" s="69" customFormat="1" x14ac:dyDescent="0.15"/>
    <row r="19653" s="69" customFormat="1" x14ac:dyDescent="0.15"/>
    <row r="19654" s="69" customFormat="1" x14ac:dyDescent="0.15"/>
    <row r="19655" s="69" customFormat="1" x14ac:dyDescent="0.15"/>
    <row r="19656" s="69" customFormat="1" x14ac:dyDescent="0.15"/>
    <row r="19657" s="69" customFormat="1" x14ac:dyDescent="0.15"/>
    <row r="19658" s="69" customFormat="1" x14ac:dyDescent="0.15"/>
    <row r="19659" s="69" customFormat="1" x14ac:dyDescent="0.15"/>
    <row r="19660" s="69" customFormat="1" x14ac:dyDescent="0.15"/>
    <row r="19661" s="69" customFormat="1" x14ac:dyDescent="0.15"/>
    <row r="19662" s="69" customFormat="1" x14ac:dyDescent="0.15"/>
    <row r="19663" s="69" customFormat="1" x14ac:dyDescent="0.15"/>
    <row r="19664" s="69" customFormat="1" x14ac:dyDescent="0.15"/>
    <row r="19665" s="69" customFormat="1" x14ac:dyDescent="0.15"/>
    <row r="19666" s="69" customFormat="1" x14ac:dyDescent="0.15"/>
    <row r="19667" s="69" customFormat="1" x14ac:dyDescent="0.15"/>
    <row r="19668" s="69" customFormat="1" x14ac:dyDescent="0.15"/>
    <row r="19669" s="69" customFormat="1" x14ac:dyDescent="0.15"/>
    <row r="19670" s="69" customFormat="1" x14ac:dyDescent="0.15"/>
    <row r="19671" s="69" customFormat="1" x14ac:dyDescent="0.15"/>
    <row r="19672" s="69" customFormat="1" x14ac:dyDescent="0.15"/>
    <row r="19673" s="69" customFormat="1" x14ac:dyDescent="0.15"/>
    <row r="19674" s="69" customFormat="1" x14ac:dyDescent="0.15"/>
    <row r="19675" s="69" customFormat="1" x14ac:dyDescent="0.15"/>
    <row r="19676" s="69" customFormat="1" x14ac:dyDescent="0.15"/>
    <row r="19677" s="69" customFormat="1" x14ac:dyDescent="0.15"/>
    <row r="19678" s="69" customFormat="1" x14ac:dyDescent="0.15"/>
    <row r="19679" s="69" customFormat="1" x14ac:dyDescent="0.15"/>
    <row r="19680" s="69" customFormat="1" x14ac:dyDescent="0.15"/>
    <row r="19681" s="69" customFormat="1" x14ac:dyDescent="0.15"/>
    <row r="19682" s="69" customFormat="1" x14ac:dyDescent="0.15"/>
    <row r="19683" s="69" customFormat="1" x14ac:dyDescent="0.15"/>
    <row r="19684" s="69" customFormat="1" x14ac:dyDescent="0.15"/>
    <row r="19685" s="69" customFormat="1" x14ac:dyDescent="0.15"/>
    <row r="19686" s="69" customFormat="1" x14ac:dyDescent="0.15"/>
    <row r="19687" s="69" customFormat="1" x14ac:dyDescent="0.15"/>
    <row r="19688" s="69" customFormat="1" x14ac:dyDescent="0.15"/>
    <row r="19689" s="69" customFormat="1" x14ac:dyDescent="0.15"/>
    <row r="19690" s="69" customFormat="1" x14ac:dyDescent="0.15"/>
    <row r="19691" s="69" customFormat="1" x14ac:dyDescent="0.15"/>
    <row r="19692" s="69" customFormat="1" x14ac:dyDescent="0.15"/>
    <row r="19693" s="69" customFormat="1" x14ac:dyDescent="0.15"/>
    <row r="19694" s="69" customFormat="1" x14ac:dyDescent="0.15"/>
    <row r="19695" s="69" customFormat="1" x14ac:dyDescent="0.15"/>
    <row r="19696" s="69" customFormat="1" x14ac:dyDescent="0.15"/>
    <row r="19697" s="69" customFormat="1" x14ac:dyDescent="0.15"/>
    <row r="19698" s="69" customFormat="1" x14ac:dyDescent="0.15"/>
    <row r="19699" s="69" customFormat="1" x14ac:dyDescent="0.15"/>
    <row r="19700" s="69" customFormat="1" x14ac:dyDescent="0.15"/>
    <row r="19701" s="69" customFormat="1" x14ac:dyDescent="0.15"/>
    <row r="19702" s="69" customFormat="1" x14ac:dyDescent="0.15"/>
    <row r="19703" s="69" customFormat="1" x14ac:dyDescent="0.15"/>
    <row r="19704" s="69" customFormat="1" x14ac:dyDescent="0.15"/>
    <row r="19705" s="69" customFormat="1" x14ac:dyDescent="0.15"/>
    <row r="19706" s="69" customFormat="1" x14ac:dyDescent="0.15"/>
    <row r="19707" s="69" customFormat="1" x14ac:dyDescent="0.15"/>
    <row r="19708" s="69" customFormat="1" x14ac:dyDescent="0.15"/>
    <row r="19709" s="69" customFormat="1" x14ac:dyDescent="0.15"/>
    <row r="19710" s="69" customFormat="1" x14ac:dyDescent="0.15"/>
    <row r="19711" s="69" customFormat="1" x14ac:dyDescent="0.15"/>
    <row r="19712" s="69" customFormat="1" x14ac:dyDescent="0.15"/>
    <row r="19713" s="69" customFormat="1" x14ac:dyDescent="0.15"/>
    <row r="19714" s="69" customFormat="1" x14ac:dyDescent="0.15"/>
    <row r="19715" s="69" customFormat="1" x14ac:dyDescent="0.15"/>
    <row r="19716" s="69" customFormat="1" x14ac:dyDescent="0.15"/>
    <row r="19717" s="69" customFormat="1" x14ac:dyDescent="0.15"/>
    <row r="19718" s="69" customFormat="1" x14ac:dyDescent="0.15"/>
    <row r="19719" s="69" customFormat="1" x14ac:dyDescent="0.15"/>
    <row r="19720" s="69" customFormat="1" x14ac:dyDescent="0.15"/>
    <row r="19721" s="69" customFormat="1" x14ac:dyDescent="0.15"/>
    <row r="19722" s="69" customFormat="1" x14ac:dyDescent="0.15"/>
    <row r="19723" s="69" customFormat="1" x14ac:dyDescent="0.15"/>
    <row r="19724" s="69" customFormat="1" x14ac:dyDescent="0.15"/>
    <row r="19725" s="69" customFormat="1" x14ac:dyDescent="0.15"/>
    <row r="19726" s="69" customFormat="1" x14ac:dyDescent="0.15"/>
    <row r="19727" s="69" customFormat="1" x14ac:dyDescent="0.15"/>
    <row r="19728" s="69" customFormat="1" x14ac:dyDescent="0.15"/>
    <row r="19729" s="69" customFormat="1" x14ac:dyDescent="0.15"/>
    <row r="19730" s="69" customFormat="1" x14ac:dyDescent="0.15"/>
    <row r="19731" s="69" customFormat="1" x14ac:dyDescent="0.15"/>
    <row r="19732" s="69" customFormat="1" x14ac:dyDescent="0.15"/>
    <row r="19733" s="69" customFormat="1" x14ac:dyDescent="0.15"/>
    <row r="19734" s="69" customFormat="1" x14ac:dyDescent="0.15"/>
    <row r="19735" s="69" customFormat="1" x14ac:dyDescent="0.15"/>
    <row r="19736" s="69" customFormat="1" x14ac:dyDescent="0.15"/>
    <row r="19737" s="69" customFormat="1" x14ac:dyDescent="0.15"/>
    <row r="19738" s="69" customFormat="1" x14ac:dyDescent="0.15"/>
    <row r="19739" s="69" customFormat="1" x14ac:dyDescent="0.15"/>
    <row r="19740" s="69" customFormat="1" x14ac:dyDescent="0.15"/>
    <row r="19741" s="69" customFormat="1" x14ac:dyDescent="0.15"/>
    <row r="19742" s="69" customFormat="1" x14ac:dyDescent="0.15"/>
    <row r="19743" s="69" customFormat="1" x14ac:dyDescent="0.15"/>
    <row r="19744" s="69" customFormat="1" x14ac:dyDescent="0.15"/>
    <row r="19745" s="69" customFormat="1" x14ac:dyDescent="0.15"/>
    <row r="19746" s="69" customFormat="1" x14ac:dyDescent="0.15"/>
    <row r="19747" s="69" customFormat="1" x14ac:dyDescent="0.15"/>
    <row r="19748" s="69" customFormat="1" x14ac:dyDescent="0.15"/>
    <row r="19749" s="69" customFormat="1" x14ac:dyDescent="0.15"/>
    <row r="19750" s="69" customFormat="1" x14ac:dyDescent="0.15"/>
    <row r="19751" s="69" customFormat="1" x14ac:dyDescent="0.15"/>
    <row r="19752" s="69" customFormat="1" x14ac:dyDescent="0.15"/>
    <row r="19753" s="69" customFormat="1" x14ac:dyDescent="0.15"/>
    <row r="19754" s="69" customFormat="1" x14ac:dyDescent="0.15"/>
    <row r="19755" s="69" customFormat="1" x14ac:dyDescent="0.15"/>
    <row r="19756" s="69" customFormat="1" x14ac:dyDescent="0.15"/>
    <row r="19757" s="69" customFormat="1" x14ac:dyDescent="0.15"/>
    <row r="19758" s="69" customFormat="1" x14ac:dyDescent="0.15"/>
    <row r="19759" s="69" customFormat="1" x14ac:dyDescent="0.15"/>
    <row r="19760" s="69" customFormat="1" x14ac:dyDescent="0.15"/>
    <row r="19761" s="69" customFormat="1" x14ac:dyDescent="0.15"/>
    <row r="19762" s="69" customFormat="1" x14ac:dyDescent="0.15"/>
    <row r="19763" s="69" customFormat="1" x14ac:dyDescent="0.15"/>
    <row r="19764" s="69" customFormat="1" x14ac:dyDescent="0.15"/>
    <row r="19765" s="69" customFormat="1" x14ac:dyDescent="0.15"/>
    <row r="19766" s="69" customFormat="1" x14ac:dyDescent="0.15"/>
    <row r="19767" s="69" customFormat="1" x14ac:dyDescent="0.15"/>
    <row r="19768" s="69" customFormat="1" x14ac:dyDescent="0.15"/>
    <row r="19769" s="69" customFormat="1" x14ac:dyDescent="0.15"/>
    <row r="19770" s="69" customFormat="1" x14ac:dyDescent="0.15"/>
    <row r="19771" s="69" customFormat="1" x14ac:dyDescent="0.15"/>
    <row r="19772" s="69" customFormat="1" x14ac:dyDescent="0.15"/>
    <row r="19773" s="69" customFormat="1" x14ac:dyDescent="0.15"/>
    <row r="19774" s="69" customFormat="1" x14ac:dyDescent="0.15"/>
    <row r="19775" s="69" customFormat="1" x14ac:dyDescent="0.15"/>
    <row r="19776" s="69" customFormat="1" x14ac:dyDescent="0.15"/>
    <row r="19777" s="69" customFormat="1" x14ac:dyDescent="0.15"/>
    <row r="19778" s="69" customFormat="1" x14ac:dyDescent="0.15"/>
    <row r="19779" s="69" customFormat="1" x14ac:dyDescent="0.15"/>
    <row r="19780" s="69" customFormat="1" x14ac:dyDescent="0.15"/>
    <row r="19781" s="69" customFormat="1" x14ac:dyDescent="0.15"/>
    <row r="19782" s="69" customFormat="1" x14ac:dyDescent="0.15"/>
    <row r="19783" s="69" customFormat="1" x14ac:dyDescent="0.15"/>
    <row r="19784" s="69" customFormat="1" x14ac:dyDescent="0.15"/>
    <row r="19785" s="69" customFormat="1" x14ac:dyDescent="0.15"/>
    <row r="19786" s="69" customFormat="1" x14ac:dyDescent="0.15"/>
    <row r="19787" s="69" customFormat="1" x14ac:dyDescent="0.15"/>
    <row r="19788" s="69" customFormat="1" x14ac:dyDescent="0.15"/>
    <row r="19789" s="69" customFormat="1" x14ac:dyDescent="0.15"/>
    <row r="19790" s="69" customFormat="1" x14ac:dyDescent="0.15"/>
    <row r="19791" s="69" customFormat="1" x14ac:dyDescent="0.15"/>
    <row r="19792" s="69" customFormat="1" x14ac:dyDescent="0.15"/>
    <row r="19793" s="69" customFormat="1" x14ac:dyDescent="0.15"/>
    <row r="19794" s="69" customFormat="1" x14ac:dyDescent="0.15"/>
    <row r="19795" s="69" customFormat="1" x14ac:dyDescent="0.15"/>
    <row r="19796" s="69" customFormat="1" x14ac:dyDescent="0.15"/>
    <row r="19797" s="69" customFormat="1" x14ac:dyDescent="0.15"/>
    <row r="19798" s="69" customFormat="1" x14ac:dyDescent="0.15"/>
    <row r="19799" s="69" customFormat="1" x14ac:dyDescent="0.15"/>
    <row r="19800" s="69" customFormat="1" x14ac:dyDescent="0.15"/>
    <row r="19801" s="69" customFormat="1" x14ac:dyDescent="0.15"/>
    <row r="19802" s="69" customFormat="1" x14ac:dyDescent="0.15"/>
    <row r="19803" s="69" customFormat="1" x14ac:dyDescent="0.15"/>
    <row r="19804" s="69" customFormat="1" x14ac:dyDescent="0.15"/>
    <row r="19805" s="69" customFormat="1" x14ac:dyDescent="0.15"/>
    <row r="19806" s="69" customFormat="1" x14ac:dyDescent="0.15"/>
    <row r="19807" s="69" customFormat="1" x14ac:dyDescent="0.15"/>
    <row r="19808" s="69" customFormat="1" x14ac:dyDescent="0.15"/>
    <row r="19809" s="69" customFormat="1" x14ac:dyDescent="0.15"/>
    <row r="19810" s="69" customFormat="1" x14ac:dyDescent="0.15"/>
    <row r="19811" s="69" customFormat="1" x14ac:dyDescent="0.15"/>
    <row r="19812" s="69" customFormat="1" x14ac:dyDescent="0.15"/>
    <row r="19813" s="69" customFormat="1" x14ac:dyDescent="0.15"/>
    <row r="19814" s="69" customFormat="1" x14ac:dyDescent="0.15"/>
    <row r="19815" s="69" customFormat="1" x14ac:dyDescent="0.15"/>
    <row r="19816" s="69" customFormat="1" x14ac:dyDescent="0.15"/>
    <row r="19817" s="69" customFormat="1" x14ac:dyDescent="0.15"/>
    <row r="19818" s="69" customFormat="1" x14ac:dyDescent="0.15"/>
    <row r="19819" s="69" customFormat="1" x14ac:dyDescent="0.15"/>
    <row r="19820" s="69" customFormat="1" x14ac:dyDescent="0.15"/>
    <row r="19821" s="69" customFormat="1" x14ac:dyDescent="0.15"/>
    <row r="19822" s="69" customFormat="1" x14ac:dyDescent="0.15"/>
    <row r="19823" s="69" customFormat="1" x14ac:dyDescent="0.15"/>
    <row r="19824" s="69" customFormat="1" x14ac:dyDescent="0.15"/>
    <row r="19825" s="69" customFormat="1" x14ac:dyDescent="0.15"/>
    <row r="19826" s="69" customFormat="1" x14ac:dyDescent="0.15"/>
    <row r="19827" s="69" customFormat="1" x14ac:dyDescent="0.15"/>
    <row r="19828" s="69" customFormat="1" x14ac:dyDescent="0.15"/>
    <row r="19829" s="69" customFormat="1" x14ac:dyDescent="0.15"/>
    <row r="19830" s="69" customFormat="1" x14ac:dyDescent="0.15"/>
    <row r="19831" s="69" customFormat="1" x14ac:dyDescent="0.15"/>
    <row r="19832" s="69" customFormat="1" x14ac:dyDescent="0.15"/>
    <row r="19833" s="69" customFormat="1" x14ac:dyDescent="0.15"/>
    <row r="19834" s="69" customFormat="1" x14ac:dyDescent="0.15"/>
    <row r="19835" s="69" customFormat="1" x14ac:dyDescent="0.15"/>
    <row r="19836" s="69" customFormat="1" x14ac:dyDescent="0.15"/>
    <row r="19837" s="69" customFormat="1" x14ac:dyDescent="0.15"/>
    <row r="19838" s="69" customFormat="1" x14ac:dyDescent="0.15"/>
    <row r="19839" s="69" customFormat="1" x14ac:dyDescent="0.15"/>
    <row r="19840" s="69" customFormat="1" x14ac:dyDescent="0.15"/>
    <row r="19841" s="69" customFormat="1" x14ac:dyDescent="0.15"/>
    <row r="19842" s="69" customFormat="1" x14ac:dyDescent="0.15"/>
    <row r="19843" s="69" customFormat="1" x14ac:dyDescent="0.15"/>
    <row r="19844" s="69" customFormat="1" x14ac:dyDescent="0.15"/>
    <row r="19845" s="69" customFormat="1" x14ac:dyDescent="0.15"/>
    <row r="19846" s="69" customFormat="1" x14ac:dyDescent="0.15"/>
    <row r="19847" s="69" customFormat="1" x14ac:dyDescent="0.15"/>
    <row r="19848" s="69" customFormat="1" x14ac:dyDescent="0.15"/>
    <row r="19849" s="69" customFormat="1" x14ac:dyDescent="0.15"/>
    <row r="19850" s="69" customFormat="1" x14ac:dyDescent="0.15"/>
    <row r="19851" s="69" customFormat="1" x14ac:dyDescent="0.15"/>
    <row r="19852" s="69" customFormat="1" x14ac:dyDescent="0.15"/>
    <row r="19853" s="69" customFormat="1" x14ac:dyDescent="0.15"/>
    <row r="19854" s="69" customFormat="1" x14ac:dyDescent="0.15"/>
    <row r="19855" s="69" customFormat="1" x14ac:dyDescent="0.15"/>
    <row r="19856" s="69" customFormat="1" x14ac:dyDescent="0.15"/>
    <row r="19857" s="69" customFormat="1" x14ac:dyDescent="0.15"/>
    <row r="19858" s="69" customFormat="1" x14ac:dyDescent="0.15"/>
    <row r="19859" s="69" customFormat="1" x14ac:dyDescent="0.15"/>
    <row r="19860" s="69" customFormat="1" x14ac:dyDescent="0.15"/>
    <row r="19861" s="69" customFormat="1" x14ac:dyDescent="0.15"/>
    <row r="19862" s="69" customFormat="1" x14ac:dyDescent="0.15"/>
    <row r="19863" s="69" customFormat="1" x14ac:dyDescent="0.15"/>
    <row r="19864" s="69" customFormat="1" x14ac:dyDescent="0.15"/>
    <row r="19865" s="69" customFormat="1" x14ac:dyDescent="0.15"/>
    <row r="19866" s="69" customFormat="1" x14ac:dyDescent="0.15"/>
    <row r="19867" s="69" customFormat="1" x14ac:dyDescent="0.15"/>
    <row r="19868" s="69" customFormat="1" x14ac:dyDescent="0.15"/>
    <row r="19869" s="69" customFormat="1" x14ac:dyDescent="0.15"/>
    <row r="19870" s="69" customFormat="1" x14ac:dyDescent="0.15"/>
    <row r="19871" s="69" customFormat="1" x14ac:dyDescent="0.15"/>
    <row r="19872" s="69" customFormat="1" x14ac:dyDescent="0.15"/>
    <row r="19873" s="69" customFormat="1" x14ac:dyDescent="0.15"/>
    <row r="19874" s="69" customFormat="1" x14ac:dyDescent="0.15"/>
    <row r="19875" s="69" customFormat="1" x14ac:dyDescent="0.15"/>
    <row r="19876" s="69" customFormat="1" x14ac:dyDescent="0.15"/>
    <row r="19877" s="69" customFormat="1" x14ac:dyDescent="0.15"/>
    <row r="19878" s="69" customFormat="1" x14ac:dyDescent="0.15"/>
    <row r="19879" s="69" customFormat="1" x14ac:dyDescent="0.15"/>
    <row r="19880" s="69" customFormat="1" x14ac:dyDescent="0.15"/>
    <row r="19881" s="69" customFormat="1" x14ac:dyDescent="0.15"/>
    <row r="19882" s="69" customFormat="1" x14ac:dyDescent="0.15"/>
    <row r="19883" s="69" customFormat="1" x14ac:dyDescent="0.15"/>
    <row r="19884" s="69" customFormat="1" x14ac:dyDescent="0.15"/>
    <row r="19885" s="69" customFormat="1" x14ac:dyDescent="0.15"/>
    <row r="19886" s="69" customFormat="1" x14ac:dyDescent="0.15"/>
    <row r="19887" s="69" customFormat="1" x14ac:dyDescent="0.15"/>
    <row r="19888" s="69" customFormat="1" x14ac:dyDescent="0.15"/>
    <row r="19889" s="69" customFormat="1" x14ac:dyDescent="0.15"/>
    <row r="19890" s="69" customFormat="1" x14ac:dyDescent="0.15"/>
    <row r="19891" s="69" customFormat="1" x14ac:dyDescent="0.15"/>
    <row r="19892" s="69" customFormat="1" x14ac:dyDescent="0.15"/>
    <row r="19893" s="69" customFormat="1" x14ac:dyDescent="0.15"/>
    <row r="19894" s="69" customFormat="1" x14ac:dyDescent="0.15"/>
    <row r="19895" s="69" customFormat="1" x14ac:dyDescent="0.15"/>
    <row r="19896" s="69" customFormat="1" x14ac:dyDescent="0.15"/>
    <row r="19897" s="69" customFormat="1" x14ac:dyDescent="0.15"/>
    <row r="19898" s="69" customFormat="1" x14ac:dyDescent="0.15"/>
    <row r="19899" s="69" customFormat="1" x14ac:dyDescent="0.15"/>
    <row r="19900" s="69" customFormat="1" x14ac:dyDescent="0.15"/>
    <row r="19901" s="69" customFormat="1" x14ac:dyDescent="0.15"/>
    <row r="19902" s="69" customFormat="1" x14ac:dyDescent="0.15"/>
    <row r="19903" s="69" customFormat="1" x14ac:dyDescent="0.15"/>
    <row r="19904" s="69" customFormat="1" x14ac:dyDescent="0.15"/>
    <row r="19905" s="69" customFormat="1" x14ac:dyDescent="0.15"/>
    <row r="19906" s="69" customFormat="1" x14ac:dyDescent="0.15"/>
    <row r="19907" s="69" customFormat="1" x14ac:dyDescent="0.15"/>
    <row r="19908" s="69" customFormat="1" x14ac:dyDescent="0.15"/>
    <row r="19909" s="69" customFormat="1" x14ac:dyDescent="0.15"/>
    <row r="19910" s="69" customFormat="1" x14ac:dyDescent="0.15"/>
    <row r="19911" s="69" customFormat="1" x14ac:dyDescent="0.15"/>
    <row r="19912" s="69" customFormat="1" x14ac:dyDescent="0.15"/>
    <row r="19913" s="69" customFormat="1" x14ac:dyDescent="0.15"/>
    <row r="19914" s="69" customFormat="1" x14ac:dyDescent="0.15"/>
    <row r="19915" s="69" customFormat="1" x14ac:dyDescent="0.15"/>
    <row r="19916" s="69" customFormat="1" x14ac:dyDescent="0.15"/>
    <row r="19917" s="69" customFormat="1" x14ac:dyDescent="0.15"/>
    <row r="19918" s="69" customFormat="1" x14ac:dyDescent="0.15"/>
    <row r="19919" s="69" customFormat="1" x14ac:dyDescent="0.15"/>
    <row r="19920" s="69" customFormat="1" x14ac:dyDescent="0.15"/>
    <row r="19921" s="69" customFormat="1" x14ac:dyDescent="0.15"/>
    <row r="19922" s="69" customFormat="1" x14ac:dyDescent="0.15"/>
    <row r="19923" s="69" customFormat="1" x14ac:dyDescent="0.15"/>
    <row r="19924" s="69" customFormat="1" x14ac:dyDescent="0.15"/>
    <row r="19925" s="69" customFormat="1" x14ac:dyDescent="0.15"/>
    <row r="19926" s="69" customFormat="1" x14ac:dyDescent="0.15"/>
    <row r="19927" s="69" customFormat="1" x14ac:dyDescent="0.15"/>
    <row r="19928" s="69" customFormat="1" x14ac:dyDescent="0.15"/>
    <row r="19929" s="69" customFormat="1" x14ac:dyDescent="0.15"/>
    <row r="19930" s="69" customFormat="1" x14ac:dyDescent="0.15"/>
    <row r="19931" s="69" customFormat="1" x14ac:dyDescent="0.15"/>
    <row r="19932" s="69" customFormat="1" x14ac:dyDescent="0.15"/>
    <row r="19933" s="69" customFormat="1" x14ac:dyDescent="0.15"/>
    <row r="19934" s="69" customFormat="1" x14ac:dyDescent="0.15"/>
    <row r="19935" s="69" customFormat="1" x14ac:dyDescent="0.15"/>
    <row r="19936" s="69" customFormat="1" x14ac:dyDescent="0.15"/>
    <row r="19937" s="69" customFormat="1" x14ac:dyDescent="0.15"/>
    <row r="19938" s="69" customFormat="1" x14ac:dyDescent="0.15"/>
    <row r="19939" s="69" customFormat="1" x14ac:dyDescent="0.15"/>
    <row r="19940" s="69" customFormat="1" x14ac:dyDescent="0.15"/>
    <row r="19941" s="69" customFormat="1" x14ac:dyDescent="0.15"/>
    <row r="19942" s="69" customFormat="1" x14ac:dyDescent="0.15"/>
    <row r="19943" s="69" customFormat="1" x14ac:dyDescent="0.15"/>
    <row r="19944" s="69" customFormat="1" x14ac:dyDescent="0.15"/>
    <row r="19945" s="69" customFormat="1" x14ac:dyDescent="0.15"/>
    <row r="19946" s="69" customFormat="1" x14ac:dyDescent="0.15"/>
    <row r="19947" s="69" customFormat="1" x14ac:dyDescent="0.15"/>
    <row r="19948" s="69" customFormat="1" x14ac:dyDescent="0.15"/>
    <row r="19949" s="69" customFormat="1" x14ac:dyDescent="0.15"/>
    <row r="19950" s="69" customFormat="1" x14ac:dyDescent="0.15"/>
    <row r="19951" s="69" customFormat="1" x14ac:dyDescent="0.15"/>
    <row r="19952" s="69" customFormat="1" x14ac:dyDescent="0.15"/>
    <row r="19953" s="69" customFormat="1" x14ac:dyDescent="0.15"/>
    <row r="19954" s="69" customFormat="1" x14ac:dyDescent="0.15"/>
    <row r="19955" s="69" customFormat="1" x14ac:dyDescent="0.15"/>
    <row r="19956" s="69" customFormat="1" x14ac:dyDescent="0.15"/>
    <row r="19957" s="69" customFormat="1" x14ac:dyDescent="0.15"/>
    <row r="19958" s="69" customFormat="1" x14ac:dyDescent="0.15"/>
    <row r="19959" s="69" customFormat="1" x14ac:dyDescent="0.15"/>
    <row r="19960" s="69" customFormat="1" x14ac:dyDescent="0.15"/>
    <row r="19961" s="69" customFormat="1" x14ac:dyDescent="0.15"/>
    <row r="19962" s="69" customFormat="1" x14ac:dyDescent="0.15"/>
    <row r="19963" s="69" customFormat="1" x14ac:dyDescent="0.15"/>
    <row r="19964" s="69" customFormat="1" x14ac:dyDescent="0.15"/>
    <row r="19965" s="69" customFormat="1" x14ac:dyDescent="0.15"/>
    <row r="19966" s="69" customFormat="1" x14ac:dyDescent="0.15"/>
    <row r="19967" s="69" customFormat="1" x14ac:dyDescent="0.15"/>
    <row r="19968" s="69" customFormat="1" x14ac:dyDescent="0.15"/>
    <row r="19969" s="69" customFormat="1" x14ac:dyDescent="0.15"/>
    <row r="19970" s="69" customFormat="1" x14ac:dyDescent="0.15"/>
    <row r="19971" s="69" customFormat="1" x14ac:dyDescent="0.15"/>
    <row r="19972" s="69" customFormat="1" x14ac:dyDescent="0.15"/>
    <row r="19973" s="69" customFormat="1" x14ac:dyDescent="0.15"/>
    <row r="19974" s="69" customFormat="1" x14ac:dyDescent="0.15"/>
    <row r="19975" s="69" customFormat="1" x14ac:dyDescent="0.15"/>
    <row r="19976" s="69" customFormat="1" x14ac:dyDescent="0.15"/>
    <row r="19977" s="69" customFormat="1" x14ac:dyDescent="0.15"/>
    <row r="19978" s="69" customFormat="1" x14ac:dyDescent="0.15"/>
    <row r="19979" s="69" customFormat="1" x14ac:dyDescent="0.15"/>
    <row r="19980" s="69" customFormat="1" x14ac:dyDescent="0.15"/>
    <row r="19981" s="69" customFormat="1" x14ac:dyDescent="0.15"/>
    <row r="19982" s="69" customFormat="1" x14ac:dyDescent="0.15"/>
    <row r="19983" s="69" customFormat="1" x14ac:dyDescent="0.15"/>
    <row r="19984" s="69" customFormat="1" x14ac:dyDescent="0.15"/>
    <row r="19985" s="69" customFormat="1" x14ac:dyDescent="0.15"/>
    <row r="19986" s="69" customFormat="1" x14ac:dyDescent="0.15"/>
    <row r="19987" s="69" customFormat="1" x14ac:dyDescent="0.15"/>
    <row r="19988" s="69" customFormat="1" x14ac:dyDescent="0.15"/>
    <row r="19989" s="69" customFormat="1" x14ac:dyDescent="0.15"/>
    <row r="19990" s="69" customFormat="1" x14ac:dyDescent="0.15"/>
    <row r="19991" s="69" customFormat="1" x14ac:dyDescent="0.15"/>
    <row r="19992" s="69" customFormat="1" x14ac:dyDescent="0.15"/>
    <row r="19993" s="69" customFormat="1" x14ac:dyDescent="0.15"/>
    <row r="19994" s="69" customFormat="1" x14ac:dyDescent="0.15"/>
    <row r="19995" s="69" customFormat="1" x14ac:dyDescent="0.15"/>
    <row r="19996" s="69" customFormat="1" x14ac:dyDescent="0.15"/>
    <row r="19997" s="69" customFormat="1" x14ac:dyDescent="0.15"/>
    <row r="19998" s="69" customFormat="1" x14ac:dyDescent="0.15"/>
    <row r="19999" s="69" customFormat="1" x14ac:dyDescent="0.15"/>
    <row r="20000" s="69" customFormat="1" x14ac:dyDescent="0.15"/>
    <row r="20001" s="69" customFormat="1" x14ac:dyDescent="0.15"/>
    <row r="20002" s="69" customFormat="1" x14ac:dyDescent="0.15"/>
    <row r="20003" s="69" customFormat="1" x14ac:dyDescent="0.15"/>
    <row r="20004" s="69" customFormat="1" x14ac:dyDescent="0.15"/>
    <row r="20005" s="69" customFormat="1" x14ac:dyDescent="0.15"/>
    <row r="20006" s="69" customFormat="1" x14ac:dyDescent="0.15"/>
    <row r="20007" s="69" customFormat="1" x14ac:dyDescent="0.15"/>
    <row r="20008" s="69" customFormat="1" x14ac:dyDescent="0.15"/>
    <row r="20009" s="69" customFormat="1" x14ac:dyDescent="0.15"/>
    <row r="20010" s="69" customFormat="1" x14ac:dyDescent="0.15"/>
    <row r="20011" s="69" customFormat="1" x14ac:dyDescent="0.15"/>
    <row r="20012" s="69" customFormat="1" x14ac:dyDescent="0.15"/>
    <row r="20013" s="69" customFormat="1" x14ac:dyDescent="0.15"/>
    <row r="20014" s="69" customFormat="1" x14ac:dyDescent="0.15"/>
    <row r="20015" s="69" customFormat="1" x14ac:dyDescent="0.15"/>
    <row r="20016" s="69" customFormat="1" x14ac:dyDescent="0.15"/>
    <row r="20017" s="69" customFormat="1" x14ac:dyDescent="0.15"/>
    <row r="20018" s="69" customFormat="1" x14ac:dyDescent="0.15"/>
    <row r="20019" s="69" customFormat="1" x14ac:dyDescent="0.15"/>
    <row r="20020" s="69" customFormat="1" x14ac:dyDescent="0.15"/>
    <row r="20021" s="69" customFormat="1" x14ac:dyDescent="0.15"/>
    <row r="20022" s="69" customFormat="1" x14ac:dyDescent="0.15"/>
    <row r="20023" s="69" customFormat="1" x14ac:dyDescent="0.15"/>
    <row r="20024" s="69" customFormat="1" x14ac:dyDescent="0.15"/>
    <row r="20025" s="69" customFormat="1" x14ac:dyDescent="0.15"/>
    <row r="20026" s="69" customFormat="1" x14ac:dyDescent="0.15"/>
    <row r="20027" s="69" customFormat="1" x14ac:dyDescent="0.15"/>
    <row r="20028" s="69" customFormat="1" x14ac:dyDescent="0.15"/>
    <row r="20029" s="69" customFormat="1" x14ac:dyDescent="0.15"/>
    <row r="20030" s="69" customFormat="1" x14ac:dyDescent="0.15"/>
    <row r="20031" s="69" customFormat="1" x14ac:dyDescent="0.15"/>
    <row r="20032" s="69" customFormat="1" x14ac:dyDescent="0.15"/>
    <row r="20033" s="69" customFormat="1" x14ac:dyDescent="0.15"/>
    <row r="20034" s="69" customFormat="1" x14ac:dyDescent="0.15"/>
    <row r="20035" s="69" customFormat="1" x14ac:dyDescent="0.15"/>
    <row r="20036" s="69" customFormat="1" x14ac:dyDescent="0.15"/>
    <row r="20037" s="69" customFormat="1" x14ac:dyDescent="0.15"/>
    <row r="20038" s="69" customFormat="1" x14ac:dyDescent="0.15"/>
    <row r="20039" s="69" customFormat="1" x14ac:dyDescent="0.15"/>
    <row r="20040" s="69" customFormat="1" x14ac:dyDescent="0.15"/>
    <row r="20041" s="69" customFormat="1" x14ac:dyDescent="0.15"/>
    <row r="20042" s="69" customFormat="1" x14ac:dyDescent="0.15"/>
    <row r="20043" s="69" customFormat="1" x14ac:dyDescent="0.15"/>
    <row r="20044" s="69" customFormat="1" x14ac:dyDescent="0.15"/>
    <row r="20045" s="69" customFormat="1" x14ac:dyDescent="0.15"/>
    <row r="20046" s="69" customFormat="1" x14ac:dyDescent="0.15"/>
    <row r="20047" s="69" customFormat="1" x14ac:dyDescent="0.15"/>
    <row r="20048" s="69" customFormat="1" x14ac:dyDescent="0.15"/>
    <row r="20049" s="69" customFormat="1" x14ac:dyDescent="0.15"/>
    <row r="20050" s="69" customFormat="1" x14ac:dyDescent="0.15"/>
    <row r="20051" s="69" customFormat="1" x14ac:dyDescent="0.15"/>
    <row r="20052" s="69" customFormat="1" x14ac:dyDescent="0.15"/>
    <row r="20053" s="69" customFormat="1" x14ac:dyDescent="0.15"/>
    <row r="20054" s="69" customFormat="1" x14ac:dyDescent="0.15"/>
    <row r="20055" s="69" customFormat="1" x14ac:dyDescent="0.15"/>
    <row r="20056" s="69" customFormat="1" x14ac:dyDescent="0.15"/>
    <row r="20057" s="69" customFormat="1" x14ac:dyDescent="0.15"/>
    <row r="20058" s="69" customFormat="1" x14ac:dyDescent="0.15"/>
    <row r="20059" s="69" customFormat="1" x14ac:dyDescent="0.15"/>
    <row r="20060" s="69" customFormat="1" x14ac:dyDescent="0.15"/>
    <row r="20061" s="69" customFormat="1" x14ac:dyDescent="0.15"/>
    <row r="20062" s="69" customFormat="1" x14ac:dyDescent="0.15"/>
    <row r="20063" s="69" customFormat="1" x14ac:dyDescent="0.15"/>
    <row r="20064" s="69" customFormat="1" x14ac:dyDescent="0.15"/>
    <row r="20065" s="69" customFormat="1" x14ac:dyDescent="0.15"/>
    <row r="20066" s="69" customFormat="1" x14ac:dyDescent="0.15"/>
    <row r="20067" s="69" customFormat="1" x14ac:dyDescent="0.15"/>
    <row r="20068" s="69" customFormat="1" x14ac:dyDescent="0.15"/>
    <row r="20069" s="69" customFormat="1" x14ac:dyDescent="0.15"/>
    <row r="20070" s="69" customFormat="1" x14ac:dyDescent="0.15"/>
    <row r="20071" s="69" customFormat="1" x14ac:dyDescent="0.15"/>
    <row r="20072" s="69" customFormat="1" x14ac:dyDescent="0.15"/>
    <row r="20073" s="69" customFormat="1" x14ac:dyDescent="0.15"/>
    <row r="20074" s="69" customFormat="1" x14ac:dyDescent="0.15"/>
    <row r="20075" s="69" customFormat="1" x14ac:dyDescent="0.15"/>
    <row r="20076" s="69" customFormat="1" x14ac:dyDescent="0.15"/>
    <row r="20077" s="69" customFormat="1" x14ac:dyDescent="0.15"/>
    <row r="20078" s="69" customFormat="1" x14ac:dyDescent="0.15"/>
    <row r="20079" s="69" customFormat="1" x14ac:dyDescent="0.15"/>
    <row r="20080" s="69" customFormat="1" x14ac:dyDescent="0.15"/>
    <row r="20081" s="69" customFormat="1" x14ac:dyDescent="0.15"/>
    <row r="20082" s="69" customFormat="1" x14ac:dyDescent="0.15"/>
    <row r="20083" s="69" customFormat="1" x14ac:dyDescent="0.15"/>
    <row r="20084" s="69" customFormat="1" x14ac:dyDescent="0.15"/>
    <row r="20085" s="69" customFormat="1" x14ac:dyDescent="0.15"/>
    <row r="20086" s="69" customFormat="1" x14ac:dyDescent="0.15"/>
    <row r="20087" s="69" customFormat="1" x14ac:dyDescent="0.15"/>
    <row r="20088" s="69" customFormat="1" x14ac:dyDescent="0.15"/>
    <row r="20089" s="69" customFormat="1" x14ac:dyDescent="0.15"/>
    <row r="20090" s="69" customFormat="1" x14ac:dyDescent="0.15"/>
    <row r="20091" s="69" customFormat="1" x14ac:dyDescent="0.15"/>
    <row r="20092" s="69" customFormat="1" x14ac:dyDescent="0.15"/>
    <row r="20093" s="69" customFormat="1" x14ac:dyDescent="0.15"/>
    <row r="20094" s="69" customFormat="1" x14ac:dyDescent="0.15"/>
    <row r="20095" s="69" customFormat="1" x14ac:dyDescent="0.15"/>
    <row r="20096" s="69" customFormat="1" x14ac:dyDescent="0.15"/>
    <row r="20097" s="69" customFormat="1" x14ac:dyDescent="0.15"/>
    <row r="20098" s="69" customFormat="1" x14ac:dyDescent="0.15"/>
    <row r="20099" s="69" customFormat="1" x14ac:dyDescent="0.15"/>
    <row r="20100" s="69" customFormat="1" x14ac:dyDescent="0.15"/>
    <row r="20101" s="69" customFormat="1" x14ac:dyDescent="0.15"/>
    <row r="20102" s="69" customFormat="1" x14ac:dyDescent="0.15"/>
    <row r="20103" s="69" customFormat="1" x14ac:dyDescent="0.15"/>
    <row r="20104" s="69" customFormat="1" x14ac:dyDescent="0.15"/>
    <row r="20105" s="69" customFormat="1" x14ac:dyDescent="0.15"/>
    <row r="20106" s="69" customFormat="1" x14ac:dyDescent="0.15"/>
    <row r="20107" s="69" customFormat="1" x14ac:dyDescent="0.15"/>
    <row r="20108" s="69" customFormat="1" x14ac:dyDescent="0.15"/>
    <row r="20109" s="69" customFormat="1" x14ac:dyDescent="0.15"/>
    <row r="20110" s="69" customFormat="1" x14ac:dyDescent="0.15"/>
    <row r="20111" s="69" customFormat="1" x14ac:dyDescent="0.15"/>
    <row r="20112" s="69" customFormat="1" x14ac:dyDescent="0.15"/>
    <row r="20113" s="69" customFormat="1" x14ac:dyDescent="0.15"/>
    <row r="20114" s="69" customFormat="1" x14ac:dyDescent="0.15"/>
    <row r="20115" s="69" customFormat="1" x14ac:dyDescent="0.15"/>
    <row r="20116" s="69" customFormat="1" x14ac:dyDescent="0.15"/>
    <row r="20117" s="69" customFormat="1" x14ac:dyDescent="0.15"/>
    <row r="20118" s="69" customFormat="1" x14ac:dyDescent="0.15"/>
    <row r="20119" s="69" customFormat="1" x14ac:dyDescent="0.15"/>
    <row r="20120" s="69" customFormat="1" x14ac:dyDescent="0.15"/>
    <row r="20121" s="69" customFormat="1" x14ac:dyDescent="0.15"/>
    <row r="20122" s="69" customFormat="1" x14ac:dyDescent="0.15"/>
    <row r="20123" s="69" customFormat="1" x14ac:dyDescent="0.15"/>
    <row r="20124" s="69" customFormat="1" x14ac:dyDescent="0.15"/>
    <row r="20125" s="69" customFormat="1" x14ac:dyDescent="0.15"/>
    <row r="20126" s="69" customFormat="1" x14ac:dyDescent="0.15"/>
    <row r="20127" s="69" customFormat="1" x14ac:dyDescent="0.15"/>
    <row r="20128" s="69" customFormat="1" x14ac:dyDescent="0.15"/>
    <row r="20129" s="69" customFormat="1" x14ac:dyDescent="0.15"/>
    <row r="20130" s="69" customFormat="1" x14ac:dyDescent="0.15"/>
    <row r="20131" s="69" customFormat="1" x14ac:dyDescent="0.15"/>
    <row r="20132" s="69" customFormat="1" x14ac:dyDescent="0.15"/>
    <row r="20133" s="69" customFormat="1" x14ac:dyDescent="0.15"/>
    <row r="20134" s="69" customFormat="1" x14ac:dyDescent="0.15"/>
    <row r="20135" s="69" customFormat="1" x14ac:dyDescent="0.15"/>
    <row r="20136" s="69" customFormat="1" x14ac:dyDescent="0.15"/>
    <row r="20137" s="69" customFormat="1" x14ac:dyDescent="0.15"/>
    <row r="20138" s="69" customFormat="1" x14ac:dyDescent="0.15"/>
    <row r="20139" s="69" customFormat="1" x14ac:dyDescent="0.15"/>
    <row r="20140" s="69" customFormat="1" x14ac:dyDescent="0.15"/>
    <row r="20141" s="69" customFormat="1" x14ac:dyDescent="0.15"/>
    <row r="20142" s="69" customFormat="1" x14ac:dyDescent="0.15"/>
    <row r="20143" s="69" customFormat="1" x14ac:dyDescent="0.15"/>
    <row r="20144" s="69" customFormat="1" x14ac:dyDescent="0.15"/>
    <row r="20145" s="69" customFormat="1" x14ac:dyDescent="0.15"/>
    <row r="20146" s="69" customFormat="1" x14ac:dyDescent="0.15"/>
    <row r="20147" s="69" customFormat="1" x14ac:dyDescent="0.15"/>
    <row r="20148" s="69" customFormat="1" x14ac:dyDescent="0.15"/>
    <row r="20149" s="69" customFormat="1" x14ac:dyDescent="0.15"/>
    <row r="20150" s="69" customFormat="1" x14ac:dyDescent="0.15"/>
    <row r="20151" s="69" customFormat="1" x14ac:dyDescent="0.15"/>
    <row r="20152" s="69" customFormat="1" x14ac:dyDescent="0.15"/>
    <row r="20153" s="69" customFormat="1" x14ac:dyDescent="0.15"/>
    <row r="20154" s="69" customFormat="1" x14ac:dyDescent="0.15"/>
    <row r="20155" s="69" customFormat="1" x14ac:dyDescent="0.15"/>
    <row r="20156" s="69" customFormat="1" x14ac:dyDescent="0.15"/>
    <row r="20157" s="69" customFormat="1" x14ac:dyDescent="0.15"/>
    <row r="20158" s="69" customFormat="1" x14ac:dyDescent="0.15"/>
    <row r="20159" s="69" customFormat="1" x14ac:dyDescent="0.15"/>
    <row r="20160" s="69" customFormat="1" x14ac:dyDescent="0.15"/>
    <row r="20161" s="69" customFormat="1" x14ac:dyDescent="0.15"/>
    <row r="20162" s="69" customFormat="1" x14ac:dyDescent="0.15"/>
    <row r="20163" s="69" customFormat="1" x14ac:dyDescent="0.15"/>
    <row r="20164" s="69" customFormat="1" x14ac:dyDescent="0.15"/>
    <row r="20165" s="69" customFormat="1" x14ac:dyDescent="0.15"/>
    <row r="20166" s="69" customFormat="1" x14ac:dyDescent="0.15"/>
    <row r="20167" s="69" customFormat="1" x14ac:dyDescent="0.15"/>
    <row r="20168" s="69" customFormat="1" x14ac:dyDescent="0.15"/>
    <row r="20169" s="69" customFormat="1" x14ac:dyDescent="0.15"/>
    <row r="20170" s="69" customFormat="1" x14ac:dyDescent="0.15"/>
    <row r="20171" s="69" customFormat="1" x14ac:dyDescent="0.15"/>
    <row r="20172" s="69" customFormat="1" x14ac:dyDescent="0.15"/>
    <row r="20173" s="69" customFormat="1" x14ac:dyDescent="0.15"/>
    <row r="20174" s="69" customFormat="1" x14ac:dyDescent="0.15"/>
    <row r="20175" s="69" customFormat="1" x14ac:dyDescent="0.15"/>
    <row r="20176" s="69" customFormat="1" x14ac:dyDescent="0.15"/>
    <row r="20177" s="69" customFormat="1" x14ac:dyDescent="0.15"/>
    <row r="20178" s="69" customFormat="1" x14ac:dyDescent="0.15"/>
    <row r="20179" s="69" customFormat="1" x14ac:dyDescent="0.15"/>
    <row r="20180" s="69" customFormat="1" x14ac:dyDescent="0.15"/>
    <row r="20181" s="69" customFormat="1" x14ac:dyDescent="0.15"/>
    <row r="20182" s="69" customFormat="1" x14ac:dyDescent="0.15"/>
    <row r="20183" s="69" customFormat="1" x14ac:dyDescent="0.15"/>
    <row r="20184" s="69" customFormat="1" x14ac:dyDescent="0.15"/>
    <row r="20185" s="69" customFormat="1" x14ac:dyDescent="0.15"/>
    <row r="20186" s="69" customFormat="1" x14ac:dyDescent="0.15"/>
    <row r="20187" s="69" customFormat="1" x14ac:dyDescent="0.15"/>
    <row r="20188" s="69" customFormat="1" x14ac:dyDescent="0.15"/>
    <row r="20189" s="69" customFormat="1" x14ac:dyDescent="0.15"/>
    <row r="20190" s="69" customFormat="1" x14ac:dyDescent="0.15"/>
    <row r="20191" s="69" customFormat="1" x14ac:dyDescent="0.15"/>
    <row r="20192" s="69" customFormat="1" x14ac:dyDescent="0.15"/>
    <row r="20193" s="69" customFormat="1" x14ac:dyDescent="0.15"/>
    <row r="20194" s="69" customFormat="1" x14ac:dyDescent="0.15"/>
    <row r="20195" s="69" customFormat="1" x14ac:dyDescent="0.15"/>
    <row r="20196" s="69" customFormat="1" x14ac:dyDescent="0.15"/>
    <row r="20197" s="69" customFormat="1" x14ac:dyDescent="0.15"/>
    <row r="20198" s="69" customFormat="1" x14ac:dyDescent="0.15"/>
    <row r="20199" s="69" customFormat="1" x14ac:dyDescent="0.15"/>
    <row r="20200" s="69" customFormat="1" x14ac:dyDescent="0.15"/>
    <row r="20201" s="69" customFormat="1" x14ac:dyDescent="0.15"/>
    <row r="20202" s="69" customFormat="1" x14ac:dyDescent="0.15"/>
    <row r="20203" s="69" customFormat="1" x14ac:dyDescent="0.15"/>
    <row r="20204" s="69" customFormat="1" x14ac:dyDescent="0.15"/>
    <row r="20205" s="69" customFormat="1" x14ac:dyDescent="0.15"/>
    <row r="20206" s="69" customFormat="1" x14ac:dyDescent="0.15"/>
    <row r="20207" s="69" customFormat="1" x14ac:dyDescent="0.15"/>
    <row r="20208" s="69" customFormat="1" x14ac:dyDescent="0.15"/>
    <row r="20209" s="69" customFormat="1" x14ac:dyDescent="0.15"/>
    <row r="20210" s="69" customFormat="1" x14ac:dyDescent="0.15"/>
    <row r="20211" s="69" customFormat="1" x14ac:dyDescent="0.15"/>
    <row r="20212" s="69" customFormat="1" x14ac:dyDescent="0.15"/>
    <row r="20213" s="69" customFormat="1" x14ac:dyDescent="0.15"/>
    <row r="20214" s="69" customFormat="1" x14ac:dyDescent="0.15"/>
    <row r="20215" s="69" customFormat="1" x14ac:dyDescent="0.15"/>
    <row r="20216" s="69" customFormat="1" x14ac:dyDescent="0.15"/>
    <row r="20217" s="69" customFormat="1" x14ac:dyDescent="0.15"/>
    <row r="20218" s="69" customFormat="1" x14ac:dyDescent="0.15"/>
    <row r="20219" s="69" customFormat="1" x14ac:dyDescent="0.15"/>
    <row r="20220" s="69" customFormat="1" x14ac:dyDescent="0.15"/>
    <row r="20221" s="69" customFormat="1" x14ac:dyDescent="0.15"/>
    <row r="20222" s="69" customFormat="1" x14ac:dyDescent="0.15"/>
    <row r="20223" s="69" customFormat="1" x14ac:dyDescent="0.15"/>
    <row r="20224" s="69" customFormat="1" x14ac:dyDescent="0.15"/>
    <row r="20225" s="69" customFormat="1" x14ac:dyDescent="0.15"/>
    <row r="20226" s="69" customFormat="1" x14ac:dyDescent="0.15"/>
    <row r="20227" s="69" customFormat="1" x14ac:dyDescent="0.15"/>
    <row r="20228" s="69" customFormat="1" x14ac:dyDescent="0.15"/>
    <row r="20229" s="69" customFormat="1" x14ac:dyDescent="0.15"/>
    <row r="20230" s="69" customFormat="1" x14ac:dyDescent="0.15"/>
    <row r="20231" s="69" customFormat="1" x14ac:dyDescent="0.15"/>
    <row r="20232" s="69" customFormat="1" x14ac:dyDescent="0.15"/>
    <row r="20233" s="69" customFormat="1" x14ac:dyDescent="0.15"/>
    <row r="20234" s="69" customFormat="1" x14ac:dyDescent="0.15"/>
    <row r="20235" s="69" customFormat="1" x14ac:dyDescent="0.15"/>
    <row r="20236" s="69" customFormat="1" x14ac:dyDescent="0.15"/>
    <row r="20237" s="69" customFormat="1" x14ac:dyDescent="0.15"/>
    <row r="20238" s="69" customFormat="1" x14ac:dyDescent="0.15"/>
    <row r="20239" s="69" customFormat="1" x14ac:dyDescent="0.15"/>
    <row r="20240" s="69" customFormat="1" x14ac:dyDescent="0.15"/>
    <row r="20241" s="69" customFormat="1" x14ac:dyDescent="0.15"/>
    <row r="20242" s="69" customFormat="1" x14ac:dyDescent="0.15"/>
    <row r="20243" s="69" customFormat="1" x14ac:dyDescent="0.15"/>
    <row r="20244" s="69" customFormat="1" x14ac:dyDescent="0.15"/>
    <row r="20245" s="69" customFormat="1" x14ac:dyDescent="0.15"/>
    <row r="20246" s="69" customFormat="1" x14ac:dyDescent="0.15"/>
    <row r="20247" s="69" customFormat="1" x14ac:dyDescent="0.15"/>
    <row r="20248" s="69" customFormat="1" x14ac:dyDescent="0.15"/>
    <row r="20249" s="69" customFormat="1" x14ac:dyDescent="0.15"/>
    <row r="20250" s="69" customFormat="1" x14ac:dyDescent="0.15"/>
    <row r="20251" s="69" customFormat="1" x14ac:dyDescent="0.15"/>
    <row r="20252" s="69" customFormat="1" x14ac:dyDescent="0.15"/>
    <row r="20253" s="69" customFormat="1" x14ac:dyDescent="0.15"/>
    <row r="20254" s="69" customFormat="1" x14ac:dyDescent="0.15"/>
    <row r="20255" s="69" customFormat="1" x14ac:dyDescent="0.15"/>
    <row r="20256" s="69" customFormat="1" x14ac:dyDescent="0.15"/>
    <row r="20257" s="69" customFormat="1" x14ac:dyDescent="0.15"/>
    <row r="20258" s="69" customFormat="1" x14ac:dyDescent="0.15"/>
    <row r="20259" s="69" customFormat="1" x14ac:dyDescent="0.15"/>
    <row r="20260" s="69" customFormat="1" x14ac:dyDescent="0.15"/>
    <row r="20261" s="69" customFormat="1" x14ac:dyDescent="0.15"/>
    <row r="20262" s="69" customFormat="1" x14ac:dyDescent="0.15"/>
    <row r="20263" s="69" customFormat="1" x14ac:dyDescent="0.15"/>
    <row r="20264" s="69" customFormat="1" x14ac:dyDescent="0.15"/>
    <row r="20265" s="69" customFormat="1" x14ac:dyDescent="0.15"/>
    <row r="20266" s="69" customFormat="1" x14ac:dyDescent="0.15"/>
    <row r="20267" s="69" customFormat="1" x14ac:dyDescent="0.15"/>
    <row r="20268" s="69" customFormat="1" x14ac:dyDescent="0.15"/>
    <row r="20269" s="69" customFormat="1" x14ac:dyDescent="0.15"/>
    <row r="20270" s="69" customFormat="1" x14ac:dyDescent="0.15"/>
    <row r="20271" s="69" customFormat="1" x14ac:dyDescent="0.15"/>
    <row r="20272" s="69" customFormat="1" x14ac:dyDescent="0.15"/>
    <row r="20273" s="69" customFormat="1" x14ac:dyDescent="0.15"/>
    <row r="20274" s="69" customFormat="1" x14ac:dyDescent="0.15"/>
    <row r="20275" s="69" customFormat="1" x14ac:dyDescent="0.15"/>
    <row r="20276" s="69" customFormat="1" x14ac:dyDescent="0.15"/>
    <row r="20277" s="69" customFormat="1" x14ac:dyDescent="0.15"/>
    <row r="20278" s="69" customFormat="1" x14ac:dyDescent="0.15"/>
    <row r="20279" s="69" customFormat="1" x14ac:dyDescent="0.15"/>
    <row r="20280" s="69" customFormat="1" x14ac:dyDescent="0.15"/>
    <row r="20281" s="69" customFormat="1" x14ac:dyDescent="0.15"/>
    <row r="20282" s="69" customFormat="1" x14ac:dyDescent="0.15"/>
    <row r="20283" s="69" customFormat="1" x14ac:dyDescent="0.15"/>
    <row r="20284" s="69" customFormat="1" x14ac:dyDescent="0.15"/>
    <row r="20285" s="69" customFormat="1" x14ac:dyDescent="0.15"/>
    <row r="20286" s="69" customFormat="1" x14ac:dyDescent="0.15"/>
    <row r="20287" s="69" customFormat="1" x14ac:dyDescent="0.15"/>
    <row r="20288" s="69" customFormat="1" x14ac:dyDescent="0.15"/>
    <row r="20289" s="69" customFormat="1" x14ac:dyDescent="0.15"/>
    <row r="20290" s="69" customFormat="1" x14ac:dyDescent="0.15"/>
    <row r="20291" s="69" customFormat="1" x14ac:dyDescent="0.15"/>
    <row r="20292" s="69" customFormat="1" x14ac:dyDescent="0.15"/>
    <row r="20293" s="69" customFormat="1" x14ac:dyDescent="0.15"/>
    <row r="20294" s="69" customFormat="1" x14ac:dyDescent="0.15"/>
    <row r="20295" s="69" customFormat="1" x14ac:dyDescent="0.15"/>
    <row r="20296" s="69" customFormat="1" x14ac:dyDescent="0.15"/>
    <row r="20297" s="69" customFormat="1" x14ac:dyDescent="0.15"/>
    <row r="20298" s="69" customFormat="1" x14ac:dyDescent="0.15"/>
    <row r="20299" s="69" customFormat="1" x14ac:dyDescent="0.15"/>
    <row r="20300" s="69" customFormat="1" x14ac:dyDescent="0.15"/>
    <row r="20301" s="69" customFormat="1" x14ac:dyDescent="0.15"/>
    <row r="20302" s="69" customFormat="1" x14ac:dyDescent="0.15"/>
    <row r="20303" s="69" customFormat="1" x14ac:dyDescent="0.15"/>
    <row r="20304" s="69" customFormat="1" x14ac:dyDescent="0.15"/>
    <row r="20305" s="69" customFormat="1" x14ac:dyDescent="0.15"/>
    <row r="20306" s="69" customFormat="1" x14ac:dyDescent="0.15"/>
    <row r="20307" s="69" customFormat="1" x14ac:dyDescent="0.15"/>
    <row r="20308" s="69" customFormat="1" x14ac:dyDescent="0.15"/>
    <row r="20309" s="69" customFormat="1" x14ac:dyDescent="0.15"/>
    <row r="20310" s="69" customFormat="1" x14ac:dyDescent="0.15"/>
    <row r="20311" s="69" customFormat="1" x14ac:dyDescent="0.15"/>
    <row r="20312" s="69" customFormat="1" x14ac:dyDescent="0.15"/>
    <row r="20313" s="69" customFormat="1" x14ac:dyDescent="0.15"/>
    <row r="20314" s="69" customFormat="1" x14ac:dyDescent="0.15"/>
    <row r="20315" s="69" customFormat="1" x14ac:dyDescent="0.15"/>
    <row r="20316" s="69" customFormat="1" x14ac:dyDescent="0.15"/>
    <row r="20317" s="69" customFormat="1" x14ac:dyDescent="0.15"/>
    <row r="20318" s="69" customFormat="1" x14ac:dyDescent="0.15"/>
    <row r="20319" s="69" customFormat="1" x14ac:dyDescent="0.15"/>
    <row r="20320" s="69" customFormat="1" x14ac:dyDescent="0.15"/>
    <row r="20321" s="69" customFormat="1" x14ac:dyDescent="0.15"/>
    <row r="20322" s="69" customFormat="1" x14ac:dyDescent="0.15"/>
    <row r="20323" s="69" customFormat="1" x14ac:dyDescent="0.15"/>
    <row r="20324" s="69" customFormat="1" x14ac:dyDescent="0.15"/>
    <row r="20325" s="69" customFormat="1" x14ac:dyDescent="0.15"/>
    <row r="20326" s="69" customFormat="1" x14ac:dyDescent="0.15"/>
    <row r="20327" s="69" customFormat="1" x14ac:dyDescent="0.15"/>
    <row r="20328" s="69" customFormat="1" x14ac:dyDescent="0.15"/>
    <row r="20329" s="69" customFormat="1" x14ac:dyDescent="0.15"/>
    <row r="20330" s="69" customFormat="1" x14ac:dyDescent="0.15"/>
    <row r="20331" s="69" customFormat="1" x14ac:dyDescent="0.15"/>
    <row r="20332" s="69" customFormat="1" x14ac:dyDescent="0.15"/>
    <row r="20333" s="69" customFormat="1" x14ac:dyDescent="0.15"/>
    <row r="20334" s="69" customFormat="1" x14ac:dyDescent="0.15"/>
    <row r="20335" s="69" customFormat="1" x14ac:dyDescent="0.15"/>
    <row r="20336" s="69" customFormat="1" x14ac:dyDescent="0.15"/>
    <row r="20337" s="69" customFormat="1" x14ac:dyDescent="0.15"/>
    <row r="20338" s="69" customFormat="1" x14ac:dyDescent="0.15"/>
    <row r="20339" s="69" customFormat="1" x14ac:dyDescent="0.15"/>
    <row r="20340" s="69" customFormat="1" x14ac:dyDescent="0.15"/>
    <row r="20341" s="69" customFormat="1" x14ac:dyDescent="0.15"/>
    <row r="20342" s="69" customFormat="1" x14ac:dyDescent="0.15"/>
    <row r="20343" s="69" customFormat="1" x14ac:dyDescent="0.15"/>
    <row r="20344" s="69" customFormat="1" x14ac:dyDescent="0.15"/>
    <row r="20345" s="69" customFormat="1" x14ac:dyDescent="0.15"/>
    <row r="20346" s="69" customFormat="1" x14ac:dyDescent="0.15"/>
    <row r="20347" s="69" customFormat="1" x14ac:dyDescent="0.15"/>
    <row r="20348" s="69" customFormat="1" x14ac:dyDescent="0.15"/>
    <row r="20349" s="69" customFormat="1" x14ac:dyDescent="0.15"/>
    <row r="20350" s="69" customFormat="1" x14ac:dyDescent="0.15"/>
    <row r="20351" s="69" customFormat="1" x14ac:dyDescent="0.15"/>
    <row r="20352" s="69" customFormat="1" x14ac:dyDescent="0.15"/>
    <row r="20353" s="69" customFormat="1" x14ac:dyDescent="0.15"/>
    <row r="20354" s="69" customFormat="1" x14ac:dyDescent="0.15"/>
    <row r="20355" s="69" customFormat="1" x14ac:dyDescent="0.15"/>
    <row r="20356" s="69" customFormat="1" x14ac:dyDescent="0.15"/>
    <row r="20357" s="69" customFormat="1" x14ac:dyDescent="0.15"/>
    <row r="20358" s="69" customFormat="1" x14ac:dyDescent="0.15"/>
    <row r="20359" s="69" customFormat="1" x14ac:dyDescent="0.15"/>
    <row r="20360" s="69" customFormat="1" x14ac:dyDescent="0.15"/>
    <row r="20361" s="69" customFormat="1" x14ac:dyDescent="0.15"/>
    <row r="20362" s="69" customFormat="1" x14ac:dyDescent="0.15"/>
    <row r="20363" s="69" customFormat="1" x14ac:dyDescent="0.15"/>
    <row r="20364" s="69" customFormat="1" x14ac:dyDescent="0.15"/>
    <row r="20365" s="69" customFormat="1" x14ac:dyDescent="0.15"/>
    <row r="20366" s="69" customFormat="1" x14ac:dyDescent="0.15"/>
    <row r="20367" s="69" customFormat="1" x14ac:dyDescent="0.15"/>
    <row r="20368" s="69" customFormat="1" x14ac:dyDescent="0.15"/>
    <row r="20369" s="69" customFormat="1" x14ac:dyDescent="0.15"/>
    <row r="20370" s="69" customFormat="1" x14ac:dyDescent="0.15"/>
    <row r="20371" s="69" customFormat="1" x14ac:dyDescent="0.15"/>
    <row r="20372" s="69" customFormat="1" x14ac:dyDescent="0.15"/>
    <row r="20373" s="69" customFormat="1" x14ac:dyDescent="0.15"/>
    <row r="20374" s="69" customFormat="1" x14ac:dyDescent="0.15"/>
    <row r="20375" s="69" customFormat="1" x14ac:dyDescent="0.15"/>
    <row r="20376" s="69" customFormat="1" x14ac:dyDescent="0.15"/>
    <row r="20377" s="69" customFormat="1" x14ac:dyDescent="0.15"/>
    <row r="20378" s="69" customFormat="1" x14ac:dyDescent="0.15"/>
    <row r="20379" s="69" customFormat="1" x14ac:dyDescent="0.15"/>
    <row r="20380" s="69" customFormat="1" x14ac:dyDescent="0.15"/>
    <row r="20381" s="69" customFormat="1" x14ac:dyDescent="0.15"/>
    <row r="20382" s="69" customFormat="1" x14ac:dyDescent="0.15"/>
    <row r="20383" s="69" customFormat="1" x14ac:dyDescent="0.15"/>
    <row r="20384" s="69" customFormat="1" x14ac:dyDescent="0.15"/>
    <row r="20385" s="69" customFormat="1" x14ac:dyDescent="0.15"/>
    <row r="20386" s="69" customFormat="1" x14ac:dyDescent="0.15"/>
    <row r="20387" s="69" customFormat="1" x14ac:dyDescent="0.15"/>
    <row r="20388" s="69" customFormat="1" x14ac:dyDescent="0.15"/>
    <row r="20389" s="69" customFormat="1" x14ac:dyDescent="0.15"/>
    <row r="20390" s="69" customFormat="1" x14ac:dyDescent="0.15"/>
    <row r="20391" s="69" customFormat="1" x14ac:dyDescent="0.15"/>
    <row r="20392" s="69" customFormat="1" x14ac:dyDescent="0.15"/>
    <row r="20393" s="69" customFormat="1" x14ac:dyDescent="0.15"/>
    <row r="20394" s="69" customFormat="1" x14ac:dyDescent="0.15"/>
    <row r="20395" s="69" customFormat="1" x14ac:dyDescent="0.15"/>
    <row r="20396" s="69" customFormat="1" x14ac:dyDescent="0.15"/>
    <row r="20397" s="69" customFormat="1" x14ac:dyDescent="0.15"/>
    <row r="20398" s="69" customFormat="1" x14ac:dyDescent="0.15"/>
    <row r="20399" s="69" customFormat="1" x14ac:dyDescent="0.15"/>
    <row r="20400" s="69" customFormat="1" x14ac:dyDescent="0.15"/>
    <row r="20401" s="69" customFormat="1" x14ac:dyDescent="0.15"/>
    <row r="20402" s="69" customFormat="1" x14ac:dyDescent="0.15"/>
    <row r="20403" s="69" customFormat="1" x14ac:dyDescent="0.15"/>
    <row r="20404" s="69" customFormat="1" x14ac:dyDescent="0.15"/>
    <row r="20405" s="69" customFormat="1" x14ac:dyDescent="0.15"/>
    <row r="20406" s="69" customFormat="1" x14ac:dyDescent="0.15"/>
    <row r="20407" s="69" customFormat="1" x14ac:dyDescent="0.15"/>
    <row r="20408" s="69" customFormat="1" x14ac:dyDescent="0.15"/>
    <row r="20409" s="69" customFormat="1" x14ac:dyDescent="0.15"/>
    <row r="20410" s="69" customFormat="1" x14ac:dyDescent="0.15"/>
    <row r="20411" s="69" customFormat="1" x14ac:dyDescent="0.15"/>
    <row r="20412" s="69" customFormat="1" x14ac:dyDescent="0.15"/>
    <row r="20413" s="69" customFormat="1" x14ac:dyDescent="0.15"/>
    <row r="20414" s="69" customFormat="1" x14ac:dyDescent="0.15"/>
    <row r="20415" s="69" customFormat="1" x14ac:dyDescent="0.15"/>
    <row r="20416" s="69" customFormat="1" x14ac:dyDescent="0.15"/>
    <row r="20417" s="69" customFormat="1" x14ac:dyDescent="0.15"/>
    <row r="20418" s="69" customFormat="1" x14ac:dyDescent="0.15"/>
    <row r="20419" s="69" customFormat="1" x14ac:dyDescent="0.15"/>
    <row r="20420" s="69" customFormat="1" x14ac:dyDescent="0.15"/>
    <row r="20421" s="69" customFormat="1" x14ac:dyDescent="0.15"/>
    <row r="20422" s="69" customFormat="1" x14ac:dyDescent="0.15"/>
    <row r="20423" s="69" customFormat="1" x14ac:dyDescent="0.15"/>
    <row r="20424" s="69" customFormat="1" x14ac:dyDescent="0.15"/>
    <row r="20425" s="69" customFormat="1" x14ac:dyDescent="0.15"/>
    <row r="20426" s="69" customFormat="1" x14ac:dyDescent="0.15"/>
    <row r="20427" s="69" customFormat="1" x14ac:dyDescent="0.15"/>
    <row r="20428" s="69" customFormat="1" x14ac:dyDescent="0.15"/>
    <row r="20429" s="69" customFormat="1" x14ac:dyDescent="0.15"/>
    <row r="20430" s="69" customFormat="1" x14ac:dyDescent="0.15"/>
    <row r="20431" s="69" customFormat="1" x14ac:dyDescent="0.15"/>
    <row r="20432" s="69" customFormat="1" x14ac:dyDescent="0.15"/>
    <row r="20433" s="69" customFormat="1" x14ac:dyDescent="0.15"/>
    <row r="20434" s="69" customFormat="1" x14ac:dyDescent="0.15"/>
    <row r="20435" s="69" customFormat="1" x14ac:dyDescent="0.15"/>
    <row r="20436" s="69" customFormat="1" x14ac:dyDescent="0.15"/>
    <row r="20437" s="69" customFormat="1" x14ac:dyDescent="0.15"/>
    <row r="20438" s="69" customFormat="1" x14ac:dyDescent="0.15"/>
    <row r="20439" s="69" customFormat="1" x14ac:dyDescent="0.15"/>
    <row r="20440" s="69" customFormat="1" x14ac:dyDescent="0.15"/>
    <row r="20441" s="69" customFormat="1" x14ac:dyDescent="0.15"/>
    <row r="20442" s="69" customFormat="1" x14ac:dyDescent="0.15"/>
    <row r="20443" s="69" customFormat="1" x14ac:dyDescent="0.15"/>
    <row r="20444" s="69" customFormat="1" x14ac:dyDescent="0.15"/>
    <row r="20445" s="69" customFormat="1" x14ac:dyDescent="0.15"/>
    <row r="20446" s="69" customFormat="1" x14ac:dyDescent="0.15"/>
    <row r="20447" s="69" customFormat="1" x14ac:dyDescent="0.15"/>
    <row r="20448" s="69" customFormat="1" x14ac:dyDescent="0.15"/>
    <row r="20449" s="69" customFormat="1" x14ac:dyDescent="0.15"/>
    <row r="20450" s="69" customFormat="1" x14ac:dyDescent="0.15"/>
    <row r="20451" s="69" customFormat="1" x14ac:dyDescent="0.15"/>
    <row r="20452" s="69" customFormat="1" x14ac:dyDescent="0.15"/>
    <row r="20453" s="69" customFormat="1" x14ac:dyDescent="0.15"/>
    <row r="20454" s="69" customFormat="1" x14ac:dyDescent="0.15"/>
    <row r="20455" s="69" customFormat="1" x14ac:dyDescent="0.15"/>
    <row r="20456" s="69" customFormat="1" x14ac:dyDescent="0.15"/>
    <row r="20457" s="69" customFormat="1" x14ac:dyDescent="0.15"/>
    <row r="20458" s="69" customFormat="1" x14ac:dyDescent="0.15"/>
    <row r="20459" s="69" customFormat="1" x14ac:dyDescent="0.15"/>
    <row r="20460" s="69" customFormat="1" x14ac:dyDescent="0.15"/>
    <row r="20461" s="69" customFormat="1" x14ac:dyDescent="0.15"/>
    <row r="20462" s="69" customFormat="1" x14ac:dyDescent="0.15"/>
    <row r="20463" s="69" customFormat="1" x14ac:dyDescent="0.15"/>
    <row r="20464" s="69" customFormat="1" x14ac:dyDescent="0.15"/>
    <row r="20465" s="69" customFormat="1" x14ac:dyDescent="0.15"/>
    <row r="20466" s="69" customFormat="1" x14ac:dyDescent="0.15"/>
    <row r="20467" s="69" customFormat="1" x14ac:dyDescent="0.15"/>
    <row r="20468" s="69" customFormat="1" x14ac:dyDescent="0.15"/>
    <row r="20469" s="69" customFormat="1" x14ac:dyDescent="0.15"/>
    <row r="20470" s="69" customFormat="1" x14ac:dyDescent="0.15"/>
    <row r="20471" s="69" customFormat="1" x14ac:dyDescent="0.15"/>
    <row r="20472" s="69" customFormat="1" x14ac:dyDescent="0.15"/>
    <row r="20473" s="69" customFormat="1" x14ac:dyDescent="0.15"/>
    <row r="20474" s="69" customFormat="1" x14ac:dyDescent="0.15"/>
    <row r="20475" s="69" customFormat="1" x14ac:dyDescent="0.15"/>
    <row r="20476" s="69" customFormat="1" x14ac:dyDescent="0.15"/>
    <row r="20477" s="69" customFormat="1" x14ac:dyDescent="0.15"/>
    <row r="20478" s="69" customFormat="1" x14ac:dyDescent="0.15"/>
    <row r="20479" s="69" customFormat="1" x14ac:dyDescent="0.15"/>
    <row r="20480" s="69" customFormat="1" x14ac:dyDescent="0.15"/>
    <row r="20481" s="69" customFormat="1" x14ac:dyDescent="0.15"/>
    <row r="20482" s="69" customFormat="1" x14ac:dyDescent="0.15"/>
    <row r="20483" s="69" customFormat="1" x14ac:dyDescent="0.15"/>
    <row r="20484" s="69" customFormat="1" x14ac:dyDescent="0.15"/>
    <row r="20485" s="69" customFormat="1" x14ac:dyDescent="0.15"/>
    <row r="20486" s="69" customFormat="1" x14ac:dyDescent="0.15"/>
    <row r="20487" s="69" customFormat="1" x14ac:dyDescent="0.15"/>
    <row r="20488" s="69" customFormat="1" x14ac:dyDescent="0.15"/>
    <row r="20489" s="69" customFormat="1" x14ac:dyDescent="0.15"/>
    <row r="20490" s="69" customFormat="1" x14ac:dyDescent="0.15"/>
    <row r="20491" s="69" customFormat="1" x14ac:dyDescent="0.15"/>
    <row r="20492" s="69" customFormat="1" x14ac:dyDescent="0.15"/>
    <row r="20493" s="69" customFormat="1" x14ac:dyDescent="0.15"/>
    <row r="20494" s="69" customFormat="1" x14ac:dyDescent="0.15"/>
    <row r="20495" s="69" customFormat="1" x14ac:dyDescent="0.15"/>
    <row r="20496" s="69" customFormat="1" x14ac:dyDescent="0.15"/>
    <row r="20497" s="69" customFormat="1" x14ac:dyDescent="0.15"/>
    <row r="20498" s="69" customFormat="1" x14ac:dyDescent="0.15"/>
    <row r="20499" s="69" customFormat="1" x14ac:dyDescent="0.15"/>
    <row r="20500" s="69" customFormat="1" x14ac:dyDescent="0.15"/>
    <row r="20501" s="69" customFormat="1" x14ac:dyDescent="0.15"/>
    <row r="20502" s="69" customFormat="1" x14ac:dyDescent="0.15"/>
    <row r="20503" s="69" customFormat="1" x14ac:dyDescent="0.15"/>
    <row r="20504" s="69" customFormat="1" x14ac:dyDescent="0.15"/>
    <row r="20505" s="69" customFormat="1" x14ac:dyDescent="0.15"/>
    <row r="20506" s="69" customFormat="1" x14ac:dyDescent="0.15"/>
    <row r="20507" s="69" customFormat="1" x14ac:dyDescent="0.15"/>
    <row r="20508" s="69" customFormat="1" x14ac:dyDescent="0.15"/>
    <row r="20509" s="69" customFormat="1" x14ac:dyDescent="0.15"/>
    <row r="20510" s="69" customFormat="1" x14ac:dyDescent="0.15"/>
    <row r="20511" s="69" customFormat="1" x14ac:dyDescent="0.15"/>
    <row r="20512" s="69" customFormat="1" x14ac:dyDescent="0.15"/>
    <row r="20513" s="69" customFormat="1" x14ac:dyDescent="0.15"/>
    <row r="20514" s="69" customFormat="1" x14ac:dyDescent="0.15"/>
    <row r="20515" s="69" customFormat="1" x14ac:dyDescent="0.15"/>
    <row r="20516" s="69" customFormat="1" x14ac:dyDescent="0.15"/>
    <row r="20517" s="69" customFormat="1" x14ac:dyDescent="0.15"/>
    <row r="20518" s="69" customFormat="1" x14ac:dyDescent="0.15"/>
    <row r="20519" s="69" customFormat="1" x14ac:dyDescent="0.15"/>
    <row r="20520" s="69" customFormat="1" x14ac:dyDescent="0.15"/>
    <row r="20521" s="69" customFormat="1" x14ac:dyDescent="0.15"/>
    <row r="20522" s="69" customFormat="1" x14ac:dyDescent="0.15"/>
    <row r="20523" s="69" customFormat="1" x14ac:dyDescent="0.15"/>
    <row r="20524" s="69" customFormat="1" x14ac:dyDescent="0.15"/>
    <row r="20525" s="69" customFormat="1" x14ac:dyDescent="0.15"/>
    <row r="20526" s="69" customFormat="1" x14ac:dyDescent="0.15"/>
    <row r="20527" s="69" customFormat="1" x14ac:dyDescent="0.15"/>
    <row r="20528" s="69" customFormat="1" x14ac:dyDescent="0.15"/>
    <row r="20529" s="69" customFormat="1" x14ac:dyDescent="0.15"/>
    <row r="20530" s="69" customFormat="1" x14ac:dyDescent="0.15"/>
    <row r="20531" s="69" customFormat="1" x14ac:dyDescent="0.15"/>
    <row r="20532" s="69" customFormat="1" x14ac:dyDescent="0.15"/>
    <row r="20533" s="69" customFormat="1" x14ac:dyDescent="0.15"/>
    <row r="20534" s="69" customFormat="1" x14ac:dyDescent="0.15"/>
    <row r="20535" s="69" customFormat="1" x14ac:dyDescent="0.15"/>
    <row r="20536" s="69" customFormat="1" x14ac:dyDescent="0.15"/>
    <row r="20537" s="69" customFormat="1" x14ac:dyDescent="0.15"/>
    <row r="20538" s="69" customFormat="1" x14ac:dyDescent="0.15"/>
    <row r="20539" s="69" customFormat="1" x14ac:dyDescent="0.15"/>
    <row r="20540" s="69" customFormat="1" x14ac:dyDescent="0.15"/>
    <row r="20541" s="69" customFormat="1" x14ac:dyDescent="0.15"/>
    <row r="20542" s="69" customFormat="1" x14ac:dyDescent="0.15"/>
    <row r="20543" s="69" customFormat="1" x14ac:dyDescent="0.15"/>
    <row r="20544" s="69" customFormat="1" x14ac:dyDescent="0.15"/>
    <row r="20545" s="69" customFormat="1" x14ac:dyDescent="0.15"/>
    <row r="20546" s="69" customFormat="1" x14ac:dyDescent="0.15"/>
    <row r="20547" s="69" customFormat="1" x14ac:dyDescent="0.15"/>
    <row r="20548" s="69" customFormat="1" x14ac:dyDescent="0.15"/>
    <row r="20549" s="69" customFormat="1" x14ac:dyDescent="0.15"/>
    <row r="20550" s="69" customFormat="1" x14ac:dyDescent="0.15"/>
    <row r="20551" s="69" customFormat="1" x14ac:dyDescent="0.15"/>
    <row r="20552" s="69" customFormat="1" x14ac:dyDescent="0.15"/>
    <row r="20553" s="69" customFormat="1" x14ac:dyDescent="0.15"/>
    <row r="20554" s="69" customFormat="1" x14ac:dyDescent="0.15"/>
    <row r="20555" s="69" customFormat="1" x14ac:dyDescent="0.15"/>
    <row r="20556" s="69" customFormat="1" x14ac:dyDescent="0.15"/>
    <row r="20557" s="69" customFormat="1" x14ac:dyDescent="0.15"/>
    <row r="20558" s="69" customFormat="1" x14ac:dyDescent="0.15"/>
    <row r="20559" s="69" customFormat="1" x14ac:dyDescent="0.15"/>
    <row r="20560" s="69" customFormat="1" x14ac:dyDescent="0.15"/>
    <row r="20561" s="69" customFormat="1" x14ac:dyDescent="0.15"/>
    <row r="20562" s="69" customFormat="1" x14ac:dyDescent="0.15"/>
    <row r="20563" s="69" customFormat="1" x14ac:dyDescent="0.15"/>
    <row r="20564" s="69" customFormat="1" x14ac:dyDescent="0.15"/>
    <row r="20565" s="69" customFormat="1" x14ac:dyDescent="0.15"/>
    <row r="20566" s="69" customFormat="1" x14ac:dyDescent="0.15"/>
    <row r="20567" s="69" customFormat="1" x14ac:dyDescent="0.15"/>
    <row r="20568" s="69" customFormat="1" x14ac:dyDescent="0.15"/>
    <row r="20569" s="69" customFormat="1" x14ac:dyDescent="0.15"/>
    <row r="20570" s="69" customFormat="1" x14ac:dyDescent="0.15"/>
    <row r="20571" s="69" customFormat="1" x14ac:dyDescent="0.15"/>
    <row r="20572" s="69" customFormat="1" x14ac:dyDescent="0.15"/>
    <row r="20573" s="69" customFormat="1" x14ac:dyDescent="0.15"/>
    <row r="20574" s="69" customFormat="1" x14ac:dyDescent="0.15"/>
    <row r="20575" s="69" customFormat="1" x14ac:dyDescent="0.15"/>
    <row r="20576" s="69" customFormat="1" x14ac:dyDescent="0.15"/>
    <row r="20577" s="69" customFormat="1" x14ac:dyDescent="0.15"/>
    <row r="20578" s="69" customFormat="1" x14ac:dyDescent="0.15"/>
    <row r="20579" s="69" customFormat="1" x14ac:dyDescent="0.15"/>
    <row r="20580" s="69" customFormat="1" x14ac:dyDescent="0.15"/>
    <row r="20581" s="69" customFormat="1" x14ac:dyDescent="0.15"/>
    <row r="20582" s="69" customFormat="1" x14ac:dyDescent="0.15"/>
    <row r="20583" s="69" customFormat="1" x14ac:dyDescent="0.15"/>
    <row r="20584" s="69" customFormat="1" x14ac:dyDescent="0.15"/>
    <row r="20585" s="69" customFormat="1" x14ac:dyDescent="0.15"/>
    <row r="20586" s="69" customFormat="1" x14ac:dyDescent="0.15"/>
    <row r="20587" s="69" customFormat="1" x14ac:dyDescent="0.15"/>
    <row r="20588" s="69" customFormat="1" x14ac:dyDescent="0.15"/>
    <row r="20589" s="69" customFormat="1" x14ac:dyDescent="0.15"/>
    <row r="20590" s="69" customFormat="1" x14ac:dyDescent="0.15"/>
    <row r="20591" s="69" customFormat="1" x14ac:dyDescent="0.15"/>
    <row r="20592" s="69" customFormat="1" x14ac:dyDescent="0.15"/>
    <row r="20593" s="69" customFormat="1" x14ac:dyDescent="0.15"/>
    <row r="20594" s="69" customFormat="1" x14ac:dyDescent="0.15"/>
    <row r="20595" s="69" customFormat="1" x14ac:dyDescent="0.15"/>
    <row r="20596" s="69" customFormat="1" x14ac:dyDescent="0.15"/>
    <row r="20597" s="69" customFormat="1" x14ac:dyDescent="0.15"/>
    <row r="20598" s="69" customFormat="1" x14ac:dyDescent="0.15"/>
    <row r="20599" s="69" customFormat="1" x14ac:dyDescent="0.15"/>
    <row r="20600" s="69" customFormat="1" x14ac:dyDescent="0.15"/>
    <row r="20601" s="69" customFormat="1" x14ac:dyDescent="0.15"/>
    <row r="20602" s="69" customFormat="1" x14ac:dyDescent="0.15"/>
    <row r="20603" s="69" customFormat="1" x14ac:dyDescent="0.15"/>
    <row r="20604" s="69" customFormat="1" x14ac:dyDescent="0.15"/>
    <row r="20605" s="69" customFormat="1" x14ac:dyDescent="0.15"/>
    <row r="20606" s="69" customFormat="1" x14ac:dyDescent="0.15"/>
    <row r="20607" s="69" customFormat="1" x14ac:dyDescent="0.15"/>
    <row r="20608" s="69" customFormat="1" x14ac:dyDescent="0.15"/>
    <row r="20609" s="69" customFormat="1" x14ac:dyDescent="0.15"/>
    <row r="20610" s="69" customFormat="1" x14ac:dyDescent="0.15"/>
    <row r="20611" s="69" customFormat="1" x14ac:dyDescent="0.15"/>
    <row r="20612" s="69" customFormat="1" x14ac:dyDescent="0.15"/>
    <row r="20613" s="69" customFormat="1" x14ac:dyDescent="0.15"/>
    <row r="20614" s="69" customFormat="1" x14ac:dyDescent="0.15"/>
    <row r="20615" s="69" customFormat="1" x14ac:dyDescent="0.15"/>
    <row r="20616" s="69" customFormat="1" x14ac:dyDescent="0.15"/>
    <row r="20617" s="69" customFormat="1" x14ac:dyDescent="0.15"/>
    <row r="20618" s="69" customFormat="1" x14ac:dyDescent="0.15"/>
    <row r="20619" s="69" customFormat="1" x14ac:dyDescent="0.15"/>
    <row r="20620" s="69" customFormat="1" x14ac:dyDescent="0.15"/>
    <row r="20621" s="69" customFormat="1" x14ac:dyDescent="0.15"/>
    <row r="20622" s="69" customFormat="1" x14ac:dyDescent="0.15"/>
    <row r="20623" s="69" customFormat="1" x14ac:dyDescent="0.15"/>
    <row r="20624" s="69" customFormat="1" x14ac:dyDescent="0.15"/>
    <row r="20625" s="69" customFormat="1" x14ac:dyDescent="0.15"/>
    <row r="20626" s="69" customFormat="1" x14ac:dyDescent="0.15"/>
    <row r="20627" s="69" customFormat="1" x14ac:dyDescent="0.15"/>
    <row r="20628" s="69" customFormat="1" x14ac:dyDescent="0.15"/>
    <row r="20629" s="69" customFormat="1" x14ac:dyDescent="0.15"/>
    <row r="20630" s="69" customFormat="1" x14ac:dyDescent="0.15"/>
    <row r="20631" s="69" customFormat="1" x14ac:dyDescent="0.15"/>
    <row r="20632" s="69" customFormat="1" x14ac:dyDescent="0.15"/>
    <row r="20633" s="69" customFormat="1" x14ac:dyDescent="0.15"/>
    <row r="20634" s="69" customFormat="1" x14ac:dyDescent="0.15"/>
    <row r="20635" s="69" customFormat="1" x14ac:dyDescent="0.15"/>
    <row r="20636" s="69" customFormat="1" x14ac:dyDescent="0.15"/>
    <row r="20637" s="69" customFormat="1" x14ac:dyDescent="0.15"/>
    <row r="20638" s="69" customFormat="1" x14ac:dyDescent="0.15"/>
    <row r="20639" s="69" customFormat="1" x14ac:dyDescent="0.15"/>
    <row r="20640" s="69" customFormat="1" x14ac:dyDescent="0.15"/>
    <row r="20641" s="69" customFormat="1" x14ac:dyDescent="0.15"/>
    <row r="20642" s="69" customFormat="1" x14ac:dyDescent="0.15"/>
    <row r="20643" s="69" customFormat="1" x14ac:dyDescent="0.15"/>
    <row r="20644" s="69" customFormat="1" x14ac:dyDescent="0.15"/>
    <row r="20645" s="69" customFormat="1" x14ac:dyDescent="0.15"/>
    <row r="20646" s="69" customFormat="1" x14ac:dyDescent="0.15"/>
    <row r="20647" s="69" customFormat="1" x14ac:dyDescent="0.15"/>
    <row r="20648" s="69" customFormat="1" x14ac:dyDescent="0.15"/>
    <row r="20649" s="69" customFormat="1" x14ac:dyDescent="0.15"/>
    <row r="20650" s="69" customFormat="1" x14ac:dyDescent="0.15"/>
    <row r="20651" s="69" customFormat="1" x14ac:dyDescent="0.15"/>
    <row r="20652" s="69" customFormat="1" x14ac:dyDescent="0.15"/>
    <row r="20653" s="69" customFormat="1" x14ac:dyDescent="0.15"/>
    <row r="20654" s="69" customFormat="1" x14ac:dyDescent="0.15"/>
    <row r="20655" s="69" customFormat="1" x14ac:dyDescent="0.15"/>
    <row r="20656" s="69" customFormat="1" x14ac:dyDescent="0.15"/>
    <row r="20657" s="69" customFormat="1" x14ac:dyDescent="0.15"/>
    <row r="20658" s="69" customFormat="1" x14ac:dyDescent="0.15"/>
    <row r="20659" s="69" customFormat="1" x14ac:dyDescent="0.15"/>
    <row r="20660" s="69" customFormat="1" x14ac:dyDescent="0.15"/>
    <row r="20661" s="69" customFormat="1" x14ac:dyDescent="0.15"/>
    <row r="20662" s="69" customFormat="1" x14ac:dyDescent="0.15"/>
    <row r="20663" s="69" customFormat="1" x14ac:dyDescent="0.15"/>
    <row r="20664" s="69" customFormat="1" x14ac:dyDescent="0.15"/>
    <row r="20665" s="69" customFormat="1" x14ac:dyDescent="0.15"/>
    <row r="20666" s="69" customFormat="1" x14ac:dyDescent="0.15"/>
    <row r="20667" s="69" customFormat="1" x14ac:dyDescent="0.15"/>
    <row r="20668" s="69" customFormat="1" x14ac:dyDescent="0.15"/>
    <row r="20669" s="69" customFormat="1" x14ac:dyDescent="0.15"/>
    <row r="20670" s="69" customFormat="1" x14ac:dyDescent="0.15"/>
    <row r="20671" s="69" customFormat="1" x14ac:dyDescent="0.15"/>
    <row r="20672" s="69" customFormat="1" x14ac:dyDescent="0.15"/>
    <row r="20673" s="69" customFormat="1" x14ac:dyDescent="0.15"/>
    <row r="20674" s="69" customFormat="1" x14ac:dyDescent="0.15"/>
    <row r="20675" s="69" customFormat="1" x14ac:dyDescent="0.15"/>
    <row r="20676" s="69" customFormat="1" x14ac:dyDescent="0.15"/>
    <row r="20677" s="69" customFormat="1" x14ac:dyDescent="0.15"/>
    <row r="20678" s="69" customFormat="1" x14ac:dyDescent="0.15"/>
    <row r="20679" s="69" customFormat="1" x14ac:dyDescent="0.15"/>
    <row r="20680" s="69" customFormat="1" x14ac:dyDescent="0.15"/>
    <row r="20681" s="69" customFormat="1" x14ac:dyDescent="0.15"/>
    <row r="20682" s="69" customFormat="1" x14ac:dyDescent="0.15"/>
    <row r="20683" s="69" customFormat="1" x14ac:dyDescent="0.15"/>
    <row r="20684" s="69" customFormat="1" x14ac:dyDescent="0.15"/>
    <row r="20685" s="69" customFormat="1" x14ac:dyDescent="0.15"/>
    <row r="20686" s="69" customFormat="1" x14ac:dyDescent="0.15"/>
    <row r="20687" s="69" customFormat="1" x14ac:dyDescent="0.15"/>
    <row r="20688" s="69" customFormat="1" x14ac:dyDescent="0.15"/>
    <row r="20689" s="69" customFormat="1" x14ac:dyDescent="0.15"/>
    <row r="20690" s="69" customFormat="1" x14ac:dyDescent="0.15"/>
    <row r="20691" s="69" customFormat="1" x14ac:dyDescent="0.15"/>
    <row r="20692" s="69" customFormat="1" x14ac:dyDescent="0.15"/>
    <row r="20693" s="69" customFormat="1" x14ac:dyDescent="0.15"/>
    <row r="20694" s="69" customFormat="1" x14ac:dyDescent="0.15"/>
    <row r="20695" s="69" customFormat="1" x14ac:dyDescent="0.15"/>
    <row r="20696" s="69" customFormat="1" x14ac:dyDescent="0.15"/>
    <row r="20697" s="69" customFormat="1" x14ac:dyDescent="0.15"/>
    <row r="20698" s="69" customFormat="1" x14ac:dyDescent="0.15"/>
    <row r="20699" s="69" customFormat="1" x14ac:dyDescent="0.15"/>
    <row r="20700" s="69" customFormat="1" x14ac:dyDescent="0.15"/>
    <row r="20701" s="69" customFormat="1" x14ac:dyDescent="0.15"/>
    <row r="20702" s="69" customFormat="1" x14ac:dyDescent="0.15"/>
    <row r="20703" s="69" customFormat="1" x14ac:dyDescent="0.15"/>
    <row r="20704" s="69" customFormat="1" x14ac:dyDescent="0.15"/>
    <row r="20705" s="69" customFormat="1" x14ac:dyDescent="0.15"/>
    <row r="20706" s="69" customFormat="1" x14ac:dyDescent="0.15"/>
    <row r="20707" s="69" customFormat="1" x14ac:dyDescent="0.15"/>
    <row r="20708" s="69" customFormat="1" x14ac:dyDescent="0.15"/>
    <row r="20709" s="69" customFormat="1" x14ac:dyDescent="0.15"/>
    <row r="20710" s="69" customFormat="1" x14ac:dyDescent="0.15"/>
    <row r="20711" s="69" customFormat="1" x14ac:dyDescent="0.15"/>
    <row r="20712" s="69" customFormat="1" x14ac:dyDescent="0.15"/>
    <row r="20713" s="69" customFormat="1" x14ac:dyDescent="0.15"/>
    <row r="20714" s="69" customFormat="1" x14ac:dyDescent="0.15"/>
    <row r="20715" s="69" customFormat="1" x14ac:dyDescent="0.15"/>
    <row r="20716" s="69" customFormat="1" x14ac:dyDescent="0.15"/>
    <row r="20717" s="69" customFormat="1" x14ac:dyDescent="0.15"/>
    <row r="20718" s="69" customFormat="1" x14ac:dyDescent="0.15"/>
    <row r="20719" s="69" customFormat="1" x14ac:dyDescent="0.15"/>
    <row r="20720" s="69" customFormat="1" x14ac:dyDescent="0.15"/>
    <row r="20721" s="69" customFormat="1" x14ac:dyDescent="0.15"/>
    <row r="20722" s="69" customFormat="1" x14ac:dyDescent="0.15"/>
    <row r="20723" s="69" customFormat="1" x14ac:dyDescent="0.15"/>
    <row r="20724" s="69" customFormat="1" x14ac:dyDescent="0.15"/>
    <row r="20725" s="69" customFormat="1" x14ac:dyDescent="0.15"/>
    <row r="20726" s="69" customFormat="1" x14ac:dyDescent="0.15"/>
    <row r="20727" s="69" customFormat="1" x14ac:dyDescent="0.15"/>
    <row r="20728" s="69" customFormat="1" x14ac:dyDescent="0.15"/>
    <row r="20729" s="69" customFormat="1" x14ac:dyDescent="0.15"/>
    <row r="20730" s="69" customFormat="1" x14ac:dyDescent="0.15"/>
    <row r="20731" s="69" customFormat="1" x14ac:dyDescent="0.15"/>
    <row r="20732" s="69" customFormat="1" x14ac:dyDescent="0.15"/>
    <row r="20733" s="69" customFormat="1" x14ac:dyDescent="0.15"/>
    <row r="20734" s="69" customFormat="1" x14ac:dyDescent="0.15"/>
    <row r="20735" s="69" customFormat="1" x14ac:dyDescent="0.15"/>
    <row r="20736" s="69" customFormat="1" x14ac:dyDescent="0.15"/>
    <row r="20737" s="69" customFormat="1" x14ac:dyDescent="0.15"/>
    <row r="20738" s="69" customFormat="1" x14ac:dyDescent="0.15"/>
    <row r="20739" s="69" customFormat="1" x14ac:dyDescent="0.15"/>
    <row r="20740" s="69" customFormat="1" x14ac:dyDescent="0.15"/>
    <row r="20741" s="69" customFormat="1" x14ac:dyDescent="0.15"/>
    <row r="20742" s="69" customFormat="1" x14ac:dyDescent="0.15"/>
    <row r="20743" s="69" customFormat="1" x14ac:dyDescent="0.15"/>
    <row r="20744" s="69" customFormat="1" x14ac:dyDescent="0.15"/>
    <row r="20745" s="69" customFormat="1" x14ac:dyDescent="0.15"/>
    <row r="20746" s="69" customFormat="1" x14ac:dyDescent="0.15"/>
    <row r="20747" s="69" customFormat="1" x14ac:dyDescent="0.15"/>
    <row r="20748" s="69" customFormat="1" x14ac:dyDescent="0.15"/>
    <row r="20749" s="69" customFormat="1" x14ac:dyDescent="0.15"/>
    <row r="20750" s="69" customFormat="1" x14ac:dyDescent="0.15"/>
    <row r="20751" s="69" customFormat="1" x14ac:dyDescent="0.15"/>
    <row r="20752" s="69" customFormat="1" x14ac:dyDescent="0.15"/>
    <row r="20753" s="69" customFormat="1" x14ac:dyDescent="0.15"/>
    <row r="20754" s="69" customFormat="1" x14ac:dyDescent="0.15"/>
    <row r="20755" s="69" customFormat="1" x14ac:dyDescent="0.15"/>
    <row r="20756" s="69" customFormat="1" x14ac:dyDescent="0.15"/>
    <row r="20757" s="69" customFormat="1" x14ac:dyDescent="0.15"/>
    <row r="20758" s="69" customFormat="1" x14ac:dyDescent="0.15"/>
    <row r="20759" s="69" customFormat="1" x14ac:dyDescent="0.15"/>
    <row r="20760" s="69" customFormat="1" x14ac:dyDescent="0.15"/>
    <row r="20761" s="69" customFormat="1" x14ac:dyDescent="0.15"/>
    <row r="20762" s="69" customFormat="1" x14ac:dyDescent="0.15"/>
    <row r="20763" s="69" customFormat="1" x14ac:dyDescent="0.15"/>
    <row r="20764" s="69" customFormat="1" x14ac:dyDescent="0.15"/>
    <row r="20765" s="69" customFormat="1" x14ac:dyDescent="0.15"/>
    <row r="20766" s="69" customFormat="1" x14ac:dyDescent="0.15"/>
    <row r="20767" s="69" customFormat="1" x14ac:dyDescent="0.15"/>
    <row r="20768" s="69" customFormat="1" x14ac:dyDescent="0.15"/>
    <row r="20769" s="69" customFormat="1" x14ac:dyDescent="0.15"/>
    <row r="20770" s="69" customFormat="1" x14ac:dyDescent="0.15"/>
    <row r="20771" s="69" customFormat="1" x14ac:dyDescent="0.15"/>
    <row r="20772" s="69" customFormat="1" x14ac:dyDescent="0.15"/>
    <row r="20773" s="69" customFormat="1" x14ac:dyDescent="0.15"/>
    <row r="20774" s="69" customFormat="1" x14ac:dyDescent="0.15"/>
    <row r="20775" s="69" customFormat="1" x14ac:dyDescent="0.15"/>
    <row r="20776" s="69" customFormat="1" x14ac:dyDescent="0.15"/>
    <row r="20777" s="69" customFormat="1" x14ac:dyDescent="0.15"/>
    <row r="20778" s="69" customFormat="1" x14ac:dyDescent="0.15"/>
    <row r="20779" s="69" customFormat="1" x14ac:dyDescent="0.15"/>
    <row r="20780" s="69" customFormat="1" x14ac:dyDescent="0.15"/>
    <row r="20781" s="69" customFormat="1" x14ac:dyDescent="0.15"/>
    <row r="20782" s="69" customFormat="1" x14ac:dyDescent="0.15"/>
    <row r="20783" s="69" customFormat="1" x14ac:dyDescent="0.15"/>
    <row r="20784" s="69" customFormat="1" x14ac:dyDescent="0.15"/>
    <row r="20785" s="69" customFormat="1" x14ac:dyDescent="0.15"/>
    <row r="20786" s="69" customFormat="1" x14ac:dyDescent="0.15"/>
    <row r="20787" s="69" customFormat="1" x14ac:dyDescent="0.15"/>
    <row r="20788" s="69" customFormat="1" x14ac:dyDescent="0.15"/>
    <row r="20789" s="69" customFormat="1" x14ac:dyDescent="0.15"/>
    <row r="20790" s="69" customFormat="1" x14ac:dyDescent="0.15"/>
    <row r="20791" s="69" customFormat="1" x14ac:dyDescent="0.15"/>
    <row r="20792" s="69" customFormat="1" x14ac:dyDescent="0.15"/>
    <row r="20793" s="69" customFormat="1" x14ac:dyDescent="0.15"/>
    <row r="20794" s="69" customFormat="1" x14ac:dyDescent="0.15"/>
    <row r="20795" s="69" customFormat="1" x14ac:dyDescent="0.15"/>
    <row r="20796" s="69" customFormat="1" x14ac:dyDescent="0.15"/>
    <row r="20797" s="69" customFormat="1" x14ac:dyDescent="0.15"/>
    <row r="20798" s="69" customFormat="1" x14ac:dyDescent="0.15"/>
    <row r="20799" s="69" customFormat="1" x14ac:dyDescent="0.15"/>
    <row r="20800" s="69" customFormat="1" x14ac:dyDescent="0.15"/>
    <row r="20801" s="69" customFormat="1" x14ac:dyDescent="0.15"/>
    <row r="20802" s="69" customFormat="1" x14ac:dyDescent="0.15"/>
    <row r="20803" s="69" customFormat="1" x14ac:dyDescent="0.15"/>
    <row r="20804" s="69" customFormat="1" x14ac:dyDescent="0.15"/>
    <row r="20805" s="69" customFormat="1" x14ac:dyDescent="0.15"/>
    <row r="20806" s="69" customFormat="1" x14ac:dyDescent="0.15"/>
    <row r="20807" s="69" customFormat="1" x14ac:dyDescent="0.15"/>
    <row r="20808" s="69" customFormat="1" x14ac:dyDescent="0.15"/>
    <row r="20809" s="69" customFormat="1" x14ac:dyDescent="0.15"/>
    <row r="20810" s="69" customFormat="1" x14ac:dyDescent="0.15"/>
    <row r="20811" s="69" customFormat="1" x14ac:dyDescent="0.15"/>
    <row r="20812" s="69" customFormat="1" x14ac:dyDescent="0.15"/>
    <row r="20813" s="69" customFormat="1" x14ac:dyDescent="0.15"/>
    <row r="20814" s="69" customFormat="1" x14ac:dyDescent="0.15"/>
    <row r="20815" s="69" customFormat="1" x14ac:dyDescent="0.15"/>
    <row r="20816" s="69" customFormat="1" x14ac:dyDescent="0.15"/>
    <row r="20817" s="69" customFormat="1" x14ac:dyDescent="0.15"/>
    <row r="20818" s="69" customFormat="1" x14ac:dyDescent="0.15"/>
    <row r="20819" s="69" customFormat="1" x14ac:dyDescent="0.15"/>
    <row r="20820" s="69" customFormat="1" x14ac:dyDescent="0.15"/>
    <row r="20821" s="69" customFormat="1" x14ac:dyDescent="0.15"/>
    <row r="20822" s="69" customFormat="1" x14ac:dyDescent="0.15"/>
    <row r="20823" s="69" customFormat="1" x14ac:dyDescent="0.15"/>
    <row r="20824" s="69" customFormat="1" x14ac:dyDescent="0.15"/>
    <row r="20825" s="69" customFormat="1" x14ac:dyDescent="0.15"/>
    <row r="20826" s="69" customFormat="1" x14ac:dyDescent="0.15"/>
    <row r="20827" s="69" customFormat="1" x14ac:dyDescent="0.15"/>
    <row r="20828" s="69" customFormat="1" x14ac:dyDescent="0.15"/>
    <row r="20829" s="69" customFormat="1" x14ac:dyDescent="0.15"/>
    <row r="20830" s="69" customFormat="1" x14ac:dyDescent="0.15"/>
    <row r="20831" s="69" customFormat="1" x14ac:dyDescent="0.15"/>
    <row r="20832" s="69" customFormat="1" x14ac:dyDescent="0.15"/>
    <row r="20833" s="69" customFormat="1" x14ac:dyDescent="0.15"/>
    <row r="20834" s="69" customFormat="1" x14ac:dyDescent="0.15"/>
    <row r="20835" s="69" customFormat="1" x14ac:dyDescent="0.15"/>
    <row r="20836" s="69" customFormat="1" x14ac:dyDescent="0.15"/>
    <row r="20837" s="69" customFormat="1" x14ac:dyDescent="0.15"/>
    <row r="20838" s="69" customFormat="1" x14ac:dyDescent="0.15"/>
    <row r="20839" s="69" customFormat="1" x14ac:dyDescent="0.15"/>
    <row r="20840" s="69" customFormat="1" x14ac:dyDescent="0.15"/>
    <row r="20841" s="69" customFormat="1" x14ac:dyDescent="0.15"/>
    <row r="20842" s="69" customFormat="1" x14ac:dyDescent="0.15"/>
    <row r="20843" s="69" customFormat="1" x14ac:dyDescent="0.15"/>
    <row r="20844" s="69" customFormat="1" x14ac:dyDescent="0.15"/>
    <row r="20845" s="69" customFormat="1" x14ac:dyDescent="0.15"/>
    <row r="20846" s="69" customFormat="1" x14ac:dyDescent="0.15"/>
    <row r="20847" s="69" customFormat="1" x14ac:dyDescent="0.15"/>
    <row r="20848" s="69" customFormat="1" x14ac:dyDescent="0.15"/>
    <row r="20849" s="69" customFormat="1" x14ac:dyDescent="0.15"/>
    <row r="20850" s="69" customFormat="1" x14ac:dyDescent="0.15"/>
    <row r="20851" s="69" customFormat="1" x14ac:dyDescent="0.15"/>
    <row r="20852" s="69" customFormat="1" x14ac:dyDescent="0.15"/>
    <row r="20853" s="69" customFormat="1" x14ac:dyDescent="0.15"/>
    <row r="20854" s="69" customFormat="1" x14ac:dyDescent="0.15"/>
    <row r="20855" s="69" customFormat="1" x14ac:dyDescent="0.15"/>
    <row r="20856" s="69" customFormat="1" x14ac:dyDescent="0.15"/>
    <row r="20857" s="69" customFormat="1" x14ac:dyDescent="0.15"/>
    <row r="20858" s="69" customFormat="1" x14ac:dyDescent="0.15"/>
    <row r="20859" s="69" customFormat="1" x14ac:dyDescent="0.15"/>
    <row r="20860" s="69" customFormat="1" x14ac:dyDescent="0.15"/>
    <row r="20861" s="69" customFormat="1" x14ac:dyDescent="0.15"/>
    <row r="20862" s="69" customFormat="1" x14ac:dyDescent="0.15"/>
    <row r="20863" s="69" customFormat="1" x14ac:dyDescent="0.15"/>
    <row r="20864" s="69" customFormat="1" x14ac:dyDescent="0.15"/>
    <row r="20865" s="69" customFormat="1" x14ac:dyDescent="0.15"/>
    <row r="20866" s="69" customFormat="1" x14ac:dyDescent="0.15"/>
    <row r="20867" s="69" customFormat="1" x14ac:dyDescent="0.15"/>
    <row r="20868" s="69" customFormat="1" x14ac:dyDescent="0.15"/>
    <row r="20869" s="69" customFormat="1" x14ac:dyDescent="0.15"/>
    <row r="20870" s="69" customFormat="1" x14ac:dyDescent="0.15"/>
    <row r="20871" s="69" customFormat="1" x14ac:dyDescent="0.15"/>
    <row r="20872" s="69" customFormat="1" x14ac:dyDescent="0.15"/>
    <row r="20873" s="69" customFormat="1" x14ac:dyDescent="0.15"/>
    <row r="20874" s="69" customFormat="1" x14ac:dyDescent="0.15"/>
    <row r="20875" s="69" customFormat="1" x14ac:dyDescent="0.15"/>
    <row r="20876" s="69" customFormat="1" x14ac:dyDescent="0.15"/>
    <row r="20877" s="69" customFormat="1" x14ac:dyDescent="0.15"/>
    <row r="20878" s="69" customFormat="1" x14ac:dyDescent="0.15"/>
    <row r="20879" s="69" customFormat="1" x14ac:dyDescent="0.15"/>
    <row r="20880" s="69" customFormat="1" x14ac:dyDescent="0.15"/>
    <row r="20881" s="69" customFormat="1" x14ac:dyDescent="0.15"/>
    <row r="20882" s="69" customFormat="1" x14ac:dyDescent="0.15"/>
    <row r="20883" s="69" customFormat="1" x14ac:dyDescent="0.15"/>
    <row r="20884" s="69" customFormat="1" x14ac:dyDescent="0.15"/>
    <row r="20885" s="69" customFormat="1" x14ac:dyDescent="0.15"/>
    <row r="20886" s="69" customFormat="1" x14ac:dyDescent="0.15"/>
    <row r="20887" s="69" customFormat="1" x14ac:dyDescent="0.15"/>
    <row r="20888" s="69" customFormat="1" x14ac:dyDescent="0.15"/>
    <row r="20889" s="69" customFormat="1" x14ac:dyDescent="0.15"/>
    <row r="20890" s="69" customFormat="1" x14ac:dyDescent="0.15"/>
    <row r="20891" s="69" customFormat="1" x14ac:dyDescent="0.15"/>
    <row r="20892" s="69" customFormat="1" x14ac:dyDescent="0.15"/>
    <row r="20893" s="69" customFormat="1" x14ac:dyDescent="0.15"/>
    <row r="20894" s="69" customFormat="1" x14ac:dyDescent="0.15"/>
    <row r="20895" s="69" customFormat="1" x14ac:dyDescent="0.15"/>
    <row r="20896" s="69" customFormat="1" x14ac:dyDescent="0.15"/>
    <row r="20897" s="69" customFormat="1" x14ac:dyDescent="0.15"/>
    <row r="20898" s="69" customFormat="1" x14ac:dyDescent="0.15"/>
    <row r="20899" s="69" customFormat="1" x14ac:dyDescent="0.15"/>
    <row r="20900" s="69" customFormat="1" x14ac:dyDescent="0.15"/>
    <row r="20901" s="69" customFormat="1" x14ac:dyDescent="0.15"/>
    <row r="20902" s="69" customFormat="1" x14ac:dyDescent="0.15"/>
    <row r="20903" s="69" customFormat="1" x14ac:dyDescent="0.15"/>
    <row r="20904" s="69" customFormat="1" x14ac:dyDescent="0.15"/>
    <row r="20905" s="69" customFormat="1" x14ac:dyDescent="0.15"/>
    <row r="20906" s="69" customFormat="1" x14ac:dyDescent="0.15"/>
    <row r="20907" s="69" customFormat="1" x14ac:dyDescent="0.15"/>
    <row r="20908" s="69" customFormat="1" x14ac:dyDescent="0.15"/>
    <row r="20909" s="69" customFormat="1" x14ac:dyDescent="0.15"/>
    <row r="20910" s="69" customFormat="1" x14ac:dyDescent="0.15"/>
    <row r="20911" s="69" customFormat="1" x14ac:dyDescent="0.15"/>
    <row r="20912" s="69" customFormat="1" x14ac:dyDescent="0.15"/>
    <row r="20913" s="69" customFormat="1" x14ac:dyDescent="0.15"/>
    <row r="20914" s="69" customFormat="1" x14ac:dyDescent="0.15"/>
    <row r="20915" s="69" customFormat="1" x14ac:dyDescent="0.15"/>
    <row r="20916" s="69" customFormat="1" x14ac:dyDescent="0.15"/>
    <row r="20917" s="69" customFormat="1" x14ac:dyDescent="0.15"/>
    <row r="20918" s="69" customFormat="1" x14ac:dyDescent="0.15"/>
    <row r="20919" s="69" customFormat="1" x14ac:dyDescent="0.15"/>
    <row r="20920" s="69" customFormat="1" x14ac:dyDescent="0.15"/>
    <row r="20921" s="69" customFormat="1" x14ac:dyDescent="0.15"/>
    <row r="20922" s="69" customFormat="1" x14ac:dyDescent="0.15"/>
    <row r="20923" s="69" customFormat="1" x14ac:dyDescent="0.15"/>
    <row r="20924" s="69" customFormat="1" x14ac:dyDescent="0.15"/>
    <row r="20925" s="69" customFormat="1" x14ac:dyDescent="0.15"/>
    <row r="20926" s="69" customFormat="1" x14ac:dyDescent="0.15"/>
    <row r="20927" s="69" customFormat="1" x14ac:dyDescent="0.15"/>
    <row r="20928" s="69" customFormat="1" x14ac:dyDescent="0.15"/>
    <row r="20929" s="69" customFormat="1" x14ac:dyDescent="0.15"/>
    <row r="20930" s="69" customFormat="1" x14ac:dyDescent="0.15"/>
    <row r="20931" s="69" customFormat="1" x14ac:dyDescent="0.15"/>
    <row r="20932" s="69" customFormat="1" x14ac:dyDescent="0.15"/>
    <row r="20933" s="69" customFormat="1" x14ac:dyDescent="0.15"/>
    <row r="20934" s="69" customFormat="1" x14ac:dyDescent="0.15"/>
    <row r="20935" s="69" customFormat="1" x14ac:dyDescent="0.15"/>
    <row r="20936" s="69" customFormat="1" x14ac:dyDescent="0.15"/>
    <row r="20937" s="69" customFormat="1" x14ac:dyDescent="0.15"/>
    <row r="20938" s="69" customFormat="1" x14ac:dyDescent="0.15"/>
    <row r="20939" s="69" customFormat="1" x14ac:dyDescent="0.15"/>
    <row r="20940" s="69" customFormat="1" x14ac:dyDescent="0.15"/>
    <row r="20941" s="69" customFormat="1" x14ac:dyDescent="0.15"/>
    <row r="20942" s="69" customFormat="1" x14ac:dyDescent="0.15"/>
    <row r="20943" s="69" customFormat="1" x14ac:dyDescent="0.15"/>
    <row r="20944" s="69" customFormat="1" x14ac:dyDescent="0.15"/>
    <row r="20945" s="69" customFormat="1" x14ac:dyDescent="0.15"/>
    <row r="20946" s="69" customFormat="1" x14ac:dyDescent="0.15"/>
    <row r="20947" s="69" customFormat="1" x14ac:dyDescent="0.15"/>
    <row r="20948" s="69" customFormat="1" x14ac:dyDescent="0.15"/>
    <row r="20949" s="69" customFormat="1" x14ac:dyDescent="0.15"/>
    <row r="20950" s="69" customFormat="1" x14ac:dyDescent="0.15"/>
    <row r="20951" s="69" customFormat="1" x14ac:dyDescent="0.15"/>
    <row r="20952" s="69" customFormat="1" x14ac:dyDescent="0.15"/>
    <row r="20953" s="69" customFormat="1" x14ac:dyDescent="0.15"/>
    <row r="20954" s="69" customFormat="1" x14ac:dyDescent="0.15"/>
    <row r="20955" s="69" customFormat="1" x14ac:dyDescent="0.15"/>
    <row r="20956" s="69" customFormat="1" x14ac:dyDescent="0.15"/>
    <row r="20957" s="69" customFormat="1" x14ac:dyDescent="0.15"/>
    <row r="20958" s="69" customFormat="1" x14ac:dyDescent="0.15"/>
    <row r="20959" s="69" customFormat="1" x14ac:dyDescent="0.15"/>
    <row r="20960" s="69" customFormat="1" x14ac:dyDescent="0.15"/>
    <row r="20961" s="69" customFormat="1" x14ac:dyDescent="0.15"/>
    <row r="20962" s="69" customFormat="1" x14ac:dyDescent="0.15"/>
    <row r="20963" s="69" customFormat="1" x14ac:dyDescent="0.15"/>
    <row r="20964" s="69" customFormat="1" x14ac:dyDescent="0.15"/>
    <row r="20965" s="69" customFormat="1" x14ac:dyDescent="0.15"/>
    <row r="20966" s="69" customFormat="1" x14ac:dyDescent="0.15"/>
    <row r="20967" s="69" customFormat="1" x14ac:dyDescent="0.15"/>
    <row r="20968" s="69" customFormat="1" x14ac:dyDescent="0.15"/>
    <row r="20969" s="69" customFormat="1" x14ac:dyDescent="0.15"/>
    <row r="20970" s="69" customFormat="1" x14ac:dyDescent="0.15"/>
    <row r="20971" s="69" customFormat="1" x14ac:dyDescent="0.15"/>
    <row r="20972" s="69" customFormat="1" x14ac:dyDescent="0.15"/>
    <row r="20973" s="69" customFormat="1" x14ac:dyDescent="0.15"/>
    <row r="20974" s="69" customFormat="1" x14ac:dyDescent="0.15"/>
    <row r="20975" s="69" customFormat="1" x14ac:dyDescent="0.15"/>
    <row r="20976" s="69" customFormat="1" x14ac:dyDescent="0.15"/>
    <row r="20977" s="69" customFormat="1" x14ac:dyDescent="0.15"/>
    <row r="20978" s="69" customFormat="1" x14ac:dyDescent="0.15"/>
    <row r="20979" s="69" customFormat="1" x14ac:dyDescent="0.15"/>
    <row r="20980" s="69" customFormat="1" x14ac:dyDescent="0.15"/>
    <row r="20981" s="69" customFormat="1" x14ac:dyDescent="0.15"/>
    <row r="20982" s="69" customFormat="1" x14ac:dyDescent="0.15"/>
    <row r="20983" s="69" customFormat="1" x14ac:dyDescent="0.15"/>
    <row r="20984" s="69" customFormat="1" x14ac:dyDescent="0.15"/>
    <row r="20985" s="69" customFormat="1" x14ac:dyDescent="0.15"/>
    <row r="20986" s="69" customFormat="1" x14ac:dyDescent="0.15"/>
    <row r="20987" s="69" customFormat="1" x14ac:dyDescent="0.15"/>
    <row r="20988" s="69" customFormat="1" x14ac:dyDescent="0.15"/>
    <row r="20989" s="69" customFormat="1" x14ac:dyDescent="0.15"/>
    <row r="20990" s="69" customFormat="1" x14ac:dyDescent="0.15"/>
    <row r="20991" s="69" customFormat="1" x14ac:dyDescent="0.15"/>
    <row r="20992" s="69" customFormat="1" x14ac:dyDescent="0.15"/>
    <row r="20993" s="69" customFormat="1" x14ac:dyDescent="0.15"/>
    <row r="20994" s="69" customFormat="1" x14ac:dyDescent="0.15"/>
    <row r="20995" s="69" customFormat="1" x14ac:dyDescent="0.15"/>
    <row r="20996" s="69" customFormat="1" x14ac:dyDescent="0.15"/>
    <row r="20997" s="69" customFormat="1" x14ac:dyDescent="0.15"/>
    <row r="20998" s="69" customFormat="1" x14ac:dyDescent="0.15"/>
    <row r="20999" s="69" customFormat="1" x14ac:dyDescent="0.15"/>
    <row r="21000" s="69" customFormat="1" x14ac:dyDescent="0.15"/>
    <row r="21001" s="69" customFormat="1" x14ac:dyDescent="0.15"/>
    <row r="21002" s="69" customFormat="1" x14ac:dyDescent="0.15"/>
    <row r="21003" s="69" customFormat="1" x14ac:dyDescent="0.15"/>
    <row r="21004" s="69" customFormat="1" x14ac:dyDescent="0.15"/>
    <row r="21005" s="69" customFormat="1" x14ac:dyDescent="0.15"/>
    <row r="21006" s="69" customFormat="1" x14ac:dyDescent="0.15"/>
    <row r="21007" s="69" customFormat="1" x14ac:dyDescent="0.15"/>
    <row r="21008" s="69" customFormat="1" x14ac:dyDescent="0.15"/>
    <row r="21009" s="69" customFormat="1" x14ac:dyDescent="0.15"/>
    <row r="21010" s="69" customFormat="1" x14ac:dyDescent="0.15"/>
    <row r="21011" s="69" customFormat="1" x14ac:dyDescent="0.15"/>
    <row r="21012" s="69" customFormat="1" x14ac:dyDescent="0.15"/>
    <row r="21013" s="69" customFormat="1" x14ac:dyDescent="0.15"/>
    <row r="21014" s="69" customFormat="1" x14ac:dyDescent="0.15"/>
    <row r="21015" s="69" customFormat="1" x14ac:dyDescent="0.15"/>
    <row r="21016" s="69" customFormat="1" x14ac:dyDescent="0.15"/>
    <row r="21017" s="69" customFormat="1" x14ac:dyDescent="0.15"/>
    <row r="21018" s="69" customFormat="1" x14ac:dyDescent="0.15"/>
    <row r="21019" s="69" customFormat="1" x14ac:dyDescent="0.15"/>
    <row r="21020" s="69" customFormat="1" x14ac:dyDescent="0.15"/>
    <row r="21021" s="69" customFormat="1" x14ac:dyDescent="0.15"/>
    <row r="21022" s="69" customFormat="1" x14ac:dyDescent="0.15"/>
    <row r="21023" s="69" customFormat="1" x14ac:dyDescent="0.15"/>
    <row r="21024" s="69" customFormat="1" x14ac:dyDescent="0.15"/>
    <row r="21025" s="69" customFormat="1" x14ac:dyDescent="0.15"/>
    <row r="21026" s="69" customFormat="1" x14ac:dyDescent="0.15"/>
    <row r="21027" s="69" customFormat="1" x14ac:dyDescent="0.15"/>
    <row r="21028" s="69" customFormat="1" x14ac:dyDescent="0.15"/>
    <row r="21029" s="69" customFormat="1" x14ac:dyDescent="0.15"/>
    <row r="21030" s="69" customFormat="1" x14ac:dyDescent="0.15"/>
    <row r="21031" s="69" customFormat="1" x14ac:dyDescent="0.15"/>
    <row r="21032" s="69" customFormat="1" x14ac:dyDescent="0.15"/>
    <row r="21033" s="69" customFormat="1" x14ac:dyDescent="0.15"/>
    <row r="21034" s="69" customFormat="1" x14ac:dyDescent="0.15"/>
    <row r="21035" s="69" customFormat="1" x14ac:dyDescent="0.15"/>
    <row r="21036" s="69" customFormat="1" x14ac:dyDescent="0.15"/>
    <row r="21037" s="69" customFormat="1" x14ac:dyDescent="0.15"/>
    <row r="21038" s="69" customFormat="1" x14ac:dyDescent="0.15"/>
    <row r="21039" s="69" customFormat="1" x14ac:dyDescent="0.15"/>
    <row r="21040" s="69" customFormat="1" x14ac:dyDescent="0.15"/>
    <row r="21041" s="69" customFormat="1" x14ac:dyDescent="0.15"/>
    <row r="21042" s="69" customFormat="1" x14ac:dyDescent="0.15"/>
    <row r="21043" s="69" customFormat="1" x14ac:dyDescent="0.15"/>
    <row r="21044" s="69" customFormat="1" x14ac:dyDescent="0.15"/>
    <row r="21045" s="69" customFormat="1" x14ac:dyDescent="0.15"/>
    <row r="21046" s="69" customFormat="1" x14ac:dyDescent="0.15"/>
    <row r="21047" s="69" customFormat="1" x14ac:dyDescent="0.15"/>
    <row r="21048" s="69" customFormat="1" x14ac:dyDescent="0.15"/>
    <row r="21049" s="69" customFormat="1" x14ac:dyDescent="0.15"/>
    <row r="21050" s="69" customFormat="1" x14ac:dyDescent="0.15"/>
    <row r="21051" s="69" customFormat="1" x14ac:dyDescent="0.15"/>
    <row r="21052" s="69" customFormat="1" x14ac:dyDescent="0.15"/>
    <row r="21053" s="69" customFormat="1" x14ac:dyDescent="0.15"/>
    <row r="21054" s="69" customFormat="1" x14ac:dyDescent="0.15"/>
    <row r="21055" s="69" customFormat="1" x14ac:dyDescent="0.15"/>
    <row r="21056" s="69" customFormat="1" x14ac:dyDescent="0.15"/>
    <row r="21057" s="69" customFormat="1" x14ac:dyDescent="0.15"/>
    <row r="21058" s="69" customFormat="1" x14ac:dyDescent="0.15"/>
    <row r="21059" s="69" customFormat="1" x14ac:dyDescent="0.15"/>
    <row r="21060" s="69" customFormat="1" x14ac:dyDescent="0.15"/>
    <row r="21061" s="69" customFormat="1" x14ac:dyDescent="0.15"/>
    <row r="21062" s="69" customFormat="1" x14ac:dyDescent="0.15"/>
    <row r="21063" s="69" customFormat="1" x14ac:dyDescent="0.15"/>
    <row r="21064" s="69" customFormat="1" x14ac:dyDescent="0.15"/>
    <row r="21065" s="69" customFormat="1" x14ac:dyDescent="0.15"/>
    <row r="21066" s="69" customFormat="1" x14ac:dyDescent="0.15"/>
    <row r="21067" s="69" customFormat="1" x14ac:dyDescent="0.15"/>
    <row r="21068" s="69" customFormat="1" x14ac:dyDescent="0.15"/>
    <row r="21069" s="69" customFormat="1" x14ac:dyDescent="0.15"/>
    <row r="21070" s="69" customFormat="1" x14ac:dyDescent="0.15"/>
    <row r="21071" s="69" customFormat="1" x14ac:dyDescent="0.15"/>
    <row r="21072" s="69" customFormat="1" x14ac:dyDescent="0.15"/>
    <row r="21073" s="69" customFormat="1" x14ac:dyDescent="0.15"/>
    <row r="21074" s="69" customFormat="1" x14ac:dyDescent="0.15"/>
    <row r="21075" s="69" customFormat="1" x14ac:dyDescent="0.15"/>
    <row r="21076" s="69" customFormat="1" x14ac:dyDescent="0.15"/>
    <row r="21077" s="69" customFormat="1" x14ac:dyDescent="0.15"/>
    <row r="21078" s="69" customFormat="1" x14ac:dyDescent="0.15"/>
    <row r="21079" s="69" customFormat="1" x14ac:dyDescent="0.15"/>
    <row r="21080" s="69" customFormat="1" x14ac:dyDescent="0.15"/>
    <row r="21081" s="69" customFormat="1" x14ac:dyDescent="0.15"/>
    <row r="21082" s="69" customFormat="1" x14ac:dyDescent="0.15"/>
    <row r="21083" s="69" customFormat="1" x14ac:dyDescent="0.15"/>
    <row r="21084" s="69" customFormat="1" x14ac:dyDescent="0.15"/>
    <row r="21085" s="69" customFormat="1" x14ac:dyDescent="0.15"/>
    <row r="21086" s="69" customFormat="1" x14ac:dyDescent="0.15"/>
    <row r="21087" s="69" customFormat="1" x14ac:dyDescent="0.15"/>
    <row r="21088" s="69" customFormat="1" x14ac:dyDescent="0.15"/>
    <row r="21089" s="69" customFormat="1" x14ac:dyDescent="0.15"/>
    <row r="21090" s="69" customFormat="1" x14ac:dyDescent="0.15"/>
    <row r="21091" s="69" customFormat="1" x14ac:dyDescent="0.15"/>
    <row r="21092" s="69" customFormat="1" x14ac:dyDescent="0.15"/>
    <row r="21093" s="69" customFormat="1" x14ac:dyDescent="0.15"/>
    <row r="21094" s="69" customFormat="1" x14ac:dyDescent="0.15"/>
    <row r="21095" s="69" customFormat="1" x14ac:dyDescent="0.15"/>
    <row r="21096" s="69" customFormat="1" x14ac:dyDescent="0.15"/>
    <row r="21097" s="69" customFormat="1" x14ac:dyDescent="0.15"/>
    <row r="21098" s="69" customFormat="1" x14ac:dyDescent="0.15"/>
    <row r="21099" s="69" customFormat="1" x14ac:dyDescent="0.15"/>
    <row r="21100" s="69" customFormat="1" x14ac:dyDescent="0.15"/>
    <row r="21101" s="69" customFormat="1" x14ac:dyDescent="0.15"/>
    <row r="21102" s="69" customFormat="1" x14ac:dyDescent="0.15"/>
    <row r="21103" s="69" customFormat="1" x14ac:dyDescent="0.15"/>
    <row r="21104" s="69" customFormat="1" x14ac:dyDescent="0.15"/>
    <row r="21105" s="69" customFormat="1" x14ac:dyDescent="0.15"/>
    <row r="21106" s="69" customFormat="1" x14ac:dyDescent="0.15"/>
    <row r="21107" s="69" customFormat="1" x14ac:dyDescent="0.15"/>
    <row r="21108" s="69" customFormat="1" x14ac:dyDescent="0.15"/>
    <row r="21109" s="69" customFormat="1" x14ac:dyDescent="0.15"/>
    <row r="21110" s="69" customFormat="1" x14ac:dyDescent="0.15"/>
    <row r="21111" s="69" customFormat="1" x14ac:dyDescent="0.15"/>
    <row r="21112" s="69" customFormat="1" x14ac:dyDescent="0.15"/>
    <row r="21113" s="69" customFormat="1" x14ac:dyDescent="0.15"/>
    <row r="21114" s="69" customFormat="1" x14ac:dyDescent="0.15"/>
    <row r="21115" s="69" customFormat="1" x14ac:dyDescent="0.15"/>
    <row r="21116" s="69" customFormat="1" x14ac:dyDescent="0.15"/>
    <row r="21117" s="69" customFormat="1" x14ac:dyDescent="0.15"/>
    <row r="21118" s="69" customFormat="1" x14ac:dyDescent="0.15"/>
    <row r="21119" s="69" customFormat="1" x14ac:dyDescent="0.15"/>
    <row r="21120" s="69" customFormat="1" x14ac:dyDescent="0.15"/>
    <row r="21121" s="69" customFormat="1" x14ac:dyDescent="0.15"/>
    <row r="21122" s="69" customFormat="1" x14ac:dyDescent="0.15"/>
    <row r="21123" s="69" customFormat="1" x14ac:dyDescent="0.15"/>
    <row r="21124" s="69" customFormat="1" x14ac:dyDescent="0.15"/>
    <row r="21125" s="69" customFormat="1" x14ac:dyDescent="0.15"/>
    <row r="21126" s="69" customFormat="1" x14ac:dyDescent="0.15"/>
    <row r="21127" s="69" customFormat="1" x14ac:dyDescent="0.15"/>
    <row r="21128" s="69" customFormat="1" x14ac:dyDescent="0.15"/>
    <row r="21129" s="69" customFormat="1" x14ac:dyDescent="0.15"/>
    <row r="21130" s="69" customFormat="1" x14ac:dyDescent="0.15"/>
    <row r="21131" s="69" customFormat="1" x14ac:dyDescent="0.15"/>
    <row r="21132" s="69" customFormat="1" x14ac:dyDescent="0.15"/>
    <row r="21133" s="69" customFormat="1" x14ac:dyDescent="0.15"/>
    <row r="21134" s="69" customFormat="1" x14ac:dyDescent="0.15"/>
    <row r="21135" s="69" customFormat="1" x14ac:dyDescent="0.15"/>
    <row r="21136" s="69" customFormat="1" x14ac:dyDescent="0.15"/>
    <row r="21137" s="69" customFormat="1" x14ac:dyDescent="0.15"/>
    <row r="21138" s="69" customFormat="1" x14ac:dyDescent="0.15"/>
    <row r="21139" s="69" customFormat="1" x14ac:dyDescent="0.15"/>
    <row r="21140" s="69" customFormat="1" x14ac:dyDescent="0.15"/>
    <row r="21141" s="69" customFormat="1" x14ac:dyDescent="0.15"/>
    <row r="21142" s="69" customFormat="1" x14ac:dyDescent="0.15"/>
    <row r="21143" s="69" customFormat="1" x14ac:dyDescent="0.15"/>
    <row r="21144" s="69" customFormat="1" x14ac:dyDescent="0.15"/>
    <row r="21145" s="69" customFormat="1" x14ac:dyDescent="0.15"/>
    <row r="21146" s="69" customFormat="1" x14ac:dyDescent="0.15"/>
    <row r="21147" s="69" customFormat="1" x14ac:dyDescent="0.15"/>
    <row r="21148" s="69" customFormat="1" x14ac:dyDescent="0.15"/>
    <row r="21149" s="69" customFormat="1" x14ac:dyDescent="0.15"/>
    <row r="21150" s="69" customFormat="1" x14ac:dyDescent="0.15"/>
    <row r="21151" s="69" customFormat="1" x14ac:dyDescent="0.15"/>
    <row r="21152" s="69" customFormat="1" x14ac:dyDescent="0.15"/>
    <row r="21153" s="69" customFormat="1" x14ac:dyDescent="0.15"/>
    <row r="21154" s="69" customFormat="1" x14ac:dyDescent="0.15"/>
    <row r="21155" s="69" customFormat="1" x14ac:dyDescent="0.15"/>
    <row r="21156" s="69" customFormat="1" x14ac:dyDescent="0.15"/>
    <row r="21157" s="69" customFormat="1" x14ac:dyDescent="0.15"/>
    <row r="21158" s="69" customFormat="1" x14ac:dyDescent="0.15"/>
    <row r="21159" s="69" customFormat="1" x14ac:dyDescent="0.15"/>
    <row r="21160" s="69" customFormat="1" x14ac:dyDescent="0.15"/>
    <row r="21161" s="69" customFormat="1" x14ac:dyDescent="0.15"/>
    <row r="21162" s="69" customFormat="1" x14ac:dyDescent="0.15"/>
    <row r="21163" s="69" customFormat="1" x14ac:dyDescent="0.15"/>
    <row r="21164" s="69" customFormat="1" x14ac:dyDescent="0.15"/>
    <row r="21165" s="69" customFormat="1" x14ac:dyDescent="0.15"/>
    <row r="21166" s="69" customFormat="1" x14ac:dyDescent="0.15"/>
    <row r="21167" s="69" customFormat="1" x14ac:dyDescent="0.15"/>
    <row r="21168" s="69" customFormat="1" x14ac:dyDescent="0.15"/>
    <row r="21169" s="69" customFormat="1" x14ac:dyDescent="0.15"/>
    <row r="21170" s="69" customFormat="1" x14ac:dyDescent="0.15"/>
    <row r="21171" s="69" customFormat="1" x14ac:dyDescent="0.15"/>
    <row r="21172" s="69" customFormat="1" x14ac:dyDescent="0.15"/>
    <row r="21173" s="69" customFormat="1" x14ac:dyDescent="0.15"/>
    <row r="21174" s="69" customFormat="1" x14ac:dyDescent="0.15"/>
    <row r="21175" s="69" customFormat="1" x14ac:dyDescent="0.15"/>
    <row r="21176" s="69" customFormat="1" x14ac:dyDescent="0.15"/>
    <row r="21177" s="69" customFormat="1" x14ac:dyDescent="0.15"/>
    <row r="21178" s="69" customFormat="1" x14ac:dyDescent="0.15"/>
    <row r="21179" s="69" customFormat="1" x14ac:dyDescent="0.15"/>
    <row r="21180" s="69" customFormat="1" x14ac:dyDescent="0.15"/>
    <row r="21181" s="69" customFormat="1" x14ac:dyDescent="0.15"/>
    <row r="21182" s="69" customFormat="1" x14ac:dyDescent="0.15"/>
    <row r="21183" s="69" customFormat="1" x14ac:dyDescent="0.15"/>
    <row r="21184" s="69" customFormat="1" x14ac:dyDescent="0.15"/>
    <row r="21185" s="69" customFormat="1" x14ac:dyDescent="0.15"/>
    <row r="21186" s="69" customFormat="1" x14ac:dyDescent="0.15"/>
    <row r="21187" s="69" customFormat="1" x14ac:dyDescent="0.15"/>
    <row r="21188" s="69" customFormat="1" x14ac:dyDescent="0.15"/>
    <row r="21189" s="69" customFormat="1" x14ac:dyDescent="0.15"/>
    <row r="21190" s="69" customFormat="1" x14ac:dyDescent="0.15"/>
    <row r="21191" s="69" customFormat="1" x14ac:dyDescent="0.15"/>
    <row r="21192" s="69" customFormat="1" x14ac:dyDescent="0.15"/>
    <row r="21193" s="69" customFormat="1" x14ac:dyDescent="0.15"/>
    <row r="21194" s="69" customFormat="1" x14ac:dyDescent="0.15"/>
    <row r="21195" s="69" customFormat="1" x14ac:dyDescent="0.15"/>
    <row r="21196" s="69" customFormat="1" x14ac:dyDescent="0.15"/>
    <row r="21197" s="69" customFormat="1" x14ac:dyDescent="0.15"/>
    <row r="21198" s="69" customFormat="1" x14ac:dyDescent="0.15"/>
    <row r="21199" s="69" customFormat="1" x14ac:dyDescent="0.15"/>
    <row r="21200" s="69" customFormat="1" x14ac:dyDescent="0.15"/>
    <row r="21201" s="69" customFormat="1" x14ac:dyDescent="0.15"/>
    <row r="21202" s="69" customFormat="1" x14ac:dyDescent="0.15"/>
    <row r="21203" s="69" customFormat="1" x14ac:dyDescent="0.15"/>
    <row r="21204" s="69" customFormat="1" x14ac:dyDescent="0.15"/>
    <row r="21205" s="69" customFormat="1" x14ac:dyDescent="0.15"/>
    <row r="21206" s="69" customFormat="1" x14ac:dyDescent="0.15"/>
    <row r="21207" s="69" customFormat="1" x14ac:dyDescent="0.15"/>
    <row r="21208" s="69" customFormat="1" x14ac:dyDescent="0.15"/>
    <row r="21209" s="69" customFormat="1" x14ac:dyDescent="0.15"/>
    <row r="21210" s="69" customFormat="1" x14ac:dyDescent="0.15"/>
    <row r="21211" s="69" customFormat="1" x14ac:dyDescent="0.15"/>
    <row r="21212" s="69" customFormat="1" x14ac:dyDescent="0.15"/>
    <row r="21213" s="69" customFormat="1" x14ac:dyDescent="0.15"/>
    <row r="21214" s="69" customFormat="1" x14ac:dyDescent="0.15"/>
    <row r="21215" s="69" customFormat="1" x14ac:dyDescent="0.15"/>
    <row r="21216" s="69" customFormat="1" x14ac:dyDescent="0.15"/>
    <row r="21217" s="69" customFormat="1" x14ac:dyDescent="0.15"/>
    <row r="21218" s="69" customFormat="1" x14ac:dyDescent="0.15"/>
    <row r="21219" s="69" customFormat="1" x14ac:dyDescent="0.15"/>
    <row r="21220" s="69" customFormat="1" x14ac:dyDescent="0.15"/>
    <row r="21221" s="69" customFormat="1" x14ac:dyDescent="0.15"/>
    <row r="21222" s="69" customFormat="1" x14ac:dyDescent="0.15"/>
    <row r="21223" s="69" customFormat="1" x14ac:dyDescent="0.15"/>
    <row r="21224" s="69" customFormat="1" x14ac:dyDescent="0.15"/>
    <row r="21225" s="69" customFormat="1" x14ac:dyDescent="0.15"/>
    <row r="21226" s="69" customFormat="1" x14ac:dyDescent="0.15"/>
    <row r="21227" s="69" customFormat="1" x14ac:dyDescent="0.15"/>
    <row r="21228" s="69" customFormat="1" x14ac:dyDescent="0.15"/>
    <row r="21229" s="69" customFormat="1" x14ac:dyDescent="0.15"/>
    <row r="21230" s="69" customFormat="1" x14ac:dyDescent="0.15"/>
    <row r="21231" s="69" customFormat="1" x14ac:dyDescent="0.15"/>
    <row r="21232" s="69" customFormat="1" x14ac:dyDescent="0.15"/>
    <row r="21233" s="69" customFormat="1" x14ac:dyDescent="0.15"/>
    <row r="21234" s="69" customFormat="1" x14ac:dyDescent="0.15"/>
    <row r="21235" s="69" customFormat="1" x14ac:dyDescent="0.15"/>
    <row r="21236" s="69" customFormat="1" x14ac:dyDescent="0.15"/>
    <row r="21237" s="69" customFormat="1" x14ac:dyDescent="0.15"/>
    <row r="21238" s="69" customFormat="1" x14ac:dyDescent="0.15"/>
    <row r="21239" s="69" customFormat="1" x14ac:dyDescent="0.15"/>
    <row r="21240" s="69" customFormat="1" x14ac:dyDescent="0.15"/>
    <row r="21241" s="69" customFormat="1" x14ac:dyDescent="0.15"/>
    <row r="21242" s="69" customFormat="1" x14ac:dyDescent="0.15"/>
    <row r="21243" s="69" customFormat="1" x14ac:dyDescent="0.15"/>
    <row r="21244" s="69" customFormat="1" x14ac:dyDescent="0.15"/>
    <row r="21245" s="69" customFormat="1" x14ac:dyDescent="0.15"/>
    <row r="21246" s="69" customFormat="1" x14ac:dyDescent="0.15"/>
    <row r="21247" s="69" customFormat="1" x14ac:dyDescent="0.15"/>
    <row r="21248" s="69" customFormat="1" x14ac:dyDescent="0.15"/>
    <row r="21249" s="69" customFormat="1" x14ac:dyDescent="0.15"/>
    <row r="21250" s="69" customFormat="1" x14ac:dyDescent="0.15"/>
    <row r="21251" s="69" customFormat="1" x14ac:dyDescent="0.15"/>
    <row r="21252" s="69" customFormat="1" x14ac:dyDescent="0.15"/>
    <row r="21253" s="69" customFormat="1" x14ac:dyDescent="0.15"/>
    <row r="21254" s="69" customFormat="1" x14ac:dyDescent="0.15"/>
    <row r="21255" s="69" customFormat="1" x14ac:dyDescent="0.15"/>
    <row r="21256" s="69" customFormat="1" x14ac:dyDescent="0.15"/>
    <row r="21257" s="69" customFormat="1" x14ac:dyDescent="0.15"/>
    <row r="21258" s="69" customFormat="1" x14ac:dyDescent="0.15"/>
    <row r="21259" s="69" customFormat="1" x14ac:dyDescent="0.15"/>
    <row r="21260" s="69" customFormat="1" x14ac:dyDescent="0.15"/>
    <row r="21261" s="69" customFormat="1" x14ac:dyDescent="0.15"/>
    <row r="21262" s="69" customFormat="1" x14ac:dyDescent="0.15"/>
    <row r="21263" s="69" customFormat="1" x14ac:dyDescent="0.15"/>
    <row r="21264" s="69" customFormat="1" x14ac:dyDescent="0.15"/>
    <row r="21265" s="69" customFormat="1" x14ac:dyDescent="0.15"/>
    <row r="21266" s="69" customFormat="1" x14ac:dyDescent="0.15"/>
    <row r="21267" s="69" customFormat="1" x14ac:dyDescent="0.15"/>
    <row r="21268" s="69" customFormat="1" x14ac:dyDescent="0.15"/>
    <row r="21269" s="69" customFormat="1" x14ac:dyDescent="0.15"/>
    <row r="21270" s="69" customFormat="1" x14ac:dyDescent="0.15"/>
    <row r="21271" s="69" customFormat="1" x14ac:dyDescent="0.15"/>
    <row r="21272" s="69" customFormat="1" x14ac:dyDescent="0.15"/>
    <row r="21273" s="69" customFormat="1" x14ac:dyDescent="0.15"/>
    <row r="21274" s="69" customFormat="1" x14ac:dyDescent="0.15"/>
    <row r="21275" s="69" customFormat="1" x14ac:dyDescent="0.15"/>
    <row r="21276" s="69" customFormat="1" x14ac:dyDescent="0.15"/>
    <row r="21277" s="69" customFormat="1" x14ac:dyDescent="0.15"/>
    <row r="21278" s="69" customFormat="1" x14ac:dyDescent="0.15"/>
    <row r="21279" s="69" customFormat="1" x14ac:dyDescent="0.15"/>
    <row r="21280" s="69" customFormat="1" x14ac:dyDescent="0.15"/>
    <row r="21281" s="69" customFormat="1" x14ac:dyDescent="0.15"/>
    <row r="21282" s="69" customFormat="1" x14ac:dyDescent="0.15"/>
    <row r="21283" s="69" customFormat="1" x14ac:dyDescent="0.15"/>
    <row r="21284" s="69" customFormat="1" x14ac:dyDescent="0.15"/>
    <row r="21285" s="69" customFormat="1" x14ac:dyDescent="0.15"/>
    <row r="21286" s="69" customFormat="1" x14ac:dyDescent="0.15"/>
    <row r="21287" s="69" customFormat="1" x14ac:dyDescent="0.15"/>
    <row r="21288" s="69" customFormat="1" x14ac:dyDescent="0.15"/>
    <row r="21289" s="69" customFormat="1" x14ac:dyDescent="0.15"/>
    <row r="21290" s="69" customFormat="1" x14ac:dyDescent="0.15"/>
    <row r="21291" s="69" customFormat="1" x14ac:dyDescent="0.15"/>
    <row r="21292" s="69" customFormat="1" x14ac:dyDescent="0.15"/>
    <row r="21293" s="69" customFormat="1" x14ac:dyDescent="0.15"/>
    <row r="21294" s="69" customFormat="1" x14ac:dyDescent="0.15"/>
    <row r="21295" s="69" customFormat="1" x14ac:dyDescent="0.15"/>
    <row r="21296" s="69" customFormat="1" x14ac:dyDescent="0.15"/>
    <row r="21297" s="69" customFormat="1" x14ac:dyDescent="0.15"/>
    <row r="21298" s="69" customFormat="1" x14ac:dyDescent="0.15"/>
    <row r="21299" s="69" customFormat="1" x14ac:dyDescent="0.15"/>
    <row r="21300" s="69" customFormat="1" x14ac:dyDescent="0.15"/>
    <row r="21301" s="69" customFormat="1" x14ac:dyDescent="0.15"/>
    <row r="21302" s="69" customFormat="1" x14ac:dyDescent="0.15"/>
    <row r="21303" s="69" customFormat="1" x14ac:dyDescent="0.15"/>
    <row r="21304" s="69" customFormat="1" x14ac:dyDescent="0.15"/>
    <row r="21305" s="69" customFormat="1" x14ac:dyDescent="0.15"/>
    <row r="21306" s="69" customFormat="1" x14ac:dyDescent="0.15"/>
    <row r="21307" s="69" customFormat="1" x14ac:dyDescent="0.15"/>
    <row r="21308" s="69" customFormat="1" x14ac:dyDescent="0.15"/>
    <row r="21309" s="69" customFormat="1" x14ac:dyDescent="0.15"/>
    <row r="21310" s="69" customFormat="1" x14ac:dyDescent="0.15"/>
    <row r="21311" s="69" customFormat="1" x14ac:dyDescent="0.15"/>
    <row r="21312" s="69" customFormat="1" x14ac:dyDescent="0.15"/>
    <row r="21313" s="69" customFormat="1" x14ac:dyDescent="0.15"/>
    <row r="21314" s="69" customFormat="1" x14ac:dyDescent="0.15"/>
    <row r="21315" s="69" customFormat="1" x14ac:dyDescent="0.15"/>
    <row r="21316" s="69" customFormat="1" x14ac:dyDescent="0.15"/>
    <row r="21317" s="69" customFormat="1" x14ac:dyDescent="0.15"/>
    <row r="21318" s="69" customFormat="1" x14ac:dyDescent="0.15"/>
    <row r="21319" s="69" customFormat="1" x14ac:dyDescent="0.15"/>
    <row r="21320" s="69" customFormat="1" x14ac:dyDescent="0.15"/>
    <row r="21321" s="69" customFormat="1" x14ac:dyDescent="0.15"/>
    <row r="21322" s="69" customFormat="1" x14ac:dyDescent="0.15"/>
    <row r="21323" s="69" customFormat="1" x14ac:dyDescent="0.15"/>
    <row r="21324" s="69" customFormat="1" x14ac:dyDescent="0.15"/>
    <row r="21325" s="69" customFormat="1" x14ac:dyDescent="0.15"/>
    <row r="21326" s="69" customFormat="1" x14ac:dyDescent="0.15"/>
    <row r="21327" s="69" customFormat="1" x14ac:dyDescent="0.15"/>
    <row r="21328" s="69" customFormat="1" x14ac:dyDescent="0.15"/>
    <row r="21329" s="69" customFormat="1" x14ac:dyDescent="0.15"/>
    <row r="21330" s="69" customFormat="1" x14ac:dyDescent="0.15"/>
    <row r="21331" s="69" customFormat="1" x14ac:dyDescent="0.15"/>
    <row r="21332" s="69" customFormat="1" x14ac:dyDescent="0.15"/>
    <row r="21333" s="69" customFormat="1" x14ac:dyDescent="0.15"/>
    <row r="21334" s="69" customFormat="1" x14ac:dyDescent="0.15"/>
    <row r="21335" s="69" customFormat="1" x14ac:dyDescent="0.15"/>
    <row r="21336" s="69" customFormat="1" x14ac:dyDescent="0.15"/>
    <row r="21337" s="69" customFormat="1" x14ac:dyDescent="0.15"/>
    <row r="21338" s="69" customFormat="1" x14ac:dyDescent="0.15"/>
    <row r="21339" s="69" customFormat="1" x14ac:dyDescent="0.15"/>
    <row r="21340" s="69" customFormat="1" x14ac:dyDescent="0.15"/>
    <row r="21341" s="69" customFormat="1" x14ac:dyDescent="0.15"/>
    <row r="21342" s="69" customFormat="1" x14ac:dyDescent="0.15"/>
    <row r="21343" s="69" customFormat="1" x14ac:dyDescent="0.15"/>
    <row r="21344" s="69" customFormat="1" x14ac:dyDescent="0.15"/>
    <row r="21345" s="69" customFormat="1" x14ac:dyDescent="0.15"/>
    <row r="21346" s="69" customFormat="1" x14ac:dyDescent="0.15"/>
    <row r="21347" s="69" customFormat="1" x14ac:dyDescent="0.15"/>
    <row r="21348" s="69" customFormat="1" x14ac:dyDescent="0.15"/>
    <row r="21349" s="69" customFormat="1" x14ac:dyDescent="0.15"/>
    <row r="21350" s="69" customFormat="1" x14ac:dyDescent="0.15"/>
    <row r="21351" s="69" customFormat="1" x14ac:dyDescent="0.15"/>
    <row r="21352" s="69" customFormat="1" x14ac:dyDescent="0.15"/>
    <row r="21353" s="69" customFormat="1" x14ac:dyDescent="0.15"/>
    <row r="21354" s="69" customFormat="1" x14ac:dyDescent="0.15"/>
    <row r="21355" s="69" customFormat="1" x14ac:dyDescent="0.15"/>
    <row r="21356" s="69" customFormat="1" x14ac:dyDescent="0.15"/>
    <row r="21357" s="69" customFormat="1" x14ac:dyDescent="0.15"/>
    <row r="21358" s="69" customFormat="1" x14ac:dyDescent="0.15"/>
    <row r="21359" s="69" customFormat="1" x14ac:dyDescent="0.15"/>
    <row r="21360" s="69" customFormat="1" x14ac:dyDescent="0.15"/>
    <row r="21361" s="69" customFormat="1" x14ac:dyDescent="0.15"/>
    <row r="21362" s="69" customFormat="1" x14ac:dyDescent="0.15"/>
    <row r="21363" s="69" customFormat="1" x14ac:dyDescent="0.15"/>
    <row r="21364" s="69" customFormat="1" x14ac:dyDescent="0.15"/>
    <row r="21365" s="69" customFormat="1" x14ac:dyDescent="0.15"/>
    <row r="21366" s="69" customFormat="1" x14ac:dyDescent="0.15"/>
    <row r="21367" s="69" customFormat="1" x14ac:dyDescent="0.15"/>
    <row r="21368" s="69" customFormat="1" x14ac:dyDescent="0.15"/>
    <row r="21369" s="69" customFormat="1" x14ac:dyDescent="0.15"/>
    <row r="21370" s="69" customFormat="1" x14ac:dyDescent="0.15"/>
    <row r="21371" s="69" customFormat="1" x14ac:dyDescent="0.15"/>
    <row r="21372" s="69" customFormat="1" x14ac:dyDescent="0.15"/>
    <row r="21373" s="69" customFormat="1" x14ac:dyDescent="0.15"/>
    <row r="21374" s="69" customFormat="1" x14ac:dyDescent="0.15"/>
    <row r="21375" s="69" customFormat="1" x14ac:dyDescent="0.15"/>
    <row r="21376" s="69" customFormat="1" x14ac:dyDescent="0.15"/>
    <row r="21377" s="69" customFormat="1" x14ac:dyDescent="0.15"/>
    <row r="21378" s="69" customFormat="1" x14ac:dyDescent="0.15"/>
    <row r="21379" s="69" customFormat="1" x14ac:dyDescent="0.15"/>
    <row r="21380" s="69" customFormat="1" x14ac:dyDescent="0.15"/>
    <row r="21381" s="69" customFormat="1" x14ac:dyDescent="0.15"/>
    <row r="21382" s="69" customFormat="1" x14ac:dyDescent="0.15"/>
    <row r="21383" s="69" customFormat="1" x14ac:dyDescent="0.15"/>
    <row r="21384" s="69" customFormat="1" x14ac:dyDescent="0.15"/>
    <row r="21385" s="69" customFormat="1" x14ac:dyDescent="0.15"/>
    <row r="21386" s="69" customFormat="1" x14ac:dyDescent="0.15"/>
    <row r="21387" s="69" customFormat="1" x14ac:dyDescent="0.15"/>
    <row r="21388" s="69" customFormat="1" x14ac:dyDescent="0.15"/>
    <row r="21389" s="69" customFormat="1" x14ac:dyDescent="0.15"/>
    <row r="21390" s="69" customFormat="1" x14ac:dyDescent="0.15"/>
    <row r="21391" s="69" customFormat="1" x14ac:dyDescent="0.15"/>
    <row r="21392" s="69" customFormat="1" x14ac:dyDescent="0.15"/>
    <row r="21393" s="69" customFormat="1" x14ac:dyDescent="0.15"/>
    <row r="21394" s="69" customFormat="1" x14ac:dyDescent="0.15"/>
    <row r="21395" s="69" customFormat="1" x14ac:dyDescent="0.15"/>
    <row r="21396" s="69" customFormat="1" x14ac:dyDescent="0.15"/>
    <row r="21397" s="69" customFormat="1" x14ac:dyDescent="0.15"/>
    <row r="21398" s="69" customFormat="1" x14ac:dyDescent="0.15"/>
    <row r="21399" s="69" customFormat="1" x14ac:dyDescent="0.15"/>
    <row r="21400" s="69" customFormat="1" x14ac:dyDescent="0.15"/>
    <row r="21401" s="69" customFormat="1" x14ac:dyDescent="0.15"/>
    <row r="21402" s="69" customFormat="1" x14ac:dyDescent="0.15"/>
    <row r="21403" s="69" customFormat="1" x14ac:dyDescent="0.15"/>
    <row r="21404" s="69" customFormat="1" x14ac:dyDescent="0.15"/>
    <row r="21405" s="69" customFormat="1" x14ac:dyDescent="0.15"/>
    <row r="21406" s="69" customFormat="1" x14ac:dyDescent="0.15"/>
    <row r="21407" s="69" customFormat="1" x14ac:dyDescent="0.15"/>
    <row r="21408" s="69" customFormat="1" x14ac:dyDescent="0.15"/>
    <row r="21409" s="69" customFormat="1" x14ac:dyDescent="0.15"/>
    <row r="21410" s="69" customFormat="1" x14ac:dyDescent="0.15"/>
    <row r="21411" s="69" customFormat="1" x14ac:dyDescent="0.15"/>
    <row r="21412" s="69" customFormat="1" x14ac:dyDescent="0.15"/>
    <row r="21413" s="69" customFormat="1" x14ac:dyDescent="0.15"/>
    <row r="21414" s="69" customFormat="1" x14ac:dyDescent="0.15"/>
    <row r="21415" s="69" customFormat="1" x14ac:dyDescent="0.15"/>
    <row r="21416" s="69" customFormat="1" x14ac:dyDescent="0.15"/>
    <row r="21417" s="69" customFormat="1" x14ac:dyDescent="0.15"/>
    <row r="21418" s="69" customFormat="1" x14ac:dyDescent="0.15"/>
    <row r="21419" s="69" customFormat="1" x14ac:dyDescent="0.15"/>
    <row r="21420" s="69" customFormat="1" x14ac:dyDescent="0.15"/>
    <row r="21421" s="69" customFormat="1" x14ac:dyDescent="0.15"/>
    <row r="21422" s="69" customFormat="1" x14ac:dyDescent="0.15"/>
    <row r="21423" s="69" customFormat="1" x14ac:dyDescent="0.15"/>
    <row r="21424" s="69" customFormat="1" x14ac:dyDescent="0.15"/>
    <row r="21425" s="69" customFormat="1" x14ac:dyDescent="0.15"/>
    <row r="21426" s="69" customFormat="1" x14ac:dyDescent="0.15"/>
    <row r="21427" s="69" customFormat="1" x14ac:dyDescent="0.15"/>
    <row r="21428" s="69" customFormat="1" x14ac:dyDescent="0.15"/>
    <row r="21429" s="69" customFormat="1" x14ac:dyDescent="0.15"/>
    <row r="21430" s="69" customFormat="1" x14ac:dyDescent="0.15"/>
    <row r="21431" s="69" customFormat="1" x14ac:dyDescent="0.15"/>
    <row r="21432" s="69" customFormat="1" x14ac:dyDescent="0.15"/>
    <row r="21433" s="69" customFormat="1" x14ac:dyDescent="0.15"/>
    <row r="21434" s="69" customFormat="1" x14ac:dyDescent="0.15"/>
    <row r="21435" s="69" customFormat="1" x14ac:dyDescent="0.15"/>
    <row r="21436" s="69" customFormat="1" x14ac:dyDescent="0.15"/>
    <row r="21437" s="69" customFormat="1" x14ac:dyDescent="0.15"/>
    <row r="21438" s="69" customFormat="1" x14ac:dyDescent="0.15"/>
    <row r="21439" s="69" customFormat="1" x14ac:dyDescent="0.15"/>
    <row r="21440" s="69" customFormat="1" x14ac:dyDescent="0.15"/>
    <row r="21441" s="69" customFormat="1" x14ac:dyDescent="0.15"/>
    <row r="21442" s="69" customFormat="1" x14ac:dyDescent="0.15"/>
    <row r="21443" s="69" customFormat="1" x14ac:dyDescent="0.15"/>
    <row r="21444" s="69" customFormat="1" x14ac:dyDescent="0.15"/>
    <row r="21445" s="69" customFormat="1" x14ac:dyDescent="0.15"/>
    <row r="21446" s="69" customFormat="1" x14ac:dyDescent="0.15"/>
    <row r="21447" s="69" customFormat="1" x14ac:dyDescent="0.15"/>
    <row r="21448" s="69" customFormat="1" x14ac:dyDescent="0.15"/>
    <row r="21449" s="69" customFormat="1" x14ac:dyDescent="0.15"/>
    <row r="21450" s="69" customFormat="1" x14ac:dyDescent="0.15"/>
    <row r="21451" s="69" customFormat="1" x14ac:dyDescent="0.15"/>
    <row r="21452" s="69" customFormat="1" x14ac:dyDescent="0.15"/>
    <row r="21453" s="69" customFormat="1" x14ac:dyDescent="0.15"/>
    <row r="21454" s="69" customFormat="1" x14ac:dyDescent="0.15"/>
    <row r="21455" s="69" customFormat="1" x14ac:dyDescent="0.15"/>
    <row r="21456" s="69" customFormat="1" x14ac:dyDescent="0.15"/>
    <row r="21457" s="69" customFormat="1" x14ac:dyDescent="0.15"/>
    <row r="21458" s="69" customFormat="1" x14ac:dyDescent="0.15"/>
    <row r="21459" s="69" customFormat="1" x14ac:dyDescent="0.15"/>
    <row r="21460" s="69" customFormat="1" x14ac:dyDescent="0.15"/>
    <row r="21461" s="69" customFormat="1" x14ac:dyDescent="0.15"/>
    <row r="21462" s="69" customFormat="1" x14ac:dyDescent="0.15"/>
    <row r="21463" s="69" customFormat="1" x14ac:dyDescent="0.15"/>
    <row r="21464" s="69" customFormat="1" x14ac:dyDescent="0.15"/>
    <row r="21465" s="69" customFormat="1" x14ac:dyDescent="0.15"/>
    <row r="21466" s="69" customFormat="1" x14ac:dyDescent="0.15"/>
    <row r="21467" s="69" customFormat="1" x14ac:dyDescent="0.15"/>
    <row r="21468" s="69" customFormat="1" x14ac:dyDescent="0.15"/>
    <row r="21469" s="69" customFormat="1" x14ac:dyDescent="0.15"/>
    <row r="21470" s="69" customFormat="1" x14ac:dyDescent="0.15"/>
    <row r="21471" s="69" customFormat="1" x14ac:dyDescent="0.15"/>
    <row r="21472" s="69" customFormat="1" x14ac:dyDescent="0.15"/>
    <row r="21473" s="69" customFormat="1" x14ac:dyDescent="0.15"/>
    <row r="21474" s="69" customFormat="1" x14ac:dyDescent="0.15"/>
    <row r="21475" s="69" customFormat="1" x14ac:dyDescent="0.15"/>
    <row r="21476" s="69" customFormat="1" x14ac:dyDescent="0.15"/>
    <row r="21477" s="69" customFormat="1" x14ac:dyDescent="0.15"/>
    <row r="21478" s="69" customFormat="1" x14ac:dyDescent="0.15"/>
    <row r="21479" s="69" customFormat="1" x14ac:dyDescent="0.15"/>
    <row r="21480" s="69" customFormat="1" x14ac:dyDescent="0.15"/>
    <row r="21481" s="69" customFormat="1" x14ac:dyDescent="0.15"/>
    <row r="21482" s="69" customFormat="1" x14ac:dyDescent="0.15"/>
    <row r="21483" s="69" customFormat="1" x14ac:dyDescent="0.15"/>
    <row r="21484" s="69" customFormat="1" x14ac:dyDescent="0.15"/>
    <row r="21485" s="69" customFormat="1" x14ac:dyDescent="0.15"/>
    <row r="21486" s="69" customFormat="1" x14ac:dyDescent="0.15"/>
    <row r="21487" s="69" customFormat="1" x14ac:dyDescent="0.15"/>
    <row r="21488" s="69" customFormat="1" x14ac:dyDescent="0.15"/>
    <row r="21489" s="69" customFormat="1" x14ac:dyDescent="0.15"/>
    <row r="21490" s="69" customFormat="1" x14ac:dyDescent="0.15"/>
    <row r="21491" s="69" customFormat="1" x14ac:dyDescent="0.15"/>
    <row r="21492" s="69" customFormat="1" x14ac:dyDescent="0.15"/>
    <row r="21493" s="69" customFormat="1" x14ac:dyDescent="0.15"/>
    <row r="21494" s="69" customFormat="1" x14ac:dyDescent="0.15"/>
    <row r="21495" s="69" customFormat="1" x14ac:dyDescent="0.15"/>
    <row r="21496" s="69" customFormat="1" x14ac:dyDescent="0.15"/>
    <row r="21497" s="69" customFormat="1" x14ac:dyDescent="0.15"/>
    <row r="21498" s="69" customFormat="1" x14ac:dyDescent="0.15"/>
    <row r="21499" s="69" customFormat="1" x14ac:dyDescent="0.15"/>
    <row r="21500" s="69" customFormat="1" x14ac:dyDescent="0.15"/>
    <row r="21501" s="69" customFormat="1" x14ac:dyDescent="0.15"/>
    <row r="21502" s="69" customFormat="1" x14ac:dyDescent="0.15"/>
    <row r="21503" s="69" customFormat="1" x14ac:dyDescent="0.15"/>
    <row r="21504" s="69" customFormat="1" x14ac:dyDescent="0.15"/>
    <row r="21505" s="69" customFormat="1" x14ac:dyDescent="0.15"/>
    <row r="21506" s="69" customFormat="1" x14ac:dyDescent="0.15"/>
    <row r="21507" s="69" customFormat="1" x14ac:dyDescent="0.15"/>
    <row r="21508" s="69" customFormat="1" x14ac:dyDescent="0.15"/>
    <row r="21509" s="69" customFormat="1" x14ac:dyDescent="0.15"/>
    <row r="21510" s="69" customFormat="1" x14ac:dyDescent="0.15"/>
    <row r="21511" s="69" customFormat="1" x14ac:dyDescent="0.15"/>
    <row r="21512" s="69" customFormat="1" x14ac:dyDescent="0.15"/>
    <row r="21513" s="69" customFormat="1" x14ac:dyDescent="0.15"/>
    <row r="21514" s="69" customFormat="1" x14ac:dyDescent="0.15"/>
    <row r="21515" s="69" customFormat="1" x14ac:dyDescent="0.15"/>
    <row r="21516" s="69" customFormat="1" x14ac:dyDescent="0.15"/>
    <row r="21517" s="69" customFormat="1" x14ac:dyDescent="0.15"/>
    <row r="21518" s="69" customFormat="1" x14ac:dyDescent="0.15"/>
    <row r="21519" s="69" customFormat="1" x14ac:dyDescent="0.15"/>
    <row r="21520" s="69" customFormat="1" x14ac:dyDescent="0.15"/>
    <row r="21521" s="69" customFormat="1" x14ac:dyDescent="0.15"/>
    <row r="21522" s="69" customFormat="1" x14ac:dyDescent="0.15"/>
    <row r="21523" s="69" customFormat="1" x14ac:dyDescent="0.15"/>
    <row r="21524" s="69" customFormat="1" x14ac:dyDescent="0.15"/>
    <row r="21525" s="69" customFormat="1" x14ac:dyDescent="0.15"/>
    <row r="21526" s="69" customFormat="1" x14ac:dyDescent="0.15"/>
    <row r="21527" s="69" customFormat="1" x14ac:dyDescent="0.15"/>
    <row r="21528" s="69" customFormat="1" x14ac:dyDescent="0.15"/>
    <row r="21529" s="69" customFormat="1" x14ac:dyDescent="0.15"/>
    <row r="21530" s="69" customFormat="1" x14ac:dyDescent="0.15"/>
    <row r="21531" s="69" customFormat="1" x14ac:dyDescent="0.15"/>
    <row r="21532" s="69" customFormat="1" x14ac:dyDescent="0.15"/>
    <row r="21533" s="69" customFormat="1" x14ac:dyDescent="0.15"/>
    <row r="21534" s="69" customFormat="1" x14ac:dyDescent="0.15"/>
    <row r="21535" s="69" customFormat="1" x14ac:dyDescent="0.15"/>
    <row r="21536" s="69" customFormat="1" x14ac:dyDescent="0.15"/>
    <row r="21537" s="69" customFormat="1" x14ac:dyDescent="0.15"/>
    <row r="21538" s="69" customFormat="1" x14ac:dyDescent="0.15"/>
    <row r="21539" s="69" customFormat="1" x14ac:dyDescent="0.15"/>
    <row r="21540" s="69" customFormat="1" x14ac:dyDescent="0.15"/>
    <row r="21541" s="69" customFormat="1" x14ac:dyDescent="0.15"/>
    <row r="21542" s="69" customFormat="1" x14ac:dyDescent="0.15"/>
    <row r="21543" s="69" customFormat="1" x14ac:dyDescent="0.15"/>
    <row r="21544" s="69" customFormat="1" x14ac:dyDescent="0.15"/>
    <row r="21545" s="69" customFormat="1" x14ac:dyDescent="0.15"/>
    <row r="21546" s="69" customFormat="1" x14ac:dyDescent="0.15"/>
    <row r="21547" s="69" customFormat="1" x14ac:dyDescent="0.15"/>
    <row r="21548" s="69" customFormat="1" x14ac:dyDescent="0.15"/>
    <row r="21549" s="69" customFormat="1" x14ac:dyDescent="0.15"/>
    <row r="21550" s="69" customFormat="1" x14ac:dyDescent="0.15"/>
    <row r="21551" s="69" customFormat="1" x14ac:dyDescent="0.15"/>
    <row r="21552" s="69" customFormat="1" x14ac:dyDescent="0.15"/>
    <row r="21553" s="69" customFormat="1" x14ac:dyDescent="0.15"/>
    <row r="21554" s="69" customFormat="1" x14ac:dyDescent="0.15"/>
    <row r="21555" s="69" customFormat="1" x14ac:dyDescent="0.15"/>
    <row r="21556" s="69" customFormat="1" x14ac:dyDescent="0.15"/>
    <row r="21557" s="69" customFormat="1" x14ac:dyDescent="0.15"/>
    <row r="21558" s="69" customFormat="1" x14ac:dyDescent="0.15"/>
    <row r="21559" s="69" customFormat="1" x14ac:dyDescent="0.15"/>
    <row r="21560" s="69" customFormat="1" x14ac:dyDescent="0.15"/>
    <row r="21561" s="69" customFormat="1" x14ac:dyDescent="0.15"/>
    <row r="21562" s="69" customFormat="1" x14ac:dyDescent="0.15"/>
    <row r="21563" s="69" customFormat="1" x14ac:dyDescent="0.15"/>
    <row r="21564" s="69" customFormat="1" x14ac:dyDescent="0.15"/>
    <row r="21565" s="69" customFormat="1" x14ac:dyDescent="0.15"/>
    <row r="21566" s="69" customFormat="1" x14ac:dyDescent="0.15"/>
    <row r="21567" s="69" customFormat="1" x14ac:dyDescent="0.15"/>
    <row r="21568" s="69" customFormat="1" x14ac:dyDescent="0.15"/>
    <row r="21569" s="69" customFormat="1" x14ac:dyDescent="0.15"/>
    <row r="21570" s="69" customFormat="1" x14ac:dyDescent="0.15"/>
    <row r="21571" s="69" customFormat="1" x14ac:dyDescent="0.15"/>
    <row r="21572" s="69" customFormat="1" x14ac:dyDescent="0.15"/>
    <row r="21573" s="69" customFormat="1" x14ac:dyDescent="0.15"/>
    <row r="21574" s="69" customFormat="1" x14ac:dyDescent="0.15"/>
    <row r="21575" s="69" customFormat="1" x14ac:dyDescent="0.15"/>
    <row r="21576" s="69" customFormat="1" x14ac:dyDescent="0.15"/>
    <row r="21577" s="69" customFormat="1" x14ac:dyDescent="0.15"/>
    <row r="21578" s="69" customFormat="1" x14ac:dyDescent="0.15"/>
    <row r="21579" s="69" customFormat="1" x14ac:dyDescent="0.15"/>
    <row r="21580" s="69" customFormat="1" x14ac:dyDescent="0.15"/>
    <row r="21581" s="69" customFormat="1" x14ac:dyDescent="0.15"/>
    <row r="21582" s="69" customFormat="1" x14ac:dyDescent="0.15"/>
    <row r="21583" s="69" customFormat="1" x14ac:dyDescent="0.15"/>
    <row r="21584" s="69" customFormat="1" x14ac:dyDescent="0.15"/>
    <row r="21585" s="69" customFormat="1" x14ac:dyDescent="0.15"/>
    <row r="21586" s="69" customFormat="1" x14ac:dyDescent="0.15"/>
    <row r="21587" s="69" customFormat="1" x14ac:dyDescent="0.15"/>
    <row r="21588" s="69" customFormat="1" x14ac:dyDescent="0.15"/>
    <row r="21589" s="69" customFormat="1" x14ac:dyDescent="0.15"/>
    <row r="21590" s="69" customFormat="1" x14ac:dyDescent="0.15"/>
    <row r="21591" s="69" customFormat="1" x14ac:dyDescent="0.15"/>
    <row r="21592" s="69" customFormat="1" x14ac:dyDescent="0.15"/>
    <row r="21593" s="69" customFormat="1" x14ac:dyDescent="0.15"/>
    <row r="21594" s="69" customFormat="1" x14ac:dyDescent="0.15"/>
    <row r="21595" s="69" customFormat="1" x14ac:dyDescent="0.15"/>
    <row r="21596" s="69" customFormat="1" x14ac:dyDescent="0.15"/>
    <row r="21597" s="69" customFormat="1" x14ac:dyDescent="0.15"/>
    <row r="21598" s="69" customFormat="1" x14ac:dyDescent="0.15"/>
    <row r="21599" s="69" customFormat="1" x14ac:dyDescent="0.15"/>
    <row r="21600" s="69" customFormat="1" x14ac:dyDescent="0.15"/>
    <row r="21601" s="69" customFormat="1" x14ac:dyDescent="0.15"/>
    <row r="21602" s="69" customFormat="1" x14ac:dyDescent="0.15"/>
    <row r="21603" s="69" customFormat="1" x14ac:dyDescent="0.15"/>
    <row r="21604" s="69" customFormat="1" x14ac:dyDescent="0.15"/>
    <row r="21605" s="69" customFormat="1" x14ac:dyDescent="0.15"/>
    <row r="21606" s="69" customFormat="1" x14ac:dyDescent="0.15"/>
    <row r="21607" s="69" customFormat="1" x14ac:dyDescent="0.15"/>
    <row r="21608" s="69" customFormat="1" x14ac:dyDescent="0.15"/>
    <row r="21609" s="69" customFormat="1" x14ac:dyDescent="0.15"/>
    <row r="21610" s="69" customFormat="1" x14ac:dyDescent="0.15"/>
    <row r="21611" s="69" customFormat="1" x14ac:dyDescent="0.15"/>
    <row r="21612" s="69" customFormat="1" x14ac:dyDescent="0.15"/>
    <row r="21613" s="69" customFormat="1" x14ac:dyDescent="0.15"/>
    <row r="21614" s="69" customFormat="1" x14ac:dyDescent="0.15"/>
    <row r="21615" s="69" customFormat="1" x14ac:dyDescent="0.15"/>
    <row r="21616" s="69" customFormat="1" x14ac:dyDescent="0.15"/>
    <row r="21617" s="69" customFormat="1" x14ac:dyDescent="0.15"/>
    <row r="21618" s="69" customFormat="1" x14ac:dyDescent="0.15"/>
    <row r="21619" s="69" customFormat="1" x14ac:dyDescent="0.15"/>
    <row r="21620" s="69" customFormat="1" x14ac:dyDescent="0.15"/>
    <row r="21621" s="69" customFormat="1" x14ac:dyDescent="0.15"/>
    <row r="21622" s="69" customFormat="1" x14ac:dyDescent="0.15"/>
    <row r="21623" s="69" customFormat="1" x14ac:dyDescent="0.15"/>
    <row r="21624" s="69" customFormat="1" x14ac:dyDescent="0.15"/>
    <row r="21625" s="69" customFormat="1" x14ac:dyDescent="0.15"/>
    <row r="21626" s="69" customFormat="1" x14ac:dyDescent="0.15"/>
    <row r="21627" s="69" customFormat="1" x14ac:dyDescent="0.15"/>
    <row r="21628" s="69" customFormat="1" x14ac:dyDescent="0.15"/>
    <row r="21629" s="69" customFormat="1" x14ac:dyDescent="0.15"/>
    <row r="21630" s="69" customFormat="1" x14ac:dyDescent="0.15"/>
    <row r="21631" s="69" customFormat="1" x14ac:dyDescent="0.15"/>
    <row r="21632" s="69" customFormat="1" x14ac:dyDescent="0.15"/>
    <row r="21633" s="69" customFormat="1" x14ac:dyDescent="0.15"/>
    <row r="21634" s="69" customFormat="1" x14ac:dyDescent="0.15"/>
    <row r="21635" s="69" customFormat="1" x14ac:dyDescent="0.15"/>
    <row r="21636" s="69" customFormat="1" x14ac:dyDescent="0.15"/>
    <row r="21637" s="69" customFormat="1" x14ac:dyDescent="0.15"/>
    <row r="21638" s="69" customFormat="1" x14ac:dyDescent="0.15"/>
    <row r="21639" s="69" customFormat="1" x14ac:dyDescent="0.15"/>
    <row r="21640" s="69" customFormat="1" x14ac:dyDescent="0.15"/>
    <row r="21641" s="69" customFormat="1" x14ac:dyDescent="0.15"/>
    <row r="21642" s="69" customFormat="1" x14ac:dyDescent="0.15"/>
    <row r="21643" s="69" customFormat="1" x14ac:dyDescent="0.15"/>
    <row r="21644" s="69" customFormat="1" x14ac:dyDescent="0.15"/>
    <row r="21645" s="69" customFormat="1" x14ac:dyDescent="0.15"/>
    <row r="21646" s="69" customFormat="1" x14ac:dyDescent="0.15"/>
    <row r="21647" s="69" customFormat="1" x14ac:dyDescent="0.15"/>
    <row r="21648" s="69" customFormat="1" x14ac:dyDescent="0.15"/>
    <row r="21649" s="69" customFormat="1" x14ac:dyDescent="0.15"/>
    <row r="21650" s="69" customFormat="1" x14ac:dyDescent="0.15"/>
    <row r="21651" s="69" customFormat="1" x14ac:dyDescent="0.15"/>
    <row r="21652" s="69" customFormat="1" x14ac:dyDescent="0.15"/>
    <row r="21653" s="69" customFormat="1" x14ac:dyDescent="0.15"/>
    <row r="21654" s="69" customFormat="1" x14ac:dyDescent="0.15"/>
    <row r="21655" s="69" customFormat="1" x14ac:dyDescent="0.15"/>
    <row r="21656" s="69" customFormat="1" x14ac:dyDescent="0.15"/>
    <row r="21657" s="69" customFormat="1" x14ac:dyDescent="0.15"/>
    <row r="21658" s="69" customFormat="1" x14ac:dyDescent="0.15"/>
    <row r="21659" s="69" customFormat="1" x14ac:dyDescent="0.15"/>
    <row r="21660" s="69" customFormat="1" x14ac:dyDescent="0.15"/>
    <row r="21661" s="69" customFormat="1" x14ac:dyDescent="0.15"/>
    <row r="21662" s="69" customFormat="1" x14ac:dyDescent="0.15"/>
    <row r="21663" s="69" customFormat="1" x14ac:dyDescent="0.15"/>
    <row r="21664" s="69" customFormat="1" x14ac:dyDescent="0.15"/>
    <row r="21665" s="69" customFormat="1" x14ac:dyDescent="0.15"/>
    <row r="21666" s="69" customFormat="1" x14ac:dyDescent="0.15"/>
    <row r="21667" s="69" customFormat="1" x14ac:dyDescent="0.15"/>
    <row r="21668" s="69" customFormat="1" x14ac:dyDescent="0.15"/>
    <row r="21669" s="69" customFormat="1" x14ac:dyDescent="0.15"/>
    <row r="21670" s="69" customFormat="1" x14ac:dyDescent="0.15"/>
    <row r="21671" s="69" customFormat="1" x14ac:dyDescent="0.15"/>
    <row r="21672" s="69" customFormat="1" x14ac:dyDescent="0.15"/>
    <row r="21673" s="69" customFormat="1" x14ac:dyDescent="0.15"/>
    <row r="21674" s="69" customFormat="1" x14ac:dyDescent="0.15"/>
    <row r="21675" s="69" customFormat="1" x14ac:dyDescent="0.15"/>
    <row r="21676" s="69" customFormat="1" x14ac:dyDescent="0.15"/>
    <row r="21677" s="69" customFormat="1" x14ac:dyDescent="0.15"/>
    <row r="21678" s="69" customFormat="1" x14ac:dyDescent="0.15"/>
    <row r="21679" s="69" customFormat="1" x14ac:dyDescent="0.15"/>
    <row r="21680" s="69" customFormat="1" x14ac:dyDescent="0.15"/>
    <row r="21681" s="69" customFormat="1" x14ac:dyDescent="0.15"/>
    <row r="21682" s="69" customFormat="1" x14ac:dyDescent="0.15"/>
    <row r="21683" s="69" customFormat="1" x14ac:dyDescent="0.15"/>
    <row r="21684" s="69" customFormat="1" x14ac:dyDescent="0.15"/>
    <row r="21685" s="69" customFormat="1" x14ac:dyDescent="0.15"/>
    <row r="21686" s="69" customFormat="1" x14ac:dyDescent="0.15"/>
    <row r="21687" s="69" customFormat="1" x14ac:dyDescent="0.15"/>
    <row r="21688" s="69" customFormat="1" x14ac:dyDescent="0.15"/>
    <row r="21689" s="69" customFormat="1" x14ac:dyDescent="0.15"/>
    <row r="21690" s="69" customFormat="1" x14ac:dyDescent="0.15"/>
    <row r="21691" s="69" customFormat="1" x14ac:dyDescent="0.15"/>
    <row r="21692" s="69" customFormat="1" x14ac:dyDescent="0.15"/>
    <row r="21693" s="69" customFormat="1" x14ac:dyDescent="0.15"/>
    <row r="21694" s="69" customFormat="1" x14ac:dyDescent="0.15"/>
    <row r="21695" s="69" customFormat="1" x14ac:dyDescent="0.15"/>
    <row r="21696" s="69" customFormat="1" x14ac:dyDescent="0.15"/>
    <row r="21697" s="69" customFormat="1" x14ac:dyDescent="0.15"/>
    <row r="21698" s="69" customFormat="1" x14ac:dyDescent="0.15"/>
    <row r="21699" s="69" customFormat="1" x14ac:dyDescent="0.15"/>
    <row r="21700" s="69" customFormat="1" x14ac:dyDescent="0.15"/>
    <row r="21701" s="69" customFormat="1" x14ac:dyDescent="0.15"/>
    <row r="21702" s="69" customFormat="1" x14ac:dyDescent="0.15"/>
    <row r="21703" s="69" customFormat="1" x14ac:dyDescent="0.15"/>
    <row r="21704" s="69" customFormat="1" x14ac:dyDescent="0.15"/>
    <row r="21705" s="69" customFormat="1" x14ac:dyDescent="0.15"/>
    <row r="21706" s="69" customFormat="1" x14ac:dyDescent="0.15"/>
    <row r="21707" s="69" customFormat="1" x14ac:dyDescent="0.15"/>
    <row r="21708" s="69" customFormat="1" x14ac:dyDescent="0.15"/>
    <row r="21709" s="69" customFormat="1" x14ac:dyDescent="0.15"/>
    <row r="21710" s="69" customFormat="1" x14ac:dyDescent="0.15"/>
    <row r="21711" s="69" customFormat="1" x14ac:dyDescent="0.15"/>
    <row r="21712" s="69" customFormat="1" x14ac:dyDescent="0.15"/>
    <row r="21713" s="69" customFormat="1" x14ac:dyDescent="0.15"/>
    <row r="21714" s="69" customFormat="1" x14ac:dyDescent="0.15"/>
    <row r="21715" s="69" customFormat="1" x14ac:dyDescent="0.15"/>
    <row r="21716" s="69" customFormat="1" x14ac:dyDescent="0.15"/>
    <row r="21717" s="69" customFormat="1" x14ac:dyDescent="0.15"/>
    <row r="21718" s="69" customFormat="1" x14ac:dyDescent="0.15"/>
    <row r="21719" s="69" customFormat="1" x14ac:dyDescent="0.15"/>
    <row r="21720" s="69" customFormat="1" x14ac:dyDescent="0.15"/>
    <row r="21721" s="69" customFormat="1" x14ac:dyDescent="0.15"/>
    <row r="21722" s="69" customFormat="1" x14ac:dyDescent="0.15"/>
    <row r="21723" s="69" customFormat="1" x14ac:dyDescent="0.15"/>
    <row r="21724" s="69" customFormat="1" x14ac:dyDescent="0.15"/>
    <row r="21725" s="69" customFormat="1" x14ac:dyDescent="0.15"/>
    <row r="21726" s="69" customFormat="1" x14ac:dyDescent="0.15"/>
    <row r="21727" s="69" customFormat="1" x14ac:dyDescent="0.15"/>
    <row r="21728" s="69" customFormat="1" x14ac:dyDescent="0.15"/>
    <row r="21729" s="69" customFormat="1" x14ac:dyDescent="0.15"/>
    <row r="21730" s="69" customFormat="1" x14ac:dyDescent="0.15"/>
    <row r="21731" s="69" customFormat="1" x14ac:dyDescent="0.15"/>
    <row r="21732" s="69" customFormat="1" x14ac:dyDescent="0.15"/>
    <row r="21733" s="69" customFormat="1" x14ac:dyDescent="0.15"/>
    <row r="21734" s="69" customFormat="1" x14ac:dyDescent="0.15"/>
    <row r="21735" s="69" customFormat="1" x14ac:dyDescent="0.15"/>
    <row r="21736" s="69" customFormat="1" x14ac:dyDescent="0.15"/>
    <row r="21737" s="69" customFormat="1" x14ac:dyDescent="0.15"/>
    <row r="21738" s="69" customFormat="1" x14ac:dyDescent="0.15"/>
    <row r="21739" s="69" customFormat="1" x14ac:dyDescent="0.15"/>
    <row r="21740" s="69" customFormat="1" x14ac:dyDescent="0.15"/>
    <row r="21741" s="69" customFormat="1" x14ac:dyDescent="0.15"/>
    <row r="21742" s="69" customFormat="1" x14ac:dyDescent="0.15"/>
    <row r="21743" s="69" customFormat="1" x14ac:dyDescent="0.15"/>
    <row r="21744" s="69" customFormat="1" x14ac:dyDescent="0.15"/>
    <row r="21745" s="69" customFormat="1" x14ac:dyDescent="0.15"/>
    <row r="21746" s="69" customFormat="1" x14ac:dyDescent="0.15"/>
    <row r="21747" s="69" customFormat="1" x14ac:dyDescent="0.15"/>
    <row r="21748" s="69" customFormat="1" x14ac:dyDescent="0.15"/>
    <row r="21749" s="69" customFormat="1" x14ac:dyDescent="0.15"/>
    <row r="21750" s="69" customFormat="1" x14ac:dyDescent="0.15"/>
    <row r="21751" s="69" customFormat="1" x14ac:dyDescent="0.15"/>
    <row r="21752" s="69" customFormat="1" x14ac:dyDescent="0.15"/>
    <row r="21753" s="69" customFormat="1" x14ac:dyDescent="0.15"/>
    <row r="21754" s="69" customFormat="1" x14ac:dyDescent="0.15"/>
    <row r="21755" s="69" customFormat="1" x14ac:dyDescent="0.15"/>
    <row r="21756" s="69" customFormat="1" x14ac:dyDescent="0.15"/>
    <row r="21757" s="69" customFormat="1" x14ac:dyDescent="0.15"/>
    <row r="21758" s="69" customFormat="1" x14ac:dyDescent="0.15"/>
    <row r="21759" s="69" customFormat="1" x14ac:dyDescent="0.15"/>
    <row r="21760" s="69" customFormat="1" x14ac:dyDescent="0.15"/>
    <row r="21761" s="69" customFormat="1" x14ac:dyDescent="0.15"/>
    <row r="21762" s="69" customFormat="1" x14ac:dyDescent="0.15"/>
    <row r="21763" s="69" customFormat="1" x14ac:dyDescent="0.15"/>
    <row r="21764" s="69" customFormat="1" x14ac:dyDescent="0.15"/>
    <row r="21765" s="69" customFormat="1" x14ac:dyDescent="0.15"/>
    <row r="21766" s="69" customFormat="1" x14ac:dyDescent="0.15"/>
    <row r="21767" s="69" customFormat="1" x14ac:dyDescent="0.15"/>
    <row r="21768" s="69" customFormat="1" x14ac:dyDescent="0.15"/>
    <row r="21769" s="69" customFormat="1" x14ac:dyDescent="0.15"/>
    <row r="21770" s="69" customFormat="1" x14ac:dyDescent="0.15"/>
    <row r="21771" s="69" customFormat="1" x14ac:dyDescent="0.15"/>
    <row r="21772" s="69" customFormat="1" x14ac:dyDescent="0.15"/>
    <row r="21773" s="69" customFormat="1" x14ac:dyDescent="0.15"/>
    <row r="21774" s="69" customFormat="1" x14ac:dyDescent="0.15"/>
    <row r="21775" s="69" customFormat="1" x14ac:dyDescent="0.15"/>
    <row r="21776" s="69" customFormat="1" x14ac:dyDescent="0.15"/>
    <row r="21777" s="69" customFormat="1" x14ac:dyDescent="0.15"/>
    <row r="21778" s="69" customFormat="1" x14ac:dyDescent="0.15"/>
    <row r="21779" s="69" customFormat="1" x14ac:dyDescent="0.15"/>
    <row r="21780" s="69" customFormat="1" x14ac:dyDescent="0.15"/>
    <row r="21781" s="69" customFormat="1" x14ac:dyDescent="0.15"/>
    <row r="21782" s="69" customFormat="1" x14ac:dyDescent="0.15"/>
    <row r="21783" s="69" customFormat="1" x14ac:dyDescent="0.15"/>
    <row r="21784" s="69" customFormat="1" x14ac:dyDescent="0.15"/>
    <row r="21785" s="69" customFormat="1" x14ac:dyDescent="0.15"/>
    <row r="21786" s="69" customFormat="1" x14ac:dyDescent="0.15"/>
    <row r="21787" s="69" customFormat="1" x14ac:dyDescent="0.15"/>
    <row r="21788" s="69" customFormat="1" x14ac:dyDescent="0.15"/>
    <row r="21789" s="69" customFormat="1" x14ac:dyDescent="0.15"/>
    <row r="21790" s="69" customFormat="1" x14ac:dyDescent="0.15"/>
    <row r="21791" s="69" customFormat="1" x14ac:dyDescent="0.15"/>
    <row r="21792" s="69" customFormat="1" x14ac:dyDescent="0.15"/>
    <row r="21793" s="69" customFormat="1" x14ac:dyDescent="0.15"/>
    <row r="21794" s="69" customFormat="1" x14ac:dyDescent="0.15"/>
    <row r="21795" s="69" customFormat="1" x14ac:dyDescent="0.15"/>
    <row r="21796" s="69" customFormat="1" x14ac:dyDescent="0.15"/>
    <row r="21797" s="69" customFormat="1" x14ac:dyDescent="0.15"/>
    <row r="21798" s="69" customFormat="1" x14ac:dyDescent="0.15"/>
    <row r="21799" s="69" customFormat="1" x14ac:dyDescent="0.15"/>
    <row r="21800" s="69" customFormat="1" x14ac:dyDescent="0.15"/>
    <row r="21801" s="69" customFormat="1" x14ac:dyDescent="0.15"/>
    <row r="21802" s="69" customFormat="1" x14ac:dyDescent="0.15"/>
    <row r="21803" s="69" customFormat="1" x14ac:dyDescent="0.15"/>
    <row r="21804" s="69" customFormat="1" x14ac:dyDescent="0.15"/>
    <row r="21805" s="69" customFormat="1" x14ac:dyDescent="0.15"/>
    <row r="21806" s="69" customFormat="1" x14ac:dyDescent="0.15"/>
    <row r="21807" s="69" customFormat="1" x14ac:dyDescent="0.15"/>
    <row r="21808" s="69" customFormat="1" x14ac:dyDescent="0.15"/>
    <row r="21809" s="69" customFormat="1" x14ac:dyDescent="0.15"/>
    <row r="21810" s="69" customFormat="1" x14ac:dyDescent="0.15"/>
    <row r="21811" s="69" customFormat="1" x14ac:dyDescent="0.15"/>
    <row r="21812" s="69" customFormat="1" x14ac:dyDescent="0.15"/>
    <row r="21813" s="69" customFormat="1" x14ac:dyDescent="0.15"/>
    <row r="21814" s="69" customFormat="1" x14ac:dyDescent="0.15"/>
    <row r="21815" s="69" customFormat="1" x14ac:dyDescent="0.15"/>
    <row r="21816" s="69" customFormat="1" x14ac:dyDescent="0.15"/>
    <row r="21817" s="69" customFormat="1" x14ac:dyDescent="0.15"/>
    <row r="21818" s="69" customFormat="1" x14ac:dyDescent="0.15"/>
    <row r="21819" s="69" customFormat="1" x14ac:dyDescent="0.15"/>
    <row r="21820" s="69" customFormat="1" x14ac:dyDescent="0.15"/>
    <row r="21821" s="69" customFormat="1" x14ac:dyDescent="0.15"/>
    <row r="21822" s="69" customFormat="1" x14ac:dyDescent="0.15"/>
    <row r="21823" s="69" customFormat="1" x14ac:dyDescent="0.15"/>
    <row r="21824" s="69" customFormat="1" x14ac:dyDescent="0.15"/>
    <row r="21825" s="69" customFormat="1" x14ac:dyDescent="0.15"/>
    <row r="21826" s="69" customFormat="1" x14ac:dyDescent="0.15"/>
    <row r="21827" s="69" customFormat="1" x14ac:dyDescent="0.15"/>
    <row r="21828" s="69" customFormat="1" x14ac:dyDescent="0.15"/>
    <row r="21829" s="69" customFormat="1" x14ac:dyDescent="0.15"/>
    <row r="21830" s="69" customFormat="1" x14ac:dyDescent="0.15"/>
    <row r="21831" s="69" customFormat="1" x14ac:dyDescent="0.15"/>
    <row r="21832" s="69" customFormat="1" x14ac:dyDescent="0.15"/>
    <row r="21833" s="69" customFormat="1" x14ac:dyDescent="0.15"/>
    <row r="21834" s="69" customFormat="1" x14ac:dyDescent="0.15"/>
    <row r="21835" s="69" customFormat="1" x14ac:dyDescent="0.15"/>
    <row r="21836" s="69" customFormat="1" x14ac:dyDescent="0.15"/>
    <row r="21837" s="69" customFormat="1" x14ac:dyDescent="0.15"/>
    <row r="21838" s="69" customFormat="1" x14ac:dyDescent="0.15"/>
    <row r="21839" s="69" customFormat="1" x14ac:dyDescent="0.15"/>
    <row r="21840" s="69" customFormat="1" x14ac:dyDescent="0.15"/>
    <row r="21841" s="69" customFormat="1" x14ac:dyDescent="0.15"/>
    <row r="21842" s="69" customFormat="1" x14ac:dyDescent="0.15"/>
    <row r="21843" s="69" customFormat="1" x14ac:dyDescent="0.15"/>
    <row r="21844" s="69" customFormat="1" x14ac:dyDescent="0.15"/>
    <row r="21845" s="69" customFormat="1" x14ac:dyDescent="0.15"/>
    <row r="21846" s="69" customFormat="1" x14ac:dyDescent="0.15"/>
    <row r="21847" s="69" customFormat="1" x14ac:dyDescent="0.15"/>
    <row r="21848" s="69" customFormat="1" x14ac:dyDescent="0.15"/>
    <row r="21849" s="69" customFormat="1" x14ac:dyDescent="0.15"/>
    <row r="21850" s="69" customFormat="1" x14ac:dyDescent="0.15"/>
    <row r="21851" s="69" customFormat="1" x14ac:dyDescent="0.15"/>
    <row r="21852" s="69" customFormat="1" x14ac:dyDescent="0.15"/>
    <row r="21853" s="69" customFormat="1" x14ac:dyDescent="0.15"/>
    <row r="21854" s="69" customFormat="1" x14ac:dyDescent="0.15"/>
    <row r="21855" s="69" customFormat="1" x14ac:dyDescent="0.15"/>
    <row r="21856" s="69" customFormat="1" x14ac:dyDescent="0.15"/>
    <row r="21857" s="69" customFormat="1" x14ac:dyDescent="0.15"/>
    <row r="21858" s="69" customFormat="1" x14ac:dyDescent="0.15"/>
    <row r="21859" s="69" customFormat="1" x14ac:dyDescent="0.15"/>
    <row r="21860" s="69" customFormat="1" x14ac:dyDescent="0.15"/>
    <row r="21861" s="69" customFormat="1" x14ac:dyDescent="0.15"/>
    <row r="21862" s="69" customFormat="1" x14ac:dyDescent="0.15"/>
    <row r="21863" s="69" customFormat="1" x14ac:dyDescent="0.15"/>
    <row r="21864" s="69" customFormat="1" x14ac:dyDescent="0.15"/>
    <row r="21865" s="69" customFormat="1" x14ac:dyDescent="0.15"/>
    <row r="21866" s="69" customFormat="1" x14ac:dyDescent="0.15"/>
    <row r="21867" s="69" customFormat="1" x14ac:dyDescent="0.15"/>
    <row r="21868" s="69" customFormat="1" x14ac:dyDescent="0.15"/>
    <row r="21869" s="69" customFormat="1" x14ac:dyDescent="0.15"/>
    <row r="21870" s="69" customFormat="1" x14ac:dyDescent="0.15"/>
    <row r="21871" s="69" customFormat="1" x14ac:dyDescent="0.15"/>
    <row r="21872" s="69" customFormat="1" x14ac:dyDescent="0.15"/>
    <row r="21873" s="69" customFormat="1" x14ac:dyDescent="0.15"/>
    <row r="21874" s="69" customFormat="1" x14ac:dyDescent="0.15"/>
    <row r="21875" s="69" customFormat="1" x14ac:dyDescent="0.15"/>
    <row r="21876" s="69" customFormat="1" x14ac:dyDescent="0.15"/>
    <row r="21877" s="69" customFormat="1" x14ac:dyDescent="0.15"/>
    <row r="21878" s="69" customFormat="1" x14ac:dyDescent="0.15"/>
    <row r="21879" s="69" customFormat="1" x14ac:dyDescent="0.15"/>
    <row r="21880" s="69" customFormat="1" x14ac:dyDescent="0.15"/>
    <row r="21881" s="69" customFormat="1" x14ac:dyDescent="0.15"/>
    <row r="21882" s="69" customFormat="1" x14ac:dyDescent="0.15"/>
    <row r="21883" s="69" customFormat="1" x14ac:dyDescent="0.15"/>
    <row r="21884" s="69" customFormat="1" x14ac:dyDescent="0.15"/>
    <row r="21885" s="69" customFormat="1" x14ac:dyDescent="0.15"/>
    <row r="21886" s="69" customFormat="1" x14ac:dyDescent="0.15"/>
    <row r="21887" s="69" customFormat="1" x14ac:dyDescent="0.15"/>
    <row r="21888" s="69" customFormat="1" x14ac:dyDescent="0.15"/>
    <row r="21889" s="69" customFormat="1" x14ac:dyDescent="0.15"/>
    <row r="21890" s="69" customFormat="1" x14ac:dyDescent="0.15"/>
    <row r="21891" s="69" customFormat="1" x14ac:dyDescent="0.15"/>
    <row r="21892" s="69" customFormat="1" x14ac:dyDescent="0.15"/>
    <row r="21893" s="69" customFormat="1" x14ac:dyDescent="0.15"/>
    <row r="21894" s="69" customFormat="1" x14ac:dyDescent="0.15"/>
    <row r="21895" s="69" customFormat="1" x14ac:dyDescent="0.15"/>
    <row r="21896" s="69" customFormat="1" x14ac:dyDescent="0.15"/>
    <row r="21897" s="69" customFormat="1" x14ac:dyDescent="0.15"/>
    <row r="21898" s="69" customFormat="1" x14ac:dyDescent="0.15"/>
    <row r="21899" s="69" customFormat="1" x14ac:dyDescent="0.15"/>
    <row r="21900" s="69" customFormat="1" x14ac:dyDescent="0.15"/>
    <row r="21901" s="69" customFormat="1" x14ac:dyDescent="0.15"/>
    <row r="21902" s="69" customFormat="1" x14ac:dyDescent="0.15"/>
    <row r="21903" s="69" customFormat="1" x14ac:dyDescent="0.15"/>
    <row r="21904" s="69" customFormat="1" x14ac:dyDescent="0.15"/>
    <row r="21905" s="69" customFormat="1" x14ac:dyDescent="0.15"/>
    <row r="21906" s="69" customFormat="1" x14ac:dyDescent="0.15"/>
    <row r="21907" s="69" customFormat="1" x14ac:dyDescent="0.15"/>
    <row r="21908" s="69" customFormat="1" x14ac:dyDescent="0.15"/>
    <row r="21909" s="69" customFormat="1" x14ac:dyDescent="0.15"/>
    <row r="21910" s="69" customFormat="1" x14ac:dyDescent="0.15"/>
    <row r="21911" s="69" customFormat="1" x14ac:dyDescent="0.15"/>
    <row r="21912" s="69" customFormat="1" x14ac:dyDescent="0.15"/>
    <row r="21913" s="69" customFormat="1" x14ac:dyDescent="0.15"/>
    <row r="21914" s="69" customFormat="1" x14ac:dyDescent="0.15"/>
    <row r="21915" s="69" customFormat="1" x14ac:dyDescent="0.15"/>
    <row r="21916" s="69" customFormat="1" x14ac:dyDescent="0.15"/>
    <row r="21917" s="69" customFormat="1" x14ac:dyDescent="0.15"/>
    <row r="21918" s="69" customFormat="1" x14ac:dyDescent="0.15"/>
    <row r="21919" s="69" customFormat="1" x14ac:dyDescent="0.15"/>
    <row r="21920" s="69" customFormat="1" x14ac:dyDescent="0.15"/>
    <row r="21921" s="69" customFormat="1" x14ac:dyDescent="0.15"/>
    <row r="21922" s="69" customFormat="1" x14ac:dyDescent="0.15"/>
    <row r="21923" s="69" customFormat="1" x14ac:dyDescent="0.15"/>
    <row r="21924" s="69" customFormat="1" x14ac:dyDescent="0.15"/>
    <row r="21925" s="69" customFormat="1" x14ac:dyDescent="0.15"/>
    <row r="21926" s="69" customFormat="1" x14ac:dyDescent="0.15"/>
    <row r="21927" s="69" customFormat="1" x14ac:dyDescent="0.15"/>
    <row r="21928" s="69" customFormat="1" x14ac:dyDescent="0.15"/>
    <row r="21929" s="69" customFormat="1" x14ac:dyDescent="0.15"/>
    <row r="21930" s="69" customFormat="1" x14ac:dyDescent="0.15"/>
    <row r="21931" s="69" customFormat="1" x14ac:dyDescent="0.15"/>
    <row r="21932" s="69" customFormat="1" x14ac:dyDescent="0.15"/>
    <row r="21933" s="69" customFormat="1" x14ac:dyDescent="0.15"/>
    <row r="21934" s="69" customFormat="1" x14ac:dyDescent="0.15"/>
    <row r="21935" s="69" customFormat="1" x14ac:dyDescent="0.15"/>
    <row r="21936" s="69" customFormat="1" x14ac:dyDescent="0.15"/>
    <row r="21937" s="69" customFormat="1" x14ac:dyDescent="0.15"/>
    <row r="21938" s="69" customFormat="1" x14ac:dyDescent="0.15"/>
    <row r="21939" s="69" customFormat="1" x14ac:dyDescent="0.15"/>
    <row r="21940" s="69" customFormat="1" x14ac:dyDescent="0.15"/>
    <row r="21941" s="69" customFormat="1" x14ac:dyDescent="0.15"/>
    <row r="21942" s="69" customFormat="1" x14ac:dyDescent="0.15"/>
    <row r="21943" s="69" customFormat="1" x14ac:dyDescent="0.15"/>
    <row r="21944" s="69" customFormat="1" x14ac:dyDescent="0.15"/>
    <row r="21945" s="69" customFormat="1" x14ac:dyDescent="0.15"/>
    <row r="21946" s="69" customFormat="1" x14ac:dyDescent="0.15"/>
    <row r="21947" s="69" customFormat="1" x14ac:dyDescent="0.15"/>
    <row r="21948" s="69" customFormat="1" x14ac:dyDescent="0.15"/>
    <row r="21949" s="69" customFormat="1" x14ac:dyDescent="0.15"/>
    <row r="21950" s="69" customFormat="1" x14ac:dyDescent="0.15"/>
    <row r="21951" s="69" customFormat="1" x14ac:dyDescent="0.15"/>
    <row r="21952" s="69" customFormat="1" x14ac:dyDescent="0.15"/>
    <row r="21953" s="69" customFormat="1" x14ac:dyDescent="0.15"/>
    <row r="21954" s="69" customFormat="1" x14ac:dyDescent="0.15"/>
    <row r="21955" s="69" customFormat="1" x14ac:dyDescent="0.15"/>
    <row r="21956" s="69" customFormat="1" x14ac:dyDescent="0.15"/>
    <row r="21957" s="69" customFormat="1" x14ac:dyDescent="0.15"/>
    <row r="21958" s="69" customFormat="1" x14ac:dyDescent="0.15"/>
    <row r="21959" s="69" customFormat="1" x14ac:dyDescent="0.15"/>
    <row r="21960" s="69" customFormat="1" x14ac:dyDescent="0.15"/>
    <row r="21961" s="69" customFormat="1" x14ac:dyDescent="0.15"/>
    <row r="21962" s="69" customFormat="1" x14ac:dyDescent="0.15"/>
    <row r="21963" s="69" customFormat="1" x14ac:dyDescent="0.15"/>
    <row r="21964" s="69" customFormat="1" x14ac:dyDescent="0.15"/>
    <row r="21965" s="69" customFormat="1" x14ac:dyDescent="0.15"/>
    <row r="21966" s="69" customFormat="1" x14ac:dyDescent="0.15"/>
    <row r="21967" s="69" customFormat="1" x14ac:dyDescent="0.15"/>
    <row r="21968" s="69" customFormat="1" x14ac:dyDescent="0.15"/>
    <row r="21969" s="69" customFormat="1" x14ac:dyDescent="0.15"/>
    <row r="21970" s="69" customFormat="1" x14ac:dyDescent="0.15"/>
    <row r="21971" s="69" customFormat="1" x14ac:dyDescent="0.15"/>
    <row r="21972" s="69" customFormat="1" x14ac:dyDescent="0.15"/>
    <row r="21973" s="69" customFormat="1" x14ac:dyDescent="0.15"/>
    <row r="21974" s="69" customFormat="1" x14ac:dyDescent="0.15"/>
    <row r="21975" s="69" customFormat="1" x14ac:dyDescent="0.15"/>
    <row r="21976" s="69" customFormat="1" x14ac:dyDescent="0.15"/>
    <row r="21977" s="69" customFormat="1" x14ac:dyDescent="0.15"/>
    <row r="21978" s="69" customFormat="1" x14ac:dyDescent="0.15"/>
    <row r="21979" s="69" customFormat="1" x14ac:dyDescent="0.15"/>
    <row r="21980" s="69" customFormat="1" x14ac:dyDescent="0.15"/>
    <row r="21981" s="69" customFormat="1" x14ac:dyDescent="0.15"/>
    <row r="21982" s="69" customFormat="1" x14ac:dyDescent="0.15"/>
    <row r="21983" s="69" customFormat="1" x14ac:dyDescent="0.15"/>
    <row r="21984" s="69" customFormat="1" x14ac:dyDescent="0.15"/>
    <row r="21985" s="69" customFormat="1" x14ac:dyDescent="0.15"/>
    <row r="21986" s="69" customFormat="1" x14ac:dyDescent="0.15"/>
    <row r="21987" s="69" customFormat="1" x14ac:dyDescent="0.15"/>
    <row r="21988" s="69" customFormat="1" x14ac:dyDescent="0.15"/>
    <row r="21989" s="69" customFormat="1" x14ac:dyDescent="0.15"/>
    <row r="21990" s="69" customFormat="1" x14ac:dyDescent="0.15"/>
    <row r="21991" s="69" customFormat="1" x14ac:dyDescent="0.15"/>
    <row r="21992" s="69" customFormat="1" x14ac:dyDescent="0.15"/>
    <row r="21993" s="69" customFormat="1" x14ac:dyDescent="0.15"/>
    <row r="21994" s="69" customFormat="1" x14ac:dyDescent="0.15"/>
    <row r="21995" s="69" customFormat="1" x14ac:dyDescent="0.15"/>
    <row r="21996" s="69" customFormat="1" x14ac:dyDescent="0.15"/>
    <row r="21997" s="69" customFormat="1" x14ac:dyDescent="0.15"/>
    <row r="21998" s="69" customFormat="1" x14ac:dyDescent="0.15"/>
    <row r="21999" s="69" customFormat="1" x14ac:dyDescent="0.15"/>
    <row r="22000" s="69" customFormat="1" x14ac:dyDescent="0.15"/>
    <row r="22001" s="69" customFormat="1" x14ac:dyDescent="0.15"/>
    <row r="22002" s="69" customFormat="1" x14ac:dyDescent="0.15"/>
    <row r="22003" s="69" customFormat="1" x14ac:dyDescent="0.15"/>
    <row r="22004" s="69" customFormat="1" x14ac:dyDescent="0.15"/>
    <row r="22005" s="69" customFormat="1" x14ac:dyDescent="0.15"/>
    <row r="22006" s="69" customFormat="1" x14ac:dyDescent="0.15"/>
    <row r="22007" s="69" customFormat="1" x14ac:dyDescent="0.15"/>
    <row r="22008" s="69" customFormat="1" x14ac:dyDescent="0.15"/>
    <row r="22009" s="69" customFormat="1" x14ac:dyDescent="0.15"/>
    <row r="22010" s="69" customFormat="1" x14ac:dyDescent="0.15"/>
    <row r="22011" s="69" customFormat="1" x14ac:dyDescent="0.15"/>
    <row r="22012" s="69" customFormat="1" x14ac:dyDescent="0.15"/>
    <row r="22013" s="69" customFormat="1" x14ac:dyDescent="0.15"/>
    <row r="22014" s="69" customFormat="1" x14ac:dyDescent="0.15"/>
    <row r="22015" s="69" customFormat="1" x14ac:dyDescent="0.15"/>
    <row r="22016" s="69" customFormat="1" x14ac:dyDescent="0.15"/>
    <row r="22017" s="69" customFormat="1" x14ac:dyDescent="0.15"/>
    <row r="22018" s="69" customFormat="1" x14ac:dyDescent="0.15"/>
    <row r="22019" s="69" customFormat="1" x14ac:dyDescent="0.15"/>
    <row r="22020" s="69" customFormat="1" x14ac:dyDescent="0.15"/>
    <row r="22021" s="69" customFormat="1" x14ac:dyDescent="0.15"/>
    <row r="22022" s="69" customFormat="1" x14ac:dyDescent="0.15"/>
    <row r="22023" s="69" customFormat="1" x14ac:dyDescent="0.15"/>
    <row r="22024" s="69" customFormat="1" x14ac:dyDescent="0.15"/>
    <row r="22025" s="69" customFormat="1" x14ac:dyDescent="0.15"/>
    <row r="22026" s="69" customFormat="1" x14ac:dyDescent="0.15"/>
    <row r="22027" s="69" customFormat="1" x14ac:dyDescent="0.15"/>
    <row r="22028" s="69" customFormat="1" x14ac:dyDescent="0.15"/>
    <row r="22029" s="69" customFormat="1" x14ac:dyDescent="0.15"/>
    <row r="22030" s="69" customFormat="1" x14ac:dyDescent="0.15"/>
    <row r="22031" s="69" customFormat="1" x14ac:dyDescent="0.15"/>
    <row r="22032" s="69" customFormat="1" x14ac:dyDescent="0.15"/>
    <row r="22033" s="69" customFormat="1" x14ac:dyDescent="0.15"/>
    <row r="22034" s="69" customFormat="1" x14ac:dyDescent="0.15"/>
    <row r="22035" s="69" customFormat="1" x14ac:dyDescent="0.15"/>
    <row r="22036" s="69" customFormat="1" x14ac:dyDescent="0.15"/>
    <row r="22037" s="69" customFormat="1" x14ac:dyDescent="0.15"/>
    <row r="22038" s="69" customFormat="1" x14ac:dyDescent="0.15"/>
    <row r="22039" s="69" customFormat="1" x14ac:dyDescent="0.15"/>
    <row r="22040" s="69" customFormat="1" x14ac:dyDescent="0.15"/>
    <row r="22041" s="69" customFormat="1" x14ac:dyDescent="0.15"/>
    <row r="22042" s="69" customFormat="1" x14ac:dyDescent="0.15"/>
    <row r="22043" s="69" customFormat="1" x14ac:dyDescent="0.15"/>
    <row r="22044" s="69" customFormat="1" x14ac:dyDescent="0.15"/>
    <row r="22045" s="69" customFormat="1" x14ac:dyDescent="0.15"/>
    <row r="22046" s="69" customFormat="1" x14ac:dyDescent="0.15"/>
    <row r="22047" s="69" customFormat="1" x14ac:dyDescent="0.15"/>
    <row r="22048" s="69" customFormat="1" x14ac:dyDescent="0.15"/>
    <row r="22049" s="69" customFormat="1" x14ac:dyDescent="0.15"/>
    <row r="22050" s="69" customFormat="1" x14ac:dyDescent="0.15"/>
    <row r="22051" s="69" customFormat="1" x14ac:dyDescent="0.15"/>
    <row r="22052" s="69" customFormat="1" x14ac:dyDescent="0.15"/>
    <row r="22053" s="69" customFormat="1" x14ac:dyDescent="0.15"/>
    <row r="22054" s="69" customFormat="1" x14ac:dyDescent="0.15"/>
    <row r="22055" s="69" customFormat="1" x14ac:dyDescent="0.15"/>
    <row r="22056" s="69" customFormat="1" x14ac:dyDescent="0.15"/>
    <row r="22057" s="69" customFormat="1" x14ac:dyDescent="0.15"/>
    <row r="22058" s="69" customFormat="1" x14ac:dyDescent="0.15"/>
    <row r="22059" s="69" customFormat="1" x14ac:dyDescent="0.15"/>
    <row r="22060" s="69" customFormat="1" x14ac:dyDescent="0.15"/>
    <row r="22061" s="69" customFormat="1" x14ac:dyDescent="0.15"/>
    <row r="22062" s="69" customFormat="1" x14ac:dyDescent="0.15"/>
    <row r="22063" s="69" customFormat="1" x14ac:dyDescent="0.15"/>
    <row r="22064" s="69" customFormat="1" x14ac:dyDescent="0.15"/>
    <row r="22065" s="69" customFormat="1" x14ac:dyDescent="0.15"/>
    <row r="22066" s="69" customFormat="1" x14ac:dyDescent="0.15"/>
    <row r="22067" s="69" customFormat="1" x14ac:dyDescent="0.15"/>
    <row r="22068" s="69" customFormat="1" x14ac:dyDescent="0.15"/>
    <row r="22069" s="69" customFormat="1" x14ac:dyDescent="0.15"/>
    <row r="22070" s="69" customFormat="1" x14ac:dyDescent="0.15"/>
    <row r="22071" s="69" customFormat="1" x14ac:dyDescent="0.15"/>
    <row r="22072" s="69" customFormat="1" x14ac:dyDescent="0.15"/>
    <row r="22073" s="69" customFormat="1" x14ac:dyDescent="0.15"/>
    <row r="22074" s="69" customFormat="1" x14ac:dyDescent="0.15"/>
    <row r="22075" s="69" customFormat="1" x14ac:dyDescent="0.15"/>
    <row r="22076" s="69" customFormat="1" x14ac:dyDescent="0.15"/>
    <row r="22077" s="69" customFormat="1" x14ac:dyDescent="0.15"/>
    <row r="22078" s="69" customFormat="1" x14ac:dyDescent="0.15"/>
    <row r="22079" s="69" customFormat="1" x14ac:dyDescent="0.15"/>
    <row r="22080" s="69" customFormat="1" x14ac:dyDescent="0.15"/>
    <row r="22081" s="69" customFormat="1" x14ac:dyDescent="0.15"/>
    <row r="22082" s="69" customFormat="1" x14ac:dyDescent="0.15"/>
    <row r="22083" s="69" customFormat="1" x14ac:dyDescent="0.15"/>
    <row r="22084" s="69" customFormat="1" x14ac:dyDescent="0.15"/>
    <row r="22085" s="69" customFormat="1" x14ac:dyDescent="0.15"/>
    <row r="22086" s="69" customFormat="1" x14ac:dyDescent="0.15"/>
    <row r="22087" s="69" customFormat="1" x14ac:dyDescent="0.15"/>
    <row r="22088" s="69" customFormat="1" x14ac:dyDescent="0.15"/>
    <row r="22089" s="69" customFormat="1" x14ac:dyDescent="0.15"/>
    <row r="22090" s="69" customFormat="1" x14ac:dyDescent="0.15"/>
    <row r="22091" s="69" customFormat="1" x14ac:dyDescent="0.15"/>
    <row r="22092" s="69" customFormat="1" x14ac:dyDescent="0.15"/>
    <row r="22093" s="69" customFormat="1" x14ac:dyDescent="0.15"/>
    <row r="22094" s="69" customFormat="1" x14ac:dyDescent="0.15"/>
    <row r="22095" s="69" customFormat="1" x14ac:dyDescent="0.15"/>
    <row r="22096" s="69" customFormat="1" x14ac:dyDescent="0.15"/>
    <row r="22097" s="69" customFormat="1" x14ac:dyDescent="0.15"/>
    <row r="22098" s="69" customFormat="1" x14ac:dyDescent="0.15"/>
    <row r="22099" s="69" customFormat="1" x14ac:dyDescent="0.15"/>
    <row r="22100" s="69" customFormat="1" x14ac:dyDescent="0.15"/>
    <row r="22101" s="69" customFormat="1" x14ac:dyDescent="0.15"/>
    <row r="22102" s="69" customFormat="1" x14ac:dyDescent="0.15"/>
    <row r="22103" s="69" customFormat="1" x14ac:dyDescent="0.15"/>
    <row r="22104" s="69" customFormat="1" x14ac:dyDescent="0.15"/>
    <row r="22105" s="69" customFormat="1" x14ac:dyDescent="0.15"/>
    <row r="22106" s="69" customFormat="1" x14ac:dyDescent="0.15"/>
    <row r="22107" s="69" customFormat="1" x14ac:dyDescent="0.15"/>
    <row r="22108" s="69" customFormat="1" x14ac:dyDescent="0.15"/>
    <row r="22109" s="69" customFormat="1" x14ac:dyDescent="0.15"/>
    <row r="22110" s="69" customFormat="1" x14ac:dyDescent="0.15"/>
    <row r="22111" s="69" customFormat="1" x14ac:dyDescent="0.15"/>
    <row r="22112" s="69" customFormat="1" x14ac:dyDescent="0.15"/>
    <row r="22113" s="69" customFormat="1" x14ac:dyDescent="0.15"/>
    <row r="22114" s="69" customFormat="1" x14ac:dyDescent="0.15"/>
    <row r="22115" s="69" customFormat="1" x14ac:dyDescent="0.15"/>
    <row r="22116" s="69" customFormat="1" x14ac:dyDescent="0.15"/>
    <row r="22117" s="69" customFormat="1" x14ac:dyDescent="0.15"/>
    <row r="22118" s="69" customFormat="1" x14ac:dyDescent="0.15"/>
    <row r="22119" s="69" customFormat="1" x14ac:dyDescent="0.15"/>
    <row r="22120" s="69" customFormat="1" x14ac:dyDescent="0.15"/>
    <row r="22121" s="69" customFormat="1" x14ac:dyDescent="0.15"/>
    <row r="22122" s="69" customFormat="1" x14ac:dyDescent="0.15"/>
    <row r="22123" s="69" customFormat="1" x14ac:dyDescent="0.15"/>
    <row r="22124" s="69" customFormat="1" x14ac:dyDescent="0.15"/>
    <row r="22125" s="69" customFormat="1" x14ac:dyDescent="0.15"/>
    <row r="22126" s="69" customFormat="1" x14ac:dyDescent="0.15"/>
    <row r="22127" s="69" customFormat="1" x14ac:dyDescent="0.15"/>
    <row r="22128" s="69" customFormat="1" x14ac:dyDescent="0.15"/>
    <row r="22129" s="69" customFormat="1" x14ac:dyDescent="0.15"/>
    <row r="22130" s="69" customFormat="1" x14ac:dyDescent="0.15"/>
    <row r="22131" s="69" customFormat="1" x14ac:dyDescent="0.15"/>
    <row r="22132" s="69" customFormat="1" x14ac:dyDescent="0.15"/>
    <row r="22133" s="69" customFormat="1" x14ac:dyDescent="0.15"/>
    <row r="22134" s="69" customFormat="1" x14ac:dyDescent="0.15"/>
    <row r="22135" s="69" customFormat="1" x14ac:dyDescent="0.15"/>
    <row r="22136" s="69" customFormat="1" x14ac:dyDescent="0.15"/>
    <row r="22137" s="69" customFormat="1" x14ac:dyDescent="0.15"/>
    <row r="22138" s="69" customFormat="1" x14ac:dyDescent="0.15"/>
    <row r="22139" s="69" customFormat="1" x14ac:dyDescent="0.15"/>
    <row r="22140" s="69" customFormat="1" x14ac:dyDescent="0.15"/>
    <row r="22141" s="69" customFormat="1" x14ac:dyDescent="0.15"/>
    <row r="22142" s="69" customFormat="1" x14ac:dyDescent="0.15"/>
    <row r="22143" s="69" customFormat="1" x14ac:dyDescent="0.15"/>
    <row r="22144" s="69" customFormat="1" x14ac:dyDescent="0.15"/>
    <row r="22145" s="69" customFormat="1" x14ac:dyDescent="0.15"/>
    <row r="22146" s="69" customFormat="1" x14ac:dyDescent="0.15"/>
    <row r="22147" s="69" customFormat="1" x14ac:dyDescent="0.15"/>
    <row r="22148" s="69" customFormat="1" x14ac:dyDescent="0.15"/>
    <row r="22149" s="69" customFormat="1" x14ac:dyDescent="0.15"/>
    <row r="22150" s="69" customFormat="1" x14ac:dyDescent="0.15"/>
    <row r="22151" s="69" customFormat="1" x14ac:dyDescent="0.15"/>
    <row r="22152" s="69" customFormat="1" x14ac:dyDescent="0.15"/>
    <row r="22153" s="69" customFormat="1" x14ac:dyDescent="0.15"/>
    <row r="22154" s="69" customFormat="1" x14ac:dyDescent="0.15"/>
    <row r="22155" s="69" customFormat="1" x14ac:dyDescent="0.15"/>
    <row r="22156" s="69" customFormat="1" x14ac:dyDescent="0.15"/>
    <row r="22157" s="69" customFormat="1" x14ac:dyDescent="0.15"/>
    <row r="22158" s="69" customFormat="1" x14ac:dyDescent="0.15"/>
    <row r="22159" s="69" customFormat="1" x14ac:dyDescent="0.15"/>
    <row r="22160" s="69" customFormat="1" x14ac:dyDescent="0.15"/>
    <row r="22161" s="69" customFormat="1" x14ac:dyDescent="0.15"/>
    <row r="22162" s="69" customFormat="1" x14ac:dyDescent="0.15"/>
    <row r="22163" s="69" customFormat="1" x14ac:dyDescent="0.15"/>
    <row r="22164" s="69" customFormat="1" x14ac:dyDescent="0.15"/>
    <row r="22165" s="69" customFormat="1" x14ac:dyDescent="0.15"/>
    <row r="22166" s="69" customFormat="1" x14ac:dyDescent="0.15"/>
    <row r="22167" s="69" customFormat="1" x14ac:dyDescent="0.15"/>
    <row r="22168" s="69" customFormat="1" x14ac:dyDescent="0.15"/>
    <row r="22169" s="69" customFormat="1" x14ac:dyDescent="0.15"/>
    <row r="22170" s="69" customFormat="1" x14ac:dyDescent="0.15"/>
    <row r="22171" s="69" customFormat="1" x14ac:dyDescent="0.15"/>
    <row r="22172" s="69" customFormat="1" x14ac:dyDescent="0.15"/>
    <row r="22173" s="69" customFormat="1" x14ac:dyDescent="0.15"/>
    <row r="22174" s="69" customFormat="1" x14ac:dyDescent="0.15"/>
    <row r="22175" s="69" customFormat="1" x14ac:dyDescent="0.15"/>
    <row r="22176" s="69" customFormat="1" x14ac:dyDescent="0.15"/>
    <row r="22177" s="69" customFormat="1" x14ac:dyDescent="0.15"/>
    <row r="22178" s="69" customFormat="1" x14ac:dyDescent="0.15"/>
    <row r="22179" s="69" customFormat="1" x14ac:dyDescent="0.15"/>
    <row r="22180" s="69" customFormat="1" x14ac:dyDescent="0.15"/>
    <row r="22181" s="69" customFormat="1" x14ac:dyDescent="0.15"/>
    <row r="22182" s="69" customFormat="1" x14ac:dyDescent="0.15"/>
    <row r="22183" s="69" customFormat="1" x14ac:dyDescent="0.15"/>
    <row r="22184" s="69" customFormat="1" x14ac:dyDescent="0.15"/>
    <row r="22185" s="69" customFormat="1" x14ac:dyDescent="0.15"/>
    <row r="22186" s="69" customFormat="1" x14ac:dyDescent="0.15"/>
    <row r="22187" s="69" customFormat="1" x14ac:dyDescent="0.15"/>
    <row r="22188" s="69" customFormat="1" x14ac:dyDescent="0.15"/>
    <row r="22189" s="69" customFormat="1" x14ac:dyDescent="0.15"/>
    <row r="22190" s="69" customFormat="1" x14ac:dyDescent="0.15"/>
    <row r="22191" s="69" customFormat="1" x14ac:dyDescent="0.15"/>
    <row r="22192" s="69" customFormat="1" x14ac:dyDescent="0.15"/>
    <row r="22193" s="69" customFormat="1" x14ac:dyDescent="0.15"/>
    <row r="22194" s="69" customFormat="1" x14ac:dyDescent="0.15"/>
    <row r="22195" s="69" customFormat="1" x14ac:dyDescent="0.15"/>
    <row r="22196" s="69" customFormat="1" x14ac:dyDescent="0.15"/>
    <row r="22197" s="69" customFormat="1" x14ac:dyDescent="0.15"/>
    <row r="22198" s="69" customFormat="1" x14ac:dyDescent="0.15"/>
    <row r="22199" s="69" customFormat="1" x14ac:dyDescent="0.15"/>
    <row r="22200" s="69" customFormat="1" x14ac:dyDescent="0.15"/>
    <row r="22201" s="69" customFormat="1" x14ac:dyDescent="0.15"/>
    <row r="22202" s="69" customFormat="1" x14ac:dyDescent="0.15"/>
    <row r="22203" s="69" customFormat="1" x14ac:dyDescent="0.15"/>
    <row r="22204" s="69" customFormat="1" x14ac:dyDescent="0.15"/>
    <row r="22205" s="69" customFormat="1" x14ac:dyDescent="0.15"/>
    <row r="22206" s="69" customFormat="1" x14ac:dyDescent="0.15"/>
    <row r="22207" s="69" customFormat="1" x14ac:dyDescent="0.15"/>
    <row r="22208" s="69" customFormat="1" x14ac:dyDescent="0.15"/>
    <row r="22209" s="69" customFormat="1" x14ac:dyDescent="0.15"/>
    <row r="22210" s="69" customFormat="1" x14ac:dyDescent="0.15"/>
    <row r="22211" s="69" customFormat="1" x14ac:dyDescent="0.15"/>
    <row r="22212" s="69" customFormat="1" x14ac:dyDescent="0.15"/>
    <row r="22213" s="69" customFormat="1" x14ac:dyDescent="0.15"/>
    <row r="22214" s="69" customFormat="1" x14ac:dyDescent="0.15"/>
    <row r="22215" s="69" customFormat="1" x14ac:dyDescent="0.15"/>
    <row r="22216" s="69" customFormat="1" x14ac:dyDescent="0.15"/>
    <row r="22217" s="69" customFormat="1" x14ac:dyDescent="0.15"/>
    <row r="22218" s="69" customFormat="1" x14ac:dyDescent="0.15"/>
    <row r="22219" s="69" customFormat="1" x14ac:dyDescent="0.15"/>
    <row r="22220" s="69" customFormat="1" x14ac:dyDescent="0.15"/>
    <row r="22221" s="69" customFormat="1" x14ac:dyDescent="0.15"/>
    <row r="22222" s="69" customFormat="1" x14ac:dyDescent="0.15"/>
    <row r="22223" s="69" customFormat="1" x14ac:dyDescent="0.15"/>
    <row r="22224" s="69" customFormat="1" x14ac:dyDescent="0.15"/>
    <row r="22225" s="69" customFormat="1" x14ac:dyDescent="0.15"/>
    <row r="22226" s="69" customFormat="1" x14ac:dyDescent="0.15"/>
    <row r="22227" s="69" customFormat="1" x14ac:dyDescent="0.15"/>
    <row r="22228" s="69" customFormat="1" x14ac:dyDescent="0.15"/>
    <row r="22229" s="69" customFormat="1" x14ac:dyDescent="0.15"/>
    <row r="22230" s="69" customFormat="1" x14ac:dyDescent="0.15"/>
    <row r="22231" s="69" customFormat="1" x14ac:dyDescent="0.15"/>
    <row r="22232" s="69" customFormat="1" x14ac:dyDescent="0.15"/>
    <row r="22233" s="69" customFormat="1" x14ac:dyDescent="0.15"/>
    <row r="22234" s="69" customFormat="1" x14ac:dyDescent="0.15"/>
    <row r="22235" s="69" customFormat="1" x14ac:dyDescent="0.15"/>
    <row r="22236" s="69" customFormat="1" x14ac:dyDescent="0.15"/>
    <row r="22237" s="69" customFormat="1" x14ac:dyDescent="0.15"/>
    <row r="22238" s="69" customFormat="1" x14ac:dyDescent="0.15"/>
    <row r="22239" s="69" customFormat="1" x14ac:dyDescent="0.15"/>
    <row r="22240" s="69" customFormat="1" x14ac:dyDescent="0.15"/>
    <row r="22241" s="69" customFormat="1" x14ac:dyDescent="0.15"/>
    <row r="22242" s="69" customFormat="1" x14ac:dyDescent="0.15"/>
    <row r="22243" s="69" customFormat="1" x14ac:dyDescent="0.15"/>
    <row r="22244" s="69" customFormat="1" x14ac:dyDescent="0.15"/>
    <row r="22245" s="69" customFormat="1" x14ac:dyDescent="0.15"/>
    <row r="22246" s="69" customFormat="1" x14ac:dyDescent="0.15"/>
    <row r="22247" s="69" customFormat="1" x14ac:dyDescent="0.15"/>
    <row r="22248" s="69" customFormat="1" x14ac:dyDescent="0.15"/>
    <row r="22249" s="69" customFormat="1" x14ac:dyDescent="0.15"/>
    <row r="22250" s="69" customFormat="1" x14ac:dyDescent="0.15"/>
    <row r="22251" s="69" customFormat="1" x14ac:dyDescent="0.15"/>
    <row r="22252" s="69" customFormat="1" x14ac:dyDescent="0.15"/>
    <row r="22253" s="69" customFormat="1" x14ac:dyDescent="0.15"/>
    <row r="22254" s="69" customFormat="1" x14ac:dyDescent="0.15"/>
    <row r="22255" s="69" customFormat="1" x14ac:dyDescent="0.15"/>
    <row r="22256" s="69" customFormat="1" x14ac:dyDescent="0.15"/>
    <row r="22257" s="69" customFormat="1" x14ac:dyDescent="0.15"/>
    <row r="22258" s="69" customFormat="1" x14ac:dyDescent="0.15"/>
    <row r="22259" s="69" customFormat="1" x14ac:dyDescent="0.15"/>
    <row r="22260" s="69" customFormat="1" x14ac:dyDescent="0.15"/>
    <row r="22261" s="69" customFormat="1" x14ac:dyDescent="0.15"/>
    <row r="22262" s="69" customFormat="1" x14ac:dyDescent="0.15"/>
    <row r="22263" s="69" customFormat="1" x14ac:dyDescent="0.15"/>
    <row r="22264" s="69" customFormat="1" x14ac:dyDescent="0.15"/>
    <row r="22265" s="69" customFormat="1" x14ac:dyDescent="0.15"/>
    <row r="22266" s="69" customFormat="1" x14ac:dyDescent="0.15"/>
    <row r="22267" s="69" customFormat="1" x14ac:dyDescent="0.15"/>
    <row r="22268" s="69" customFormat="1" x14ac:dyDescent="0.15"/>
    <row r="22269" s="69" customFormat="1" x14ac:dyDescent="0.15"/>
    <row r="22270" s="69" customFormat="1" x14ac:dyDescent="0.15"/>
    <row r="22271" s="69" customFormat="1" x14ac:dyDescent="0.15"/>
    <row r="22272" s="69" customFormat="1" x14ac:dyDescent="0.15"/>
    <row r="22273" s="69" customFormat="1" x14ac:dyDescent="0.15"/>
    <row r="22274" s="69" customFormat="1" x14ac:dyDescent="0.15"/>
    <row r="22275" s="69" customFormat="1" x14ac:dyDescent="0.15"/>
    <row r="22276" s="69" customFormat="1" x14ac:dyDescent="0.15"/>
    <row r="22277" s="69" customFormat="1" x14ac:dyDescent="0.15"/>
    <row r="22278" s="69" customFormat="1" x14ac:dyDescent="0.15"/>
    <row r="22279" s="69" customFormat="1" x14ac:dyDescent="0.15"/>
    <row r="22280" s="69" customFormat="1" x14ac:dyDescent="0.15"/>
    <row r="22281" s="69" customFormat="1" x14ac:dyDescent="0.15"/>
    <row r="22282" s="69" customFormat="1" x14ac:dyDescent="0.15"/>
    <row r="22283" s="69" customFormat="1" x14ac:dyDescent="0.15"/>
    <row r="22284" s="69" customFormat="1" x14ac:dyDescent="0.15"/>
    <row r="22285" s="69" customFormat="1" x14ac:dyDescent="0.15"/>
    <row r="22286" s="69" customFormat="1" x14ac:dyDescent="0.15"/>
    <row r="22287" s="69" customFormat="1" x14ac:dyDescent="0.15"/>
    <row r="22288" s="69" customFormat="1" x14ac:dyDescent="0.15"/>
    <row r="22289" s="69" customFormat="1" x14ac:dyDescent="0.15"/>
    <row r="22290" s="69" customFormat="1" x14ac:dyDescent="0.15"/>
    <row r="22291" s="69" customFormat="1" x14ac:dyDescent="0.15"/>
    <row r="22292" s="69" customFormat="1" x14ac:dyDescent="0.15"/>
    <row r="22293" s="69" customFormat="1" x14ac:dyDescent="0.15"/>
    <row r="22294" s="69" customFormat="1" x14ac:dyDescent="0.15"/>
    <row r="22295" s="69" customFormat="1" x14ac:dyDescent="0.15"/>
    <row r="22296" s="69" customFormat="1" x14ac:dyDescent="0.15"/>
    <row r="22297" s="69" customFormat="1" x14ac:dyDescent="0.15"/>
    <row r="22298" s="69" customFormat="1" x14ac:dyDescent="0.15"/>
    <row r="22299" s="69" customFormat="1" x14ac:dyDescent="0.15"/>
    <row r="22300" s="69" customFormat="1" x14ac:dyDescent="0.15"/>
    <row r="22301" s="69" customFormat="1" x14ac:dyDescent="0.15"/>
    <row r="22302" s="69" customFormat="1" x14ac:dyDescent="0.15"/>
    <row r="22303" s="69" customFormat="1" x14ac:dyDescent="0.15"/>
    <row r="22304" s="69" customFormat="1" x14ac:dyDescent="0.15"/>
    <row r="22305" s="69" customFormat="1" x14ac:dyDescent="0.15"/>
    <row r="22306" s="69" customFormat="1" x14ac:dyDescent="0.15"/>
    <row r="22307" s="69" customFormat="1" x14ac:dyDescent="0.15"/>
    <row r="22308" s="69" customFormat="1" x14ac:dyDescent="0.15"/>
    <row r="22309" s="69" customFormat="1" x14ac:dyDescent="0.15"/>
    <row r="22310" s="69" customFormat="1" x14ac:dyDescent="0.15"/>
    <row r="22311" s="69" customFormat="1" x14ac:dyDescent="0.15"/>
    <row r="22312" s="69" customFormat="1" x14ac:dyDescent="0.15"/>
    <row r="22313" s="69" customFormat="1" x14ac:dyDescent="0.15"/>
    <row r="22314" s="69" customFormat="1" x14ac:dyDescent="0.15"/>
    <row r="22315" s="69" customFormat="1" x14ac:dyDescent="0.15"/>
    <row r="22316" s="69" customFormat="1" x14ac:dyDescent="0.15"/>
    <row r="22317" s="69" customFormat="1" x14ac:dyDescent="0.15"/>
    <row r="22318" s="69" customFormat="1" x14ac:dyDescent="0.15"/>
    <row r="22319" s="69" customFormat="1" x14ac:dyDescent="0.15"/>
    <row r="22320" s="69" customFormat="1" x14ac:dyDescent="0.15"/>
    <row r="22321" s="69" customFormat="1" x14ac:dyDescent="0.15"/>
    <row r="22322" s="69" customFormat="1" x14ac:dyDescent="0.15"/>
    <row r="22323" s="69" customFormat="1" x14ac:dyDescent="0.15"/>
    <row r="22324" s="69" customFormat="1" x14ac:dyDescent="0.15"/>
    <row r="22325" s="69" customFormat="1" x14ac:dyDescent="0.15"/>
    <row r="22326" s="69" customFormat="1" x14ac:dyDescent="0.15"/>
    <row r="22327" s="69" customFormat="1" x14ac:dyDescent="0.15"/>
    <row r="22328" s="69" customFormat="1" x14ac:dyDescent="0.15"/>
    <row r="22329" s="69" customFormat="1" x14ac:dyDescent="0.15"/>
    <row r="22330" s="69" customFormat="1" x14ac:dyDescent="0.15"/>
    <row r="22331" s="69" customFormat="1" x14ac:dyDescent="0.15"/>
    <row r="22332" s="69" customFormat="1" x14ac:dyDescent="0.15"/>
    <row r="22333" s="69" customFormat="1" x14ac:dyDescent="0.15"/>
    <row r="22334" s="69" customFormat="1" x14ac:dyDescent="0.15"/>
    <row r="22335" s="69" customFormat="1" x14ac:dyDescent="0.15"/>
    <row r="22336" s="69" customFormat="1" x14ac:dyDescent="0.15"/>
    <row r="22337" s="69" customFormat="1" x14ac:dyDescent="0.15"/>
    <row r="22338" s="69" customFormat="1" x14ac:dyDescent="0.15"/>
    <row r="22339" s="69" customFormat="1" x14ac:dyDescent="0.15"/>
    <row r="22340" s="69" customFormat="1" x14ac:dyDescent="0.15"/>
    <row r="22341" s="69" customFormat="1" x14ac:dyDescent="0.15"/>
    <row r="22342" s="69" customFormat="1" x14ac:dyDescent="0.15"/>
    <row r="22343" s="69" customFormat="1" x14ac:dyDescent="0.15"/>
    <row r="22344" s="69" customFormat="1" x14ac:dyDescent="0.15"/>
    <row r="22345" s="69" customFormat="1" x14ac:dyDescent="0.15"/>
    <row r="22346" s="69" customFormat="1" x14ac:dyDescent="0.15"/>
    <row r="22347" s="69" customFormat="1" x14ac:dyDescent="0.15"/>
    <row r="22348" s="69" customFormat="1" x14ac:dyDescent="0.15"/>
    <row r="22349" s="69" customFormat="1" x14ac:dyDescent="0.15"/>
    <row r="22350" s="69" customFormat="1" x14ac:dyDescent="0.15"/>
    <row r="22351" s="69" customFormat="1" x14ac:dyDescent="0.15"/>
    <row r="22352" s="69" customFormat="1" x14ac:dyDescent="0.15"/>
    <row r="22353" s="69" customFormat="1" x14ac:dyDescent="0.15"/>
    <row r="22354" s="69" customFormat="1" x14ac:dyDescent="0.15"/>
    <row r="22355" s="69" customFormat="1" x14ac:dyDescent="0.15"/>
    <row r="22356" s="69" customFormat="1" x14ac:dyDescent="0.15"/>
    <row r="22357" s="69" customFormat="1" x14ac:dyDescent="0.15"/>
    <row r="22358" s="69" customFormat="1" x14ac:dyDescent="0.15"/>
    <row r="22359" s="69" customFormat="1" x14ac:dyDescent="0.15"/>
    <row r="22360" s="69" customFormat="1" x14ac:dyDescent="0.15"/>
    <row r="22361" s="69" customFormat="1" x14ac:dyDescent="0.15"/>
    <row r="22362" s="69" customFormat="1" x14ac:dyDescent="0.15"/>
    <row r="22363" s="69" customFormat="1" x14ac:dyDescent="0.15"/>
    <row r="22364" s="69" customFormat="1" x14ac:dyDescent="0.15"/>
    <row r="22365" s="69" customFormat="1" x14ac:dyDescent="0.15"/>
    <row r="22366" s="69" customFormat="1" x14ac:dyDescent="0.15"/>
    <row r="22367" s="69" customFormat="1" x14ac:dyDescent="0.15"/>
    <row r="22368" s="69" customFormat="1" x14ac:dyDescent="0.15"/>
    <row r="22369" s="69" customFormat="1" x14ac:dyDescent="0.15"/>
    <row r="22370" s="69" customFormat="1" x14ac:dyDescent="0.15"/>
    <row r="22371" s="69" customFormat="1" x14ac:dyDescent="0.15"/>
    <row r="22372" s="69" customFormat="1" x14ac:dyDescent="0.15"/>
    <row r="22373" s="69" customFormat="1" x14ac:dyDescent="0.15"/>
    <row r="22374" s="69" customFormat="1" x14ac:dyDescent="0.15"/>
    <row r="22375" s="69" customFormat="1" x14ac:dyDescent="0.15"/>
    <row r="22376" s="69" customFormat="1" x14ac:dyDescent="0.15"/>
    <row r="22377" s="69" customFormat="1" x14ac:dyDescent="0.15"/>
    <row r="22378" s="69" customFormat="1" x14ac:dyDescent="0.15"/>
    <row r="22379" s="69" customFormat="1" x14ac:dyDescent="0.15"/>
    <row r="22380" s="69" customFormat="1" x14ac:dyDescent="0.15"/>
    <row r="22381" s="69" customFormat="1" x14ac:dyDescent="0.15"/>
    <row r="22382" s="69" customFormat="1" x14ac:dyDescent="0.15"/>
    <row r="22383" s="69" customFormat="1" x14ac:dyDescent="0.15"/>
    <row r="22384" s="69" customFormat="1" x14ac:dyDescent="0.15"/>
    <row r="22385" s="69" customFormat="1" x14ac:dyDescent="0.15"/>
    <row r="22386" s="69" customFormat="1" x14ac:dyDescent="0.15"/>
    <row r="22387" s="69" customFormat="1" x14ac:dyDescent="0.15"/>
    <row r="22388" s="69" customFormat="1" x14ac:dyDescent="0.15"/>
    <row r="22389" s="69" customFormat="1" x14ac:dyDescent="0.15"/>
    <row r="22390" s="69" customFormat="1" x14ac:dyDescent="0.15"/>
    <row r="22391" s="69" customFormat="1" x14ac:dyDescent="0.15"/>
    <row r="22392" s="69" customFormat="1" x14ac:dyDescent="0.15"/>
    <row r="22393" s="69" customFormat="1" x14ac:dyDescent="0.15"/>
    <row r="22394" s="69" customFormat="1" x14ac:dyDescent="0.15"/>
    <row r="22395" s="69" customFormat="1" x14ac:dyDescent="0.15"/>
    <row r="22396" s="69" customFormat="1" x14ac:dyDescent="0.15"/>
    <row r="22397" s="69" customFormat="1" x14ac:dyDescent="0.15"/>
    <row r="22398" s="69" customFormat="1" x14ac:dyDescent="0.15"/>
    <row r="22399" s="69" customFormat="1" x14ac:dyDescent="0.15"/>
    <row r="22400" s="69" customFormat="1" x14ac:dyDescent="0.15"/>
    <row r="22401" s="69" customFormat="1" x14ac:dyDescent="0.15"/>
    <row r="22402" s="69" customFormat="1" x14ac:dyDescent="0.15"/>
    <row r="22403" s="69" customFormat="1" x14ac:dyDescent="0.15"/>
    <row r="22404" s="69" customFormat="1" x14ac:dyDescent="0.15"/>
    <row r="22405" s="69" customFormat="1" x14ac:dyDescent="0.15"/>
    <row r="22406" s="69" customFormat="1" x14ac:dyDescent="0.15"/>
    <row r="22407" s="69" customFormat="1" x14ac:dyDescent="0.15"/>
    <row r="22408" s="69" customFormat="1" x14ac:dyDescent="0.15"/>
    <row r="22409" s="69" customFormat="1" x14ac:dyDescent="0.15"/>
    <row r="22410" s="69" customFormat="1" x14ac:dyDescent="0.15"/>
    <row r="22411" s="69" customFormat="1" x14ac:dyDescent="0.15"/>
    <row r="22412" s="69" customFormat="1" x14ac:dyDescent="0.15"/>
    <row r="22413" s="69" customFormat="1" x14ac:dyDescent="0.15"/>
    <row r="22414" s="69" customFormat="1" x14ac:dyDescent="0.15"/>
    <row r="22415" s="69" customFormat="1" x14ac:dyDescent="0.15"/>
    <row r="22416" s="69" customFormat="1" x14ac:dyDescent="0.15"/>
    <row r="22417" s="69" customFormat="1" x14ac:dyDescent="0.15"/>
    <row r="22418" s="69" customFormat="1" x14ac:dyDescent="0.15"/>
    <row r="22419" s="69" customFormat="1" x14ac:dyDescent="0.15"/>
    <row r="22420" s="69" customFormat="1" x14ac:dyDescent="0.15"/>
    <row r="22421" s="69" customFormat="1" x14ac:dyDescent="0.15"/>
    <row r="22422" s="69" customFormat="1" x14ac:dyDescent="0.15"/>
    <row r="22423" s="69" customFormat="1" x14ac:dyDescent="0.15"/>
    <row r="22424" s="69" customFormat="1" x14ac:dyDescent="0.15"/>
    <row r="22425" s="69" customFormat="1" x14ac:dyDescent="0.15"/>
    <row r="22426" s="69" customFormat="1" x14ac:dyDescent="0.15"/>
    <row r="22427" s="69" customFormat="1" x14ac:dyDescent="0.15"/>
    <row r="22428" s="69" customFormat="1" x14ac:dyDescent="0.15"/>
    <row r="22429" s="69" customFormat="1" x14ac:dyDescent="0.15"/>
    <row r="22430" s="69" customFormat="1" x14ac:dyDescent="0.15"/>
    <row r="22431" s="69" customFormat="1" x14ac:dyDescent="0.15"/>
    <row r="22432" s="69" customFormat="1" x14ac:dyDescent="0.15"/>
    <row r="22433" s="69" customFormat="1" x14ac:dyDescent="0.15"/>
    <row r="22434" s="69" customFormat="1" x14ac:dyDescent="0.15"/>
    <row r="22435" s="69" customFormat="1" x14ac:dyDescent="0.15"/>
    <row r="22436" s="69" customFormat="1" x14ac:dyDescent="0.15"/>
    <row r="22437" s="69" customFormat="1" x14ac:dyDescent="0.15"/>
    <row r="22438" s="69" customFormat="1" x14ac:dyDescent="0.15"/>
    <row r="22439" s="69" customFormat="1" x14ac:dyDescent="0.15"/>
    <row r="22440" s="69" customFormat="1" x14ac:dyDescent="0.15"/>
    <row r="22441" s="69" customFormat="1" x14ac:dyDescent="0.15"/>
    <row r="22442" s="69" customFormat="1" x14ac:dyDescent="0.15"/>
    <row r="22443" s="69" customFormat="1" x14ac:dyDescent="0.15"/>
    <row r="22444" s="69" customFormat="1" x14ac:dyDescent="0.15"/>
    <row r="22445" s="69" customFormat="1" x14ac:dyDescent="0.15"/>
    <row r="22446" s="69" customFormat="1" x14ac:dyDescent="0.15"/>
    <row r="22447" s="69" customFormat="1" x14ac:dyDescent="0.15"/>
    <row r="22448" s="69" customFormat="1" x14ac:dyDescent="0.15"/>
    <row r="22449" s="69" customFormat="1" x14ac:dyDescent="0.15"/>
    <row r="22450" s="69" customFormat="1" x14ac:dyDescent="0.15"/>
    <row r="22451" s="69" customFormat="1" x14ac:dyDescent="0.15"/>
    <row r="22452" s="69" customFormat="1" x14ac:dyDescent="0.15"/>
    <row r="22453" s="69" customFormat="1" x14ac:dyDescent="0.15"/>
    <row r="22454" s="69" customFormat="1" x14ac:dyDescent="0.15"/>
    <row r="22455" s="69" customFormat="1" x14ac:dyDescent="0.15"/>
    <row r="22456" s="69" customFormat="1" x14ac:dyDescent="0.15"/>
    <row r="22457" s="69" customFormat="1" x14ac:dyDescent="0.15"/>
    <row r="22458" s="69" customFormat="1" x14ac:dyDescent="0.15"/>
    <row r="22459" s="69" customFormat="1" x14ac:dyDescent="0.15"/>
    <row r="22460" s="69" customFormat="1" x14ac:dyDescent="0.15"/>
    <row r="22461" s="69" customFormat="1" x14ac:dyDescent="0.15"/>
    <row r="22462" s="69" customFormat="1" x14ac:dyDescent="0.15"/>
    <row r="22463" s="69" customFormat="1" x14ac:dyDescent="0.15"/>
    <row r="22464" s="69" customFormat="1" x14ac:dyDescent="0.15"/>
    <row r="22465" s="69" customFormat="1" x14ac:dyDescent="0.15"/>
    <row r="22466" s="69" customFormat="1" x14ac:dyDescent="0.15"/>
    <row r="22467" s="69" customFormat="1" x14ac:dyDescent="0.15"/>
    <row r="22468" s="69" customFormat="1" x14ac:dyDescent="0.15"/>
    <row r="22469" s="69" customFormat="1" x14ac:dyDescent="0.15"/>
    <row r="22470" s="69" customFormat="1" x14ac:dyDescent="0.15"/>
    <row r="22471" s="69" customFormat="1" x14ac:dyDescent="0.15"/>
    <row r="22472" s="69" customFormat="1" x14ac:dyDescent="0.15"/>
    <row r="22473" s="69" customFormat="1" x14ac:dyDescent="0.15"/>
    <row r="22474" s="69" customFormat="1" x14ac:dyDescent="0.15"/>
    <row r="22475" s="69" customFormat="1" x14ac:dyDescent="0.15"/>
    <row r="22476" s="69" customFormat="1" x14ac:dyDescent="0.15"/>
    <row r="22477" s="69" customFormat="1" x14ac:dyDescent="0.15"/>
    <row r="22478" s="69" customFormat="1" x14ac:dyDescent="0.15"/>
    <row r="22479" s="69" customFormat="1" x14ac:dyDescent="0.15"/>
    <row r="22480" s="69" customFormat="1" x14ac:dyDescent="0.15"/>
    <row r="22481" s="69" customFormat="1" x14ac:dyDescent="0.15"/>
    <row r="22482" s="69" customFormat="1" x14ac:dyDescent="0.15"/>
    <row r="22483" s="69" customFormat="1" x14ac:dyDescent="0.15"/>
    <row r="22484" s="69" customFormat="1" x14ac:dyDescent="0.15"/>
    <row r="22485" s="69" customFormat="1" x14ac:dyDescent="0.15"/>
    <row r="22486" s="69" customFormat="1" x14ac:dyDescent="0.15"/>
    <row r="22487" s="69" customFormat="1" x14ac:dyDescent="0.15"/>
    <row r="22488" s="69" customFormat="1" x14ac:dyDescent="0.15"/>
    <row r="22489" s="69" customFormat="1" x14ac:dyDescent="0.15"/>
    <row r="22490" s="69" customFormat="1" x14ac:dyDescent="0.15"/>
    <row r="22491" s="69" customFormat="1" x14ac:dyDescent="0.15"/>
    <row r="22492" s="69" customFormat="1" x14ac:dyDescent="0.15"/>
    <row r="22493" s="69" customFormat="1" x14ac:dyDescent="0.15"/>
    <row r="22494" s="69" customFormat="1" x14ac:dyDescent="0.15"/>
    <row r="22495" s="69" customFormat="1" x14ac:dyDescent="0.15"/>
    <row r="22496" s="69" customFormat="1" x14ac:dyDescent="0.15"/>
    <row r="22497" s="69" customFormat="1" x14ac:dyDescent="0.15"/>
    <row r="22498" s="69" customFormat="1" x14ac:dyDescent="0.15"/>
    <row r="22499" s="69" customFormat="1" x14ac:dyDescent="0.15"/>
    <row r="22500" s="69" customFormat="1" x14ac:dyDescent="0.15"/>
    <row r="22501" s="69" customFormat="1" x14ac:dyDescent="0.15"/>
    <row r="22502" s="69" customFormat="1" x14ac:dyDescent="0.15"/>
    <row r="22503" s="69" customFormat="1" x14ac:dyDescent="0.15"/>
    <row r="22504" s="69" customFormat="1" x14ac:dyDescent="0.15"/>
    <row r="22505" s="69" customFormat="1" x14ac:dyDescent="0.15"/>
    <row r="22506" s="69" customFormat="1" x14ac:dyDescent="0.15"/>
    <row r="22507" s="69" customFormat="1" x14ac:dyDescent="0.15"/>
    <row r="22508" s="69" customFormat="1" x14ac:dyDescent="0.15"/>
    <row r="22509" s="69" customFormat="1" x14ac:dyDescent="0.15"/>
    <row r="22510" s="69" customFormat="1" x14ac:dyDescent="0.15"/>
    <row r="22511" s="69" customFormat="1" x14ac:dyDescent="0.15"/>
    <row r="22512" s="69" customFormat="1" x14ac:dyDescent="0.15"/>
    <row r="22513" s="69" customFormat="1" x14ac:dyDescent="0.15"/>
    <row r="22514" s="69" customFormat="1" x14ac:dyDescent="0.15"/>
    <row r="22515" s="69" customFormat="1" x14ac:dyDescent="0.15"/>
    <row r="22516" s="69" customFormat="1" x14ac:dyDescent="0.15"/>
    <row r="22517" s="69" customFormat="1" x14ac:dyDescent="0.15"/>
    <row r="22518" s="69" customFormat="1" x14ac:dyDescent="0.15"/>
    <row r="22519" s="69" customFormat="1" x14ac:dyDescent="0.15"/>
    <row r="22520" s="69" customFormat="1" x14ac:dyDescent="0.15"/>
    <row r="22521" s="69" customFormat="1" x14ac:dyDescent="0.15"/>
    <row r="22522" s="69" customFormat="1" x14ac:dyDescent="0.15"/>
    <row r="22523" s="69" customFormat="1" x14ac:dyDescent="0.15"/>
    <row r="22524" s="69" customFormat="1" x14ac:dyDescent="0.15"/>
    <row r="22525" s="69" customFormat="1" x14ac:dyDescent="0.15"/>
    <row r="22526" s="69" customFormat="1" x14ac:dyDescent="0.15"/>
    <row r="22527" s="69" customFormat="1" x14ac:dyDescent="0.15"/>
    <row r="22528" s="69" customFormat="1" x14ac:dyDescent="0.15"/>
    <row r="22529" s="69" customFormat="1" x14ac:dyDescent="0.15"/>
    <row r="22530" s="69" customFormat="1" x14ac:dyDescent="0.15"/>
    <row r="22531" s="69" customFormat="1" x14ac:dyDescent="0.15"/>
    <row r="22532" s="69" customFormat="1" x14ac:dyDescent="0.15"/>
    <row r="22533" s="69" customFormat="1" x14ac:dyDescent="0.15"/>
    <row r="22534" s="69" customFormat="1" x14ac:dyDescent="0.15"/>
    <row r="22535" s="69" customFormat="1" x14ac:dyDescent="0.15"/>
    <row r="22536" s="69" customFormat="1" x14ac:dyDescent="0.15"/>
    <row r="22537" s="69" customFormat="1" x14ac:dyDescent="0.15"/>
    <row r="22538" s="69" customFormat="1" x14ac:dyDescent="0.15"/>
    <row r="22539" s="69" customFormat="1" x14ac:dyDescent="0.15"/>
    <row r="22540" s="69" customFormat="1" x14ac:dyDescent="0.15"/>
    <row r="22541" s="69" customFormat="1" x14ac:dyDescent="0.15"/>
    <row r="22542" s="69" customFormat="1" x14ac:dyDescent="0.15"/>
    <row r="22543" s="69" customFormat="1" x14ac:dyDescent="0.15"/>
    <row r="22544" s="69" customFormat="1" x14ac:dyDescent="0.15"/>
    <row r="22545" s="69" customFormat="1" x14ac:dyDescent="0.15"/>
    <row r="22546" s="69" customFormat="1" x14ac:dyDescent="0.15"/>
    <row r="22547" s="69" customFormat="1" x14ac:dyDescent="0.15"/>
    <row r="22548" s="69" customFormat="1" x14ac:dyDescent="0.15"/>
    <row r="22549" s="69" customFormat="1" x14ac:dyDescent="0.15"/>
    <row r="22550" s="69" customFormat="1" x14ac:dyDescent="0.15"/>
    <row r="22551" s="69" customFormat="1" x14ac:dyDescent="0.15"/>
    <row r="22552" s="69" customFormat="1" x14ac:dyDescent="0.15"/>
    <row r="22553" s="69" customFormat="1" x14ac:dyDescent="0.15"/>
    <row r="22554" s="69" customFormat="1" x14ac:dyDescent="0.15"/>
    <row r="22555" s="69" customFormat="1" x14ac:dyDescent="0.15"/>
    <row r="22556" s="69" customFormat="1" x14ac:dyDescent="0.15"/>
    <row r="22557" s="69" customFormat="1" x14ac:dyDescent="0.15"/>
    <row r="22558" s="69" customFormat="1" x14ac:dyDescent="0.15"/>
    <row r="22559" s="69" customFormat="1" x14ac:dyDescent="0.15"/>
    <row r="22560" s="69" customFormat="1" x14ac:dyDescent="0.15"/>
    <row r="22561" s="69" customFormat="1" x14ac:dyDescent="0.15"/>
    <row r="22562" s="69" customFormat="1" x14ac:dyDescent="0.15"/>
    <row r="22563" s="69" customFormat="1" x14ac:dyDescent="0.15"/>
    <row r="22564" s="69" customFormat="1" x14ac:dyDescent="0.15"/>
    <row r="22565" s="69" customFormat="1" x14ac:dyDescent="0.15"/>
    <row r="22566" s="69" customFormat="1" x14ac:dyDescent="0.15"/>
    <row r="22567" s="69" customFormat="1" x14ac:dyDescent="0.15"/>
    <row r="22568" s="69" customFormat="1" x14ac:dyDescent="0.15"/>
    <row r="22569" s="69" customFormat="1" x14ac:dyDescent="0.15"/>
    <row r="22570" s="69" customFormat="1" x14ac:dyDescent="0.15"/>
    <row r="22571" s="69" customFormat="1" x14ac:dyDescent="0.15"/>
    <row r="22572" s="69" customFormat="1" x14ac:dyDescent="0.15"/>
    <row r="22573" s="69" customFormat="1" x14ac:dyDescent="0.15"/>
    <row r="22574" s="69" customFormat="1" x14ac:dyDescent="0.15"/>
    <row r="22575" s="69" customFormat="1" x14ac:dyDescent="0.15"/>
    <row r="22576" s="69" customFormat="1" x14ac:dyDescent="0.15"/>
    <row r="22577" s="69" customFormat="1" x14ac:dyDescent="0.15"/>
    <row r="22578" s="69" customFormat="1" x14ac:dyDescent="0.15"/>
    <row r="22579" s="69" customFormat="1" x14ac:dyDescent="0.15"/>
    <row r="22580" s="69" customFormat="1" x14ac:dyDescent="0.15"/>
    <row r="22581" s="69" customFormat="1" x14ac:dyDescent="0.15"/>
    <row r="22582" s="69" customFormat="1" x14ac:dyDescent="0.15"/>
    <row r="22583" s="69" customFormat="1" x14ac:dyDescent="0.15"/>
    <row r="22584" s="69" customFormat="1" x14ac:dyDescent="0.15"/>
    <row r="22585" s="69" customFormat="1" x14ac:dyDescent="0.15"/>
    <row r="22586" s="69" customFormat="1" x14ac:dyDescent="0.15"/>
    <row r="22587" s="69" customFormat="1" x14ac:dyDescent="0.15"/>
    <row r="22588" s="69" customFormat="1" x14ac:dyDescent="0.15"/>
    <row r="22589" s="69" customFormat="1" x14ac:dyDescent="0.15"/>
    <row r="22590" s="69" customFormat="1" x14ac:dyDescent="0.15"/>
    <row r="22591" s="69" customFormat="1" x14ac:dyDescent="0.15"/>
    <row r="22592" s="69" customFormat="1" x14ac:dyDescent="0.15"/>
    <row r="22593" s="69" customFormat="1" x14ac:dyDescent="0.15"/>
    <row r="22594" s="69" customFormat="1" x14ac:dyDescent="0.15"/>
    <row r="22595" s="69" customFormat="1" x14ac:dyDescent="0.15"/>
    <row r="22596" s="69" customFormat="1" x14ac:dyDescent="0.15"/>
    <row r="22597" s="69" customFormat="1" x14ac:dyDescent="0.15"/>
    <row r="22598" s="69" customFormat="1" x14ac:dyDescent="0.15"/>
    <row r="22599" s="69" customFormat="1" x14ac:dyDescent="0.15"/>
    <row r="22600" s="69" customFormat="1" x14ac:dyDescent="0.15"/>
    <row r="22601" s="69" customFormat="1" x14ac:dyDescent="0.15"/>
    <row r="22602" s="69" customFormat="1" x14ac:dyDescent="0.15"/>
    <row r="22603" s="69" customFormat="1" x14ac:dyDescent="0.15"/>
    <row r="22604" s="69" customFormat="1" x14ac:dyDescent="0.15"/>
    <row r="22605" s="69" customFormat="1" x14ac:dyDescent="0.15"/>
    <row r="22606" s="69" customFormat="1" x14ac:dyDescent="0.15"/>
    <row r="22607" s="69" customFormat="1" x14ac:dyDescent="0.15"/>
    <row r="22608" s="69" customFormat="1" x14ac:dyDescent="0.15"/>
    <row r="22609" s="69" customFormat="1" x14ac:dyDescent="0.15"/>
    <row r="22610" s="69" customFormat="1" x14ac:dyDescent="0.15"/>
    <row r="22611" s="69" customFormat="1" x14ac:dyDescent="0.15"/>
    <row r="22612" s="69" customFormat="1" x14ac:dyDescent="0.15"/>
    <row r="22613" s="69" customFormat="1" x14ac:dyDescent="0.15"/>
    <row r="22614" s="69" customFormat="1" x14ac:dyDescent="0.15"/>
    <row r="22615" s="69" customFormat="1" x14ac:dyDescent="0.15"/>
    <row r="22616" s="69" customFormat="1" x14ac:dyDescent="0.15"/>
    <row r="22617" s="69" customFormat="1" x14ac:dyDescent="0.15"/>
    <row r="22618" s="69" customFormat="1" x14ac:dyDescent="0.15"/>
    <row r="22619" s="69" customFormat="1" x14ac:dyDescent="0.15"/>
    <row r="22620" s="69" customFormat="1" x14ac:dyDescent="0.15"/>
    <row r="22621" s="69" customFormat="1" x14ac:dyDescent="0.15"/>
    <row r="22622" s="69" customFormat="1" x14ac:dyDescent="0.15"/>
    <row r="22623" s="69" customFormat="1" x14ac:dyDescent="0.15"/>
    <row r="22624" s="69" customFormat="1" x14ac:dyDescent="0.15"/>
    <row r="22625" s="69" customFormat="1" x14ac:dyDescent="0.15"/>
    <row r="22626" s="69" customFormat="1" x14ac:dyDescent="0.15"/>
    <row r="22627" s="69" customFormat="1" x14ac:dyDescent="0.15"/>
    <row r="22628" s="69" customFormat="1" x14ac:dyDescent="0.15"/>
    <row r="22629" s="69" customFormat="1" x14ac:dyDescent="0.15"/>
    <row r="22630" s="69" customFormat="1" x14ac:dyDescent="0.15"/>
    <row r="22631" s="69" customFormat="1" x14ac:dyDescent="0.15"/>
    <row r="22632" s="69" customFormat="1" x14ac:dyDescent="0.15"/>
    <row r="22633" s="69" customFormat="1" x14ac:dyDescent="0.15"/>
    <row r="22634" s="69" customFormat="1" x14ac:dyDescent="0.15"/>
    <row r="22635" s="69" customFormat="1" x14ac:dyDescent="0.15"/>
    <row r="22636" s="69" customFormat="1" x14ac:dyDescent="0.15"/>
    <row r="22637" s="69" customFormat="1" x14ac:dyDescent="0.15"/>
    <row r="22638" s="69" customFormat="1" x14ac:dyDescent="0.15"/>
    <row r="22639" s="69" customFormat="1" x14ac:dyDescent="0.15"/>
    <row r="22640" s="69" customFormat="1" x14ac:dyDescent="0.15"/>
    <row r="22641" s="69" customFormat="1" x14ac:dyDescent="0.15"/>
    <row r="22642" s="69" customFormat="1" x14ac:dyDescent="0.15"/>
    <row r="22643" s="69" customFormat="1" x14ac:dyDescent="0.15"/>
    <row r="22644" s="69" customFormat="1" x14ac:dyDescent="0.15"/>
    <row r="22645" s="69" customFormat="1" x14ac:dyDescent="0.15"/>
    <row r="22646" s="69" customFormat="1" x14ac:dyDescent="0.15"/>
    <row r="22647" s="69" customFormat="1" x14ac:dyDescent="0.15"/>
    <row r="22648" s="69" customFormat="1" x14ac:dyDescent="0.15"/>
    <row r="22649" s="69" customFormat="1" x14ac:dyDescent="0.15"/>
    <row r="22650" s="69" customFormat="1" x14ac:dyDescent="0.15"/>
    <row r="22651" s="69" customFormat="1" x14ac:dyDescent="0.15"/>
    <row r="22652" s="69" customFormat="1" x14ac:dyDescent="0.15"/>
    <row r="22653" s="69" customFormat="1" x14ac:dyDescent="0.15"/>
    <row r="22654" s="69" customFormat="1" x14ac:dyDescent="0.15"/>
    <row r="22655" s="69" customFormat="1" x14ac:dyDescent="0.15"/>
    <row r="22656" s="69" customFormat="1" x14ac:dyDescent="0.15"/>
    <row r="22657" s="69" customFormat="1" x14ac:dyDescent="0.15"/>
    <row r="22658" s="69" customFormat="1" x14ac:dyDescent="0.15"/>
    <row r="22659" s="69" customFormat="1" x14ac:dyDescent="0.15"/>
    <row r="22660" s="69" customFormat="1" x14ac:dyDescent="0.15"/>
    <row r="22661" s="69" customFormat="1" x14ac:dyDescent="0.15"/>
    <row r="22662" s="69" customFormat="1" x14ac:dyDescent="0.15"/>
    <row r="22663" s="69" customFormat="1" x14ac:dyDescent="0.15"/>
    <row r="22664" s="69" customFormat="1" x14ac:dyDescent="0.15"/>
    <row r="22665" s="69" customFormat="1" x14ac:dyDescent="0.15"/>
    <row r="22666" s="69" customFormat="1" x14ac:dyDescent="0.15"/>
    <row r="22667" s="69" customFormat="1" x14ac:dyDescent="0.15"/>
    <row r="22668" s="69" customFormat="1" x14ac:dyDescent="0.15"/>
    <row r="22669" s="69" customFormat="1" x14ac:dyDescent="0.15"/>
    <row r="22670" s="69" customFormat="1" x14ac:dyDescent="0.15"/>
    <row r="22671" s="69" customFormat="1" x14ac:dyDescent="0.15"/>
    <row r="22672" s="69" customFormat="1" x14ac:dyDescent="0.15"/>
    <row r="22673" s="69" customFormat="1" x14ac:dyDescent="0.15"/>
    <row r="22674" s="69" customFormat="1" x14ac:dyDescent="0.15"/>
    <row r="22675" s="69" customFormat="1" x14ac:dyDescent="0.15"/>
    <row r="22676" s="69" customFormat="1" x14ac:dyDescent="0.15"/>
    <row r="22677" s="69" customFormat="1" x14ac:dyDescent="0.15"/>
    <row r="22678" s="69" customFormat="1" x14ac:dyDescent="0.15"/>
    <row r="22679" s="69" customFormat="1" x14ac:dyDescent="0.15"/>
    <row r="22680" s="69" customFormat="1" x14ac:dyDescent="0.15"/>
    <row r="22681" s="69" customFormat="1" x14ac:dyDescent="0.15"/>
    <row r="22682" s="69" customFormat="1" x14ac:dyDescent="0.15"/>
    <row r="22683" s="69" customFormat="1" x14ac:dyDescent="0.15"/>
    <row r="22684" s="69" customFormat="1" x14ac:dyDescent="0.15"/>
    <row r="22685" s="69" customFormat="1" x14ac:dyDescent="0.15"/>
    <row r="22686" s="69" customFormat="1" x14ac:dyDescent="0.15"/>
    <row r="22687" s="69" customFormat="1" x14ac:dyDescent="0.15"/>
    <row r="22688" s="69" customFormat="1" x14ac:dyDescent="0.15"/>
    <row r="22689" s="69" customFormat="1" x14ac:dyDescent="0.15"/>
    <row r="22690" s="69" customFormat="1" x14ac:dyDescent="0.15"/>
    <row r="22691" s="69" customFormat="1" x14ac:dyDescent="0.15"/>
    <row r="22692" s="69" customFormat="1" x14ac:dyDescent="0.15"/>
    <row r="22693" s="69" customFormat="1" x14ac:dyDescent="0.15"/>
    <row r="22694" s="69" customFormat="1" x14ac:dyDescent="0.15"/>
    <row r="22695" s="69" customFormat="1" x14ac:dyDescent="0.15"/>
    <row r="22696" s="69" customFormat="1" x14ac:dyDescent="0.15"/>
    <row r="22697" s="69" customFormat="1" x14ac:dyDescent="0.15"/>
    <row r="22698" s="69" customFormat="1" x14ac:dyDescent="0.15"/>
    <row r="22699" s="69" customFormat="1" x14ac:dyDescent="0.15"/>
    <row r="22700" s="69" customFormat="1" x14ac:dyDescent="0.15"/>
    <row r="22701" s="69" customFormat="1" x14ac:dyDescent="0.15"/>
    <row r="22702" s="69" customFormat="1" x14ac:dyDescent="0.15"/>
    <row r="22703" s="69" customFormat="1" x14ac:dyDescent="0.15"/>
    <row r="22704" s="69" customFormat="1" x14ac:dyDescent="0.15"/>
    <row r="22705" s="69" customFormat="1" x14ac:dyDescent="0.15"/>
    <row r="22706" s="69" customFormat="1" x14ac:dyDescent="0.15"/>
    <row r="22707" s="69" customFormat="1" x14ac:dyDescent="0.15"/>
    <row r="22708" s="69" customFormat="1" x14ac:dyDescent="0.15"/>
    <row r="22709" s="69" customFormat="1" x14ac:dyDescent="0.15"/>
    <row r="22710" s="69" customFormat="1" x14ac:dyDescent="0.15"/>
    <row r="22711" s="69" customFormat="1" x14ac:dyDescent="0.15"/>
    <row r="22712" s="69" customFormat="1" x14ac:dyDescent="0.15"/>
    <row r="22713" s="69" customFormat="1" x14ac:dyDescent="0.15"/>
    <row r="22714" s="69" customFormat="1" x14ac:dyDescent="0.15"/>
    <row r="22715" s="69" customFormat="1" x14ac:dyDescent="0.15"/>
    <row r="22716" s="69" customFormat="1" x14ac:dyDescent="0.15"/>
    <row r="22717" s="69" customFormat="1" x14ac:dyDescent="0.15"/>
    <row r="22718" s="69" customFormat="1" x14ac:dyDescent="0.15"/>
    <row r="22719" s="69" customFormat="1" x14ac:dyDescent="0.15"/>
    <row r="22720" s="69" customFormat="1" x14ac:dyDescent="0.15"/>
    <row r="22721" s="69" customFormat="1" x14ac:dyDescent="0.15"/>
    <row r="22722" s="69" customFormat="1" x14ac:dyDescent="0.15"/>
    <row r="22723" s="69" customFormat="1" x14ac:dyDescent="0.15"/>
    <row r="22724" s="69" customFormat="1" x14ac:dyDescent="0.15"/>
    <row r="22725" s="69" customFormat="1" x14ac:dyDescent="0.15"/>
    <row r="22726" s="69" customFormat="1" x14ac:dyDescent="0.15"/>
    <row r="22727" s="69" customFormat="1" x14ac:dyDescent="0.15"/>
    <row r="22728" s="69" customFormat="1" x14ac:dyDescent="0.15"/>
    <row r="22729" s="69" customFormat="1" x14ac:dyDescent="0.15"/>
    <row r="22730" s="69" customFormat="1" x14ac:dyDescent="0.15"/>
    <row r="22731" s="69" customFormat="1" x14ac:dyDescent="0.15"/>
    <row r="22732" s="69" customFormat="1" x14ac:dyDescent="0.15"/>
    <row r="22733" s="69" customFormat="1" x14ac:dyDescent="0.15"/>
    <row r="22734" s="69" customFormat="1" x14ac:dyDescent="0.15"/>
    <row r="22735" s="69" customFormat="1" x14ac:dyDescent="0.15"/>
    <row r="22736" s="69" customFormat="1" x14ac:dyDescent="0.15"/>
    <row r="22737" s="69" customFormat="1" x14ac:dyDescent="0.15"/>
    <row r="22738" s="69" customFormat="1" x14ac:dyDescent="0.15"/>
    <row r="22739" s="69" customFormat="1" x14ac:dyDescent="0.15"/>
    <row r="22740" s="69" customFormat="1" x14ac:dyDescent="0.15"/>
    <row r="22741" s="69" customFormat="1" x14ac:dyDescent="0.15"/>
    <row r="22742" s="69" customFormat="1" x14ac:dyDescent="0.15"/>
    <row r="22743" s="69" customFormat="1" x14ac:dyDescent="0.15"/>
    <row r="22744" s="69" customFormat="1" x14ac:dyDescent="0.15"/>
    <row r="22745" s="69" customFormat="1" x14ac:dyDescent="0.15"/>
    <row r="22746" s="69" customFormat="1" x14ac:dyDescent="0.15"/>
    <row r="22747" s="69" customFormat="1" x14ac:dyDescent="0.15"/>
    <row r="22748" s="69" customFormat="1" x14ac:dyDescent="0.15"/>
    <row r="22749" s="69" customFormat="1" x14ac:dyDescent="0.15"/>
    <row r="22750" s="69" customFormat="1" x14ac:dyDescent="0.15"/>
    <row r="22751" s="69" customFormat="1" x14ac:dyDescent="0.15"/>
    <row r="22752" s="69" customFormat="1" x14ac:dyDescent="0.15"/>
    <row r="22753" s="69" customFormat="1" x14ac:dyDescent="0.15"/>
    <row r="22754" s="69" customFormat="1" x14ac:dyDescent="0.15"/>
    <row r="22755" s="69" customFormat="1" x14ac:dyDescent="0.15"/>
    <row r="22756" s="69" customFormat="1" x14ac:dyDescent="0.15"/>
    <row r="22757" s="69" customFormat="1" x14ac:dyDescent="0.15"/>
    <row r="22758" s="69" customFormat="1" x14ac:dyDescent="0.15"/>
    <row r="22759" s="69" customFormat="1" x14ac:dyDescent="0.15"/>
    <row r="22760" s="69" customFormat="1" x14ac:dyDescent="0.15"/>
    <row r="22761" s="69" customFormat="1" x14ac:dyDescent="0.15"/>
    <row r="22762" s="69" customFormat="1" x14ac:dyDescent="0.15"/>
    <row r="22763" s="69" customFormat="1" x14ac:dyDescent="0.15"/>
    <row r="22764" s="69" customFormat="1" x14ac:dyDescent="0.15"/>
    <row r="22765" s="69" customFormat="1" x14ac:dyDescent="0.15"/>
    <row r="22766" s="69" customFormat="1" x14ac:dyDescent="0.15"/>
    <row r="22767" s="69" customFormat="1" x14ac:dyDescent="0.15"/>
    <row r="22768" s="69" customFormat="1" x14ac:dyDescent="0.15"/>
    <row r="22769" s="69" customFormat="1" x14ac:dyDescent="0.15"/>
    <row r="22770" s="69" customFormat="1" x14ac:dyDescent="0.15"/>
    <row r="22771" s="69" customFormat="1" x14ac:dyDescent="0.15"/>
    <row r="22772" s="69" customFormat="1" x14ac:dyDescent="0.15"/>
    <row r="22773" s="69" customFormat="1" x14ac:dyDescent="0.15"/>
    <row r="22774" s="69" customFormat="1" x14ac:dyDescent="0.15"/>
    <row r="22775" s="69" customFormat="1" x14ac:dyDescent="0.15"/>
    <row r="22776" s="69" customFormat="1" x14ac:dyDescent="0.15"/>
    <row r="22777" s="69" customFormat="1" x14ac:dyDescent="0.15"/>
    <row r="22778" s="69" customFormat="1" x14ac:dyDescent="0.15"/>
    <row r="22779" s="69" customFormat="1" x14ac:dyDescent="0.15"/>
    <row r="22780" s="69" customFormat="1" x14ac:dyDescent="0.15"/>
    <row r="22781" s="69" customFormat="1" x14ac:dyDescent="0.15"/>
    <row r="22782" s="69" customFormat="1" x14ac:dyDescent="0.15"/>
    <row r="22783" s="69" customFormat="1" x14ac:dyDescent="0.15"/>
    <row r="22784" s="69" customFormat="1" x14ac:dyDescent="0.15"/>
    <row r="22785" s="69" customFormat="1" x14ac:dyDescent="0.15"/>
    <row r="22786" s="69" customFormat="1" x14ac:dyDescent="0.15"/>
    <row r="22787" s="69" customFormat="1" x14ac:dyDescent="0.15"/>
    <row r="22788" s="69" customFormat="1" x14ac:dyDescent="0.15"/>
    <row r="22789" s="69" customFormat="1" x14ac:dyDescent="0.15"/>
    <row r="22790" s="69" customFormat="1" x14ac:dyDescent="0.15"/>
    <row r="22791" s="69" customFormat="1" x14ac:dyDescent="0.15"/>
    <row r="22792" s="69" customFormat="1" x14ac:dyDescent="0.15"/>
    <row r="22793" s="69" customFormat="1" x14ac:dyDescent="0.15"/>
    <row r="22794" s="69" customFormat="1" x14ac:dyDescent="0.15"/>
    <row r="22795" s="69" customFormat="1" x14ac:dyDescent="0.15"/>
    <row r="22796" s="69" customFormat="1" x14ac:dyDescent="0.15"/>
    <row r="22797" s="69" customFormat="1" x14ac:dyDescent="0.15"/>
    <row r="22798" s="69" customFormat="1" x14ac:dyDescent="0.15"/>
    <row r="22799" s="69" customFormat="1" x14ac:dyDescent="0.15"/>
    <row r="22800" s="69" customFormat="1" x14ac:dyDescent="0.15"/>
    <row r="22801" s="69" customFormat="1" x14ac:dyDescent="0.15"/>
    <row r="22802" s="69" customFormat="1" x14ac:dyDescent="0.15"/>
    <row r="22803" s="69" customFormat="1" x14ac:dyDescent="0.15"/>
    <row r="22804" s="69" customFormat="1" x14ac:dyDescent="0.15"/>
    <row r="22805" s="69" customFormat="1" x14ac:dyDescent="0.15"/>
    <row r="22806" s="69" customFormat="1" x14ac:dyDescent="0.15"/>
    <row r="22807" s="69" customFormat="1" x14ac:dyDescent="0.15"/>
    <row r="22808" s="69" customFormat="1" x14ac:dyDescent="0.15"/>
    <row r="22809" s="69" customFormat="1" x14ac:dyDescent="0.15"/>
    <row r="22810" s="69" customFormat="1" x14ac:dyDescent="0.15"/>
    <row r="22811" s="69" customFormat="1" x14ac:dyDescent="0.15"/>
    <row r="22812" s="69" customFormat="1" x14ac:dyDescent="0.15"/>
    <row r="22813" s="69" customFormat="1" x14ac:dyDescent="0.15"/>
    <row r="22814" s="69" customFormat="1" x14ac:dyDescent="0.15"/>
    <row r="22815" s="69" customFormat="1" x14ac:dyDescent="0.15"/>
    <row r="22816" s="69" customFormat="1" x14ac:dyDescent="0.15"/>
    <row r="22817" s="69" customFormat="1" x14ac:dyDescent="0.15"/>
    <row r="22818" s="69" customFormat="1" x14ac:dyDescent="0.15"/>
    <row r="22819" s="69" customFormat="1" x14ac:dyDescent="0.15"/>
    <row r="22820" s="69" customFormat="1" x14ac:dyDescent="0.15"/>
    <row r="22821" s="69" customFormat="1" x14ac:dyDescent="0.15"/>
    <row r="22822" s="69" customFormat="1" x14ac:dyDescent="0.15"/>
    <row r="22823" s="69" customFormat="1" x14ac:dyDescent="0.15"/>
    <row r="22824" s="69" customFormat="1" x14ac:dyDescent="0.15"/>
    <row r="22825" s="69" customFormat="1" x14ac:dyDescent="0.15"/>
    <row r="22826" s="69" customFormat="1" x14ac:dyDescent="0.15"/>
    <row r="22827" s="69" customFormat="1" x14ac:dyDescent="0.15"/>
    <row r="22828" s="69" customFormat="1" x14ac:dyDescent="0.15"/>
    <row r="22829" s="69" customFormat="1" x14ac:dyDescent="0.15"/>
    <row r="22830" s="69" customFormat="1" x14ac:dyDescent="0.15"/>
    <row r="22831" s="69" customFormat="1" x14ac:dyDescent="0.15"/>
    <row r="22832" s="69" customFormat="1" x14ac:dyDescent="0.15"/>
    <row r="22833" s="69" customFormat="1" x14ac:dyDescent="0.15"/>
    <row r="22834" s="69" customFormat="1" x14ac:dyDescent="0.15"/>
    <row r="22835" s="69" customFormat="1" x14ac:dyDescent="0.15"/>
    <row r="22836" s="69" customFormat="1" x14ac:dyDescent="0.15"/>
    <row r="22837" s="69" customFormat="1" x14ac:dyDescent="0.15"/>
    <row r="22838" s="69" customFormat="1" x14ac:dyDescent="0.15"/>
    <row r="22839" s="69" customFormat="1" x14ac:dyDescent="0.15"/>
    <row r="22840" s="69" customFormat="1" x14ac:dyDescent="0.15"/>
    <row r="22841" s="69" customFormat="1" x14ac:dyDescent="0.15"/>
    <row r="22842" s="69" customFormat="1" x14ac:dyDescent="0.15"/>
    <row r="22843" s="69" customFormat="1" x14ac:dyDescent="0.15"/>
    <row r="22844" s="69" customFormat="1" x14ac:dyDescent="0.15"/>
    <row r="22845" s="69" customFormat="1" x14ac:dyDescent="0.15"/>
    <row r="22846" s="69" customFormat="1" x14ac:dyDescent="0.15"/>
    <row r="22847" s="69" customFormat="1" x14ac:dyDescent="0.15"/>
    <row r="22848" s="69" customFormat="1" x14ac:dyDescent="0.15"/>
    <row r="22849" s="69" customFormat="1" x14ac:dyDescent="0.15"/>
    <row r="22850" s="69" customFormat="1" x14ac:dyDescent="0.15"/>
    <row r="22851" s="69" customFormat="1" x14ac:dyDescent="0.15"/>
    <row r="22852" s="69" customFormat="1" x14ac:dyDescent="0.15"/>
    <row r="22853" s="69" customFormat="1" x14ac:dyDescent="0.15"/>
    <row r="22854" s="69" customFormat="1" x14ac:dyDescent="0.15"/>
    <row r="22855" s="69" customFormat="1" x14ac:dyDescent="0.15"/>
    <row r="22856" s="69" customFormat="1" x14ac:dyDescent="0.15"/>
    <row r="22857" s="69" customFormat="1" x14ac:dyDescent="0.15"/>
    <row r="22858" s="69" customFormat="1" x14ac:dyDescent="0.15"/>
    <row r="22859" s="69" customFormat="1" x14ac:dyDescent="0.15"/>
    <row r="22860" s="69" customFormat="1" x14ac:dyDescent="0.15"/>
    <row r="22861" s="69" customFormat="1" x14ac:dyDescent="0.15"/>
    <row r="22862" s="69" customFormat="1" x14ac:dyDescent="0.15"/>
    <row r="22863" s="69" customFormat="1" x14ac:dyDescent="0.15"/>
    <row r="22864" s="69" customFormat="1" x14ac:dyDescent="0.15"/>
    <row r="22865" s="69" customFormat="1" x14ac:dyDescent="0.15"/>
    <row r="22866" s="69" customFormat="1" x14ac:dyDescent="0.15"/>
    <row r="22867" s="69" customFormat="1" x14ac:dyDescent="0.15"/>
    <row r="22868" s="69" customFormat="1" x14ac:dyDescent="0.15"/>
    <row r="22869" s="69" customFormat="1" x14ac:dyDescent="0.15"/>
    <row r="22870" s="69" customFormat="1" x14ac:dyDescent="0.15"/>
    <row r="22871" s="69" customFormat="1" x14ac:dyDescent="0.15"/>
    <row r="22872" s="69" customFormat="1" x14ac:dyDescent="0.15"/>
    <row r="22873" s="69" customFormat="1" x14ac:dyDescent="0.15"/>
    <row r="22874" s="69" customFormat="1" x14ac:dyDescent="0.15"/>
    <row r="22875" s="69" customFormat="1" x14ac:dyDescent="0.15"/>
    <row r="22876" s="69" customFormat="1" x14ac:dyDescent="0.15"/>
    <row r="22877" s="69" customFormat="1" x14ac:dyDescent="0.15"/>
    <row r="22878" s="69" customFormat="1" x14ac:dyDescent="0.15"/>
    <row r="22879" s="69" customFormat="1" x14ac:dyDescent="0.15"/>
    <row r="22880" s="69" customFormat="1" x14ac:dyDescent="0.15"/>
    <row r="22881" s="69" customFormat="1" x14ac:dyDescent="0.15"/>
    <row r="22882" s="69" customFormat="1" x14ac:dyDescent="0.15"/>
    <row r="22883" s="69" customFormat="1" x14ac:dyDescent="0.15"/>
    <row r="22884" s="69" customFormat="1" x14ac:dyDescent="0.15"/>
    <row r="22885" s="69" customFormat="1" x14ac:dyDescent="0.15"/>
    <row r="22886" s="69" customFormat="1" x14ac:dyDescent="0.15"/>
    <row r="22887" s="69" customFormat="1" x14ac:dyDescent="0.15"/>
    <row r="22888" s="69" customFormat="1" x14ac:dyDescent="0.15"/>
    <row r="22889" s="69" customFormat="1" x14ac:dyDescent="0.15"/>
    <row r="22890" s="69" customFormat="1" x14ac:dyDescent="0.15"/>
    <row r="22891" s="69" customFormat="1" x14ac:dyDescent="0.15"/>
    <row r="22892" s="69" customFormat="1" x14ac:dyDescent="0.15"/>
    <row r="22893" s="69" customFormat="1" x14ac:dyDescent="0.15"/>
    <row r="22894" s="69" customFormat="1" x14ac:dyDescent="0.15"/>
    <row r="22895" s="69" customFormat="1" x14ac:dyDescent="0.15"/>
    <row r="22896" s="69" customFormat="1" x14ac:dyDescent="0.15"/>
    <row r="22897" s="69" customFormat="1" x14ac:dyDescent="0.15"/>
    <row r="22898" s="69" customFormat="1" x14ac:dyDescent="0.15"/>
    <row r="22899" s="69" customFormat="1" x14ac:dyDescent="0.15"/>
    <row r="22900" s="69" customFormat="1" x14ac:dyDescent="0.15"/>
    <row r="22901" s="69" customFormat="1" x14ac:dyDescent="0.15"/>
    <row r="22902" s="69" customFormat="1" x14ac:dyDescent="0.15"/>
    <row r="22903" s="69" customFormat="1" x14ac:dyDescent="0.15"/>
    <row r="22904" s="69" customFormat="1" x14ac:dyDescent="0.15"/>
    <row r="22905" s="69" customFormat="1" x14ac:dyDescent="0.15"/>
    <row r="22906" s="69" customFormat="1" x14ac:dyDescent="0.15"/>
    <row r="22907" s="69" customFormat="1" x14ac:dyDescent="0.15"/>
    <row r="22908" s="69" customFormat="1" x14ac:dyDescent="0.15"/>
    <row r="22909" s="69" customFormat="1" x14ac:dyDescent="0.15"/>
    <row r="22910" s="69" customFormat="1" x14ac:dyDescent="0.15"/>
    <row r="22911" s="69" customFormat="1" x14ac:dyDescent="0.15"/>
    <row r="22912" s="69" customFormat="1" x14ac:dyDescent="0.15"/>
    <row r="22913" s="69" customFormat="1" x14ac:dyDescent="0.15"/>
    <row r="22914" s="69" customFormat="1" x14ac:dyDescent="0.15"/>
    <row r="22915" s="69" customFormat="1" x14ac:dyDescent="0.15"/>
    <row r="22916" s="69" customFormat="1" x14ac:dyDescent="0.15"/>
    <row r="22917" s="69" customFormat="1" x14ac:dyDescent="0.15"/>
    <row r="22918" s="69" customFormat="1" x14ac:dyDescent="0.15"/>
    <row r="22919" s="69" customFormat="1" x14ac:dyDescent="0.15"/>
    <row r="22920" s="69" customFormat="1" x14ac:dyDescent="0.15"/>
    <row r="22921" s="69" customFormat="1" x14ac:dyDescent="0.15"/>
    <row r="22922" s="69" customFormat="1" x14ac:dyDescent="0.15"/>
    <row r="22923" s="69" customFormat="1" x14ac:dyDescent="0.15"/>
    <row r="22924" s="69" customFormat="1" x14ac:dyDescent="0.15"/>
    <row r="22925" s="69" customFormat="1" x14ac:dyDescent="0.15"/>
    <row r="22926" s="69" customFormat="1" x14ac:dyDescent="0.15"/>
    <row r="22927" s="69" customFormat="1" x14ac:dyDescent="0.15"/>
    <row r="22928" s="69" customFormat="1" x14ac:dyDescent="0.15"/>
    <row r="22929" s="69" customFormat="1" x14ac:dyDescent="0.15"/>
    <row r="22930" s="69" customFormat="1" x14ac:dyDescent="0.15"/>
    <row r="22931" s="69" customFormat="1" x14ac:dyDescent="0.15"/>
    <row r="22932" s="69" customFormat="1" x14ac:dyDescent="0.15"/>
    <row r="22933" s="69" customFormat="1" x14ac:dyDescent="0.15"/>
    <row r="22934" s="69" customFormat="1" x14ac:dyDescent="0.15"/>
    <row r="22935" s="69" customFormat="1" x14ac:dyDescent="0.15"/>
    <row r="22936" s="69" customFormat="1" x14ac:dyDescent="0.15"/>
    <row r="22937" s="69" customFormat="1" x14ac:dyDescent="0.15"/>
    <row r="22938" s="69" customFormat="1" x14ac:dyDescent="0.15"/>
    <row r="22939" s="69" customFormat="1" x14ac:dyDescent="0.15"/>
    <row r="22940" s="69" customFormat="1" x14ac:dyDescent="0.15"/>
    <row r="22941" s="69" customFormat="1" x14ac:dyDescent="0.15"/>
    <row r="22942" s="69" customFormat="1" x14ac:dyDescent="0.15"/>
    <row r="22943" s="69" customFormat="1" x14ac:dyDescent="0.15"/>
    <row r="22944" s="69" customFormat="1" x14ac:dyDescent="0.15"/>
    <row r="22945" s="69" customFormat="1" x14ac:dyDescent="0.15"/>
    <row r="22946" s="69" customFormat="1" x14ac:dyDescent="0.15"/>
    <row r="22947" s="69" customFormat="1" x14ac:dyDescent="0.15"/>
    <row r="22948" s="69" customFormat="1" x14ac:dyDescent="0.15"/>
    <row r="22949" s="69" customFormat="1" x14ac:dyDescent="0.15"/>
    <row r="22950" s="69" customFormat="1" x14ac:dyDescent="0.15"/>
    <row r="22951" s="69" customFormat="1" x14ac:dyDescent="0.15"/>
    <row r="22952" s="69" customFormat="1" x14ac:dyDescent="0.15"/>
    <row r="22953" s="69" customFormat="1" x14ac:dyDescent="0.15"/>
    <row r="22954" s="69" customFormat="1" x14ac:dyDescent="0.15"/>
    <row r="22955" s="69" customFormat="1" x14ac:dyDescent="0.15"/>
    <row r="22956" s="69" customFormat="1" x14ac:dyDescent="0.15"/>
    <row r="22957" s="69" customFormat="1" x14ac:dyDescent="0.15"/>
    <row r="22958" s="69" customFormat="1" x14ac:dyDescent="0.15"/>
    <row r="22959" s="69" customFormat="1" x14ac:dyDescent="0.15"/>
    <row r="22960" s="69" customFormat="1" x14ac:dyDescent="0.15"/>
    <row r="22961" s="69" customFormat="1" x14ac:dyDescent="0.15"/>
    <row r="22962" s="69" customFormat="1" x14ac:dyDescent="0.15"/>
    <row r="22963" s="69" customFormat="1" x14ac:dyDescent="0.15"/>
    <row r="22964" s="69" customFormat="1" x14ac:dyDescent="0.15"/>
    <row r="22965" s="69" customFormat="1" x14ac:dyDescent="0.15"/>
    <row r="22966" s="69" customFormat="1" x14ac:dyDescent="0.15"/>
    <row r="22967" s="69" customFormat="1" x14ac:dyDescent="0.15"/>
    <row r="22968" s="69" customFormat="1" x14ac:dyDescent="0.15"/>
    <row r="22969" s="69" customFormat="1" x14ac:dyDescent="0.15"/>
    <row r="22970" s="69" customFormat="1" x14ac:dyDescent="0.15"/>
    <row r="22971" s="69" customFormat="1" x14ac:dyDescent="0.15"/>
    <row r="22972" s="69" customFormat="1" x14ac:dyDescent="0.15"/>
    <row r="22973" s="69" customFormat="1" x14ac:dyDescent="0.15"/>
    <row r="22974" s="69" customFormat="1" x14ac:dyDescent="0.15"/>
    <row r="22975" s="69" customFormat="1" x14ac:dyDescent="0.15"/>
    <row r="22976" s="69" customFormat="1" x14ac:dyDescent="0.15"/>
    <row r="22977" s="69" customFormat="1" x14ac:dyDescent="0.15"/>
    <row r="22978" s="69" customFormat="1" x14ac:dyDescent="0.15"/>
    <row r="22979" s="69" customFormat="1" x14ac:dyDescent="0.15"/>
    <row r="22980" s="69" customFormat="1" x14ac:dyDescent="0.15"/>
    <row r="22981" s="69" customFormat="1" x14ac:dyDescent="0.15"/>
    <row r="22982" s="69" customFormat="1" x14ac:dyDescent="0.15"/>
    <row r="22983" s="69" customFormat="1" x14ac:dyDescent="0.15"/>
    <row r="22984" s="69" customFormat="1" x14ac:dyDescent="0.15"/>
    <row r="22985" s="69" customFormat="1" x14ac:dyDescent="0.15"/>
    <row r="22986" s="69" customFormat="1" x14ac:dyDescent="0.15"/>
    <row r="22987" s="69" customFormat="1" x14ac:dyDescent="0.15"/>
    <row r="22988" s="69" customFormat="1" x14ac:dyDescent="0.15"/>
    <row r="22989" s="69" customFormat="1" x14ac:dyDescent="0.15"/>
    <row r="22990" s="69" customFormat="1" x14ac:dyDescent="0.15"/>
    <row r="22991" s="69" customFormat="1" x14ac:dyDescent="0.15"/>
    <row r="22992" s="69" customFormat="1" x14ac:dyDescent="0.15"/>
    <row r="22993" s="69" customFormat="1" x14ac:dyDescent="0.15"/>
    <row r="22994" s="69" customFormat="1" x14ac:dyDescent="0.15"/>
    <row r="22995" s="69" customFormat="1" x14ac:dyDescent="0.15"/>
    <row r="22996" s="69" customFormat="1" x14ac:dyDescent="0.15"/>
    <row r="22997" s="69" customFormat="1" x14ac:dyDescent="0.15"/>
    <row r="22998" s="69" customFormat="1" x14ac:dyDescent="0.15"/>
    <row r="22999" s="69" customFormat="1" x14ac:dyDescent="0.15"/>
    <row r="23000" s="69" customFormat="1" x14ac:dyDescent="0.15"/>
    <row r="23001" s="69" customFormat="1" x14ac:dyDescent="0.15"/>
    <row r="23002" s="69" customFormat="1" x14ac:dyDescent="0.15"/>
    <row r="23003" s="69" customFormat="1" x14ac:dyDescent="0.15"/>
    <row r="23004" s="69" customFormat="1" x14ac:dyDescent="0.15"/>
    <row r="23005" s="69" customFormat="1" x14ac:dyDescent="0.15"/>
    <row r="23006" s="69" customFormat="1" x14ac:dyDescent="0.15"/>
    <row r="23007" s="69" customFormat="1" x14ac:dyDescent="0.15"/>
    <row r="23008" s="69" customFormat="1" x14ac:dyDescent="0.15"/>
    <row r="23009" s="69" customFormat="1" x14ac:dyDescent="0.15"/>
    <row r="23010" s="69" customFormat="1" x14ac:dyDescent="0.15"/>
    <row r="23011" s="69" customFormat="1" x14ac:dyDescent="0.15"/>
    <row r="23012" s="69" customFormat="1" x14ac:dyDescent="0.15"/>
    <row r="23013" s="69" customFormat="1" x14ac:dyDescent="0.15"/>
    <row r="23014" s="69" customFormat="1" x14ac:dyDescent="0.15"/>
    <row r="23015" s="69" customFormat="1" x14ac:dyDescent="0.15"/>
    <row r="23016" s="69" customFormat="1" x14ac:dyDescent="0.15"/>
    <row r="23017" s="69" customFormat="1" x14ac:dyDescent="0.15"/>
    <row r="23018" s="69" customFormat="1" x14ac:dyDescent="0.15"/>
    <row r="23019" s="69" customFormat="1" x14ac:dyDescent="0.15"/>
    <row r="23020" s="69" customFormat="1" x14ac:dyDescent="0.15"/>
    <row r="23021" s="69" customFormat="1" x14ac:dyDescent="0.15"/>
    <row r="23022" s="69" customFormat="1" x14ac:dyDescent="0.15"/>
    <row r="23023" s="69" customFormat="1" x14ac:dyDescent="0.15"/>
    <row r="23024" s="69" customFormat="1" x14ac:dyDescent="0.15"/>
    <row r="23025" s="69" customFormat="1" x14ac:dyDescent="0.15"/>
    <row r="23026" s="69" customFormat="1" x14ac:dyDescent="0.15"/>
    <row r="23027" s="69" customFormat="1" x14ac:dyDescent="0.15"/>
    <row r="23028" s="69" customFormat="1" x14ac:dyDescent="0.15"/>
    <row r="23029" s="69" customFormat="1" x14ac:dyDescent="0.15"/>
    <row r="23030" s="69" customFormat="1" x14ac:dyDescent="0.15"/>
    <row r="23031" s="69" customFormat="1" x14ac:dyDescent="0.15"/>
    <row r="23032" s="69" customFormat="1" x14ac:dyDescent="0.15"/>
    <row r="23033" s="69" customFormat="1" x14ac:dyDescent="0.15"/>
    <row r="23034" s="69" customFormat="1" x14ac:dyDescent="0.15"/>
    <row r="23035" s="69" customFormat="1" x14ac:dyDescent="0.15"/>
    <row r="23036" s="69" customFormat="1" x14ac:dyDescent="0.15"/>
    <row r="23037" s="69" customFormat="1" x14ac:dyDescent="0.15"/>
    <row r="23038" s="69" customFormat="1" x14ac:dyDescent="0.15"/>
    <row r="23039" s="69" customFormat="1" x14ac:dyDescent="0.15"/>
    <row r="23040" s="69" customFormat="1" x14ac:dyDescent="0.15"/>
    <row r="23041" s="69" customFormat="1" x14ac:dyDescent="0.15"/>
    <row r="23042" s="69" customFormat="1" x14ac:dyDescent="0.15"/>
    <row r="23043" s="69" customFormat="1" x14ac:dyDescent="0.15"/>
    <row r="23044" s="69" customFormat="1" x14ac:dyDescent="0.15"/>
    <row r="23045" s="69" customFormat="1" x14ac:dyDescent="0.15"/>
    <row r="23046" s="69" customFormat="1" x14ac:dyDescent="0.15"/>
    <row r="23047" s="69" customFormat="1" x14ac:dyDescent="0.15"/>
    <row r="23048" s="69" customFormat="1" x14ac:dyDescent="0.15"/>
    <row r="23049" s="69" customFormat="1" x14ac:dyDescent="0.15"/>
    <row r="23050" s="69" customFormat="1" x14ac:dyDescent="0.15"/>
    <row r="23051" s="69" customFormat="1" x14ac:dyDescent="0.15"/>
    <row r="23052" s="69" customFormat="1" x14ac:dyDescent="0.15"/>
    <row r="23053" s="69" customFormat="1" x14ac:dyDescent="0.15"/>
    <row r="23054" s="69" customFormat="1" x14ac:dyDescent="0.15"/>
    <row r="23055" s="69" customFormat="1" x14ac:dyDescent="0.15"/>
    <row r="23056" s="69" customFormat="1" x14ac:dyDescent="0.15"/>
    <row r="23057" s="69" customFormat="1" x14ac:dyDescent="0.15"/>
    <row r="23058" s="69" customFormat="1" x14ac:dyDescent="0.15"/>
    <row r="23059" s="69" customFormat="1" x14ac:dyDescent="0.15"/>
    <row r="23060" s="69" customFormat="1" x14ac:dyDescent="0.15"/>
    <row r="23061" s="69" customFormat="1" x14ac:dyDescent="0.15"/>
    <row r="23062" s="69" customFormat="1" x14ac:dyDescent="0.15"/>
    <row r="23063" s="69" customFormat="1" x14ac:dyDescent="0.15"/>
    <row r="23064" s="69" customFormat="1" x14ac:dyDescent="0.15"/>
    <row r="23065" s="69" customFormat="1" x14ac:dyDescent="0.15"/>
    <row r="23066" s="69" customFormat="1" x14ac:dyDescent="0.15"/>
    <row r="23067" s="69" customFormat="1" x14ac:dyDescent="0.15"/>
    <row r="23068" s="69" customFormat="1" x14ac:dyDescent="0.15"/>
    <row r="23069" s="69" customFormat="1" x14ac:dyDescent="0.15"/>
    <row r="23070" s="69" customFormat="1" x14ac:dyDescent="0.15"/>
    <row r="23071" s="69" customFormat="1" x14ac:dyDescent="0.15"/>
    <row r="23072" s="69" customFormat="1" x14ac:dyDescent="0.15"/>
    <row r="23073" s="69" customFormat="1" x14ac:dyDescent="0.15"/>
    <row r="23074" s="69" customFormat="1" x14ac:dyDescent="0.15"/>
    <row r="23075" s="69" customFormat="1" x14ac:dyDescent="0.15"/>
    <row r="23076" s="69" customFormat="1" x14ac:dyDescent="0.15"/>
    <row r="23077" s="69" customFormat="1" x14ac:dyDescent="0.15"/>
    <row r="23078" s="69" customFormat="1" x14ac:dyDescent="0.15"/>
    <row r="23079" s="69" customFormat="1" x14ac:dyDescent="0.15"/>
    <row r="23080" s="69" customFormat="1" x14ac:dyDescent="0.15"/>
    <row r="23081" s="69" customFormat="1" x14ac:dyDescent="0.15"/>
    <row r="23082" s="69" customFormat="1" x14ac:dyDescent="0.15"/>
    <row r="23083" s="69" customFormat="1" x14ac:dyDescent="0.15"/>
    <row r="23084" s="69" customFormat="1" x14ac:dyDescent="0.15"/>
    <row r="23085" s="69" customFormat="1" x14ac:dyDescent="0.15"/>
    <row r="23086" s="69" customFormat="1" x14ac:dyDescent="0.15"/>
    <row r="23087" s="69" customFormat="1" x14ac:dyDescent="0.15"/>
    <row r="23088" s="69" customFormat="1" x14ac:dyDescent="0.15"/>
    <row r="23089" s="69" customFormat="1" x14ac:dyDescent="0.15"/>
    <row r="23090" s="69" customFormat="1" x14ac:dyDescent="0.15"/>
    <row r="23091" s="69" customFormat="1" x14ac:dyDescent="0.15"/>
    <row r="23092" s="69" customFormat="1" x14ac:dyDescent="0.15"/>
    <row r="23093" s="69" customFormat="1" x14ac:dyDescent="0.15"/>
    <row r="23094" s="69" customFormat="1" x14ac:dyDescent="0.15"/>
    <row r="23095" s="69" customFormat="1" x14ac:dyDescent="0.15"/>
    <row r="23096" s="69" customFormat="1" x14ac:dyDescent="0.15"/>
    <row r="23097" s="69" customFormat="1" x14ac:dyDescent="0.15"/>
    <row r="23098" s="69" customFormat="1" x14ac:dyDescent="0.15"/>
    <row r="23099" s="69" customFormat="1" x14ac:dyDescent="0.15"/>
    <row r="23100" s="69" customFormat="1" x14ac:dyDescent="0.15"/>
    <row r="23101" s="69" customFormat="1" x14ac:dyDescent="0.15"/>
    <row r="23102" s="69" customFormat="1" x14ac:dyDescent="0.15"/>
    <row r="23103" s="69" customFormat="1" x14ac:dyDescent="0.15"/>
    <row r="23104" s="69" customFormat="1" x14ac:dyDescent="0.15"/>
    <row r="23105" s="69" customFormat="1" x14ac:dyDescent="0.15"/>
    <row r="23106" s="69" customFormat="1" x14ac:dyDescent="0.15"/>
    <row r="23107" s="69" customFormat="1" x14ac:dyDescent="0.15"/>
    <row r="23108" s="69" customFormat="1" x14ac:dyDescent="0.15"/>
    <row r="23109" s="69" customFormat="1" x14ac:dyDescent="0.15"/>
    <row r="23110" s="69" customFormat="1" x14ac:dyDescent="0.15"/>
    <row r="23111" s="69" customFormat="1" x14ac:dyDescent="0.15"/>
    <row r="23112" s="69" customFormat="1" x14ac:dyDescent="0.15"/>
    <row r="23113" s="69" customFormat="1" x14ac:dyDescent="0.15"/>
    <row r="23114" s="69" customFormat="1" x14ac:dyDescent="0.15"/>
    <row r="23115" s="69" customFormat="1" x14ac:dyDescent="0.15"/>
    <row r="23116" s="69" customFormat="1" x14ac:dyDescent="0.15"/>
    <row r="23117" s="69" customFormat="1" x14ac:dyDescent="0.15"/>
    <row r="23118" s="69" customFormat="1" x14ac:dyDescent="0.15"/>
    <row r="23119" s="69" customFormat="1" x14ac:dyDescent="0.15"/>
    <row r="23120" s="69" customFormat="1" x14ac:dyDescent="0.15"/>
    <row r="23121" s="69" customFormat="1" x14ac:dyDescent="0.15"/>
    <row r="23122" s="69" customFormat="1" x14ac:dyDescent="0.15"/>
    <row r="23123" s="69" customFormat="1" x14ac:dyDescent="0.15"/>
    <row r="23124" s="69" customFormat="1" x14ac:dyDescent="0.15"/>
    <row r="23125" s="69" customFormat="1" x14ac:dyDescent="0.15"/>
    <row r="23126" s="69" customFormat="1" x14ac:dyDescent="0.15"/>
    <row r="23127" s="69" customFormat="1" x14ac:dyDescent="0.15"/>
    <row r="23128" s="69" customFormat="1" x14ac:dyDescent="0.15"/>
    <row r="23129" s="69" customFormat="1" x14ac:dyDescent="0.15"/>
    <row r="23130" s="69" customFormat="1" x14ac:dyDescent="0.15"/>
    <row r="23131" s="69" customFormat="1" x14ac:dyDescent="0.15"/>
    <row r="23132" s="69" customFormat="1" x14ac:dyDescent="0.15"/>
    <row r="23133" s="69" customFormat="1" x14ac:dyDescent="0.15"/>
    <row r="23134" s="69" customFormat="1" x14ac:dyDescent="0.15"/>
    <row r="23135" s="69" customFormat="1" x14ac:dyDescent="0.15"/>
    <row r="23136" s="69" customFormat="1" x14ac:dyDescent="0.15"/>
    <row r="23137" s="69" customFormat="1" x14ac:dyDescent="0.15"/>
    <row r="23138" s="69" customFormat="1" x14ac:dyDescent="0.15"/>
    <row r="23139" s="69" customFormat="1" x14ac:dyDescent="0.15"/>
    <row r="23140" s="69" customFormat="1" x14ac:dyDescent="0.15"/>
    <row r="23141" s="69" customFormat="1" x14ac:dyDescent="0.15"/>
    <row r="23142" s="69" customFormat="1" x14ac:dyDescent="0.15"/>
    <row r="23143" s="69" customFormat="1" x14ac:dyDescent="0.15"/>
    <row r="23144" s="69" customFormat="1" x14ac:dyDescent="0.15"/>
    <row r="23145" s="69" customFormat="1" x14ac:dyDescent="0.15"/>
    <row r="23146" s="69" customFormat="1" x14ac:dyDescent="0.15"/>
    <row r="23147" s="69" customFormat="1" x14ac:dyDescent="0.15"/>
    <row r="23148" s="69" customFormat="1" x14ac:dyDescent="0.15"/>
    <row r="23149" s="69" customFormat="1" x14ac:dyDescent="0.15"/>
    <row r="23150" s="69" customFormat="1" x14ac:dyDescent="0.15"/>
    <row r="23151" s="69" customFormat="1" x14ac:dyDescent="0.15"/>
    <row r="23152" s="69" customFormat="1" x14ac:dyDescent="0.15"/>
    <row r="23153" s="69" customFormat="1" x14ac:dyDescent="0.15"/>
    <row r="23154" s="69" customFormat="1" x14ac:dyDescent="0.15"/>
    <row r="23155" s="69" customFormat="1" x14ac:dyDescent="0.15"/>
    <row r="23156" s="69" customFormat="1" x14ac:dyDescent="0.15"/>
    <row r="23157" s="69" customFormat="1" x14ac:dyDescent="0.15"/>
    <row r="23158" s="69" customFormat="1" x14ac:dyDescent="0.15"/>
    <row r="23159" s="69" customFormat="1" x14ac:dyDescent="0.15"/>
    <row r="23160" s="69" customFormat="1" x14ac:dyDescent="0.15"/>
    <row r="23161" s="69" customFormat="1" x14ac:dyDescent="0.15"/>
    <row r="23162" s="69" customFormat="1" x14ac:dyDescent="0.15"/>
    <row r="23163" s="69" customFormat="1" x14ac:dyDescent="0.15"/>
    <row r="23164" s="69" customFormat="1" x14ac:dyDescent="0.15"/>
    <row r="23165" s="69" customFormat="1" x14ac:dyDescent="0.15"/>
    <row r="23166" s="69" customFormat="1" x14ac:dyDescent="0.15"/>
    <row r="23167" s="69" customFormat="1" x14ac:dyDescent="0.15"/>
    <row r="23168" s="69" customFormat="1" x14ac:dyDescent="0.15"/>
    <row r="23169" s="69" customFormat="1" x14ac:dyDescent="0.15"/>
    <row r="23170" s="69" customFormat="1" x14ac:dyDescent="0.15"/>
    <row r="23171" s="69" customFormat="1" x14ac:dyDescent="0.15"/>
    <row r="23172" s="69" customFormat="1" x14ac:dyDescent="0.15"/>
    <row r="23173" s="69" customFormat="1" x14ac:dyDescent="0.15"/>
    <row r="23174" s="69" customFormat="1" x14ac:dyDescent="0.15"/>
    <row r="23175" s="69" customFormat="1" x14ac:dyDescent="0.15"/>
    <row r="23176" s="69" customFormat="1" x14ac:dyDescent="0.15"/>
    <row r="23177" s="69" customFormat="1" x14ac:dyDescent="0.15"/>
    <row r="23178" s="69" customFormat="1" x14ac:dyDescent="0.15"/>
    <row r="23179" s="69" customFormat="1" x14ac:dyDescent="0.15"/>
    <row r="23180" s="69" customFormat="1" x14ac:dyDescent="0.15"/>
    <row r="23181" s="69" customFormat="1" x14ac:dyDescent="0.15"/>
    <row r="23182" s="69" customFormat="1" x14ac:dyDescent="0.15"/>
    <row r="23183" s="69" customFormat="1" x14ac:dyDescent="0.15"/>
    <row r="23184" s="69" customFormat="1" x14ac:dyDescent="0.15"/>
    <row r="23185" s="69" customFormat="1" x14ac:dyDescent="0.15"/>
    <row r="23186" s="69" customFormat="1" x14ac:dyDescent="0.15"/>
    <row r="23187" s="69" customFormat="1" x14ac:dyDescent="0.15"/>
    <row r="23188" s="69" customFormat="1" x14ac:dyDescent="0.15"/>
    <row r="23189" s="69" customFormat="1" x14ac:dyDescent="0.15"/>
    <row r="23190" s="69" customFormat="1" x14ac:dyDescent="0.15"/>
    <row r="23191" s="69" customFormat="1" x14ac:dyDescent="0.15"/>
    <row r="23192" s="69" customFormat="1" x14ac:dyDescent="0.15"/>
    <row r="23193" s="69" customFormat="1" x14ac:dyDescent="0.15"/>
    <row r="23194" s="69" customFormat="1" x14ac:dyDescent="0.15"/>
    <row r="23195" s="69" customFormat="1" x14ac:dyDescent="0.15"/>
    <row r="23196" s="69" customFormat="1" x14ac:dyDescent="0.15"/>
    <row r="23197" s="69" customFormat="1" x14ac:dyDescent="0.15"/>
    <row r="23198" s="69" customFormat="1" x14ac:dyDescent="0.15"/>
    <row r="23199" s="69" customFormat="1" x14ac:dyDescent="0.15"/>
    <row r="23200" s="69" customFormat="1" x14ac:dyDescent="0.15"/>
    <row r="23201" s="69" customFormat="1" x14ac:dyDescent="0.15"/>
    <row r="23202" s="69" customFormat="1" x14ac:dyDescent="0.15"/>
    <row r="23203" s="69" customFormat="1" x14ac:dyDescent="0.15"/>
    <row r="23204" s="69" customFormat="1" x14ac:dyDescent="0.15"/>
    <row r="23205" s="69" customFormat="1" x14ac:dyDescent="0.15"/>
    <row r="23206" s="69" customFormat="1" x14ac:dyDescent="0.15"/>
    <row r="23207" s="69" customFormat="1" x14ac:dyDescent="0.15"/>
    <row r="23208" s="69" customFormat="1" x14ac:dyDescent="0.15"/>
    <row r="23209" s="69" customFormat="1" x14ac:dyDescent="0.15"/>
    <row r="23210" s="69" customFormat="1" x14ac:dyDescent="0.15"/>
    <row r="23211" s="69" customFormat="1" x14ac:dyDescent="0.15"/>
    <row r="23212" s="69" customFormat="1" x14ac:dyDescent="0.15"/>
    <row r="23213" s="69" customFormat="1" x14ac:dyDescent="0.15"/>
    <row r="23214" s="69" customFormat="1" x14ac:dyDescent="0.15"/>
    <row r="23215" s="69" customFormat="1" x14ac:dyDescent="0.15"/>
    <row r="23216" s="69" customFormat="1" x14ac:dyDescent="0.15"/>
    <row r="23217" s="69" customFormat="1" x14ac:dyDescent="0.15"/>
    <row r="23218" s="69" customFormat="1" x14ac:dyDescent="0.15"/>
    <row r="23219" s="69" customFormat="1" x14ac:dyDescent="0.15"/>
    <row r="23220" s="69" customFormat="1" x14ac:dyDescent="0.15"/>
    <row r="23221" s="69" customFormat="1" x14ac:dyDescent="0.15"/>
    <row r="23222" s="69" customFormat="1" x14ac:dyDescent="0.15"/>
    <row r="23223" s="69" customFormat="1" x14ac:dyDescent="0.15"/>
    <row r="23224" s="69" customFormat="1" x14ac:dyDescent="0.15"/>
    <row r="23225" s="69" customFormat="1" x14ac:dyDescent="0.15"/>
    <row r="23226" s="69" customFormat="1" x14ac:dyDescent="0.15"/>
    <row r="23227" s="69" customFormat="1" x14ac:dyDescent="0.15"/>
    <row r="23228" s="69" customFormat="1" x14ac:dyDescent="0.15"/>
    <row r="23229" s="69" customFormat="1" x14ac:dyDescent="0.15"/>
    <row r="23230" s="69" customFormat="1" x14ac:dyDescent="0.15"/>
    <row r="23231" s="69" customFormat="1" x14ac:dyDescent="0.15"/>
    <row r="23232" s="69" customFormat="1" x14ac:dyDescent="0.15"/>
    <row r="23233" s="69" customFormat="1" x14ac:dyDescent="0.15"/>
    <row r="23234" s="69" customFormat="1" x14ac:dyDescent="0.15"/>
    <row r="23235" s="69" customFormat="1" x14ac:dyDescent="0.15"/>
    <row r="23236" s="69" customFormat="1" x14ac:dyDescent="0.15"/>
    <row r="23237" s="69" customFormat="1" x14ac:dyDescent="0.15"/>
    <row r="23238" s="69" customFormat="1" x14ac:dyDescent="0.15"/>
    <row r="23239" s="69" customFormat="1" x14ac:dyDescent="0.15"/>
    <row r="23240" s="69" customFormat="1" x14ac:dyDescent="0.15"/>
    <row r="23241" s="69" customFormat="1" x14ac:dyDescent="0.15"/>
    <row r="23242" s="69" customFormat="1" x14ac:dyDescent="0.15"/>
    <row r="23243" s="69" customFormat="1" x14ac:dyDescent="0.15"/>
    <row r="23244" s="69" customFormat="1" x14ac:dyDescent="0.15"/>
    <row r="23245" s="69" customFormat="1" x14ac:dyDescent="0.15"/>
    <row r="23246" s="69" customFormat="1" x14ac:dyDescent="0.15"/>
    <row r="23247" s="69" customFormat="1" x14ac:dyDescent="0.15"/>
    <row r="23248" s="69" customFormat="1" x14ac:dyDescent="0.15"/>
    <row r="23249" s="69" customFormat="1" x14ac:dyDescent="0.15"/>
    <row r="23250" s="69" customFormat="1" x14ac:dyDescent="0.15"/>
    <row r="23251" s="69" customFormat="1" x14ac:dyDescent="0.15"/>
    <row r="23252" s="69" customFormat="1" x14ac:dyDescent="0.15"/>
    <row r="23253" s="69" customFormat="1" x14ac:dyDescent="0.15"/>
    <row r="23254" s="69" customFormat="1" x14ac:dyDescent="0.15"/>
    <row r="23255" s="69" customFormat="1" x14ac:dyDescent="0.15"/>
    <row r="23256" s="69" customFormat="1" x14ac:dyDescent="0.15"/>
    <row r="23257" s="69" customFormat="1" x14ac:dyDescent="0.15"/>
    <row r="23258" s="69" customFormat="1" x14ac:dyDescent="0.15"/>
    <row r="23259" s="69" customFormat="1" x14ac:dyDescent="0.15"/>
    <row r="23260" s="69" customFormat="1" x14ac:dyDescent="0.15"/>
    <row r="23261" s="69" customFormat="1" x14ac:dyDescent="0.15"/>
    <row r="23262" s="69" customFormat="1" x14ac:dyDescent="0.15"/>
    <row r="23263" s="69" customFormat="1" x14ac:dyDescent="0.15"/>
    <row r="23264" s="69" customFormat="1" x14ac:dyDescent="0.15"/>
    <row r="23265" s="69" customFormat="1" x14ac:dyDescent="0.15"/>
    <row r="23266" s="69" customFormat="1" x14ac:dyDescent="0.15"/>
    <row r="23267" s="69" customFormat="1" x14ac:dyDescent="0.15"/>
    <row r="23268" s="69" customFormat="1" x14ac:dyDescent="0.15"/>
    <row r="23269" s="69" customFormat="1" x14ac:dyDescent="0.15"/>
    <row r="23270" s="69" customFormat="1" x14ac:dyDescent="0.15"/>
    <row r="23271" s="69" customFormat="1" x14ac:dyDescent="0.15"/>
    <row r="23272" s="69" customFormat="1" x14ac:dyDescent="0.15"/>
    <row r="23273" s="69" customFormat="1" x14ac:dyDescent="0.15"/>
    <row r="23274" s="69" customFormat="1" x14ac:dyDescent="0.15"/>
    <row r="23275" s="69" customFormat="1" x14ac:dyDescent="0.15"/>
    <row r="23276" s="69" customFormat="1" x14ac:dyDescent="0.15"/>
    <row r="23277" s="69" customFormat="1" x14ac:dyDescent="0.15"/>
    <row r="23278" s="69" customFormat="1" x14ac:dyDescent="0.15"/>
    <row r="23279" s="69" customFormat="1" x14ac:dyDescent="0.15"/>
    <row r="23280" s="69" customFormat="1" x14ac:dyDescent="0.15"/>
    <row r="23281" s="69" customFormat="1" x14ac:dyDescent="0.15"/>
    <row r="23282" s="69" customFormat="1" x14ac:dyDescent="0.15"/>
    <row r="23283" s="69" customFormat="1" x14ac:dyDescent="0.15"/>
    <row r="23284" s="69" customFormat="1" x14ac:dyDescent="0.15"/>
    <row r="23285" s="69" customFormat="1" x14ac:dyDescent="0.15"/>
    <row r="23286" s="69" customFormat="1" x14ac:dyDescent="0.15"/>
    <row r="23287" s="69" customFormat="1" x14ac:dyDescent="0.15"/>
    <row r="23288" s="69" customFormat="1" x14ac:dyDescent="0.15"/>
    <row r="23289" s="69" customFormat="1" x14ac:dyDescent="0.15"/>
    <row r="23290" s="69" customFormat="1" x14ac:dyDescent="0.15"/>
    <row r="23291" s="69" customFormat="1" x14ac:dyDescent="0.15"/>
    <row r="23292" s="69" customFormat="1" x14ac:dyDescent="0.15"/>
    <row r="23293" s="69" customFormat="1" x14ac:dyDescent="0.15"/>
    <row r="23294" s="69" customFormat="1" x14ac:dyDescent="0.15"/>
    <row r="23295" s="69" customFormat="1" x14ac:dyDescent="0.15"/>
    <row r="23296" s="69" customFormat="1" x14ac:dyDescent="0.15"/>
    <row r="23297" s="69" customFormat="1" x14ac:dyDescent="0.15"/>
    <row r="23298" s="69" customFormat="1" x14ac:dyDescent="0.15"/>
    <row r="23299" s="69" customFormat="1" x14ac:dyDescent="0.15"/>
    <row r="23300" s="69" customFormat="1" x14ac:dyDescent="0.15"/>
    <row r="23301" s="69" customFormat="1" x14ac:dyDescent="0.15"/>
    <row r="23302" s="69" customFormat="1" x14ac:dyDescent="0.15"/>
    <row r="23303" s="69" customFormat="1" x14ac:dyDescent="0.15"/>
    <row r="23304" s="69" customFormat="1" x14ac:dyDescent="0.15"/>
    <row r="23305" s="69" customFormat="1" x14ac:dyDescent="0.15"/>
    <row r="23306" s="69" customFormat="1" x14ac:dyDescent="0.15"/>
    <row r="23307" s="69" customFormat="1" x14ac:dyDescent="0.15"/>
    <row r="23308" s="69" customFormat="1" x14ac:dyDescent="0.15"/>
    <row r="23309" s="69" customFormat="1" x14ac:dyDescent="0.15"/>
    <row r="23310" s="69" customFormat="1" x14ac:dyDescent="0.15"/>
    <row r="23311" s="69" customFormat="1" x14ac:dyDescent="0.15"/>
    <row r="23312" s="69" customFormat="1" x14ac:dyDescent="0.15"/>
    <row r="23313" s="69" customFormat="1" x14ac:dyDescent="0.15"/>
    <row r="23314" s="69" customFormat="1" x14ac:dyDescent="0.15"/>
    <row r="23315" s="69" customFormat="1" x14ac:dyDescent="0.15"/>
    <row r="23316" s="69" customFormat="1" x14ac:dyDescent="0.15"/>
    <row r="23317" s="69" customFormat="1" x14ac:dyDescent="0.15"/>
    <row r="23318" s="69" customFormat="1" x14ac:dyDescent="0.15"/>
    <row r="23319" s="69" customFormat="1" x14ac:dyDescent="0.15"/>
    <row r="23320" s="69" customFormat="1" x14ac:dyDescent="0.15"/>
    <row r="23321" s="69" customFormat="1" x14ac:dyDescent="0.15"/>
    <row r="23322" s="69" customFormat="1" x14ac:dyDescent="0.15"/>
    <row r="23323" s="69" customFormat="1" x14ac:dyDescent="0.15"/>
    <row r="23324" s="69" customFormat="1" x14ac:dyDescent="0.15"/>
    <row r="23325" s="69" customFormat="1" x14ac:dyDescent="0.15"/>
    <row r="23326" s="69" customFormat="1" x14ac:dyDescent="0.15"/>
    <row r="23327" s="69" customFormat="1" x14ac:dyDescent="0.15"/>
    <row r="23328" s="69" customFormat="1" x14ac:dyDescent="0.15"/>
    <row r="23329" s="69" customFormat="1" x14ac:dyDescent="0.15"/>
    <row r="23330" s="69" customFormat="1" x14ac:dyDescent="0.15"/>
    <row r="23331" s="69" customFormat="1" x14ac:dyDescent="0.15"/>
    <row r="23332" s="69" customFormat="1" x14ac:dyDescent="0.15"/>
    <row r="23333" s="69" customFormat="1" x14ac:dyDescent="0.15"/>
    <row r="23334" s="69" customFormat="1" x14ac:dyDescent="0.15"/>
    <row r="23335" s="69" customFormat="1" x14ac:dyDescent="0.15"/>
    <row r="23336" s="69" customFormat="1" x14ac:dyDescent="0.15"/>
    <row r="23337" s="69" customFormat="1" x14ac:dyDescent="0.15"/>
    <row r="23338" s="69" customFormat="1" x14ac:dyDescent="0.15"/>
    <row r="23339" s="69" customFormat="1" x14ac:dyDescent="0.15"/>
    <row r="23340" s="69" customFormat="1" x14ac:dyDescent="0.15"/>
    <row r="23341" s="69" customFormat="1" x14ac:dyDescent="0.15"/>
    <row r="23342" s="69" customFormat="1" x14ac:dyDescent="0.15"/>
    <row r="23343" s="69" customFormat="1" x14ac:dyDescent="0.15"/>
    <row r="23344" s="69" customFormat="1" x14ac:dyDescent="0.15"/>
    <row r="23345" s="69" customFormat="1" x14ac:dyDescent="0.15"/>
    <row r="23346" s="69" customFormat="1" x14ac:dyDescent="0.15"/>
    <row r="23347" s="69" customFormat="1" x14ac:dyDescent="0.15"/>
    <row r="23348" s="69" customFormat="1" x14ac:dyDescent="0.15"/>
    <row r="23349" s="69" customFormat="1" x14ac:dyDescent="0.15"/>
    <row r="23350" s="69" customFormat="1" x14ac:dyDescent="0.15"/>
    <row r="23351" s="69" customFormat="1" x14ac:dyDescent="0.15"/>
    <row r="23352" s="69" customFormat="1" x14ac:dyDescent="0.15"/>
    <row r="23353" s="69" customFormat="1" x14ac:dyDescent="0.15"/>
    <row r="23354" s="69" customFormat="1" x14ac:dyDescent="0.15"/>
    <row r="23355" s="69" customFormat="1" x14ac:dyDescent="0.15"/>
    <row r="23356" s="69" customFormat="1" x14ac:dyDescent="0.15"/>
    <row r="23357" s="69" customFormat="1" x14ac:dyDescent="0.15"/>
    <row r="23358" s="69" customFormat="1" x14ac:dyDescent="0.15"/>
    <row r="23359" s="69" customFormat="1" x14ac:dyDescent="0.15"/>
    <row r="23360" s="69" customFormat="1" x14ac:dyDescent="0.15"/>
    <row r="23361" s="69" customFormat="1" x14ac:dyDescent="0.15"/>
    <row r="23362" s="69" customFormat="1" x14ac:dyDescent="0.15"/>
    <row r="23363" s="69" customFormat="1" x14ac:dyDescent="0.15"/>
    <row r="23364" s="69" customFormat="1" x14ac:dyDescent="0.15"/>
    <row r="23365" s="69" customFormat="1" x14ac:dyDescent="0.15"/>
    <row r="23366" s="69" customFormat="1" x14ac:dyDescent="0.15"/>
    <row r="23367" s="69" customFormat="1" x14ac:dyDescent="0.15"/>
    <row r="23368" s="69" customFormat="1" x14ac:dyDescent="0.15"/>
    <row r="23369" s="69" customFormat="1" x14ac:dyDescent="0.15"/>
    <row r="23370" s="69" customFormat="1" x14ac:dyDescent="0.15"/>
    <row r="23371" s="69" customFormat="1" x14ac:dyDescent="0.15"/>
    <row r="23372" s="69" customFormat="1" x14ac:dyDescent="0.15"/>
    <row r="23373" s="69" customFormat="1" x14ac:dyDescent="0.15"/>
    <row r="23374" s="69" customFormat="1" x14ac:dyDescent="0.15"/>
    <row r="23375" s="69" customFormat="1" x14ac:dyDescent="0.15"/>
    <row r="23376" s="69" customFormat="1" x14ac:dyDescent="0.15"/>
    <row r="23377" s="69" customFormat="1" x14ac:dyDescent="0.15"/>
    <row r="23378" s="69" customFormat="1" x14ac:dyDescent="0.15"/>
    <row r="23379" s="69" customFormat="1" x14ac:dyDescent="0.15"/>
    <row r="23380" s="69" customFormat="1" x14ac:dyDescent="0.15"/>
    <row r="23381" s="69" customFormat="1" x14ac:dyDescent="0.15"/>
    <row r="23382" s="69" customFormat="1" x14ac:dyDescent="0.15"/>
    <row r="23383" s="69" customFormat="1" x14ac:dyDescent="0.15"/>
    <row r="23384" s="69" customFormat="1" x14ac:dyDescent="0.15"/>
    <row r="23385" s="69" customFormat="1" x14ac:dyDescent="0.15"/>
    <row r="23386" s="69" customFormat="1" x14ac:dyDescent="0.15"/>
    <row r="23387" s="69" customFormat="1" x14ac:dyDescent="0.15"/>
    <row r="23388" s="69" customFormat="1" x14ac:dyDescent="0.15"/>
    <row r="23389" s="69" customFormat="1" x14ac:dyDescent="0.15"/>
    <row r="23390" s="69" customFormat="1" x14ac:dyDescent="0.15"/>
    <row r="23391" s="69" customFormat="1" x14ac:dyDescent="0.15"/>
    <row r="23392" s="69" customFormat="1" x14ac:dyDescent="0.15"/>
    <row r="23393" s="69" customFormat="1" x14ac:dyDescent="0.15"/>
    <row r="23394" s="69" customFormat="1" x14ac:dyDescent="0.15"/>
    <row r="23395" s="69" customFormat="1" x14ac:dyDescent="0.15"/>
    <row r="23396" s="69" customFormat="1" x14ac:dyDescent="0.15"/>
    <row r="23397" s="69" customFormat="1" x14ac:dyDescent="0.15"/>
    <row r="23398" s="69" customFormat="1" x14ac:dyDescent="0.15"/>
    <row r="23399" s="69" customFormat="1" x14ac:dyDescent="0.15"/>
    <row r="23400" s="69" customFormat="1" x14ac:dyDescent="0.15"/>
    <row r="23401" s="69" customFormat="1" x14ac:dyDescent="0.15"/>
    <row r="23402" s="69" customFormat="1" x14ac:dyDescent="0.15"/>
    <row r="23403" s="69" customFormat="1" x14ac:dyDescent="0.15"/>
    <row r="23404" s="69" customFormat="1" x14ac:dyDescent="0.15"/>
    <row r="23405" s="69" customFormat="1" x14ac:dyDescent="0.15"/>
    <row r="23406" s="69" customFormat="1" x14ac:dyDescent="0.15"/>
    <row r="23407" s="69" customFormat="1" x14ac:dyDescent="0.15"/>
    <row r="23408" s="69" customFormat="1" x14ac:dyDescent="0.15"/>
    <row r="23409" s="69" customFormat="1" x14ac:dyDescent="0.15"/>
    <row r="23410" s="69" customFormat="1" x14ac:dyDescent="0.15"/>
    <row r="23411" s="69" customFormat="1" x14ac:dyDescent="0.15"/>
    <row r="23412" s="69" customFormat="1" x14ac:dyDescent="0.15"/>
    <row r="23413" s="69" customFormat="1" x14ac:dyDescent="0.15"/>
    <row r="23414" s="69" customFormat="1" x14ac:dyDescent="0.15"/>
    <row r="23415" s="69" customFormat="1" x14ac:dyDescent="0.15"/>
    <row r="23416" s="69" customFormat="1" x14ac:dyDescent="0.15"/>
    <row r="23417" s="69" customFormat="1" x14ac:dyDescent="0.15"/>
    <row r="23418" s="69" customFormat="1" x14ac:dyDescent="0.15"/>
    <row r="23419" s="69" customFormat="1" x14ac:dyDescent="0.15"/>
    <row r="23420" s="69" customFormat="1" x14ac:dyDescent="0.15"/>
    <row r="23421" s="69" customFormat="1" x14ac:dyDescent="0.15"/>
    <row r="23422" s="69" customFormat="1" x14ac:dyDescent="0.15"/>
    <row r="23423" s="69" customFormat="1" x14ac:dyDescent="0.15"/>
    <row r="23424" s="69" customFormat="1" x14ac:dyDescent="0.15"/>
    <row r="23425" s="69" customFormat="1" x14ac:dyDescent="0.15"/>
    <row r="23426" s="69" customFormat="1" x14ac:dyDescent="0.15"/>
    <row r="23427" s="69" customFormat="1" x14ac:dyDescent="0.15"/>
    <row r="23428" s="69" customFormat="1" x14ac:dyDescent="0.15"/>
    <row r="23429" s="69" customFormat="1" x14ac:dyDescent="0.15"/>
    <row r="23430" s="69" customFormat="1" x14ac:dyDescent="0.15"/>
    <row r="23431" s="69" customFormat="1" x14ac:dyDescent="0.15"/>
    <row r="23432" s="69" customFormat="1" x14ac:dyDescent="0.15"/>
    <row r="23433" s="69" customFormat="1" x14ac:dyDescent="0.15"/>
    <row r="23434" s="69" customFormat="1" x14ac:dyDescent="0.15"/>
    <row r="23435" s="69" customFormat="1" x14ac:dyDescent="0.15"/>
    <row r="23436" s="69" customFormat="1" x14ac:dyDescent="0.15"/>
    <row r="23437" s="69" customFormat="1" x14ac:dyDescent="0.15"/>
    <row r="23438" s="69" customFormat="1" x14ac:dyDescent="0.15"/>
    <row r="23439" s="69" customFormat="1" x14ac:dyDescent="0.15"/>
    <row r="23440" s="69" customFormat="1" x14ac:dyDescent="0.15"/>
    <row r="23441" s="69" customFormat="1" x14ac:dyDescent="0.15"/>
    <row r="23442" s="69" customFormat="1" x14ac:dyDescent="0.15"/>
    <row r="23443" s="69" customFormat="1" x14ac:dyDescent="0.15"/>
    <row r="23444" s="69" customFormat="1" x14ac:dyDescent="0.15"/>
    <row r="23445" s="69" customFormat="1" x14ac:dyDescent="0.15"/>
    <row r="23446" s="69" customFormat="1" x14ac:dyDescent="0.15"/>
    <row r="23447" s="69" customFormat="1" x14ac:dyDescent="0.15"/>
    <row r="23448" s="69" customFormat="1" x14ac:dyDescent="0.15"/>
    <row r="23449" s="69" customFormat="1" x14ac:dyDescent="0.15"/>
    <row r="23450" s="69" customFormat="1" x14ac:dyDescent="0.15"/>
    <row r="23451" s="69" customFormat="1" x14ac:dyDescent="0.15"/>
    <row r="23452" s="69" customFormat="1" x14ac:dyDescent="0.15"/>
    <row r="23453" s="69" customFormat="1" x14ac:dyDescent="0.15"/>
    <row r="23454" s="69" customFormat="1" x14ac:dyDescent="0.15"/>
    <row r="23455" s="69" customFormat="1" x14ac:dyDescent="0.15"/>
    <row r="23456" s="69" customFormat="1" x14ac:dyDescent="0.15"/>
    <row r="23457" s="69" customFormat="1" x14ac:dyDescent="0.15"/>
    <row r="23458" s="69" customFormat="1" x14ac:dyDescent="0.15"/>
    <row r="23459" s="69" customFormat="1" x14ac:dyDescent="0.15"/>
    <row r="23460" s="69" customFormat="1" x14ac:dyDescent="0.15"/>
    <row r="23461" s="69" customFormat="1" x14ac:dyDescent="0.15"/>
    <row r="23462" s="69" customFormat="1" x14ac:dyDescent="0.15"/>
    <row r="23463" s="69" customFormat="1" x14ac:dyDescent="0.15"/>
    <row r="23464" s="69" customFormat="1" x14ac:dyDescent="0.15"/>
    <row r="23465" s="69" customFormat="1" x14ac:dyDescent="0.15"/>
    <row r="23466" s="69" customFormat="1" x14ac:dyDescent="0.15"/>
    <row r="23467" s="69" customFormat="1" x14ac:dyDescent="0.15"/>
    <row r="23468" s="69" customFormat="1" x14ac:dyDescent="0.15"/>
    <row r="23469" s="69" customFormat="1" x14ac:dyDescent="0.15"/>
    <row r="23470" s="69" customFormat="1" x14ac:dyDescent="0.15"/>
    <row r="23471" s="69" customFormat="1" x14ac:dyDescent="0.15"/>
    <row r="23472" s="69" customFormat="1" x14ac:dyDescent="0.15"/>
    <row r="23473" s="69" customFormat="1" x14ac:dyDescent="0.15"/>
    <row r="23474" s="69" customFormat="1" x14ac:dyDescent="0.15"/>
    <row r="23475" s="69" customFormat="1" x14ac:dyDescent="0.15"/>
    <row r="23476" s="69" customFormat="1" x14ac:dyDescent="0.15"/>
    <row r="23477" s="69" customFormat="1" x14ac:dyDescent="0.15"/>
    <row r="23478" s="69" customFormat="1" x14ac:dyDescent="0.15"/>
    <row r="23479" s="69" customFormat="1" x14ac:dyDescent="0.15"/>
    <row r="23480" s="69" customFormat="1" x14ac:dyDescent="0.15"/>
    <row r="23481" s="69" customFormat="1" x14ac:dyDescent="0.15"/>
    <row r="23482" s="69" customFormat="1" x14ac:dyDescent="0.15"/>
    <row r="23483" s="69" customFormat="1" x14ac:dyDescent="0.15"/>
    <row r="23484" s="69" customFormat="1" x14ac:dyDescent="0.15"/>
    <row r="23485" s="69" customFormat="1" x14ac:dyDescent="0.15"/>
    <row r="23486" s="69" customFormat="1" x14ac:dyDescent="0.15"/>
    <row r="23487" s="69" customFormat="1" x14ac:dyDescent="0.15"/>
    <row r="23488" s="69" customFormat="1" x14ac:dyDescent="0.15"/>
    <row r="23489" s="69" customFormat="1" x14ac:dyDescent="0.15"/>
    <row r="23490" s="69" customFormat="1" x14ac:dyDescent="0.15"/>
    <row r="23491" s="69" customFormat="1" x14ac:dyDescent="0.15"/>
    <row r="23492" s="69" customFormat="1" x14ac:dyDescent="0.15"/>
    <row r="23493" s="69" customFormat="1" x14ac:dyDescent="0.15"/>
    <row r="23494" s="69" customFormat="1" x14ac:dyDescent="0.15"/>
    <row r="23495" s="69" customFormat="1" x14ac:dyDescent="0.15"/>
    <row r="23496" s="69" customFormat="1" x14ac:dyDescent="0.15"/>
    <row r="23497" s="69" customFormat="1" x14ac:dyDescent="0.15"/>
    <row r="23498" s="69" customFormat="1" x14ac:dyDescent="0.15"/>
    <row r="23499" s="69" customFormat="1" x14ac:dyDescent="0.15"/>
    <row r="23500" s="69" customFormat="1" x14ac:dyDescent="0.15"/>
    <row r="23501" s="69" customFormat="1" x14ac:dyDescent="0.15"/>
    <row r="23502" s="69" customFormat="1" x14ac:dyDescent="0.15"/>
    <row r="23503" s="69" customFormat="1" x14ac:dyDescent="0.15"/>
    <row r="23504" s="69" customFormat="1" x14ac:dyDescent="0.15"/>
    <row r="23505" s="69" customFormat="1" x14ac:dyDescent="0.15"/>
    <row r="23506" s="69" customFormat="1" x14ac:dyDescent="0.15"/>
    <row r="23507" s="69" customFormat="1" x14ac:dyDescent="0.15"/>
    <row r="23508" s="69" customFormat="1" x14ac:dyDescent="0.15"/>
    <row r="23509" s="69" customFormat="1" x14ac:dyDescent="0.15"/>
    <row r="23510" s="69" customFormat="1" x14ac:dyDescent="0.15"/>
    <row r="23511" s="69" customFormat="1" x14ac:dyDescent="0.15"/>
    <row r="23512" s="69" customFormat="1" x14ac:dyDescent="0.15"/>
    <row r="23513" s="69" customFormat="1" x14ac:dyDescent="0.15"/>
    <row r="23514" s="69" customFormat="1" x14ac:dyDescent="0.15"/>
    <row r="23515" s="69" customFormat="1" x14ac:dyDescent="0.15"/>
    <row r="23516" s="69" customFormat="1" x14ac:dyDescent="0.15"/>
    <row r="23517" s="69" customFormat="1" x14ac:dyDescent="0.15"/>
    <row r="23518" s="69" customFormat="1" x14ac:dyDescent="0.15"/>
    <row r="23519" s="69" customFormat="1" x14ac:dyDescent="0.15"/>
    <row r="23520" s="69" customFormat="1" x14ac:dyDescent="0.15"/>
    <row r="23521" s="69" customFormat="1" x14ac:dyDescent="0.15"/>
    <row r="23522" s="69" customFormat="1" x14ac:dyDescent="0.15"/>
    <row r="23523" s="69" customFormat="1" x14ac:dyDescent="0.15"/>
    <row r="23524" s="69" customFormat="1" x14ac:dyDescent="0.15"/>
    <row r="23525" s="69" customFormat="1" x14ac:dyDescent="0.15"/>
    <row r="23526" s="69" customFormat="1" x14ac:dyDescent="0.15"/>
    <row r="23527" s="69" customFormat="1" x14ac:dyDescent="0.15"/>
    <row r="23528" s="69" customFormat="1" x14ac:dyDescent="0.15"/>
    <row r="23529" s="69" customFormat="1" x14ac:dyDescent="0.15"/>
    <row r="23530" s="69" customFormat="1" x14ac:dyDescent="0.15"/>
    <row r="23531" s="69" customFormat="1" x14ac:dyDescent="0.15"/>
    <row r="23532" s="69" customFormat="1" x14ac:dyDescent="0.15"/>
    <row r="23533" s="69" customFormat="1" x14ac:dyDescent="0.15"/>
    <row r="23534" s="69" customFormat="1" x14ac:dyDescent="0.15"/>
    <row r="23535" s="69" customFormat="1" x14ac:dyDescent="0.15"/>
    <row r="23536" s="69" customFormat="1" x14ac:dyDescent="0.15"/>
    <row r="23537" s="69" customFormat="1" x14ac:dyDescent="0.15"/>
    <row r="23538" s="69" customFormat="1" x14ac:dyDescent="0.15"/>
    <row r="23539" s="69" customFormat="1" x14ac:dyDescent="0.15"/>
    <row r="23540" s="69" customFormat="1" x14ac:dyDescent="0.15"/>
    <row r="23541" s="69" customFormat="1" x14ac:dyDescent="0.15"/>
    <row r="23542" s="69" customFormat="1" x14ac:dyDescent="0.15"/>
    <row r="23543" s="69" customFormat="1" x14ac:dyDescent="0.15"/>
    <row r="23544" s="69" customFormat="1" x14ac:dyDescent="0.15"/>
    <row r="23545" s="69" customFormat="1" x14ac:dyDescent="0.15"/>
    <row r="23546" s="69" customFormat="1" x14ac:dyDescent="0.15"/>
    <row r="23547" s="69" customFormat="1" x14ac:dyDescent="0.15"/>
    <row r="23548" s="69" customFormat="1" x14ac:dyDescent="0.15"/>
    <row r="23549" s="69" customFormat="1" x14ac:dyDescent="0.15"/>
    <row r="23550" s="69" customFormat="1" x14ac:dyDescent="0.15"/>
    <row r="23551" s="69" customFormat="1" x14ac:dyDescent="0.15"/>
    <row r="23552" s="69" customFormat="1" x14ac:dyDescent="0.15"/>
    <row r="23553" s="69" customFormat="1" x14ac:dyDescent="0.15"/>
    <row r="23554" s="69" customFormat="1" x14ac:dyDescent="0.15"/>
    <row r="23555" s="69" customFormat="1" x14ac:dyDescent="0.15"/>
    <row r="23556" s="69" customFormat="1" x14ac:dyDescent="0.15"/>
    <row r="23557" s="69" customFormat="1" x14ac:dyDescent="0.15"/>
    <row r="23558" s="69" customFormat="1" x14ac:dyDescent="0.15"/>
    <row r="23559" s="69" customFormat="1" x14ac:dyDescent="0.15"/>
    <row r="23560" s="69" customFormat="1" x14ac:dyDescent="0.15"/>
    <row r="23561" s="69" customFormat="1" x14ac:dyDescent="0.15"/>
    <row r="23562" s="69" customFormat="1" x14ac:dyDescent="0.15"/>
    <row r="23563" s="69" customFormat="1" x14ac:dyDescent="0.15"/>
    <row r="23564" s="69" customFormat="1" x14ac:dyDescent="0.15"/>
    <row r="23565" s="69" customFormat="1" x14ac:dyDescent="0.15"/>
    <row r="23566" s="69" customFormat="1" x14ac:dyDescent="0.15"/>
    <row r="23567" s="69" customFormat="1" x14ac:dyDescent="0.15"/>
    <row r="23568" s="69" customFormat="1" x14ac:dyDescent="0.15"/>
    <row r="23569" s="69" customFormat="1" x14ac:dyDescent="0.15"/>
    <row r="23570" s="69" customFormat="1" x14ac:dyDescent="0.15"/>
    <row r="23571" s="69" customFormat="1" x14ac:dyDescent="0.15"/>
    <row r="23572" s="69" customFormat="1" x14ac:dyDescent="0.15"/>
    <row r="23573" s="69" customFormat="1" x14ac:dyDescent="0.15"/>
    <row r="23574" s="69" customFormat="1" x14ac:dyDescent="0.15"/>
    <row r="23575" s="69" customFormat="1" x14ac:dyDescent="0.15"/>
    <row r="23576" s="69" customFormat="1" x14ac:dyDescent="0.15"/>
    <row r="23577" s="69" customFormat="1" x14ac:dyDescent="0.15"/>
    <row r="23578" s="69" customFormat="1" x14ac:dyDescent="0.15"/>
    <row r="23579" s="69" customFormat="1" x14ac:dyDescent="0.15"/>
    <row r="23580" s="69" customFormat="1" x14ac:dyDescent="0.15"/>
    <row r="23581" s="69" customFormat="1" x14ac:dyDescent="0.15"/>
    <row r="23582" s="69" customFormat="1" x14ac:dyDescent="0.15"/>
    <row r="23583" s="69" customFormat="1" x14ac:dyDescent="0.15"/>
    <row r="23584" s="69" customFormat="1" x14ac:dyDescent="0.15"/>
    <row r="23585" s="69" customFormat="1" x14ac:dyDescent="0.15"/>
    <row r="23586" s="69" customFormat="1" x14ac:dyDescent="0.15"/>
    <row r="23587" s="69" customFormat="1" x14ac:dyDescent="0.15"/>
    <row r="23588" s="69" customFormat="1" x14ac:dyDescent="0.15"/>
    <row r="23589" s="69" customFormat="1" x14ac:dyDescent="0.15"/>
    <row r="23590" s="69" customFormat="1" x14ac:dyDescent="0.15"/>
    <row r="23591" s="69" customFormat="1" x14ac:dyDescent="0.15"/>
    <row r="23592" s="69" customFormat="1" x14ac:dyDescent="0.15"/>
    <row r="23593" s="69" customFormat="1" x14ac:dyDescent="0.15"/>
    <row r="23594" s="69" customFormat="1" x14ac:dyDescent="0.15"/>
    <row r="23595" s="69" customFormat="1" x14ac:dyDescent="0.15"/>
    <row r="23596" s="69" customFormat="1" x14ac:dyDescent="0.15"/>
    <row r="23597" s="69" customFormat="1" x14ac:dyDescent="0.15"/>
    <row r="23598" s="69" customFormat="1" x14ac:dyDescent="0.15"/>
    <row r="23599" s="69" customFormat="1" x14ac:dyDescent="0.15"/>
    <row r="23600" s="69" customFormat="1" x14ac:dyDescent="0.15"/>
    <row r="23601" s="69" customFormat="1" x14ac:dyDescent="0.15"/>
    <row r="23602" s="69" customFormat="1" x14ac:dyDescent="0.15"/>
    <row r="23603" s="69" customFormat="1" x14ac:dyDescent="0.15"/>
    <row r="23604" s="69" customFormat="1" x14ac:dyDescent="0.15"/>
    <row r="23605" s="69" customFormat="1" x14ac:dyDescent="0.15"/>
    <row r="23606" s="69" customFormat="1" x14ac:dyDescent="0.15"/>
    <row r="23607" s="69" customFormat="1" x14ac:dyDescent="0.15"/>
    <row r="23608" s="69" customFormat="1" x14ac:dyDescent="0.15"/>
    <row r="23609" s="69" customFormat="1" x14ac:dyDescent="0.15"/>
    <row r="23610" s="69" customFormat="1" x14ac:dyDescent="0.15"/>
    <row r="23611" s="69" customFormat="1" x14ac:dyDescent="0.15"/>
    <row r="23612" s="69" customFormat="1" x14ac:dyDescent="0.15"/>
    <row r="23613" s="69" customFormat="1" x14ac:dyDescent="0.15"/>
    <row r="23614" s="69" customFormat="1" x14ac:dyDescent="0.15"/>
    <row r="23615" s="69" customFormat="1" x14ac:dyDescent="0.15"/>
    <row r="23616" s="69" customFormat="1" x14ac:dyDescent="0.15"/>
    <row r="23617" s="69" customFormat="1" x14ac:dyDescent="0.15"/>
    <row r="23618" s="69" customFormat="1" x14ac:dyDescent="0.15"/>
    <row r="23619" s="69" customFormat="1" x14ac:dyDescent="0.15"/>
    <row r="23620" s="69" customFormat="1" x14ac:dyDescent="0.15"/>
    <row r="23621" s="69" customFormat="1" x14ac:dyDescent="0.15"/>
    <row r="23622" s="69" customFormat="1" x14ac:dyDescent="0.15"/>
    <row r="23623" s="69" customFormat="1" x14ac:dyDescent="0.15"/>
    <row r="23624" s="69" customFormat="1" x14ac:dyDescent="0.15"/>
    <row r="23625" s="69" customFormat="1" x14ac:dyDescent="0.15"/>
    <row r="23626" s="69" customFormat="1" x14ac:dyDescent="0.15"/>
    <row r="23627" s="69" customFormat="1" x14ac:dyDescent="0.15"/>
    <row r="23628" s="69" customFormat="1" x14ac:dyDescent="0.15"/>
    <row r="23629" s="69" customFormat="1" x14ac:dyDescent="0.15"/>
    <row r="23630" s="69" customFormat="1" x14ac:dyDescent="0.15"/>
    <row r="23631" s="69" customFormat="1" x14ac:dyDescent="0.15"/>
    <row r="23632" s="69" customFormat="1" x14ac:dyDescent="0.15"/>
    <row r="23633" s="69" customFormat="1" x14ac:dyDescent="0.15"/>
    <row r="23634" s="69" customFormat="1" x14ac:dyDescent="0.15"/>
    <row r="23635" s="69" customFormat="1" x14ac:dyDescent="0.15"/>
    <row r="23636" s="69" customFormat="1" x14ac:dyDescent="0.15"/>
    <row r="23637" s="69" customFormat="1" x14ac:dyDescent="0.15"/>
    <row r="23638" s="69" customFormat="1" x14ac:dyDescent="0.15"/>
    <row r="23639" s="69" customFormat="1" x14ac:dyDescent="0.15"/>
    <row r="23640" s="69" customFormat="1" x14ac:dyDescent="0.15"/>
    <row r="23641" s="69" customFormat="1" x14ac:dyDescent="0.15"/>
    <row r="23642" s="69" customFormat="1" x14ac:dyDescent="0.15"/>
    <row r="23643" s="69" customFormat="1" x14ac:dyDescent="0.15"/>
    <row r="23644" s="69" customFormat="1" x14ac:dyDescent="0.15"/>
    <row r="23645" s="69" customFormat="1" x14ac:dyDescent="0.15"/>
    <row r="23646" s="69" customFormat="1" x14ac:dyDescent="0.15"/>
    <row r="23647" s="69" customFormat="1" x14ac:dyDescent="0.15"/>
    <row r="23648" s="69" customFormat="1" x14ac:dyDescent="0.15"/>
    <row r="23649" s="69" customFormat="1" x14ac:dyDescent="0.15"/>
    <row r="23650" s="69" customFormat="1" x14ac:dyDescent="0.15"/>
    <row r="23651" s="69" customFormat="1" x14ac:dyDescent="0.15"/>
    <row r="23652" s="69" customFormat="1" x14ac:dyDescent="0.15"/>
    <row r="23653" s="69" customFormat="1" x14ac:dyDescent="0.15"/>
    <row r="23654" s="69" customFormat="1" x14ac:dyDescent="0.15"/>
    <row r="23655" s="69" customFormat="1" x14ac:dyDescent="0.15"/>
    <row r="23656" s="69" customFormat="1" x14ac:dyDescent="0.15"/>
    <row r="23657" s="69" customFormat="1" x14ac:dyDescent="0.15"/>
    <row r="23658" s="69" customFormat="1" x14ac:dyDescent="0.15"/>
    <row r="23659" s="69" customFormat="1" x14ac:dyDescent="0.15"/>
    <row r="23660" s="69" customFormat="1" x14ac:dyDescent="0.15"/>
    <row r="23661" s="69" customFormat="1" x14ac:dyDescent="0.15"/>
    <row r="23662" s="69" customFormat="1" x14ac:dyDescent="0.15"/>
    <row r="23663" s="69" customFormat="1" x14ac:dyDescent="0.15"/>
    <row r="23664" s="69" customFormat="1" x14ac:dyDescent="0.15"/>
    <row r="23665" s="69" customFormat="1" x14ac:dyDescent="0.15"/>
    <row r="23666" s="69" customFormat="1" x14ac:dyDescent="0.15"/>
    <row r="23667" s="69" customFormat="1" x14ac:dyDescent="0.15"/>
    <row r="23668" s="69" customFormat="1" x14ac:dyDescent="0.15"/>
    <row r="23669" s="69" customFormat="1" x14ac:dyDescent="0.15"/>
    <row r="23670" s="69" customFormat="1" x14ac:dyDescent="0.15"/>
    <row r="23671" s="69" customFormat="1" x14ac:dyDescent="0.15"/>
    <row r="23672" s="69" customFormat="1" x14ac:dyDescent="0.15"/>
    <row r="23673" s="69" customFormat="1" x14ac:dyDescent="0.15"/>
    <row r="23674" s="69" customFormat="1" x14ac:dyDescent="0.15"/>
    <row r="23675" s="69" customFormat="1" x14ac:dyDescent="0.15"/>
    <row r="23676" s="69" customFormat="1" x14ac:dyDescent="0.15"/>
    <row r="23677" s="69" customFormat="1" x14ac:dyDescent="0.15"/>
    <row r="23678" s="69" customFormat="1" x14ac:dyDescent="0.15"/>
    <row r="23679" s="69" customFormat="1" x14ac:dyDescent="0.15"/>
    <row r="23680" s="69" customFormat="1" x14ac:dyDescent="0.15"/>
    <row r="23681" s="69" customFormat="1" x14ac:dyDescent="0.15"/>
    <row r="23682" s="69" customFormat="1" x14ac:dyDescent="0.15"/>
    <row r="23683" s="69" customFormat="1" x14ac:dyDescent="0.15"/>
    <row r="23684" s="69" customFormat="1" x14ac:dyDescent="0.15"/>
    <row r="23685" s="69" customFormat="1" x14ac:dyDescent="0.15"/>
    <row r="23686" s="69" customFormat="1" x14ac:dyDescent="0.15"/>
    <row r="23687" s="69" customFormat="1" x14ac:dyDescent="0.15"/>
    <row r="23688" s="69" customFormat="1" x14ac:dyDescent="0.15"/>
    <row r="23689" s="69" customFormat="1" x14ac:dyDescent="0.15"/>
    <row r="23690" s="69" customFormat="1" x14ac:dyDescent="0.15"/>
    <row r="23691" s="69" customFormat="1" x14ac:dyDescent="0.15"/>
    <row r="23692" s="69" customFormat="1" x14ac:dyDescent="0.15"/>
    <row r="23693" s="69" customFormat="1" x14ac:dyDescent="0.15"/>
    <row r="23694" s="69" customFormat="1" x14ac:dyDescent="0.15"/>
    <row r="23695" s="69" customFormat="1" x14ac:dyDescent="0.15"/>
    <row r="23696" s="69" customFormat="1" x14ac:dyDescent="0.15"/>
    <row r="23697" s="69" customFormat="1" x14ac:dyDescent="0.15"/>
    <row r="23698" s="69" customFormat="1" x14ac:dyDescent="0.15"/>
    <row r="23699" s="69" customFormat="1" x14ac:dyDescent="0.15"/>
    <row r="23700" s="69" customFormat="1" x14ac:dyDescent="0.15"/>
    <row r="23701" s="69" customFormat="1" x14ac:dyDescent="0.15"/>
    <row r="23702" s="69" customFormat="1" x14ac:dyDescent="0.15"/>
    <row r="23703" s="69" customFormat="1" x14ac:dyDescent="0.15"/>
    <row r="23704" s="69" customFormat="1" x14ac:dyDescent="0.15"/>
    <row r="23705" s="69" customFormat="1" x14ac:dyDescent="0.15"/>
    <row r="23706" s="69" customFormat="1" x14ac:dyDescent="0.15"/>
    <row r="23707" s="69" customFormat="1" x14ac:dyDescent="0.15"/>
    <row r="23708" s="69" customFormat="1" x14ac:dyDescent="0.15"/>
    <row r="23709" s="69" customFormat="1" x14ac:dyDescent="0.15"/>
    <row r="23710" s="69" customFormat="1" x14ac:dyDescent="0.15"/>
    <row r="23711" s="69" customFormat="1" x14ac:dyDescent="0.15"/>
    <row r="23712" s="69" customFormat="1" x14ac:dyDescent="0.15"/>
    <row r="23713" s="69" customFormat="1" x14ac:dyDescent="0.15"/>
    <row r="23714" s="69" customFormat="1" x14ac:dyDescent="0.15"/>
    <row r="23715" s="69" customFormat="1" x14ac:dyDescent="0.15"/>
    <row r="23716" s="69" customFormat="1" x14ac:dyDescent="0.15"/>
    <row r="23717" s="69" customFormat="1" x14ac:dyDescent="0.15"/>
    <row r="23718" s="69" customFormat="1" x14ac:dyDescent="0.15"/>
    <row r="23719" s="69" customFormat="1" x14ac:dyDescent="0.15"/>
    <row r="23720" s="69" customFormat="1" x14ac:dyDescent="0.15"/>
    <row r="23721" s="69" customFormat="1" x14ac:dyDescent="0.15"/>
    <row r="23722" s="69" customFormat="1" x14ac:dyDescent="0.15"/>
    <row r="23723" s="69" customFormat="1" x14ac:dyDescent="0.15"/>
    <row r="23724" s="69" customFormat="1" x14ac:dyDescent="0.15"/>
    <row r="23725" s="69" customFormat="1" x14ac:dyDescent="0.15"/>
    <row r="23726" s="69" customFormat="1" x14ac:dyDescent="0.15"/>
    <row r="23727" s="69" customFormat="1" x14ac:dyDescent="0.15"/>
    <row r="23728" s="69" customFormat="1" x14ac:dyDescent="0.15"/>
    <row r="23729" s="69" customFormat="1" x14ac:dyDescent="0.15"/>
    <row r="23730" s="69" customFormat="1" x14ac:dyDescent="0.15"/>
    <row r="23731" s="69" customFormat="1" x14ac:dyDescent="0.15"/>
    <row r="23732" s="69" customFormat="1" x14ac:dyDescent="0.15"/>
    <row r="23733" s="69" customFormat="1" x14ac:dyDescent="0.15"/>
    <row r="23734" s="69" customFormat="1" x14ac:dyDescent="0.15"/>
    <row r="23735" s="69" customFormat="1" x14ac:dyDescent="0.15"/>
    <row r="23736" s="69" customFormat="1" x14ac:dyDescent="0.15"/>
    <row r="23737" s="69" customFormat="1" x14ac:dyDescent="0.15"/>
    <row r="23738" s="69" customFormat="1" x14ac:dyDescent="0.15"/>
    <row r="23739" s="69" customFormat="1" x14ac:dyDescent="0.15"/>
    <row r="23740" s="69" customFormat="1" x14ac:dyDescent="0.15"/>
    <row r="23741" s="69" customFormat="1" x14ac:dyDescent="0.15"/>
    <row r="23742" s="69" customFormat="1" x14ac:dyDescent="0.15"/>
    <row r="23743" s="69" customFormat="1" x14ac:dyDescent="0.15"/>
    <row r="23744" s="69" customFormat="1" x14ac:dyDescent="0.15"/>
    <row r="23745" s="69" customFormat="1" x14ac:dyDescent="0.15"/>
    <row r="23746" s="69" customFormat="1" x14ac:dyDescent="0.15"/>
    <row r="23747" s="69" customFormat="1" x14ac:dyDescent="0.15"/>
    <row r="23748" s="69" customFormat="1" x14ac:dyDescent="0.15"/>
    <row r="23749" s="69" customFormat="1" x14ac:dyDescent="0.15"/>
    <row r="23750" s="69" customFormat="1" x14ac:dyDescent="0.15"/>
    <row r="23751" s="69" customFormat="1" x14ac:dyDescent="0.15"/>
    <row r="23752" s="69" customFormat="1" x14ac:dyDescent="0.15"/>
    <row r="23753" s="69" customFormat="1" x14ac:dyDescent="0.15"/>
    <row r="23754" s="69" customFormat="1" x14ac:dyDescent="0.15"/>
    <row r="23755" s="69" customFormat="1" x14ac:dyDescent="0.15"/>
    <row r="23756" s="69" customFormat="1" x14ac:dyDescent="0.15"/>
    <row r="23757" s="69" customFormat="1" x14ac:dyDescent="0.15"/>
    <row r="23758" s="69" customFormat="1" x14ac:dyDescent="0.15"/>
    <row r="23759" s="69" customFormat="1" x14ac:dyDescent="0.15"/>
    <row r="23760" s="69" customFormat="1" x14ac:dyDescent="0.15"/>
    <row r="23761" s="69" customFormat="1" x14ac:dyDescent="0.15"/>
    <row r="23762" s="69" customFormat="1" x14ac:dyDescent="0.15"/>
    <row r="23763" s="69" customFormat="1" x14ac:dyDescent="0.15"/>
    <row r="23764" s="69" customFormat="1" x14ac:dyDescent="0.15"/>
    <row r="23765" s="69" customFormat="1" x14ac:dyDescent="0.15"/>
    <row r="23766" s="69" customFormat="1" x14ac:dyDescent="0.15"/>
    <row r="23767" s="69" customFormat="1" x14ac:dyDescent="0.15"/>
    <row r="23768" s="69" customFormat="1" x14ac:dyDescent="0.15"/>
    <row r="23769" s="69" customFormat="1" x14ac:dyDescent="0.15"/>
    <row r="23770" s="69" customFormat="1" x14ac:dyDescent="0.15"/>
    <row r="23771" s="69" customFormat="1" x14ac:dyDescent="0.15"/>
    <row r="23772" s="69" customFormat="1" x14ac:dyDescent="0.15"/>
    <row r="23773" s="69" customFormat="1" x14ac:dyDescent="0.15"/>
    <row r="23774" s="69" customFormat="1" x14ac:dyDescent="0.15"/>
    <row r="23775" s="69" customFormat="1" x14ac:dyDescent="0.15"/>
    <row r="23776" s="69" customFormat="1" x14ac:dyDescent="0.15"/>
    <row r="23777" s="69" customFormat="1" x14ac:dyDescent="0.15"/>
    <row r="23778" s="69" customFormat="1" x14ac:dyDescent="0.15"/>
    <row r="23779" s="69" customFormat="1" x14ac:dyDescent="0.15"/>
    <row r="23780" s="69" customFormat="1" x14ac:dyDescent="0.15"/>
    <row r="23781" s="69" customFormat="1" x14ac:dyDescent="0.15"/>
    <row r="23782" s="69" customFormat="1" x14ac:dyDescent="0.15"/>
    <row r="23783" s="69" customFormat="1" x14ac:dyDescent="0.15"/>
    <row r="23784" s="69" customFormat="1" x14ac:dyDescent="0.15"/>
    <row r="23785" s="69" customFormat="1" x14ac:dyDescent="0.15"/>
    <row r="23786" s="69" customFormat="1" x14ac:dyDescent="0.15"/>
    <row r="23787" s="69" customFormat="1" x14ac:dyDescent="0.15"/>
    <row r="23788" s="69" customFormat="1" x14ac:dyDescent="0.15"/>
    <row r="23789" s="69" customFormat="1" x14ac:dyDescent="0.15"/>
    <row r="23790" s="69" customFormat="1" x14ac:dyDescent="0.15"/>
    <row r="23791" s="69" customFormat="1" x14ac:dyDescent="0.15"/>
    <row r="23792" s="69" customFormat="1" x14ac:dyDescent="0.15"/>
    <row r="23793" s="69" customFormat="1" x14ac:dyDescent="0.15"/>
    <row r="23794" s="69" customFormat="1" x14ac:dyDescent="0.15"/>
    <row r="23795" s="69" customFormat="1" x14ac:dyDescent="0.15"/>
    <row r="23796" s="69" customFormat="1" x14ac:dyDescent="0.15"/>
    <row r="23797" s="69" customFormat="1" x14ac:dyDescent="0.15"/>
    <row r="23798" s="69" customFormat="1" x14ac:dyDescent="0.15"/>
    <row r="23799" s="69" customFormat="1" x14ac:dyDescent="0.15"/>
    <row r="23800" s="69" customFormat="1" x14ac:dyDescent="0.15"/>
    <row r="23801" s="69" customFormat="1" x14ac:dyDescent="0.15"/>
    <row r="23802" s="69" customFormat="1" x14ac:dyDescent="0.15"/>
    <row r="23803" s="69" customFormat="1" x14ac:dyDescent="0.15"/>
    <row r="23804" s="69" customFormat="1" x14ac:dyDescent="0.15"/>
    <row r="23805" s="69" customFormat="1" x14ac:dyDescent="0.15"/>
    <row r="23806" s="69" customFormat="1" x14ac:dyDescent="0.15"/>
    <row r="23807" s="69" customFormat="1" x14ac:dyDescent="0.15"/>
    <row r="23808" s="69" customFormat="1" x14ac:dyDescent="0.15"/>
    <row r="23809" s="69" customFormat="1" x14ac:dyDescent="0.15"/>
    <row r="23810" s="69" customFormat="1" x14ac:dyDescent="0.15"/>
    <row r="23811" s="69" customFormat="1" x14ac:dyDescent="0.15"/>
    <row r="23812" s="69" customFormat="1" x14ac:dyDescent="0.15"/>
    <row r="23813" s="69" customFormat="1" x14ac:dyDescent="0.15"/>
    <row r="23814" s="69" customFormat="1" x14ac:dyDescent="0.15"/>
    <row r="23815" s="69" customFormat="1" x14ac:dyDescent="0.15"/>
    <row r="23816" s="69" customFormat="1" x14ac:dyDescent="0.15"/>
    <row r="23817" s="69" customFormat="1" x14ac:dyDescent="0.15"/>
    <row r="23818" s="69" customFormat="1" x14ac:dyDescent="0.15"/>
    <row r="23819" s="69" customFormat="1" x14ac:dyDescent="0.15"/>
    <row r="23820" s="69" customFormat="1" x14ac:dyDescent="0.15"/>
    <row r="23821" s="69" customFormat="1" x14ac:dyDescent="0.15"/>
    <row r="23822" s="69" customFormat="1" x14ac:dyDescent="0.15"/>
    <row r="23823" s="69" customFormat="1" x14ac:dyDescent="0.15"/>
    <row r="23824" s="69" customFormat="1" x14ac:dyDescent="0.15"/>
    <row r="23825" s="69" customFormat="1" x14ac:dyDescent="0.15"/>
    <row r="23826" s="69" customFormat="1" x14ac:dyDescent="0.15"/>
    <row r="23827" s="69" customFormat="1" x14ac:dyDescent="0.15"/>
    <row r="23828" s="69" customFormat="1" x14ac:dyDescent="0.15"/>
    <row r="23829" s="69" customFormat="1" x14ac:dyDescent="0.15"/>
    <row r="23830" s="69" customFormat="1" x14ac:dyDescent="0.15"/>
    <row r="23831" s="69" customFormat="1" x14ac:dyDescent="0.15"/>
    <row r="23832" s="69" customFormat="1" x14ac:dyDescent="0.15"/>
    <row r="23833" s="69" customFormat="1" x14ac:dyDescent="0.15"/>
    <row r="23834" s="69" customFormat="1" x14ac:dyDescent="0.15"/>
    <row r="23835" s="69" customFormat="1" x14ac:dyDescent="0.15"/>
    <row r="23836" s="69" customFormat="1" x14ac:dyDescent="0.15"/>
    <row r="23837" s="69" customFormat="1" x14ac:dyDescent="0.15"/>
    <row r="23838" s="69" customFormat="1" x14ac:dyDescent="0.15"/>
    <row r="23839" s="69" customFormat="1" x14ac:dyDescent="0.15"/>
    <row r="23840" s="69" customFormat="1" x14ac:dyDescent="0.15"/>
    <row r="23841" s="69" customFormat="1" x14ac:dyDescent="0.15"/>
    <row r="23842" s="69" customFormat="1" x14ac:dyDescent="0.15"/>
    <row r="23843" s="69" customFormat="1" x14ac:dyDescent="0.15"/>
    <row r="23844" s="69" customFormat="1" x14ac:dyDescent="0.15"/>
    <row r="23845" s="69" customFormat="1" x14ac:dyDescent="0.15"/>
    <row r="23846" s="69" customFormat="1" x14ac:dyDescent="0.15"/>
    <row r="23847" s="69" customFormat="1" x14ac:dyDescent="0.15"/>
    <row r="23848" s="69" customFormat="1" x14ac:dyDescent="0.15"/>
    <row r="23849" s="69" customFormat="1" x14ac:dyDescent="0.15"/>
    <row r="23850" s="69" customFormat="1" x14ac:dyDescent="0.15"/>
    <row r="23851" s="69" customFormat="1" x14ac:dyDescent="0.15"/>
    <row r="23852" s="69" customFormat="1" x14ac:dyDescent="0.15"/>
    <row r="23853" s="69" customFormat="1" x14ac:dyDescent="0.15"/>
    <row r="23854" s="69" customFormat="1" x14ac:dyDescent="0.15"/>
    <row r="23855" s="69" customFormat="1" x14ac:dyDescent="0.15"/>
    <row r="23856" s="69" customFormat="1" x14ac:dyDescent="0.15"/>
    <row r="23857" s="69" customFormat="1" x14ac:dyDescent="0.15"/>
    <row r="23858" s="69" customFormat="1" x14ac:dyDescent="0.15"/>
    <row r="23859" s="69" customFormat="1" x14ac:dyDescent="0.15"/>
    <row r="23860" s="69" customFormat="1" x14ac:dyDescent="0.15"/>
    <row r="23861" s="69" customFormat="1" x14ac:dyDescent="0.15"/>
    <row r="23862" s="69" customFormat="1" x14ac:dyDescent="0.15"/>
    <row r="23863" s="69" customFormat="1" x14ac:dyDescent="0.15"/>
    <row r="23864" s="69" customFormat="1" x14ac:dyDescent="0.15"/>
    <row r="23865" s="69" customFormat="1" x14ac:dyDescent="0.15"/>
    <row r="23866" s="69" customFormat="1" x14ac:dyDescent="0.15"/>
    <row r="23867" s="69" customFormat="1" x14ac:dyDescent="0.15"/>
    <row r="23868" s="69" customFormat="1" x14ac:dyDescent="0.15"/>
    <row r="23869" s="69" customFormat="1" x14ac:dyDescent="0.15"/>
    <row r="23870" s="69" customFormat="1" x14ac:dyDescent="0.15"/>
    <row r="23871" s="69" customFormat="1" x14ac:dyDescent="0.15"/>
    <row r="23872" s="69" customFormat="1" x14ac:dyDescent="0.15"/>
    <row r="23873" s="69" customFormat="1" x14ac:dyDescent="0.15"/>
    <row r="23874" s="69" customFormat="1" x14ac:dyDescent="0.15"/>
    <row r="23875" s="69" customFormat="1" x14ac:dyDescent="0.15"/>
    <row r="23876" s="69" customFormat="1" x14ac:dyDescent="0.15"/>
    <row r="23877" s="69" customFormat="1" x14ac:dyDescent="0.15"/>
    <row r="23878" s="69" customFormat="1" x14ac:dyDescent="0.15"/>
    <row r="23879" s="69" customFormat="1" x14ac:dyDescent="0.15"/>
    <row r="23880" s="69" customFormat="1" x14ac:dyDescent="0.15"/>
    <row r="23881" s="69" customFormat="1" x14ac:dyDescent="0.15"/>
    <row r="23882" s="69" customFormat="1" x14ac:dyDescent="0.15"/>
    <row r="23883" s="69" customFormat="1" x14ac:dyDescent="0.15"/>
    <row r="23884" s="69" customFormat="1" x14ac:dyDescent="0.15"/>
    <row r="23885" s="69" customFormat="1" x14ac:dyDescent="0.15"/>
    <row r="23886" s="69" customFormat="1" x14ac:dyDescent="0.15"/>
    <row r="23887" s="69" customFormat="1" x14ac:dyDescent="0.15"/>
    <row r="23888" s="69" customFormat="1" x14ac:dyDescent="0.15"/>
    <row r="23889" s="69" customFormat="1" x14ac:dyDescent="0.15"/>
    <row r="23890" s="69" customFormat="1" x14ac:dyDescent="0.15"/>
    <row r="23891" s="69" customFormat="1" x14ac:dyDescent="0.15"/>
    <row r="23892" s="69" customFormat="1" x14ac:dyDescent="0.15"/>
    <row r="23893" s="69" customFormat="1" x14ac:dyDescent="0.15"/>
    <row r="23894" s="69" customFormat="1" x14ac:dyDescent="0.15"/>
    <row r="23895" s="69" customFormat="1" x14ac:dyDescent="0.15"/>
    <row r="23896" s="69" customFormat="1" x14ac:dyDescent="0.15"/>
    <row r="23897" s="69" customFormat="1" x14ac:dyDescent="0.15"/>
    <row r="23898" s="69" customFormat="1" x14ac:dyDescent="0.15"/>
    <row r="23899" s="69" customFormat="1" x14ac:dyDescent="0.15"/>
    <row r="23900" s="69" customFormat="1" x14ac:dyDescent="0.15"/>
    <row r="23901" s="69" customFormat="1" x14ac:dyDescent="0.15"/>
    <row r="23902" s="69" customFormat="1" x14ac:dyDescent="0.15"/>
    <row r="23903" s="69" customFormat="1" x14ac:dyDescent="0.15"/>
    <row r="23904" s="69" customFormat="1" x14ac:dyDescent="0.15"/>
    <row r="23905" s="69" customFormat="1" x14ac:dyDescent="0.15"/>
    <row r="23906" s="69" customFormat="1" x14ac:dyDescent="0.15"/>
    <row r="23907" s="69" customFormat="1" x14ac:dyDescent="0.15"/>
    <row r="23908" s="69" customFormat="1" x14ac:dyDescent="0.15"/>
    <row r="23909" s="69" customFormat="1" x14ac:dyDescent="0.15"/>
    <row r="23910" s="69" customFormat="1" x14ac:dyDescent="0.15"/>
    <row r="23911" s="69" customFormat="1" x14ac:dyDescent="0.15"/>
    <row r="23912" s="69" customFormat="1" x14ac:dyDescent="0.15"/>
    <row r="23913" s="69" customFormat="1" x14ac:dyDescent="0.15"/>
    <row r="23914" s="69" customFormat="1" x14ac:dyDescent="0.15"/>
    <row r="23915" s="69" customFormat="1" x14ac:dyDescent="0.15"/>
    <row r="23916" s="69" customFormat="1" x14ac:dyDescent="0.15"/>
    <row r="23917" s="69" customFormat="1" x14ac:dyDescent="0.15"/>
    <row r="23918" s="69" customFormat="1" x14ac:dyDescent="0.15"/>
    <row r="23919" s="69" customFormat="1" x14ac:dyDescent="0.15"/>
    <row r="23920" s="69" customFormat="1" x14ac:dyDescent="0.15"/>
    <row r="23921" s="69" customFormat="1" x14ac:dyDescent="0.15"/>
    <row r="23922" s="69" customFormat="1" x14ac:dyDescent="0.15"/>
    <row r="23923" s="69" customFormat="1" x14ac:dyDescent="0.15"/>
    <row r="23924" s="69" customFormat="1" x14ac:dyDescent="0.15"/>
    <row r="23925" s="69" customFormat="1" x14ac:dyDescent="0.15"/>
    <row r="23926" s="69" customFormat="1" x14ac:dyDescent="0.15"/>
    <row r="23927" s="69" customFormat="1" x14ac:dyDescent="0.15"/>
    <row r="23928" s="69" customFormat="1" x14ac:dyDescent="0.15"/>
    <row r="23929" s="69" customFormat="1" x14ac:dyDescent="0.15"/>
    <row r="23930" s="69" customFormat="1" x14ac:dyDescent="0.15"/>
    <row r="23931" s="69" customFormat="1" x14ac:dyDescent="0.15"/>
    <row r="23932" s="69" customFormat="1" x14ac:dyDescent="0.15"/>
    <row r="23933" s="69" customFormat="1" x14ac:dyDescent="0.15"/>
    <row r="23934" s="69" customFormat="1" x14ac:dyDescent="0.15"/>
    <row r="23935" s="69" customFormat="1" x14ac:dyDescent="0.15"/>
    <row r="23936" s="69" customFormat="1" x14ac:dyDescent="0.15"/>
    <row r="23937" s="69" customFormat="1" x14ac:dyDescent="0.15"/>
    <row r="23938" s="69" customFormat="1" x14ac:dyDescent="0.15"/>
    <row r="23939" s="69" customFormat="1" x14ac:dyDescent="0.15"/>
    <row r="23940" s="69" customFormat="1" x14ac:dyDescent="0.15"/>
    <row r="23941" s="69" customFormat="1" x14ac:dyDescent="0.15"/>
    <row r="23942" s="69" customFormat="1" x14ac:dyDescent="0.15"/>
    <row r="23943" s="69" customFormat="1" x14ac:dyDescent="0.15"/>
    <row r="23944" s="69" customFormat="1" x14ac:dyDescent="0.15"/>
    <row r="23945" s="69" customFormat="1" x14ac:dyDescent="0.15"/>
    <row r="23946" s="69" customFormat="1" x14ac:dyDescent="0.15"/>
    <row r="23947" s="69" customFormat="1" x14ac:dyDescent="0.15"/>
    <row r="23948" s="69" customFormat="1" x14ac:dyDescent="0.15"/>
    <row r="23949" s="69" customFormat="1" x14ac:dyDescent="0.15"/>
    <row r="23950" s="69" customFormat="1" x14ac:dyDescent="0.15"/>
    <row r="23951" s="69" customFormat="1" x14ac:dyDescent="0.15"/>
    <row r="23952" s="69" customFormat="1" x14ac:dyDescent="0.15"/>
    <row r="23953" s="69" customFormat="1" x14ac:dyDescent="0.15"/>
    <row r="23954" s="69" customFormat="1" x14ac:dyDescent="0.15"/>
    <row r="23955" s="69" customFormat="1" x14ac:dyDescent="0.15"/>
    <row r="23956" s="69" customFormat="1" x14ac:dyDescent="0.15"/>
    <row r="23957" s="69" customFormat="1" x14ac:dyDescent="0.15"/>
    <row r="23958" s="69" customFormat="1" x14ac:dyDescent="0.15"/>
    <row r="23959" s="69" customFormat="1" x14ac:dyDescent="0.15"/>
    <row r="23960" s="69" customFormat="1" x14ac:dyDescent="0.15"/>
    <row r="23961" s="69" customFormat="1" x14ac:dyDescent="0.15"/>
    <row r="23962" s="69" customFormat="1" x14ac:dyDescent="0.15"/>
    <row r="23963" s="69" customFormat="1" x14ac:dyDescent="0.15"/>
    <row r="23964" s="69" customFormat="1" x14ac:dyDescent="0.15"/>
    <row r="23965" s="69" customFormat="1" x14ac:dyDescent="0.15"/>
    <row r="23966" s="69" customFormat="1" x14ac:dyDescent="0.15"/>
    <row r="23967" s="69" customFormat="1" x14ac:dyDescent="0.15"/>
    <row r="23968" s="69" customFormat="1" x14ac:dyDescent="0.15"/>
    <row r="23969" s="69" customFormat="1" x14ac:dyDescent="0.15"/>
    <row r="23970" s="69" customFormat="1" x14ac:dyDescent="0.15"/>
    <row r="23971" s="69" customFormat="1" x14ac:dyDescent="0.15"/>
    <row r="23972" s="69" customFormat="1" x14ac:dyDescent="0.15"/>
    <row r="23973" s="69" customFormat="1" x14ac:dyDescent="0.15"/>
    <row r="23974" s="69" customFormat="1" x14ac:dyDescent="0.15"/>
    <row r="23975" s="69" customFormat="1" x14ac:dyDescent="0.15"/>
    <row r="23976" s="69" customFormat="1" x14ac:dyDescent="0.15"/>
    <row r="23977" s="69" customFormat="1" x14ac:dyDescent="0.15"/>
    <row r="23978" s="69" customFormat="1" x14ac:dyDescent="0.15"/>
    <row r="23979" s="69" customFormat="1" x14ac:dyDescent="0.15"/>
    <row r="23980" s="69" customFormat="1" x14ac:dyDescent="0.15"/>
    <row r="23981" s="69" customFormat="1" x14ac:dyDescent="0.15"/>
    <row r="23982" s="69" customFormat="1" x14ac:dyDescent="0.15"/>
    <row r="23983" s="69" customFormat="1" x14ac:dyDescent="0.15"/>
    <row r="23984" s="69" customFormat="1" x14ac:dyDescent="0.15"/>
    <row r="23985" s="69" customFormat="1" x14ac:dyDescent="0.15"/>
    <row r="23986" s="69" customFormat="1" x14ac:dyDescent="0.15"/>
    <row r="23987" s="69" customFormat="1" x14ac:dyDescent="0.15"/>
    <row r="23988" s="69" customFormat="1" x14ac:dyDescent="0.15"/>
    <row r="23989" s="69" customFormat="1" x14ac:dyDescent="0.15"/>
    <row r="23990" s="69" customFormat="1" x14ac:dyDescent="0.15"/>
    <row r="23991" s="69" customFormat="1" x14ac:dyDescent="0.15"/>
    <row r="23992" s="69" customFormat="1" x14ac:dyDescent="0.15"/>
    <row r="23993" s="69" customFormat="1" x14ac:dyDescent="0.15"/>
    <row r="23994" s="69" customFormat="1" x14ac:dyDescent="0.15"/>
    <row r="23995" s="69" customFormat="1" x14ac:dyDescent="0.15"/>
    <row r="23996" s="69" customFormat="1" x14ac:dyDescent="0.15"/>
    <row r="23997" s="69" customFormat="1" x14ac:dyDescent="0.15"/>
    <row r="23998" s="69" customFormat="1" x14ac:dyDescent="0.15"/>
    <row r="23999" s="69" customFormat="1" x14ac:dyDescent="0.15"/>
    <row r="24000" s="69" customFormat="1" x14ac:dyDescent="0.15"/>
    <row r="24001" s="69" customFormat="1" x14ac:dyDescent="0.15"/>
    <row r="24002" s="69" customFormat="1" x14ac:dyDescent="0.15"/>
    <row r="24003" s="69" customFormat="1" x14ac:dyDescent="0.15"/>
    <row r="24004" s="69" customFormat="1" x14ac:dyDescent="0.15"/>
    <row r="24005" s="69" customFormat="1" x14ac:dyDescent="0.15"/>
    <row r="24006" s="69" customFormat="1" x14ac:dyDescent="0.15"/>
    <row r="24007" s="69" customFormat="1" x14ac:dyDescent="0.15"/>
    <row r="24008" s="69" customFormat="1" x14ac:dyDescent="0.15"/>
    <row r="24009" s="69" customFormat="1" x14ac:dyDescent="0.15"/>
    <row r="24010" s="69" customFormat="1" x14ac:dyDescent="0.15"/>
    <row r="24011" s="69" customFormat="1" x14ac:dyDescent="0.15"/>
    <row r="24012" s="69" customFormat="1" x14ac:dyDescent="0.15"/>
    <row r="24013" s="69" customFormat="1" x14ac:dyDescent="0.15"/>
    <row r="24014" s="69" customFormat="1" x14ac:dyDescent="0.15"/>
    <row r="24015" s="69" customFormat="1" x14ac:dyDescent="0.15"/>
    <row r="24016" s="69" customFormat="1" x14ac:dyDescent="0.15"/>
    <row r="24017" s="69" customFormat="1" x14ac:dyDescent="0.15"/>
    <row r="24018" s="69" customFormat="1" x14ac:dyDescent="0.15"/>
    <row r="24019" s="69" customFormat="1" x14ac:dyDescent="0.15"/>
    <row r="24020" s="69" customFormat="1" x14ac:dyDescent="0.15"/>
    <row r="24021" s="69" customFormat="1" x14ac:dyDescent="0.15"/>
    <row r="24022" s="69" customFormat="1" x14ac:dyDescent="0.15"/>
    <row r="24023" s="69" customFormat="1" x14ac:dyDescent="0.15"/>
    <row r="24024" s="69" customFormat="1" x14ac:dyDescent="0.15"/>
    <row r="24025" s="69" customFormat="1" x14ac:dyDescent="0.15"/>
    <row r="24026" s="69" customFormat="1" x14ac:dyDescent="0.15"/>
    <row r="24027" s="69" customFormat="1" x14ac:dyDescent="0.15"/>
    <row r="24028" s="69" customFormat="1" x14ac:dyDescent="0.15"/>
    <row r="24029" s="69" customFormat="1" x14ac:dyDescent="0.15"/>
    <row r="24030" s="69" customFormat="1" x14ac:dyDescent="0.15"/>
    <row r="24031" s="69" customFormat="1" x14ac:dyDescent="0.15"/>
    <row r="24032" s="69" customFormat="1" x14ac:dyDescent="0.15"/>
    <row r="24033" s="69" customFormat="1" x14ac:dyDescent="0.15"/>
    <row r="24034" s="69" customFormat="1" x14ac:dyDescent="0.15"/>
    <row r="24035" s="69" customFormat="1" x14ac:dyDescent="0.15"/>
    <row r="24036" s="69" customFormat="1" x14ac:dyDescent="0.15"/>
    <row r="24037" s="69" customFormat="1" x14ac:dyDescent="0.15"/>
    <row r="24038" s="69" customFormat="1" x14ac:dyDescent="0.15"/>
    <row r="24039" s="69" customFormat="1" x14ac:dyDescent="0.15"/>
    <row r="24040" s="69" customFormat="1" x14ac:dyDescent="0.15"/>
    <row r="24041" s="69" customFormat="1" x14ac:dyDescent="0.15"/>
    <row r="24042" s="69" customFormat="1" x14ac:dyDescent="0.15"/>
    <row r="24043" s="69" customFormat="1" x14ac:dyDescent="0.15"/>
    <row r="24044" s="69" customFormat="1" x14ac:dyDescent="0.15"/>
    <row r="24045" s="69" customFormat="1" x14ac:dyDescent="0.15"/>
    <row r="24046" s="69" customFormat="1" x14ac:dyDescent="0.15"/>
    <row r="24047" s="69" customFormat="1" x14ac:dyDescent="0.15"/>
    <row r="24048" s="69" customFormat="1" x14ac:dyDescent="0.15"/>
    <row r="24049" s="69" customFormat="1" x14ac:dyDescent="0.15"/>
    <row r="24050" s="69" customFormat="1" x14ac:dyDescent="0.15"/>
    <row r="24051" s="69" customFormat="1" x14ac:dyDescent="0.15"/>
    <row r="24052" s="69" customFormat="1" x14ac:dyDescent="0.15"/>
    <row r="24053" s="69" customFormat="1" x14ac:dyDescent="0.15"/>
    <row r="24054" s="69" customFormat="1" x14ac:dyDescent="0.15"/>
    <row r="24055" s="69" customFormat="1" x14ac:dyDescent="0.15"/>
    <row r="24056" s="69" customFormat="1" x14ac:dyDescent="0.15"/>
    <row r="24057" s="69" customFormat="1" x14ac:dyDescent="0.15"/>
    <row r="24058" s="69" customFormat="1" x14ac:dyDescent="0.15"/>
    <row r="24059" s="69" customFormat="1" x14ac:dyDescent="0.15"/>
    <row r="24060" s="69" customFormat="1" x14ac:dyDescent="0.15"/>
    <row r="24061" s="69" customFormat="1" x14ac:dyDescent="0.15"/>
    <row r="24062" s="69" customFormat="1" x14ac:dyDescent="0.15"/>
    <row r="24063" s="69" customFormat="1" x14ac:dyDescent="0.15"/>
    <row r="24064" s="69" customFormat="1" x14ac:dyDescent="0.15"/>
    <row r="24065" s="69" customFormat="1" x14ac:dyDescent="0.15"/>
    <row r="24066" s="69" customFormat="1" x14ac:dyDescent="0.15"/>
    <row r="24067" s="69" customFormat="1" x14ac:dyDescent="0.15"/>
    <row r="24068" s="69" customFormat="1" x14ac:dyDescent="0.15"/>
    <row r="24069" s="69" customFormat="1" x14ac:dyDescent="0.15"/>
    <row r="24070" s="69" customFormat="1" x14ac:dyDescent="0.15"/>
    <row r="24071" s="69" customFormat="1" x14ac:dyDescent="0.15"/>
    <row r="24072" s="69" customFormat="1" x14ac:dyDescent="0.15"/>
    <row r="24073" s="69" customFormat="1" x14ac:dyDescent="0.15"/>
    <row r="24074" s="69" customFormat="1" x14ac:dyDescent="0.15"/>
    <row r="24075" s="69" customFormat="1" x14ac:dyDescent="0.15"/>
    <row r="24076" s="69" customFormat="1" x14ac:dyDescent="0.15"/>
    <row r="24077" s="69" customFormat="1" x14ac:dyDescent="0.15"/>
    <row r="24078" s="69" customFormat="1" x14ac:dyDescent="0.15"/>
    <row r="24079" s="69" customFormat="1" x14ac:dyDescent="0.15"/>
    <row r="24080" s="69" customFormat="1" x14ac:dyDescent="0.15"/>
    <row r="24081" s="69" customFormat="1" x14ac:dyDescent="0.15"/>
    <row r="24082" s="69" customFormat="1" x14ac:dyDescent="0.15"/>
    <row r="24083" s="69" customFormat="1" x14ac:dyDescent="0.15"/>
    <row r="24084" s="69" customFormat="1" x14ac:dyDescent="0.15"/>
    <row r="24085" s="69" customFormat="1" x14ac:dyDescent="0.15"/>
    <row r="24086" s="69" customFormat="1" x14ac:dyDescent="0.15"/>
    <row r="24087" s="69" customFormat="1" x14ac:dyDescent="0.15"/>
    <row r="24088" s="69" customFormat="1" x14ac:dyDescent="0.15"/>
    <row r="24089" s="69" customFormat="1" x14ac:dyDescent="0.15"/>
    <row r="24090" s="69" customFormat="1" x14ac:dyDescent="0.15"/>
    <row r="24091" s="69" customFormat="1" x14ac:dyDescent="0.15"/>
    <row r="24092" s="69" customFormat="1" x14ac:dyDescent="0.15"/>
    <row r="24093" s="69" customFormat="1" x14ac:dyDescent="0.15"/>
    <row r="24094" s="69" customFormat="1" x14ac:dyDescent="0.15"/>
    <row r="24095" s="69" customFormat="1" x14ac:dyDescent="0.15"/>
    <row r="24096" s="69" customFormat="1" x14ac:dyDescent="0.15"/>
    <row r="24097" s="69" customFormat="1" x14ac:dyDescent="0.15"/>
    <row r="24098" s="69" customFormat="1" x14ac:dyDescent="0.15"/>
    <row r="24099" s="69" customFormat="1" x14ac:dyDescent="0.15"/>
    <row r="24100" s="69" customFormat="1" x14ac:dyDescent="0.15"/>
    <row r="24101" s="69" customFormat="1" x14ac:dyDescent="0.15"/>
    <row r="24102" s="69" customFormat="1" x14ac:dyDescent="0.15"/>
    <row r="24103" s="69" customFormat="1" x14ac:dyDescent="0.15"/>
    <row r="24104" s="69" customFormat="1" x14ac:dyDescent="0.15"/>
    <row r="24105" s="69" customFormat="1" x14ac:dyDescent="0.15"/>
    <row r="24106" s="69" customFormat="1" x14ac:dyDescent="0.15"/>
    <row r="24107" s="69" customFormat="1" x14ac:dyDescent="0.15"/>
    <row r="24108" s="69" customFormat="1" x14ac:dyDescent="0.15"/>
    <row r="24109" s="69" customFormat="1" x14ac:dyDescent="0.15"/>
    <row r="24110" s="69" customFormat="1" x14ac:dyDescent="0.15"/>
    <row r="24111" s="69" customFormat="1" x14ac:dyDescent="0.15"/>
    <row r="24112" s="69" customFormat="1" x14ac:dyDescent="0.15"/>
    <row r="24113" s="69" customFormat="1" x14ac:dyDescent="0.15"/>
    <row r="24114" s="69" customFormat="1" x14ac:dyDescent="0.15"/>
    <row r="24115" s="69" customFormat="1" x14ac:dyDescent="0.15"/>
    <row r="24116" s="69" customFormat="1" x14ac:dyDescent="0.15"/>
    <row r="24117" s="69" customFormat="1" x14ac:dyDescent="0.15"/>
    <row r="24118" s="69" customFormat="1" x14ac:dyDescent="0.15"/>
    <row r="24119" s="69" customFormat="1" x14ac:dyDescent="0.15"/>
    <row r="24120" s="69" customFormat="1" x14ac:dyDescent="0.15"/>
    <row r="24121" s="69" customFormat="1" x14ac:dyDescent="0.15"/>
    <row r="24122" s="69" customFormat="1" x14ac:dyDescent="0.15"/>
    <row r="24123" s="69" customFormat="1" x14ac:dyDescent="0.15"/>
    <row r="24124" s="69" customFormat="1" x14ac:dyDescent="0.15"/>
    <row r="24125" s="69" customFormat="1" x14ac:dyDescent="0.15"/>
    <row r="24126" s="69" customFormat="1" x14ac:dyDescent="0.15"/>
    <row r="24127" s="69" customFormat="1" x14ac:dyDescent="0.15"/>
    <row r="24128" s="69" customFormat="1" x14ac:dyDescent="0.15"/>
    <row r="24129" s="69" customFormat="1" x14ac:dyDescent="0.15"/>
    <row r="24130" s="69" customFormat="1" x14ac:dyDescent="0.15"/>
    <row r="24131" s="69" customFormat="1" x14ac:dyDescent="0.15"/>
    <row r="24132" s="69" customFormat="1" x14ac:dyDescent="0.15"/>
    <row r="24133" s="69" customFormat="1" x14ac:dyDescent="0.15"/>
    <row r="24134" s="69" customFormat="1" x14ac:dyDescent="0.15"/>
    <row r="24135" s="69" customFormat="1" x14ac:dyDescent="0.15"/>
    <row r="24136" s="69" customFormat="1" x14ac:dyDescent="0.15"/>
    <row r="24137" s="69" customFormat="1" x14ac:dyDescent="0.15"/>
    <row r="24138" s="69" customFormat="1" x14ac:dyDescent="0.15"/>
    <row r="24139" s="69" customFormat="1" x14ac:dyDescent="0.15"/>
    <row r="24140" s="69" customFormat="1" x14ac:dyDescent="0.15"/>
    <row r="24141" s="69" customFormat="1" x14ac:dyDescent="0.15"/>
    <row r="24142" s="69" customFormat="1" x14ac:dyDescent="0.15"/>
    <row r="24143" s="69" customFormat="1" x14ac:dyDescent="0.15"/>
    <row r="24144" s="69" customFormat="1" x14ac:dyDescent="0.15"/>
    <row r="24145" s="69" customFormat="1" x14ac:dyDescent="0.15"/>
    <row r="24146" s="69" customFormat="1" x14ac:dyDescent="0.15"/>
    <row r="24147" s="69" customFormat="1" x14ac:dyDescent="0.15"/>
    <row r="24148" s="69" customFormat="1" x14ac:dyDescent="0.15"/>
    <row r="24149" s="69" customFormat="1" x14ac:dyDescent="0.15"/>
    <row r="24150" s="69" customFormat="1" x14ac:dyDescent="0.15"/>
    <row r="24151" s="69" customFormat="1" x14ac:dyDescent="0.15"/>
    <row r="24152" s="69" customFormat="1" x14ac:dyDescent="0.15"/>
    <row r="24153" s="69" customFormat="1" x14ac:dyDescent="0.15"/>
    <row r="24154" s="69" customFormat="1" x14ac:dyDescent="0.15"/>
    <row r="24155" s="69" customFormat="1" x14ac:dyDescent="0.15"/>
    <row r="24156" s="69" customFormat="1" x14ac:dyDescent="0.15"/>
    <row r="24157" s="69" customFormat="1" x14ac:dyDescent="0.15"/>
    <row r="24158" s="69" customFormat="1" x14ac:dyDescent="0.15"/>
    <row r="24159" s="69" customFormat="1" x14ac:dyDescent="0.15"/>
    <row r="24160" s="69" customFormat="1" x14ac:dyDescent="0.15"/>
    <row r="24161" s="69" customFormat="1" x14ac:dyDescent="0.15"/>
    <row r="24162" s="69" customFormat="1" x14ac:dyDescent="0.15"/>
    <row r="24163" s="69" customFormat="1" x14ac:dyDescent="0.15"/>
    <row r="24164" s="69" customFormat="1" x14ac:dyDescent="0.15"/>
    <row r="24165" s="69" customFormat="1" x14ac:dyDescent="0.15"/>
    <row r="24166" s="69" customFormat="1" x14ac:dyDescent="0.15"/>
    <row r="24167" s="69" customFormat="1" x14ac:dyDescent="0.15"/>
    <row r="24168" s="69" customFormat="1" x14ac:dyDescent="0.15"/>
    <row r="24169" s="69" customFormat="1" x14ac:dyDescent="0.15"/>
    <row r="24170" s="69" customFormat="1" x14ac:dyDescent="0.15"/>
    <row r="24171" s="69" customFormat="1" x14ac:dyDescent="0.15"/>
    <row r="24172" s="69" customFormat="1" x14ac:dyDescent="0.15"/>
    <row r="24173" s="69" customFormat="1" x14ac:dyDescent="0.15"/>
    <row r="24174" s="69" customFormat="1" x14ac:dyDescent="0.15"/>
    <row r="24175" s="69" customFormat="1" x14ac:dyDescent="0.15"/>
    <row r="24176" s="69" customFormat="1" x14ac:dyDescent="0.15"/>
    <row r="24177" s="69" customFormat="1" x14ac:dyDescent="0.15"/>
    <row r="24178" s="69" customFormat="1" x14ac:dyDescent="0.15"/>
    <row r="24179" s="69" customFormat="1" x14ac:dyDescent="0.15"/>
    <row r="24180" s="69" customFormat="1" x14ac:dyDescent="0.15"/>
    <row r="24181" s="69" customFormat="1" x14ac:dyDescent="0.15"/>
    <row r="24182" s="69" customFormat="1" x14ac:dyDescent="0.15"/>
    <row r="24183" s="69" customFormat="1" x14ac:dyDescent="0.15"/>
    <row r="24184" s="69" customFormat="1" x14ac:dyDescent="0.15"/>
    <row r="24185" s="69" customFormat="1" x14ac:dyDescent="0.15"/>
    <row r="24186" s="69" customFormat="1" x14ac:dyDescent="0.15"/>
    <row r="24187" s="69" customFormat="1" x14ac:dyDescent="0.15"/>
    <row r="24188" s="69" customFormat="1" x14ac:dyDescent="0.15"/>
    <row r="24189" s="69" customFormat="1" x14ac:dyDescent="0.15"/>
    <row r="24190" s="69" customFormat="1" x14ac:dyDescent="0.15"/>
    <row r="24191" s="69" customFormat="1" x14ac:dyDescent="0.15"/>
    <row r="24192" s="69" customFormat="1" x14ac:dyDescent="0.15"/>
    <row r="24193" s="69" customFormat="1" x14ac:dyDescent="0.15"/>
    <row r="24194" s="69" customFormat="1" x14ac:dyDescent="0.15"/>
    <row r="24195" s="69" customFormat="1" x14ac:dyDescent="0.15"/>
    <row r="24196" s="69" customFormat="1" x14ac:dyDescent="0.15"/>
    <row r="24197" s="69" customFormat="1" x14ac:dyDescent="0.15"/>
    <row r="24198" s="69" customFormat="1" x14ac:dyDescent="0.15"/>
    <row r="24199" s="69" customFormat="1" x14ac:dyDescent="0.15"/>
    <row r="24200" s="69" customFormat="1" x14ac:dyDescent="0.15"/>
    <row r="24201" s="69" customFormat="1" x14ac:dyDescent="0.15"/>
    <row r="24202" s="69" customFormat="1" x14ac:dyDescent="0.15"/>
    <row r="24203" s="69" customFormat="1" x14ac:dyDescent="0.15"/>
    <row r="24204" s="69" customFormat="1" x14ac:dyDescent="0.15"/>
    <row r="24205" s="69" customFormat="1" x14ac:dyDescent="0.15"/>
    <row r="24206" s="69" customFormat="1" x14ac:dyDescent="0.15"/>
    <row r="24207" s="69" customFormat="1" x14ac:dyDescent="0.15"/>
    <row r="24208" s="69" customFormat="1" x14ac:dyDescent="0.15"/>
    <row r="24209" s="69" customFormat="1" x14ac:dyDescent="0.15"/>
    <row r="24210" s="69" customFormat="1" x14ac:dyDescent="0.15"/>
    <row r="24211" s="69" customFormat="1" x14ac:dyDescent="0.15"/>
    <row r="24212" s="69" customFormat="1" x14ac:dyDescent="0.15"/>
    <row r="24213" s="69" customFormat="1" x14ac:dyDescent="0.15"/>
    <row r="24214" s="69" customFormat="1" x14ac:dyDescent="0.15"/>
    <row r="24215" s="69" customFormat="1" x14ac:dyDescent="0.15"/>
    <row r="24216" s="69" customFormat="1" x14ac:dyDescent="0.15"/>
    <row r="24217" s="69" customFormat="1" x14ac:dyDescent="0.15"/>
    <row r="24218" s="69" customFormat="1" x14ac:dyDescent="0.15"/>
    <row r="24219" s="69" customFormat="1" x14ac:dyDescent="0.15"/>
    <row r="24220" s="69" customFormat="1" x14ac:dyDescent="0.15"/>
    <row r="24221" s="69" customFormat="1" x14ac:dyDescent="0.15"/>
    <row r="24222" s="69" customFormat="1" x14ac:dyDescent="0.15"/>
    <row r="24223" s="69" customFormat="1" x14ac:dyDescent="0.15"/>
    <row r="24224" s="69" customFormat="1" x14ac:dyDescent="0.15"/>
    <row r="24225" s="69" customFormat="1" x14ac:dyDescent="0.15"/>
    <row r="24226" s="69" customFormat="1" x14ac:dyDescent="0.15"/>
    <row r="24227" s="69" customFormat="1" x14ac:dyDescent="0.15"/>
    <row r="24228" s="69" customFormat="1" x14ac:dyDescent="0.15"/>
    <row r="24229" s="69" customFormat="1" x14ac:dyDescent="0.15"/>
    <row r="24230" s="69" customFormat="1" x14ac:dyDescent="0.15"/>
    <row r="24231" s="69" customFormat="1" x14ac:dyDescent="0.15"/>
    <row r="24232" s="69" customFormat="1" x14ac:dyDescent="0.15"/>
    <row r="24233" s="69" customFormat="1" x14ac:dyDescent="0.15"/>
    <row r="24234" s="69" customFormat="1" x14ac:dyDescent="0.15"/>
    <row r="24235" s="69" customFormat="1" x14ac:dyDescent="0.15"/>
    <row r="24236" s="69" customFormat="1" x14ac:dyDescent="0.15"/>
    <row r="24237" s="69" customFormat="1" x14ac:dyDescent="0.15"/>
    <row r="24238" s="69" customFormat="1" x14ac:dyDescent="0.15"/>
    <row r="24239" s="69" customFormat="1" x14ac:dyDescent="0.15"/>
    <row r="24240" s="69" customFormat="1" x14ac:dyDescent="0.15"/>
    <row r="24241" s="69" customFormat="1" x14ac:dyDescent="0.15"/>
    <row r="24242" s="69" customFormat="1" x14ac:dyDescent="0.15"/>
    <row r="24243" s="69" customFormat="1" x14ac:dyDescent="0.15"/>
    <row r="24244" s="69" customFormat="1" x14ac:dyDescent="0.15"/>
    <row r="24245" s="69" customFormat="1" x14ac:dyDescent="0.15"/>
    <row r="24246" s="69" customFormat="1" x14ac:dyDescent="0.15"/>
    <row r="24247" s="69" customFormat="1" x14ac:dyDescent="0.15"/>
    <row r="24248" s="69" customFormat="1" x14ac:dyDescent="0.15"/>
    <row r="24249" s="69" customFormat="1" x14ac:dyDescent="0.15"/>
    <row r="24250" s="69" customFormat="1" x14ac:dyDescent="0.15"/>
    <row r="24251" s="69" customFormat="1" x14ac:dyDescent="0.15"/>
    <row r="24252" s="69" customFormat="1" x14ac:dyDescent="0.15"/>
    <row r="24253" s="69" customFormat="1" x14ac:dyDescent="0.15"/>
    <row r="24254" s="69" customFormat="1" x14ac:dyDescent="0.15"/>
    <row r="24255" s="69" customFormat="1" x14ac:dyDescent="0.15"/>
    <row r="24256" s="69" customFormat="1" x14ac:dyDescent="0.15"/>
    <row r="24257" s="69" customFormat="1" x14ac:dyDescent="0.15"/>
    <row r="24258" s="69" customFormat="1" x14ac:dyDescent="0.15"/>
    <row r="24259" s="69" customFormat="1" x14ac:dyDescent="0.15"/>
    <row r="24260" s="69" customFormat="1" x14ac:dyDescent="0.15"/>
    <row r="24261" s="69" customFormat="1" x14ac:dyDescent="0.15"/>
    <row r="24262" s="69" customFormat="1" x14ac:dyDescent="0.15"/>
    <row r="24263" s="69" customFormat="1" x14ac:dyDescent="0.15"/>
    <row r="24264" s="69" customFormat="1" x14ac:dyDescent="0.15"/>
    <row r="24265" s="69" customFormat="1" x14ac:dyDescent="0.15"/>
    <row r="24266" s="69" customFormat="1" x14ac:dyDescent="0.15"/>
    <row r="24267" s="69" customFormat="1" x14ac:dyDescent="0.15"/>
    <row r="24268" s="69" customFormat="1" x14ac:dyDescent="0.15"/>
    <row r="24269" s="69" customFormat="1" x14ac:dyDescent="0.15"/>
    <row r="24270" s="69" customFormat="1" x14ac:dyDescent="0.15"/>
    <row r="24271" s="69" customFormat="1" x14ac:dyDescent="0.15"/>
    <row r="24272" s="69" customFormat="1" x14ac:dyDescent="0.15"/>
    <row r="24273" s="69" customFormat="1" x14ac:dyDescent="0.15"/>
    <row r="24274" s="69" customFormat="1" x14ac:dyDescent="0.15"/>
    <row r="24275" s="69" customFormat="1" x14ac:dyDescent="0.15"/>
    <row r="24276" s="69" customFormat="1" x14ac:dyDescent="0.15"/>
    <row r="24277" s="69" customFormat="1" x14ac:dyDescent="0.15"/>
    <row r="24278" s="69" customFormat="1" x14ac:dyDescent="0.15"/>
    <row r="24279" s="69" customFormat="1" x14ac:dyDescent="0.15"/>
    <row r="24280" s="69" customFormat="1" x14ac:dyDescent="0.15"/>
    <row r="24281" s="69" customFormat="1" x14ac:dyDescent="0.15"/>
    <row r="24282" s="69" customFormat="1" x14ac:dyDescent="0.15"/>
    <row r="24283" s="69" customFormat="1" x14ac:dyDescent="0.15"/>
    <row r="24284" s="69" customFormat="1" x14ac:dyDescent="0.15"/>
    <row r="24285" s="69" customFormat="1" x14ac:dyDescent="0.15"/>
    <row r="24286" s="69" customFormat="1" x14ac:dyDescent="0.15"/>
    <row r="24287" s="69" customFormat="1" x14ac:dyDescent="0.15"/>
    <row r="24288" s="69" customFormat="1" x14ac:dyDescent="0.15"/>
    <row r="24289" s="69" customFormat="1" x14ac:dyDescent="0.15"/>
    <row r="24290" s="69" customFormat="1" x14ac:dyDescent="0.15"/>
    <row r="24291" s="69" customFormat="1" x14ac:dyDescent="0.15"/>
    <row r="24292" s="69" customFormat="1" x14ac:dyDescent="0.15"/>
    <row r="24293" s="69" customFormat="1" x14ac:dyDescent="0.15"/>
    <row r="24294" s="69" customFormat="1" x14ac:dyDescent="0.15"/>
    <row r="24295" s="69" customFormat="1" x14ac:dyDescent="0.15"/>
    <row r="24296" s="69" customFormat="1" x14ac:dyDescent="0.15"/>
    <row r="24297" s="69" customFormat="1" x14ac:dyDescent="0.15"/>
    <row r="24298" s="69" customFormat="1" x14ac:dyDescent="0.15"/>
    <row r="24299" s="69" customFormat="1" x14ac:dyDescent="0.15"/>
    <row r="24300" s="69" customFormat="1" x14ac:dyDescent="0.15"/>
    <row r="24301" s="69" customFormat="1" x14ac:dyDescent="0.15"/>
    <row r="24302" s="69" customFormat="1" x14ac:dyDescent="0.15"/>
    <row r="24303" s="69" customFormat="1" x14ac:dyDescent="0.15"/>
    <row r="24304" s="69" customFormat="1" x14ac:dyDescent="0.15"/>
    <row r="24305" s="69" customFormat="1" x14ac:dyDescent="0.15"/>
    <row r="24306" s="69" customFormat="1" x14ac:dyDescent="0.15"/>
    <row r="24307" s="69" customFormat="1" x14ac:dyDescent="0.15"/>
    <row r="24308" s="69" customFormat="1" x14ac:dyDescent="0.15"/>
    <row r="24309" s="69" customFormat="1" x14ac:dyDescent="0.15"/>
    <row r="24310" s="69" customFormat="1" x14ac:dyDescent="0.15"/>
    <row r="24311" s="69" customFormat="1" x14ac:dyDescent="0.15"/>
    <row r="24312" s="69" customFormat="1" x14ac:dyDescent="0.15"/>
    <row r="24313" s="69" customFormat="1" x14ac:dyDescent="0.15"/>
    <row r="24314" s="69" customFormat="1" x14ac:dyDescent="0.15"/>
    <row r="24315" s="69" customFormat="1" x14ac:dyDescent="0.15"/>
    <row r="24316" s="69" customFormat="1" x14ac:dyDescent="0.15"/>
    <row r="24317" s="69" customFormat="1" x14ac:dyDescent="0.15"/>
    <row r="24318" s="69" customFormat="1" x14ac:dyDescent="0.15"/>
    <row r="24319" s="69" customFormat="1" x14ac:dyDescent="0.15"/>
    <row r="24320" s="69" customFormat="1" x14ac:dyDescent="0.15"/>
    <row r="24321" s="69" customFormat="1" x14ac:dyDescent="0.15"/>
    <row r="24322" s="69" customFormat="1" x14ac:dyDescent="0.15"/>
    <row r="24323" s="69" customFormat="1" x14ac:dyDescent="0.15"/>
    <row r="24324" s="69" customFormat="1" x14ac:dyDescent="0.15"/>
    <row r="24325" s="69" customFormat="1" x14ac:dyDescent="0.15"/>
    <row r="24326" s="69" customFormat="1" x14ac:dyDescent="0.15"/>
    <row r="24327" s="69" customFormat="1" x14ac:dyDescent="0.15"/>
    <row r="24328" s="69" customFormat="1" x14ac:dyDescent="0.15"/>
    <row r="24329" s="69" customFormat="1" x14ac:dyDescent="0.15"/>
    <row r="24330" s="69" customFormat="1" x14ac:dyDescent="0.15"/>
    <row r="24331" s="69" customFormat="1" x14ac:dyDescent="0.15"/>
    <row r="24332" s="69" customFormat="1" x14ac:dyDescent="0.15"/>
    <row r="24333" s="69" customFormat="1" x14ac:dyDescent="0.15"/>
    <row r="24334" s="69" customFormat="1" x14ac:dyDescent="0.15"/>
    <row r="24335" s="69" customFormat="1" x14ac:dyDescent="0.15"/>
    <row r="24336" s="69" customFormat="1" x14ac:dyDescent="0.15"/>
    <row r="24337" s="69" customFormat="1" x14ac:dyDescent="0.15"/>
    <row r="24338" s="69" customFormat="1" x14ac:dyDescent="0.15"/>
    <row r="24339" s="69" customFormat="1" x14ac:dyDescent="0.15"/>
    <row r="24340" s="69" customFormat="1" x14ac:dyDescent="0.15"/>
    <row r="24341" s="69" customFormat="1" x14ac:dyDescent="0.15"/>
    <row r="24342" s="69" customFormat="1" x14ac:dyDescent="0.15"/>
    <row r="24343" s="69" customFormat="1" x14ac:dyDescent="0.15"/>
    <row r="24344" s="69" customFormat="1" x14ac:dyDescent="0.15"/>
    <row r="24345" s="69" customFormat="1" x14ac:dyDescent="0.15"/>
    <row r="24346" s="69" customFormat="1" x14ac:dyDescent="0.15"/>
    <row r="24347" s="69" customFormat="1" x14ac:dyDescent="0.15"/>
    <row r="24348" s="69" customFormat="1" x14ac:dyDescent="0.15"/>
    <row r="24349" s="69" customFormat="1" x14ac:dyDescent="0.15"/>
    <row r="24350" s="69" customFormat="1" x14ac:dyDescent="0.15"/>
    <row r="24351" s="69" customFormat="1" x14ac:dyDescent="0.15"/>
    <row r="24352" s="69" customFormat="1" x14ac:dyDescent="0.15"/>
    <row r="24353" s="69" customFormat="1" x14ac:dyDescent="0.15"/>
    <row r="24354" s="69" customFormat="1" x14ac:dyDescent="0.15"/>
    <row r="24355" s="69" customFormat="1" x14ac:dyDescent="0.15"/>
    <row r="24356" s="69" customFormat="1" x14ac:dyDescent="0.15"/>
    <row r="24357" s="69" customFormat="1" x14ac:dyDescent="0.15"/>
    <row r="24358" s="69" customFormat="1" x14ac:dyDescent="0.15"/>
    <row r="24359" s="69" customFormat="1" x14ac:dyDescent="0.15"/>
    <row r="24360" s="69" customFormat="1" x14ac:dyDescent="0.15"/>
    <row r="24361" s="69" customFormat="1" x14ac:dyDescent="0.15"/>
    <row r="24362" s="69" customFormat="1" x14ac:dyDescent="0.15"/>
    <row r="24363" s="69" customFormat="1" x14ac:dyDescent="0.15"/>
    <row r="24364" s="69" customFormat="1" x14ac:dyDescent="0.15"/>
    <row r="24365" s="69" customFormat="1" x14ac:dyDescent="0.15"/>
    <row r="24366" s="69" customFormat="1" x14ac:dyDescent="0.15"/>
    <row r="24367" s="69" customFormat="1" x14ac:dyDescent="0.15"/>
    <row r="24368" s="69" customFormat="1" x14ac:dyDescent="0.15"/>
    <row r="24369" s="69" customFormat="1" x14ac:dyDescent="0.15"/>
    <row r="24370" s="69" customFormat="1" x14ac:dyDescent="0.15"/>
    <row r="24371" s="69" customFormat="1" x14ac:dyDescent="0.15"/>
    <row r="24372" s="69" customFormat="1" x14ac:dyDescent="0.15"/>
    <row r="24373" s="69" customFormat="1" x14ac:dyDescent="0.15"/>
    <row r="24374" s="69" customFormat="1" x14ac:dyDescent="0.15"/>
    <row r="24375" s="69" customFormat="1" x14ac:dyDescent="0.15"/>
    <row r="24376" s="69" customFormat="1" x14ac:dyDescent="0.15"/>
    <row r="24377" s="69" customFormat="1" x14ac:dyDescent="0.15"/>
    <row r="24378" s="69" customFormat="1" x14ac:dyDescent="0.15"/>
    <row r="24379" s="69" customFormat="1" x14ac:dyDescent="0.15"/>
    <row r="24380" s="69" customFormat="1" x14ac:dyDescent="0.15"/>
    <row r="24381" s="69" customFormat="1" x14ac:dyDescent="0.15"/>
    <row r="24382" s="69" customFormat="1" x14ac:dyDescent="0.15"/>
    <row r="24383" s="69" customFormat="1" x14ac:dyDescent="0.15"/>
    <row r="24384" s="69" customFormat="1" x14ac:dyDescent="0.15"/>
    <row r="24385" s="69" customFormat="1" x14ac:dyDescent="0.15"/>
    <row r="24386" s="69" customFormat="1" x14ac:dyDescent="0.15"/>
    <row r="24387" s="69" customFormat="1" x14ac:dyDescent="0.15"/>
    <row r="24388" s="69" customFormat="1" x14ac:dyDescent="0.15"/>
    <row r="24389" s="69" customFormat="1" x14ac:dyDescent="0.15"/>
    <row r="24390" s="69" customFormat="1" x14ac:dyDescent="0.15"/>
    <row r="24391" s="69" customFormat="1" x14ac:dyDescent="0.15"/>
    <row r="24392" s="69" customFormat="1" x14ac:dyDescent="0.15"/>
    <row r="24393" s="69" customFormat="1" x14ac:dyDescent="0.15"/>
    <row r="24394" s="69" customFormat="1" x14ac:dyDescent="0.15"/>
    <row r="24395" s="69" customFormat="1" x14ac:dyDescent="0.15"/>
    <row r="24396" s="69" customFormat="1" x14ac:dyDescent="0.15"/>
    <row r="24397" s="69" customFormat="1" x14ac:dyDescent="0.15"/>
    <row r="24398" s="69" customFormat="1" x14ac:dyDescent="0.15"/>
    <row r="24399" s="69" customFormat="1" x14ac:dyDescent="0.15"/>
    <row r="24400" s="69" customFormat="1" x14ac:dyDescent="0.15"/>
    <row r="24401" s="69" customFormat="1" x14ac:dyDescent="0.15"/>
    <row r="24402" s="69" customFormat="1" x14ac:dyDescent="0.15"/>
    <row r="24403" s="69" customFormat="1" x14ac:dyDescent="0.15"/>
    <row r="24404" s="69" customFormat="1" x14ac:dyDescent="0.15"/>
    <row r="24405" s="69" customFormat="1" x14ac:dyDescent="0.15"/>
    <row r="24406" s="69" customFormat="1" x14ac:dyDescent="0.15"/>
    <row r="24407" s="69" customFormat="1" x14ac:dyDescent="0.15"/>
    <row r="24408" s="69" customFormat="1" x14ac:dyDescent="0.15"/>
    <row r="24409" s="69" customFormat="1" x14ac:dyDescent="0.15"/>
    <row r="24410" s="69" customFormat="1" x14ac:dyDescent="0.15"/>
    <row r="24411" s="69" customFormat="1" x14ac:dyDescent="0.15"/>
    <row r="24412" s="69" customFormat="1" x14ac:dyDescent="0.15"/>
    <row r="24413" s="69" customFormat="1" x14ac:dyDescent="0.15"/>
    <row r="24414" s="69" customFormat="1" x14ac:dyDescent="0.15"/>
    <row r="24415" s="69" customFormat="1" x14ac:dyDescent="0.15"/>
    <row r="24416" s="69" customFormat="1" x14ac:dyDescent="0.15"/>
    <row r="24417" s="69" customFormat="1" x14ac:dyDescent="0.15"/>
    <row r="24418" s="69" customFormat="1" x14ac:dyDescent="0.15"/>
    <row r="24419" s="69" customFormat="1" x14ac:dyDescent="0.15"/>
    <row r="24420" s="69" customFormat="1" x14ac:dyDescent="0.15"/>
    <row r="24421" s="69" customFormat="1" x14ac:dyDescent="0.15"/>
    <row r="24422" s="69" customFormat="1" x14ac:dyDescent="0.15"/>
    <row r="24423" s="69" customFormat="1" x14ac:dyDescent="0.15"/>
    <row r="24424" s="69" customFormat="1" x14ac:dyDescent="0.15"/>
    <row r="24425" s="69" customFormat="1" x14ac:dyDescent="0.15"/>
    <row r="24426" s="69" customFormat="1" x14ac:dyDescent="0.15"/>
    <row r="24427" s="69" customFormat="1" x14ac:dyDescent="0.15"/>
    <row r="24428" s="69" customFormat="1" x14ac:dyDescent="0.15"/>
    <row r="24429" s="69" customFormat="1" x14ac:dyDescent="0.15"/>
    <row r="24430" s="69" customFormat="1" x14ac:dyDescent="0.15"/>
    <row r="24431" s="69" customFormat="1" x14ac:dyDescent="0.15"/>
    <row r="24432" s="69" customFormat="1" x14ac:dyDescent="0.15"/>
    <row r="24433" s="69" customFormat="1" x14ac:dyDescent="0.15"/>
    <row r="24434" s="69" customFormat="1" x14ac:dyDescent="0.15"/>
    <row r="24435" s="69" customFormat="1" x14ac:dyDescent="0.15"/>
    <row r="24436" s="69" customFormat="1" x14ac:dyDescent="0.15"/>
    <row r="24437" s="69" customFormat="1" x14ac:dyDescent="0.15"/>
    <row r="24438" s="69" customFormat="1" x14ac:dyDescent="0.15"/>
    <row r="24439" s="69" customFormat="1" x14ac:dyDescent="0.15"/>
    <row r="24440" s="69" customFormat="1" x14ac:dyDescent="0.15"/>
    <row r="24441" s="69" customFormat="1" x14ac:dyDescent="0.15"/>
    <row r="24442" s="69" customFormat="1" x14ac:dyDescent="0.15"/>
    <row r="24443" s="69" customFormat="1" x14ac:dyDescent="0.15"/>
    <row r="24444" s="69" customFormat="1" x14ac:dyDescent="0.15"/>
    <row r="24445" s="69" customFormat="1" x14ac:dyDescent="0.15"/>
    <row r="24446" s="69" customFormat="1" x14ac:dyDescent="0.15"/>
    <row r="24447" s="69" customFormat="1" x14ac:dyDescent="0.15"/>
    <row r="24448" s="69" customFormat="1" x14ac:dyDescent="0.15"/>
    <row r="24449" s="69" customFormat="1" x14ac:dyDescent="0.15"/>
    <row r="24450" s="69" customFormat="1" x14ac:dyDescent="0.15"/>
    <row r="24451" s="69" customFormat="1" x14ac:dyDescent="0.15"/>
    <row r="24452" s="69" customFormat="1" x14ac:dyDescent="0.15"/>
    <row r="24453" s="69" customFormat="1" x14ac:dyDescent="0.15"/>
    <row r="24454" s="69" customFormat="1" x14ac:dyDescent="0.15"/>
    <row r="24455" s="69" customFormat="1" x14ac:dyDescent="0.15"/>
    <row r="24456" s="69" customFormat="1" x14ac:dyDescent="0.15"/>
    <row r="24457" s="69" customFormat="1" x14ac:dyDescent="0.15"/>
    <row r="24458" s="69" customFormat="1" x14ac:dyDescent="0.15"/>
    <row r="24459" s="69" customFormat="1" x14ac:dyDescent="0.15"/>
    <row r="24460" s="69" customFormat="1" x14ac:dyDescent="0.15"/>
    <row r="24461" s="69" customFormat="1" x14ac:dyDescent="0.15"/>
    <row r="24462" s="69" customFormat="1" x14ac:dyDescent="0.15"/>
    <row r="24463" s="69" customFormat="1" x14ac:dyDescent="0.15"/>
    <row r="24464" s="69" customFormat="1" x14ac:dyDescent="0.15"/>
    <row r="24465" s="69" customFormat="1" x14ac:dyDescent="0.15"/>
    <row r="24466" s="69" customFormat="1" x14ac:dyDescent="0.15"/>
    <row r="24467" s="69" customFormat="1" x14ac:dyDescent="0.15"/>
    <row r="24468" s="69" customFormat="1" x14ac:dyDescent="0.15"/>
    <row r="24469" s="69" customFormat="1" x14ac:dyDescent="0.15"/>
    <row r="24470" s="69" customFormat="1" x14ac:dyDescent="0.15"/>
    <row r="24471" s="69" customFormat="1" x14ac:dyDescent="0.15"/>
    <row r="24472" s="69" customFormat="1" x14ac:dyDescent="0.15"/>
    <row r="24473" s="69" customFormat="1" x14ac:dyDescent="0.15"/>
    <row r="24474" s="69" customFormat="1" x14ac:dyDescent="0.15"/>
    <row r="24475" s="69" customFormat="1" x14ac:dyDescent="0.15"/>
    <row r="24476" s="69" customFormat="1" x14ac:dyDescent="0.15"/>
    <row r="24477" s="69" customFormat="1" x14ac:dyDescent="0.15"/>
    <row r="24478" s="69" customFormat="1" x14ac:dyDescent="0.15"/>
    <row r="24479" s="69" customFormat="1" x14ac:dyDescent="0.15"/>
    <row r="24480" s="69" customFormat="1" x14ac:dyDescent="0.15"/>
    <row r="24481" s="69" customFormat="1" x14ac:dyDescent="0.15"/>
    <row r="24482" s="69" customFormat="1" x14ac:dyDescent="0.15"/>
    <row r="24483" s="69" customFormat="1" x14ac:dyDescent="0.15"/>
    <row r="24484" s="69" customFormat="1" x14ac:dyDescent="0.15"/>
    <row r="24485" s="69" customFormat="1" x14ac:dyDescent="0.15"/>
    <row r="24486" s="69" customFormat="1" x14ac:dyDescent="0.15"/>
    <row r="24487" s="69" customFormat="1" x14ac:dyDescent="0.15"/>
    <row r="24488" s="69" customFormat="1" x14ac:dyDescent="0.15"/>
    <row r="24489" s="69" customFormat="1" x14ac:dyDescent="0.15"/>
    <row r="24490" s="69" customFormat="1" x14ac:dyDescent="0.15"/>
    <row r="24491" s="69" customFormat="1" x14ac:dyDescent="0.15"/>
    <row r="24492" s="69" customFormat="1" x14ac:dyDescent="0.15"/>
    <row r="24493" s="69" customFormat="1" x14ac:dyDescent="0.15"/>
    <row r="24494" s="69" customFormat="1" x14ac:dyDescent="0.15"/>
    <row r="24495" s="69" customFormat="1" x14ac:dyDescent="0.15"/>
    <row r="24496" s="69" customFormat="1" x14ac:dyDescent="0.15"/>
    <row r="24497" s="69" customFormat="1" x14ac:dyDescent="0.15"/>
    <row r="24498" s="69" customFormat="1" x14ac:dyDescent="0.15"/>
    <row r="24499" s="69" customFormat="1" x14ac:dyDescent="0.15"/>
    <row r="24500" s="69" customFormat="1" x14ac:dyDescent="0.15"/>
    <row r="24501" s="69" customFormat="1" x14ac:dyDescent="0.15"/>
    <row r="24502" s="69" customFormat="1" x14ac:dyDescent="0.15"/>
    <row r="24503" s="69" customFormat="1" x14ac:dyDescent="0.15"/>
    <row r="24504" s="69" customFormat="1" x14ac:dyDescent="0.15"/>
    <row r="24505" s="69" customFormat="1" x14ac:dyDescent="0.15"/>
    <row r="24506" s="69" customFormat="1" x14ac:dyDescent="0.15"/>
    <row r="24507" s="69" customFormat="1" x14ac:dyDescent="0.15"/>
    <row r="24508" s="69" customFormat="1" x14ac:dyDescent="0.15"/>
    <row r="24509" s="69" customFormat="1" x14ac:dyDescent="0.15"/>
    <row r="24510" s="69" customFormat="1" x14ac:dyDescent="0.15"/>
    <row r="24511" s="69" customFormat="1" x14ac:dyDescent="0.15"/>
    <row r="24512" s="69" customFormat="1" x14ac:dyDescent="0.15"/>
    <row r="24513" s="69" customFormat="1" x14ac:dyDescent="0.15"/>
    <row r="24514" s="69" customFormat="1" x14ac:dyDescent="0.15"/>
    <row r="24515" s="69" customFormat="1" x14ac:dyDescent="0.15"/>
    <row r="24516" s="69" customFormat="1" x14ac:dyDescent="0.15"/>
    <row r="24517" s="69" customFormat="1" x14ac:dyDescent="0.15"/>
    <row r="24518" s="69" customFormat="1" x14ac:dyDescent="0.15"/>
    <row r="24519" s="69" customFormat="1" x14ac:dyDescent="0.15"/>
    <row r="24520" s="69" customFormat="1" x14ac:dyDescent="0.15"/>
    <row r="24521" s="69" customFormat="1" x14ac:dyDescent="0.15"/>
    <row r="24522" s="69" customFormat="1" x14ac:dyDescent="0.15"/>
    <row r="24523" s="69" customFormat="1" x14ac:dyDescent="0.15"/>
    <row r="24524" s="69" customFormat="1" x14ac:dyDescent="0.15"/>
    <row r="24525" s="69" customFormat="1" x14ac:dyDescent="0.15"/>
    <row r="24526" s="69" customFormat="1" x14ac:dyDescent="0.15"/>
    <row r="24527" s="69" customFormat="1" x14ac:dyDescent="0.15"/>
    <row r="24528" s="69" customFormat="1" x14ac:dyDescent="0.15"/>
    <row r="24529" s="69" customFormat="1" x14ac:dyDescent="0.15"/>
    <row r="24530" s="69" customFormat="1" x14ac:dyDescent="0.15"/>
    <row r="24531" s="69" customFormat="1" x14ac:dyDescent="0.15"/>
    <row r="24532" s="69" customFormat="1" x14ac:dyDescent="0.15"/>
    <row r="24533" s="69" customFormat="1" x14ac:dyDescent="0.15"/>
    <row r="24534" s="69" customFormat="1" x14ac:dyDescent="0.15"/>
    <row r="24535" s="69" customFormat="1" x14ac:dyDescent="0.15"/>
    <row r="24536" s="69" customFormat="1" x14ac:dyDescent="0.15"/>
    <row r="24537" s="69" customFormat="1" x14ac:dyDescent="0.15"/>
    <row r="24538" s="69" customFormat="1" x14ac:dyDescent="0.15"/>
    <row r="24539" s="69" customFormat="1" x14ac:dyDescent="0.15"/>
    <row r="24540" s="69" customFormat="1" x14ac:dyDescent="0.15"/>
    <row r="24541" s="69" customFormat="1" x14ac:dyDescent="0.15"/>
    <row r="24542" s="69" customFormat="1" x14ac:dyDescent="0.15"/>
    <row r="24543" s="69" customFormat="1" x14ac:dyDescent="0.15"/>
    <row r="24544" s="69" customFormat="1" x14ac:dyDescent="0.15"/>
    <row r="24545" s="69" customFormat="1" x14ac:dyDescent="0.15"/>
    <row r="24546" s="69" customFormat="1" x14ac:dyDescent="0.15"/>
    <row r="24547" s="69" customFormat="1" x14ac:dyDescent="0.15"/>
    <row r="24548" s="69" customFormat="1" x14ac:dyDescent="0.15"/>
    <row r="24549" s="69" customFormat="1" x14ac:dyDescent="0.15"/>
    <row r="24550" s="69" customFormat="1" x14ac:dyDescent="0.15"/>
    <row r="24551" s="69" customFormat="1" x14ac:dyDescent="0.15"/>
    <row r="24552" s="69" customFormat="1" x14ac:dyDescent="0.15"/>
    <row r="24553" s="69" customFormat="1" x14ac:dyDescent="0.15"/>
    <row r="24554" s="69" customFormat="1" x14ac:dyDescent="0.15"/>
    <row r="24555" s="69" customFormat="1" x14ac:dyDescent="0.15"/>
    <row r="24556" s="69" customFormat="1" x14ac:dyDescent="0.15"/>
    <row r="24557" s="69" customFormat="1" x14ac:dyDescent="0.15"/>
    <row r="24558" s="69" customFormat="1" x14ac:dyDescent="0.15"/>
    <row r="24559" s="69" customFormat="1" x14ac:dyDescent="0.15"/>
    <row r="24560" s="69" customFormat="1" x14ac:dyDescent="0.15"/>
    <row r="24561" s="69" customFormat="1" x14ac:dyDescent="0.15"/>
    <row r="24562" s="69" customFormat="1" x14ac:dyDescent="0.15"/>
    <row r="24563" s="69" customFormat="1" x14ac:dyDescent="0.15"/>
    <row r="24564" s="69" customFormat="1" x14ac:dyDescent="0.15"/>
    <row r="24565" s="69" customFormat="1" x14ac:dyDescent="0.15"/>
    <row r="24566" s="69" customFormat="1" x14ac:dyDescent="0.15"/>
    <row r="24567" s="69" customFormat="1" x14ac:dyDescent="0.15"/>
    <row r="24568" s="69" customFormat="1" x14ac:dyDescent="0.15"/>
    <row r="24569" s="69" customFormat="1" x14ac:dyDescent="0.15"/>
    <row r="24570" s="69" customFormat="1" x14ac:dyDescent="0.15"/>
    <row r="24571" s="69" customFormat="1" x14ac:dyDescent="0.15"/>
    <row r="24572" s="69" customFormat="1" x14ac:dyDescent="0.15"/>
    <row r="24573" s="69" customFormat="1" x14ac:dyDescent="0.15"/>
    <row r="24574" s="69" customFormat="1" x14ac:dyDescent="0.15"/>
    <row r="24575" s="69" customFormat="1" x14ac:dyDescent="0.15"/>
    <row r="24576" s="69" customFormat="1" x14ac:dyDescent="0.15"/>
    <row r="24577" s="69" customFormat="1" x14ac:dyDescent="0.15"/>
    <row r="24578" s="69" customFormat="1" x14ac:dyDescent="0.15"/>
    <row r="24579" s="69" customFormat="1" x14ac:dyDescent="0.15"/>
    <row r="24580" s="69" customFormat="1" x14ac:dyDescent="0.15"/>
    <row r="24581" s="69" customFormat="1" x14ac:dyDescent="0.15"/>
    <row r="24582" s="69" customFormat="1" x14ac:dyDescent="0.15"/>
    <row r="24583" s="69" customFormat="1" x14ac:dyDescent="0.15"/>
    <row r="24584" s="69" customFormat="1" x14ac:dyDescent="0.15"/>
    <row r="24585" s="69" customFormat="1" x14ac:dyDescent="0.15"/>
    <row r="24586" s="69" customFormat="1" x14ac:dyDescent="0.15"/>
    <row r="24587" s="69" customFormat="1" x14ac:dyDescent="0.15"/>
    <row r="24588" s="69" customFormat="1" x14ac:dyDescent="0.15"/>
    <row r="24589" s="69" customFormat="1" x14ac:dyDescent="0.15"/>
    <row r="24590" s="69" customFormat="1" x14ac:dyDescent="0.15"/>
    <row r="24591" s="69" customFormat="1" x14ac:dyDescent="0.15"/>
    <row r="24592" s="69" customFormat="1" x14ac:dyDescent="0.15"/>
    <row r="24593" s="69" customFormat="1" x14ac:dyDescent="0.15"/>
    <row r="24594" s="69" customFormat="1" x14ac:dyDescent="0.15"/>
    <row r="24595" s="69" customFormat="1" x14ac:dyDescent="0.15"/>
    <row r="24596" s="69" customFormat="1" x14ac:dyDescent="0.15"/>
    <row r="24597" s="69" customFormat="1" x14ac:dyDescent="0.15"/>
    <row r="24598" s="69" customFormat="1" x14ac:dyDescent="0.15"/>
    <row r="24599" s="69" customFormat="1" x14ac:dyDescent="0.15"/>
    <row r="24600" s="69" customFormat="1" x14ac:dyDescent="0.15"/>
    <row r="24601" s="69" customFormat="1" x14ac:dyDescent="0.15"/>
    <row r="24602" s="69" customFormat="1" x14ac:dyDescent="0.15"/>
    <row r="24603" s="69" customFormat="1" x14ac:dyDescent="0.15"/>
    <row r="24604" s="69" customFormat="1" x14ac:dyDescent="0.15"/>
    <row r="24605" s="69" customFormat="1" x14ac:dyDescent="0.15"/>
    <row r="24606" s="69" customFormat="1" x14ac:dyDescent="0.15"/>
    <row r="24607" s="69" customFormat="1" x14ac:dyDescent="0.15"/>
    <row r="24608" s="69" customFormat="1" x14ac:dyDescent="0.15"/>
    <row r="24609" s="69" customFormat="1" x14ac:dyDescent="0.15"/>
    <row r="24610" s="69" customFormat="1" x14ac:dyDescent="0.15"/>
    <row r="24611" s="69" customFormat="1" x14ac:dyDescent="0.15"/>
    <row r="24612" s="69" customFormat="1" x14ac:dyDescent="0.15"/>
    <row r="24613" s="69" customFormat="1" x14ac:dyDescent="0.15"/>
    <row r="24614" s="69" customFormat="1" x14ac:dyDescent="0.15"/>
    <row r="24615" s="69" customFormat="1" x14ac:dyDescent="0.15"/>
    <row r="24616" s="69" customFormat="1" x14ac:dyDescent="0.15"/>
    <row r="24617" s="69" customFormat="1" x14ac:dyDescent="0.15"/>
    <row r="24618" s="69" customFormat="1" x14ac:dyDescent="0.15"/>
    <row r="24619" s="69" customFormat="1" x14ac:dyDescent="0.15"/>
    <row r="24620" s="69" customFormat="1" x14ac:dyDescent="0.15"/>
    <row r="24621" s="69" customFormat="1" x14ac:dyDescent="0.15"/>
    <row r="24622" s="69" customFormat="1" x14ac:dyDescent="0.15"/>
    <row r="24623" s="69" customFormat="1" x14ac:dyDescent="0.15"/>
    <row r="24624" s="69" customFormat="1" x14ac:dyDescent="0.15"/>
    <row r="24625" s="69" customFormat="1" x14ac:dyDescent="0.15"/>
    <row r="24626" s="69" customFormat="1" x14ac:dyDescent="0.15"/>
    <row r="24627" s="69" customFormat="1" x14ac:dyDescent="0.15"/>
    <row r="24628" s="69" customFormat="1" x14ac:dyDescent="0.15"/>
    <row r="24629" s="69" customFormat="1" x14ac:dyDescent="0.15"/>
    <row r="24630" s="69" customFormat="1" x14ac:dyDescent="0.15"/>
    <row r="24631" s="69" customFormat="1" x14ac:dyDescent="0.15"/>
    <row r="24632" s="69" customFormat="1" x14ac:dyDescent="0.15"/>
    <row r="24633" s="69" customFormat="1" x14ac:dyDescent="0.15"/>
    <row r="24634" s="69" customFormat="1" x14ac:dyDescent="0.15"/>
    <row r="24635" s="69" customFormat="1" x14ac:dyDescent="0.15"/>
    <row r="24636" s="69" customFormat="1" x14ac:dyDescent="0.15"/>
    <row r="24637" s="69" customFormat="1" x14ac:dyDescent="0.15"/>
    <row r="24638" s="69" customFormat="1" x14ac:dyDescent="0.15"/>
    <row r="24639" s="69" customFormat="1" x14ac:dyDescent="0.15"/>
    <row r="24640" s="69" customFormat="1" x14ac:dyDescent="0.15"/>
    <row r="24641" s="69" customFormat="1" x14ac:dyDescent="0.15"/>
    <row r="24642" s="69" customFormat="1" x14ac:dyDescent="0.15"/>
    <row r="24643" s="69" customFormat="1" x14ac:dyDescent="0.15"/>
    <row r="24644" s="69" customFormat="1" x14ac:dyDescent="0.15"/>
    <row r="24645" s="69" customFormat="1" x14ac:dyDescent="0.15"/>
    <row r="24646" s="69" customFormat="1" x14ac:dyDescent="0.15"/>
    <row r="24647" s="69" customFormat="1" x14ac:dyDescent="0.15"/>
    <row r="24648" s="69" customFormat="1" x14ac:dyDescent="0.15"/>
    <row r="24649" s="69" customFormat="1" x14ac:dyDescent="0.15"/>
    <row r="24650" s="69" customFormat="1" x14ac:dyDescent="0.15"/>
    <row r="24651" s="69" customFormat="1" x14ac:dyDescent="0.15"/>
    <row r="24652" s="69" customFormat="1" x14ac:dyDescent="0.15"/>
    <row r="24653" s="69" customFormat="1" x14ac:dyDescent="0.15"/>
    <row r="24654" s="69" customFormat="1" x14ac:dyDescent="0.15"/>
    <row r="24655" s="69" customFormat="1" x14ac:dyDescent="0.15"/>
    <row r="24656" s="69" customFormat="1" x14ac:dyDescent="0.15"/>
    <row r="24657" s="69" customFormat="1" x14ac:dyDescent="0.15"/>
    <row r="24658" s="69" customFormat="1" x14ac:dyDescent="0.15"/>
    <row r="24659" s="69" customFormat="1" x14ac:dyDescent="0.15"/>
    <row r="24660" s="69" customFormat="1" x14ac:dyDescent="0.15"/>
    <row r="24661" s="69" customFormat="1" x14ac:dyDescent="0.15"/>
    <row r="24662" s="69" customFormat="1" x14ac:dyDescent="0.15"/>
    <row r="24663" s="69" customFormat="1" x14ac:dyDescent="0.15"/>
    <row r="24664" s="69" customFormat="1" x14ac:dyDescent="0.15"/>
    <row r="24665" s="69" customFormat="1" x14ac:dyDescent="0.15"/>
    <row r="24666" s="69" customFormat="1" x14ac:dyDescent="0.15"/>
    <row r="24667" s="69" customFormat="1" x14ac:dyDescent="0.15"/>
    <row r="24668" s="69" customFormat="1" x14ac:dyDescent="0.15"/>
    <row r="24669" s="69" customFormat="1" x14ac:dyDescent="0.15"/>
    <row r="24670" s="69" customFormat="1" x14ac:dyDescent="0.15"/>
    <row r="24671" s="69" customFormat="1" x14ac:dyDescent="0.15"/>
    <row r="24672" s="69" customFormat="1" x14ac:dyDescent="0.15"/>
    <row r="24673" s="69" customFormat="1" x14ac:dyDescent="0.15"/>
    <row r="24674" s="69" customFormat="1" x14ac:dyDescent="0.15"/>
    <row r="24675" s="69" customFormat="1" x14ac:dyDescent="0.15"/>
    <row r="24676" s="69" customFormat="1" x14ac:dyDescent="0.15"/>
    <row r="24677" s="69" customFormat="1" x14ac:dyDescent="0.15"/>
    <row r="24678" s="69" customFormat="1" x14ac:dyDescent="0.15"/>
    <row r="24679" s="69" customFormat="1" x14ac:dyDescent="0.15"/>
    <row r="24680" s="69" customFormat="1" x14ac:dyDescent="0.15"/>
    <row r="24681" s="69" customFormat="1" x14ac:dyDescent="0.15"/>
    <row r="24682" s="69" customFormat="1" x14ac:dyDescent="0.15"/>
    <row r="24683" s="69" customFormat="1" x14ac:dyDescent="0.15"/>
    <row r="24684" s="69" customFormat="1" x14ac:dyDescent="0.15"/>
    <row r="24685" s="69" customFormat="1" x14ac:dyDescent="0.15"/>
    <row r="24686" s="69" customFormat="1" x14ac:dyDescent="0.15"/>
    <row r="24687" s="69" customFormat="1" x14ac:dyDescent="0.15"/>
    <row r="24688" s="69" customFormat="1" x14ac:dyDescent="0.15"/>
    <row r="24689" s="69" customFormat="1" x14ac:dyDescent="0.15"/>
    <row r="24690" s="69" customFormat="1" x14ac:dyDescent="0.15"/>
    <row r="24691" s="69" customFormat="1" x14ac:dyDescent="0.15"/>
    <row r="24692" s="69" customFormat="1" x14ac:dyDescent="0.15"/>
    <row r="24693" s="69" customFormat="1" x14ac:dyDescent="0.15"/>
    <row r="24694" s="69" customFormat="1" x14ac:dyDescent="0.15"/>
    <row r="24695" s="69" customFormat="1" x14ac:dyDescent="0.15"/>
    <row r="24696" s="69" customFormat="1" x14ac:dyDescent="0.15"/>
    <row r="24697" s="69" customFormat="1" x14ac:dyDescent="0.15"/>
    <row r="24698" s="69" customFormat="1" x14ac:dyDescent="0.15"/>
    <row r="24699" s="69" customFormat="1" x14ac:dyDescent="0.15"/>
    <row r="24700" s="69" customFormat="1" x14ac:dyDescent="0.15"/>
    <row r="24701" s="69" customFormat="1" x14ac:dyDescent="0.15"/>
    <row r="24702" s="69" customFormat="1" x14ac:dyDescent="0.15"/>
    <row r="24703" s="69" customFormat="1" x14ac:dyDescent="0.15"/>
    <row r="24704" s="69" customFormat="1" x14ac:dyDescent="0.15"/>
    <row r="24705" s="69" customFormat="1" x14ac:dyDescent="0.15"/>
    <row r="24706" s="69" customFormat="1" x14ac:dyDescent="0.15"/>
    <row r="24707" s="69" customFormat="1" x14ac:dyDescent="0.15"/>
    <row r="24708" s="69" customFormat="1" x14ac:dyDescent="0.15"/>
    <row r="24709" s="69" customFormat="1" x14ac:dyDescent="0.15"/>
    <row r="24710" s="69" customFormat="1" x14ac:dyDescent="0.15"/>
    <row r="24711" s="69" customFormat="1" x14ac:dyDescent="0.15"/>
    <row r="24712" s="69" customFormat="1" x14ac:dyDescent="0.15"/>
    <row r="24713" s="69" customFormat="1" x14ac:dyDescent="0.15"/>
    <row r="24714" s="69" customFormat="1" x14ac:dyDescent="0.15"/>
    <row r="24715" s="69" customFormat="1" x14ac:dyDescent="0.15"/>
    <row r="24716" s="69" customFormat="1" x14ac:dyDescent="0.15"/>
    <row r="24717" s="69" customFormat="1" x14ac:dyDescent="0.15"/>
    <row r="24718" s="69" customFormat="1" x14ac:dyDescent="0.15"/>
    <row r="24719" s="69" customFormat="1" x14ac:dyDescent="0.15"/>
    <row r="24720" s="69" customFormat="1" x14ac:dyDescent="0.15"/>
    <row r="24721" s="69" customFormat="1" x14ac:dyDescent="0.15"/>
    <row r="24722" s="69" customFormat="1" x14ac:dyDescent="0.15"/>
    <row r="24723" s="69" customFormat="1" x14ac:dyDescent="0.15"/>
    <row r="24724" s="69" customFormat="1" x14ac:dyDescent="0.15"/>
    <row r="24725" s="69" customFormat="1" x14ac:dyDescent="0.15"/>
    <row r="24726" s="69" customFormat="1" x14ac:dyDescent="0.15"/>
    <row r="24727" s="69" customFormat="1" x14ac:dyDescent="0.15"/>
    <row r="24728" s="69" customFormat="1" x14ac:dyDescent="0.15"/>
    <row r="24729" s="69" customFormat="1" x14ac:dyDescent="0.15"/>
    <row r="24730" s="69" customFormat="1" x14ac:dyDescent="0.15"/>
    <row r="24731" s="69" customFormat="1" x14ac:dyDescent="0.15"/>
    <row r="24732" s="69" customFormat="1" x14ac:dyDescent="0.15"/>
    <row r="24733" s="69" customFormat="1" x14ac:dyDescent="0.15"/>
    <row r="24734" s="69" customFormat="1" x14ac:dyDescent="0.15"/>
    <row r="24735" s="69" customFormat="1" x14ac:dyDescent="0.15"/>
    <row r="24736" s="69" customFormat="1" x14ac:dyDescent="0.15"/>
    <row r="24737" s="69" customFormat="1" x14ac:dyDescent="0.15"/>
    <row r="24738" s="69" customFormat="1" x14ac:dyDescent="0.15"/>
    <row r="24739" s="69" customFormat="1" x14ac:dyDescent="0.15"/>
    <row r="24740" s="69" customFormat="1" x14ac:dyDescent="0.15"/>
    <row r="24741" s="69" customFormat="1" x14ac:dyDescent="0.15"/>
    <row r="24742" s="69" customFormat="1" x14ac:dyDescent="0.15"/>
    <row r="24743" s="69" customFormat="1" x14ac:dyDescent="0.15"/>
    <row r="24744" s="69" customFormat="1" x14ac:dyDescent="0.15"/>
    <row r="24745" s="69" customFormat="1" x14ac:dyDescent="0.15"/>
    <row r="24746" s="69" customFormat="1" x14ac:dyDescent="0.15"/>
    <row r="24747" s="69" customFormat="1" x14ac:dyDescent="0.15"/>
    <row r="24748" s="69" customFormat="1" x14ac:dyDescent="0.15"/>
    <row r="24749" s="69" customFormat="1" x14ac:dyDescent="0.15"/>
    <row r="24750" s="69" customFormat="1" x14ac:dyDescent="0.15"/>
    <row r="24751" s="69" customFormat="1" x14ac:dyDescent="0.15"/>
    <row r="24752" s="69" customFormat="1" x14ac:dyDescent="0.15"/>
    <row r="24753" s="69" customFormat="1" x14ac:dyDescent="0.15"/>
    <row r="24754" s="69" customFormat="1" x14ac:dyDescent="0.15"/>
    <row r="24755" s="69" customFormat="1" x14ac:dyDescent="0.15"/>
    <row r="24756" s="69" customFormat="1" x14ac:dyDescent="0.15"/>
    <row r="24757" s="69" customFormat="1" x14ac:dyDescent="0.15"/>
    <row r="24758" s="69" customFormat="1" x14ac:dyDescent="0.15"/>
    <row r="24759" s="69" customFormat="1" x14ac:dyDescent="0.15"/>
    <row r="24760" s="69" customFormat="1" x14ac:dyDescent="0.15"/>
    <row r="24761" s="69" customFormat="1" x14ac:dyDescent="0.15"/>
    <row r="24762" s="69" customFormat="1" x14ac:dyDescent="0.15"/>
    <row r="24763" s="69" customFormat="1" x14ac:dyDescent="0.15"/>
    <row r="24764" s="69" customFormat="1" x14ac:dyDescent="0.15"/>
    <row r="24765" s="69" customFormat="1" x14ac:dyDescent="0.15"/>
    <row r="24766" s="69" customFormat="1" x14ac:dyDescent="0.15"/>
    <row r="24767" s="69" customFormat="1" x14ac:dyDescent="0.15"/>
    <row r="24768" s="69" customFormat="1" x14ac:dyDescent="0.15"/>
    <row r="24769" s="69" customFormat="1" x14ac:dyDescent="0.15"/>
    <row r="24770" s="69" customFormat="1" x14ac:dyDescent="0.15"/>
    <row r="24771" s="69" customFormat="1" x14ac:dyDescent="0.15"/>
    <row r="24772" s="69" customFormat="1" x14ac:dyDescent="0.15"/>
    <row r="24773" s="69" customFormat="1" x14ac:dyDescent="0.15"/>
    <row r="24774" s="69" customFormat="1" x14ac:dyDescent="0.15"/>
    <row r="24775" s="69" customFormat="1" x14ac:dyDescent="0.15"/>
    <row r="24776" s="69" customFormat="1" x14ac:dyDescent="0.15"/>
    <row r="24777" s="69" customFormat="1" x14ac:dyDescent="0.15"/>
    <row r="24778" s="69" customFormat="1" x14ac:dyDescent="0.15"/>
    <row r="24779" s="69" customFormat="1" x14ac:dyDescent="0.15"/>
    <row r="24780" s="69" customFormat="1" x14ac:dyDescent="0.15"/>
    <row r="24781" s="69" customFormat="1" x14ac:dyDescent="0.15"/>
    <row r="24782" s="69" customFormat="1" x14ac:dyDescent="0.15"/>
    <row r="24783" s="69" customFormat="1" x14ac:dyDescent="0.15"/>
    <row r="24784" s="69" customFormat="1" x14ac:dyDescent="0.15"/>
    <row r="24785" s="69" customFormat="1" x14ac:dyDescent="0.15"/>
    <row r="24786" s="69" customFormat="1" x14ac:dyDescent="0.15"/>
    <row r="24787" s="69" customFormat="1" x14ac:dyDescent="0.15"/>
    <row r="24788" s="69" customFormat="1" x14ac:dyDescent="0.15"/>
    <row r="24789" s="69" customFormat="1" x14ac:dyDescent="0.15"/>
    <row r="24790" s="69" customFormat="1" x14ac:dyDescent="0.15"/>
    <row r="24791" s="69" customFormat="1" x14ac:dyDescent="0.15"/>
    <row r="24792" s="69" customFormat="1" x14ac:dyDescent="0.15"/>
    <row r="24793" s="69" customFormat="1" x14ac:dyDescent="0.15"/>
    <row r="24794" s="69" customFormat="1" x14ac:dyDescent="0.15"/>
    <row r="24795" s="69" customFormat="1" x14ac:dyDescent="0.15"/>
    <row r="24796" s="69" customFormat="1" x14ac:dyDescent="0.15"/>
    <row r="24797" s="69" customFormat="1" x14ac:dyDescent="0.15"/>
    <row r="24798" s="69" customFormat="1" x14ac:dyDescent="0.15"/>
    <row r="24799" s="69" customFormat="1" x14ac:dyDescent="0.15"/>
    <row r="24800" s="69" customFormat="1" x14ac:dyDescent="0.15"/>
    <row r="24801" s="69" customFormat="1" x14ac:dyDescent="0.15"/>
    <row r="24802" s="69" customFormat="1" x14ac:dyDescent="0.15"/>
    <row r="24803" s="69" customFormat="1" x14ac:dyDescent="0.15"/>
    <row r="24804" s="69" customFormat="1" x14ac:dyDescent="0.15"/>
    <row r="24805" s="69" customFormat="1" x14ac:dyDescent="0.15"/>
    <row r="24806" s="69" customFormat="1" x14ac:dyDescent="0.15"/>
    <row r="24807" s="69" customFormat="1" x14ac:dyDescent="0.15"/>
    <row r="24808" s="69" customFormat="1" x14ac:dyDescent="0.15"/>
    <row r="24809" s="69" customFormat="1" x14ac:dyDescent="0.15"/>
    <row r="24810" s="69" customFormat="1" x14ac:dyDescent="0.15"/>
    <row r="24811" s="69" customFormat="1" x14ac:dyDescent="0.15"/>
    <row r="24812" s="69" customFormat="1" x14ac:dyDescent="0.15"/>
    <row r="24813" s="69" customFormat="1" x14ac:dyDescent="0.15"/>
    <row r="24814" s="69" customFormat="1" x14ac:dyDescent="0.15"/>
    <row r="24815" s="69" customFormat="1" x14ac:dyDescent="0.15"/>
    <row r="24816" s="69" customFormat="1" x14ac:dyDescent="0.15"/>
    <row r="24817" s="69" customFormat="1" x14ac:dyDescent="0.15"/>
    <row r="24818" s="69" customFormat="1" x14ac:dyDescent="0.15"/>
    <row r="24819" s="69" customFormat="1" x14ac:dyDescent="0.15"/>
    <row r="24820" s="69" customFormat="1" x14ac:dyDescent="0.15"/>
    <row r="24821" s="69" customFormat="1" x14ac:dyDescent="0.15"/>
    <row r="24822" s="69" customFormat="1" x14ac:dyDescent="0.15"/>
    <row r="24823" s="69" customFormat="1" x14ac:dyDescent="0.15"/>
    <row r="24824" s="69" customFormat="1" x14ac:dyDescent="0.15"/>
    <row r="24825" s="69" customFormat="1" x14ac:dyDescent="0.15"/>
    <row r="24826" s="69" customFormat="1" x14ac:dyDescent="0.15"/>
    <row r="24827" s="69" customFormat="1" x14ac:dyDescent="0.15"/>
    <row r="24828" s="69" customFormat="1" x14ac:dyDescent="0.15"/>
    <row r="24829" s="69" customFormat="1" x14ac:dyDescent="0.15"/>
    <row r="24830" s="69" customFormat="1" x14ac:dyDescent="0.15"/>
    <row r="24831" s="69" customFormat="1" x14ac:dyDescent="0.15"/>
    <row r="24832" s="69" customFormat="1" x14ac:dyDescent="0.15"/>
    <row r="24833" s="69" customFormat="1" x14ac:dyDescent="0.15"/>
    <row r="24834" s="69" customFormat="1" x14ac:dyDescent="0.15"/>
    <row r="24835" s="69" customFormat="1" x14ac:dyDescent="0.15"/>
    <row r="24836" s="69" customFormat="1" x14ac:dyDescent="0.15"/>
    <row r="24837" s="69" customFormat="1" x14ac:dyDescent="0.15"/>
    <row r="24838" s="69" customFormat="1" x14ac:dyDescent="0.15"/>
    <row r="24839" s="69" customFormat="1" x14ac:dyDescent="0.15"/>
    <row r="24840" s="69" customFormat="1" x14ac:dyDescent="0.15"/>
    <row r="24841" s="69" customFormat="1" x14ac:dyDescent="0.15"/>
    <row r="24842" s="69" customFormat="1" x14ac:dyDescent="0.15"/>
    <row r="24843" s="69" customFormat="1" x14ac:dyDescent="0.15"/>
    <row r="24844" s="69" customFormat="1" x14ac:dyDescent="0.15"/>
    <row r="24845" s="69" customFormat="1" x14ac:dyDescent="0.15"/>
    <row r="24846" s="69" customFormat="1" x14ac:dyDescent="0.15"/>
    <row r="24847" s="69" customFormat="1" x14ac:dyDescent="0.15"/>
    <row r="24848" s="69" customFormat="1" x14ac:dyDescent="0.15"/>
    <row r="24849" s="69" customFormat="1" x14ac:dyDescent="0.15"/>
    <row r="24850" s="69" customFormat="1" x14ac:dyDescent="0.15"/>
    <row r="24851" s="69" customFormat="1" x14ac:dyDescent="0.15"/>
    <row r="24852" s="69" customFormat="1" x14ac:dyDescent="0.15"/>
    <row r="24853" s="69" customFormat="1" x14ac:dyDescent="0.15"/>
    <row r="24854" s="69" customFormat="1" x14ac:dyDescent="0.15"/>
    <row r="24855" s="69" customFormat="1" x14ac:dyDescent="0.15"/>
    <row r="24856" s="69" customFormat="1" x14ac:dyDescent="0.15"/>
    <row r="24857" s="69" customFormat="1" x14ac:dyDescent="0.15"/>
    <row r="24858" s="69" customFormat="1" x14ac:dyDescent="0.15"/>
    <row r="24859" s="69" customFormat="1" x14ac:dyDescent="0.15"/>
    <row r="24860" s="69" customFormat="1" x14ac:dyDescent="0.15"/>
    <row r="24861" s="69" customFormat="1" x14ac:dyDescent="0.15"/>
    <row r="24862" s="69" customFormat="1" x14ac:dyDescent="0.15"/>
    <row r="24863" s="69" customFormat="1" x14ac:dyDescent="0.15"/>
    <row r="24864" s="69" customFormat="1" x14ac:dyDescent="0.15"/>
    <row r="24865" s="69" customFormat="1" x14ac:dyDescent="0.15"/>
    <row r="24866" s="69" customFormat="1" x14ac:dyDescent="0.15"/>
    <row r="24867" s="69" customFormat="1" x14ac:dyDescent="0.15"/>
    <row r="24868" s="69" customFormat="1" x14ac:dyDescent="0.15"/>
    <row r="24869" s="69" customFormat="1" x14ac:dyDescent="0.15"/>
    <row r="24870" s="69" customFormat="1" x14ac:dyDescent="0.15"/>
    <row r="24871" s="69" customFormat="1" x14ac:dyDescent="0.15"/>
    <row r="24872" s="69" customFormat="1" x14ac:dyDescent="0.15"/>
    <row r="24873" s="69" customFormat="1" x14ac:dyDescent="0.15"/>
    <row r="24874" s="69" customFormat="1" x14ac:dyDescent="0.15"/>
    <row r="24875" s="69" customFormat="1" x14ac:dyDescent="0.15"/>
    <row r="24876" s="69" customFormat="1" x14ac:dyDescent="0.15"/>
    <row r="24877" s="69" customFormat="1" x14ac:dyDescent="0.15"/>
    <row r="24878" s="69" customFormat="1" x14ac:dyDescent="0.15"/>
    <row r="24879" s="69" customFormat="1" x14ac:dyDescent="0.15"/>
    <row r="24880" s="69" customFormat="1" x14ac:dyDescent="0.15"/>
    <row r="24881" s="69" customFormat="1" x14ac:dyDescent="0.15"/>
    <row r="24882" s="69" customFormat="1" x14ac:dyDescent="0.15"/>
    <row r="24883" s="69" customFormat="1" x14ac:dyDescent="0.15"/>
    <row r="24884" s="69" customFormat="1" x14ac:dyDescent="0.15"/>
    <row r="24885" s="69" customFormat="1" x14ac:dyDescent="0.15"/>
    <row r="24886" s="69" customFormat="1" x14ac:dyDescent="0.15"/>
    <row r="24887" s="69" customFormat="1" x14ac:dyDescent="0.15"/>
    <row r="24888" s="69" customFormat="1" x14ac:dyDescent="0.15"/>
    <row r="24889" s="69" customFormat="1" x14ac:dyDescent="0.15"/>
    <row r="24890" s="69" customFormat="1" x14ac:dyDescent="0.15"/>
    <row r="24891" s="69" customFormat="1" x14ac:dyDescent="0.15"/>
    <row r="24892" s="69" customFormat="1" x14ac:dyDescent="0.15"/>
    <row r="24893" s="69" customFormat="1" x14ac:dyDescent="0.15"/>
    <row r="24894" s="69" customFormat="1" x14ac:dyDescent="0.15"/>
    <row r="24895" s="69" customFormat="1" x14ac:dyDescent="0.15"/>
    <row r="24896" s="69" customFormat="1" x14ac:dyDescent="0.15"/>
    <row r="24897" s="69" customFormat="1" x14ac:dyDescent="0.15"/>
    <row r="24898" s="69" customFormat="1" x14ac:dyDescent="0.15"/>
    <row r="24899" s="69" customFormat="1" x14ac:dyDescent="0.15"/>
    <row r="24900" s="69" customFormat="1" x14ac:dyDescent="0.15"/>
    <row r="24901" s="69" customFormat="1" x14ac:dyDescent="0.15"/>
    <row r="24902" s="69" customFormat="1" x14ac:dyDescent="0.15"/>
    <row r="24903" s="69" customFormat="1" x14ac:dyDescent="0.15"/>
    <row r="24904" s="69" customFormat="1" x14ac:dyDescent="0.15"/>
    <row r="24905" s="69" customFormat="1" x14ac:dyDescent="0.15"/>
    <row r="24906" s="69" customFormat="1" x14ac:dyDescent="0.15"/>
    <row r="24907" s="69" customFormat="1" x14ac:dyDescent="0.15"/>
    <row r="24908" s="69" customFormat="1" x14ac:dyDescent="0.15"/>
    <row r="24909" s="69" customFormat="1" x14ac:dyDescent="0.15"/>
    <row r="24910" s="69" customFormat="1" x14ac:dyDescent="0.15"/>
    <row r="24911" s="69" customFormat="1" x14ac:dyDescent="0.15"/>
    <row r="24912" s="69" customFormat="1" x14ac:dyDescent="0.15"/>
    <row r="24913" s="69" customFormat="1" x14ac:dyDescent="0.15"/>
    <row r="24914" s="69" customFormat="1" x14ac:dyDescent="0.15"/>
    <row r="24915" s="69" customFormat="1" x14ac:dyDescent="0.15"/>
    <row r="24916" s="69" customFormat="1" x14ac:dyDescent="0.15"/>
    <row r="24917" s="69" customFormat="1" x14ac:dyDescent="0.15"/>
    <row r="24918" s="69" customFormat="1" x14ac:dyDescent="0.15"/>
    <row r="24919" s="69" customFormat="1" x14ac:dyDescent="0.15"/>
    <row r="24920" s="69" customFormat="1" x14ac:dyDescent="0.15"/>
    <row r="24921" s="69" customFormat="1" x14ac:dyDescent="0.15"/>
    <row r="24922" s="69" customFormat="1" x14ac:dyDescent="0.15"/>
    <row r="24923" s="69" customFormat="1" x14ac:dyDescent="0.15"/>
    <row r="24924" s="69" customFormat="1" x14ac:dyDescent="0.15"/>
    <row r="24925" s="69" customFormat="1" x14ac:dyDescent="0.15"/>
    <row r="24926" s="69" customFormat="1" x14ac:dyDescent="0.15"/>
    <row r="24927" s="69" customFormat="1" x14ac:dyDescent="0.15"/>
    <row r="24928" s="69" customFormat="1" x14ac:dyDescent="0.15"/>
    <row r="24929" s="69" customFormat="1" x14ac:dyDescent="0.15"/>
    <row r="24930" s="69" customFormat="1" x14ac:dyDescent="0.15"/>
    <row r="24931" s="69" customFormat="1" x14ac:dyDescent="0.15"/>
    <row r="24932" s="69" customFormat="1" x14ac:dyDescent="0.15"/>
    <row r="24933" s="69" customFormat="1" x14ac:dyDescent="0.15"/>
    <row r="24934" s="69" customFormat="1" x14ac:dyDescent="0.15"/>
    <row r="24935" s="69" customFormat="1" x14ac:dyDescent="0.15"/>
    <row r="24936" s="69" customFormat="1" x14ac:dyDescent="0.15"/>
    <row r="24937" s="69" customFormat="1" x14ac:dyDescent="0.15"/>
    <row r="24938" s="69" customFormat="1" x14ac:dyDescent="0.15"/>
    <row r="24939" s="69" customFormat="1" x14ac:dyDescent="0.15"/>
    <row r="24940" s="69" customFormat="1" x14ac:dyDescent="0.15"/>
    <row r="24941" s="69" customFormat="1" x14ac:dyDescent="0.15"/>
    <row r="24942" s="69" customFormat="1" x14ac:dyDescent="0.15"/>
    <row r="24943" s="69" customFormat="1" x14ac:dyDescent="0.15"/>
    <row r="24944" s="69" customFormat="1" x14ac:dyDescent="0.15"/>
    <row r="24945" s="69" customFormat="1" x14ac:dyDescent="0.15"/>
    <row r="24946" s="69" customFormat="1" x14ac:dyDescent="0.15"/>
    <row r="24947" s="69" customFormat="1" x14ac:dyDescent="0.15"/>
    <row r="24948" s="69" customFormat="1" x14ac:dyDescent="0.15"/>
    <row r="24949" s="69" customFormat="1" x14ac:dyDescent="0.15"/>
    <row r="24950" s="69" customFormat="1" x14ac:dyDescent="0.15"/>
    <row r="24951" s="69" customFormat="1" x14ac:dyDescent="0.15"/>
    <row r="24952" s="69" customFormat="1" x14ac:dyDescent="0.15"/>
    <row r="24953" s="69" customFormat="1" x14ac:dyDescent="0.15"/>
    <row r="24954" s="69" customFormat="1" x14ac:dyDescent="0.15"/>
    <row r="24955" s="69" customFormat="1" x14ac:dyDescent="0.15"/>
    <row r="24956" s="69" customFormat="1" x14ac:dyDescent="0.15"/>
    <row r="24957" s="69" customFormat="1" x14ac:dyDescent="0.15"/>
    <row r="24958" s="69" customFormat="1" x14ac:dyDescent="0.15"/>
    <row r="24959" s="69" customFormat="1" x14ac:dyDescent="0.15"/>
    <row r="24960" s="69" customFormat="1" x14ac:dyDescent="0.15"/>
    <row r="24961" s="69" customFormat="1" x14ac:dyDescent="0.15"/>
    <row r="24962" s="69" customFormat="1" x14ac:dyDescent="0.15"/>
    <row r="24963" s="69" customFormat="1" x14ac:dyDescent="0.15"/>
    <row r="24964" s="69" customFormat="1" x14ac:dyDescent="0.15"/>
    <row r="24965" s="69" customFormat="1" x14ac:dyDescent="0.15"/>
    <row r="24966" s="69" customFormat="1" x14ac:dyDescent="0.15"/>
    <row r="24967" s="69" customFormat="1" x14ac:dyDescent="0.15"/>
    <row r="24968" s="69" customFormat="1" x14ac:dyDescent="0.15"/>
    <row r="24969" s="69" customFormat="1" x14ac:dyDescent="0.15"/>
    <row r="24970" s="69" customFormat="1" x14ac:dyDescent="0.15"/>
    <row r="24971" s="69" customFormat="1" x14ac:dyDescent="0.15"/>
    <row r="24972" s="69" customFormat="1" x14ac:dyDescent="0.15"/>
    <row r="24973" s="69" customFormat="1" x14ac:dyDescent="0.15"/>
    <row r="24974" s="69" customFormat="1" x14ac:dyDescent="0.15"/>
    <row r="24975" s="69" customFormat="1" x14ac:dyDescent="0.15"/>
    <row r="24976" s="69" customFormat="1" x14ac:dyDescent="0.15"/>
    <row r="24977" s="69" customFormat="1" x14ac:dyDescent="0.15"/>
    <row r="24978" s="69" customFormat="1" x14ac:dyDescent="0.15"/>
    <row r="24979" s="69" customFormat="1" x14ac:dyDescent="0.15"/>
    <row r="24980" s="69" customFormat="1" x14ac:dyDescent="0.15"/>
    <row r="24981" s="69" customFormat="1" x14ac:dyDescent="0.15"/>
    <row r="24982" s="69" customFormat="1" x14ac:dyDescent="0.15"/>
    <row r="24983" s="69" customFormat="1" x14ac:dyDescent="0.15"/>
    <row r="24984" s="69" customFormat="1" x14ac:dyDescent="0.15"/>
    <row r="24985" s="69" customFormat="1" x14ac:dyDescent="0.15"/>
    <row r="24986" s="69" customFormat="1" x14ac:dyDescent="0.15"/>
    <row r="24987" s="69" customFormat="1" x14ac:dyDescent="0.15"/>
    <row r="24988" s="69" customFormat="1" x14ac:dyDescent="0.15"/>
    <row r="24989" s="69" customFormat="1" x14ac:dyDescent="0.15"/>
    <row r="24990" s="69" customFormat="1" x14ac:dyDescent="0.15"/>
    <row r="24991" s="69" customFormat="1" x14ac:dyDescent="0.15"/>
    <row r="24992" s="69" customFormat="1" x14ac:dyDescent="0.15"/>
    <row r="24993" s="69" customFormat="1" x14ac:dyDescent="0.15"/>
    <row r="24994" s="69" customFormat="1" x14ac:dyDescent="0.15"/>
    <row r="24995" s="69" customFormat="1" x14ac:dyDescent="0.15"/>
    <row r="24996" s="69" customFormat="1" x14ac:dyDescent="0.15"/>
    <row r="24997" s="69" customFormat="1" x14ac:dyDescent="0.15"/>
    <row r="24998" s="69" customFormat="1" x14ac:dyDescent="0.15"/>
    <row r="24999" s="69" customFormat="1" x14ac:dyDescent="0.15"/>
    <row r="25000" s="69" customFormat="1" x14ac:dyDescent="0.15"/>
    <row r="25001" s="69" customFormat="1" x14ac:dyDescent="0.15"/>
    <row r="25002" s="69" customFormat="1" x14ac:dyDescent="0.15"/>
    <row r="25003" s="69" customFormat="1" x14ac:dyDescent="0.15"/>
    <row r="25004" s="69" customFormat="1" x14ac:dyDescent="0.15"/>
    <row r="25005" s="69" customFormat="1" x14ac:dyDescent="0.15"/>
    <row r="25006" s="69" customFormat="1" x14ac:dyDescent="0.15"/>
    <row r="25007" s="69" customFormat="1" x14ac:dyDescent="0.15"/>
    <row r="25008" s="69" customFormat="1" x14ac:dyDescent="0.15"/>
    <row r="25009" s="69" customFormat="1" x14ac:dyDescent="0.15"/>
    <row r="25010" s="69" customFormat="1" x14ac:dyDescent="0.15"/>
    <row r="25011" s="69" customFormat="1" x14ac:dyDescent="0.15"/>
    <row r="25012" s="69" customFormat="1" x14ac:dyDescent="0.15"/>
    <row r="25013" s="69" customFormat="1" x14ac:dyDescent="0.15"/>
    <row r="25014" s="69" customFormat="1" x14ac:dyDescent="0.15"/>
    <row r="25015" s="69" customFormat="1" x14ac:dyDescent="0.15"/>
    <row r="25016" s="69" customFormat="1" x14ac:dyDescent="0.15"/>
    <row r="25017" s="69" customFormat="1" x14ac:dyDescent="0.15"/>
    <row r="25018" s="69" customFormat="1" x14ac:dyDescent="0.15"/>
    <row r="25019" s="69" customFormat="1" x14ac:dyDescent="0.15"/>
    <row r="25020" s="69" customFormat="1" x14ac:dyDescent="0.15"/>
    <row r="25021" s="69" customFormat="1" x14ac:dyDescent="0.15"/>
    <row r="25022" s="69" customFormat="1" x14ac:dyDescent="0.15"/>
    <row r="25023" s="69" customFormat="1" x14ac:dyDescent="0.15"/>
    <row r="25024" s="69" customFormat="1" x14ac:dyDescent="0.15"/>
    <row r="25025" s="69" customFormat="1" x14ac:dyDescent="0.15"/>
    <row r="25026" s="69" customFormat="1" x14ac:dyDescent="0.15"/>
    <row r="25027" s="69" customFormat="1" x14ac:dyDescent="0.15"/>
    <row r="25028" s="69" customFormat="1" x14ac:dyDescent="0.15"/>
    <row r="25029" s="69" customFormat="1" x14ac:dyDescent="0.15"/>
    <row r="25030" s="69" customFormat="1" x14ac:dyDescent="0.15"/>
    <row r="25031" s="69" customFormat="1" x14ac:dyDescent="0.15"/>
    <row r="25032" s="69" customFormat="1" x14ac:dyDescent="0.15"/>
    <row r="25033" s="69" customFormat="1" x14ac:dyDescent="0.15"/>
    <row r="25034" s="69" customFormat="1" x14ac:dyDescent="0.15"/>
    <row r="25035" s="69" customFormat="1" x14ac:dyDescent="0.15"/>
    <row r="25036" s="69" customFormat="1" x14ac:dyDescent="0.15"/>
    <row r="25037" s="69" customFormat="1" x14ac:dyDescent="0.15"/>
    <row r="25038" s="69" customFormat="1" x14ac:dyDescent="0.15"/>
    <row r="25039" s="69" customFormat="1" x14ac:dyDescent="0.15"/>
    <row r="25040" s="69" customFormat="1" x14ac:dyDescent="0.15"/>
    <row r="25041" s="69" customFormat="1" x14ac:dyDescent="0.15"/>
    <row r="25042" s="69" customFormat="1" x14ac:dyDescent="0.15"/>
    <row r="25043" s="69" customFormat="1" x14ac:dyDescent="0.15"/>
    <row r="25044" s="69" customFormat="1" x14ac:dyDescent="0.15"/>
    <row r="25045" s="69" customFormat="1" x14ac:dyDescent="0.15"/>
    <row r="25046" s="69" customFormat="1" x14ac:dyDescent="0.15"/>
    <row r="25047" s="69" customFormat="1" x14ac:dyDescent="0.15"/>
    <row r="25048" s="69" customFormat="1" x14ac:dyDescent="0.15"/>
    <row r="25049" s="69" customFormat="1" x14ac:dyDescent="0.15"/>
    <row r="25050" s="69" customFormat="1" x14ac:dyDescent="0.15"/>
    <row r="25051" s="69" customFormat="1" x14ac:dyDescent="0.15"/>
    <row r="25052" s="69" customFormat="1" x14ac:dyDescent="0.15"/>
    <row r="25053" s="69" customFormat="1" x14ac:dyDescent="0.15"/>
    <row r="25054" s="69" customFormat="1" x14ac:dyDescent="0.15"/>
    <row r="25055" s="69" customFormat="1" x14ac:dyDescent="0.15"/>
    <row r="25056" s="69" customFormat="1" x14ac:dyDescent="0.15"/>
    <row r="25057" s="69" customFormat="1" x14ac:dyDescent="0.15"/>
    <row r="25058" s="69" customFormat="1" x14ac:dyDescent="0.15"/>
    <row r="25059" s="69" customFormat="1" x14ac:dyDescent="0.15"/>
    <row r="25060" s="69" customFormat="1" x14ac:dyDescent="0.15"/>
    <row r="25061" s="69" customFormat="1" x14ac:dyDescent="0.15"/>
    <row r="25062" s="69" customFormat="1" x14ac:dyDescent="0.15"/>
    <row r="25063" s="69" customFormat="1" x14ac:dyDescent="0.15"/>
    <row r="25064" s="69" customFormat="1" x14ac:dyDescent="0.15"/>
    <row r="25065" s="69" customFormat="1" x14ac:dyDescent="0.15"/>
    <row r="25066" s="69" customFormat="1" x14ac:dyDescent="0.15"/>
    <row r="25067" s="69" customFormat="1" x14ac:dyDescent="0.15"/>
    <row r="25068" s="69" customFormat="1" x14ac:dyDescent="0.15"/>
    <row r="25069" s="69" customFormat="1" x14ac:dyDescent="0.15"/>
    <row r="25070" s="69" customFormat="1" x14ac:dyDescent="0.15"/>
    <row r="25071" s="69" customFormat="1" x14ac:dyDescent="0.15"/>
    <row r="25072" s="69" customFormat="1" x14ac:dyDescent="0.15"/>
    <row r="25073" s="69" customFormat="1" x14ac:dyDescent="0.15"/>
    <row r="25074" s="69" customFormat="1" x14ac:dyDescent="0.15"/>
    <row r="25075" s="69" customFormat="1" x14ac:dyDescent="0.15"/>
    <row r="25076" s="69" customFormat="1" x14ac:dyDescent="0.15"/>
    <row r="25077" s="69" customFormat="1" x14ac:dyDescent="0.15"/>
    <row r="25078" s="69" customFormat="1" x14ac:dyDescent="0.15"/>
    <row r="25079" s="69" customFormat="1" x14ac:dyDescent="0.15"/>
    <row r="25080" s="69" customFormat="1" x14ac:dyDescent="0.15"/>
    <row r="25081" s="69" customFormat="1" x14ac:dyDescent="0.15"/>
    <row r="25082" s="69" customFormat="1" x14ac:dyDescent="0.15"/>
    <row r="25083" s="69" customFormat="1" x14ac:dyDescent="0.15"/>
    <row r="25084" s="69" customFormat="1" x14ac:dyDescent="0.15"/>
    <row r="25085" s="69" customFormat="1" x14ac:dyDescent="0.15"/>
    <row r="25086" s="69" customFormat="1" x14ac:dyDescent="0.15"/>
    <row r="25087" s="69" customFormat="1" x14ac:dyDescent="0.15"/>
    <row r="25088" s="69" customFormat="1" x14ac:dyDescent="0.15"/>
    <row r="25089" s="69" customFormat="1" x14ac:dyDescent="0.15"/>
    <row r="25090" s="69" customFormat="1" x14ac:dyDescent="0.15"/>
    <row r="25091" s="69" customFormat="1" x14ac:dyDescent="0.15"/>
    <row r="25092" s="69" customFormat="1" x14ac:dyDescent="0.15"/>
    <row r="25093" s="69" customFormat="1" x14ac:dyDescent="0.15"/>
    <row r="25094" s="69" customFormat="1" x14ac:dyDescent="0.15"/>
    <row r="25095" s="69" customFormat="1" x14ac:dyDescent="0.15"/>
    <row r="25096" s="69" customFormat="1" x14ac:dyDescent="0.15"/>
    <row r="25097" s="69" customFormat="1" x14ac:dyDescent="0.15"/>
    <row r="25098" s="69" customFormat="1" x14ac:dyDescent="0.15"/>
    <row r="25099" s="69" customFormat="1" x14ac:dyDescent="0.15"/>
    <row r="25100" s="69" customFormat="1" x14ac:dyDescent="0.15"/>
    <row r="25101" s="69" customFormat="1" x14ac:dyDescent="0.15"/>
    <row r="25102" s="69" customFormat="1" x14ac:dyDescent="0.15"/>
    <row r="25103" s="69" customFormat="1" x14ac:dyDescent="0.15"/>
    <row r="25104" s="69" customFormat="1" x14ac:dyDescent="0.15"/>
    <row r="25105" s="69" customFormat="1" x14ac:dyDescent="0.15"/>
    <row r="25106" s="69" customFormat="1" x14ac:dyDescent="0.15"/>
    <row r="25107" s="69" customFormat="1" x14ac:dyDescent="0.15"/>
    <row r="25108" s="69" customFormat="1" x14ac:dyDescent="0.15"/>
    <row r="25109" s="69" customFormat="1" x14ac:dyDescent="0.15"/>
    <row r="25110" s="69" customFormat="1" x14ac:dyDescent="0.15"/>
    <row r="25111" s="69" customFormat="1" x14ac:dyDescent="0.15"/>
    <row r="25112" s="69" customFormat="1" x14ac:dyDescent="0.15"/>
    <row r="25113" s="69" customFormat="1" x14ac:dyDescent="0.15"/>
    <row r="25114" s="69" customFormat="1" x14ac:dyDescent="0.15"/>
    <row r="25115" s="69" customFormat="1" x14ac:dyDescent="0.15"/>
    <row r="25116" s="69" customFormat="1" x14ac:dyDescent="0.15"/>
    <row r="25117" s="69" customFormat="1" x14ac:dyDescent="0.15"/>
    <row r="25118" s="69" customFormat="1" x14ac:dyDescent="0.15"/>
    <row r="25119" s="69" customFormat="1" x14ac:dyDescent="0.15"/>
    <row r="25120" s="69" customFormat="1" x14ac:dyDescent="0.15"/>
    <row r="25121" s="69" customFormat="1" x14ac:dyDescent="0.15"/>
    <row r="25122" s="69" customFormat="1" x14ac:dyDescent="0.15"/>
    <row r="25123" s="69" customFormat="1" x14ac:dyDescent="0.15"/>
    <row r="25124" s="69" customFormat="1" x14ac:dyDescent="0.15"/>
    <row r="25125" s="69" customFormat="1" x14ac:dyDescent="0.15"/>
    <row r="25126" s="69" customFormat="1" x14ac:dyDescent="0.15"/>
    <row r="25127" s="69" customFormat="1" x14ac:dyDescent="0.15"/>
    <row r="25128" s="69" customFormat="1" x14ac:dyDescent="0.15"/>
    <row r="25129" s="69" customFormat="1" x14ac:dyDescent="0.15"/>
    <row r="25130" s="69" customFormat="1" x14ac:dyDescent="0.15"/>
    <row r="25131" s="69" customFormat="1" x14ac:dyDescent="0.15"/>
    <row r="25132" s="69" customFormat="1" x14ac:dyDescent="0.15"/>
    <row r="25133" s="69" customFormat="1" x14ac:dyDescent="0.15"/>
    <row r="25134" s="69" customFormat="1" x14ac:dyDescent="0.15"/>
    <row r="25135" s="69" customFormat="1" x14ac:dyDescent="0.15"/>
    <row r="25136" s="69" customFormat="1" x14ac:dyDescent="0.15"/>
    <row r="25137" s="69" customFormat="1" x14ac:dyDescent="0.15"/>
    <row r="25138" s="69" customFormat="1" x14ac:dyDescent="0.15"/>
    <row r="25139" s="69" customFormat="1" x14ac:dyDescent="0.15"/>
    <row r="25140" s="69" customFormat="1" x14ac:dyDescent="0.15"/>
    <row r="25141" s="69" customFormat="1" x14ac:dyDescent="0.15"/>
    <row r="25142" s="69" customFormat="1" x14ac:dyDescent="0.15"/>
    <row r="25143" s="69" customFormat="1" x14ac:dyDescent="0.15"/>
    <row r="25144" s="69" customFormat="1" x14ac:dyDescent="0.15"/>
    <row r="25145" s="69" customFormat="1" x14ac:dyDescent="0.15"/>
    <row r="25146" s="69" customFormat="1" x14ac:dyDescent="0.15"/>
    <row r="25147" s="69" customFormat="1" x14ac:dyDescent="0.15"/>
    <row r="25148" s="69" customFormat="1" x14ac:dyDescent="0.15"/>
    <row r="25149" s="69" customFormat="1" x14ac:dyDescent="0.15"/>
    <row r="25150" s="69" customFormat="1" x14ac:dyDescent="0.15"/>
    <row r="25151" s="69" customFormat="1" x14ac:dyDescent="0.15"/>
    <row r="25152" s="69" customFormat="1" x14ac:dyDescent="0.15"/>
    <row r="25153" s="69" customFormat="1" x14ac:dyDescent="0.15"/>
    <row r="25154" s="69" customFormat="1" x14ac:dyDescent="0.15"/>
    <row r="25155" s="69" customFormat="1" x14ac:dyDescent="0.15"/>
    <row r="25156" s="69" customFormat="1" x14ac:dyDescent="0.15"/>
    <row r="25157" s="69" customFormat="1" x14ac:dyDescent="0.15"/>
    <row r="25158" s="69" customFormat="1" x14ac:dyDescent="0.15"/>
    <row r="25159" s="69" customFormat="1" x14ac:dyDescent="0.15"/>
    <row r="25160" s="69" customFormat="1" x14ac:dyDescent="0.15"/>
    <row r="25161" s="69" customFormat="1" x14ac:dyDescent="0.15"/>
    <row r="25162" s="69" customFormat="1" x14ac:dyDescent="0.15"/>
    <row r="25163" s="69" customFormat="1" x14ac:dyDescent="0.15"/>
    <row r="25164" s="69" customFormat="1" x14ac:dyDescent="0.15"/>
    <row r="25165" s="69" customFormat="1" x14ac:dyDescent="0.15"/>
    <row r="25166" s="69" customFormat="1" x14ac:dyDescent="0.15"/>
    <row r="25167" s="69" customFormat="1" x14ac:dyDescent="0.15"/>
    <row r="25168" s="69" customFormat="1" x14ac:dyDescent="0.15"/>
    <row r="25169" s="69" customFormat="1" x14ac:dyDescent="0.15"/>
    <row r="25170" s="69" customFormat="1" x14ac:dyDescent="0.15"/>
    <row r="25171" s="69" customFormat="1" x14ac:dyDescent="0.15"/>
    <row r="25172" s="69" customFormat="1" x14ac:dyDescent="0.15"/>
    <row r="25173" s="69" customFormat="1" x14ac:dyDescent="0.15"/>
    <row r="25174" s="69" customFormat="1" x14ac:dyDescent="0.15"/>
    <row r="25175" s="69" customFormat="1" x14ac:dyDescent="0.15"/>
    <row r="25176" s="69" customFormat="1" x14ac:dyDescent="0.15"/>
    <row r="25177" s="69" customFormat="1" x14ac:dyDescent="0.15"/>
    <row r="25178" s="69" customFormat="1" x14ac:dyDescent="0.15"/>
    <row r="25179" s="69" customFormat="1" x14ac:dyDescent="0.15"/>
    <row r="25180" s="69" customFormat="1" x14ac:dyDescent="0.15"/>
    <row r="25181" s="69" customFormat="1" x14ac:dyDescent="0.15"/>
    <row r="25182" s="69" customFormat="1" x14ac:dyDescent="0.15"/>
    <row r="25183" s="69" customFormat="1" x14ac:dyDescent="0.15"/>
    <row r="25184" s="69" customFormat="1" x14ac:dyDescent="0.15"/>
    <row r="25185" s="69" customFormat="1" x14ac:dyDescent="0.15"/>
    <row r="25186" s="69" customFormat="1" x14ac:dyDescent="0.15"/>
    <row r="25187" s="69" customFormat="1" x14ac:dyDescent="0.15"/>
    <row r="25188" s="69" customFormat="1" x14ac:dyDescent="0.15"/>
    <row r="25189" s="69" customFormat="1" x14ac:dyDescent="0.15"/>
    <row r="25190" s="69" customFormat="1" x14ac:dyDescent="0.15"/>
    <row r="25191" s="69" customFormat="1" x14ac:dyDescent="0.15"/>
    <row r="25192" s="69" customFormat="1" x14ac:dyDescent="0.15"/>
    <row r="25193" s="69" customFormat="1" x14ac:dyDescent="0.15"/>
    <row r="25194" s="69" customFormat="1" x14ac:dyDescent="0.15"/>
    <row r="25195" s="69" customFormat="1" x14ac:dyDescent="0.15"/>
    <row r="25196" s="69" customFormat="1" x14ac:dyDescent="0.15"/>
    <row r="25197" s="69" customFormat="1" x14ac:dyDescent="0.15"/>
    <row r="25198" s="69" customFormat="1" x14ac:dyDescent="0.15"/>
    <row r="25199" s="69" customFormat="1" x14ac:dyDescent="0.15"/>
    <row r="25200" s="69" customFormat="1" x14ac:dyDescent="0.15"/>
    <row r="25201" s="69" customFormat="1" x14ac:dyDescent="0.15"/>
    <row r="25202" s="69" customFormat="1" x14ac:dyDescent="0.15"/>
    <row r="25203" s="69" customFormat="1" x14ac:dyDescent="0.15"/>
    <row r="25204" s="69" customFormat="1" x14ac:dyDescent="0.15"/>
    <row r="25205" s="69" customFormat="1" x14ac:dyDescent="0.15"/>
    <row r="25206" s="69" customFormat="1" x14ac:dyDescent="0.15"/>
    <row r="25207" s="69" customFormat="1" x14ac:dyDescent="0.15"/>
    <row r="25208" s="69" customFormat="1" x14ac:dyDescent="0.15"/>
    <row r="25209" s="69" customFormat="1" x14ac:dyDescent="0.15"/>
    <row r="25210" s="69" customFormat="1" x14ac:dyDescent="0.15"/>
    <row r="25211" s="69" customFormat="1" x14ac:dyDescent="0.15"/>
    <row r="25212" s="69" customFormat="1" x14ac:dyDescent="0.15"/>
    <row r="25213" s="69" customFormat="1" x14ac:dyDescent="0.15"/>
    <row r="25214" s="69" customFormat="1" x14ac:dyDescent="0.15"/>
    <row r="25215" s="69" customFormat="1" x14ac:dyDescent="0.15"/>
    <row r="25216" s="69" customFormat="1" x14ac:dyDescent="0.15"/>
    <row r="25217" s="69" customFormat="1" x14ac:dyDescent="0.15"/>
    <row r="25218" s="69" customFormat="1" x14ac:dyDescent="0.15"/>
    <row r="25219" s="69" customFormat="1" x14ac:dyDescent="0.15"/>
    <row r="25220" s="69" customFormat="1" x14ac:dyDescent="0.15"/>
    <row r="25221" s="69" customFormat="1" x14ac:dyDescent="0.15"/>
    <row r="25222" s="69" customFormat="1" x14ac:dyDescent="0.15"/>
    <row r="25223" s="69" customFormat="1" x14ac:dyDescent="0.15"/>
    <row r="25224" s="69" customFormat="1" x14ac:dyDescent="0.15"/>
    <row r="25225" s="69" customFormat="1" x14ac:dyDescent="0.15"/>
    <row r="25226" s="69" customFormat="1" x14ac:dyDescent="0.15"/>
    <row r="25227" s="69" customFormat="1" x14ac:dyDescent="0.15"/>
    <row r="25228" s="69" customFormat="1" x14ac:dyDescent="0.15"/>
    <row r="25229" s="69" customFormat="1" x14ac:dyDescent="0.15"/>
    <row r="25230" s="69" customFormat="1" x14ac:dyDescent="0.15"/>
    <row r="25231" s="69" customFormat="1" x14ac:dyDescent="0.15"/>
    <row r="25232" s="69" customFormat="1" x14ac:dyDescent="0.15"/>
    <row r="25233" s="69" customFormat="1" x14ac:dyDescent="0.15"/>
    <row r="25234" s="69" customFormat="1" x14ac:dyDescent="0.15"/>
    <row r="25235" s="69" customFormat="1" x14ac:dyDescent="0.15"/>
    <row r="25236" s="69" customFormat="1" x14ac:dyDescent="0.15"/>
    <row r="25237" s="69" customFormat="1" x14ac:dyDescent="0.15"/>
    <row r="25238" s="69" customFormat="1" x14ac:dyDescent="0.15"/>
    <row r="25239" s="69" customFormat="1" x14ac:dyDescent="0.15"/>
    <row r="25240" s="69" customFormat="1" x14ac:dyDescent="0.15"/>
    <row r="25241" s="69" customFormat="1" x14ac:dyDescent="0.15"/>
    <row r="25242" s="69" customFormat="1" x14ac:dyDescent="0.15"/>
    <row r="25243" s="69" customFormat="1" x14ac:dyDescent="0.15"/>
    <row r="25244" s="69" customFormat="1" x14ac:dyDescent="0.15"/>
    <row r="25245" s="69" customFormat="1" x14ac:dyDescent="0.15"/>
    <row r="25246" s="69" customFormat="1" x14ac:dyDescent="0.15"/>
    <row r="25247" s="69" customFormat="1" x14ac:dyDescent="0.15"/>
    <row r="25248" s="69" customFormat="1" x14ac:dyDescent="0.15"/>
    <row r="25249" s="69" customFormat="1" x14ac:dyDescent="0.15"/>
    <row r="25250" s="69" customFormat="1" x14ac:dyDescent="0.15"/>
    <row r="25251" s="69" customFormat="1" x14ac:dyDescent="0.15"/>
    <row r="25252" s="69" customFormat="1" x14ac:dyDescent="0.15"/>
    <row r="25253" s="69" customFormat="1" x14ac:dyDescent="0.15"/>
    <row r="25254" s="69" customFormat="1" x14ac:dyDescent="0.15"/>
    <row r="25255" s="69" customFormat="1" x14ac:dyDescent="0.15"/>
    <row r="25256" s="69" customFormat="1" x14ac:dyDescent="0.15"/>
    <row r="25257" s="69" customFormat="1" x14ac:dyDescent="0.15"/>
    <row r="25258" s="69" customFormat="1" x14ac:dyDescent="0.15"/>
    <row r="25259" s="69" customFormat="1" x14ac:dyDescent="0.15"/>
    <row r="25260" s="69" customFormat="1" x14ac:dyDescent="0.15"/>
    <row r="25261" s="69" customFormat="1" x14ac:dyDescent="0.15"/>
    <row r="25262" s="69" customFormat="1" x14ac:dyDescent="0.15"/>
    <row r="25263" s="69" customFormat="1" x14ac:dyDescent="0.15"/>
    <row r="25264" s="69" customFormat="1" x14ac:dyDescent="0.15"/>
    <row r="25265" s="69" customFormat="1" x14ac:dyDescent="0.15"/>
    <row r="25266" s="69" customFormat="1" x14ac:dyDescent="0.15"/>
    <row r="25267" s="69" customFormat="1" x14ac:dyDescent="0.15"/>
    <row r="25268" s="69" customFormat="1" x14ac:dyDescent="0.15"/>
    <row r="25269" s="69" customFormat="1" x14ac:dyDescent="0.15"/>
    <row r="25270" s="69" customFormat="1" x14ac:dyDescent="0.15"/>
    <row r="25271" s="69" customFormat="1" x14ac:dyDescent="0.15"/>
    <row r="25272" s="69" customFormat="1" x14ac:dyDescent="0.15"/>
    <row r="25273" s="69" customFormat="1" x14ac:dyDescent="0.15"/>
    <row r="25274" s="69" customFormat="1" x14ac:dyDescent="0.15"/>
    <row r="25275" s="69" customFormat="1" x14ac:dyDescent="0.15"/>
    <row r="25276" s="69" customFormat="1" x14ac:dyDescent="0.15"/>
    <row r="25277" s="69" customFormat="1" x14ac:dyDescent="0.15"/>
    <row r="25278" s="69" customFormat="1" x14ac:dyDescent="0.15"/>
    <row r="25279" s="69" customFormat="1" x14ac:dyDescent="0.15"/>
    <row r="25280" s="69" customFormat="1" x14ac:dyDescent="0.15"/>
    <row r="25281" s="69" customFormat="1" x14ac:dyDescent="0.15"/>
    <row r="25282" s="69" customFormat="1" x14ac:dyDescent="0.15"/>
    <row r="25283" s="69" customFormat="1" x14ac:dyDescent="0.15"/>
    <row r="25284" s="69" customFormat="1" x14ac:dyDescent="0.15"/>
    <row r="25285" s="69" customFormat="1" x14ac:dyDescent="0.15"/>
    <row r="25286" s="69" customFormat="1" x14ac:dyDescent="0.15"/>
    <row r="25287" s="69" customFormat="1" x14ac:dyDescent="0.15"/>
    <row r="25288" s="69" customFormat="1" x14ac:dyDescent="0.15"/>
    <row r="25289" s="69" customFormat="1" x14ac:dyDescent="0.15"/>
    <row r="25290" s="69" customFormat="1" x14ac:dyDescent="0.15"/>
    <row r="25291" s="69" customFormat="1" x14ac:dyDescent="0.15"/>
    <row r="25292" s="69" customFormat="1" x14ac:dyDescent="0.15"/>
    <row r="25293" s="69" customFormat="1" x14ac:dyDescent="0.15"/>
    <row r="25294" s="69" customFormat="1" x14ac:dyDescent="0.15"/>
    <row r="25295" s="69" customFormat="1" x14ac:dyDescent="0.15"/>
    <row r="25296" s="69" customFormat="1" x14ac:dyDescent="0.15"/>
    <row r="25297" s="69" customFormat="1" x14ac:dyDescent="0.15"/>
    <row r="25298" s="69" customFormat="1" x14ac:dyDescent="0.15"/>
    <row r="25299" s="69" customFormat="1" x14ac:dyDescent="0.15"/>
    <row r="25300" s="69" customFormat="1" x14ac:dyDescent="0.15"/>
    <row r="25301" s="69" customFormat="1" x14ac:dyDescent="0.15"/>
    <row r="25302" s="69" customFormat="1" x14ac:dyDescent="0.15"/>
    <row r="25303" s="69" customFormat="1" x14ac:dyDescent="0.15"/>
    <row r="25304" s="69" customFormat="1" x14ac:dyDescent="0.15"/>
    <row r="25305" s="69" customFormat="1" x14ac:dyDescent="0.15"/>
    <row r="25306" s="69" customFormat="1" x14ac:dyDescent="0.15"/>
    <row r="25307" s="69" customFormat="1" x14ac:dyDescent="0.15"/>
    <row r="25308" s="69" customFormat="1" x14ac:dyDescent="0.15"/>
    <row r="25309" s="69" customFormat="1" x14ac:dyDescent="0.15"/>
    <row r="25310" s="69" customFormat="1" x14ac:dyDescent="0.15"/>
    <row r="25311" s="69" customFormat="1" x14ac:dyDescent="0.15"/>
    <row r="25312" s="69" customFormat="1" x14ac:dyDescent="0.15"/>
    <row r="25313" s="69" customFormat="1" x14ac:dyDescent="0.15"/>
    <row r="25314" s="69" customFormat="1" x14ac:dyDescent="0.15"/>
    <row r="25315" s="69" customFormat="1" x14ac:dyDescent="0.15"/>
    <row r="25316" s="69" customFormat="1" x14ac:dyDescent="0.15"/>
    <row r="25317" s="69" customFormat="1" x14ac:dyDescent="0.15"/>
    <row r="25318" s="69" customFormat="1" x14ac:dyDescent="0.15"/>
    <row r="25319" s="69" customFormat="1" x14ac:dyDescent="0.15"/>
    <row r="25320" s="69" customFormat="1" x14ac:dyDescent="0.15"/>
    <row r="25321" s="69" customFormat="1" x14ac:dyDescent="0.15"/>
    <row r="25322" s="69" customFormat="1" x14ac:dyDescent="0.15"/>
    <row r="25323" s="69" customFormat="1" x14ac:dyDescent="0.15"/>
    <row r="25324" s="69" customFormat="1" x14ac:dyDescent="0.15"/>
    <row r="25325" s="69" customFormat="1" x14ac:dyDescent="0.15"/>
    <row r="25326" s="69" customFormat="1" x14ac:dyDescent="0.15"/>
    <row r="25327" s="69" customFormat="1" x14ac:dyDescent="0.15"/>
    <row r="25328" s="69" customFormat="1" x14ac:dyDescent="0.15"/>
    <row r="25329" s="69" customFormat="1" x14ac:dyDescent="0.15"/>
    <row r="25330" s="69" customFormat="1" x14ac:dyDescent="0.15"/>
    <row r="25331" s="69" customFormat="1" x14ac:dyDescent="0.15"/>
    <row r="25332" s="69" customFormat="1" x14ac:dyDescent="0.15"/>
    <row r="25333" s="69" customFormat="1" x14ac:dyDescent="0.15"/>
    <row r="25334" s="69" customFormat="1" x14ac:dyDescent="0.15"/>
    <row r="25335" s="69" customFormat="1" x14ac:dyDescent="0.15"/>
    <row r="25336" s="69" customFormat="1" x14ac:dyDescent="0.15"/>
    <row r="25337" s="69" customFormat="1" x14ac:dyDescent="0.15"/>
    <row r="25338" s="69" customFormat="1" x14ac:dyDescent="0.15"/>
    <row r="25339" s="69" customFormat="1" x14ac:dyDescent="0.15"/>
    <row r="25340" s="69" customFormat="1" x14ac:dyDescent="0.15"/>
    <row r="25341" s="69" customFormat="1" x14ac:dyDescent="0.15"/>
    <row r="25342" s="69" customFormat="1" x14ac:dyDescent="0.15"/>
    <row r="25343" s="69" customFormat="1" x14ac:dyDescent="0.15"/>
    <row r="25344" s="69" customFormat="1" x14ac:dyDescent="0.15"/>
    <row r="25345" s="69" customFormat="1" x14ac:dyDescent="0.15"/>
    <row r="25346" s="69" customFormat="1" x14ac:dyDescent="0.15"/>
    <row r="25347" s="69" customFormat="1" x14ac:dyDescent="0.15"/>
    <row r="25348" s="69" customFormat="1" x14ac:dyDescent="0.15"/>
    <row r="25349" s="69" customFormat="1" x14ac:dyDescent="0.15"/>
    <row r="25350" s="69" customFormat="1" x14ac:dyDescent="0.15"/>
    <row r="25351" s="69" customFormat="1" x14ac:dyDescent="0.15"/>
    <row r="25352" s="69" customFormat="1" x14ac:dyDescent="0.15"/>
    <row r="25353" s="69" customFormat="1" x14ac:dyDescent="0.15"/>
    <row r="25354" s="69" customFormat="1" x14ac:dyDescent="0.15"/>
    <row r="25355" s="69" customFormat="1" x14ac:dyDescent="0.15"/>
    <row r="25356" s="69" customFormat="1" x14ac:dyDescent="0.15"/>
    <row r="25357" s="69" customFormat="1" x14ac:dyDescent="0.15"/>
    <row r="25358" s="69" customFormat="1" x14ac:dyDescent="0.15"/>
    <row r="25359" s="69" customFormat="1" x14ac:dyDescent="0.15"/>
    <row r="25360" s="69" customFormat="1" x14ac:dyDescent="0.15"/>
    <row r="25361" s="69" customFormat="1" x14ac:dyDescent="0.15"/>
    <row r="25362" s="69" customFormat="1" x14ac:dyDescent="0.15"/>
    <row r="25363" s="69" customFormat="1" x14ac:dyDescent="0.15"/>
    <row r="25364" s="69" customFormat="1" x14ac:dyDescent="0.15"/>
    <row r="25365" s="69" customFormat="1" x14ac:dyDescent="0.15"/>
    <row r="25366" s="69" customFormat="1" x14ac:dyDescent="0.15"/>
    <row r="25367" s="69" customFormat="1" x14ac:dyDescent="0.15"/>
    <row r="25368" s="69" customFormat="1" x14ac:dyDescent="0.15"/>
    <row r="25369" s="69" customFormat="1" x14ac:dyDescent="0.15"/>
    <row r="25370" s="69" customFormat="1" x14ac:dyDescent="0.15"/>
    <row r="25371" s="69" customFormat="1" x14ac:dyDescent="0.15"/>
    <row r="25372" s="69" customFormat="1" x14ac:dyDescent="0.15"/>
    <row r="25373" s="69" customFormat="1" x14ac:dyDescent="0.15"/>
    <row r="25374" s="69" customFormat="1" x14ac:dyDescent="0.15"/>
    <row r="25375" s="69" customFormat="1" x14ac:dyDescent="0.15"/>
    <row r="25376" s="69" customFormat="1" x14ac:dyDescent="0.15"/>
    <row r="25377" s="69" customFormat="1" x14ac:dyDescent="0.15"/>
    <row r="25378" s="69" customFormat="1" x14ac:dyDescent="0.15"/>
    <row r="25379" s="69" customFormat="1" x14ac:dyDescent="0.15"/>
    <row r="25380" s="69" customFormat="1" x14ac:dyDescent="0.15"/>
    <row r="25381" s="69" customFormat="1" x14ac:dyDescent="0.15"/>
    <row r="25382" s="69" customFormat="1" x14ac:dyDescent="0.15"/>
    <row r="25383" s="69" customFormat="1" x14ac:dyDescent="0.15"/>
    <row r="25384" s="69" customFormat="1" x14ac:dyDescent="0.15"/>
    <row r="25385" s="69" customFormat="1" x14ac:dyDescent="0.15"/>
    <row r="25386" s="69" customFormat="1" x14ac:dyDescent="0.15"/>
    <row r="25387" s="69" customFormat="1" x14ac:dyDescent="0.15"/>
    <row r="25388" s="69" customFormat="1" x14ac:dyDescent="0.15"/>
    <row r="25389" s="69" customFormat="1" x14ac:dyDescent="0.15"/>
    <row r="25390" s="69" customFormat="1" x14ac:dyDescent="0.15"/>
    <row r="25391" s="69" customFormat="1" x14ac:dyDescent="0.15"/>
    <row r="25392" s="69" customFormat="1" x14ac:dyDescent="0.15"/>
    <row r="25393" s="69" customFormat="1" x14ac:dyDescent="0.15"/>
    <row r="25394" s="69" customFormat="1" x14ac:dyDescent="0.15"/>
    <row r="25395" s="69" customFormat="1" x14ac:dyDescent="0.15"/>
    <row r="25396" s="69" customFormat="1" x14ac:dyDescent="0.15"/>
    <row r="25397" s="69" customFormat="1" x14ac:dyDescent="0.15"/>
    <row r="25398" s="69" customFormat="1" x14ac:dyDescent="0.15"/>
    <row r="25399" s="69" customFormat="1" x14ac:dyDescent="0.15"/>
    <row r="25400" s="69" customFormat="1" x14ac:dyDescent="0.15"/>
    <row r="25401" s="69" customFormat="1" x14ac:dyDescent="0.15"/>
    <row r="25402" s="69" customFormat="1" x14ac:dyDescent="0.15"/>
    <row r="25403" s="69" customFormat="1" x14ac:dyDescent="0.15"/>
    <row r="25404" s="69" customFormat="1" x14ac:dyDescent="0.15"/>
    <row r="25405" s="69" customFormat="1" x14ac:dyDescent="0.15"/>
    <row r="25406" s="69" customFormat="1" x14ac:dyDescent="0.15"/>
    <row r="25407" s="69" customFormat="1" x14ac:dyDescent="0.15"/>
    <row r="25408" s="69" customFormat="1" x14ac:dyDescent="0.15"/>
    <row r="25409" s="69" customFormat="1" x14ac:dyDescent="0.15"/>
    <row r="25410" s="69" customFormat="1" x14ac:dyDescent="0.15"/>
    <row r="25411" s="69" customFormat="1" x14ac:dyDescent="0.15"/>
    <row r="25412" s="69" customFormat="1" x14ac:dyDescent="0.15"/>
    <row r="25413" s="69" customFormat="1" x14ac:dyDescent="0.15"/>
    <row r="25414" s="69" customFormat="1" x14ac:dyDescent="0.15"/>
    <row r="25415" s="69" customFormat="1" x14ac:dyDescent="0.15"/>
    <row r="25416" s="69" customFormat="1" x14ac:dyDescent="0.15"/>
    <row r="25417" s="69" customFormat="1" x14ac:dyDescent="0.15"/>
    <row r="25418" s="69" customFormat="1" x14ac:dyDescent="0.15"/>
    <row r="25419" s="69" customFormat="1" x14ac:dyDescent="0.15"/>
    <row r="25420" s="69" customFormat="1" x14ac:dyDescent="0.15"/>
    <row r="25421" s="69" customFormat="1" x14ac:dyDescent="0.15"/>
    <row r="25422" s="69" customFormat="1" x14ac:dyDescent="0.15"/>
    <row r="25423" s="69" customFormat="1" x14ac:dyDescent="0.15"/>
    <row r="25424" s="69" customFormat="1" x14ac:dyDescent="0.15"/>
    <row r="25425" s="69" customFormat="1" x14ac:dyDescent="0.15"/>
    <row r="25426" s="69" customFormat="1" x14ac:dyDescent="0.15"/>
    <row r="25427" s="69" customFormat="1" x14ac:dyDescent="0.15"/>
    <row r="25428" s="69" customFormat="1" x14ac:dyDescent="0.15"/>
    <row r="25429" s="69" customFormat="1" x14ac:dyDescent="0.15"/>
    <row r="25430" s="69" customFormat="1" x14ac:dyDescent="0.15"/>
    <row r="25431" s="69" customFormat="1" x14ac:dyDescent="0.15"/>
    <row r="25432" s="69" customFormat="1" x14ac:dyDescent="0.15"/>
    <row r="25433" s="69" customFormat="1" x14ac:dyDescent="0.15"/>
    <row r="25434" s="69" customFormat="1" x14ac:dyDescent="0.15"/>
    <row r="25435" s="69" customFormat="1" x14ac:dyDescent="0.15"/>
    <row r="25436" s="69" customFormat="1" x14ac:dyDescent="0.15"/>
    <row r="25437" s="69" customFormat="1" x14ac:dyDescent="0.15"/>
    <row r="25438" s="69" customFormat="1" x14ac:dyDescent="0.15"/>
    <row r="25439" s="69" customFormat="1" x14ac:dyDescent="0.15"/>
    <row r="25440" s="69" customFormat="1" x14ac:dyDescent="0.15"/>
    <row r="25441" s="69" customFormat="1" x14ac:dyDescent="0.15"/>
    <row r="25442" s="69" customFormat="1" x14ac:dyDescent="0.15"/>
    <row r="25443" s="69" customFormat="1" x14ac:dyDescent="0.15"/>
    <row r="25444" s="69" customFormat="1" x14ac:dyDescent="0.15"/>
    <row r="25445" s="69" customFormat="1" x14ac:dyDescent="0.15"/>
    <row r="25446" s="69" customFormat="1" x14ac:dyDescent="0.15"/>
    <row r="25447" s="69" customFormat="1" x14ac:dyDescent="0.15"/>
    <row r="25448" s="69" customFormat="1" x14ac:dyDescent="0.15"/>
    <row r="25449" s="69" customFormat="1" x14ac:dyDescent="0.15"/>
    <row r="25450" s="69" customFormat="1" x14ac:dyDescent="0.15"/>
    <row r="25451" s="69" customFormat="1" x14ac:dyDescent="0.15"/>
    <row r="25452" s="69" customFormat="1" x14ac:dyDescent="0.15"/>
    <row r="25453" s="69" customFormat="1" x14ac:dyDescent="0.15"/>
    <row r="25454" s="69" customFormat="1" x14ac:dyDescent="0.15"/>
    <row r="25455" s="69" customFormat="1" x14ac:dyDescent="0.15"/>
    <row r="25456" s="69" customFormat="1" x14ac:dyDescent="0.15"/>
    <row r="25457" s="69" customFormat="1" x14ac:dyDescent="0.15"/>
    <row r="25458" s="69" customFormat="1" x14ac:dyDescent="0.15"/>
    <row r="25459" s="69" customFormat="1" x14ac:dyDescent="0.15"/>
    <row r="25460" s="69" customFormat="1" x14ac:dyDescent="0.15"/>
    <row r="25461" s="69" customFormat="1" x14ac:dyDescent="0.15"/>
    <row r="25462" s="69" customFormat="1" x14ac:dyDescent="0.15"/>
    <row r="25463" s="69" customFormat="1" x14ac:dyDescent="0.15"/>
    <row r="25464" s="69" customFormat="1" x14ac:dyDescent="0.15"/>
    <row r="25465" s="69" customFormat="1" x14ac:dyDescent="0.15"/>
    <row r="25466" s="69" customFormat="1" x14ac:dyDescent="0.15"/>
    <row r="25467" s="69" customFormat="1" x14ac:dyDescent="0.15"/>
    <row r="25468" s="69" customFormat="1" x14ac:dyDescent="0.15"/>
    <row r="25469" s="69" customFormat="1" x14ac:dyDescent="0.15"/>
    <row r="25470" s="69" customFormat="1" x14ac:dyDescent="0.15"/>
    <row r="25471" s="69" customFormat="1" x14ac:dyDescent="0.15"/>
    <row r="25472" s="69" customFormat="1" x14ac:dyDescent="0.15"/>
    <row r="25473" s="69" customFormat="1" x14ac:dyDescent="0.15"/>
    <row r="25474" s="69" customFormat="1" x14ac:dyDescent="0.15"/>
    <row r="25475" s="69" customFormat="1" x14ac:dyDescent="0.15"/>
    <row r="25476" s="69" customFormat="1" x14ac:dyDescent="0.15"/>
    <row r="25477" s="69" customFormat="1" x14ac:dyDescent="0.15"/>
    <row r="25478" s="69" customFormat="1" x14ac:dyDescent="0.15"/>
    <row r="25479" s="69" customFormat="1" x14ac:dyDescent="0.15"/>
    <row r="25480" s="69" customFormat="1" x14ac:dyDescent="0.15"/>
    <row r="25481" s="69" customFormat="1" x14ac:dyDescent="0.15"/>
    <row r="25482" s="69" customFormat="1" x14ac:dyDescent="0.15"/>
    <row r="25483" s="69" customFormat="1" x14ac:dyDescent="0.15"/>
    <row r="25484" s="69" customFormat="1" x14ac:dyDescent="0.15"/>
    <row r="25485" s="69" customFormat="1" x14ac:dyDescent="0.15"/>
    <row r="25486" s="69" customFormat="1" x14ac:dyDescent="0.15"/>
    <row r="25487" s="69" customFormat="1" x14ac:dyDescent="0.15"/>
    <row r="25488" s="69" customFormat="1" x14ac:dyDescent="0.15"/>
    <row r="25489" s="69" customFormat="1" x14ac:dyDescent="0.15"/>
    <row r="25490" s="69" customFormat="1" x14ac:dyDescent="0.15"/>
    <row r="25491" s="69" customFormat="1" x14ac:dyDescent="0.15"/>
    <row r="25492" s="69" customFormat="1" x14ac:dyDescent="0.15"/>
    <row r="25493" s="69" customFormat="1" x14ac:dyDescent="0.15"/>
    <row r="25494" s="69" customFormat="1" x14ac:dyDescent="0.15"/>
    <row r="25495" s="69" customFormat="1" x14ac:dyDescent="0.15"/>
    <row r="25496" s="69" customFormat="1" x14ac:dyDescent="0.15"/>
    <row r="25497" s="69" customFormat="1" x14ac:dyDescent="0.15"/>
    <row r="25498" s="69" customFormat="1" x14ac:dyDescent="0.15"/>
    <row r="25499" s="69" customFormat="1" x14ac:dyDescent="0.15"/>
    <row r="25500" s="69" customFormat="1" x14ac:dyDescent="0.15"/>
    <row r="25501" s="69" customFormat="1" x14ac:dyDescent="0.15"/>
    <row r="25502" s="69" customFormat="1" x14ac:dyDescent="0.15"/>
    <row r="25503" s="69" customFormat="1" x14ac:dyDescent="0.15"/>
    <row r="25504" s="69" customFormat="1" x14ac:dyDescent="0.15"/>
    <row r="25505" s="69" customFormat="1" x14ac:dyDescent="0.15"/>
    <row r="25506" s="69" customFormat="1" x14ac:dyDescent="0.15"/>
    <row r="25507" s="69" customFormat="1" x14ac:dyDescent="0.15"/>
    <row r="25508" s="69" customFormat="1" x14ac:dyDescent="0.15"/>
    <row r="25509" s="69" customFormat="1" x14ac:dyDescent="0.15"/>
    <row r="25510" s="69" customFormat="1" x14ac:dyDescent="0.15"/>
    <row r="25511" s="69" customFormat="1" x14ac:dyDescent="0.15"/>
    <row r="25512" s="69" customFormat="1" x14ac:dyDescent="0.15"/>
    <row r="25513" s="69" customFormat="1" x14ac:dyDescent="0.15"/>
    <row r="25514" s="69" customFormat="1" x14ac:dyDescent="0.15"/>
    <row r="25515" s="69" customFormat="1" x14ac:dyDescent="0.15"/>
    <row r="25516" s="69" customFormat="1" x14ac:dyDescent="0.15"/>
    <row r="25517" s="69" customFormat="1" x14ac:dyDescent="0.15"/>
    <row r="25518" s="69" customFormat="1" x14ac:dyDescent="0.15"/>
    <row r="25519" s="69" customFormat="1" x14ac:dyDescent="0.15"/>
    <row r="25520" s="69" customFormat="1" x14ac:dyDescent="0.15"/>
    <row r="25521" s="69" customFormat="1" x14ac:dyDescent="0.15"/>
    <row r="25522" s="69" customFormat="1" x14ac:dyDescent="0.15"/>
    <row r="25523" s="69" customFormat="1" x14ac:dyDescent="0.15"/>
    <row r="25524" s="69" customFormat="1" x14ac:dyDescent="0.15"/>
    <row r="25525" s="69" customFormat="1" x14ac:dyDescent="0.15"/>
    <row r="25526" s="69" customFormat="1" x14ac:dyDescent="0.15"/>
    <row r="25527" s="69" customFormat="1" x14ac:dyDescent="0.15"/>
    <row r="25528" s="69" customFormat="1" x14ac:dyDescent="0.15"/>
    <row r="25529" s="69" customFormat="1" x14ac:dyDescent="0.15"/>
    <row r="25530" s="69" customFormat="1" x14ac:dyDescent="0.15"/>
    <row r="25531" s="69" customFormat="1" x14ac:dyDescent="0.15"/>
    <row r="25532" s="69" customFormat="1" x14ac:dyDescent="0.15"/>
    <row r="25533" s="69" customFormat="1" x14ac:dyDescent="0.15"/>
    <row r="25534" s="69" customFormat="1" x14ac:dyDescent="0.15"/>
    <row r="25535" s="69" customFormat="1" x14ac:dyDescent="0.15"/>
    <row r="25536" s="69" customFormat="1" x14ac:dyDescent="0.15"/>
    <row r="25537" s="69" customFormat="1" x14ac:dyDescent="0.15"/>
    <row r="25538" s="69" customFormat="1" x14ac:dyDescent="0.15"/>
    <row r="25539" s="69" customFormat="1" x14ac:dyDescent="0.15"/>
    <row r="25540" s="69" customFormat="1" x14ac:dyDescent="0.15"/>
    <row r="25541" s="69" customFormat="1" x14ac:dyDescent="0.15"/>
    <row r="25542" s="69" customFormat="1" x14ac:dyDescent="0.15"/>
    <row r="25543" s="69" customFormat="1" x14ac:dyDescent="0.15"/>
    <row r="25544" s="69" customFormat="1" x14ac:dyDescent="0.15"/>
    <row r="25545" s="69" customFormat="1" x14ac:dyDescent="0.15"/>
    <row r="25546" s="69" customFormat="1" x14ac:dyDescent="0.15"/>
    <row r="25547" s="69" customFormat="1" x14ac:dyDescent="0.15"/>
    <row r="25548" s="69" customFormat="1" x14ac:dyDescent="0.15"/>
    <row r="25549" s="69" customFormat="1" x14ac:dyDescent="0.15"/>
    <row r="25550" s="69" customFormat="1" x14ac:dyDescent="0.15"/>
    <row r="25551" s="69" customFormat="1" x14ac:dyDescent="0.15"/>
    <row r="25552" s="69" customFormat="1" x14ac:dyDescent="0.15"/>
    <row r="25553" s="69" customFormat="1" x14ac:dyDescent="0.15"/>
    <row r="25554" s="69" customFormat="1" x14ac:dyDescent="0.15"/>
    <row r="25555" s="69" customFormat="1" x14ac:dyDescent="0.15"/>
    <row r="25556" s="69" customFormat="1" x14ac:dyDescent="0.15"/>
    <row r="25557" s="69" customFormat="1" x14ac:dyDescent="0.15"/>
    <row r="25558" s="69" customFormat="1" x14ac:dyDescent="0.15"/>
    <row r="25559" s="69" customFormat="1" x14ac:dyDescent="0.15"/>
    <row r="25560" s="69" customFormat="1" x14ac:dyDescent="0.15"/>
    <row r="25561" s="69" customFormat="1" x14ac:dyDescent="0.15"/>
    <row r="25562" s="69" customFormat="1" x14ac:dyDescent="0.15"/>
    <row r="25563" s="69" customFormat="1" x14ac:dyDescent="0.15"/>
    <row r="25564" s="69" customFormat="1" x14ac:dyDescent="0.15"/>
    <row r="25565" s="69" customFormat="1" x14ac:dyDescent="0.15"/>
    <row r="25566" s="69" customFormat="1" x14ac:dyDescent="0.15"/>
    <row r="25567" s="69" customFormat="1" x14ac:dyDescent="0.15"/>
    <row r="25568" s="69" customFormat="1" x14ac:dyDescent="0.15"/>
    <row r="25569" s="69" customFormat="1" x14ac:dyDescent="0.15"/>
    <row r="25570" s="69" customFormat="1" x14ac:dyDescent="0.15"/>
    <row r="25571" s="69" customFormat="1" x14ac:dyDescent="0.15"/>
    <row r="25572" s="69" customFormat="1" x14ac:dyDescent="0.15"/>
    <row r="25573" s="69" customFormat="1" x14ac:dyDescent="0.15"/>
    <row r="25574" s="69" customFormat="1" x14ac:dyDescent="0.15"/>
    <row r="25575" s="69" customFormat="1" x14ac:dyDescent="0.15"/>
    <row r="25576" s="69" customFormat="1" x14ac:dyDescent="0.15"/>
    <row r="25577" s="69" customFormat="1" x14ac:dyDescent="0.15"/>
    <row r="25578" s="69" customFormat="1" x14ac:dyDescent="0.15"/>
    <row r="25579" s="69" customFormat="1" x14ac:dyDescent="0.15"/>
    <row r="25580" s="69" customFormat="1" x14ac:dyDescent="0.15"/>
    <row r="25581" s="69" customFormat="1" x14ac:dyDescent="0.15"/>
    <row r="25582" s="69" customFormat="1" x14ac:dyDescent="0.15"/>
    <row r="25583" s="69" customFormat="1" x14ac:dyDescent="0.15"/>
    <row r="25584" s="69" customFormat="1" x14ac:dyDescent="0.15"/>
    <row r="25585" s="69" customFormat="1" x14ac:dyDescent="0.15"/>
    <row r="25586" s="69" customFormat="1" x14ac:dyDescent="0.15"/>
    <row r="25587" s="69" customFormat="1" x14ac:dyDescent="0.15"/>
    <row r="25588" s="69" customFormat="1" x14ac:dyDescent="0.15"/>
    <row r="25589" s="69" customFormat="1" x14ac:dyDescent="0.15"/>
    <row r="25590" s="69" customFormat="1" x14ac:dyDescent="0.15"/>
    <row r="25591" s="69" customFormat="1" x14ac:dyDescent="0.15"/>
    <row r="25592" s="69" customFormat="1" x14ac:dyDescent="0.15"/>
    <row r="25593" s="69" customFormat="1" x14ac:dyDescent="0.15"/>
    <row r="25594" s="69" customFormat="1" x14ac:dyDescent="0.15"/>
    <row r="25595" s="69" customFormat="1" x14ac:dyDescent="0.15"/>
    <row r="25596" s="69" customFormat="1" x14ac:dyDescent="0.15"/>
    <row r="25597" s="69" customFormat="1" x14ac:dyDescent="0.15"/>
    <row r="25598" s="69" customFormat="1" x14ac:dyDescent="0.15"/>
    <row r="25599" s="69" customFormat="1" x14ac:dyDescent="0.15"/>
    <row r="25600" s="69" customFormat="1" x14ac:dyDescent="0.15"/>
    <row r="25601" s="69" customFormat="1" x14ac:dyDescent="0.15"/>
    <row r="25602" s="69" customFormat="1" x14ac:dyDescent="0.15"/>
    <row r="25603" s="69" customFormat="1" x14ac:dyDescent="0.15"/>
    <row r="25604" s="69" customFormat="1" x14ac:dyDescent="0.15"/>
    <row r="25605" s="69" customFormat="1" x14ac:dyDescent="0.15"/>
    <row r="25606" s="69" customFormat="1" x14ac:dyDescent="0.15"/>
    <row r="25607" s="69" customFormat="1" x14ac:dyDescent="0.15"/>
    <row r="25608" s="69" customFormat="1" x14ac:dyDescent="0.15"/>
    <row r="25609" s="69" customFormat="1" x14ac:dyDescent="0.15"/>
    <row r="25610" s="69" customFormat="1" x14ac:dyDescent="0.15"/>
    <row r="25611" s="69" customFormat="1" x14ac:dyDescent="0.15"/>
    <row r="25612" s="69" customFormat="1" x14ac:dyDescent="0.15"/>
    <row r="25613" s="69" customFormat="1" x14ac:dyDescent="0.15"/>
    <row r="25614" s="69" customFormat="1" x14ac:dyDescent="0.15"/>
    <row r="25615" s="69" customFormat="1" x14ac:dyDescent="0.15"/>
    <row r="25616" s="69" customFormat="1" x14ac:dyDescent="0.15"/>
    <row r="25617" s="69" customFormat="1" x14ac:dyDescent="0.15"/>
    <row r="25618" s="69" customFormat="1" x14ac:dyDescent="0.15"/>
    <row r="25619" s="69" customFormat="1" x14ac:dyDescent="0.15"/>
    <row r="25620" s="69" customFormat="1" x14ac:dyDescent="0.15"/>
    <row r="25621" s="69" customFormat="1" x14ac:dyDescent="0.15"/>
    <row r="25622" s="69" customFormat="1" x14ac:dyDescent="0.15"/>
    <row r="25623" s="69" customFormat="1" x14ac:dyDescent="0.15"/>
    <row r="25624" s="69" customFormat="1" x14ac:dyDescent="0.15"/>
    <row r="25625" s="69" customFormat="1" x14ac:dyDescent="0.15"/>
    <row r="25626" s="69" customFormat="1" x14ac:dyDescent="0.15"/>
    <row r="25627" s="69" customFormat="1" x14ac:dyDescent="0.15"/>
    <row r="25628" s="69" customFormat="1" x14ac:dyDescent="0.15"/>
    <row r="25629" s="69" customFormat="1" x14ac:dyDescent="0.15"/>
    <row r="25630" s="69" customFormat="1" x14ac:dyDescent="0.15"/>
    <row r="25631" s="69" customFormat="1" x14ac:dyDescent="0.15"/>
    <row r="25632" s="69" customFormat="1" x14ac:dyDescent="0.15"/>
    <row r="25633" s="69" customFormat="1" x14ac:dyDescent="0.15"/>
    <row r="25634" s="69" customFormat="1" x14ac:dyDescent="0.15"/>
    <row r="25635" s="69" customFormat="1" x14ac:dyDescent="0.15"/>
    <row r="25636" s="69" customFormat="1" x14ac:dyDescent="0.15"/>
    <row r="25637" s="69" customFormat="1" x14ac:dyDescent="0.15"/>
    <row r="25638" s="69" customFormat="1" x14ac:dyDescent="0.15"/>
    <row r="25639" s="69" customFormat="1" x14ac:dyDescent="0.15"/>
    <row r="25640" s="69" customFormat="1" x14ac:dyDescent="0.15"/>
    <row r="25641" s="69" customFormat="1" x14ac:dyDescent="0.15"/>
    <row r="25642" s="69" customFormat="1" x14ac:dyDescent="0.15"/>
    <row r="25643" s="69" customFormat="1" x14ac:dyDescent="0.15"/>
    <row r="25644" s="69" customFormat="1" x14ac:dyDescent="0.15"/>
    <row r="25645" s="69" customFormat="1" x14ac:dyDescent="0.15"/>
    <row r="25646" s="69" customFormat="1" x14ac:dyDescent="0.15"/>
    <row r="25647" s="69" customFormat="1" x14ac:dyDescent="0.15"/>
    <row r="25648" s="69" customFormat="1" x14ac:dyDescent="0.15"/>
    <row r="25649" s="69" customFormat="1" x14ac:dyDescent="0.15"/>
    <row r="25650" s="69" customFormat="1" x14ac:dyDescent="0.15"/>
    <row r="25651" s="69" customFormat="1" x14ac:dyDescent="0.15"/>
    <row r="25652" s="69" customFormat="1" x14ac:dyDescent="0.15"/>
    <row r="25653" s="69" customFormat="1" x14ac:dyDescent="0.15"/>
    <row r="25654" s="69" customFormat="1" x14ac:dyDescent="0.15"/>
    <row r="25655" s="69" customFormat="1" x14ac:dyDescent="0.15"/>
    <row r="25656" s="69" customFormat="1" x14ac:dyDescent="0.15"/>
    <row r="25657" s="69" customFormat="1" x14ac:dyDescent="0.15"/>
    <row r="25658" s="69" customFormat="1" x14ac:dyDescent="0.15"/>
    <row r="25659" s="69" customFormat="1" x14ac:dyDescent="0.15"/>
    <row r="25660" s="69" customFormat="1" x14ac:dyDescent="0.15"/>
    <row r="25661" s="69" customFormat="1" x14ac:dyDescent="0.15"/>
    <row r="25662" s="69" customFormat="1" x14ac:dyDescent="0.15"/>
    <row r="25663" s="69" customFormat="1" x14ac:dyDescent="0.15"/>
    <row r="25664" s="69" customFormat="1" x14ac:dyDescent="0.15"/>
    <row r="25665" s="69" customFormat="1" x14ac:dyDescent="0.15"/>
    <row r="25666" s="69" customFormat="1" x14ac:dyDescent="0.15"/>
    <row r="25667" s="69" customFormat="1" x14ac:dyDescent="0.15"/>
    <row r="25668" s="69" customFormat="1" x14ac:dyDescent="0.15"/>
    <row r="25669" s="69" customFormat="1" x14ac:dyDescent="0.15"/>
    <row r="25670" s="69" customFormat="1" x14ac:dyDescent="0.15"/>
    <row r="25671" s="69" customFormat="1" x14ac:dyDescent="0.15"/>
    <row r="25672" s="69" customFormat="1" x14ac:dyDescent="0.15"/>
    <row r="25673" s="69" customFormat="1" x14ac:dyDescent="0.15"/>
    <row r="25674" s="69" customFormat="1" x14ac:dyDescent="0.15"/>
    <row r="25675" s="69" customFormat="1" x14ac:dyDescent="0.15"/>
    <row r="25676" s="69" customFormat="1" x14ac:dyDescent="0.15"/>
    <row r="25677" s="69" customFormat="1" x14ac:dyDescent="0.15"/>
    <row r="25678" s="69" customFormat="1" x14ac:dyDescent="0.15"/>
    <row r="25679" s="69" customFormat="1" x14ac:dyDescent="0.15"/>
    <row r="25680" s="69" customFormat="1" x14ac:dyDescent="0.15"/>
    <row r="25681" s="69" customFormat="1" x14ac:dyDescent="0.15"/>
    <row r="25682" s="69" customFormat="1" x14ac:dyDescent="0.15"/>
    <row r="25683" s="69" customFormat="1" x14ac:dyDescent="0.15"/>
    <row r="25684" s="69" customFormat="1" x14ac:dyDescent="0.15"/>
    <row r="25685" s="69" customFormat="1" x14ac:dyDescent="0.15"/>
    <row r="25686" s="69" customFormat="1" x14ac:dyDescent="0.15"/>
    <row r="25687" s="69" customFormat="1" x14ac:dyDescent="0.15"/>
    <row r="25688" s="69" customFormat="1" x14ac:dyDescent="0.15"/>
    <row r="25689" s="69" customFormat="1" x14ac:dyDescent="0.15"/>
    <row r="25690" s="69" customFormat="1" x14ac:dyDescent="0.15"/>
    <row r="25691" s="69" customFormat="1" x14ac:dyDescent="0.15"/>
    <row r="25692" s="69" customFormat="1" x14ac:dyDescent="0.15"/>
    <row r="25693" s="69" customFormat="1" x14ac:dyDescent="0.15"/>
    <row r="25694" s="69" customFormat="1" x14ac:dyDescent="0.15"/>
    <row r="25695" s="69" customFormat="1" x14ac:dyDescent="0.15"/>
    <row r="25696" s="69" customFormat="1" x14ac:dyDescent="0.15"/>
    <row r="25697" s="69" customFormat="1" x14ac:dyDescent="0.15"/>
    <row r="25698" s="69" customFormat="1" x14ac:dyDescent="0.15"/>
    <row r="25699" s="69" customFormat="1" x14ac:dyDescent="0.15"/>
    <row r="25700" s="69" customFormat="1" x14ac:dyDescent="0.15"/>
    <row r="25701" s="69" customFormat="1" x14ac:dyDescent="0.15"/>
    <row r="25702" s="69" customFormat="1" x14ac:dyDescent="0.15"/>
    <row r="25703" s="69" customFormat="1" x14ac:dyDescent="0.15"/>
    <row r="25704" s="69" customFormat="1" x14ac:dyDescent="0.15"/>
    <row r="25705" s="69" customFormat="1" x14ac:dyDescent="0.15"/>
    <row r="25706" s="69" customFormat="1" x14ac:dyDescent="0.15"/>
    <row r="25707" s="69" customFormat="1" x14ac:dyDescent="0.15"/>
    <row r="25708" s="69" customFormat="1" x14ac:dyDescent="0.15"/>
    <row r="25709" s="69" customFormat="1" x14ac:dyDescent="0.15"/>
    <row r="25710" s="69" customFormat="1" x14ac:dyDescent="0.15"/>
    <row r="25711" s="69" customFormat="1" x14ac:dyDescent="0.15"/>
    <row r="25712" s="69" customFormat="1" x14ac:dyDescent="0.15"/>
    <row r="25713" s="69" customFormat="1" x14ac:dyDescent="0.15"/>
    <row r="25714" s="69" customFormat="1" x14ac:dyDescent="0.15"/>
    <row r="25715" s="69" customFormat="1" x14ac:dyDescent="0.15"/>
    <row r="25716" s="69" customFormat="1" x14ac:dyDescent="0.15"/>
    <row r="25717" s="69" customFormat="1" x14ac:dyDescent="0.15"/>
    <row r="25718" s="69" customFormat="1" x14ac:dyDescent="0.15"/>
    <row r="25719" s="69" customFormat="1" x14ac:dyDescent="0.15"/>
    <row r="25720" s="69" customFormat="1" x14ac:dyDescent="0.15"/>
    <row r="25721" s="69" customFormat="1" x14ac:dyDescent="0.15"/>
    <row r="25722" s="69" customFormat="1" x14ac:dyDescent="0.15"/>
    <row r="25723" s="69" customFormat="1" x14ac:dyDescent="0.15"/>
    <row r="25724" s="69" customFormat="1" x14ac:dyDescent="0.15"/>
    <row r="25725" s="69" customFormat="1" x14ac:dyDescent="0.15"/>
    <row r="25726" s="69" customFormat="1" x14ac:dyDescent="0.15"/>
    <row r="25727" s="69" customFormat="1" x14ac:dyDescent="0.15"/>
    <row r="25728" s="69" customFormat="1" x14ac:dyDescent="0.15"/>
    <row r="25729" s="69" customFormat="1" x14ac:dyDescent="0.15"/>
    <row r="25730" s="69" customFormat="1" x14ac:dyDescent="0.15"/>
    <row r="25731" s="69" customFormat="1" x14ac:dyDescent="0.15"/>
    <row r="25732" s="69" customFormat="1" x14ac:dyDescent="0.15"/>
    <row r="25733" s="69" customFormat="1" x14ac:dyDescent="0.15"/>
    <row r="25734" s="69" customFormat="1" x14ac:dyDescent="0.15"/>
    <row r="25735" s="69" customFormat="1" x14ac:dyDescent="0.15"/>
    <row r="25736" s="69" customFormat="1" x14ac:dyDescent="0.15"/>
    <row r="25737" s="69" customFormat="1" x14ac:dyDescent="0.15"/>
    <row r="25738" s="69" customFormat="1" x14ac:dyDescent="0.15"/>
    <row r="25739" s="69" customFormat="1" x14ac:dyDescent="0.15"/>
    <row r="25740" s="69" customFormat="1" x14ac:dyDescent="0.15"/>
    <row r="25741" s="69" customFormat="1" x14ac:dyDescent="0.15"/>
    <row r="25742" s="69" customFormat="1" x14ac:dyDescent="0.15"/>
    <row r="25743" s="69" customFormat="1" x14ac:dyDescent="0.15"/>
    <row r="25744" s="69" customFormat="1" x14ac:dyDescent="0.15"/>
    <row r="25745" s="69" customFormat="1" x14ac:dyDescent="0.15"/>
    <row r="25746" s="69" customFormat="1" x14ac:dyDescent="0.15"/>
    <row r="25747" s="69" customFormat="1" x14ac:dyDescent="0.15"/>
    <row r="25748" s="69" customFormat="1" x14ac:dyDescent="0.15"/>
    <row r="25749" s="69" customFormat="1" x14ac:dyDescent="0.15"/>
    <row r="25750" s="69" customFormat="1" x14ac:dyDescent="0.15"/>
    <row r="25751" s="69" customFormat="1" x14ac:dyDescent="0.15"/>
    <row r="25752" s="69" customFormat="1" x14ac:dyDescent="0.15"/>
    <row r="25753" s="69" customFormat="1" x14ac:dyDescent="0.15"/>
    <row r="25754" s="69" customFormat="1" x14ac:dyDescent="0.15"/>
    <row r="25755" s="69" customFormat="1" x14ac:dyDescent="0.15"/>
    <row r="25756" s="69" customFormat="1" x14ac:dyDescent="0.15"/>
    <row r="25757" s="69" customFormat="1" x14ac:dyDescent="0.15"/>
    <row r="25758" s="69" customFormat="1" x14ac:dyDescent="0.15"/>
    <row r="25759" s="69" customFormat="1" x14ac:dyDescent="0.15"/>
    <row r="25760" s="69" customFormat="1" x14ac:dyDescent="0.15"/>
    <row r="25761" s="69" customFormat="1" x14ac:dyDescent="0.15"/>
    <row r="25762" s="69" customFormat="1" x14ac:dyDescent="0.15"/>
    <row r="25763" s="69" customFormat="1" x14ac:dyDescent="0.15"/>
    <row r="25764" s="69" customFormat="1" x14ac:dyDescent="0.15"/>
    <row r="25765" s="69" customFormat="1" x14ac:dyDescent="0.15"/>
    <row r="25766" s="69" customFormat="1" x14ac:dyDescent="0.15"/>
    <row r="25767" s="69" customFormat="1" x14ac:dyDescent="0.15"/>
    <row r="25768" s="69" customFormat="1" x14ac:dyDescent="0.15"/>
    <row r="25769" s="69" customFormat="1" x14ac:dyDescent="0.15"/>
    <row r="25770" s="69" customFormat="1" x14ac:dyDescent="0.15"/>
    <row r="25771" s="69" customFormat="1" x14ac:dyDescent="0.15"/>
    <row r="25772" s="69" customFormat="1" x14ac:dyDescent="0.15"/>
    <row r="25773" s="69" customFormat="1" x14ac:dyDescent="0.15"/>
    <row r="25774" s="69" customFormat="1" x14ac:dyDescent="0.15"/>
    <row r="25775" s="69" customFormat="1" x14ac:dyDescent="0.15"/>
    <row r="25776" s="69" customFormat="1" x14ac:dyDescent="0.15"/>
    <row r="25777" s="69" customFormat="1" x14ac:dyDescent="0.15"/>
    <row r="25778" s="69" customFormat="1" x14ac:dyDescent="0.15"/>
    <row r="25779" s="69" customFormat="1" x14ac:dyDescent="0.15"/>
    <row r="25780" s="69" customFormat="1" x14ac:dyDescent="0.15"/>
    <row r="25781" s="69" customFormat="1" x14ac:dyDescent="0.15"/>
    <row r="25782" s="69" customFormat="1" x14ac:dyDescent="0.15"/>
    <row r="25783" s="69" customFormat="1" x14ac:dyDescent="0.15"/>
    <row r="25784" s="69" customFormat="1" x14ac:dyDescent="0.15"/>
    <row r="25785" s="69" customFormat="1" x14ac:dyDescent="0.15"/>
    <row r="25786" s="69" customFormat="1" x14ac:dyDescent="0.15"/>
    <row r="25787" s="69" customFormat="1" x14ac:dyDescent="0.15"/>
    <row r="25788" s="69" customFormat="1" x14ac:dyDescent="0.15"/>
    <row r="25789" s="69" customFormat="1" x14ac:dyDescent="0.15"/>
    <row r="25790" s="69" customFormat="1" x14ac:dyDescent="0.15"/>
    <row r="25791" s="69" customFormat="1" x14ac:dyDescent="0.15"/>
    <row r="25792" s="69" customFormat="1" x14ac:dyDescent="0.15"/>
    <row r="25793" s="69" customFormat="1" x14ac:dyDescent="0.15"/>
    <row r="25794" s="69" customFormat="1" x14ac:dyDescent="0.15"/>
    <row r="25795" s="69" customFormat="1" x14ac:dyDescent="0.15"/>
    <row r="25796" s="69" customFormat="1" x14ac:dyDescent="0.15"/>
    <row r="25797" s="69" customFormat="1" x14ac:dyDescent="0.15"/>
    <row r="25798" s="69" customFormat="1" x14ac:dyDescent="0.15"/>
    <row r="25799" s="69" customFormat="1" x14ac:dyDescent="0.15"/>
    <row r="25800" s="69" customFormat="1" x14ac:dyDescent="0.15"/>
    <row r="25801" s="69" customFormat="1" x14ac:dyDescent="0.15"/>
    <row r="25802" s="69" customFormat="1" x14ac:dyDescent="0.15"/>
    <row r="25803" s="69" customFormat="1" x14ac:dyDescent="0.15"/>
    <row r="25804" s="69" customFormat="1" x14ac:dyDescent="0.15"/>
    <row r="25805" s="69" customFormat="1" x14ac:dyDescent="0.15"/>
    <row r="25806" s="69" customFormat="1" x14ac:dyDescent="0.15"/>
    <row r="25807" s="69" customFormat="1" x14ac:dyDescent="0.15"/>
    <row r="25808" s="69" customFormat="1" x14ac:dyDescent="0.15"/>
    <row r="25809" s="69" customFormat="1" x14ac:dyDescent="0.15"/>
    <row r="25810" s="69" customFormat="1" x14ac:dyDescent="0.15"/>
    <row r="25811" s="69" customFormat="1" x14ac:dyDescent="0.15"/>
    <row r="25812" s="69" customFormat="1" x14ac:dyDescent="0.15"/>
    <row r="25813" s="69" customFormat="1" x14ac:dyDescent="0.15"/>
    <row r="25814" s="69" customFormat="1" x14ac:dyDescent="0.15"/>
    <row r="25815" s="69" customFormat="1" x14ac:dyDescent="0.15"/>
    <row r="25816" s="69" customFormat="1" x14ac:dyDescent="0.15"/>
    <row r="25817" s="69" customFormat="1" x14ac:dyDescent="0.15"/>
    <row r="25818" s="69" customFormat="1" x14ac:dyDescent="0.15"/>
    <row r="25819" s="69" customFormat="1" x14ac:dyDescent="0.15"/>
    <row r="25820" s="69" customFormat="1" x14ac:dyDescent="0.15"/>
    <row r="25821" s="69" customFormat="1" x14ac:dyDescent="0.15"/>
    <row r="25822" s="69" customFormat="1" x14ac:dyDescent="0.15"/>
    <row r="25823" s="69" customFormat="1" x14ac:dyDescent="0.15"/>
    <row r="25824" s="69" customFormat="1" x14ac:dyDescent="0.15"/>
    <row r="25825" s="69" customFormat="1" x14ac:dyDescent="0.15"/>
    <row r="25826" s="69" customFormat="1" x14ac:dyDescent="0.15"/>
    <row r="25827" s="69" customFormat="1" x14ac:dyDescent="0.15"/>
    <row r="25828" s="69" customFormat="1" x14ac:dyDescent="0.15"/>
    <row r="25829" s="69" customFormat="1" x14ac:dyDescent="0.15"/>
    <row r="25830" s="69" customFormat="1" x14ac:dyDescent="0.15"/>
    <row r="25831" s="69" customFormat="1" x14ac:dyDescent="0.15"/>
    <row r="25832" s="69" customFormat="1" x14ac:dyDescent="0.15"/>
    <row r="25833" s="69" customFormat="1" x14ac:dyDescent="0.15"/>
    <row r="25834" s="69" customFormat="1" x14ac:dyDescent="0.15"/>
    <row r="25835" s="69" customFormat="1" x14ac:dyDescent="0.15"/>
    <row r="25836" s="69" customFormat="1" x14ac:dyDescent="0.15"/>
    <row r="25837" s="69" customFormat="1" x14ac:dyDescent="0.15"/>
    <row r="25838" s="69" customFormat="1" x14ac:dyDescent="0.15"/>
    <row r="25839" s="69" customFormat="1" x14ac:dyDescent="0.15"/>
    <row r="25840" s="69" customFormat="1" x14ac:dyDescent="0.15"/>
    <row r="25841" s="69" customFormat="1" x14ac:dyDescent="0.15"/>
    <row r="25842" s="69" customFormat="1" x14ac:dyDescent="0.15"/>
    <row r="25843" s="69" customFormat="1" x14ac:dyDescent="0.15"/>
    <row r="25844" s="69" customFormat="1" x14ac:dyDescent="0.15"/>
    <row r="25845" s="69" customFormat="1" x14ac:dyDescent="0.15"/>
    <row r="25846" s="69" customFormat="1" x14ac:dyDescent="0.15"/>
    <row r="25847" s="69" customFormat="1" x14ac:dyDescent="0.15"/>
    <row r="25848" s="69" customFormat="1" x14ac:dyDescent="0.15"/>
    <row r="25849" s="69" customFormat="1" x14ac:dyDescent="0.15"/>
    <row r="25850" s="69" customFormat="1" x14ac:dyDescent="0.15"/>
    <row r="25851" s="69" customFormat="1" x14ac:dyDescent="0.15"/>
    <row r="25852" s="69" customFormat="1" x14ac:dyDescent="0.15"/>
    <row r="25853" s="69" customFormat="1" x14ac:dyDescent="0.15"/>
    <row r="25854" s="69" customFormat="1" x14ac:dyDescent="0.15"/>
    <row r="25855" s="69" customFormat="1" x14ac:dyDescent="0.15"/>
    <row r="25856" s="69" customFormat="1" x14ac:dyDescent="0.15"/>
    <row r="25857" s="69" customFormat="1" x14ac:dyDescent="0.15"/>
    <row r="25858" s="69" customFormat="1" x14ac:dyDescent="0.15"/>
    <row r="25859" s="69" customFormat="1" x14ac:dyDescent="0.15"/>
    <row r="25860" s="69" customFormat="1" x14ac:dyDescent="0.15"/>
    <row r="25861" s="69" customFormat="1" x14ac:dyDescent="0.15"/>
    <row r="25862" s="69" customFormat="1" x14ac:dyDescent="0.15"/>
    <row r="25863" s="69" customFormat="1" x14ac:dyDescent="0.15"/>
    <row r="25864" s="69" customFormat="1" x14ac:dyDescent="0.15"/>
    <row r="25865" s="69" customFormat="1" x14ac:dyDescent="0.15"/>
    <row r="25866" s="69" customFormat="1" x14ac:dyDescent="0.15"/>
    <row r="25867" s="69" customFormat="1" x14ac:dyDescent="0.15"/>
    <row r="25868" s="69" customFormat="1" x14ac:dyDescent="0.15"/>
    <row r="25869" s="69" customFormat="1" x14ac:dyDescent="0.15"/>
    <row r="25870" s="69" customFormat="1" x14ac:dyDescent="0.15"/>
    <row r="25871" s="69" customFormat="1" x14ac:dyDescent="0.15"/>
    <row r="25872" s="69" customFormat="1" x14ac:dyDescent="0.15"/>
    <row r="25873" s="69" customFormat="1" x14ac:dyDescent="0.15"/>
    <row r="25874" s="69" customFormat="1" x14ac:dyDescent="0.15"/>
    <row r="25875" s="69" customFormat="1" x14ac:dyDescent="0.15"/>
    <row r="25876" s="69" customFormat="1" x14ac:dyDescent="0.15"/>
    <row r="25877" s="69" customFormat="1" x14ac:dyDescent="0.15"/>
    <row r="25878" s="69" customFormat="1" x14ac:dyDescent="0.15"/>
    <row r="25879" s="69" customFormat="1" x14ac:dyDescent="0.15"/>
    <row r="25880" s="69" customFormat="1" x14ac:dyDescent="0.15"/>
    <row r="25881" s="69" customFormat="1" x14ac:dyDescent="0.15"/>
    <row r="25882" s="69" customFormat="1" x14ac:dyDescent="0.15"/>
    <row r="25883" s="69" customFormat="1" x14ac:dyDescent="0.15"/>
    <row r="25884" s="69" customFormat="1" x14ac:dyDescent="0.15"/>
    <row r="25885" s="69" customFormat="1" x14ac:dyDescent="0.15"/>
    <row r="25886" s="69" customFormat="1" x14ac:dyDescent="0.15"/>
    <row r="25887" s="69" customFormat="1" x14ac:dyDescent="0.15"/>
    <row r="25888" s="69" customFormat="1" x14ac:dyDescent="0.15"/>
    <row r="25889" s="69" customFormat="1" x14ac:dyDescent="0.15"/>
    <row r="25890" s="69" customFormat="1" x14ac:dyDescent="0.15"/>
    <row r="25891" s="69" customFormat="1" x14ac:dyDescent="0.15"/>
    <row r="25892" s="69" customFormat="1" x14ac:dyDescent="0.15"/>
    <row r="25893" s="69" customFormat="1" x14ac:dyDescent="0.15"/>
    <row r="25894" s="69" customFormat="1" x14ac:dyDescent="0.15"/>
    <row r="25895" s="69" customFormat="1" x14ac:dyDescent="0.15"/>
    <row r="25896" s="69" customFormat="1" x14ac:dyDescent="0.15"/>
    <row r="25897" s="69" customFormat="1" x14ac:dyDescent="0.15"/>
    <row r="25898" s="69" customFormat="1" x14ac:dyDescent="0.15"/>
    <row r="25899" s="69" customFormat="1" x14ac:dyDescent="0.15"/>
    <row r="25900" s="69" customFormat="1" x14ac:dyDescent="0.15"/>
    <row r="25901" s="69" customFormat="1" x14ac:dyDescent="0.15"/>
    <row r="25902" s="69" customFormat="1" x14ac:dyDescent="0.15"/>
    <row r="25903" s="69" customFormat="1" x14ac:dyDescent="0.15"/>
    <row r="25904" s="69" customFormat="1" x14ac:dyDescent="0.15"/>
    <row r="25905" s="69" customFormat="1" x14ac:dyDescent="0.15"/>
    <row r="25906" s="69" customFormat="1" x14ac:dyDescent="0.15"/>
    <row r="25907" s="69" customFormat="1" x14ac:dyDescent="0.15"/>
    <row r="25908" s="69" customFormat="1" x14ac:dyDescent="0.15"/>
    <row r="25909" s="69" customFormat="1" x14ac:dyDescent="0.15"/>
    <row r="25910" s="69" customFormat="1" x14ac:dyDescent="0.15"/>
    <row r="25911" s="69" customFormat="1" x14ac:dyDescent="0.15"/>
    <row r="25912" s="69" customFormat="1" x14ac:dyDescent="0.15"/>
    <row r="25913" s="69" customFormat="1" x14ac:dyDescent="0.15"/>
    <row r="25914" s="69" customFormat="1" x14ac:dyDescent="0.15"/>
    <row r="25915" s="69" customFormat="1" x14ac:dyDescent="0.15"/>
    <row r="25916" s="69" customFormat="1" x14ac:dyDescent="0.15"/>
    <row r="25917" s="69" customFormat="1" x14ac:dyDescent="0.15"/>
    <row r="25918" s="69" customFormat="1" x14ac:dyDescent="0.15"/>
    <row r="25919" s="69" customFormat="1" x14ac:dyDescent="0.15"/>
    <row r="25920" s="69" customFormat="1" x14ac:dyDescent="0.15"/>
    <row r="25921" s="69" customFormat="1" x14ac:dyDescent="0.15"/>
    <row r="25922" s="69" customFormat="1" x14ac:dyDescent="0.15"/>
    <row r="25923" s="69" customFormat="1" x14ac:dyDescent="0.15"/>
    <row r="25924" s="69" customFormat="1" x14ac:dyDescent="0.15"/>
    <row r="25925" s="69" customFormat="1" x14ac:dyDescent="0.15"/>
    <row r="25926" s="69" customFormat="1" x14ac:dyDescent="0.15"/>
    <row r="25927" s="69" customFormat="1" x14ac:dyDescent="0.15"/>
    <row r="25928" s="69" customFormat="1" x14ac:dyDescent="0.15"/>
    <row r="25929" s="69" customFormat="1" x14ac:dyDescent="0.15"/>
    <row r="25930" s="69" customFormat="1" x14ac:dyDescent="0.15"/>
    <row r="25931" s="69" customFormat="1" x14ac:dyDescent="0.15"/>
    <row r="25932" s="69" customFormat="1" x14ac:dyDescent="0.15"/>
    <row r="25933" s="69" customFormat="1" x14ac:dyDescent="0.15"/>
    <row r="25934" s="69" customFormat="1" x14ac:dyDescent="0.15"/>
    <row r="25935" s="69" customFormat="1" x14ac:dyDescent="0.15"/>
    <row r="25936" s="69" customFormat="1" x14ac:dyDescent="0.15"/>
    <row r="25937" s="69" customFormat="1" x14ac:dyDescent="0.15"/>
    <row r="25938" s="69" customFormat="1" x14ac:dyDescent="0.15"/>
    <row r="25939" s="69" customFormat="1" x14ac:dyDescent="0.15"/>
    <row r="25940" s="69" customFormat="1" x14ac:dyDescent="0.15"/>
    <row r="25941" s="69" customFormat="1" x14ac:dyDescent="0.15"/>
    <row r="25942" s="69" customFormat="1" x14ac:dyDescent="0.15"/>
    <row r="25943" s="69" customFormat="1" x14ac:dyDescent="0.15"/>
    <row r="25944" s="69" customFormat="1" x14ac:dyDescent="0.15"/>
    <row r="25945" s="69" customFormat="1" x14ac:dyDescent="0.15"/>
    <row r="25946" s="69" customFormat="1" x14ac:dyDescent="0.15"/>
    <row r="25947" s="69" customFormat="1" x14ac:dyDescent="0.15"/>
    <row r="25948" s="69" customFormat="1" x14ac:dyDescent="0.15"/>
    <row r="25949" s="69" customFormat="1" x14ac:dyDescent="0.15"/>
    <row r="25950" s="69" customFormat="1" x14ac:dyDescent="0.15"/>
    <row r="25951" s="69" customFormat="1" x14ac:dyDescent="0.15"/>
    <row r="25952" s="69" customFormat="1" x14ac:dyDescent="0.15"/>
    <row r="25953" s="69" customFormat="1" x14ac:dyDescent="0.15"/>
    <row r="25954" s="69" customFormat="1" x14ac:dyDescent="0.15"/>
    <row r="25955" s="69" customFormat="1" x14ac:dyDescent="0.15"/>
    <row r="25956" s="69" customFormat="1" x14ac:dyDescent="0.15"/>
    <row r="25957" s="69" customFormat="1" x14ac:dyDescent="0.15"/>
    <row r="25958" s="69" customFormat="1" x14ac:dyDescent="0.15"/>
    <row r="25959" s="69" customFormat="1" x14ac:dyDescent="0.15"/>
    <row r="25960" s="69" customFormat="1" x14ac:dyDescent="0.15"/>
    <row r="25961" s="69" customFormat="1" x14ac:dyDescent="0.15"/>
    <row r="25962" s="69" customFormat="1" x14ac:dyDescent="0.15"/>
    <row r="25963" s="69" customFormat="1" x14ac:dyDescent="0.15"/>
    <row r="25964" s="69" customFormat="1" x14ac:dyDescent="0.15"/>
    <row r="25965" s="69" customFormat="1" x14ac:dyDescent="0.15"/>
    <row r="25966" s="69" customFormat="1" x14ac:dyDescent="0.15"/>
    <row r="25967" s="69" customFormat="1" x14ac:dyDescent="0.15"/>
    <row r="25968" s="69" customFormat="1" x14ac:dyDescent="0.15"/>
    <row r="25969" s="69" customFormat="1" x14ac:dyDescent="0.15"/>
    <row r="25970" s="69" customFormat="1" x14ac:dyDescent="0.15"/>
    <row r="25971" s="69" customFormat="1" x14ac:dyDescent="0.15"/>
    <row r="25972" s="69" customFormat="1" x14ac:dyDescent="0.15"/>
    <row r="25973" s="69" customFormat="1" x14ac:dyDescent="0.15"/>
    <row r="25974" s="69" customFormat="1" x14ac:dyDescent="0.15"/>
    <row r="25975" s="69" customFormat="1" x14ac:dyDescent="0.15"/>
    <row r="25976" s="69" customFormat="1" x14ac:dyDescent="0.15"/>
    <row r="25977" s="69" customFormat="1" x14ac:dyDescent="0.15"/>
    <row r="25978" s="69" customFormat="1" x14ac:dyDescent="0.15"/>
    <row r="25979" s="69" customFormat="1" x14ac:dyDescent="0.15"/>
    <row r="25980" s="69" customFormat="1" x14ac:dyDescent="0.15"/>
    <row r="25981" s="69" customFormat="1" x14ac:dyDescent="0.15"/>
    <row r="25982" s="69" customFormat="1" x14ac:dyDescent="0.15"/>
    <row r="25983" s="69" customFormat="1" x14ac:dyDescent="0.15"/>
    <row r="25984" s="69" customFormat="1" x14ac:dyDescent="0.15"/>
    <row r="25985" s="69" customFormat="1" x14ac:dyDescent="0.15"/>
    <row r="25986" s="69" customFormat="1" x14ac:dyDescent="0.15"/>
    <row r="25987" s="69" customFormat="1" x14ac:dyDescent="0.15"/>
    <row r="25988" s="69" customFormat="1" x14ac:dyDescent="0.15"/>
    <row r="25989" s="69" customFormat="1" x14ac:dyDescent="0.15"/>
    <row r="25990" s="69" customFormat="1" x14ac:dyDescent="0.15"/>
    <row r="25991" s="69" customFormat="1" x14ac:dyDescent="0.15"/>
    <row r="25992" s="69" customFormat="1" x14ac:dyDescent="0.15"/>
    <row r="25993" s="69" customFormat="1" x14ac:dyDescent="0.15"/>
    <row r="25994" s="69" customFormat="1" x14ac:dyDescent="0.15"/>
    <row r="25995" s="69" customFormat="1" x14ac:dyDescent="0.15"/>
    <row r="25996" s="69" customFormat="1" x14ac:dyDescent="0.15"/>
    <row r="25997" s="69" customFormat="1" x14ac:dyDescent="0.15"/>
    <row r="25998" s="69" customFormat="1" x14ac:dyDescent="0.15"/>
    <row r="25999" s="69" customFormat="1" x14ac:dyDescent="0.15"/>
    <row r="26000" s="69" customFormat="1" x14ac:dyDescent="0.15"/>
    <row r="26001" s="69" customFormat="1" x14ac:dyDescent="0.15"/>
    <row r="26002" s="69" customFormat="1" x14ac:dyDescent="0.15"/>
    <row r="26003" s="69" customFormat="1" x14ac:dyDescent="0.15"/>
    <row r="26004" s="69" customFormat="1" x14ac:dyDescent="0.15"/>
    <row r="26005" s="69" customFormat="1" x14ac:dyDescent="0.15"/>
    <row r="26006" s="69" customFormat="1" x14ac:dyDescent="0.15"/>
    <row r="26007" s="69" customFormat="1" x14ac:dyDescent="0.15"/>
    <row r="26008" s="69" customFormat="1" x14ac:dyDescent="0.15"/>
    <row r="26009" s="69" customFormat="1" x14ac:dyDescent="0.15"/>
    <row r="26010" s="69" customFormat="1" x14ac:dyDescent="0.15"/>
    <row r="26011" s="69" customFormat="1" x14ac:dyDescent="0.15"/>
    <row r="26012" s="69" customFormat="1" x14ac:dyDescent="0.15"/>
    <row r="26013" s="69" customFormat="1" x14ac:dyDescent="0.15"/>
    <row r="26014" s="69" customFormat="1" x14ac:dyDescent="0.15"/>
    <row r="26015" s="69" customFormat="1" x14ac:dyDescent="0.15"/>
    <row r="26016" s="69" customFormat="1" x14ac:dyDescent="0.15"/>
    <row r="26017" s="69" customFormat="1" x14ac:dyDescent="0.15"/>
    <row r="26018" s="69" customFormat="1" x14ac:dyDescent="0.15"/>
    <row r="26019" s="69" customFormat="1" x14ac:dyDescent="0.15"/>
    <row r="26020" s="69" customFormat="1" x14ac:dyDescent="0.15"/>
    <row r="26021" s="69" customFormat="1" x14ac:dyDescent="0.15"/>
    <row r="26022" s="69" customFormat="1" x14ac:dyDescent="0.15"/>
    <row r="26023" s="69" customFormat="1" x14ac:dyDescent="0.15"/>
    <row r="26024" s="69" customFormat="1" x14ac:dyDescent="0.15"/>
    <row r="26025" s="69" customFormat="1" x14ac:dyDescent="0.15"/>
    <row r="26026" s="69" customFormat="1" x14ac:dyDescent="0.15"/>
    <row r="26027" s="69" customFormat="1" x14ac:dyDescent="0.15"/>
    <row r="26028" s="69" customFormat="1" x14ac:dyDescent="0.15"/>
    <row r="26029" s="69" customFormat="1" x14ac:dyDescent="0.15"/>
    <row r="26030" s="69" customFormat="1" x14ac:dyDescent="0.15"/>
    <row r="26031" s="69" customFormat="1" x14ac:dyDescent="0.15"/>
    <row r="26032" s="69" customFormat="1" x14ac:dyDescent="0.15"/>
    <row r="26033" s="69" customFormat="1" x14ac:dyDescent="0.15"/>
    <row r="26034" s="69" customFormat="1" x14ac:dyDescent="0.15"/>
    <row r="26035" s="69" customFormat="1" x14ac:dyDescent="0.15"/>
    <row r="26036" s="69" customFormat="1" x14ac:dyDescent="0.15"/>
    <row r="26037" s="69" customFormat="1" x14ac:dyDescent="0.15"/>
    <row r="26038" s="69" customFormat="1" x14ac:dyDescent="0.15"/>
    <row r="26039" s="69" customFormat="1" x14ac:dyDescent="0.15"/>
    <row r="26040" s="69" customFormat="1" x14ac:dyDescent="0.15"/>
    <row r="26041" s="69" customFormat="1" x14ac:dyDescent="0.15"/>
    <row r="26042" s="69" customFormat="1" x14ac:dyDescent="0.15"/>
    <row r="26043" s="69" customFormat="1" x14ac:dyDescent="0.15"/>
    <row r="26044" s="69" customFormat="1" x14ac:dyDescent="0.15"/>
    <row r="26045" s="69" customFormat="1" x14ac:dyDescent="0.15"/>
    <row r="26046" s="69" customFormat="1" x14ac:dyDescent="0.15"/>
    <row r="26047" s="69" customFormat="1" x14ac:dyDescent="0.15"/>
    <row r="26048" s="69" customFormat="1" x14ac:dyDescent="0.15"/>
    <row r="26049" s="69" customFormat="1" x14ac:dyDescent="0.15"/>
    <row r="26050" s="69" customFormat="1" x14ac:dyDescent="0.15"/>
    <row r="26051" s="69" customFormat="1" x14ac:dyDescent="0.15"/>
    <row r="26052" s="69" customFormat="1" x14ac:dyDescent="0.15"/>
    <row r="26053" s="69" customFormat="1" x14ac:dyDescent="0.15"/>
    <row r="26054" s="69" customFormat="1" x14ac:dyDescent="0.15"/>
    <row r="26055" s="69" customFormat="1" x14ac:dyDescent="0.15"/>
    <row r="26056" s="69" customFormat="1" x14ac:dyDescent="0.15"/>
    <row r="26057" s="69" customFormat="1" x14ac:dyDescent="0.15"/>
    <row r="26058" s="69" customFormat="1" x14ac:dyDescent="0.15"/>
    <row r="26059" s="69" customFormat="1" x14ac:dyDescent="0.15"/>
    <row r="26060" s="69" customFormat="1" x14ac:dyDescent="0.15"/>
    <row r="26061" s="69" customFormat="1" x14ac:dyDescent="0.15"/>
    <row r="26062" s="69" customFormat="1" x14ac:dyDescent="0.15"/>
    <row r="26063" s="69" customFormat="1" x14ac:dyDescent="0.15"/>
    <row r="26064" s="69" customFormat="1" x14ac:dyDescent="0.15"/>
    <row r="26065" s="69" customFormat="1" x14ac:dyDescent="0.15"/>
    <row r="26066" s="69" customFormat="1" x14ac:dyDescent="0.15"/>
    <row r="26067" s="69" customFormat="1" x14ac:dyDescent="0.15"/>
    <row r="26068" s="69" customFormat="1" x14ac:dyDescent="0.15"/>
    <row r="26069" s="69" customFormat="1" x14ac:dyDescent="0.15"/>
    <row r="26070" s="69" customFormat="1" x14ac:dyDescent="0.15"/>
    <row r="26071" s="69" customFormat="1" x14ac:dyDescent="0.15"/>
    <row r="26072" s="69" customFormat="1" x14ac:dyDescent="0.15"/>
    <row r="26073" s="69" customFormat="1" x14ac:dyDescent="0.15"/>
    <row r="26074" s="69" customFormat="1" x14ac:dyDescent="0.15"/>
    <row r="26075" s="69" customFormat="1" x14ac:dyDescent="0.15"/>
    <row r="26076" s="69" customFormat="1" x14ac:dyDescent="0.15"/>
    <row r="26077" s="69" customFormat="1" x14ac:dyDescent="0.15"/>
    <row r="26078" s="69" customFormat="1" x14ac:dyDescent="0.15"/>
    <row r="26079" s="69" customFormat="1" x14ac:dyDescent="0.15"/>
    <row r="26080" s="69" customFormat="1" x14ac:dyDescent="0.15"/>
    <row r="26081" s="69" customFormat="1" x14ac:dyDescent="0.15"/>
    <row r="26082" s="69" customFormat="1" x14ac:dyDescent="0.15"/>
    <row r="26083" s="69" customFormat="1" x14ac:dyDescent="0.15"/>
    <row r="26084" s="69" customFormat="1" x14ac:dyDescent="0.15"/>
    <row r="26085" s="69" customFormat="1" x14ac:dyDescent="0.15"/>
    <row r="26086" s="69" customFormat="1" x14ac:dyDescent="0.15"/>
    <row r="26087" s="69" customFormat="1" x14ac:dyDescent="0.15"/>
    <row r="26088" s="69" customFormat="1" x14ac:dyDescent="0.15"/>
    <row r="26089" s="69" customFormat="1" x14ac:dyDescent="0.15"/>
    <row r="26090" s="69" customFormat="1" x14ac:dyDescent="0.15"/>
    <row r="26091" s="69" customFormat="1" x14ac:dyDescent="0.15"/>
    <row r="26092" s="69" customFormat="1" x14ac:dyDescent="0.15"/>
    <row r="26093" s="69" customFormat="1" x14ac:dyDescent="0.15"/>
    <row r="26094" s="69" customFormat="1" x14ac:dyDescent="0.15"/>
    <row r="26095" s="69" customFormat="1" x14ac:dyDescent="0.15"/>
    <row r="26096" s="69" customFormat="1" x14ac:dyDescent="0.15"/>
    <row r="26097" s="69" customFormat="1" x14ac:dyDescent="0.15"/>
    <row r="26098" s="69" customFormat="1" x14ac:dyDescent="0.15"/>
    <row r="26099" s="69" customFormat="1" x14ac:dyDescent="0.15"/>
    <row r="26100" s="69" customFormat="1" x14ac:dyDescent="0.15"/>
    <row r="26101" s="69" customFormat="1" x14ac:dyDescent="0.15"/>
    <row r="26102" s="69" customFormat="1" x14ac:dyDescent="0.15"/>
    <row r="26103" s="69" customFormat="1" x14ac:dyDescent="0.15"/>
    <row r="26104" s="69" customFormat="1" x14ac:dyDescent="0.15"/>
    <row r="26105" s="69" customFormat="1" x14ac:dyDescent="0.15"/>
    <row r="26106" s="69" customFormat="1" x14ac:dyDescent="0.15"/>
    <row r="26107" s="69" customFormat="1" x14ac:dyDescent="0.15"/>
    <row r="26108" s="69" customFormat="1" x14ac:dyDescent="0.15"/>
    <row r="26109" s="69" customFormat="1" x14ac:dyDescent="0.15"/>
    <row r="26110" s="69" customFormat="1" x14ac:dyDescent="0.15"/>
    <row r="26111" s="69" customFormat="1" x14ac:dyDescent="0.15"/>
    <row r="26112" s="69" customFormat="1" x14ac:dyDescent="0.15"/>
    <row r="26113" s="69" customFormat="1" x14ac:dyDescent="0.15"/>
    <row r="26114" s="69" customFormat="1" x14ac:dyDescent="0.15"/>
    <row r="26115" s="69" customFormat="1" x14ac:dyDescent="0.15"/>
    <row r="26116" s="69" customFormat="1" x14ac:dyDescent="0.15"/>
    <row r="26117" s="69" customFormat="1" x14ac:dyDescent="0.15"/>
    <row r="26118" s="69" customFormat="1" x14ac:dyDescent="0.15"/>
    <row r="26119" s="69" customFormat="1" x14ac:dyDescent="0.15"/>
    <row r="26120" s="69" customFormat="1" x14ac:dyDescent="0.15"/>
    <row r="26121" s="69" customFormat="1" x14ac:dyDescent="0.15"/>
    <row r="26122" s="69" customFormat="1" x14ac:dyDescent="0.15"/>
    <row r="26123" s="69" customFormat="1" x14ac:dyDescent="0.15"/>
    <row r="26124" s="69" customFormat="1" x14ac:dyDescent="0.15"/>
    <row r="26125" s="69" customFormat="1" x14ac:dyDescent="0.15"/>
    <row r="26126" s="69" customFormat="1" x14ac:dyDescent="0.15"/>
    <row r="26127" s="69" customFormat="1" x14ac:dyDescent="0.15"/>
    <row r="26128" s="69" customFormat="1" x14ac:dyDescent="0.15"/>
    <row r="26129" s="69" customFormat="1" x14ac:dyDescent="0.15"/>
    <row r="26130" s="69" customFormat="1" x14ac:dyDescent="0.15"/>
    <row r="26131" s="69" customFormat="1" x14ac:dyDescent="0.15"/>
    <row r="26132" s="69" customFormat="1" x14ac:dyDescent="0.15"/>
    <row r="26133" s="69" customFormat="1" x14ac:dyDescent="0.15"/>
    <row r="26134" s="69" customFormat="1" x14ac:dyDescent="0.15"/>
    <row r="26135" s="69" customFormat="1" x14ac:dyDescent="0.15"/>
    <row r="26136" s="69" customFormat="1" x14ac:dyDescent="0.15"/>
    <row r="26137" s="69" customFormat="1" x14ac:dyDescent="0.15"/>
    <row r="26138" s="69" customFormat="1" x14ac:dyDescent="0.15"/>
    <row r="26139" s="69" customFormat="1" x14ac:dyDescent="0.15"/>
    <row r="26140" s="69" customFormat="1" x14ac:dyDescent="0.15"/>
    <row r="26141" s="69" customFormat="1" x14ac:dyDescent="0.15"/>
    <row r="26142" s="69" customFormat="1" x14ac:dyDescent="0.15"/>
    <row r="26143" s="69" customFormat="1" x14ac:dyDescent="0.15"/>
    <row r="26144" s="69" customFormat="1" x14ac:dyDescent="0.15"/>
    <row r="26145" s="69" customFormat="1" x14ac:dyDescent="0.15"/>
    <row r="26146" s="69" customFormat="1" x14ac:dyDescent="0.15"/>
    <row r="26147" s="69" customFormat="1" x14ac:dyDescent="0.15"/>
    <row r="26148" s="69" customFormat="1" x14ac:dyDescent="0.15"/>
    <row r="26149" s="69" customFormat="1" x14ac:dyDescent="0.15"/>
    <row r="26150" s="69" customFormat="1" x14ac:dyDescent="0.15"/>
    <row r="26151" s="69" customFormat="1" x14ac:dyDescent="0.15"/>
    <row r="26152" s="69" customFormat="1" x14ac:dyDescent="0.15"/>
    <row r="26153" s="69" customFormat="1" x14ac:dyDescent="0.15"/>
    <row r="26154" s="69" customFormat="1" x14ac:dyDescent="0.15"/>
    <row r="26155" s="69" customFormat="1" x14ac:dyDescent="0.15"/>
    <row r="26156" s="69" customFormat="1" x14ac:dyDescent="0.15"/>
    <row r="26157" s="69" customFormat="1" x14ac:dyDescent="0.15"/>
    <row r="26158" s="69" customFormat="1" x14ac:dyDescent="0.15"/>
    <row r="26159" s="69" customFormat="1" x14ac:dyDescent="0.15"/>
    <row r="26160" s="69" customFormat="1" x14ac:dyDescent="0.15"/>
    <row r="26161" s="69" customFormat="1" x14ac:dyDescent="0.15"/>
    <row r="26162" s="69" customFormat="1" x14ac:dyDescent="0.15"/>
    <row r="26163" s="69" customFormat="1" x14ac:dyDescent="0.15"/>
    <row r="26164" s="69" customFormat="1" x14ac:dyDescent="0.15"/>
    <row r="26165" s="69" customFormat="1" x14ac:dyDescent="0.15"/>
    <row r="26166" s="69" customFormat="1" x14ac:dyDescent="0.15"/>
    <row r="26167" s="69" customFormat="1" x14ac:dyDescent="0.15"/>
    <row r="26168" s="69" customFormat="1" x14ac:dyDescent="0.15"/>
    <row r="26169" s="69" customFormat="1" x14ac:dyDescent="0.15"/>
    <row r="26170" s="69" customFormat="1" x14ac:dyDescent="0.15"/>
    <row r="26171" s="69" customFormat="1" x14ac:dyDescent="0.15"/>
    <row r="26172" s="69" customFormat="1" x14ac:dyDescent="0.15"/>
    <row r="26173" s="69" customFormat="1" x14ac:dyDescent="0.15"/>
    <row r="26174" s="69" customFormat="1" x14ac:dyDescent="0.15"/>
    <row r="26175" s="69" customFormat="1" x14ac:dyDescent="0.15"/>
    <row r="26176" s="69" customFormat="1" x14ac:dyDescent="0.15"/>
    <row r="26177" s="69" customFormat="1" x14ac:dyDescent="0.15"/>
    <row r="26178" s="69" customFormat="1" x14ac:dyDescent="0.15"/>
    <row r="26179" s="69" customFormat="1" x14ac:dyDescent="0.15"/>
    <row r="26180" s="69" customFormat="1" x14ac:dyDescent="0.15"/>
    <row r="26181" s="69" customFormat="1" x14ac:dyDescent="0.15"/>
    <row r="26182" s="69" customFormat="1" x14ac:dyDescent="0.15"/>
    <row r="26183" s="69" customFormat="1" x14ac:dyDescent="0.15"/>
    <row r="26184" s="69" customFormat="1" x14ac:dyDescent="0.15"/>
    <row r="26185" s="69" customFormat="1" x14ac:dyDescent="0.15"/>
    <row r="26186" s="69" customFormat="1" x14ac:dyDescent="0.15"/>
    <row r="26187" s="69" customFormat="1" x14ac:dyDescent="0.15"/>
    <row r="26188" s="69" customFormat="1" x14ac:dyDescent="0.15"/>
    <row r="26189" s="69" customFormat="1" x14ac:dyDescent="0.15"/>
    <row r="26190" s="69" customFormat="1" x14ac:dyDescent="0.15"/>
    <row r="26191" s="69" customFormat="1" x14ac:dyDescent="0.15"/>
    <row r="26192" s="69" customFormat="1" x14ac:dyDescent="0.15"/>
    <row r="26193" s="69" customFormat="1" x14ac:dyDescent="0.15"/>
    <row r="26194" s="69" customFormat="1" x14ac:dyDescent="0.15"/>
    <row r="26195" s="69" customFormat="1" x14ac:dyDescent="0.15"/>
    <row r="26196" s="69" customFormat="1" x14ac:dyDescent="0.15"/>
    <row r="26197" s="69" customFormat="1" x14ac:dyDescent="0.15"/>
    <row r="26198" s="69" customFormat="1" x14ac:dyDescent="0.15"/>
    <row r="26199" s="69" customFormat="1" x14ac:dyDescent="0.15"/>
    <row r="26200" s="69" customFormat="1" x14ac:dyDescent="0.15"/>
    <row r="26201" s="69" customFormat="1" x14ac:dyDescent="0.15"/>
    <row r="26202" s="69" customFormat="1" x14ac:dyDescent="0.15"/>
    <row r="26203" s="69" customFormat="1" x14ac:dyDescent="0.15"/>
    <row r="26204" s="69" customFormat="1" x14ac:dyDescent="0.15"/>
    <row r="26205" s="69" customFormat="1" x14ac:dyDescent="0.15"/>
    <row r="26206" s="69" customFormat="1" x14ac:dyDescent="0.15"/>
    <row r="26207" s="69" customFormat="1" x14ac:dyDescent="0.15"/>
    <row r="26208" s="69" customFormat="1" x14ac:dyDescent="0.15"/>
    <row r="26209" s="69" customFormat="1" x14ac:dyDescent="0.15"/>
    <row r="26210" s="69" customFormat="1" x14ac:dyDescent="0.15"/>
    <row r="26211" s="69" customFormat="1" x14ac:dyDescent="0.15"/>
    <row r="26212" s="69" customFormat="1" x14ac:dyDescent="0.15"/>
    <row r="26213" s="69" customFormat="1" x14ac:dyDescent="0.15"/>
    <row r="26214" s="69" customFormat="1" x14ac:dyDescent="0.15"/>
    <row r="26215" s="69" customFormat="1" x14ac:dyDescent="0.15"/>
    <row r="26216" s="69" customFormat="1" x14ac:dyDescent="0.15"/>
    <row r="26217" s="69" customFormat="1" x14ac:dyDescent="0.15"/>
    <row r="26218" s="69" customFormat="1" x14ac:dyDescent="0.15"/>
    <row r="26219" s="69" customFormat="1" x14ac:dyDescent="0.15"/>
    <row r="26220" s="69" customFormat="1" x14ac:dyDescent="0.15"/>
    <row r="26221" s="69" customFormat="1" x14ac:dyDescent="0.15"/>
    <row r="26222" s="69" customFormat="1" x14ac:dyDescent="0.15"/>
    <row r="26223" s="69" customFormat="1" x14ac:dyDescent="0.15"/>
    <row r="26224" s="69" customFormat="1" x14ac:dyDescent="0.15"/>
    <row r="26225" s="69" customFormat="1" x14ac:dyDescent="0.15"/>
    <row r="26226" s="69" customFormat="1" x14ac:dyDescent="0.15"/>
    <row r="26227" s="69" customFormat="1" x14ac:dyDescent="0.15"/>
    <row r="26228" s="69" customFormat="1" x14ac:dyDescent="0.15"/>
    <row r="26229" s="69" customFormat="1" x14ac:dyDescent="0.15"/>
    <row r="26230" s="69" customFormat="1" x14ac:dyDescent="0.15"/>
    <row r="26231" s="69" customFormat="1" x14ac:dyDescent="0.15"/>
    <row r="26232" s="69" customFormat="1" x14ac:dyDescent="0.15"/>
    <row r="26233" s="69" customFormat="1" x14ac:dyDescent="0.15"/>
    <row r="26234" s="69" customFormat="1" x14ac:dyDescent="0.15"/>
    <row r="26235" s="69" customFormat="1" x14ac:dyDescent="0.15"/>
    <row r="26236" s="69" customFormat="1" x14ac:dyDescent="0.15"/>
    <row r="26237" s="69" customFormat="1" x14ac:dyDescent="0.15"/>
    <row r="26238" s="69" customFormat="1" x14ac:dyDescent="0.15"/>
    <row r="26239" s="69" customFormat="1" x14ac:dyDescent="0.15"/>
    <row r="26240" s="69" customFormat="1" x14ac:dyDescent="0.15"/>
    <row r="26241" s="69" customFormat="1" x14ac:dyDescent="0.15"/>
    <row r="26242" s="69" customFormat="1" x14ac:dyDescent="0.15"/>
    <row r="26243" s="69" customFormat="1" x14ac:dyDescent="0.15"/>
    <row r="26244" s="69" customFormat="1" x14ac:dyDescent="0.15"/>
    <row r="26245" s="69" customFormat="1" x14ac:dyDescent="0.15"/>
    <row r="26246" s="69" customFormat="1" x14ac:dyDescent="0.15"/>
    <row r="26247" s="69" customFormat="1" x14ac:dyDescent="0.15"/>
    <row r="26248" s="69" customFormat="1" x14ac:dyDescent="0.15"/>
    <row r="26249" s="69" customFormat="1" x14ac:dyDescent="0.15"/>
    <row r="26250" s="69" customFormat="1" x14ac:dyDescent="0.15"/>
    <row r="26251" s="69" customFormat="1" x14ac:dyDescent="0.15"/>
    <row r="26252" s="69" customFormat="1" x14ac:dyDescent="0.15"/>
    <row r="26253" s="69" customFormat="1" x14ac:dyDescent="0.15"/>
    <row r="26254" s="69" customFormat="1" x14ac:dyDescent="0.15"/>
    <row r="26255" s="69" customFormat="1" x14ac:dyDescent="0.15"/>
    <row r="26256" s="69" customFormat="1" x14ac:dyDescent="0.15"/>
    <row r="26257" s="69" customFormat="1" x14ac:dyDescent="0.15"/>
    <row r="26258" s="69" customFormat="1" x14ac:dyDescent="0.15"/>
    <row r="26259" s="69" customFormat="1" x14ac:dyDescent="0.15"/>
    <row r="26260" s="69" customFormat="1" x14ac:dyDescent="0.15"/>
    <row r="26261" s="69" customFormat="1" x14ac:dyDescent="0.15"/>
    <row r="26262" s="69" customFormat="1" x14ac:dyDescent="0.15"/>
    <row r="26263" s="69" customFormat="1" x14ac:dyDescent="0.15"/>
    <row r="26264" s="69" customFormat="1" x14ac:dyDescent="0.15"/>
    <row r="26265" s="69" customFormat="1" x14ac:dyDescent="0.15"/>
    <row r="26266" s="69" customFormat="1" x14ac:dyDescent="0.15"/>
    <row r="26267" s="69" customFormat="1" x14ac:dyDescent="0.15"/>
    <row r="26268" s="69" customFormat="1" x14ac:dyDescent="0.15"/>
    <row r="26269" s="69" customFormat="1" x14ac:dyDescent="0.15"/>
    <row r="26270" s="69" customFormat="1" x14ac:dyDescent="0.15"/>
    <row r="26271" s="69" customFormat="1" x14ac:dyDescent="0.15"/>
    <row r="26272" s="69" customFormat="1" x14ac:dyDescent="0.15"/>
    <row r="26273" s="69" customFormat="1" x14ac:dyDescent="0.15"/>
    <row r="26274" s="69" customFormat="1" x14ac:dyDescent="0.15"/>
    <row r="26275" s="69" customFormat="1" x14ac:dyDescent="0.15"/>
    <row r="26276" s="69" customFormat="1" x14ac:dyDescent="0.15"/>
    <row r="26277" s="69" customFormat="1" x14ac:dyDescent="0.15"/>
    <row r="26278" s="69" customFormat="1" x14ac:dyDescent="0.15"/>
    <row r="26279" s="69" customFormat="1" x14ac:dyDescent="0.15"/>
    <row r="26280" s="69" customFormat="1" x14ac:dyDescent="0.15"/>
    <row r="26281" s="69" customFormat="1" x14ac:dyDescent="0.15"/>
    <row r="26282" s="69" customFormat="1" x14ac:dyDescent="0.15"/>
    <row r="26283" s="69" customFormat="1" x14ac:dyDescent="0.15"/>
    <row r="26284" s="69" customFormat="1" x14ac:dyDescent="0.15"/>
    <row r="26285" s="69" customFormat="1" x14ac:dyDescent="0.15"/>
    <row r="26286" s="69" customFormat="1" x14ac:dyDescent="0.15"/>
    <row r="26287" s="69" customFormat="1" x14ac:dyDescent="0.15"/>
    <row r="26288" s="69" customFormat="1" x14ac:dyDescent="0.15"/>
    <row r="26289" s="69" customFormat="1" x14ac:dyDescent="0.15"/>
    <row r="26290" s="69" customFormat="1" x14ac:dyDescent="0.15"/>
    <row r="26291" s="69" customFormat="1" x14ac:dyDescent="0.15"/>
    <row r="26292" s="69" customFormat="1" x14ac:dyDescent="0.15"/>
    <row r="26293" s="69" customFormat="1" x14ac:dyDescent="0.15"/>
    <row r="26294" s="69" customFormat="1" x14ac:dyDescent="0.15"/>
    <row r="26295" s="69" customFormat="1" x14ac:dyDescent="0.15"/>
    <row r="26296" s="69" customFormat="1" x14ac:dyDescent="0.15"/>
    <row r="26297" s="69" customFormat="1" x14ac:dyDescent="0.15"/>
    <row r="26298" s="69" customFormat="1" x14ac:dyDescent="0.15"/>
    <row r="26299" s="69" customFormat="1" x14ac:dyDescent="0.15"/>
    <row r="26300" s="69" customFormat="1" x14ac:dyDescent="0.15"/>
    <row r="26301" s="69" customFormat="1" x14ac:dyDescent="0.15"/>
    <row r="26302" s="69" customFormat="1" x14ac:dyDescent="0.15"/>
    <row r="26303" s="69" customFormat="1" x14ac:dyDescent="0.15"/>
    <row r="26304" s="69" customFormat="1" x14ac:dyDescent="0.15"/>
    <row r="26305" s="69" customFormat="1" x14ac:dyDescent="0.15"/>
    <row r="26306" s="69" customFormat="1" x14ac:dyDescent="0.15"/>
    <row r="26307" s="69" customFormat="1" x14ac:dyDescent="0.15"/>
    <row r="26308" s="69" customFormat="1" x14ac:dyDescent="0.15"/>
    <row r="26309" s="69" customFormat="1" x14ac:dyDescent="0.15"/>
    <row r="26310" s="69" customFormat="1" x14ac:dyDescent="0.15"/>
    <row r="26311" s="69" customFormat="1" x14ac:dyDescent="0.15"/>
    <row r="26312" s="69" customFormat="1" x14ac:dyDescent="0.15"/>
    <row r="26313" s="69" customFormat="1" x14ac:dyDescent="0.15"/>
    <row r="26314" s="69" customFormat="1" x14ac:dyDescent="0.15"/>
    <row r="26315" s="69" customFormat="1" x14ac:dyDescent="0.15"/>
    <row r="26316" s="69" customFormat="1" x14ac:dyDescent="0.15"/>
    <row r="26317" s="69" customFormat="1" x14ac:dyDescent="0.15"/>
    <row r="26318" s="69" customFormat="1" x14ac:dyDescent="0.15"/>
    <row r="26319" s="69" customFormat="1" x14ac:dyDescent="0.15"/>
    <row r="26320" s="69" customFormat="1" x14ac:dyDescent="0.15"/>
    <row r="26321" s="69" customFormat="1" x14ac:dyDescent="0.15"/>
    <row r="26322" s="69" customFormat="1" x14ac:dyDescent="0.15"/>
    <row r="26323" s="69" customFormat="1" x14ac:dyDescent="0.15"/>
    <row r="26324" s="69" customFormat="1" x14ac:dyDescent="0.15"/>
    <row r="26325" s="69" customFormat="1" x14ac:dyDescent="0.15"/>
    <row r="26326" s="69" customFormat="1" x14ac:dyDescent="0.15"/>
    <row r="26327" s="69" customFormat="1" x14ac:dyDescent="0.15"/>
    <row r="26328" s="69" customFormat="1" x14ac:dyDescent="0.15"/>
    <row r="26329" s="69" customFormat="1" x14ac:dyDescent="0.15"/>
    <row r="26330" s="69" customFormat="1" x14ac:dyDescent="0.15"/>
    <row r="26331" s="69" customFormat="1" x14ac:dyDescent="0.15"/>
    <row r="26332" s="69" customFormat="1" x14ac:dyDescent="0.15"/>
    <row r="26333" s="69" customFormat="1" x14ac:dyDescent="0.15"/>
    <row r="26334" s="69" customFormat="1" x14ac:dyDescent="0.15"/>
    <row r="26335" s="69" customFormat="1" x14ac:dyDescent="0.15"/>
    <row r="26336" s="69" customFormat="1" x14ac:dyDescent="0.15"/>
    <row r="26337" s="69" customFormat="1" x14ac:dyDescent="0.15"/>
    <row r="26338" s="69" customFormat="1" x14ac:dyDescent="0.15"/>
    <row r="26339" s="69" customFormat="1" x14ac:dyDescent="0.15"/>
    <row r="26340" s="69" customFormat="1" x14ac:dyDescent="0.15"/>
    <row r="26341" s="69" customFormat="1" x14ac:dyDescent="0.15"/>
    <row r="26342" s="69" customFormat="1" x14ac:dyDescent="0.15"/>
    <row r="26343" s="69" customFormat="1" x14ac:dyDescent="0.15"/>
    <row r="26344" s="69" customFormat="1" x14ac:dyDescent="0.15"/>
    <row r="26345" s="69" customFormat="1" x14ac:dyDescent="0.15"/>
    <row r="26346" s="69" customFormat="1" x14ac:dyDescent="0.15"/>
    <row r="26347" s="69" customFormat="1" x14ac:dyDescent="0.15"/>
    <row r="26348" s="69" customFormat="1" x14ac:dyDescent="0.15"/>
    <row r="26349" s="69" customFormat="1" x14ac:dyDescent="0.15"/>
    <row r="26350" s="69" customFormat="1" x14ac:dyDescent="0.15"/>
    <row r="26351" s="69" customFormat="1" x14ac:dyDescent="0.15"/>
    <row r="26352" s="69" customFormat="1" x14ac:dyDescent="0.15"/>
    <row r="26353" s="69" customFormat="1" x14ac:dyDescent="0.15"/>
    <row r="26354" s="69" customFormat="1" x14ac:dyDescent="0.15"/>
    <row r="26355" s="69" customFormat="1" x14ac:dyDescent="0.15"/>
    <row r="26356" s="69" customFormat="1" x14ac:dyDescent="0.15"/>
    <row r="26357" s="69" customFormat="1" x14ac:dyDescent="0.15"/>
    <row r="26358" s="69" customFormat="1" x14ac:dyDescent="0.15"/>
    <row r="26359" s="69" customFormat="1" x14ac:dyDescent="0.15"/>
    <row r="26360" s="69" customFormat="1" x14ac:dyDescent="0.15"/>
    <row r="26361" s="69" customFormat="1" x14ac:dyDescent="0.15"/>
    <row r="26362" s="69" customFormat="1" x14ac:dyDescent="0.15"/>
    <row r="26363" s="69" customFormat="1" x14ac:dyDescent="0.15"/>
    <row r="26364" s="69" customFormat="1" x14ac:dyDescent="0.15"/>
    <row r="26365" s="69" customFormat="1" x14ac:dyDescent="0.15"/>
    <row r="26366" s="69" customFormat="1" x14ac:dyDescent="0.15"/>
    <row r="26367" s="69" customFormat="1" x14ac:dyDescent="0.15"/>
    <row r="26368" s="69" customFormat="1" x14ac:dyDescent="0.15"/>
    <row r="26369" s="69" customFormat="1" x14ac:dyDescent="0.15"/>
    <row r="26370" s="69" customFormat="1" x14ac:dyDescent="0.15"/>
    <row r="26371" s="69" customFormat="1" x14ac:dyDescent="0.15"/>
    <row r="26372" s="69" customFormat="1" x14ac:dyDescent="0.15"/>
    <row r="26373" s="69" customFormat="1" x14ac:dyDescent="0.15"/>
    <row r="26374" s="69" customFormat="1" x14ac:dyDescent="0.15"/>
    <row r="26375" s="69" customFormat="1" x14ac:dyDescent="0.15"/>
    <row r="26376" s="69" customFormat="1" x14ac:dyDescent="0.15"/>
    <row r="26377" s="69" customFormat="1" x14ac:dyDescent="0.15"/>
    <row r="26378" s="69" customFormat="1" x14ac:dyDescent="0.15"/>
    <row r="26379" s="69" customFormat="1" x14ac:dyDescent="0.15"/>
    <row r="26380" s="69" customFormat="1" x14ac:dyDescent="0.15"/>
    <row r="26381" s="69" customFormat="1" x14ac:dyDescent="0.15"/>
    <row r="26382" s="69" customFormat="1" x14ac:dyDescent="0.15"/>
    <row r="26383" s="69" customFormat="1" x14ac:dyDescent="0.15"/>
    <row r="26384" s="69" customFormat="1" x14ac:dyDescent="0.15"/>
    <row r="26385" s="69" customFormat="1" x14ac:dyDescent="0.15"/>
    <row r="26386" s="69" customFormat="1" x14ac:dyDescent="0.15"/>
    <row r="26387" s="69" customFormat="1" x14ac:dyDescent="0.15"/>
    <row r="26388" s="69" customFormat="1" x14ac:dyDescent="0.15"/>
    <row r="26389" s="69" customFormat="1" x14ac:dyDescent="0.15"/>
    <row r="26390" s="69" customFormat="1" x14ac:dyDescent="0.15"/>
    <row r="26391" s="69" customFormat="1" x14ac:dyDescent="0.15"/>
    <row r="26392" s="69" customFormat="1" x14ac:dyDescent="0.15"/>
    <row r="26393" s="69" customFormat="1" x14ac:dyDescent="0.15"/>
    <row r="26394" s="69" customFormat="1" x14ac:dyDescent="0.15"/>
    <row r="26395" s="69" customFormat="1" x14ac:dyDescent="0.15"/>
    <row r="26396" s="69" customFormat="1" x14ac:dyDescent="0.15"/>
    <row r="26397" s="69" customFormat="1" x14ac:dyDescent="0.15"/>
    <row r="26398" s="69" customFormat="1" x14ac:dyDescent="0.15"/>
    <row r="26399" s="69" customFormat="1" x14ac:dyDescent="0.15"/>
    <row r="26400" s="69" customFormat="1" x14ac:dyDescent="0.15"/>
    <row r="26401" s="69" customFormat="1" x14ac:dyDescent="0.15"/>
    <row r="26402" s="69" customFormat="1" x14ac:dyDescent="0.15"/>
    <row r="26403" s="69" customFormat="1" x14ac:dyDescent="0.15"/>
    <row r="26404" s="69" customFormat="1" x14ac:dyDescent="0.15"/>
    <row r="26405" s="69" customFormat="1" x14ac:dyDescent="0.15"/>
    <row r="26406" s="69" customFormat="1" x14ac:dyDescent="0.15"/>
    <row r="26407" s="69" customFormat="1" x14ac:dyDescent="0.15"/>
    <row r="26408" s="69" customFormat="1" x14ac:dyDescent="0.15"/>
    <row r="26409" s="69" customFormat="1" x14ac:dyDescent="0.15"/>
    <row r="26410" s="69" customFormat="1" x14ac:dyDescent="0.15"/>
    <row r="26411" s="69" customFormat="1" x14ac:dyDescent="0.15"/>
    <row r="26412" s="69" customFormat="1" x14ac:dyDescent="0.15"/>
    <row r="26413" s="69" customFormat="1" x14ac:dyDescent="0.15"/>
    <row r="26414" s="69" customFormat="1" x14ac:dyDescent="0.15"/>
    <row r="26415" s="69" customFormat="1" x14ac:dyDescent="0.15"/>
    <row r="26416" s="69" customFormat="1" x14ac:dyDescent="0.15"/>
    <row r="26417" s="69" customFormat="1" x14ac:dyDescent="0.15"/>
    <row r="26418" s="69" customFormat="1" x14ac:dyDescent="0.15"/>
    <row r="26419" s="69" customFormat="1" x14ac:dyDescent="0.15"/>
    <row r="26420" s="69" customFormat="1" x14ac:dyDescent="0.15"/>
    <row r="26421" s="69" customFormat="1" x14ac:dyDescent="0.15"/>
    <row r="26422" s="69" customFormat="1" x14ac:dyDescent="0.15"/>
    <row r="26423" s="69" customFormat="1" x14ac:dyDescent="0.15"/>
    <row r="26424" s="69" customFormat="1" x14ac:dyDescent="0.15"/>
    <row r="26425" s="69" customFormat="1" x14ac:dyDescent="0.15"/>
    <row r="26426" s="69" customFormat="1" x14ac:dyDescent="0.15"/>
    <row r="26427" s="69" customFormat="1" x14ac:dyDescent="0.15"/>
    <row r="26428" s="69" customFormat="1" x14ac:dyDescent="0.15"/>
    <row r="26429" s="69" customFormat="1" x14ac:dyDescent="0.15"/>
    <row r="26430" s="69" customFormat="1" x14ac:dyDescent="0.15"/>
    <row r="26431" s="69" customFormat="1" x14ac:dyDescent="0.15"/>
    <row r="26432" s="69" customFormat="1" x14ac:dyDescent="0.15"/>
    <row r="26433" s="69" customFormat="1" x14ac:dyDescent="0.15"/>
    <row r="26434" s="69" customFormat="1" x14ac:dyDescent="0.15"/>
    <row r="26435" s="69" customFormat="1" x14ac:dyDescent="0.15"/>
    <row r="26436" s="69" customFormat="1" x14ac:dyDescent="0.15"/>
    <row r="26437" s="69" customFormat="1" x14ac:dyDescent="0.15"/>
    <row r="26438" s="69" customFormat="1" x14ac:dyDescent="0.15"/>
    <row r="26439" s="69" customFormat="1" x14ac:dyDescent="0.15"/>
    <row r="26440" s="69" customFormat="1" x14ac:dyDescent="0.15"/>
    <row r="26441" s="69" customFormat="1" x14ac:dyDescent="0.15"/>
    <row r="26442" s="69" customFormat="1" x14ac:dyDescent="0.15"/>
    <row r="26443" s="69" customFormat="1" x14ac:dyDescent="0.15"/>
    <row r="26444" s="69" customFormat="1" x14ac:dyDescent="0.15"/>
    <row r="26445" s="69" customFormat="1" x14ac:dyDescent="0.15"/>
    <row r="26446" s="69" customFormat="1" x14ac:dyDescent="0.15"/>
    <row r="26447" s="69" customFormat="1" x14ac:dyDescent="0.15"/>
    <row r="26448" s="69" customFormat="1" x14ac:dyDescent="0.15"/>
    <row r="26449" s="69" customFormat="1" x14ac:dyDescent="0.15"/>
    <row r="26450" s="69" customFormat="1" x14ac:dyDescent="0.15"/>
    <row r="26451" s="69" customFormat="1" x14ac:dyDescent="0.15"/>
    <row r="26452" s="69" customFormat="1" x14ac:dyDescent="0.15"/>
    <row r="26453" s="69" customFormat="1" x14ac:dyDescent="0.15"/>
    <row r="26454" s="69" customFormat="1" x14ac:dyDescent="0.15"/>
    <row r="26455" s="69" customFormat="1" x14ac:dyDescent="0.15"/>
    <row r="26456" s="69" customFormat="1" x14ac:dyDescent="0.15"/>
    <row r="26457" s="69" customFormat="1" x14ac:dyDescent="0.15"/>
    <row r="26458" s="69" customFormat="1" x14ac:dyDescent="0.15"/>
    <row r="26459" s="69" customFormat="1" x14ac:dyDescent="0.15"/>
    <row r="26460" s="69" customFormat="1" x14ac:dyDescent="0.15"/>
    <row r="26461" s="69" customFormat="1" x14ac:dyDescent="0.15"/>
    <row r="26462" s="69" customFormat="1" x14ac:dyDescent="0.15"/>
    <row r="26463" s="69" customFormat="1" x14ac:dyDescent="0.15"/>
    <row r="26464" s="69" customFormat="1" x14ac:dyDescent="0.15"/>
    <row r="26465" s="69" customFormat="1" x14ac:dyDescent="0.15"/>
    <row r="26466" s="69" customFormat="1" x14ac:dyDescent="0.15"/>
    <row r="26467" s="69" customFormat="1" x14ac:dyDescent="0.15"/>
    <row r="26468" s="69" customFormat="1" x14ac:dyDescent="0.15"/>
    <row r="26469" s="69" customFormat="1" x14ac:dyDescent="0.15"/>
    <row r="26470" s="69" customFormat="1" x14ac:dyDescent="0.15"/>
    <row r="26471" s="69" customFormat="1" x14ac:dyDescent="0.15"/>
    <row r="26472" s="69" customFormat="1" x14ac:dyDescent="0.15"/>
    <row r="26473" s="69" customFormat="1" x14ac:dyDescent="0.15"/>
    <row r="26474" s="69" customFormat="1" x14ac:dyDescent="0.15"/>
    <row r="26475" s="69" customFormat="1" x14ac:dyDescent="0.15"/>
    <row r="26476" s="69" customFormat="1" x14ac:dyDescent="0.15"/>
    <row r="26477" s="69" customFormat="1" x14ac:dyDescent="0.15"/>
    <row r="26478" s="69" customFormat="1" x14ac:dyDescent="0.15"/>
    <row r="26479" s="69" customFormat="1" x14ac:dyDescent="0.15"/>
    <row r="26480" s="69" customFormat="1" x14ac:dyDescent="0.15"/>
    <row r="26481" s="69" customFormat="1" x14ac:dyDescent="0.15"/>
    <row r="26482" s="69" customFormat="1" x14ac:dyDescent="0.15"/>
    <row r="26483" s="69" customFormat="1" x14ac:dyDescent="0.15"/>
    <row r="26484" s="69" customFormat="1" x14ac:dyDescent="0.15"/>
    <row r="26485" s="69" customFormat="1" x14ac:dyDescent="0.15"/>
    <row r="26486" s="69" customFormat="1" x14ac:dyDescent="0.15"/>
    <row r="26487" s="69" customFormat="1" x14ac:dyDescent="0.15"/>
    <row r="26488" s="69" customFormat="1" x14ac:dyDescent="0.15"/>
    <row r="26489" s="69" customFormat="1" x14ac:dyDescent="0.15"/>
    <row r="26490" s="69" customFormat="1" x14ac:dyDescent="0.15"/>
    <row r="26491" s="69" customFormat="1" x14ac:dyDescent="0.15"/>
    <row r="26492" s="69" customFormat="1" x14ac:dyDescent="0.15"/>
    <row r="26493" s="69" customFormat="1" x14ac:dyDescent="0.15"/>
    <row r="26494" s="69" customFormat="1" x14ac:dyDescent="0.15"/>
    <row r="26495" s="69" customFormat="1" x14ac:dyDescent="0.15"/>
    <row r="26496" s="69" customFormat="1" x14ac:dyDescent="0.15"/>
    <row r="26497" s="69" customFormat="1" x14ac:dyDescent="0.15"/>
    <row r="26498" s="69" customFormat="1" x14ac:dyDescent="0.15"/>
    <row r="26499" s="69" customFormat="1" x14ac:dyDescent="0.15"/>
    <row r="26500" s="69" customFormat="1" x14ac:dyDescent="0.15"/>
    <row r="26501" s="69" customFormat="1" x14ac:dyDescent="0.15"/>
    <row r="26502" s="69" customFormat="1" x14ac:dyDescent="0.15"/>
    <row r="26503" s="69" customFormat="1" x14ac:dyDescent="0.15"/>
    <row r="26504" s="69" customFormat="1" x14ac:dyDescent="0.15"/>
    <row r="26505" s="69" customFormat="1" x14ac:dyDescent="0.15"/>
    <row r="26506" s="69" customFormat="1" x14ac:dyDescent="0.15"/>
    <row r="26507" s="69" customFormat="1" x14ac:dyDescent="0.15"/>
    <row r="26508" s="69" customFormat="1" x14ac:dyDescent="0.15"/>
    <row r="26509" s="69" customFormat="1" x14ac:dyDescent="0.15"/>
    <row r="26510" s="69" customFormat="1" x14ac:dyDescent="0.15"/>
    <row r="26511" s="69" customFormat="1" x14ac:dyDescent="0.15"/>
    <row r="26512" s="69" customFormat="1" x14ac:dyDescent="0.15"/>
    <row r="26513" s="69" customFormat="1" x14ac:dyDescent="0.15"/>
    <row r="26514" s="69" customFormat="1" x14ac:dyDescent="0.15"/>
    <row r="26515" s="69" customFormat="1" x14ac:dyDescent="0.15"/>
    <row r="26516" s="69" customFormat="1" x14ac:dyDescent="0.15"/>
    <row r="26517" s="69" customFormat="1" x14ac:dyDescent="0.15"/>
    <row r="26518" s="69" customFormat="1" x14ac:dyDescent="0.15"/>
    <row r="26519" s="69" customFormat="1" x14ac:dyDescent="0.15"/>
    <row r="26520" s="69" customFormat="1" x14ac:dyDescent="0.15"/>
    <row r="26521" s="69" customFormat="1" x14ac:dyDescent="0.15"/>
    <row r="26522" s="69" customFormat="1" x14ac:dyDescent="0.15"/>
    <row r="26523" s="69" customFormat="1" x14ac:dyDescent="0.15"/>
    <row r="26524" s="69" customFormat="1" x14ac:dyDescent="0.15"/>
    <row r="26525" s="69" customFormat="1" x14ac:dyDescent="0.15"/>
    <row r="26526" s="69" customFormat="1" x14ac:dyDescent="0.15"/>
    <row r="26527" s="69" customFormat="1" x14ac:dyDescent="0.15"/>
    <row r="26528" s="69" customFormat="1" x14ac:dyDescent="0.15"/>
    <row r="26529" s="69" customFormat="1" x14ac:dyDescent="0.15"/>
    <row r="26530" s="69" customFormat="1" x14ac:dyDescent="0.15"/>
    <row r="26531" s="69" customFormat="1" x14ac:dyDescent="0.15"/>
    <row r="26532" s="69" customFormat="1" x14ac:dyDescent="0.15"/>
    <row r="26533" s="69" customFormat="1" x14ac:dyDescent="0.15"/>
    <row r="26534" s="69" customFormat="1" x14ac:dyDescent="0.15"/>
    <row r="26535" s="69" customFormat="1" x14ac:dyDescent="0.15"/>
    <row r="26536" s="69" customFormat="1" x14ac:dyDescent="0.15"/>
    <row r="26537" s="69" customFormat="1" x14ac:dyDescent="0.15"/>
    <row r="26538" s="69" customFormat="1" x14ac:dyDescent="0.15"/>
    <row r="26539" s="69" customFormat="1" x14ac:dyDescent="0.15"/>
    <row r="26540" s="69" customFormat="1" x14ac:dyDescent="0.15"/>
    <row r="26541" s="69" customFormat="1" x14ac:dyDescent="0.15"/>
    <row r="26542" s="69" customFormat="1" x14ac:dyDescent="0.15"/>
    <row r="26543" s="69" customFormat="1" x14ac:dyDescent="0.15"/>
    <row r="26544" s="69" customFormat="1" x14ac:dyDescent="0.15"/>
    <row r="26545" s="69" customFormat="1" x14ac:dyDescent="0.15"/>
    <row r="26546" s="69" customFormat="1" x14ac:dyDescent="0.15"/>
    <row r="26547" s="69" customFormat="1" x14ac:dyDescent="0.15"/>
    <row r="26548" s="69" customFormat="1" x14ac:dyDescent="0.15"/>
    <row r="26549" s="69" customFormat="1" x14ac:dyDescent="0.15"/>
    <row r="26550" s="69" customFormat="1" x14ac:dyDescent="0.15"/>
    <row r="26551" s="69" customFormat="1" x14ac:dyDescent="0.15"/>
    <row r="26552" s="69" customFormat="1" x14ac:dyDescent="0.15"/>
    <row r="26553" s="69" customFormat="1" x14ac:dyDescent="0.15"/>
    <row r="26554" s="69" customFormat="1" x14ac:dyDescent="0.15"/>
    <row r="26555" s="69" customFormat="1" x14ac:dyDescent="0.15"/>
    <row r="26556" s="69" customFormat="1" x14ac:dyDescent="0.15"/>
    <row r="26557" s="69" customFormat="1" x14ac:dyDescent="0.15"/>
    <row r="26558" s="69" customFormat="1" x14ac:dyDescent="0.15"/>
    <row r="26559" s="69" customFormat="1" x14ac:dyDescent="0.15"/>
    <row r="26560" s="69" customFormat="1" x14ac:dyDescent="0.15"/>
    <row r="26561" s="69" customFormat="1" x14ac:dyDescent="0.15"/>
    <row r="26562" s="69" customFormat="1" x14ac:dyDescent="0.15"/>
    <row r="26563" s="69" customFormat="1" x14ac:dyDescent="0.15"/>
    <row r="26564" s="69" customFormat="1" x14ac:dyDescent="0.15"/>
    <row r="26565" s="69" customFormat="1" x14ac:dyDescent="0.15"/>
    <row r="26566" s="69" customFormat="1" x14ac:dyDescent="0.15"/>
    <row r="26567" s="69" customFormat="1" x14ac:dyDescent="0.15"/>
    <row r="26568" s="69" customFormat="1" x14ac:dyDescent="0.15"/>
    <row r="26569" s="69" customFormat="1" x14ac:dyDescent="0.15"/>
    <row r="26570" s="69" customFormat="1" x14ac:dyDescent="0.15"/>
    <row r="26571" s="69" customFormat="1" x14ac:dyDescent="0.15"/>
    <row r="26572" s="69" customFormat="1" x14ac:dyDescent="0.15"/>
    <row r="26573" s="69" customFormat="1" x14ac:dyDescent="0.15"/>
    <row r="26574" s="69" customFormat="1" x14ac:dyDescent="0.15"/>
    <row r="26575" s="69" customFormat="1" x14ac:dyDescent="0.15"/>
    <row r="26576" s="69" customFormat="1" x14ac:dyDescent="0.15"/>
    <row r="26577" s="69" customFormat="1" x14ac:dyDescent="0.15"/>
    <row r="26578" s="69" customFormat="1" x14ac:dyDescent="0.15"/>
    <row r="26579" s="69" customFormat="1" x14ac:dyDescent="0.15"/>
    <row r="26580" s="69" customFormat="1" x14ac:dyDescent="0.15"/>
    <row r="26581" s="69" customFormat="1" x14ac:dyDescent="0.15"/>
    <row r="26582" s="69" customFormat="1" x14ac:dyDescent="0.15"/>
    <row r="26583" s="69" customFormat="1" x14ac:dyDescent="0.15"/>
    <row r="26584" s="69" customFormat="1" x14ac:dyDescent="0.15"/>
    <row r="26585" s="69" customFormat="1" x14ac:dyDescent="0.15"/>
    <row r="26586" s="69" customFormat="1" x14ac:dyDescent="0.15"/>
    <row r="26587" s="69" customFormat="1" x14ac:dyDescent="0.15"/>
    <row r="26588" s="69" customFormat="1" x14ac:dyDescent="0.15"/>
    <row r="26589" s="69" customFormat="1" x14ac:dyDescent="0.15"/>
    <row r="26590" s="69" customFormat="1" x14ac:dyDescent="0.15"/>
    <row r="26591" s="69" customFormat="1" x14ac:dyDescent="0.15"/>
    <row r="26592" s="69" customFormat="1" x14ac:dyDescent="0.15"/>
    <row r="26593" s="69" customFormat="1" x14ac:dyDescent="0.15"/>
    <row r="26594" s="69" customFormat="1" x14ac:dyDescent="0.15"/>
    <row r="26595" s="69" customFormat="1" x14ac:dyDescent="0.15"/>
    <row r="26596" s="69" customFormat="1" x14ac:dyDescent="0.15"/>
    <row r="26597" s="69" customFormat="1" x14ac:dyDescent="0.15"/>
    <row r="26598" s="69" customFormat="1" x14ac:dyDescent="0.15"/>
    <row r="26599" s="69" customFormat="1" x14ac:dyDescent="0.15"/>
    <row r="26600" s="69" customFormat="1" x14ac:dyDescent="0.15"/>
    <row r="26601" s="69" customFormat="1" x14ac:dyDescent="0.15"/>
    <row r="26602" s="69" customFormat="1" x14ac:dyDescent="0.15"/>
    <row r="26603" s="69" customFormat="1" x14ac:dyDescent="0.15"/>
    <row r="26604" s="69" customFormat="1" x14ac:dyDescent="0.15"/>
    <row r="26605" s="69" customFormat="1" x14ac:dyDescent="0.15"/>
    <row r="26606" s="69" customFormat="1" x14ac:dyDescent="0.15"/>
    <row r="26607" s="69" customFormat="1" x14ac:dyDescent="0.15"/>
    <row r="26608" s="69" customFormat="1" x14ac:dyDescent="0.15"/>
    <row r="26609" s="69" customFormat="1" x14ac:dyDescent="0.15"/>
    <row r="26610" s="69" customFormat="1" x14ac:dyDescent="0.15"/>
    <row r="26611" s="69" customFormat="1" x14ac:dyDescent="0.15"/>
    <row r="26612" s="69" customFormat="1" x14ac:dyDescent="0.15"/>
    <row r="26613" s="69" customFormat="1" x14ac:dyDescent="0.15"/>
    <row r="26614" s="69" customFormat="1" x14ac:dyDescent="0.15"/>
    <row r="26615" s="69" customFormat="1" x14ac:dyDescent="0.15"/>
    <row r="26616" s="69" customFormat="1" x14ac:dyDescent="0.15"/>
    <row r="26617" s="69" customFormat="1" x14ac:dyDescent="0.15"/>
    <row r="26618" s="69" customFormat="1" x14ac:dyDescent="0.15"/>
    <row r="26619" s="69" customFormat="1" x14ac:dyDescent="0.15"/>
    <row r="26620" s="69" customFormat="1" x14ac:dyDescent="0.15"/>
    <row r="26621" s="69" customFormat="1" x14ac:dyDescent="0.15"/>
    <row r="26622" s="69" customFormat="1" x14ac:dyDescent="0.15"/>
    <row r="26623" s="69" customFormat="1" x14ac:dyDescent="0.15"/>
    <row r="26624" s="69" customFormat="1" x14ac:dyDescent="0.15"/>
    <row r="26625" s="69" customFormat="1" x14ac:dyDescent="0.15"/>
    <row r="26626" s="69" customFormat="1" x14ac:dyDescent="0.15"/>
    <row r="26627" s="69" customFormat="1" x14ac:dyDescent="0.15"/>
    <row r="26628" s="69" customFormat="1" x14ac:dyDescent="0.15"/>
    <row r="26629" s="69" customFormat="1" x14ac:dyDescent="0.15"/>
    <row r="26630" s="69" customFormat="1" x14ac:dyDescent="0.15"/>
    <row r="26631" s="69" customFormat="1" x14ac:dyDescent="0.15"/>
    <row r="26632" s="69" customFormat="1" x14ac:dyDescent="0.15"/>
    <row r="26633" s="69" customFormat="1" x14ac:dyDescent="0.15"/>
    <row r="26634" s="69" customFormat="1" x14ac:dyDescent="0.15"/>
    <row r="26635" s="69" customFormat="1" x14ac:dyDescent="0.15"/>
    <row r="26636" s="69" customFormat="1" x14ac:dyDescent="0.15"/>
    <row r="26637" s="69" customFormat="1" x14ac:dyDescent="0.15"/>
    <row r="26638" s="69" customFormat="1" x14ac:dyDescent="0.15"/>
    <row r="26639" s="69" customFormat="1" x14ac:dyDescent="0.15"/>
    <row r="26640" s="69" customFormat="1" x14ac:dyDescent="0.15"/>
    <row r="26641" s="69" customFormat="1" x14ac:dyDescent="0.15"/>
    <row r="26642" s="69" customFormat="1" x14ac:dyDescent="0.15"/>
    <row r="26643" s="69" customFormat="1" x14ac:dyDescent="0.15"/>
    <row r="26644" s="69" customFormat="1" x14ac:dyDescent="0.15"/>
    <row r="26645" s="69" customFormat="1" x14ac:dyDescent="0.15"/>
    <row r="26646" s="69" customFormat="1" x14ac:dyDescent="0.15"/>
    <row r="26647" s="69" customFormat="1" x14ac:dyDescent="0.15"/>
    <row r="26648" s="69" customFormat="1" x14ac:dyDescent="0.15"/>
    <row r="26649" s="69" customFormat="1" x14ac:dyDescent="0.15"/>
    <row r="26650" s="69" customFormat="1" x14ac:dyDescent="0.15"/>
    <row r="26651" s="69" customFormat="1" x14ac:dyDescent="0.15"/>
    <row r="26652" s="69" customFormat="1" x14ac:dyDescent="0.15"/>
    <row r="26653" s="69" customFormat="1" x14ac:dyDescent="0.15"/>
    <row r="26654" s="69" customFormat="1" x14ac:dyDescent="0.15"/>
    <row r="26655" s="69" customFormat="1" x14ac:dyDescent="0.15"/>
    <row r="26656" s="69" customFormat="1" x14ac:dyDescent="0.15"/>
    <row r="26657" s="69" customFormat="1" x14ac:dyDescent="0.15"/>
    <row r="26658" s="69" customFormat="1" x14ac:dyDescent="0.15"/>
    <row r="26659" s="69" customFormat="1" x14ac:dyDescent="0.15"/>
    <row r="26660" s="69" customFormat="1" x14ac:dyDescent="0.15"/>
    <row r="26661" s="69" customFormat="1" x14ac:dyDescent="0.15"/>
    <row r="26662" s="69" customFormat="1" x14ac:dyDescent="0.15"/>
    <row r="26663" s="69" customFormat="1" x14ac:dyDescent="0.15"/>
    <row r="26664" s="69" customFormat="1" x14ac:dyDescent="0.15"/>
    <row r="26665" s="69" customFormat="1" x14ac:dyDescent="0.15"/>
    <row r="26666" s="69" customFormat="1" x14ac:dyDescent="0.15"/>
    <row r="26667" s="69" customFormat="1" x14ac:dyDescent="0.15"/>
    <row r="26668" s="69" customFormat="1" x14ac:dyDescent="0.15"/>
    <row r="26669" s="69" customFormat="1" x14ac:dyDescent="0.15"/>
    <row r="26670" s="69" customFormat="1" x14ac:dyDescent="0.15"/>
    <row r="26671" s="69" customFormat="1" x14ac:dyDescent="0.15"/>
    <row r="26672" s="69" customFormat="1" x14ac:dyDescent="0.15"/>
    <row r="26673" s="69" customFormat="1" x14ac:dyDescent="0.15"/>
    <row r="26674" s="69" customFormat="1" x14ac:dyDescent="0.15"/>
    <row r="26675" s="69" customFormat="1" x14ac:dyDescent="0.15"/>
    <row r="26676" s="69" customFormat="1" x14ac:dyDescent="0.15"/>
    <row r="26677" s="69" customFormat="1" x14ac:dyDescent="0.15"/>
    <row r="26678" s="69" customFormat="1" x14ac:dyDescent="0.15"/>
    <row r="26679" s="69" customFormat="1" x14ac:dyDescent="0.15"/>
    <row r="26680" s="69" customFormat="1" x14ac:dyDescent="0.15"/>
    <row r="26681" s="69" customFormat="1" x14ac:dyDescent="0.15"/>
    <row r="26682" s="69" customFormat="1" x14ac:dyDescent="0.15"/>
    <row r="26683" s="69" customFormat="1" x14ac:dyDescent="0.15"/>
    <row r="26684" s="69" customFormat="1" x14ac:dyDescent="0.15"/>
    <row r="26685" s="69" customFormat="1" x14ac:dyDescent="0.15"/>
    <row r="26686" s="69" customFormat="1" x14ac:dyDescent="0.15"/>
    <row r="26687" s="69" customFormat="1" x14ac:dyDescent="0.15"/>
    <row r="26688" s="69" customFormat="1" x14ac:dyDescent="0.15"/>
    <row r="26689" s="69" customFormat="1" x14ac:dyDescent="0.15"/>
    <row r="26690" s="69" customFormat="1" x14ac:dyDescent="0.15"/>
    <row r="26691" s="69" customFormat="1" x14ac:dyDescent="0.15"/>
    <row r="26692" s="69" customFormat="1" x14ac:dyDescent="0.15"/>
    <row r="26693" s="69" customFormat="1" x14ac:dyDescent="0.15"/>
    <row r="26694" s="69" customFormat="1" x14ac:dyDescent="0.15"/>
    <row r="26695" s="69" customFormat="1" x14ac:dyDescent="0.15"/>
    <row r="26696" s="69" customFormat="1" x14ac:dyDescent="0.15"/>
    <row r="26697" s="69" customFormat="1" x14ac:dyDescent="0.15"/>
    <row r="26698" s="69" customFormat="1" x14ac:dyDescent="0.15"/>
    <row r="26699" s="69" customFormat="1" x14ac:dyDescent="0.15"/>
    <row r="26700" s="69" customFormat="1" x14ac:dyDescent="0.15"/>
    <row r="26701" s="69" customFormat="1" x14ac:dyDescent="0.15"/>
    <row r="26702" s="69" customFormat="1" x14ac:dyDescent="0.15"/>
    <row r="26703" s="69" customFormat="1" x14ac:dyDescent="0.15"/>
    <row r="26704" s="69" customFormat="1" x14ac:dyDescent="0.15"/>
    <row r="26705" s="69" customFormat="1" x14ac:dyDescent="0.15"/>
    <row r="26706" s="69" customFormat="1" x14ac:dyDescent="0.15"/>
    <row r="26707" s="69" customFormat="1" x14ac:dyDescent="0.15"/>
    <row r="26708" s="69" customFormat="1" x14ac:dyDescent="0.15"/>
    <row r="26709" s="69" customFormat="1" x14ac:dyDescent="0.15"/>
    <row r="26710" s="69" customFormat="1" x14ac:dyDescent="0.15"/>
    <row r="26711" s="69" customFormat="1" x14ac:dyDescent="0.15"/>
    <row r="26712" s="69" customFormat="1" x14ac:dyDescent="0.15"/>
    <row r="26713" s="69" customFormat="1" x14ac:dyDescent="0.15"/>
    <row r="26714" s="69" customFormat="1" x14ac:dyDescent="0.15"/>
    <row r="26715" s="69" customFormat="1" x14ac:dyDescent="0.15"/>
    <row r="26716" s="69" customFormat="1" x14ac:dyDescent="0.15"/>
    <row r="26717" s="69" customFormat="1" x14ac:dyDescent="0.15"/>
    <row r="26718" s="69" customFormat="1" x14ac:dyDescent="0.15"/>
    <row r="26719" s="69" customFormat="1" x14ac:dyDescent="0.15"/>
    <row r="26720" s="69" customFormat="1" x14ac:dyDescent="0.15"/>
    <row r="26721" s="69" customFormat="1" x14ac:dyDescent="0.15"/>
    <row r="26722" s="69" customFormat="1" x14ac:dyDescent="0.15"/>
    <row r="26723" s="69" customFormat="1" x14ac:dyDescent="0.15"/>
    <row r="26724" s="69" customFormat="1" x14ac:dyDescent="0.15"/>
    <row r="26725" s="69" customFormat="1" x14ac:dyDescent="0.15"/>
    <row r="26726" s="69" customFormat="1" x14ac:dyDescent="0.15"/>
    <row r="26727" s="69" customFormat="1" x14ac:dyDescent="0.15"/>
    <row r="26728" s="69" customFormat="1" x14ac:dyDescent="0.15"/>
    <row r="26729" s="69" customFormat="1" x14ac:dyDescent="0.15"/>
    <row r="26730" s="69" customFormat="1" x14ac:dyDescent="0.15"/>
    <row r="26731" s="69" customFormat="1" x14ac:dyDescent="0.15"/>
    <row r="26732" s="69" customFormat="1" x14ac:dyDescent="0.15"/>
    <row r="26733" s="69" customFormat="1" x14ac:dyDescent="0.15"/>
    <row r="26734" s="69" customFormat="1" x14ac:dyDescent="0.15"/>
    <row r="26735" s="69" customFormat="1" x14ac:dyDescent="0.15"/>
    <row r="26736" s="69" customFormat="1" x14ac:dyDescent="0.15"/>
    <row r="26737" s="69" customFormat="1" x14ac:dyDescent="0.15"/>
    <row r="26738" s="69" customFormat="1" x14ac:dyDescent="0.15"/>
    <row r="26739" s="69" customFormat="1" x14ac:dyDescent="0.15"/>
    <row r="26740" s="69" customFormat="1" x14ac:dyDescent="0.15"/>
    <row r="26741" s="69" customFormat="1" x14ac:dyDescent="0.15"/>
    <row r="26742" s="69" customFormat="1" x14ac:dyDescent="0.15"/>
    <row r="26743" s="69" customFormat="1" x14ac:dyDescent="0.15"/>
    <row r="26744" s="69" customFormat="1" x14ac:dyDescent="0.15"/>
    <row r="26745" s="69" customFormat="1" x14ac:dyDescent="0.15"/>
    <row r="26746" s="69" customFormat="1" x14ac:dyDescent="0.15"/>
    <row r="26747" s="69" customFormat="1" x14ac:dyDescent="0.15"/>
    <row r="26748" s="69" customFormat="1" x14ac:dyDescent="0.15"/>
    <row r="26749" s="69" customFormat="1" x14ac:dyDescent="0.15"/>
    <row r="26750" s="69" customFormat="1" x14ac:dyDescent="0.15"/>
    <row r="26751" s="69" customFormat="1" x14ac:dyDescent="0.15"/>
    <row r="26752" s="69" customFormat="1" x14ac:dyDescent="0.15"/>
    <row r="26753" s="69" customFormat="1" x14ac:dyDescent="0.15"/>
    <row r="26754" s="69" customFormat="1" x14ac:dyDescent="0.15"/>
    <row r="26755" s="69" customFormat="1" x14ac:dyDescent="0.15"/>
    <row r="26756" s="69" customFormat="1" x14ac:dyDescent="0.15"/>
    <row r="26757" s="69" customFormat="1" x14ac:dyDescent="0.15"/>
    <row r="26758" s="69" customFormat="1" x14ac:dyDescent="0.15"/>
    <row r="26759" s="69" customFormat="1" x14ac:dyDescent="0.15"/>
    <row r="26760" s="69" customFormat="1" x14ac:dyDescent="0.15"/>
    <row r="26761" s="69" customFormat="1" x14ac:dyDescent="0.15"/>
    <row r="26762" s="69" customFormat="1" x14ac:dyDescent="0.15"/>
    <row r="26763" s="69" customFormat="1" x14ac:dyDescent="0.15"/>
    <row r="26764" s="69" customFormat="1" x14ac:dyDescent="0.15"/>
    <row r="26765" s="69" customFormat="1" x14ac:dyDescent="0.15"/>
    <row r="26766" s="69" customFormat="1" x14ac:dyDescent="0.15"/>
    <row r="26767" s="69" customFormat="1" x14ac:dyDescent="0.15"/>
    <row r="26768" s="69" customFormat="1" x14ac:dyDescent="0.15"/>
    <row r="26769" s="69" customFormat="1" x14ac:dyDescent="0.15"/>
    <row r="26770" s="69" customFormat="1" x14ac:dyDescent="0.15"/>
    <row r="26771" s="69" customFormat="1" x14ac:dyDescent="0.15"/>
    <row r="26772" s="69" customFormat="1" x14ac:dyDescent="0.15"/>
    <row r="26773" s="69" customFormat="1" x14ac:dyDescent="0.15"/>
    <row r="26774" s="69" customFormat="1" x14ac:dyDescent="0.15"/>
    <row r="26775" s="69" customFormat="1" x14ac:dyDescent="0.15"/>
    <row r="26776" s="69" customFormat="1" x14ac:dyDescent="0.15"/>
    <row r="26777" s="69" customFormat="1" x14ac:dyDescent="0.15"/>
    <row r="26778" s="69" customFormat="1" x14ac:dyDescent="0.15"/>
    <row r="26779" s="69" customFormat="1" x14ac:dyDescent="0.15"/>
    <row r="26780" s="69" customFormat="1" x14ac:dyDescent="0.15"/>
    <row r="26781" s="69" customFormat="1" x14ac:dyDescent="0.15"/>
    <row r="26782" s="69" customFormat="1" x14ac:dyDescent="0.15"/>
    <row r="26783" s="69" customFormat="1" x14ac:dyDescent="0.15"/>
    <row r="26784" s="69" customFormat="1" x14ac:dyDescent="0.15"/>
    <row r="26785" s="69" customFormat="1" x14ac:dyDescent="0.15"/>
    <row r="26786" s="69" customFormat="1" x14ac:dyDescent="0.15"/>
    <row r="26787" s="69" customFormat="1" x14ac:dyDescent="0.15"/>
    <row r="26788" s="69" customFormat="1" x14ac:dyDescent="0.15"/>
    <row r="26789" s="69" customFormat="1" x14ac:dyDescent="0.15"/>
    <row r="26790" s="69" customFormat="1" x14ac:dyDescent="0.15"/>
    <row r="26791" s="69" customFormat="1" x14ac:dyDescent="0.15"/>
    <row r="26792" s="69" customFormat="1" x14ac:dyDescent="0.15"/>
    <row r="26793" s="69" customFormat="1" x14ac:dyDescent="0.15"/>
    <row r="26794" s="69" customFormat="1" x14ac:dyDescent="0.15"/>
    <row r="26795" s="69" customFormat="1" x14ac:dyDescent="0.15"/>
    <row r="26796" s="69" customFormat="1" x14ac:dyDescent="0.15"/>
    <row r="26797" s="69" customFormat="1" x14ac:dyDescent="0.15"/>
    <row r="26798" s="69" customFormat="1" x14ac:dyDescent="0.15"/>
    <row r="26799" s="69" customFormat="1" x14ac:dyDescent="0.15"/>
    <row r="26800" s="69" customFormat="1" x14ac:dyDescent="0.15"/>
    <row r="26801" s="69" customFormat="1" x14ac:dyDescent="0.15"/>
    <row r="26802" s="69" customFormat="1" x14ac:dyDescent="0.15"/>
    <row r="26803" s="69" customFormat="1" x14ac:dyDescent="0.15"/>
    <row r="26804" s="69" customFormat="1" x14ac:dyDescent="0.15"/>
    <row r="26805" s="69" customFormat="1" x14ac:dyDescent="0.15"/>
    <row r="26806" s="69" customFormat="1" x14ac:dyDescent="0.15"/>
    <row r="26807" s="69" customFormat="1" x14ac:dyDescent="0.15"/>
    <row r="26808" s="69" customFormat="1" x14ac:dyDescent="0.15"/>
    <row r="26809" s="69" customFormat="1" x14ac:dyDescent="0.15"/>
    <row r="26810" s="69" customFormat="1" x14ac:dyDescent="0.15"/>
    <row r="26811" s="69" customFormat="1" x14ac:dyDescent="0.15"/>
    <row r="26812" s="69" customFormat="1" x14ac:dyDescent="0.15"/>
    <row r="26813" s="69" customFormat="1" x14ac:dyDescent="0.15"/>
    <row r="26814" s="69" customFormat="1" x14ac:dyDescent="0.15"/>
    <row r="26815" s="69" customFormat="1" x14ac:dyDescent="0.15"/>
    <row r="26816" s="69" customFormat="1" x14ac:dyDescent="0.15"/>
    <row r="26817" s="69" customFormat="1" x14ac:dyDescent="0.15"/>
    <row r="26818" s="69" customFormat="1" x14ac:dyDescent="0.15"/>
    <row r="26819" s="69" customFormat="1" x14ac:dyDescent="0.15"/>
    <row r="26820" s="69" customFormat="1" x14ac:dyDescent="0.15"/>
    <row r="26821" s="69" customFormat="1" x14ac:dyDescent="0.15"/>
    <row r="26822" s="69" customFormat="1" x14ac:dyDescent="0.15"/>
    <row r="26823" s="69" customFormat="1" x14ac:dyDescent="0.15"/>
    <row r="26824" s="69" customFormat="1" x14ac:dyDescent="0.15"/>
    <row r="26825" s="69" customFormat="1" x14ac:dyDescent="0.15"/>
    <row r="26826" s="69" customFormat="1" x14ac:dyDescent="0.15"/>
    <row r="26827" s="69" customFormat="1" x14ac:dyDescent="0.15"/>
    <row r="26828" s="69" customFormat="1" x14ac:dyDescent="0.15"/>
    <row r="26829" s="69" customFormat="1" x14ac:dyDescent="0.15"/>
    <row r="26830" s="69" customFormat="1" x14ac:dyDescent="0.15"/>
    <row r="26831" s="69" customFormat="1" x14ac:dyDescent="0.15"/>
    <row r="26832" s="69" customFormat="1" x14ac:dyDescent="0.15"/>
    <row r="26833" s="69" customFormat="1" x14ac:dyDescent="0.15"/>
    <row r="26834" s="69" customFormat="1" x14ac:dyDescent="0.15"/>
    <row r="26835" s="69" customFormat="1" x14ac:dyDescent="0.15"/>
    <row r="26836" s="69" customFormat="1" x14ac:dyDescent="0.15"/>
    <row r="26837" s="69" customFormat="1" x14ac:dyDescent="0.15"/>
    <row r="26838" s="69" customFormat="1" x14ac:dyDescent="0.15"/>
    <row r="26839" s="69" customFormat="1" x14ac:dyDescent="0.15"/>
    <row r="26840" s="69" customFormat="1" x14ac:dyDescent="0.15"/>
    <row r="26841" s="69" customFormat="1" x14ac:dyDescent="0.15"/>
    <row r="26842" s="69" customFormat="1" x14ac:dyDescent="0.15"/>
    <row r="26843" s="69" customFormat="1" x14ac:dyDescent="0.15"/>
    <row r="26844" s="69" customFormat="1" x14ac:dyDescent="0.15"/>
    <row r="26845" s="69" customFormat="1" x14ac:dyDescent="0.15"/>
    <row r="26846" s="69" customFormat="1" x14ac:dyDescent="0.15"/>
    <row r="26847" s="69" customFormat="1" x14ac:dyDescent="0.15"/>
    <row r="26848" s="69" customFormat="1" x14ac:dyDescent="0.15"/>
    <row r="26849" s="69" customFormat="1" x14ac:dyDescent="0.15"/>
    <row r="26850" s="69" customFormat="1" x14ac:dyDescent="0.15"/>
    <row r="26851" s="69" customFormat="1" x14ac:dyDescent="0.15"/>
    <row r="26852" s="69" customFormat="1" x14ac:dyDescent="0.15"/>
    <row r="26853" s="69" customFormat="1" x14ac:dyDescent="0.15"/>
    <row r="26854" s="69" customFormat="1" x14ac:dyDescent="0.15"/>
    <row r="26855" s="69" customFormat="1" x14ac:dyDescent="0.15"/>
    <row r="26856" s="69" customFormat="1" x14ac:dyDescent="0.15"/>
    <row r="26857" s="69" customFormat="1" x14ac:dyDescent="0.15"/>
    <row r="26858" s="69" customFormat="1" x14ac:dyDescent="0.15"/>
    <row r="26859" s="69" customFormat="1" x14ac:dyDescent="0.15"/>
    <row r="26860" s="69" customFormat="1" x14ac:dyDescent="0.15"/>
    <row r="26861" s="69" customFormat="1" x14ac:dyDescent="0.15"/>
    <row r="26862" s="69" customFormat="1" x14ac:dyDescent="0.15"/>
    <row r="26863" s="69" customFormat="1" x14ac:dyDescent="0.15"/>
    <row r="26864" s="69" customFormat="1" x14ac:dyDescent="0.15"/>
    <row r="26865" s="69" customFormat="1" x14ac:dyDescent="0.15"/>
    <row r="26866" s="69" customFormat="1" x14ac:dyDescent="0.15"/>
    <row r="26867" s="69" customFormat="1" x14ac:dyDescent="0.15"/>
    <row r="26868" s="69" customFormat="1" x14ac:dyDescent="0.15"/>
    <row r="26869" s="69" customFormat="1" x14ac:dyDescent="0.15"/>
    <row r="26870" s="69" customFormat="1" x14ac:dyDescent="0.15"/>
    <row r="26871" s="69" customFormat="1" x14ac:dyDescent="0.15"/>
    <row r="26872" s="69" customFormat="1" x14ac:dyDescent="0.15"/>
    <row r="26873" s="69" customFormat="1" x14ac:dyDescent="0.15"/>
    <row r="26874" s="69" customFormat="1" x14ac:dyDescent="0.15"/>
    <row r="26875" s="69" customFormat="1" x14ac:dyDescent="0.15"/>
    <row r="26876" s="69" customFormat="1" x14ac:dyDescent="0.15"/>
    <row r="26877" s="69" customFormat="1" x14ac:dyDescent="0.15"/>
    <row r="26878" s="69" customFormat="1" x14ac:dyDescent="0.15"/>
    <row r="26879" s="69" customFormat="1" x14ac:dyDescent="0.15"/>
    <row r="26880" s="69" customFormat="1" x14ac:dyDescent="0.15"/>
    <row r="26881" s="69" customFormat="1" x14ac:dyDescent="0.15"/>
    <row r="26882" s="69" customFormat="1" x14ac:dyDescent="0.15"/>
    <row r="26883" s="69" customFormat="1" x14ac:dyDescent="0.15"/>
    <row r="26884" s="69" customFormat="1" x14ac:dyDescent="0.15"/>
    <row r="26885" s="69" customFormat="1" x14ac:dyDescent="0.15"/>
    <row r="26886" s="69" customFormat="1" x14ac:dyDescent="0.15"/>
    <row r="26887" s="69" customFormat="1" x14ac:dyDescent="0.15"/>
    <row r="26888" s="69" customFormat="1" x14ac:dyDescent="0.15"/>
    <row r="26889" s="69" customFormat="1" x14ac:dyDescent="0.15"/>
    <row r="26890" s="69" customFormat="1" x14ac:dyDescent="0.15"/>
    <row r="26891" s="69" customFormat="1" x14ac:dyDescent="0.15"/>
    <row r="26892" s="69" customFormat="1" x14ac:dyDescent="0.15"/>
    <row r="26893" s="69" customFormat="1" x14ac:dyDescent="0.15"/>
    <row r="26894" s="69" customFormat="1" x14ac:dyDescent="0.15"/>
    <row r="26895" s="69" customFormat="1" x14ac:dyDescent="0.15"/>
    <row r="26896" s="69" customFormat="1" x14ac:dyDescent="0.15"/>
    <row r="26897" s="69" customFormat="1" x14ac:dyDescent="0.15"/>
    <row r="26898" s="69" customFormat="1" x14ac:dyDescent="0.15"/>
    <row r="26899" s="69" customFormat="1" x14ac:dyDescent="0.15"/>
    <row r="26900" s="69" customFormat="1" x14ac:dyDescent="0.15"/>
    <row r="26901" s="69" customFormat="1" x14ac:dyDescent="0.15"/>
    <row r="26902" s="69" customFormat="1" x14ac:dyDescent="0.15"/>
    <row r="26903" s="69" customFormat="1" x14ac:dyDescent="0.15"/>
    <row r="26904" s="69" customFormat="1" x14ac:dyDescent="0.15"/>
    <row r="26905" s="69" customFormat="1" x14ac:dyDescent="0.15"/>
    <row r="26906" s="69" customFormat="1" x14ac:dyDescent="0.15"/>
    <row r="26907" s="69" customFormat="1" x14ac:dyDescent="0.15"/>
    <row r="26908" s="69" customFormat="1" x14ac:dyDescent="0.15"/>
    <row r="26909" s="69" customFormat="1" x14ac:dyDescent="0.15"/>
    <row r="26910" s="69" customFormat="1" x14ac:dyDescent="0.15"/>
    <row r="26911" s="69" customFormat="1" x14ac:dyDescent="0.15"/>
    <row r="26912" s="69" customFormat="1" x14ac:dyDescent="0.15"/>
    <row r="26913" s="69" customFormat="1" x14ac:dyDescent="0.15"/>
    <row r="26914" s="69" customFormat="1" x14ac:dyDescent="0.15"/>
    <row r="26915" s="69" customFormat="1" x14ac:dyDescent="0.15"/>
    <row r="26916" s="69" customFormat="1" x14ac:dyDescent="0.15"/>
    <row r="26917" s="69" customFormat="1" x14ac:dyDescent="0.15"/>
    <row r="26918" s="69" customFormat="1" x14ac:dyDescent="0.15"/>
    <row r="26919" s="69" customFormat="1" x14ac:dyDescent="0.15"/>
    <row r="26920" s="69" customFormat="1" x14ac:dyDescent="0.15"/>
    <row r="26921" s="69" customFormat="1" x14ac:dyDescent="0.15"/>
    <row r="26922" s="69" customFormat="1" x14ac:dyDescent="0.15"/>
    <row r="26923" s="69" customFormat="1" x14ac:dyDescent="0.15"/>
    <row r="26924" s="69" customFormat="1" x14ac:dyDescent="0.15"/>
    <row r="26925" s="69" customFormat="1" x14ac:dyDescent="0.15"/>
    <row r="26926" s="69" customFormat="1" x14ac:dyDescent="0.15"/>
    <row r="26927" s="69" customFormat="1" x14ac:dyDescent="0.15"/>
    <row r="26928" s="69" customFormat="1" x14ac:dyDescent="0.15"/>
    <row r="26929" s="69" customFormat="1" x14ac:dyDescent="0.15"/>
    <row r="26930" s="69" customFormat="1" x14ac:dyDescent="0.15"/>
    <row r="26931" s="69" customFormat="1" x14ac:dyDescent="0.15"/>
    <row r="26932" s="69" customFormat="1" x14ac:dyDescent="0.15"/>
    <row r="26933" s="69" customFormat="1" x14ac:dyDescent="0.15"/>
    <row r="26934" s="69" customFormat="1" x14ac:dyDescent="0.15"/>
    <row r="26935" s="69" customFormat="1" x14ac:dyDescent="0.15"/>
    <row r="26936" s="69" customFormat="1" x14ac:dyDescent="0.15"/>
    <row r="26937" s="69" customFormat="1" x14ac:dyDescent="0.15"/>
    <row r="26938" s="69" customFormat="1" x14ac:dyDescent="0.15"/>
    <row r="26939" s="69" customFormat="1" x14ac:dyDescent="0.15"/>
    <row r="26940" s="69" customFormat="1" x14ac:dyDescent="0.15"/>
    <row r="26941" s="69" customFormat="1" x14ac:dyDescent="0.15"/>
    <row r="26942" s="69" customFormat="1" x14ac:dyDescent="0.15"/>
    <row r="26943" s="69" customFormat="1" x14ac:dyDescent="0.15"/>
    <row r="26944" s="69" customFormat="1" x14ac:dyDescent="0.15"/>
    <row r="26945" s="69" customFormat="1" x14ac:dyDescent="0.15"/>
    <row r="26946" s="69" customFormat="1" x14ac:dyDescent="0.15"/>
    <row r="26947" s="69" customFormat="1" x14ac:dyDescent="0.15"/>
    <row r="26948" s="69" customFormat="1" x14ac:dyDescent="0.15"/>
    <row r="26949" s="69" customFormat="1" x14ac:dyDescent="0.15"/>
    <row r="26950" s="69" customFormat="1" x14ac:dyDescent="0.15"/>
    <row r="26951" s="69" customFormat="1" x14ac:dyDescent="0.15"/>
    <row r="26952" s="69" customFormat="1" x14ac:dyDescent="0.15"/>
    <row r="26953" s="69" customFormat="1" x14ac:dyDescent="0.15"/>
    <row r="26954" s="69" customFormat="1" x14ac:dyDescent="0.15"/>
    <row r="26955" s="69" customFormat="1" x14ac:dyDescent="0.15"/>
    <row r="26956" s="69" customFormat="1" x14ac:dyDescent="0.15"/>
    <row r="26957" s="69" customFormat="1" x14ac:dyDescent="0.15"/>
    <row r="26958" s="69" customFormat="1" x14ac:dyDescent="0.15"/>
    <row r="26959" s="69" customFormat="1" x14ac:dyDescent="0.15"/>
    <row r="26960" s="69" customFormat="1" x14ac:dyDescent="0.15"/>
    <row r="26961" s="69" customFormat="1" x14ac:dyDescent="0.15"/>
    <row r="26962" s="69" customFormat="1" x14ac:dyDescent="0.15"/>
    <row r="26963" s="69" customFormat="1" x14ac:dyDescent="0.15"/>
    <row r="26964" s="69" customFormat="1" x14ac:dyDescent="0.15"/>
    <row r="26965" s="69" customFormat="1" x14ac:dyDescent="0.15"/>
    <row r="26966" s="69" customFormat="1" x14ac:dyDescent="0.15"/>
    <row r="26967" s="69" customFormat="1" x14ac:dyDescent="0.15"/>
    <row r="26968" s="69" customFormat="1" x14ac:dyDescent="0.15"/>
    <row r="26969" s="69" customFormat="1" x14ac:dyDescent="0.15"/>
    <row r="26970" s="69" customFormat="1" x14ac:dyDescent="0.15"/>
    <row r="26971" s="69" customFormat="1" x14ac:dyDescent="0.15"/>
    <row r="26972" s="69" customFormat="1" x14ac:dyDescent="0.15"/>
    <row r="26973" s="69" customFormat="1" x14ac:dyDescent="0.15"/>
    <row r="26974" s="69" customFormat="1" x14ac:dyDescent="0.15"/>
    <row r="26975" s="69" customFormat="1" x14ac:dyDescent="0.15"/>
    <row r="26976" s="69" customFormat="1" x14ac:dyDescent="0.15"/>
    <row r="26977" s="69" customFormat="1" x14ac:dyDescent="0.15"/>
    <row r="26978" s="69" customFormat="1" x14ac:dyDescent="0.15"/>
    <row r="26979" s="69" customFormat="1" x14ac:dyDescent="0.15"/>
    <row r="26980" s="69" customFormat="1" x14ac:dyDescent="0.15"/>
    <row r="26981" s="69" customFormat="1" x14ac:dyDescent="0.15"/>
    <row r="26982" s="69" customFormat="1" x14ac:dyDescent="0.15"/>
    <row r="26983" s="69" customFormat="1" x14ac:dyDescent="0.15"/>
    <row r="26984" s="69" customFormat="1" x14ac:dyDescent="0.15"/>
    <row r="26985" s="69" customFormat="1" x14ac:dyDescent="0.15"/>
    <row r="26986" s="69" customFormat="1" x14ac:dyDescent="0.15"/>
    <row r="26987" s="69" customFormat="1" x14ac:dyDescent="0.15"/>
    <row r="26988" s="69" customFormat="1" x14ac:dyDescent="0.15"/>
    <row r="26989" s="69" customFormat="1" x14ac:dyDescent="0.15"/>
    <row r="26990" s="69" customFormat="1" x14ac:dyDescent="0.15"/>
    <row r="26991" s="69" customFormat="1" x14ac:dyDescent="0.15"/>
    <row r="26992" s="69" customFormat="1" x14ac:dyDescent="0.15"/>
    <row r="26993" s="69" customFormat="1" x14ac:dyDescent="0.15"/>
    <row r="26994" s="69" customFormat="1" x14ac:dyDescent="0.15"/>
    <row r="26995" s="69" customFormat="1" x14ac:dyDescent="0.15"/>
    <row r="26996" s="69" customFormat="1" x14ac:dyDescent="0.15"/>
    <row r="26997" s="69" customFormat="1" x14ac:dyDescent="0.15"/>
    <row r="26998" s="69" customFormat="1" x14ac:dyDescent="0.15"/>
    <row r="26999" s="69" customFormat="1" x14ac:dyDescent="0.15"/>
    <row r="27000" s="69" customFormat="1" x14ac:dyDescent="0.15"/>
    <row r="27001" s="69" customFormat="1" x14ac:dyDescent="0.15"/>
    <row r="27002" s="69" customFormat="1" x14ac:dyDescent="0.15"/>
    <row r="27003" s="69" customFormat="1" x14ac:dyDescent="0.15"/>
    <row r="27004" s="69" customFormat="1" x14ac:dyDescent="0.15"/>
    <row r="27005" s="69" customFormat="1" x14ac:dyDescent="0.15"/>
    <row r="27006" s="69" customFormat="1" x14ac:dyDescent="0.15"/>
    <row r="27007" s="69" customFormat="1" x14ac:dyDescent="0.15"/>
    <row r="27008" s="69" customFormat="1" x14ac:dyDescent="0.15"/>
    <row r="27009" s="69" customFormat="1" x14ac:dyDescent="0.15"/>
    <row r="27010" s="69" customFormat="1" x14ac:dyDescent="0.15"/>
    <row r="27011" s="69" customFormat="1" x14ac:dyDescent="0.15"/>
    <row r="27012" s="69" customFormat="1" x14ac:dyDescent="0.15"/>
    <row r="27013" s="69" customFormat="1" x14ac:dyDescent="0.15"/>
    <row r="27014" s="69" customFormat="1" x14ac:dyDescent="0.15"/>
    <row r="27015" s="69" customFormat="1" x14ac:dyDescent="0.15"/>
    <row r="27016" s="69" customFormat="1" x14ac:dyDescent="0.15"/>
    <row r="27017" s="69" customFormat="1" x14ac:dyDescent="0.15"/>
    <row r="27018" s="69" customFormat="1" x14ac:dyDescent="0.15"/>
    <row r="27019" s="69" customFormat="1" x14ac:dyDescent="0.15"/>
    <row r="27020" s="69" customFormat="1" x14ac:dyDescent="0.15"/>
    <row r="27021" s="69" customFormat="1" x14ac:dyDescent="0.15"/>
    <row r="27022" s="69" customFormat="1" x14ac:dyDescent="0.15"/>
    <row r="27023" s="69" customFormat="1" x14ac:dyDescent="0.15"/>
    <row r="27024" s="69" customFormat="1" x14ac:dyDescent="0.15"/>
    <row r="27025" s="69" customFormat="1" x14ac:dyDescent="0.15"/>
    <row r="27026" s="69" customFormat="1" x14ac:dyDescent="0.15"/>
    <row r="27027" s="69" customFormat="1" x14ac:dyDescent="0.15"/>
    <row r="27028" s="69" customFormat="1" x14ac:dyDescent="0.15"/>
    <row r="27029" s="69" customFormat="1" x14ac:dyDescent="0.15"/>
    <row r="27030" s="69" customFormat="1" x14ac:dyDescent="0.15"/>
    <row r="27031" s="69" customFormat="1" x14ac:dyDescent="0.15"/>
    <row r="27032" s="69" customFormat="1" x14ac:dyDescent="0.15"/>
    <row r="27033" s="69" customFormat="1" x14ac:dyDescent="0.15"/>
    <row r="27034" s="69" customFormat="1" x14ac:dyDescent="0.15"/>
    <row r="27035" s="69" customFormat="1" x14ac:dyDescent="0.15"/>
    <row r="27036" s="69" customFormat="1" x14ac:dyDescent="0.15"/>
    <row r="27037" s="69" customFormat="1" x14ac:dyDescent="0.15"/>
    <row r="27038" s="69" customFormat="1" x14ac:dyDescent="0.15"/>
    <row r="27039" s="69" customFormat="1" x14ac:dyDescent="0.15"/>
    <row r="27040" s="69" customFormat="1" x14ac:dyDescent="0.15"/>
    <row r="27041" s="69" customFormat="1" x14ac:dyDescent="0.15"/>
    <row r="27042" s="69" customFormat="1" x14ac:dyDescent="0.15"/>
    <row r="27043" s="69" customFormat="1" x14ac:dyDescent="0.15"/>
    <row r="27044" s="69" customFormat="1" x14ac:dyDescent="0.15"/>
    <row r="27045" s="69" customFormat="1" x14ac:dyDescent="0.15"/>
    <row r="27046" s="69" customFormat="1" x14ac:dyDescent="0.15"/>
    <row r="27047" s="69" customFormat="1" x14ac:dyDescent="0.15"/>
    <row r="27048" s="69" customFormat="1" x14ac:dyDescent="0.15"/>
    <row r="27049" s="69" customFormat="1" x14ac:dyDescent="0.15"/>
    <row r="27050" s="69" customFormat="1" x14ac:dyDescent="0.15"/>
    <row r="27051" s="69" customFormat="1" x14ac:dyDescent="0.15"/>
    <row r="27052" s="69" customFormat="1" x14ac:dyDescent="0.15"/>
    <row r="27053" s="69" customFormat="1" x14ac:dyDescent="0.15"/>
    <row r="27054" s="69" customFormat="1" x14ac:dyDescent="0.15"/>
    <row r="27055" s="69" customFormat="1" x14ac:dyDescent="0.15"/>
    <row r="27056" s="69" customFormat="1" x14ac:dyDescent="0.15"/>
    <row r="27057" s="69" customFormat="1" x14ac:dyDescent="0.15"/>
    <row r="27058" s="69" customFormat="1" x14ac:dyDescent="0.15"/>
    <row r="27059" s="69" customFormat="1" x14ac:dyDescent="0.15"/>
    <row r="27060" s="69" customFormat="1" x14ac:dyDescent="0.15"/>
    <row r="27061" s="69" customFormat="1" x14ac:dyDescent="0.15"/>
    <row r="27062" s="69" customFormat="1" x14ac:dyDescent="0.15"/>
    <row r="27063" s="69" customFormat="1" x14ac:dyDescent="0.15"/>
    <row r="27064" s="69" customFormat="1" x14ac:dyDescent="0.15"/>
    <row r="27065" s="69" customFormat="1" x14ac:dyDescent="0.15"/>
    <row r="27066" s="69" customFormat="1" x14ac:dyDescent="0.15"/>
    <row r="27067" s="69" customFormat="1" x14ac:dyDescent="0.15"/>
    <row r="27068" s="69" customFormat="1" x14ac:dyDescent="0.15"/>
    <row r="27069" s="69" customFormat="1" x14ac:dyDescent="0.15"/>
    <row r="27070" s="69" customFormat="1" x14ac:dyDescent="0.15"/>
    <row r="27071" s="69" customFormat="1" x14ac:dyDescent="0.15"/>
    <row r="27072" s="69" customFormat="1" x14ac:dyDescent="0.15"/>
    <row r="27073" s="69" customFormat="1" x14ac:dyDescent="0.15"/>
    <row r="27074" s="69" customFormat="1" x14ac:dyDescent="0.15"/>
    <row r="27075" s="69" customFormat="1" x14ac:dyDescent="0.15"/>
    <row r="27076" s="69" customFormat="1" x14ac:dyDescent="0.15"/>
    <row r="27077" s="69" customFormat="1" x14ac:dyDescent="0.15"/>
    <row r="27078" s="69" customFormat="1" x14ac:dyDescent="0.15"/>
    <row r="27079" s="69" customFormat="1" x14ac:dyDescent="0.15"/>
    <row r="27080" s="69" customFormat="1" x14ac:dyDescent="0.15"/>
    <row r="27081" s="69" customFormat="1" x14ac:dyDescent="0.15"/>
    <row r="27082" s="69" customFormat="1" x14ac:dyDescent="0.15"/>
    <row r="27083" s="69" customFormat="1" x14ac:dyDescent="0.15"/>
    <row r="27084" s="69" customFormat="1" x14ac:dyDescent="0.15"/>
    <row r="27085" s="69" customFormat="1" x14ac:dyDescent="0.15"/>
    <row r="27086" s="69" customFormat="1" x14ac:dyDescent="0.15"/>
    <row r="27087" s="69" customFormat="1" x14ac:dyDescent="0.15"/>
    <row r="27088" s="69" customFormat="1" x14ac:dyDescent="0.15"/>
    <row r="27089" s="69" customFormat="1" x14ac:dyDescent="0.15"/>
    <row r="27090" s="69" customFormat="1" x14ac:dyDescent="0.15"/>
    <row r="27091" s="69" customFormat="1" x14ac:dyDescent="0.15"/>
    <row r="27092" s="69" customFormat="1" x14ac:dyDescent="0.15"/>
    <row r="27093" s="69" customFormat="1" x14ac:dyDescent="0.15"/>
    <row r="27094" s="69" customFormat="1" x14ac:dyDescent="0.15"/>
    <row r="27095" s="69" customFormat="1" x14ac:dyDescent="0.15"/>
    <row r="27096" s="69" customFormat="1" x14ac:dyDescent="0.15"/>
    <row r="27097" s="69" customFormat="1" x14ac:dyDescent="0.15"/>
    <row r="27098" s="69" customFormat="1" x14ac:dyDescent="0.15"/>
    <row r="27099" s="69" customFormat="1" x14ac:dyDescent="0.15"/>
    <row r="27100" s="69" customFormat="1" x14ac:dyDescent="0.15"/>
    <row r="27101" s="69" customFormat="1" x14ac:dyDescent="0.15"/>
    <row r="27102" s="69" customFormat="1" x14ac:dyDescent="0.15"/>
    <row r="27103" s="69" customFormat="1" x14ac:dyDescent="0.15"/>
    <row r="27104" s="69" customFormat="1" x14ac:dyDescent="0.15"/>
    <row r="27105" s="69" customFormat="1" x14ac:dyDescent="0.15"/>
    <row r="27106" s="69" customFormat="1" x14ac:dyDescent="0.15"/>
    <row r="27107" s="69" customFormat="1" x14ac:dyDescent="0.15"/>
    <row r="27108" s="69" customFormat="1" x14ac:dyDescent="0.15"/>
    <row r="27109" s="69" customFormat="1" x14ac:dyDescent="0.15"/>
    <row r="27110" s="69" customFormat="1" x14ac:dyDescent="0.15"/>
    <row r="27111" s="69" customFormat="1" x14ac:dyDescent="0.15"/>
    <row r="27112" s="69" customFormat="1" x14ac:dyDescent="0.15"/>
    <row r="27113" s="69" customFormat="1" x14ac:dyDescent="0.15"/>
    <row r="27114" s="69" customFormat="1" x14ac:dyDescent="0.15"/>
    <row r="27115" s="69" customFormat="1" x14ac:dyDescent="0.15"/>
    <row r="27116" s="69" customFormat="1" x14ac:dyDescent="0.15"/>
    <row r="27117" s="69" customFormat="1" x14ac:dyDescent="0.15"/>
    <row r="27118" s="69" customFormat="1" x14ac:dyDescent="0.15"/>
    <row r="27119" s="69" customFormat="1" x14ac:dyDescent="0.15"/>
    <row r="27120" s="69" customFormat="1" x14ac:dyDescent="0.15"/>
    <row r="27121" s="69" customFormat="1" x14ac:dyDescent="0.15"/>
    <row r="27122" s="69" customFormat="1" x14ac:dyDescent="0.15"/>
    <row r="27123" s="69" customFormat="1" x14ac:dyDescent="0.15"/>
    <row r="27124" s="69" customFormat="1" x14ac:dyDescent="0.15"/>
    <row r="27125" s="69" customFormat="1" x14ac:dyDescent="0.15"/>
    <row r="27126" s="69" customFormat="1" x14ac:dyDescent="0.15"/>
    <row r="27127" s="69" customFormat="1" x14ac:dyDescent="0.15"/>
    <row r="27128" s="69" customFormat="1" x14ac:dyDescent="0.15"/>
    <row r="27129" s="69" customFormat="1" x14ac:dyDescent="0.15"/>
    <row r="27130" s="69" customFormat="1" x14ac:dyDescent="0.15"/>
    <row r="27131" s="69" customFormat="1" x14ac:dyDescent="0.15"/>
    <row r="27132" s="69" customFormat="1" x14ac:dyDescent="0.15"/>
    <row r="27133" s="69" customFormat="1" x14ac:dyDescent="0.15"/>
    <row r="27134" s="69" customFormat="1" x14ac:dyDescent="0.15"/>
    <row r="27135" s="69" customFormat="1" x14ac:dyDescent="0.15"/>
    <row r="27136" s="69" customFormat="1" x14ac:dyDescent="0.15"/>
    <row r="27137" s="69" customFormat="1" x14ac:dyDescent="0.15"/>
    <row r="27138" s="69" customFormat="1" x14ac:dyDescent="0.15"/>
    <row r="27139" s="69" customFormat="1" x14ac:dyDescent="0.15"/>
    <row r="27140" s="69" customFormat="1" x14ac:dyDescent="0.15"/>
    <row r="27141" s="69" customFormat="1" x14ac:dyDescent="0.15"/>
    <row r="27142" s="69" customFormat="1" x14ac:dyDescent="0.15"/>
    <row r="27143" s="69" customFormat="1" x14ac:dyDescent="0.15"/>
    <row r="27144" s="69" customFormat="1" x14ac:dyDescent="0.15"/>
    <row r="27145" s="69" customFormat="1" x14ac:dyDescent="0.15"/>
    <row r="27146" s="69" customFormat="1" x14ac:dyDescent="0.15"/>
    <row r="27147" s="69" customFormat="1" x14ac:dyDescent="0.15"/>
    <row r="27148" s="69" customFormat="1" x14ac:dyDescent="0.15"/>
    <row r="27149" s="69" customFormat="1" x14ac:dyDescent="0.15"/>
    <row r="27150" s="69" customFormat="1" x14ac:dyDescent="0.15"/>
    <row r="27151" s="69" customFormat="1" x14ac:dyDescent="0.15"/>
    <row r="27152" s="69" customFormat="1" x14ac:dyDescent="0.15"/>
    <row r="27153" s="69" customFormat="1" x14ac:dyDescent="0.15"/>
    <row r="27154" s="69" customFormat="1" x14ac:dyDescent="0.15"/>
    <row r="27155" s="69" customFormat="1" x14ac:dyDescent="0.15"/>
    <row r="27156" s="69" customFormat="1" x14ac:dyDescent="0.15"/>
    <row r="27157" s="69" customFormat="1" x14ac:dyDescent="0.15"/>
    <row r="27158" s="69" customFormat="1" x14ac:dyDescent="0.15"/>
    <row r="27159" s="69" customFormat="1" x14ac:dyDescent="0.15"/>
    <row r="27160" s="69" customFormat="1" x14ac:dyDescent="0.15"/>
    <row r="27161" s="69" customFormat="1" x14ac:dyDescent="0.15"/>
    <row r="27162" s="69" customFormat="1" x14ac:dyDescent="0.15"/>
    <row r="27163" s="69" customFormat="1" x14ac:dyDescent="0.15"/>
    <row r="27164" s="69" customFormat="1" x14ac:dyDescent="0.15"/>
    <row r="27165" s="69" customFormat="1" x14ac:dyDescent="0.15"/>
    <row r="27166" s="69" customFormat="1" x14ac:dyDescent="0.15"/>
    <row r="27167" s="69" customFormat="1" x14ac:dyDescent="0.15"/>
    <row r="27168" s="69" customFormat="1" x14ac:dyDescent="0.15"/>
    <row r="27169" s="69" customFormat="1" x14ac:dyDescent="0.15"/>
    <row r="27170" s="69" customFormat="1" x14ac:dyDescent="0.15"/>
    <row r="27171" s="69" customFormat="1" x14ac:dyDescent="0.15"/>
    <row r="27172" s="69" customFormat="1" x14ac:dyDescent="0.15"/>
    <row r="27173" s="69" customFormat="1" x14ac:dyDescent="0.15"/>
    <row r="27174" s="69" customFormat="1" x14ac:dyDescent="0.15"/>
    <row r="27175" s="69" customFormat="1" x14ac:dyDescent="0.15"/>
    <row r="27176" s="69" customFormat="1" x14ac:dyDescent="0.15"/>
    <row r="27177" s="69" customFormat="1" x14ac:dyDescent="0.15"/>
    <row r="27178" s="69" customFormat="1" x14ac:dyDescent="0.15"/>
    <row r="27179" s="69" customFormat="1" x14ac:dyDescent="0.15"/>
    <row r="27180" s="69" customFormat="1" x14ac:dyDescent="0.15"/>
    <row r="27181" s="69" customFormat="1" x14ac:dyDescent="0.15"/>
    <row r="27182" s="69" customFormat="1" x14ac:dyDescent="0.15"/>
    <row r="27183" s="69" customFormat="1" x14ac:dyDescent="0.15"/>
    <row r="27184" s="69" customFormat="1" x14ac:dyDescent="0.15"/>
    <row r="27185" s="69" customFormat="1" x14ac:dyDescent="0.15"/>
    <row r="27186" s="69" customFormat="1" x14ac:dyDescent="0.15"/>
    <row r="27187" s="69" customFormat="1" x14ac:dyDescent="0.15"/>
    <row r="27188" s="69" customFormat="1" x14ac:dyDescent="0.15"/>
    <row r="27189" s="69" customFormat="1" x14ac:dyDescent="0.15"/>
    <row r="27190" s="69" customFormat="1" x14ac:dyDescent="0.15"/>
    <row r="27191" s="69" customFormat="1" x14ac:dyDescent="0.15"/>
    <row r="27192" s="69" customFormat="1" x14ac:dyDescent="0.15"/>
    <row r="27193" s="69" customFormat="1" x14ac:dyDescent="0.15"/>
    <row r="27194" s="69" customFormat="1" x14ac:dyDescent="0.15"/>
    <row r="27195" s="69" customFormat="1" x14ac:dyDescent="0.15"/>
    <row r="27196" s="69" customFormat="1" x14ac:dyDescent="0.15"/>
    <row r="27197" s="69" customFormat="1" x14ac:dyDescent="0.15"/>
    <row r="27198" s="69" customFormat="1" x14ac:dyDescent="0.15"/>
    <row r="27199" s="69" customFormat="1" x14ac:dyDescent="0.15"/>
    <row r="27200" s="69" customFormat="1" x14ac:dyDescent="0.15"/>
    <row r="27201" s="69" customFormat="1" x14ac:dyDescent="0.15"/>
    <row r="27202" s="69" customFormat="1" x14ac:dyDescent="0.15"/>
    <row r="27203" s="69" customFormat="1" x14ac:dyDescent="0.15"/>
    <row r="27204" s="69" customFormat="1" x14ac:dyDescent="0.15"/>
    <row r="27205" s="69" customFormat="1" x14ac:dyDescent="0.15"/>
    <row r="27206" s="69" customFormat="1" x14ac:dyDescent="0.15"/>
    <row r="27207" s="69" customFormat="1" x14ac:dyDescent="0.15"/>
    <row r="27208" s="69" customFormat="1" x14ac:dyDescent="0.15"/>
    <row r="27209" s="69" customFormat="1" x14ac:dyDescent="0.15"/>
    <row r="27210" s="69" customFormat="1" x14ac:dyDescent="0.15"/>
    <row r="27211" s="69" customFormat="1" x14ac:dyDescent="0.15"/>
    <row r="27212" s="69" customFormat="1" x14ac:dyDescent="0.15"/>
    <row r="27213" s="69" customFormat="1" x14ac:dyDescent="0.15"/>
    <row r="27214" s="69" customFormat="1" x14ac:dyDescent="0.15"/>
    <row r="27215" s="69" customFormat="1" x14ac:dyDescent="0.15"/>
    <row r="27216" s="69" customFormat="1" x14ac:dyDescent="0.15"/>
    <row r="27217" s="69" customFormat="1" x14ac:dyDescent="0.15"/>
    <row r="27218" s="69" customFormat="1" x14ac:dyDescent="0.15"/>
    <row r="27219" s="69" customFormat="1" x14ac:dyDescent="0.15"/>
    <row r="27220" s="69" customFormat="1" x14ac:dyDescent="0.15"/>
    <row r="27221" s="69" customFormat="1" x14ac:dyDescent="0.15"/>
    <row r="27222" s="69" customFormat="1" x14ac:dyDescent="0.15"/>
    <row r="27223" s="69" customFormat="1" x14ac:dyDescent="0.15"/>
    <row r="27224" s="69" customFormat="1" x14ac:dyDescent="0.15"/>
    <row r="27225" s="69" customFormat="1" x14ac:dyDescent="0.15"/>
    <row r="27226" s="69" customFormat="1" x14ac:dyDescent="0.15"/>
    <row r="27227" s="69" customFormat="1" x14ac:dyDescent="0.15"/>
    <row r="27228" s="69" customFormat="1" x14ac:dyDescent="0.15"/>
    <row r="27229" s="69" customFormat="1" x14ac:dyDescent="0.15"/>
    <row r="27230" s="69" customFormat="1" x14ac:dyDescent="0.15"/>
    <row r="27231" s="69" customFormat="1" x14ac:dyDescent="0.15"/>
    <row r="27232" s="69" customFormat="1" x14ac:dyDescent="0.15"/>
    <row r="27233" s="69" customFormat="1" x14ac:dyDescent="0.15"/>
    <row r="27234" s="69" customFormat="1" x14ac:dyDescent="0.15"/>
    <row r="27235" s="69" customFormat="1" x14ac:dyDescent="0.15"/>
    <row r="27236" s="69" customFormat="1" x14ac:dyDescent="0.15"/>
    <row r="27237" s="69" customFormat="1" x14ac:dyDescent="0.15"/>
    <row r="27238" s="69" customFormat="1" x14ac:dyDescent="0.15"/>
    <row r="27239" s="69" customFormat="1" x14ac:dyDescent="0.15"/>
    <row r="27240" s="69" customFormat="1" x14ac:dyDescent="0.15"/>
    <row r="27241" s="69" customFormat="1" x14ac:dyDescent="0.15"/>
    <row r="27242" s="69" customFormat="1" x14ac:dyDescent="0.15"/>
    <row r="27243" s="69" customFormat="1" x14ac:dyDescent="0.15"/>
    <row r="27244" s="69" customFormat="1" x14ac:dyDescent="0.15"/>
    <row r="27245" s="69" customFormat="1" x14ac:dyDescent="0.15"/>
    <row r="27246" s="69" customFormat="1" x14ac:dyDescent="0.15"/>
    <row r="27247" s="69" customFormat="1" x14ac:dyDescent="0.15"/>
    <row r="27248" s="69" customFormat="1" x14ac:dyDescent="0.15"/>
    <row r="27249" s="69" customFormat="1" x14ac:dyDescent="0.15"/>
    <row r="27250" s="69" customFormat="1" x14ac:dyDescent="0.15"/>
    <row r="27251" s="69" customFormat="1" x14ac:dyDescent="0.15"/>
    <row r="27252" s="69" customFormat="1" x14ac:dyDescent="0.15"/>
    <row r="27253" s="69" customFormat="1" x14ac:dyDescent="0.15"/>
    <row r="27254" s="69" customFormat="1" x14ac:dyDescent="0.15"/>
    <row r="27255" s="69" customFormat="1" x14ac:dyDescent="0.15"/>
    <row r="27256" s="69" customFormat="1" x14ac:dyDescent="0.15"/>
    <row r="27257" s="69" customFormat="1" x14ac:dyDescent="0.15"/>
    <row r="27258" s="69" customFormat="1" x14ac:dyDescent="0.15"/>
    <row r="27259" s="69" customFormat="1" x14ac:dyDescent="0.15"/>
    <row r="27260" s="69" customFormat="1" x14ac:dyDescent="0.15"/>
    <row r="27261" s="69" customFormat="1" x14ac:dyDescent="0.15"/>
    <row r="27262" s="69" customFormat="1" x14ac:dyDescent="0.15"/>
    <row r="27263" s="69" customFormat="1" x14ac:dyDescent="0.15"/>
    <row r="27264" s="69" customFormat="1" x14ac:dyDescent="0.15"/>
    <row r="27265" s="69" customFormat="1" x14ac:dyDescent="0.15"/>
    <row r="27266" s="69" customFormat="1" x14ac:dyDescent="0.15"/>
    <row r="27267" s="69" customFormat="1" x14ac:dyDescent="0.15"/>
    <row r="27268" s="69" customFormat="1" x14ac:dyDescent="0.15"/>
    <row r="27269" s="69" customFormat="1" x14ac:dyDescent="0.15"/>
    <row r="27270" s="69" customFormat="1" x14ac:dyDescent="0.15"/>
    <row r="27271" s="69" customFormat="1" x14ac:dyDescent="0.15"/>
    <row r="27272" s="69" customFormat="1" x14ac:dyDescent="0.15"/>
    <row r="27273" s="69" customFormat="1" x14ac:dyDescent="0.15"/>
    <row r="27274" s="69" customFormat="1" x14ac:dyDescent="0.15"/>
    <row r="27275" s="69" customFormat="1" x14ac:dyDescent="0.15"/>
    <row r="27276" s="69" customFormat="1" x14ac:dyDescent="0.15"/>
    <row r="27277" s="69" customFormat="1" x14ac:dyDescent="0.15"/>
    <row r="27278" s="69" customFormat="1" x14ac:dyDescent="0.15"/>
    <row r="27279" s="69" customFormat="1" x14ac:dyDescent="0.15"/>
    <row r="27280" s="69" customFormat="1" x14ac:dyDescent="0.15"/>
    <row r="27281" s="69" customFormat="1" x14ac:dyDescent="0.15"/>
    <row r="27282" s="69" customFormat="1" x14ac:dyDescent="0.15"/>
    <row r="27283" s="69" customFormat="1" x14ac:dyDescent="0.15"/>
    <row r="27284" s="69" customFormat="1" x14ac:dyDescent="0.15"/>
    <row r="27285" s="69" customFormat="1" x14ac:dyDescent="0.15"/>
    <row r="27286" s="69" customFormat="1" x14ac:dyDescent="0.15"/>
    <row r="27287" s="69" customFormat="1" x14ac:dyDescent="0.15"/>
    <row r="27288" s="69" customFormat="1" x14ac:dyDescent="0.15"/>
    <row r="27289" s="69" customFormat="1" x14ac:dyDescent="0.15"/>
    <row r="27290" s="69" customFormat="1" x14ac:dyDescent="0.15"/>
    <row r="27291" s="69" customFormat="1" x14ac:dyDescent="0.15"/>
    <row r="27292" s="69" customFormat="1" x14ac:dyDescent="0.15"/>
    <row r="27293" s="69" customFormat="1" x14ac:dyDescent="0.15"/>
    <row r="27294" s="69" customFormat="1" x14ac:dyDescent="0.15"/>
    <row r="27295" s="69" customFormat="1" x14ac:dyDescent="0.15"/>
    <row r="27296" s="69" customFormat="1" x14ac:dyDescent="0.15"/>
    <row r="27297" s="69" customFormat="1" x14ac:dyDescent="0.15"/>
    <row r="27298" s="69" customFormat="1" x14ac:dyDescent="0.15"/>
    <row r="27299" s="69" customFormat="1" x14ac:dyDescent="0.15"/>
    <row r="27300" s="69" customFormat="1" x14ac:dyDescent="0.15"/>
    <row r="27301" s="69" customFormat="1" x14ac:dyDescent="0.15"/>
    <row r="27302" s="69" customFormat="1" x14ac:dyDescent="0.15"/>
    <row r="27303" s="69" customFormat="1" x14ac:dyDescent="0.15"/>
    <row r="27304" s="69" customFormat="1" x14ac:dyDescent="0.15"/>
    <row r="27305" s="69" customFormat="1" x14ac:dyDescent="0.15"/>
    <row r="27306" s="69" customFormat="1" x14ac:dyDescent="0.15"/>
    <row r="27307" s="69" customFormat="1" x14ac:dyDescent="0.15"/>
    <row r="27308" s="69" customFormat="1" x14ac:dyDescent="0.15"/>
    <row r="27309" s="69" customFormat="1" x14ac:dyDescent="0.15"/>
    <row r="27310" s="69" customFormat="1" x14ac:dyDescent="0.15"/>
    <row r="27311" s="69" customFormat="1" x14ac:dyDescent="0.15"/>
    <row r="27312" s="69" customFormat="1" x14ac:dyDescent="0.15"/>
    <row r="27313" s="69" customFormat="1" x14ac:dyDescent="0.15"/>
    <row r="27314" s="69" customFormat="1" x14ac:dyDescent="0.15"/>
    <row r="27315" s="69" customFormat="1" x14ac:dyDescent="0.15"/>
    <row r="27316" s="69" customFormat="1" x14ac:dyDescent="0.15"/>
    <row r="27317" s="69" customFormat="1" x14ac:dyDescent="0.15"/>
    <row r="27318" s="69" customFormat="1" x14ac:dyDescent="0.15"/>
    <row r="27319" s="69" customFormat="1" x14ac:dyDescent="0.15"/>
    <row r="27320" s="69" customFormat="1" x14ac:dyDescent="0.15"/>
    <row r="27321" s="69" customFormat="1" x14ac:dyDescent="0.15"/>
    <row r="27322" s="69" customFormat="1" x14ac:dyDescent="0.15"/>
    <row r="27323" s="69" customFormat="1" x14ac:dyDescent="0.15"/>
    <row r="27324" s="69" customFormat="1" x14ac:dyDescent="0.15"/>
    <row r="27325" s="69" customFormat="1" x14ac:dyDescent="0.15"/>
    <row r="27326" s="69" customFormat="1" x14ac:dyDescent="0.15"/>
    <row r="27327" s="69" customFormat="1" x14ac:dyDescent="0.15"/>
    <row r="27328" s="69" customFormat="1" x14ac:dyDescent="0.15"/>
    <row r="27329" s="69" customFormat="1" x14ac:dyDescent="0.15"/>
    <row r="27330" s="69" customFormat="1" x14ac:dyDescent="0.15"/>
    <row r="27331" s="69" customFormat="1" x14ac:dyDescent="0.15"/>
    <row r="27332" s="69" customFormat="1" x14ac:dyDescent="0.15"/>
    <row r="27333" s="69" customFormat="1" x14ac:dyDescent="0.15"/>
    <row r="27334" s="69" customFormat="1" x14ac:dyDescent="0.15"/>
    <row r="27335" s="69" customFormat="1" x14ac:dyDescent="0.15"/>
    <row r="27336" s="69" customFormat="1" x14ac:dyDescent="0.15"/>
    <row r="27337" s="69" customFormat="1" x14ac:dyDescent="0.15"/>
    <row r="27338" s="69" customFormat="1" x14ac:dyDescent="0.15"/>
    <row r="27339" s="69" customFormat="1" x14ac:dyDescent="0.15"/>
    <row r="27340" s="69" customFormat="1" x14ac:dyDescent="0.15"/>
    <row r="27341" s="69" customFormat="1" x14ac:dyDescent="0.15"/>
    <row r="27342" s="69" customFormat="1" x14ac:dyDescent="0.15"/>
    <row r="27343" s="69" customFormat="1" x14ac:dyDescent="0.15"/>
    <row r="27344" s="69" customFormat="1" x14ac:dyDescent="0.15"/>
    <row r="27345" s="69" customFormat="1" x14ac:dyDescent="0.15"/>
    <row r="27346" s="69" customFormat="1" x14ac:dyDescent="0.15"/>
    <row r="27347" s="69" customFormat="1" x14ac:dyDescent="0.15"/>
    <row r="27348" s="69" customFormat="1" x14ac:dyDescent="0.15"/>
    <row r="27349" s="69" customFormat="1" x14ac:dyDescent="0.15"/>
    <row r="27350" s="69" customFormat="1" x14ac:dyDescent="0.15"/>
    <row r="27351" s="69" customFormat="1" x14ac:dyDescent="0.15"/>
    <row r="27352" s="69" customFormat="1" x14ac:dyDescent="0.15"/>
    <row r="27353" s="69" customFormat="1" x14ac:dyDescent="0.15"/>
    <row r="27354" s="69" customFormat="1" x14ac:dyDescent="0.15"/>
    <row r="27355" s="69" customFormat="1" x14ac:dyDescent="0.15"/>
    <row r="27356" s="69" customFormat="1" x14ac:dyDescent="0.15"/>
    <row r="27357" s="69" customFormat="1" x14ac:dyDescent="0.15"/>
    <row r="27358" s="69" customFormat="1" x14ac:dyDescent="0.15"/>
    <row r="27359" s="69" customFormat="1" x14ac:dyDescent="0.15"/>
    <row r="27360" s="69" customFormat="1" x14ac:dyDescent="0.15"/>
    <row r="27361" s="69" customFormat="1" x14ac:dyDescent="0.15"/>
    <row r="27362" s="69" customFormat="1" x14ac:dyDescent="0.15"/>
    <row r="27363" s="69" customFormat="1" x14ac:dyDescent="0.15"/>
    <row r="27364" s="69" customFormat="1" x14ac:dyDescent="0.15"/>
    <row r="27365" s="69" customFormat="1" x14ac:dyDescent="0.15"/>
    <row r="27366" s="69" customFormat="1" x14ac:dyDescent="0.15"/>
    <row r="27367" s="69" customFormat="1" x14ac:dyDescent="0.15"/>
    <row r="27368" s="69" customFormat="1" x14ac:dyDescent="0.15"/>
    <row r="27369" s="69" customFormat="1" x14ac:dyDescent="0.15"/>
    <row r="27370" s="69" customFormat="1" x14ac:dyDescent="0.15"/>
    <row r="27371" s="69" customFormat="1" x14ac:dyDescent="0.15"/>
    <row r="27372" s="69" customFormat="1" x14ac:dyDescent="0.15"/>
    <row r="27373" s="69" customFormat="1" x14ac:dyDescent="0.15"/>
    <row r="27374" s="69" customFormat="1" x14ac:dyDescent="0.15"/>
    <row r="27375" s="69" customFormat="1" x14ac:dyDescent="0.15"/>
    <row r="27376" s="69" customFormat="1" x14ac:dyDescent="0.15"/>
    <row r="27377" s="69" customFormat="1" x14ac:dyDescent="0.15"/>
    <row r="27378" s="69" customFormat="1" x14ac:dyDescent="0.15"/>
    <row r="27379" s="69" customFormat="1" x14ac:dyDescent="0.15"/>
    <row r="27380" s="69" customFormat="1" x14ac:dyDescent="0.15"/>
    <row r="27381" s="69" customFormat="1" x14ac:dyDescent="0.15"/>
    <row r="27382" s="69" customFormat="1" x14ac:dyDescent="0.15"/>
    <row r="27383" s="69" customFormat="1" x14ac:dyDescent="0.15"/>
    <row r="27384" s="69" customFormat="1" x14ac:dyDescent="0.15"/>
    <row r="27385" s="69" customFormat="1" x14ac:dyDescent="0.15"/>
    <row r="27386" s="69" customFormat="1" x14ac:dyDescent="0.15"/>
    <row r="27387" s="69" customFormat="1" x14ac:dyDescent="0.15"/>
    <row r="27388" s="69" customFormat="1" x14ac:dyDescent="0.15"/>
    <row r="27389" s="69" customFormat="1" x14ac:dyDescent="0.15"/>
    <row r="27390" s="69" customFormat="1" x14ac:dyDescent="0.15"/>
    <row r="27391" s="69" customFormat="1" x14ac:dyDescent="0.15"/>
    <row r="27392" s="69" customFormat="1" x14ac:dyDescent="0.15"/>
    <row r="27393" s="69" customFormat="1" x14ac:dyDescent="0.15"/>
    <row r="27394" s="69" customFormat="1" x14ac:dyDescent="0.15"/>
    <row r="27395" s="69" customFormat="1" x14ac:dyDescent="0.15"/>
    <row r="27396" s="69" customFormat="1" x14ac:dyDescent="0.15"/>
    <row r="27397" s="69" customFormat="1" x14ac:dyDescent="0.15"/>
    <row r="27398" s="69" customFormat="1" x14ac:dyDescent="0.15"/>
    <row r="27399" s="69" customFormat="1" x14ac:dyDescent="0.15"/>
    <row r="27400" s="69" customFormat="1" x14ac:dyDescent="0.15"/>
    <row r="27401" s="69" customFormat="1" x14ac:dyDescent="0.15"/>
    <row r="27402" s="69" customFormat="1" x14ac:dyDescent="0.15"/>
    <row r="27403" s="69" customFormat="1" x14ac:dyDescent="0.15"/>
    <row r="27404" s="69" customFormat="1" x14ac:dyDescent="0.15"/>
    <row r="27405" s="69" customFormat="1" x14ac:dyDescent="0.15"/>
    <row r="27406" s="69" customFormat="1" x14ac:dyDescent="0.15"/>
    <row r="27407" s="69" customFormat="1" x14ac:dyDescent="0.15"/>
    <row r="27408" s="69" customFormat="1" x14ac:dyDescent="0.15"/>
    <row r="27409" s="69" customFormat="1" x14ac:dyDescent="0.15"/>
    <row r="27410" s="69" customFormat="1" x14ac:dyDescent="0.15"/>
    <row r="27411" s="69" customFormat="1" x14ac:dyDescent="0.15"/>
    <row r="27412" s="69" customFormat="1" x14ac:dyDescent="0.15"/>
    <row r="27413" s="69" customFormat="1" x14ac:dyDescent="0.15"/>
    <row r="27414" s="69" customFormat="1" x14ac:dyDescent="0.15"/>
    <row r="27415" s="69" customFormat="1" x14ac:dyDescent="0.15"/>
    <row r="27416" s="69" customFormat="1" x14ac:dyDescent="0.15"/>
    <row r="27417" s="69" customFormat="1" x14ac:dyDescent="0.15"/>
    <row r="27418" s="69" customFormat="1" x14ac:dyDescent="0.15"/>
    <row r="27419" s="69" customFormat="1" x14ac:dyDescent="0.15"/>
    <row r="27420" s="69" customFormat="1" x14ac:dyDescent="0.15"/>
    <row r="27421" s="69" customFormat="1" x14ac:dyDescent="0.15"/>
    <row r="27422" s="69" customFormat="1" x14ac:dyDescent="0.15"/>
    <row r="27423" s="69" customFormat="1" x14ac:dyDescent="0.15"/>
    <row r="27424" s="69" customFormat="1" x14ac:dyDescent="0.15"/>
    <row r="27425" s="69" customFormat="1" x14ac:dyDescent="0.15"/>
    <row r="27426" s="69" customFormat="1" x14ac:dyDescent="0.15"/>
    <row r="27427" s="69" customFormat="1" x14ac:dyDescent="0.15"/>
    <row r="27428" s="69" customFormat="1" x14ac:dyDescent="0.15"/>
    <row r="27429" s="69" customFormat="1" x14ac:dyDescent="0.15"/>
    <row r="27430" s="69" customFormat="1" x14ac:dyDescent="0.15"/>
    <row r="27431" s="69" customFormat="1" x14ac:dyDescent="0.15"/>
    <row r="27432" s="69" customFormat="1" x14ac:dyDescent="0.15"/>
    <row r="27433" s="69" customFormat="1" x14ac:dyDescent="0.15"/>
    <row r="27434" s="69" customFormat="1" x14ac:dyDescent="0.15"/>
    <row r="27435" s="69" customFormat="1" x14ac:dyDescent="0.15"/>
    <row r="27436" s="69" customFormat="1" x14ac:dyDescent="0.15"/>
    <row r="27437" s="69" customFormat="1" x14ac:dyDescent="0.15"/>
    <row r="27438" s="69" customFormat="1" x14ac:dyDescent="0.15"/>
    <row r="27439" s="69" customFormat="1" x14ac:dyDescent="0.15"/>
    <row r="27440" s="69" customFormat="1" x14ac:dyDescent="0.15"/>
    <row r="27441" s="69" customFormat="1" x14ac:dyDescent="0.15"/>
    <row r="27442" s="69" customFormat="1" x14ac:dyDescent="0.15"/>
    <row r="27443" s="69" customFormat="1" x14ac:dyDescent="0.15"/>
    <row r="27444" s="69" customFormat="1" x14ac:dyDescent="0.15"/>
    <row r="27445" s="69" customFormat="1" x14ac:dyDescent="0.15"/>
    <row r="27446" s="69" customFormat="1" x14ac:dyDescent="0.15"/>
    <row r="27447" s="69" customFormat="1" x14ac:dyDescent="0.15"/>
    <row r="27448" s="69" customFormat="1" x14ac:dyDescent="0.15"/>
    <row r="27449" s="69" customFormat="1" x14ac:dyDescent="0.15"/>
    <row r="27450" s="69" customFormat="1" x14ac:dyDescent="0.15"/>
    <row r="27451" s="69" customFormat="1" x14ac:dyDescent="0.15"/>
    <row r="27452" s="69" customFormat="1" x14ac:dyDescent="0.15"/>
    <row r="27453" s="69" customFormat="1" x14ac:dyDescent="0.15"/>
    <row r="27454" s="69" customFormat="1" x14ac:dyDescent="0.15"/>
    <row r="27455" s="69" customFormat="1" x14ac:dyDescent="0.15"/>
    <row r="27456" s="69" customFormat="1" x14ac:dyDescent="0.15"/>
    <row r="27457" s="69" customFormat="1" x14ac:dyDescent="0.15"/>
    <row r="27458" s="69" customFormat="1" x14ac:dyDescent="0.15"/>
    <row r="27459" s="69" customFormat="1" x14ac:dyDescent="0.15"/>
    <row r="27460" s="69" customFormat="1" x14ac:dyDescent="0.15"/>
    <row r="27461" s="69" customFormat="1" x14ac:dyDescent="0.15"/>
    <row r="27462" s="69" customFormat="1" x14ac:dyDescent="0.15"/>
    <row r="27463" s="69" customFormat="1" x14ac:dyDescent="0.15"/>
    <row r="27464" s="69" customFormat="1" x14ac:dyDescent="0.15"/>
    <row r="27465" s="69" customFormat="1" x14ac:dyDescent="0.15"/>
    <row r="27466" s="69" customFormat="1" x14ac:dyDescent="0.15"/>
    <row r="27467" s="69" customFormat="1" x14ac:dyDescent="0.15"/>
    <row r="27468" s="69" customFormat="1" x14ac:dyDescent="0.15"/>
    <row r="27469" s="69" customFormat="1" x14ac:dyDescent="0.15"/>
    <row r="27470" s="69" customFormat="1" x14ac:dyDescent="0.15"/>
    <row r="27471" s="69" customFormat="1" x14ac:dyDescent="0.15"/>
    <row r="27472" s="69" customFormat="1" x14ac:dyDescent="0.15"/>
    <row r="27473" s="69" customFormat="1" x14ac:dyDescent="0.15"/>
    <row r="27474" s="69" customFormat="1" x14ac:dyDescent="0.15"/>
    <row r="27475" s="69" customFormat="1" x14ac:dyDescent="0.15"/>
    <row r="27476" s="69" customFormat="1" x14ac:dyDescent="0.15"/>
    <row r="27477" s="69" customFormat="1" x14ac:dyDescent="0.15"/>
    <row r="27478" s="69" customFormat="1" x14ac:dyDescent="0.15"/>
    <row r="27479" s="69" customFormat="1" x14ac:dyDescent="0.15"/>
    <row r="27480" s="69" customFormat="1" x14ac:dyDescent="0.15"/>
    <row r="27481" s="69" customFormat="1" x14ac:dyDescent="0.15"/>
    <row r="27482" s="69" customFormat="1" x14ac:dyDescent="0.15"/>
    <row r="27483" s="69" customFormat="1" x14ac:dyDescent="0.15"/>
    <row r="27484" s="69" customFormat="1" x14ac:dyDescent="0.15"/>
    <row r="27485" s="69" customFormat="1" x14ac:dyDescent="0.15"/>
    <row r="27486" s="69" customFormat="1" x14ac:dyDescent="0.15"/>
    <row r="27487" s="69" customFormat="1" x14ac:dyDescent="0.15"/>
    <row r="27488" s="69" customFormat="1" x14ac:dyDescent="0.15"/>
    <row r="27489" s="69" customFormat="1" x14ac:dyDescent="0.15"/>
    <row r="27490" s="69" customFormat="1" x14ac:dyDescent="0.15"/>
    <row r="27491" s="69" customFormat="1" x14ac:dyDescent="0.15"/>
    <row r="27492" s="69" customFormat="1" x14ac:dyDescent="0.15"/>
    <row r="27493" s="69" customFormat="1" x14ac:dyDescent="0.15"/>
    <row r="27494" s="69" customFormat="1" x14ac:dyDescent="0.15"/>
    <row r="27495" s="69" customFormat="1" x14ac:dyDescent="0.15"/>
    <row r="27496" s="69" customFormat="1" x14ac:dyDescent="0.15"/>
    <row r="27497" s="69" customFormat="1" x14ac:dyDescent="0.15"/>
    <row r="27498" s="69" customFormat="1" x14ac:dyDescent="0.15"/>
    <row r="27499" s="69" customFormat="1" x14ac:dyDescent="0.15"/>
    <row r="27500" s="69" customFormat="1" x14ac:dyDescent="0.15"/>
    <row r="27501" s="69" customFormat="1" x14ac:dyDescent="0.15"/>
    <row r="27502" s="69" customFormat="1" x14ac:dyDescent="0.15"/>
    <row r="27503" s="69" customFormat="1" x14ac:dyDescent="0.15"/>
    <row r="27504" s="69" customFormat="1" x14ac:dyDescent="0.15"/>
    <row r="27505" s="69" customFormat="1" x14ac:dyDescent="0.15"/>
    <row r="27506" s="69" customFormat="1" x14ac:dyDescent="0.15"/>
    <row r="27507" s="69" customFormat="1" x14ac:dyDescent="0.15"/>
    <row r="27508" s="69" customFormat="1" x14ac:dyDescent="0.15"/>
    <row r="27509" s="69" customFormat="1" x14ac:dyDescent="0.15"/>
    <row r="27510" s="69" customFormat="1" x14ac:dyDescent="0.15"/>
    <row r="27511" s="69" customFormat="1" x14ac:dyDescent="0.15"/>
    <row r="27512" s="69" customFormat="1" x14ac:dyDescent="0.15"/>
    <row r="27513" s="69" customFormat="1" x14ac:dyDescent="0.15"/>
    <row r="27514" s="69" customFormat="1" x14ac:dyDescent="0.15"/>
    <row r="27515" s="69" customFormat="1" x14ac:dyDescent="0.15"/>
    <row r="27516" s="69" customFormat="1" x14ac:dyDescent="0.15"/>
    <row r="27517" s="69" customFormat="1" x14ac:dyDescent="0.15"/>
    <row r="27518" s="69" customFormat="1" x14ac:dyDescent="0.15"/>
    <row r="27519" s="69" customFormat="1" x14ac:dyDescent="0.15"/>
    <row r="27520" s="69" customFormat="1" x14ac:dyDescent="0.15"/>
    <row r="27521" s="69" customFormat="1" x14ac:dyDescent="0.15"/>
    <row r="27522" s="69" customFormat="1" x14ac:dyDescent="0.15"/>
    <row r="27523" s="69" customFormat="1" x14ac:dyDescent="0.15"/>
    <row r="27524" s="69" customFormat="1" x14ac:dyDescent="0.15"/>
    <row r="27525" s="69" customFormat="1" x14ac:dyDescent="0.15"/>
    <row r="27526" s="69" customFormat="1" x14ac:dyDescent="0.15"/>
    <row r="27527" s="69" customFormat="1" x14ac:dyDescent="0.15"/>
    <row r="27528" s="69" customFormat="1" x14ac:dyDescent="0.15"/>
    <row r="27529" s="69" customFormat="1" x14ac:dyDescent="0.15"/>
    <row r="27530" s="69" customFormat="1" x14ac:dyDescent="0.15"/>
    <row r="27531" s="69" customFormat="1" x14ac:dyDescent="0.15"/>
    <row r="27532" s="69" customFormat="1" x14ac:dyDescent="0.15"/>
    <row r="27533" s="69" customFormat="1" x14ac:dyDescent="0.15"/>
    <row r="27534" s="69" customFormat="1" x14ac:dyDescent="0.15"/>
    <row r="27535" s="69" customFormat="1" x14ac:dyDescent="0.15"/>
    <row r="27536" s="69" customFormat="1" x14ac:dyDescent="0.15"/>
    <row r="27537" s="69" customFormat="1" x14ac:dyDescent="0.15"/>
    <row r="27538" s="69" customFormat="1" x14ac:dyDescent="0.15"/>
    <row r="27539" s="69" customFormat="1" x14ac:dyDescent="0.15"/>
    <row r="27540" s="69" customFormat="1" x14ac:dyDescent="0.15"/>
    <row r="27541" s="69" customFormat="1" x14ac:dyDescent="0.15"/>
    <row r="27542" s="69" customFormat="1" x14ac:dyDescent="0.15"/>
    <row r="27543" s="69" customFormat="1" x14ac:dyDescent="0.15"/>
    <row r="27544" s="69" customFormat="1" x14ac:dyDescent="0.15"/>
    <row r="27545" s="69" customFormat="1" x14ac:dyDescent="0.15"/>
    <row r="27546" s="69" customFormat="1" x14ac:dyDescent="0.15"/>
    <row r="27547" s="69" customFormat="1" x14ac:dyDescent="0.15"/>
    <row r="27548" s="69" customFormat="1" x14ac:dyDescent="0.15"/>
    <row r="27549" s="69" customFormat="1" x14ac:dyDescent="0.15"/>
    <row r="27550" s="69" customFormat="1" x14ac:dyDescent="0.15"/>
    <row r="27551" s="69" customFormat="1" x14ac:dyDescent="0.15"/>
    <row r="27552" s="69" customFormat="1" x14ac:dyDescent="0.15"/>
    <row r="27553" s="69" customFormat="1" x14ac:dyDescent="0.15"/>
    <row r="27554" s="69" customFormat="1" x14ac:dyDescent="0.15"/>
    <row r="27555" s="69" customFormat="1" x14ac:dyDescent="0.15"/>
    <row r="27556" s="69" customFormat="1" x14ac:dyDescent="0.15"/>
    <row r="27557" s="69" customFormat="1" x14ac:dyDescent="0.15"/>
    <row r="27558" s="69" customFormat="1" x14ac:dyDescent="0.15"/>
    <row r="27559" s="69" customFormat="1" x14ac:dyDescent="0.15"/>
    <row r="27560" s="69" customFormat="1" x14ac:dyDescent="0.15"/>
    <row r="27561" s="69" customFormat="1" x14ac:dyDescent="0.15"/>
    <row r="27562" s="69" customFormat="1" x14ac:dyDescent="0.15"/>
    <row r="27563" s="69" customFormat="1" x14ac:dyDescent="0.15"/>
    <row r="27564" s="69" customFormat="1" x14ac:dyDescent="0.15"/>
    <row r="27565" s="69" customFormat="1" x14ac:dyDescent="0.15"/>
    <row r="27566" s="69" customFormat="1" x14ac:dyDescent="0.15"/>
    <row r="27567" s="69" customFormat="1" x14ac:dyDescent="0.15"/>
    <row r="27568" s="69" customFormat="1" x14ac:dyDescent="0.15"/>
    <row r="27569" s="69" customFormat="1" x14ac:dyDescent="0.15"/>
    <row r="27570" s="69" customFormat="1" x14ac:dyDescent="0.15"/>
    <row r="27571" s="69" customFormat="1" x14ac:dyDescent="0.15"/>
    <row r="27572" s="69" customFormat="1" x14ac:dyDescent="0.15"/>
    <row r="27573" s="69" customFormat="1" x14ac:dyDescent="0.15"/>
    <row r="27574" s="69" customFormat="1" x14ac:dyDescent="0.15"/>
    <row r="27575" s="69" customFormat="1" x14ac:dyDescent="0.15"/>
    <row r="27576" s="69" customFormat="1" x14ac:dyDescent="0.15"/>
    <row r="27577" s="69" customFormat="1" x14ac:dyDescent="0.15"/>
    <row r="27578" s="69" customFormat="1" x14ac:dyDescent="0.15"/>
    <row r="27579" s="69" customFormat="1" x14ac:dyDescent="0.15"/>
    <row r="27580" s="69" customFormat="1" x14ac:dyDescent="0.15"/>
    <row r="27581" s="69" customFormat="1" x14ac:dyDescent="0.15"/>
    <row r="27582" s="69" customFormat="1" x14ac:dyDescent="0.15"/>
    <row r="27583" s="69" customFormat="1" x14ac:dyDescent="0.15"/>
    <row r="27584" s="69" customFormat="1" x14ac:dyDescent="0.15"/>
    <row r="27585" s="69" customFormat="1" x14ac:dyDescent="0.15"/>
    <row r="27586" s="69" customFormat="1" x14ac:dyDescent="0.15"/>
    <row r="27587" s="69" customFormat="1" x14ac:dyDescent="0.15"/>
    <row r="27588" s="69" customFormat="1" x14ac:dyDescent="0.15"/>
    <row r="27589" s="69" customFormat="1" x14ac:dyDescent="0.15"/>
    <row r="27590" s="69" customFormat="1" x14ac:dyDescent="0.15"/>
    <row r="27591" s="69" customFormat="1" x14ac:dyDescent="0.15"/>
    <row r="27592" s="69" customFormat="1" x14ac:dyDescent="0.15"/>
    <row r="27593" s="69" customFormat="1" x14ac:dyDescent="0.15"/>
    <row r="27594" s="69" customFormat="1" x14ac:dyDescent="0.15"/>
    <row r="27595" s="69" customFormat="1" x14ac:dyDescent="0.15"/>
    <row r="27596" s="69" customFormat="1" x14ac:dyDescent="0.15"/>
    <row r="27597" s="69" customFormat="1" x14ac:dyDescent="0.15"/>
    <row r="27598" s="69" customFormat="1" x14ac:dyDescent="0.15"/>
    <row r="27599" s="69" customFormat="1" x14ac:dyDescent="0.15"/>
    <row r="27600" s="69" customFormat="1" x14ac:dyDescent="0.15"/>
    <row r="27601" s="69" customFormat="1" x14ac:dyDescent="0.15"/>
    <row r="27602" s="69" customFormat="1" x14ac:dyDescent="0.15"/>
    <row r="27603" s="69" customFormat="1" x14ac:dyDescent="0.15"/>
    <row r="27604" s="69" customFormat="1" x14ac:dyDescent="0.15"/>
    <row r="27605" s="69" customFormat="1" x14ac:dyDescent="0.15"/>
    <row r="27606" s="69" customFormat="1" x14ac:dyDescent="0.15"/>
    <row r="27607" s="69" customFormat="1" x14ac:dyDescent="0.15"/>
    <row r="27608" s="69" customFormat="1" x14ac:dyDescent="0.15"/>
    <row r="27609" s="69" customFormat="1" x14ac:dyDescent="0.15"/>
    <row r="27610" s="69" customFormat="1" x14ac:dyDescent="0.15"/>
    <row r="27611" s="69" customFormat="1" x14ac:dyDescent="0.15"/>
    <row r="27612" s="69" customFormat="1" x14ac:dyDescent="0.15"/>
    <row r="27613" s="69" customFormat="1" x14ac:dyDescent="0.15"/>
    <row r="27614" s="69" customFormat="1" x14ac:dyDescent="0.15"/>
    <row r="27615" s="69" customFormat="1" x14ac:dyDescent="0.15"/>
    <row r="27616" s="69" customFormat="1" x14ac:dyDescent="0.15"/>
    <row r="27617" s="69" customFormat="1" x14ac:dyDescent="0.15"/>
    <row r="27618" s="69" customFormat="1" x14ac:dyDescent="0.15"/>
    <row r="27619" s="69" customFormat="1" x14ac:dyDescent="0.15"/>
    <row r="27620" s="69" customFormat="1" x14ac:dyDescent="0.15"/>
    <row r="27621" s="69" customFormat="1" x14ac:dyDescent="0.15"/>
    <row r="27622" s="69" customFormat="1" x14ac:dyDescent="0.15"/>
    <row r="27623" s="69" customFormat="1" x14ac:dyDescent="0.15"/>
    <row r="27624" s="69" customFormat="1" x14ac:dyDescent="0.15"/>
    <row r="27625" s="69" customFormat="1" x14ac:dyDescent="0.15"/>
    <row r="27626" s="69" customFormat="1" x14ac:dyDescent="0.15"/>
    <row r="27627" s="69" customFormat="1" x14ac:dyDescent="0.15"/>
    <row r="27628" s="69" customFormat="1" x14ac:dyDescent="0.15"/>
    <row r="27629" s="69" customFormat="1" x14ac:dyDescent="0.15"/>
    <row r="27630" s="69" customFormat="1" x14ac:dyDescent="0.15"/>
    <row r="27631" s="69" customFormat="1" x14ac:dyDescent="0.15"/>
    <row r="27632" s="69" customFormat="1" x14ac:dyDescent="0.15"/>
    <row r="27633" s="69" customFormat="1" x14ac:dyDescent="0.15"/>
    <row r="27634" s="69" customFormat="1" x14ac:dyDescent="0.15"/>
    <row r="27635" s="69" customFormat="1" x14ac:dyDescent="0.15"/>
    <row r="27636" s="69" customFormat="1" x14ac:dyDescent="0.15"/>
    <row r="27637" s="69" customFormat="1" x14ac:dyDescent="0.15"/>
    <row r="27638" s="69" customFormat="1" x14ac:dyDescent="0.15"/>
    <row r="27639" s="69" customFormat="1" x14ac:dyDescent="0.15"/>
    <row r="27640" s="69" customFormat="1" x14ac:dyDescent="0.15"/>
    <row r="27641" s="69" customFormat="1" x14ac:dyDescent="0.15"/>
    <row r="27642" s="69" customFormat="1" x14ac:dyDescent="0.15"/>
    <row r="27643" s="69" customFormat="1" x14ac:dyDescent="0.15"/>
    <row r="27644" s="69" customFormat="1" x14ac:dyDescent="0.15"/>
    <row r="27645" s="69" customFormat="1" x14ac:dyDescent="0.15"/>
    <row r="27646" s="69" customFormat="1" x14ac:dyDescent="0.15"/>
    <row r="27647" s="69" customFormat="1" x14ac:dyDescent="0.15"/>
    <row r="27648" s="69" customFormat="1" x14ac:dyDescent="0.15"/>
    <row r="27649" s="69" customFormat="1" x14ac:dyDescent="0.15"/>
    <row r="27650" s="69" customFormat="1" x14ac:dyDescent="0.15"/>
    <row r="27651" s="69" customFormat="1" x14ac:dyDescent="0.15"/>
    <row r="27652" s="69" customFormat="1" x14ac:dyDescent="0.15"/>
    <row r="27653" s="69" customFormat="1" x14ac:dyDescent="0.15"/>
    <row r="27654" s="69" customFormat="1" x14ac:dyDescent="0.15"/>
    <row r="27655" s="69" customFormat="1" x14ac:dyDescent="0.15"/>
    <row r="27656" s="69" customFormat="1" x14ac:dyDescent="0.15"/>
    <row r="27657" s="69" customFormat="1" x14ac:dyDescent="0.15"/>
    <row r="27658" s="69" customFormat="1" x14ac:dyDescent="0.15"/>
    <row r="27659" s="69" customFormat="1" x14ac:dyDescent="0.15"/>
    <row r="27660" s="69" customFormat="1" x14ac:dyDescent="0.15"/>
    <row r="27661" s="69" customFormat="1" x14ac:dyDescent="0.15"/>
    <row r="27662" s="69" customFormat="1" x14ac:dyDescent="0.15"/>
    <row r="27663" s="69" customFormat="1" x14ac:dyDescent="0.15"/>
    <row r="27664" s="69" customFormat="1" x14ac:dyDescent="0.15"/>
    <row r="27665" s="69" customFormat="1" x14ac:dyDescent="0.15"/>
    <row r="27666" s="69" customFormat="1" x14ac:dyDescent="0.15"/>
    <row r="27667" s="69" customFormat="1" x14ac:dyDescent="0.15"/>
    <row r="27668" s="69" customFormat="1" x14ac:dyDescent="0.15"/>
    <row r="27669" s="69" customFormat="1" x14ac:dyDescent="0.15"/>
    <row r="27670" s="69" customFormat="1" x14ac:dyDescent="0.15"/>
    <row r="27671" s="69" customFormat="1" x14ac:dyDescent="0.15"/>
    <row r="27672" s="69" customFormat="1" x14ac:dyDescent="0.15"/>
    <row r="27673" s="69" customFormat="1" x14ac:dyDescent="0.15"/>
    <row r="27674" s="69" customFormat="1" x14ac:dyDescent="0.15"/>
    <row r="27675" s="69" customFormat="1" x14ac:dyDescent="0.15"/>
    <row r="27676" s="69" customFormat="1" x14ac:dyDescent="0.15"/>
    <row r="27677" s="69" customFormat="1" x14ac:dyDescent="0.15"/>
    <row r="27678" s="69" customFormat="1" x14ac:dyDescent="0.15"/>
    <row r="27679" s="69" customFormat="1" x14ac:dyDescent="0.15"/>
    <row r="27680" s="69" customFormat="1" x14ac:dyDescent="0.15"/>
    <row r="27681" s="69" customFormat="1" x14ac:dyDescent="0.15"/>
    <row r="27682" s="69" customFormat="1" x14ac:dyDescent="0.15"/>
    <row r="27683" s="69" customFormat="1" x14ac:dyDescent="0.15"/>
    <row r="27684" s="69" customFormat="1" x14ac:dyDescent="0.15"/>
    <row r="27685" s="69" customFormat="1" x14ac:dyDescent="0.15"/>
    <row r="27686" s="69" customFormat="1" x14ac:dyDescent="0.15"/>
    <row r="27687" s="69" customFormat="1" x14ac:dyDescent="0.15"/>
    <row r="27688" s="69" customFormat="1" x14ac:dyDescent="0.15"/>
    <row r="27689" s="69" customFormat="1" x14ac:dyDescent="0.15"/>
    <row r="27690" s="69" customFormat="1" x14ac:dyDescent="0.15"/>
    <row r="27691" s="69" customFormat="1" x14ac:dyDescent="0.15"/>
    <row r="27692" s="69" customFormat="1" x14ac:dyDescent="0.15"/>
    <row r="27693" s="69" customFormat="1" x14ac:dyDescent="0.15"/>
    <row r="27694" s="69" customFormat="1" x14ac:dyDescent="0.15"/>
    <row r="27695" s="69" customFormat="1" x14ac:dyDescent="0.15"/>
    <row r="27696" s="69" customFormat="1" x14ac:dyDescent="0.15"/>
    <row r="27697" s="69" customFormat="1" x14ac:dyDescent="0.15"/>
    <row r="27698" s="69" customFormat="1" x14ac:dyDescent="0.15"/>
    <row r="27699" s="69" customFormat="1" x14ac:dyDescent="0.15"/>
    <row r="27700" s="69" customFormat="1" x14ac:dyDescent="0.15"/>
    <row r="27701" s="69" customFormat="1" x14ac:dyDescent="0.15"/>
    <row r="27702" s="69" customFormat="1" x14ac:dyDescent="0.15"/>
    <row r="27703" s="69" customFormat="1" x14ac:dyDescent="0.15"/>
    <row r="27704" s="69" customFormat="1" x14ac:dyDescent="0.15"/>
    <row r="27705" s="69" customFormat="1" x14ac:dyDescent="0.15"/>
    <row r="27706" s="69" customFormat="1" x14ac:dyDescent="0.15"/>
    <row r="27707" s="69" customFormat="1" x14ac:dyDescent="0.15"/>
    <row r="27708" s="69" customFormat="1" x14ac:dyDescent="0.15"/>
    <row r="27709" s="69" customFormat="1" x14ac:dyDescent="0.15"/>
    <row r="27710" s="69" customFormat="1" x14ac:dyDescent="0.15"/>
    <row r="27711" s="69" customFormat="1" x14ac:dyDescent="0.15"/>
    <row r="27712" s="69" customFormat="1" x14ac:dyDescent="0.15"/>
    <row r="27713" s="69" customFormat="1" x14ac:dyDescent="0.15"/>
    <row r="27714" s="69" customFormat="1" x14ac:dyDescent="0.15"/>
    <row r="27715" s="69" customFormat="1" x14ac:dyDescent="0.15"/>
    <row r="27716" s="69" customFormat="1" x14ac:dyDescent="0.15"/>
    <row r="27717" s="69" customFormat="1" x14ac:dyDescent="0.15"/>
    <row r="27718" s="69" customFormat="1" x14ac:dyDescent="0.15"/>
    <row r="27719" s="69" customFormat="1" x14ac:dyDescent="0.15"/>
    <row r="27720" s="69" customFormat="1" x14ac:dyDescent="0.15"/>
    <row r="27721" s="69" customFormat="1" x14ac:dyDescent="0.15"/>
    <row r="27722" s="69" customFormat="1" x14ac:dyDescent="0.15"/>
    <row r="27723" s="69" customFormat="1" x14ac:dyDescent="0.15"/>
    <row r="27724" s="69" customFormat="1" x14ac:dyDescent="0.15"/>
    <row r="27725" s="69" customFormat="1" x14ac:dyDescent="0.15"/>
    <row r="27726" s="69" customFormat="1" x14ac:dyDescent="0.15"/>
    <row r="27727" s="69" customFormat="1" x14ac:dyDescent="0.15"/>
    <row r="27728" s="69" customFormat="1" x14ac:dyDescent="0.15"/>
    <row r="27729" s="69" customFormat="1" x14ac:dyDescent="0.15"/>
    <row r="27730" s="69" customFormat="1" x14ac:dyDescent="0.15"/>
    <row r="27731" s="69" customFormat="1" x14ac:dyDescent="0.15"/>
    <row r="27732" s="69" customFormat="1" x14ac:dyDescent="0.15"/>
    <row r="27733" s="69" customFormat="1" x14ac:dyDescent="0.15"/>
    <row r="27734" s="69" customFormat="1" x14ac:dyDescent="0.15"/>
    <row r="27735" s="69" customFormat="1" x14ac:dyDescent="0.15"/>
    <row r="27736" s="69" customFormat="1" x14ac:dyDescent="0.15"/>
    <row r="27737" s="69" customFormat="1" x14ac:dyDescent="0.15"/>
    <row r="27738" s="69" customFormat="1" x14ac:dyDescent="0.15"/>
    <row r="27739" s="69" customFormat="1" x14ac:dyDescent="0.15"/>
    <row r="27740" s="69" customFormat="1" x14ac:dyDescent="0.15"/>
    <row r="27741" s="69" customFormat="1" x14ac:dyDescent="0.15"/>
    <row r="27742" s="69" customFormat="1" x14ac:dyDescent="0.15"/>
    <row r="27743" s="69" customFormat="1" x14ac:dyDescent="0.15"/>
    <row r="27744" s="69" customFormat="1" x14ac:dyDescent="0.15"/>
    <row r="27745" s="69" customFormat="1" x14ac:dyDescent="0.15"/>
    <row r="27746" s="69" customFormat="1" x14ac:dyDescent="0.15"/>
    <row r="27747" s="69" customFormat="1" x14ac:dyDescent="0.15"/>
    <row r="27748" s="69" customFormat="1" x14ac:dyDescent="0.15"/>
    <row r="27749" s="69" customFormat="1" x14ac:dyDescent="0.15"/>
    <row r="27750" s="69" customFormat="1" x14ac:dyDescent="0.15"/>
    <row r="27751" s="69" customFormat="1" x14ac:dyDescent="0.15"/>
    <row r="27752" s="69" customFormat="1" x14ac:dyDescent="0.15"/>
    <row r="27753" s="69" customFormat="1" x14ac:dyDescent="0.15"/>
    <row r="27754" s="69" customFormat="1" x14ac:dyDescent="0.15"/>
    <row r="27755" s="69" customFormat="1" x14ac:dyDescent="0.15"/>
    <row r="27756" s="69" customFormat="1" x14ac:dyDescent="0.15"/>
    <row r="27757" s="69" customFormat="1" x14ac:dyDescent="0.15"/>
    <row r="27758" s="69" customFormat="1" x14ac:dyDescent="0.15"/>
    <row r="27759" s="69" customFormat="1" x14ac:dyDescent="0.15"/>
    <row r="27760" s="69" customFormat="1" x14ac:dyDescent="0.15"/>
    <row r="27761" s="69" customFormat="1" x14ac:dyDescent="0.15"/>
    <row r="27762" s="69" customFormat="1" x14ac:dyDescent="0.15"/>
    <row r="27763" s="69" customFormat="1" x14ac:dyDescent="0.15"/>
    <row r="27764" s="69" customFormat="1" x14ac:dyDescent="0.15"/>
    <row r="27765" s="69" customFormat="1" x14ac:dyDescent="0.15"/>
    <row r="27766" s="69" customFormat="1" x14ac:dyDescent="0.15"/>
    <row r="27767" s="69" customFormat="1" x14ac:dyDescent="0.15"/>
    <row r="27768" s="69" customFormat="1" x14ac:dyDescent="0.15"/>
    <row r="27769" s="69" customFormat="1" x14ac:dyDescent="0.15"/>
    <row r="27770" s="69" customFormat="1" x14ac:dyDescent="0.15"/>
    <row r="27771" s="69" customFormat="1" x14ac:dyDescent="0.15"/>
    <row r="27772" s="69" customFormat="1" x14ac:dyDescent="0.15"/>
    <row r="27773" s="69" customFormat="1" x14ac:dyDescent="0.15"/>
    <row r="27774" s="69" customFormat="1" x14ac:dyDescent="0.15"/>
    <row r="27775" s="69" customFormat="1" x14ac:dyDescent="0.15"/>
    <row r="27776" s="69" customFormat="1" x14ac:dyDescent="0.15"/>
    <row r="27777" s="69" customFormat="1" x14ac:dyDescent="0.15"/>
    <row r="27778" s="69" customFormat="1" x14ac:dyDescent="0.15"/>
    <row r="27779" s="69" customFormat="1" x14ac:dyDescent="0.15"/>
    <row r="27780" s="69" customFormat="1" x14ac:dyDescent="0.15"/>
    <row r="27781" s="69" customFormat="1" x14ac:dyDescent="0.15"/>
    <row r="27782" s="69" customFormat="1" x14ac:dyDescent="0.15"/>
    <row r="27783" s="69" customFormat="1" x14ac:dyDescent="0.15"/>
    <row r="27784" s="69" customFormat="1" x14ac:dyDescent="0.15"/>
    <row r="27785" s="69" customFormat="1" x14ac:dyDescent="0.15"/>
    <row r="27786" s="69" customFormat="1" x14ac:dyDescent="0.15"/>
    <row r="27787" s="69" customFormat="1" x14ac:dyDescent="0.15"/>
    <row r="27788" s="69" customFormat="1" x14ac:dyDescent="0.15"/>
    <row r="27789" s="69" customFormat="1" x14ac:dyDescent="0.15"/>
    <row r="27790" s="69" customFormat="1" x14ac:dyDescent="0.15"/>
    <row r="27791" s="69" customFormat="1" x14ac:dyDescent="0.15"/>
    <row r="27792" s="69" customFormat="1" x14ac:dyDescent="0.15"/>
    <row r="27793" s="69" customFormat="1" x14ac:dyDescent="0.15"/>
    <row r="27794" s="69" customFormat="1" x14ac:dyDescent="0.15"/>
    <row r="27795" s="69" customFormat="1" x14ac:dyDescent="0.15"/>
    <row r="27796" s="69" customFormat="1" x14ac:dyDescent="0.15"/>
    <row r="27797" s="69" customFormat="1" x14ac:dyDescent="0.15"/>
    <row r="27798" s="69" customFormat="1" x14ac:dyDescent="0.15"/>
    <row r="27799" s="69" customFormat="1" x14ac:dyDescent="0.15"/>
    <row r="27800" s="69" customFormat="1" x14ac:dyDescent="0.15"/>
    <row r="27801" s="69" customFormat="1" x14ac:dyDescent="0.15"/>
    <row r="27802" s="69" customFormat="1" x14ac:dyDescent="0.15"/>
    <row r="27803" s="69" customFormat="1" x14ac:dyDescent="0.15"/>
    <row r="27804" s="69" customFormat="1" x14ac:dyDescent="0.15"/>
    <row r="27805" s="69" customFormat="1" x14ac:dyDescent="0.15"/>
    <row r="27806" s="69" customFormat="1" x14ac:dyDescent="0.15"/>
    <row r="27807" s="69" customFormat="1" x14ac:dyDescent="0.15"/>
    <row r="27808" s="69" customFormat="1" x14ac:dyDescent="0.15"/>
    <row r="27809" s="69" customFormat="1" x14ac:dyDescent="0.15"/>
    <row r="27810" s="69" customFormat="1" x14ac:dyDescent="0.15"/>
    <row r="27811" s="69" customFormat="1" x14ac:dyDescent="0.15"/>
    <row r="27812" s="69" customFormat="1" x14ac:dyDescent="0.15"/>
    <row r="27813" s="69" customFormat="1" x14ac:dyDescent="0.15"/>
    <row r="27814" s="69" customFormat="1" x14ac:dyDescent="0.15"/>
    <row r="27815" s="69" customFormat="1" x14ac:dyDescent="0.15"/>
    <row r="27816" s="69" customFormat="1" x14ac:dyDescent="0.15"/>
    <row r="27817" s="69" customFormat="1" x14ac:dyDescent="0.15"/>
    <row r="27818" s="69" customFormat="1" x14ac:dyDescent="0.15"/>
    <row r="27819" s="69" customFormat="1" x14ac:dyDescent="0.15"/>
    <row r="27820" s="69" customFormat="1" x14ac:dyDescent="0.15"/>
    <row r="27821" s="69" customFormat="1" x14ac:dyDescent="0.15"/>
    <row r="27822" s="69" customFormat="1" x14ac:dyDescent="0.15"/>
    <row r="27823" s="69" customFormat="1" x14ac:dyDescent="0.15"/>
    <row r="27824" s="69" customFormat="1" x14ac:dyDescent="0.15"/>
    <row r="27825" s="69" customFormat="1" x14ac:dyDescent="0.15"/>
    <row r="27826" s="69" customFormat="1" x14ac:dyDescent="0.15"/>
    <row r="27827" s="69" customFormat="1" x14ac:dyDescent="0.15"/>
    <row r="27828" s="69" customFormat="1" x14ac:dyDescent="0.15"/>
    <row r="27829" s="69" customFormat="1" x14ac:dyDescent="0.15"/>
    <row r="27830" s="69" customFormat="1" x14ac:dyDescent="0.15"/>
    <row r="27831" s="69" customFormat="1" x14ac:dyDescent="0.15"/>
    <row r="27832" s="69" customFormat="1" x14ac:dyDescent="0.15"/>
    <row r="27833" s="69" customFormat="1" x14ac:dyDescent="0.15"/>
    <row r="27834" s="69" customFormat="1" x14ac:dyDescent="0.15"/>
    <row r="27835" s="69" customFormat="1" x14ac:dyDescent="0.15"/>
    <row r="27836" s="69" customFormat="1" x14ac:dyDescent="0.15"/>
    <row r="27837" s="69" customFormat="1" x14ac:dyDescent="0.15"/>
    <row r="27838" s="69" customFormat="1" x14ac:dyDescent="0.15"/>
    <row r="27839" s="69" customFormat="1" x14ac:dyDescent="0.15"/>
    <row r="27840" s="69" customFormat="1" x14ac:dyDescent="0.15"/>
    <row r="27841" s="69" customFormat="1" x14ac:dyDescent="0.15"/>
    <row r="27842" s="69" customFormat="1" x14ac:dyDescent="0.15"/>
    <row r="27843" s="69" customFormat="1" x14ac:dyDescent="0.15"/>
    <row r="27844" s="69" customFormat="1" x14ac:dyDescent="0.15"/>
    <row r="27845" s="69" customFormat="1" x14ac:dyDescent="0.15"/>
    <row r="27846" s="69" customFormat="1" x14ac:dyDescent="0.15"/>
    <row r="27847" s="69" customFormat="1" x14ac:dyDescent="0.15"/>
    <row r="27848" s="69" customFormat="1" x14ac:dyDescent="0.15"/>
    <row r="27849" s="69" customFormat="1" x14ac:dyDescent="0.15"/>
    <row r="27850" s="69" customFormat="1" x14ac:dyDescent="0.15"/>
    <row r="27851" s="69" customFormat="1" x14ac:dyDescent="0.15"/>
    <row r="27852" s="69" customFormat="1" x14ac:dyDescent="0.15"/>
    <row r="27853" s="69" customFormat="1" x14ac:dyDescent="0.15"/>
    <row r="27854" s="69" customFormat="1" x14ac:dyDescent="0.15"/>
    <row r="27855" s="69" customFormat="1" x14ac:dyDescent="0.15"/>
    <row r="27856" s="69" customFormat="1" x14ac:dyDescent="0.15"/>
    <row r="27857" s="69" customFormat="1" x14ac:dyDescent="0.15"/>
    <row r="27858" s="69" customFormat="1" x14ac:dyDescent="0.15"/>
    <row r="27859" s="69" customFormat="1" x14ac:dyDescent="0.15"/>
    <row r="27860" s="69" customFormat="1" x14ac:dyDescent="0.15"/>
    <row r="27861" s="69" customFormat="1" x14ac:dyDescent="0.15"/>
    <row r="27862" s="69" customFormat="1" x14ac:dyDescent="0.15"/>
    <row r="27863" s="69" customFormat="1" x14ac:dyDescent="0.15"/>
    <row r="27864" s="69" customFormat="1" x14ac:dyDescent="0.15"/>
    <row r="27865" s="69" customFormat="1" x14ac:dyDescent="0.15"/>
    <row r="27866" s="69" customFormat="1" x14ac:dyDescent="0.15"/>
    <row r="27867" s="69" customFormat="1" x14ac:dyDescent="0.15"/>
    <row r="27868" s="69" customFormat="1" x14ac:dyDescent="0.15"/>
    <row r="27869" s="69" customFormat="1" x14ac:dyDescent="0.15"/>
    <row r="27870" s="69" customFormat="1" x14ac:dyDescent="0.15"/>
    <row r="27871" s="69" customFormat="1" x14ac:dyDescent="0.15"/>
    <row r="27872" s="69" customFormat="1" x14ac:dyDescent="0.15"/>
    <row r="27873" s="69" customFormat="1" x14ac:dyDescent="0.15"/>
    <row r="27874" s="69" customFormat="1" x14ac:dyDescent="0.15"/>
    <row r="27875" s="69" customFormat="1" x14ac:dyDescent="0.15"/>
    <row r="27876" s="69" customFormat="1" x14ac:dyDescent="0.15"/>
    <row r="27877" s="69" customFormat="1" x14ac:dyDescent="0.15"/>
    <row r="27878" s="69" customFormat="1" x14ac:dyDescent="0.15"/>
    <row r="27879" s="69" customFormat="1" x14ac:dyDescent="0.15"/>
    <row r="27880" s="69" customFormat="1" x14ac:dyDescent="0.15"/>
    <row r="27881" s="69" customFormat="1" x14ac:dyDescent="0.15"/>
    <row r="27882" s="69" customFormat="1" x14ac:dyDescent="0.15"/>
    <row r="27883" s="69" customFormat="1" x14ac:dyDescent="0.15"/>
    <row r="27884" s="69" customFormat="1" x14ac:dyDescent="0.15"/>
    <row r="27885" s="69" customFormat="1" x14ac:dyDescent="0.15"/>
    <row r="27886" s="69" customFormat="1" x14ac:dyDescent="0.15"/>
    <row r="27887" s="69" customFormat="1" x14ac:dyDescent="0.15"/>
    <row r="27888" s="69" customFormat="1" x14ac:dyDescent="0.15"/>
    <row r="27889" s="69" customFormat="1" x14ac:dyDescent="0.15"/>
    <row r="27890" s="69" customFormat="1" x14ac:dyDescent="0.15"/>
    <row r="27891" s="69" customFormat="1" x14ac:dyDescent="0.15"/>
    <row r="27892" s="69" customFormat="1" x14ac:dyDescent="0.15"/>
    <row r="27893" s="69" customFormat="1" x14ac:dyDescent="0.15"/>
    <row r="27894" s="69" customFormat="1" x14ac:dyDescent="0.15"/>
    <row r="27895" s="69" customFormat="1" x14ac:dyDescent="0.15"/>
    <row r="27896" s="69" customFormat="1" x14ac:dyDescent="0.15"/>
    <row r="27897" s="69" customFormat="1" x14ac:dyDescent="0.15"/>
    <row r="27898" s="69" customFormat="1" x14ac:dyDescent="0.15"/>
    <row r="27899" s="69" customFormat="1" x14ac:dyDescent="0.15"/>
    <row r="27900" s="69" customFormat="1" x14ac:dyDescent="0.15"/>
    <row r="27901" s="69" customFormat="1" x14ac:dyDescent="0.15"/>
    <row r="27902" s="69" customFormat="1" x14ac:dyDescent="0.15"/>
    <row r="27903" s="69" customFormat="1" x14ac:dyDescent="0.15"/>
    <row r="27904" s="69" customFormat="1" x14ac:dyDescent="0.15"/>
    <row r="27905" s="69" customFormat="1" x14ac:dyDescent="0.15"/>
    <row r="27906" s="69" customFormat="1" x14ac:dyDescent="0.15"/>
    <row r="27907" s="69" customFormat="1" x14ac:dyDescent="0.15"/>
    <row r="27908" s="69" customFormat="1" x14ac:dyDescent="0.15"/>
    <row r="27909" s="69" customFormat="1" x14ac:dyDescent="0.15"/>
    <row r="27910" s="69" customFormat="1" x14ac:dyDescent="0.15"/>
    <row r="27911" s="69" customFormat="1" x14ac:dyDescent="0.15"/>
    <row r="27912" s="69" customFormat="1" x14ac:dyDescent="0.15"/>
    <row r="27913" s="69" customFormat="1" x14ac:dyDescent="0.15"/>
    <row r="27914" s="69" customFormat="1" x14ac:dyDescent="0.15"/>
    <row r="27915" s="69" customFormat="1" x14ac:dyDescent="0.15"/>
    <row r="27916" s="69" customFormat="1" x14ac:dyDescent="0.15"/>
    <row r="27917" s="69" customFormat="1" x14ac:dyDescent="0.15"/>
    <row r="27918" s="69" customFormat="1" x14ac:dyDescent="0.15"/>
    <row r="27919" s="69" customFormat="1" x14ac:dyDescent="0.15"/>
    <row r="27920" s="69" customFormat="1" x14ac:dyDescent="0.15"/>
    <row r="27921" s="69" customFormat="1" x14ac:dyDescent="0.15"/>
    <row r="27922" s="69" customFormat="1" x14ac:dyDescent="0.15"/>
    <row r="27923" s="69" customFormat="1" x14ac:dyDescent="0.15"/>
    <row r="27924" s="69" customFormat="1" x14ac:dyDescent="0.15"/>
    <row r="27925" s="69" customFormat="1" x14ac:dyDescent="0.15"/>
    <row r="27926" s="69" customFormat="1" x14ac:dyDescent="0.15"/>
    <row r="27927" s="69" customFormat="1" x14ac:dyDescent="0.15"/>
    <row r="27928" s="69" customFormat="1" x14ac:dyDescent="0.15"/>
    <row r="27929" s="69" customFormat="1" x14ac:dyDescent="0.15"/>
    <row r="27930" s="69" customFormat="1" x14ac:dyDescent="0.15"/>
    <row r="27931" s="69" customFormat="1" x14ac:dyDescent="0.15"/>
    <row r="27932" s="69" customFormat="1" x14ac:dyDescent="0.15"/>
    <row r="27933" s="69" customFormat="1" x14ac:dyDescent="0.15"/>
    <row r="27934" s="69" customFormat="1" x14ac:dyDescent="0.15"/>
    <row r="27935" s="69" customFormat="1" x14ac:dyDescent="0.15"/>
    <row r="27936" s="69" customFormat="1" x14ac:dyDescent="0.15"/>
    <row r="27937" s="69" customFormat="1" x14ac:dyDescent="0.15"/>
    <row r="27938" s="69" customFormat="1" x14ac:dyDescent="0.15"/>
    <row r="27939" s="69" customFormat="1" x14ac:dyDescent="0.15"/>
    <row r="27940" s="69" customFormat="1" x14ac:dyDescent="0.15"/>
    <row r="27941" s="69" customFormat="1" x14ac:dyDescent="0.15"/>
    <row r="27942" s="69" customFormat="1" x14ac:dyDescent="0.15"/>
    <row r="27943" s="69" customFormat="1" x14ac:dyDescent="0.15"/>
    <row r="27944" s="69" customFormat="1" x14ac:dyDescent="0.15"/>
    <row r="27945" s="69" customFormat="1" x14ac:dyDescent="0.15"/>
    <row r="27946" s="69" customFormat="1" x14ac:dyDescent="0.15"/>
    <row r="27947" s="69" customFormat="1" x14ac:dyDescent="0.15"/>
    <row r="27948" s="69" customFormat="1" x14ac:dyDescent="0.15"/>
    <row r="27949" s="69" customFormat="1" x14ac:dyDescent="0.15"/>
    <row r="27950" s="69" customFormat="1" x14ac:dyDescent="0.15"/>
    <row r="27951" s="69" customFormat="1" x14ac:dyDescent="0.15"/>
    <row r="27952" s="69" customFormat="1" x14ac:dyDescent="0.15"/>
    <row r="27953" s="69" customFormat="1" x14ac:dyDescent="0.15"/>
    <row r="27954" s="69" customFormat="1" x14ac:dyDescent="0.15"/>
    <row r="27955" s="69" customFormat="1" x14ac:dyDescent="0.15"/>
    <row r="27956" s="69" customFormat="1" x14ac:dyDescent="0.15"/>
    <row r="27957" s="69" customFormat="1" x14ac:dyDescent="0.15"/>
    <row r="27958" s="69" customFormat="1" x14ac:dyDescent="0.15"/>
    <row r="27959" s="69" customFormat="1" x14ac:dyDescent="0.15"/>
    <row r="27960" s="69" customFormat="1" x14ac:dyDescent="0.15"/>
    <row r="27961" s="69" customFormat="1" x14ac:dyDescent="0.15"/>
    <row r="27962" s="69" customFormat="1" x14ac:dyDescent="0.15"/>
    <row r="27963" s="69" customFormat="1" x14ac:dyDescent="0.15"/>
    <row r="27964" s="69" customFormat="1" x14ac:dyDescent="0.15"/>
    <row r="27965" s="69" customFormat="1" x14ac:dyDescent="0.15"/>
    <row r="27966" s="69" customFormat="1" x14ac:dyDescent="0.15"/>
    <row r="27967" s="69" customFormat="1" x14ac:dyDescent="0.15"/>
    <row r="27968" s="69" customFormat="1" x14ac:dyDescent="0.15"/>
    <row r="27969" s="69" customFormat="1" x14ac:dyDescent="0.15"/>
    <row r="27970" s="69" customFormat="1" x14ac:dyDescent="0.15"/>
    <row r="27971" s="69" customFormat="1" x14ac:dyDescent="0.15"/>
    <row r="27972" s="69" customFormat="1" x14ac:dyDescent="0.15"/>
    <row r="27973" s="69" customFormat="1" x14ac:dyDescent="0.15"/>
    <row r="27974" s="69" customFormat="1" x14ac:dyDescent="0.15"/>
    <row r="27975" s="69" customFormat="1" x14ac:dyDescent="0.15"/>
    <row r="27976" s="69" customFormat="1" x14ac:dyDescent="0.15"/>
    <row r="27977" s="69" customFormat="1" x14ac:dyDescent="0.15"/>
    <row r="27978" s="69" customFormat="1" x14ac:dyDescent="0.15"/>
    <row r="27979" s="69" customFormat="1" x14ac:dyDescent="0.15"/>
    <row r="27980" s="69" customFormat="1" x14ac:dyDescent="0.15"/>
    <row r="27981" s="69" customFormat="1" x14ac:dyDescent="0.15"/>
    <row r="27982" s="69" customFormat="1" x14ac:dyDescent="0.15"/>
    <row r="27983" s="69" customFormat="1" x14ac:dyDescent="0.15"/>
    <row r="27984" s="69" customFormat="1" x14ac:dyDescent="0.15"/>
    <row r="27985" s="69" customFormat="1" x14ac:dyDescent="0.15"/>
    <row r="27986" s="69" customFormat="1" x14ac:dyDescent="0.15"/>
    <row r="27987" s="69" customFormat="1" x14ac:dyDescent="0.15"/>
    <row r="27988" s="69" customFormat="1" x14ac:dyDescent="0.15"/>
    <row r="27989" s="69" customFormat="1" x14ac:dyDescent="0.15"/>
    <row r="27990" s="69" customFormat="1" x14ac:dyDescent="0.15"/>
    <row r="27991" s="69" customFormat="1" x14ac:dyDescent="0.15"/>
    <row r="27992" s="69" customFormat="1" x14ac:dyDescent="0.15"/>
    <row r="27993" s="69" customFormat="1" x14ac:dyDescent="0.15"/>
    <row r="27994" s="69" customFormat="1" x14ac:dyDescent="0.15"/>
    <row r="27995" s="69" customFormat="1" x14ac:dyDescent="0.15"/>
    <row r="27996" s="69" customFormat="1" x14ac:dyDescent="0.15"/>
    <row r="27997" s="69" customFormat="1" x14ac:dyDescent="0.15"/>
    <row r="27998" s="69" customFormat="1" x14ac:dyDescent="0.15"/>
    <row r="27999" s="69" customFormat="1" x14ac:dyDescent="0.15"/>
    <row r="28000" s="69" customFormat="1" x14ac:dyDescent="0.15"/>
    <row r="28001" s="69" customFormat="1" x14ac:dyDescent="0.15"/>
    <row r="28002" s="69" customFormat="1" x14ac:dyDescent="0.15"/>
    <row r="28003" s="69" customFormat="1" x14ac:dyDescent="0.15"/>
    <row r="28004" s="69" customFormat="1" x14ac:dyDescent="0.15"/>
    <row r="28005" s="69" customFormat="1" x14ac:dyDescent="0.15"/>
    <row r="28006" s="69" customFormat="1" x14ac:dyDescent="0.15"/>
    <row r="28007" s="69" customFormat="1" x14ac:dyDescent="0.15"/>
    <row r="28008" s="69" customFormat="1" x14ac:dyDescent="0.15"/>
    <row r="28009" s="69" customFormat="1" x14ac:dyDescent="0.15"/>
    <row r="28010" s="69" customFormat="1" x14ac:dyDescent="0.15"/>
    <row r="28011" s="69" customFormat="1" x14ac:dyDescent="0.15"/>
    <row r="28012" s="69" customFormat="1" x14ac:dyDescent="0.15"/>
    <row r="28013" s="69" customFormat="1" x14ac:dyDescent="0.15"/>
    <row r="28014" s="69" customFormat="1" x14ac:dyDescent="0.15"/>
    <row r="28015" s="69" customFormat="1" x14ac:dyDescent="0.15"/>
    <row r="28016" s="69" customFormat="1" x14ac:dyDescent="0.15"/>
    <row r="28017" s="69" customFormat="1" x14ac:dyDescent="0.15"/>
    <row r="28018" s="69" customFormat="1" x14ac:dyDescent="0.15"/>
    <row r="28019" s="69" customFormat="1" x14ac:dyDescent="0.15"/>
    <row r="28020" s="69" customFormat="1" x14ac:dyDescent="0.15"/>
    <row r="28021" s="69" customFormat="1" x14ac:dyDescent="0.15"/>
    <row r="28022" s="69" customFormat="1" x14ac:dyDescent="0.15"/>
    <row r="28023" s="69" customFormat="1" x14ac:dyDescent="0.15"/>
    <row r="28024" s="69" customFormat="1" x14ac:dyDescent="0.15"/>
    <row r="28025" s="69" customFormat="1" x14ac:dyDescent="0.15"/>
    <row r="28026" s="69" customFormat="1" x14ac:dyDescent="0.15"/>
    <row r="28027" s="69" customFormat="1" x14ac:dyDescent="0.15"/>
    <row r="28028" s="69" customFormat="1" x14ac:dyDescent="0.15"/>
    <row r="28029" s="69" customFormat="1" x14ac:dyDescent="0.15"/>
    <row r="28030" s="69" customFormat="1" x14ac:dyDescent="0.15"/>
    <row r="28031" s="69" customFormat="1" x14ac:dyDescent="0.15"/>
    <row r="28032" s="69" customFormat="1" x14ac:dyDescent="0.15"/>
    <row r="28033" s="69" customFormat="1" x14ac:dyDescent="0.15"/>
    <row r="28034" s="69" customFormat="1" x14ac:dyDescent="0.15"/>
    <row r="28035" s="69" customFormat="1" x14ac:dyDescent="0.15"/>
    <row r="28036" s="69" customFormat="1" x14ac:dyDescent="0.15"/>
    <row r="28037" s="69" customFormat="1" x14ac:dyDescent="0.15"/>
    <row r="28038" s="69" customFormat="1" x14ac:dyDescent="0.15"/>
    <row r="28039" s="69" customFormat="1" x14ac:dyDescent="0.15"/>
    <row r="28040" s="69" customFormat="1" x14ac:dyDescent="0.15"/>
    <row r="28041" s="69" customFormat="1" x14ac:dyDescent="0.15"/>
    <row r="28042" s="69" customFormat="1" x14ac:dyDescent="0.15"/>
    <row r="28043" s="69" customFormat="1" x14ac:dyDescent="0.15"/>
    <row r="28044" s="69" customFormat="1" x14ac:dyDescent="0.15"/>
    <row r="28045" s="69" customFormat="1" x14ac:dyDescent="0.15"/>
    <row r="28046" s="69" customFormat="1" x14ac:dyDescent="0.15"/>
    <row r="28047" s="69" customFormat="1" x14ac:dyDescent="0.15"/>
    <row r="28048" s="69" customFormat="1" x14ac:dyDescent="0.15"/>
    <row r="28049" s="69" customFormat="1" x14ac:dyDescent="0.15"/>
    <row r="28050" s="69" customFormat="1" x14ac:dyDescent="0.15"/>
    <row r="28051" s="69" customFormat="1" x14ac:dyDescent="0.15"/>
    <row r="28052" s="69" customFormat="1" x14ac:dyDescent="0.15"/>
    <row r="28053" s="69" customFormat="1" x14ac:dyDescent="0.15"/>
    <row r="28054" s="69" customFormat="1" x14ac:dyDescent="0.15"/>
    <row r="28055" s="69" customFormat="1" x14ac:dyDescent="0.15"/>
    <row r="28056" s="69" customFormat="1" x14ac:dyDescent="0.15"/>
    <row r="28057" s="69" customFormat="1" x14ac:dyDescent="0.15"/>
    <row r="28058" s="69" customFormat="1" x14ac:dyDescent="0.15"/>
    <row r="28059" s="69" customFormat="1" x14ac:dyDescent="0.15"/>
    <row r="28060" s="69" customFormat="1" x14ac:dyDescent="0.15"/>
    <row r="28061" s="69" customFormat="1" x14ac:dyDescent="0.15"/>
    <row r="28062" s="69" customFormat="1" x14ac:dyDescent="0.15"/>
    <row r="28063" s="69" customFormat="1" x14ac:dyDescent="0.15"/>
    <row r="28064" s="69" customFormat="1" x14ac:dyDescent="0.15"/>
    <row r="28065" s="69" customFormat="1" x14ac:dyDescent="0.15"/>
    <row r="28066" s="69" customFormat="1" x14ac:dyDescent="0.15"/>
    <row r="28067" s="69" customFormat="1" x14ac:dyDescent="0.15"/>
    <row r="28068" s="69" customFormat="1" x14ac:dyDescent="0.15"/>
    <row r="28069" s="69" customFormat="1" x14ac:dyDescent="0.15"/>
    <row r="28070" s="69" customFormat="1" x14ac:dyDescent="0.15"/>
    <row r="28071" s="69" customFormat="1" x14ac:dyDescent="0.15"/>
    <row r="28072" s="69" customFormat="1" x14ac:dyDescent="0.15"/>
    <row r="28073" s="69" customFormat="1" x14ac:dyDescent="0.15"/>
    <row r="28074" s="69" customFormat="1" x14ac:dyDescent="0.15"/>
    <row r="28075" s="69" customFormat="1" x14ac:dyDescent="0.15"/>
    <row r="28076" s="69" customFormat="1" x14ac:dyDescent="0.15"/>
    <row r="28077" s="69" customFormat="1" x14ac:dyDescent="0.15"/>
    <row r="28078" s="69" customFormat="1" x14ac:dyDescent="0.15"/>
    <row r="28079" s="69" customFormat="1" x14ac:dyDescent="0.15"/>
    <row r="28080" s="69" customFormat="1" x14ac:dyDescent="0.15"/>
    <row r="28081" s="69" customFormat="1" x14ac:dyDescent="0.15"/>
    <row r="28082" s="69" customFormat="1" x14ac:dyDescent="0.15"/>
    <row r="28083" s="69" customFormat="1" x14ac:dyDescent="0.15"/>
    <row r="28084" s="69" customFormat="1" x14ac:dyDescent="0.15"/>
    <row r="28085" s="69" customFormat="1" x14ac:dyDescent="0.15"/>
    <row r="28086" s="69" customFormat="1" x14ac:dyDescent="0.15"/>
    <row r="28087" s="69" customFormat="1" x14ac:dyDescent="0.15"/>
    <row r="28088" s="69" customFormat="1" x14ac:dyDescent="0.15"/>
    <row r="28089" s="69" customFormat="1" x14ac:dyDescent="0.15"/>
    <row r="28090" s="69" customFormat="1" x14ac:dyDescent="0.15"/>
    <row r="28091" s="69" customFormat="1" x14ac:dyDescent="0.15"/>
    <row r="28092" s="69" customFormat="1" x14ac:dyDescent="0.15"/>
    <row r="28093" s="69" customFormat="1" x14ac:dyDescent="0.15"/>
    <row r="28094" s="69" customFormat="1" x14ac:dyDescent="0.15"/>
    <row r="28095" s="69" customFormat="1" x14ac:dyDescent="0.15"/>
    <row r="28096" s="69" customFormat="1" x14ac:dyDescent="0.15"/>
    <row r="28097" s="69" customFormat="1" x14ac:dyDescent="0.15"/>
    <row r="28098" s="69" customFormat="1" x14ac:dyDescent="0.15"/>
    <row r="28099" s="69" customFormat="1" x14ac:dyDescent="0.15"/>
    <row r="28100" s="69" customFormat="1" x14ac:dyDescent="0.15"/>
    <row r="28101" s="69" customFormat="1" x14ac:dyDescent="0.15"/>
    <row r="28102" s="69" customFormat="1" x14ac:dyDescent="0.15"/>
    <row r="28103" s="69" customFormat="1" x14ac:dyDescent="0.15"/>
    <row r="28104" s="69" customFormat="1" x14ac:dyDescent="0.15"/>
    <row r="28105" s="69" customFormat="1" x14ac:dyDescent="0.15"/>
    <row r="28106" s="69" customFormat="1" x14ac:dyDescent="0.15"/>
    <row r="28107" s="69" customFormat="1" x14ac:dyDescent="0.15"/>
    <row r="28108" s="69" customFormat="1" x14ac:dyDescent="0.15"/>
    <row r="28109" s="69" customFormat="1" x14ac:dyDescent="0.15"/>
    <row r="28110" s="69" customFormat="1" x14ac:dyDescent="0.15"/>
    <row r="28111" s="69" customFormat="1" x14ac:dyDescent="0.15"/>
    <row r="28112" s="69" customFormat="1" x14ac:dyDescent="0.15"/>
    <row r="28113" s="69" customFormat="1" x14ac:dyDescent="0.15"/>
    <row r="28114" s="69" customFormat="1" x14ac:dyDescent="0.15"/>
    <row r="28115" s="69" customFormat="1" x14ac:dyDescent="0.15"/>
    <row r="28116" s="69" customFormat="1" x14ac:dyDescent="0.15"/>
    <row r="28117" s="69" customFormat="1" x14ac:dyDescent="0.15"/>
    <row r="28118" s="69" customFormat="1" x14ac:dyDescent="0.15"/>
    <row r="28119" s="69" customFormat="1" x14ac:dyDescent="0.15"/>
    <row r="28120" s="69" customFormat="1" x14ac:dyDescent="0.15"/>
    <row r="28121" s="69" customFormat="1" x14ac:dyDescent="0.15"/>
    <row r="28122" s="69" customFormat="1" x14ac:dyDescent="0.15"/>
    <row r="28123" s="69" customFormat="1" x14ac:dyDescent="0.15"/>
    <row r="28124" s="69" customFormat="1" x14ac:dyDescent="0.15"/>
    <row r="28125" s="69" customFormat="1" x14ac:dyDescent="0.15"/>
    <row r="28126" s="69" customFormat="1" x14ac:dyDescent="0.15"/>
    <row r="28127" s="69" customFormat="1" x14ac:dyDescent="0.15"/>
    <row r="28128" s="69" customFormat="1" x14ac:dyDescent="0.15"/>
    <row r="28129" s="69" customFormat="1" x14ac:dyDescent="0.15"/>
    <row r="28130" s="69" customFormat="1" x14ac:dyDescent="0.15"/>
    <row r="28131" s="69" customFormat="1" x14ac:dyDescent="0.15"/>
    <row r="28132" s="69" customFormat="1" x14ac:dyDescent="0.15"/>
    <row r="28133" s="69" customFormat="1" x14ac:dyDescent="0.15"/>
    <row r="28134" s="69" customFormat="1" x14ac:dyDescent="0.15"/>
    <row r="28135" s="69" customFormat="1" x14ac:dyDescent="0.15"/>
    <row r="28136" s="69" customFormat="1" x14ac:dyDescent="0.15"/>
    <row r="28137" s="69" customFormat="1" x14ac:dyDescent="0.15"/>
    <row r="28138" s="69" customFormat="1" x14ac:dyDescent="0.15"/>
    <row r="28139" s="69" customFormat="1" x14ac:dyDescent="0.15"/>
    <row r="28140" s="69" customFormat="1" x14ac:dyDescent="0.15"/>
    <row r="28141" s="69" customFormat="1" x14ac:dyDescent="0.15"/>
    <row r="28142" s="69" customFormat="1" x14ac:dyDescent="0.15"/>
    <row r="28143" s="69" customFormat="1" x14ac:dyDescent="0.15"/>
    <row r="28144" s="69" customFormat="1" x14ac:dyDescent="0.15"/>
    <row r="28145" s="69" customFormat="1" x14ac:dyDescent="0.15"/>
    <row r="28146" s="69" customFormat="1" x14ac:dyDescent="0.15"/>
    <row r="28147" s="69" customFormat="1" x14ac:dyDescent="0.15"/>
    <row r="28148" s="69" customFormat="1" x14ac:dyDescent="0.15"/>
    <row r="28149" s="69" customFormat="1" x14ac:dyDescent="0.15"/>
    <row r="28150" s="69" customFormat="1" x14ac:dyDescent="0.15"/>
    <row r="28151" s="69" customFormat="1" x14ac:dyDescent="0.15"/>
    <row r="28152" s="69" customFormat="1" x14ac:dyDescent="0.15"/>
    <row r="28153" s="69" customFormat="1" x14ac:dyDescent="0.15"/>
    <row r="28154" s="69" customFormat="1" x14ac:dyDescent="0.15"/>
    <row r="28155" s="69" customFormat="1" x14ac:dyDescent="0.15"/>
    <row r="28156" s="69" customFormat="1" x14ac:dyDescent="0.15"/>
    <row r="28157" s="69" customFormat="1" x14ac:dyDescent="0.15"/>
    <row r="28158" s="69" customFormat="1" x14ac:dyDescent="0.15"/>
    <row r="28159" s="69" customFormat="1" x14ac:dyDescent="0.15"/>
    <row r="28160" s="69" customFormat="1" x14ac:dyDescent="0.15"/>
    <row r="28161" s="69" customFormat="1" x14ac:dyDescent="0.15"/>
    <row r="28162" s="69" customFormat="1" x14ac:dyDescent="0.15"/>
    <row r="28163" s="69" customFormat="1" x14ac:dyDescent="0.15"/>
    <row r="28164" s="69" customFormat="1" x14ac:dyDescent="0.15"/>
    <row r="28165" s="69" customFormat="1" x14ac:dyDescent="0.15"/>
    <row r="28166" s="69" customFormat="1" x14ac:dyDescent="0.15"/>
    <row r="28167" s="69" customFormat="1" x14ac:dyDescent="0.15"/>
    <row r="28168" s="69" customFormat="1" x14ac:dyDescent="0.15"/>
    <row r="28169" s="69" customFormat="1" x14ac:dyDescent="0.15"/>
    <row r="28170" s="69" customFormat="1" x14ac:dyDescent="0.15"/>
    <row r="28171" s="69" customFormat="1" x14ac:dyDescent="0.15"/>
    <row r="28172" s="69" customFormat="1" x14ac:dyDescent="0.15"/>
    <row r="28173" s="69" customFormat="1" x14ac:dyDescent="0.15"/>
    <row r="28174" s="69" customFormat="1" x14ac:dyDescent="0.15"/>
    <row r="28175" s="69" customFormat="1" x14ac:dyDescent="0.15"/>
    <row r="28176" s="69" customFormat="1" x14ac:dyDescent="0.15"/>
    <row r="28177" s="69" customFormat="1" x14ac:dyDescent="0.15"/>
    <row r="28178" s="69" customFormat="1" x14ac:dyDescent="0.15"/>
    <row r="28179" s="69" customFormat="1" x14ac:dyDescent="0.15"/>
    <row r="28180" s="69" customFormat="1" x14ac:dyDescent="0.15"/>
    <row r="28181" s="69" customFormat="1" x14ac:dyDescent="0.15"/>
    <row r="28182" s="69" customFormat="1" x14ac:dyDescent="0.15"/>
    <row r="28183" s="69" customFormat="1" x14ac:dyDescent="0.15"/>
    <row r="28184" s="69" customFormat="1" x14ac:dyDescent="0.15"/>
    <row r="28185" s="69" customFormat="1" x14ac:dyDescent="0.15"/>
    <row r="28186" s="69" customFormat="1" x14ac:dyDescent="0.15"/>
    <row r="28187" s="69" customFormat="1" x14ac:dyDescent="0.15"/>
    <row r="28188" s="69" customFormat="1" x14ac:dyDescent="0.15"/>
    <row r="28189" s="69" customFormat="1" x14ac:dyDescent="0.15"/>
    <row r="28190" s="69" customFormat="1" x14ac:dyDescent="0.15"/>
    <row r="28191" s="69" customFormat="1" x14ac:dyDescent="0.15"/>
    <row r="28192" s="69" customFormat="1" x14ac:dyDescent="0.15"/>
    <row r="28193" s="69" customFormat="1" x14ac:dyDescent="0.15"/>
    <row r="28194" s="69" customFormat="1" x14ac:dyDescent="0.15"/>
    <row r="28195" s="69" customFormat="1" x14ac:dyDescent="0.15"/>
    <row r="28196" s="69" customFormat="1" x14ac:dyDescent="0.15"/>
    <row r="28197" s="69" customFormat="1" x14ac:dyDescent="0.15"/>
    <row r="28198" s="69" customFormat="1" x14ac:dyDescent="0.15"/>
    <row r="28199" s="69" customFormat="1" x14ac:dyDescent="0.15"/>
    <row r="28200" s="69" customFormat="1" x14ac:dyDescent="0.15"/>
    <row r="28201" s="69" customFormat="1" x14ac:dyDescent="0.15"/>
    <row r="28202" s="69" customFormat="1" x14ac:dyDescent="0.15"/>
    <row r="28203" s="69" customFormat="1" x14ac:dyDescent="0.15"/>
    <row r="28204" s="69" customFormat="1" x14ac:dyDescent="0.15"/>
    <row r="28205" s="69" customFormat="1" x14ac:dyDescent="0.15"/>
    <row r="28206" s="69" customFormat="1" x14ac:dyDescent="0.15"/>
    <row r="28207" s="69" customFormat="1" x14ac:dyDescent="0.15"/>
    <row r="28208" s="69" customFormat="1" x14ac:dyDescent="0.15"/>
    <row r="28209" s="69" customFormat="1" x14ac:dyDescent="0.15"/>
    <row r="28210" s="69" customFormat="1" x14ac:dyDescent="0.15"/>
    <row r="28211" s="69" customFormat="1" x14ac:dyDescent="0.15"/>
    <row r="28212" s="69" customFormat="1" x14ac:dyDescent="0.15"/>
    <row r="28213" s="69" customFormat="1" x14ac:dyDescent="0.15"/>
    <row r="28214" s="69" customFormat="1" x14ac:dyDescent="0.15"/>
    <row r="28215" s="69" customFormat="1" x14ac:dyDescent="0.15"/>
    <row r="28216" s="69" customFormat="1" x14ac:dyDescent="0.15"/>
    <row r="28217" s="69" customFormat="1" x14ac:dyDescent="0.15"/>
    <row r="28218" s="69" customFormat="1" x14ac:dyDescent="0.15"/>
    <row r="28219" s="69" customFormat="1" x14ac:dyDescent="0.15"/>
    <row r="28220" s="69" customFormat="1" x14ac:dyDescent="0.15"/>
    <row r="28221" s="69" customFormat="1" x14ac:dyDescent="0.15"/>
    <row r="28222" s="69" customFormat="1" x14ac:dyDescent="0.15"/>
    <row r="28223" s="69" customFormat="1" x14ac:dyDescent="0.15"/>
    <row r="28224" s="69" customFormat="1" x14ac:dyDescent="0.15"/>
    <row r="28225" s="69" customFormat="1" x14ac:dyDescent="0.15"/>
    <row r="28226" s="69" customFormat="1" x14ac:dyDescent="0.15"/>
    <row r="28227" s="69" customFormat="1" x14ac:dyDescent="0.15"/>
    <row r="28228" s="69" customFormat="1" x14ac:dyDescent="0.15"/>
    <row r="28229" s="69" customFormat="1" x14ac:dyDescent="0.15"/>
    <row r="28230" s="69" customFormat="1" x14ac:dyDescent="0.15"/>
    <row r="28231" s="69" customFormat="1" x14ac:dyDescent="0.15"/>
    <row r="28232" s="69" customFormat="1" x14ac:dyDescent="0.15"/>
    <row r="28233" s="69" customFormat="1" x14ac:dyDescent="0.15"/>
    <row r="28234" s="69" customFormat="1" x14ac:dyDescent="0.15"/>
    <row r="28235" s="69" customFormat="1" x14ac:dyDescent="0.15"/>
    <row r="28236" s="69" customFormat="1" x14ac:dyDescent="0.15"/>
    <row r="28237" s="69" customFormat="1" x14ac:dyDescent="0.15"/>
    <row r="28238" s="69" customFormat="1" x14ac:dyDescent="0.15"/>
    <row r="28239" s="69" customFormat="1" x14ac:dyDescent="0.15"/>
    <row r="28240" s="69" customFormat="1" x14ac:dyDescent="0.15"/>
    <row r="28241" s="69" customFormat="1" x14ac:dyDescent="0.15"/>
    <row r="28242" s="69" customFormat="1" x14ac:dyDescent="0.15"/>
    <row r="28243" s="69" customFormat="1" x14ac:dyDescent="0.15"/>
    <row r="28244" s="69" customFormat="1" x14ac:dyDescent="0.15"/>
    <row r="28245" s="69" customFormat="1" x14ac:dyDescent="0.15"/>
    <row r="28246" s="69" customFormat="1" x14ac:dyDescent="0.15"/>
    <row r="28247" s="69" customFormat="1" x14ac:dyDescent="0.15"/>
    <row r="28248" s="69" customFormat="1" x14ac:dyDescent="0.15"/>
    <row r="28249" s="69" customFormat="1" x14ac:dyDescent="0.15"/>
    <row r="28250" s="69" customFormat="1" x14ac:dyDescent="0.15"/>
    <row r="28251" s="69" customFormat="1" x14ac:dyDescent="0.15"/>
    <row r="28252" s="69" customFormat="1" x14ac:dyDescent="0.15"/>
    <row r="28253" s="69" customFormat="1" x14ac:dyDescent="0.15"/>
    <row r="28254" s="69" customFormat="1" x14ac:dyDescent="0.15"/>
    <row r="28255" s="69" customFormat="1" x14ac:dyDescent="0.15"/>
    <row r="28256" s="69" customFormat="1" x14ac:dyDescent="0.15"/>
    <row r="28257" s="69" customFormat="1" x14ac:dyDescent="0.15"/>
    <row r="28258" s="69" customFormat="1" x14ac:dyDescent="0.15"/>
    <row r="28259" s="69" customFormat="1" x14ac:dyDescent="0.15"/>
    <row r="28260" s="69" customFormat="1" x14ac:dyDescent="0.15"/>
    <row r="28261" s="69" customFormat="1" x14ac:dyDescent="0.15"/>
    <row r="28262" s="69" customFormat="1" x14ac:dyDescent="0.15"/>
    <row r="28263" s="69" customFormat="1" x14ac:dyDescent="0.15"/>
    <row r="28264" s="69" customFormat="1" x14ac:dyDescent="0.15"/>
    <row r="28265" s="69" customFormat="1" x14ac:dyDescent="0.15"/>
    <row r="28266" s="69" customFormat="1" x14ac:dyDescent="0.15"/>
    <row r="28267" s="69" customFormat="1" x14ac:dyDescent="0.15"/>
    <row r="28268" s="69" customFormat="1" x14ac:dyDescent="0.15"/>
    <row r="28269" s="69" customFormat="1" x14ac:dyDescent="0.15"/>
    <row r="28270" s="69" customFormat="1" x14ac:dyDescent="0.15"/>
    <row r="28271" s="69" customFormat="1" x14ac:dyDescent="0.15"/>
    <row r="28272" s="69" customFormat="1" x14ac:dyDescent="0.15"/>
    <row r="28273" s="69" customFormat="1" x14ac:dyDescent="0.15"/>
    <row r="28274" s="69" customFormat="1" x14ac:dyDescent="0.15"/>
    <row r="28275" s="69" customFormat="1" x14ac:dyDescent="0.15"/>
    <row r="28276" s="69" customFormat="1" x14ac:dyDescent="0.15"/>
    <row r="28277" s="69" customFormat="1" x14ac:dyDescent="0.15"/>
    <row r="28278" s="69" customFormat="1" x14ac:dyDescent="0.15"/>
    <row r="28279" s="69" customFormat="1" x14ac:dyDescent="0.15"/>
    <row r="28280" s="69" customFormat="1" x14ac:dyDescent="0.15"/>
    <row r="28281" s="69" customFormat="1" x14ac:dyDescent="0.15"/>
    <row r="28282" s="69" customFormat="1" x14ac:dyDescent="0.15"/>
    <row r="28283" s="69" customFormat="1" x14ac:dyDescent="0.15"/>
    <row r="28284" s="69" customFormat="1" x14ac:dyDescent="0.15"/>
    <row r="28285" s="69" customFormat="1" x14ac:dyDescent="0.15"/>
    <row r="28286" s="69" customFormat="1" x14ac:dyDescent="0.15"/>
    <row r="28287" s="69" customFormat="1" x14ac:dyDescent="0.15"/>
    <row r="28288" s="69" customFormat="1" x14ac:dyDescent="0.15"/>
    <row r="28289" s="69" customFormat="1" x14ac:dyDescent="0.15"/>
    <row r="28290" s="69" customFormat="1" x14ac:dyDescent="0.15"/>
    <row r="28291" s="69" customFormat="1" x14ac:dyDescent="0.15"/>
    <row r="28292" s="69" customFormat="1" x14ac:dyDescent="0.15"/>
    <row r="28293" s="69" customFormat="1" x14ac:dyDescent="0.15"/>
    <row r="28294" s="69" customFormat="1" x14ac:dyDescent="0.15"/>
    <row r="28295" s="69" customFormat="1" x14ac:dyDescent="0.15"/>
    <row r="28296" s="69" customFormat="1" x14ac:dyDescent="0.15"/>
    <row r="28297" s="69" customFormat="1" x14ac:dyDescent="0.15"/>
    <row r="28298" s="69" customFormat="1" x14ac:dyDescent="0.15"/>
    <row r="28299" s="69" customFormat="1" x14ac:dyDescent="0.15"/>
    <row r="28300" s="69" customFormat="1" x14ac:dyDescent="0.15"/>
    <row r="28301" s="69" customFormat="1" x14ac:dyDescent="0.15"/>
    <row r="28302" s="69" customFormat="1" x14ac:dyDescent="0.15"/>
    <row r="28303" s="69" customFormat="1" x14ac:dyDescent="0.15"/>
    <row r="28304" s="69" customFormat="1" x14ac:dyDescent="0.15"/>
    <row r="28305" s="69" customFormat="1" x14ac:dyDescent="0.15"/>
    <row r="28306" s="69" customFormat="1" x14ac:dyDescent="0.15"/>
    <row r="28307" s="69" customFormat="1" x14ac:dyDescent="0.15"/>
    <row r="28308" s="69" customFormat="1" x14ac:dyDescent="0.15"/>
    <row r="28309" s="69" customFormat="1" x14ac:dyDescent="0.15"/>
    <row r="28310" s="69" customFormat="1" x14ac:dyDescent="0.15"/>
    <row r="28311" s="69" customFormat="1" x14ac:dyDescent="0.15"/>
    <row r="28312" s="69" customFormat="1" x14ac:dyDescent="0.15"/>
    <row r="28313" s="69" customFormat="1" x14ac:dyDescent="0.15"/>
    <row r="28314" s="69" customFormat="1" x14ac:dyDescent="0.15"/>
    <row r="28315" s="69" customFormat="1" x14ac:dyDescent="0.15"/>
    <row r="28316" s="69" customFormat="1" x14ac:dyDescent="0.15"/>
    <row r="28317" s="69" customFormat="1" x14ac:dyDescent="0.15"/>
    <row r="28318" s="69" customFormat="1" x14ac:dyDescent="0.15"/>
    <row r="28319" s="69" customFormat="1" x14ac:dyDescent="0.15"/>
    <row r="28320" s="69" customFormat="1" x14ac:dyDescent="0.15"/>
    <row r="28321" s="69" customFormat="1" x14ac:dyDescent="0.15"/>
    <row r="28322" s="69" customFormat="1" x14ac:dyDescent="0.15"/>
    <row r="28323" s="69" customFormat="1" x14ac:dyDescent="0.15"/>
    <row r="28324" s="69" customFormat="1" x14ac:dyDescent="0.15"/>
    <row r="28325" s="69" customFormat="1" x14ac:dyDescent="0.15"/>
    <row r="28326" s="69" customFormat="1" x14ac:dyDescent="0.15"/>
    <row r="28327" s="69" customFormat="1" x14ac:dyDescent="0.15"/>
    <row r="28328" s="69" customFormat="1" x14ac:dyDescent="0.15"/>
    <row r="28329" s="69" customFormat="1" x14ac:dyDescent="0.15"/>
    <row r="28330" s="69" customFormat="1" x14ac:dyDescent="0.15"/>
    <row r="28331" s="69" customFormat="1" x14ac:dyDescent="0.15"/>
    <row r="28332" s="69" customFormat="1" x14ac:dyDescent="0.15"/>
    <row r="28333" s="69" customFormat="1" x14ac:dyDescent="0.15"/>
    <row r="28334" s="69" customFormat="1" x14ac:dyDescent="0.15"/>
    <row r="28335" s="69" customFormat="1" x14ac:dyDescent="0.15"/>
    <row r="28336" s="69" customFormat="1" x14ac:dyDescent="0.15"/>
    <row r="28337" s="69" customFormat="1" x14ac:dyDescent="0.15"/>
    <row r="28338" s="69" customFormat="1" x14ac:dyDescent="0.15"/>
    <row r="28339" s="69" customFormat="1" x14ac:dyDescent="0.15"/>
    <row r="28340" s="69" customFormat="1" x14ac:dyDescent="0.15"/>
    <row r="28341" s="69" customFormat="1" x14ac:dyDescent="0.15"/>
    <row r="28342" s="69" customFormat="1" x14ac:dyDescent="0.15"/>
    <row r="28343" s="69" customFormat="1" x14ac:dyDescent="0.15"/>
    <row r="28344" s="69" customFormat="1" x14ac:dyDescent="0.15"/>
    <row r="28345" s="69" customFormat="1" x14ac:dyDescent="0.15"/>
    <row r="28346" s="69" customFormat="1" x14ac:dyDescent="0.15"/>
    <row r="28347" s="69" customFormat="1" x14ac:dyDescent="0.15"/>
    <row r="28348" s="69" customFormat="1" x14ac:dyDescent="0.15"/>
    <row r="28349" s="69" customFormat="1" x14ac:dyDescent="0.15"/>
    <row r="28350" s="69" customFormat="1" x14ac:dyDescent="0.15"/>
    <row r="28351" s="69" customFormat="1" x14ac:dyDescent="0.15"/>
    <row r="28352" s="69" customFormat="1" x14ac:dyDescent="0.15"/>
    <row r="28353" s="69" customFormat="1" x14ac:dyDescent="0.15"/>
    <row r="28354" s="69" customFormat="1" x14ac:dyDescent="0.15"/>
    <row r="28355" s="69" customFormat="1" x14ac:dyDescent="0.15"/>
    <row r="28356" s="69" customFormat="1" x14ac:dyDescent="0.15"/>
    <row r="28357" s="69" customFormat="1" x14ac:dyDescent="0.15"/>
    <row r="28358" s="69" customFormat="1" x14ac:dyDescent="0.15"/>
    <row r="28359" s="69" customFormat="1" x14ac:dyDescent="0.15"/>
    <row r="28360" s="69" customFormat="1" x14ac:dyDescent="0.15"/>
    <row r="28361" s="69" customFormat="1" x14ac:dyDescent="0.15"/>
    <row r="28362" s="69" customFormat="1" x14ac:dyDescent="0.15"/>
    <row r="28363" s="69" customFormat="1" x14ac:dyDescent="0.15"/>
    <row r="28364" s="69" customFormat="1" x14ac:dyDescent="0.15"/>
    <row r="28365" s="69" customFormat="1" x14ac:dyDescent="0.15"/>
    <row r="28366" s="69" customFormat="1" x14ac:dyDescent="0.15"/>
    <row r="28367" s="69" customFormat="1" x14ac:dyDescent="0.15"/>
    <row r="28368" s="69" customFormat="1" x14ac:dyDescent="0.15"/>
    <row r="28369" s="69" customFormat="1" x14ac:dyDescent="0.15"/>
    <row r="28370" s="69" customFormat="1" x14ac:dyDescent="0.15"/>
    <row r="28371" s="69" customFormat="1" x14ac:dyDescent="0.15"/>
    <row r="28372" s="69" customFormat="1" x14ac:dyDescent="0.15"/>
    <row r="28373" s="69" customFormat="1" x14ac:dyDescent="0.15"/>
    <row r="28374" s="69" customFormat="1" x14ac:dyDescent="0.15"/>
    <row r="28375" s="69" customFormat="1" x14ac:dyDescent="0.15"/>
    <row r="28376" s="69" customFormat="1" x14ac:dyDescent="0.15"/>
    <row r="28377" s="69" customFormat="1" x14ac:dyDescent="0.15"/>
    <row r="28378" s="69" customFormat="1" x14ac:dyDescent="0.15"/>
    <row r="28379" s="69" customFormat="1" x14ac:dyDescent="0.15"/>
    <row r="28380" s="69" customFormat="1" x14ac:dyDescent="0.15"/>
    <row r="28381" s="69" customFormat="1" x14ac:dyDescent="0.15"/>
    <row r="28382" s="69" customFormat="1" x14ac:dyDescent="0.15"/>
    <row r="28383" s="69" customFormat="1" x14ac:dyDescent="0.15"/>
    <row r="28384" s="69" customFormat="1" x14ac:dyDescent="0.15"/>
    <row r="28385" s="69" customFormat="1" x14ac:dyDescent="0.15"/>
    <row r="28386" s="69" customFormat="1" x14ac:dyDescent="0.15"/>
    <row r="28387" s="69" customFormat="1" x14ac:dyDescent="0.15"/>
    <row r="28388" s="69" customFormat="1" x14ac:dyDescent="0.15"/>
    <row r="28389" s="69" customFormat="1" x14ac:dyDescent="0.15"/>
    <row r="28390" s="69" customFormat="1" x14ac:dyDescent="0.15"/>
    <row r="28391" s="69" customFormat="1" x14ac:dyDescent="0.15"/>
    <row r="28392" s="69" customFormat="1" x14ac:dyDescent="0.15"/>
    <row r="28393" s="69" customFormat="1" x14ac:dyDescent="0.15"/>
    <row r="28394" s="69" customFormat="1" x14ac:dyDescent="0.15"/>
    <row r="28395" s="69" customFormat="1" x14ac:dyDescent="0.15"/>
    <row r="28396" s="69" customFormat="1" x14ac:dyDescent="0.15"/>
    <row r="28397" s="69" customFormat="1" x14ac:dyDescent="0.15"/>
    <row r="28398" s="69" customFormat="1" x14ac:dyDescent="0.15"/>
    <row r="28399" s="69" customFormat="1" x14ac:dyDescent="0.15"/>
    <row r="28400" s="69" customFormat="1" x14ac:dyDescent="0.15"/>
    <row r="28401" s="69" customFormat="1" x14ac:dyDescent="0.15"/>
    <row r="28402" s="69" customFormat="1" x14ac:dyDescent="0.15"/>
    <row r="28403" s="69" customFormat="1" x14ac:dyDescent="0.15"/>
    <row r="28404" s="69" customFormat="1" x14ac:dyDescent="0.15"/>
    <row r="28405" s="69" customFormat="1" x14ac:dyDescent="0.15"/>
    <row r="28406" s="69" customFormat="1" x14ac:dyDescent="0.15"/>
    <row r="28407" s="69" customFormat="1" x14ac:dyDescent="0.15"/>
    <row r="28408" s="69" customFormat="1" x14ac:dyDescent="0.15"/>
    <row r="28409" s="69" customFormat="1" x14ac:dyDescent="0.15"/>
    <row r="28410" s="69" customFormat="1" x14ac:dyDescent="0.15"/>
    <row r="28411" s="69" customFormat="1" x14ac:dyDescent="0.15"/>
    <row r="28412" s="69" customFormat="1" x14ac:dyDescent="0.15"/>
    <row r="28413" s="69" customFormat="1" x14ac:dyDescent="0.15"/>
    <row r="28414" s="69" customFormat="1" x14ac:dyDescent="0.15"/>
    <row r="28415" s="69" customFormat="1" x14ac:dyDescent="0.15"/>
    <row r="28416" s="69" customFormat="1" x14ac:dyDescent="0.15"/>
    <row r="28417" s="69" customFormat="1" x14ac:dyDescent="0.15"/>
    <row r="28418" s="69" customFormat="1" x14ac:dyDescent="0.15"/>
    <row r="28419" s="69" customFormat="1" x14ac:dyDescent="0.15"/>
    <row r="28420" s="69" customFormat="1" x14ac:dyDescent="0.15"/>
    <row r="28421" s="69" customFormat="1" x14ac:dyDescent="0.15"/>
    <row r="28422" s="69" customFormat="1" x14ac:dyDescent="0.15"/>
    <row r="28423" s="69" customFormat="1" x14ac:dyDescent="0.15"/>
    <row r="28424" s="69" customFormat="1" x14ac:dyDescent="0.15"/>
    <row r="28425" s="69" customFormat="1" x14ac:dyDescent="0.15"/>
    <row r="28426" s="69" customFormat="1" x14ac:dyDescent="0.15"/>
    <row r="28427" s="69" customFormat="1" x14ac:dyDescent="0.15"/>
    <row r="28428" s="69" customFormat="1" x14ac:dyDescent="0.15"/>
    <row r="28429" s="69" customFormat="1" x14ac:dyDescent="0.15"/>
    <row r="28430" s="69" customFormat="1" x14ac:dyDescent="0.15"/>
    <row r="28431" s="69" customFormat="1" x14ac:dyDescent="0.15"/>
    <row r="28432" s="69" customFormat="1" x14ac:dyDescent="0.15"/>
    <row r="28433" s="69" customFormat="1" x14ac:dyDescent="0.15"/>
    <row r="28434" s="69" customFormat="1" x14ac:dyDescent="0.15"/>
    <row r="28435" s="69" customFormat="1" x14ac:dyDescent="0.15"/>
    <row r="28436" s="69" customFormat="1" x14ac:dyDescent="0.15"/>
    <row r="28437" s="69" customFormat="1" x14ac:dyDescent="0.15"/>
    <row r="28438" s="69" customFormat="1" x14ac:dyDescent="0.15"/>
    <row r="28439" s="69" customFormat="1" x14ac:dyDescent="0.15"/>
    <row r="28440" s="69" customFormat="1" x14ac:dyDescent="0.15"/>
    <row r="28441" s="69" customFormat="1" x14ac:dyDescent="0.15"/>
    <row r="28442" s="69" customFormat="1" x14ac:dyDescent="0.15"/>
    <row r="28443" s="69" customFormat="1" x14ac:dyDescent="0.15"/>
    <row r="28444" s="69" customFormat="1" x14ac:dyDescent="0.15"/>
    <row r="28445" s="69" customFormat="1" x14ac:dyDescent="0.15"/>
    <row r="28446" s="69" customFormat="1" x14ac:dyDescent="0.15"/>
    <row r="28447" s="69" customFormat="1" x14ac:dyDescent="0.15"/>
    <row r="28448" s="69" customFormat="1" x14ac:dyDescent="0.15"/>
    <row r="28449" s="69" customFormat="1" x14ac:dyDescent="0.15"/>
    <row r="28450" s="69" customFormat="1" x14ac:dyDescent="0.15"/>
    <row r="28451" s="69" customFormat="1" x14ac:dyDescent="0.15"/>
    <row r="28452" s="69" customFormat="1" x14ac:dyDescent="0.15"/>
    <row r="28453" s="69" customFormat="1" x14ac:dyDescent="0.15"/>
    <row r="28454" s="69" customFormat="1" x14ac:dyDescent="0.15"/>
    <row r="28455" s="69" customFormat="1" x14ac:dyDescent="0.15"/>
    <row r="28456" s="69" customFormat="1" x14ac:dyDescent="0.15"/>
    <row r="28457" s="69" customFormat="1" x14ac:dyDescent="0.15"/>
    <row r="28458" s="69" customFormat="1" x14ac:dyDescent="0.15"/>
    <row r="28459" s="69" customFormat="1" x14ac:dyDescent="0.15"/>
    <row r="28460" s="69" customFormat="1" x14ac:dyDescent="0.15"/>
    <row r="28461" s="69" customFormat="1" x14ac:dyDescent="0.15"/>
    <row r="28462" s="69" customFormat="1" x14ac:dyDescent="0.15"/>
    <row r="28463" s="69" customFormat="1" x14ac:dyDescent="0.15"/>
    <row r="28464" s="69" customFormat="1" x14ac:dyDescent="0.15"/>
    <row r="28465" s="69" customFormat="1" x14ac:dyDescent="0.15"/>
    <row r="28466" s="69" customFormat="1" x14ac:dyDescent="0.15"/>
    <row r="28467" s="69" customFormat="1" x14ac:dyDescent="0.15"/>
    <row r="28468" s="69" customFormat="1" x14ac:dyDescent="0.15"/>
    <row r="28469" s="69" customFormat="1" x14ac:dyDescent="0.15"/>
    <row r="28470" s="69" customFormat="1" x14ac:dyDescent="0.15"/>
    <row r="28471" s="69" customFormat="1" x14ac:dyDescent="0.15"/>
    <row r="28472" s="69" customFormat="1" x14ac:dyDescent="0.15"/>
    <row r="28473" s="69" customFormat="1" x14ac:dyDescent="0.15"/>
    <row r="28474" s="69" customFormat="1" x14ac:dyDescent="0.15"/>
    <row r="28475" s="69" customFormat="1" x14ac:dyDescent="0.15"/>
    <row r="28476" s="69" customFormat="1" x14ac:dyDescent="0.15"/>
    <row r="28477" s="69" customFormat="1" x14ac:dyDescent="0.15"/>
    <row r="28478" s="69" customFormat="1" x14ac:dyDescent="0.15"/>
    <row r="28479" s="69" customFormat="1" x14ac:dyDescent="0.15"/>
    <row r="28480" s="69" customFormat="1" x14ac:dyDescent="0.15"/>
    <row r="28481" s="69" customFormat="1" x14ac:dyDescent="0.15"/>
    <row r="28482" s="69" customFormat="1" x14ac:dyDescent="0.15"/>
    <row r="28483" s="69" customFormat="1" x14ac:dyDescent="0.15"/>
    <row r="28484" s="69" customFormat="1" x14ac:dyDescent="0.15"/>
    <row r="28485" s="69" customFormat="1" x14ac:dyDescent="0.15"/>
    <row r="28486" s="69" customFormat="1" x14ac:dyDescent="0.15"/>
    <row r="28487" s="69" customFormat="1" x14ac:dyDescent="0.15"/>
    <row r="28488" s="69" customFormat="1" x14ac:dyDescent="0.15"/>
    <row r="28489" s="69" customFormat="1" x14ac:dyDescent="0.15"/>
    <row r="28490" s="69" customFormat="1" x14ac:dyDescent="0.15"/>
    <row r="28491" s="69" customFormat="1" x14ac:dyDescent="0.15"/>
    <row r="28492" s="69" customFormat="1" x14ac:dyDescent="0.15"/>
    <row r="28493" s="69" customFormat="1" x14ac:dyDescent="0.15"/>
    <row r="28494" s="69" customFormat="1" x14ac:dyDescent="0.15"/>
    <row r="28495" s="69" customFormat="1" x14ac:dyDescent="0.15"/>
    <row r="28496" s="69" customFormat="1" x14ac:dyDescent="0.15"/>
    <row r="28497" s="69" customFormat="1" x14ac:dyDescent="0.15"/>
    <row r="28498" s="69" customFormat="1" x14ac:dyDescent="0.15"/>
    <row r="28499" s="69" customFormat="1" x14ac:dyDescent="0.15"/>
    <row r="28500" s="69" customFormat="1" x14ac:dyDescent="0.15"/>
    <row r="28501" s="69" customFormat="1" x14ac:dyDescent="0.15"/>
    <row r="28502" s="69" customFormat="1" x14ac:dyDescent="0.15"/>
    <row r="28503" s="69" customFormat="1" x14ac:dyDescent="0.15"/>
    <row r="28504" s="69" customFormat="1" x14ac:dyDescent="0.15"/>
    <row r="28505" s="69" customFormat="1" x14ac:dyDescent="0.15"/>
    <row r="28506" s="69" customFormat="1" x14ac:dyDescent="0.15"/>
    <row r="28507" s="69" customFormat="1" x14ac:dyDescent="0.15"/>
    <row r="28508" s="69" customFormat="1" x14ac:dyDescent="0.15"/>
    <row r="28509" s="69" customFormat="1" x14ac:dyDescent="0.15"/>
    <row r="28510" s="69" customFormat="1" x14ac:dyDescent="0.15"/>
    <row r="28511" s="69" customFormat="1" x14ac:dyDescent="0.15"/>
    <row r="28512" s="69" customFormat="1" x14ac:dyDescent="0.15"/>
    <row r="28513" s="69" customFormat="1" x14ac:dyDescent="0.15"/>
    <row r="28514" s="69" customFormat="1" x14ac:dyDescent="0.15"/>
    <row r="28515" s="69" customFormat="1" x14ac:dyDescent="0.15"/>
    <row r="28516" s="69" customFormat="1" x14ac:dyDescent="0.15"/>
    <row r="28517" s="69" customFormat="1" x14ac:dyDescent="0.15"/>
    <row r="28518" s="69" customFormat="1" x14ac:dyDescent="0.15"/>
    <row r="28519" s="69" customFormat="1" x14ac:dyDescent="0.15"/>
    <row r="28520" s="69" customFormat="1" x14ac:dyDescent="0.15"/>
    <row r="28521" s="69" customFormat="1" x14ac:dyDescent="0.15"/>
    <row r="28522" s="69" customFormat="1" x14ac:dyDescent="0.15"/>
    <row r="28523" s="69" customFormat="1" x14ac:dyDescent="0.15"/>
    <row r="28524" s="69" customFormat="1" x14ac:dyDescent="0.15"/>
    <row r="28525" s="69" customFormat="1" x14ac:dyDescent="0.15"/>
    <row r="28526" s="69" customFormat="1" x14ac:dyDescent="0.15"/>
    <row r="28527" s="69" customFormat="1" x14ac:dyDescent="0.15"/>
    <row r="28528" s="69" customFormat="1" x14ac:dyDescent="0.15"/>
    <row r="28529" s="69" customFormat="1" x14ac:dyDescent="0.15"/>
    <row r="28530" s="69" customFormat="1" x14ac:dyDescent="0.15"/>
    <row r="28531" s="69" customFormat="1" x14ac:dyDescent="0.15"/>
    <row r="28532" s="69" customFormat="1" x14ac:dyDescent="0.15"/>
    <row r="28533" s="69" customFormat="1" x14ac:dyDescent="0.15"/>
    <row r="28534" s="69" customFormat="1" x14ac:dyDescent="0.15"/>
    <row r="28535" s="69" customFormat="1" x14ac:dyDescent="0.15"/>
    <row r="28536" s="69" customFormat="1" x14ac:dyDescent="0.15"/>
    <row r="28537" s="69" customFormat="1" x14ac:dyDescent="0.15"/>
    <row r="28538" s="69" customFormat="1" x14ac:dyDescent="0.15"/>
    <row r="28539" s="69" customFormat="1" x14ac:dyDescent="0.15"/>
    <row r="28540" s="69" customFormat="1" x14ac:dyDescent="0.15"/>
    <row r="28541" s="69" customFormat="1" x14ac:dyDescent="0.15"/>
    <row r="28542" s="69" customFormat="1" x14ac:dyDescent="0.15"/>
    <row r="28543" s="69" customFormat="1" x14ac:dyDescent="0.15"/>
    <row r="28544" s="69" customFormat="1" x14ac:dyDescent="0.15"/>
    <row r="28545" s="69" customFormat="1" x14ac:dyDescent="0.15"/>
    <row r="28546" s="69" customFormat="1" x14ac:dyDescent="0.15"/>
    <row r="28547" s="69" customFormat="1" x14ac:dyDescent="0.15"/>
    <row r="28548" s="69" customFormat="1" x14ac:dyDescent="0.15"/>
    <row r="28549" s="69" customFormat="1" x14ac:dyDescent="0.15"/>
    <row r="28550" s="69" customFormat="1" x14ac:dyDescent="0.15"/>
    <row r="28551" s="69" customFormat="1" x14ac:dyDescent="0.15"/>
    <row r="28552" s="69" customFormat="1" x14ac:dyDescent="0.15"/>
    <row r="28553" s="69" customFormat="1" x14ac:dyDescent="0.15"/>
    <row r="28554" s="69" customFormat="1" x14ac:dyDescent="0.15"/>
    <row r="28555" s="69" customFormat="1" x14ac:dyDescent="0.15"/>
    <row r="28556" s="69" customFormat="1" x14ac:dyDescent="0.15"/>
    <row r="28557" s="69" customFormat="1" x14ac:dyDescent="0.15"/>
    <row r="28558" s="69" customFormat="1" x14ac:dyDescent="0.15"/>
    <row r="28559" s="69" customFormat="1" x14ac:dyDescent="0.15"/>
    <row r="28560" s="69" customFormat="1" x14ac:dyDescent="0.15"/>
    <row r="28561" s="69" customFormat="1" x14ac:dyDescent="0.15"/>
    <row r="28562" s="69" customFormat="1" x14ac:dyDescent="0.15"/>
    <row r="28563" s="69" customFormat="1" x14ac:dyDescent="0.15"/>
    <row r="28564" s="69" customFormat="1" x14ac:dyDescent="0.15"/>
    <row r="28565" s="69" customFormat="1" x14ac:dyDescent="0.15"/>
    <row r="28566" s="69" customFormat="1" x14ac:dyDescent="0.15"/>
    <row r="28567" s="69" customFormat="1" x14ac:dyDescent="0.15"/>
    <row r="28568" s="69" customFormat="1" x14ac:dyDescent="0.15"/>
    <row r="28569" s="69" customFormat="1" x14ac:dyDescent="0.15"/>
    <row r="28570" s="69" customFormat="1" x14ac:dyDescent="0.15"/>
    <row r="28571" s="69" customFormat="1" x14ac:dyDescent="0.15"/>
    <row r="28572" s="69" customFormat="1" x14ac:dyDescent="0.15"/>
    <row r="28573" s="69" customFormat="1" x14ac:dyDescent="0.15"/>
    <row r="28574" s="69" customFormat="1" x14ac:dyDescent="0.15"/>
    <row r="28575" s="69" customFormat="1" x14ac:dyDescent="0.15"/>
    <row r="28576" s="69" customFormat="1" x14ac:dyDescent="0.15"/>
    <row r="28577" s="69" customFormat="1" x14ac:dyDescent="0.15"/>
    <row r="28578" s="69" customFormat="1" x14ac:dyDescent="0.15"/>
    <row r="28579" s="69" customFormat="1" x14ac:dyDescent="0.15"/>
    <row r="28580" s="69" customFormat="1" x14ac:dyDescent="0.15"/>
    <row r="28581" s="69" customFormat="1" x14ac:dyDescent="0.15"/>
    <row r="28582" s="69" customFormat="1" x14ac:dyDescent="0.15"/>
    <row r="28583" s="69" customFormat="1" x14ac:dyDescent="0.15"/>
    <row r="28584" s="69" customFormat="1" x14ac:dyDescent="0.15"/>
    <row r="28585" s="69" customFormat="1" x14ac:dyDescent="0.15"/>
    <row r="28586" s="69" customFormat="1" x14ac:dyDescent="0.15"/>
    <row r="28587" s="69" customFormat="1" x14ac:dyDescent="0.15"/>
    <row r="28588" s="69" customFormat="1" x14ac:dyDescent="0.15"/>
    <row r="28589" s="69" customFormat="1" x14ac:dyDescent="0.15"/>
    <row r="28590" s="69" customFormat="1" x14ac:dyDescent="0.15"/>
    <row r="28591" s="69" customFormat="1" x14ac:dyDescent="0.15"/>
    <row r="28592" s="69" customFormat="1" x14ac:dyDescent="0.15"/>
    <row r="28593" s="69" customFormat="1" x14ac:dyDescent="0.15"/>
    <row r="28594" s="69" customFormat="1" x14ac:dyDescent="0.15"/>
    <row r="28595" s="69" customFormat="1" x14ac:dyDescent="0.15"/>
    <row r="28596" s="69" customFormat="1" x14ac:dyDescent="0.15"/>
    <row r="28597" s="69" customFormat="1" x14ac:dyDescent="0.15"/>
    <row r="28598" s="69" customFormat="1" x14ac:dyDescent="0.15"/>
    <row r="28599" s="69" customFormat="1" x14ac:dyDescent="0.15"/>
    <row r="28600" s="69" customFormat="1" x14ac:dyDescent="0.15"/>
    <row r="28601" s="69" customFormat="1" x14ac:dyDescent="0.15"/>
    <row r="28602" s="69" customFormat="1" x14ac:dyDescent="0.15"/>
    <row r="28603" s="69" customFormat="1" x14ac:dyDescent="0.15"/>
    <row r="28604" s="69" customFormat="1" x14ac:dyDescent="0.15"/>
    <row r="28605" s="69" customFormat="1" x14ac:dyDescent="0.15"/>
    <row r="28606" s="69" customFormat="1" x14ac:dyDescent="0.15"/>
    <row r="28607" s="69" customFormat="1" x14ac:dyDescent="0.15"/>
    <row r="28608" s="69" customFormat="1" x14ac:dyDescent="0.15"/>
    <row r="28609" s="69" customFormat="1" x14ac:dyDescent="0.15"/>
    <row r="28610" s="69" customFormat="1" x14ac:dyDescent="0.15"/>
    <row r="28611" s="69" customFormat="1" x14ac:dyDescent="0.15"/>
    <row r="28612" s="69" customFormat="1" x14ac:dyDescent="0.15"/>
    <row r="28613" s="69" customFormat="1" x14ac:dyDescent="0.15"/>
    <row r="28614" s="69" customFormat="1" x14ac:dyDescent="0.15"/>
    <row r="28615" s="69" customFormat="1" x14ac:dyDescent="0.15"/>
    <row r="28616" s="69" customFormat="1" x14ac:dyDescent="0.15"/>
    <row r="28617" s="69" customFormat="1" x14ac:dyDescent="0.15"/>
    <row r="28618" s="69" customFormat="1" x14ac:dyDescent="0.15"/>
    <row r="28619" s="69" customFormat="1" x14ac:dyDescent="0.15"/>
    <row r="28620" s="69" customFormat="1" x14ac:dyDescent="0.15"/>
    <row r="28621" s="69" customFormat="1" x14ac:dyDescent="0.15"/>
    <row r="28622" s="69" customFormat="1" x14ac:dyDescent="0.15"/>
    <row r="28623" s="69" customFormat="1" x14ac:dyDescent="0.15"/>
    <row r="28624" s="69" customFormat="1" x14ac:dyDescent="0.15"/>
    <row r="28625" s="69" customFormat="1" x14ac:dyDescent="0.15"/>
    <row r="28626" s="69" customFormat="1" x14ac:dyDescent="0.15"/>
    <row r="28627" s="69" customFormat="1" x14ac:dyDescent="0.15"/>
    <row r="28628" s="69" customFormat="1" x14ac:dyDescent="0.15"/>
    <row r="28629" s="69" customFormat="1" x14ac:dyDescent="0.15"/>
    <row r="28630" s="69" customFormat="1" x14ac:dyDescent="0.15"/>
    <row r="28631" s="69" customFormat="1" x14ac:dyDescent="0.15"/>
    <row r="28632" s="69" customFormat="1" x14ac:dyDescent="0.15"/>
    <row r="28633" s="69" customFormat="1" x14ac:dyDescent="0.15"/>
    <row r="28634" s="69" customFormat="1" x14ac:dyDescent="0.15"/>
    <row r="28635" s="69" customFormat="1" x14ac:dyDescent="0.15"/>
    <row r="28636" s="69" customFormat="1" x14ac:dyDescent="0.15"/>
    <row r="28637" s="69" customFormat="1" x14ac:dyDescent="0.15"/>
    <row r="28638" s="69" customFormat="1" x14ac:dyDescent="0.15"/>
    <row r="28639" s="69" customFormat="1" x14ac:dyDescent="0.15"/>
    <row r="28640" s="69" customFormat="1" x14ac:dyDescent="0.15"/>
    <row r="28641" s="69" customFormat="1" x14ac:dyDescent="0.15"/>
    <row r="28642" s="69" customFormat="1" x14ac:dyDescent="0.15"/>
    <row r="28643" s="69" customFormat="1" x14ac:dyDescent="0.15"/>
    <row r="28644" s="69" customFormat="1" x14ac:dyDescent="0.15"/>
    <row r="28645" s="69" customFormat="1" x14ac:dyDescent="0.15"/>
    <row r="28646" s="69" customFormat="1" x14ac:dyDescent="0.15"/>
    <row r="28647" s="69" customFormat="1" x14ac:dyDescent="0.15"/>
    <row r="28648" s="69" customFormat="1" x14ac:dyDescent="0.15"/>
    <row r="28649" s="69" customFormat="1" x14ac:dyDescent="0.15"/>
    <row r="28650" s="69" customFormat="1" x14ac:dyDescent="0.15"/>
    <row r="28651" s="69" customFormat="1" x14ac:dyDescent="0.15"/>
    <row r="28652" s="69" customFormat="1" x14ac:dyDescent="0.15"/>
    <row r="28653" s="69" customFormat="1" x14ac:dyDescent="0.15"/>
    <row r="28654" s="69" customFormat="1" x14ac:dyDescent="0.15"/>
    <row r="28655" s="69" customFormat="1" x14ac:dyDescent="0.15"/>
    <row r="28656" s="69" customFormat="1" x14ac:dyDescent="0.15"/>
    <row r="28657" s="69" customFormat="1" x14ac:dyDescent="0.15"/>
    <row r="28658" s="69" customFormat="1" x14ac:dyDescent="0.15"/>
    <row r="28659" s="69" customFormat="1" x14ac:dyDescent="0.15"/>
    <row r="28660" s="69" customFormat="1" x14ac:dyDescent="0.15"/>
    <row r="28661" s="69" customFormat="1" x14ac:dyDescent="0.15"/>
    <row r="28662" s="69" customFormat="1" x14ac:dyDescent="0.15"/>
    <row r="28663" s="69" customFormat="1" x14ac:dyDescent="0.15"/>
    <row r="28664" s="69" customFormat="1" x14ac:dyDescent="0.15"/>
    <row r="28665" s="69" customFormat="1" x14ac:dyDescent="0.15"/>
    <row r="28666" s="69" customFormat="1" x14ac:dyDescent="0.15"/>
    <row r="28667" s="69" customFormat="1" x14ac:dyDescent="0.15"/>
    <row r="28668" s="69" customFormat="1" x14ac:dyDescent="0.15"/>
    <row r="28669" s="69" customFormat="1" x14ac:dyDescent="0.15"/>
    <row r="28670" s="69" customFormat="1" x14ac:dyDescent="0.15"/>
    <row r="28671" s="69" customFormat="1" x14ac:dyDescent="0.15"/>
    <row r="28672" s="69" customFormat="1" x14ac:dyDescent="0.15"/>
    <row r="28673" s="69" customFormat="1" x14ac:dyDescent="0.15"/>
    <row r="28674" s="69" customFormat="1" x14ac:dyDescent="0.15"/>
    <row r="28675" s="69" customFormat="1" x14ac:dyDescent="0.15"/>
    <row r="28676" s="69" customFormat="1" x14ac:dyDescent="0.15"/>
    <row r="28677" s="69" customFormat="1" x14ac:dyDescent="0.15"/>
    <row r="28678" s="69" customFormat="1" x14ac:dyDescent="0.15"/>
    <row r="28679" s="69" customFormat="1" x14ac:dyDescent="0.15"/>
    <row r="28680" s="69" customFormat="1" x14ac:dyDescent="0.15"/>
    <row r="28681" s="69" customFormat="1" x14ac:dyDescent="0.15"/>
    <row r="28682" s="69" customFormat="1" x14ac:dyDescent="0.15"/>
    <row r="28683" s="69" customFormat="1" x14ac:dyDescent="0.15"/>
    <row r="28684" s="69" customFormat="1" x14ac:dyDescent="0.15"/>
    <row r="28685" s="69" customFormat="1" x14ac:dyDescent="0.15"/>
    <row r="28686" s="69" customFormat="1" x14ac:dyDescent="0.15"/>
    <row r="28687" s="69" customFormat="1" x14ac:dyDescent="0.15"/>
    <row r="28688" s="69" customFormat="1" x14ac:dyDescent="0.15"/>
    <row r="28689" s="69" customFormat="1" x14ac:dyDescent="0.15"/>
    <row r="28690" s="69" customFormat="1" x14ac:dyDescent="0.15"/>
    <row r="28691" s="69" customFormat="1" x14ac:dyDescent="0.15"/>
    <row r="28692" s="69" customFormat="1" x14ac:dyDescent="0.15"/>
    <row r="28693" s="69" customFormat="1" x14ac:dyDescent="0.15"/>
    <row r="28694" s="69" customFormat="1" x14ac:dyDescent="0.15"/>
    <row r="28695" s="69" customFormat="1" x14ac:dyDescent="0.15"/>
    <row r="28696" s="69" customFormat="1" x14ac:dyDescent="0.15"/>
    <row r="28697" s="69" customFormat="1" x14ac:dyDescent="0.15"/>
    <row r="28698" s="69" customFormat="1" x14ac:dyDescent="0.15"/>
    <row r="28699" s="69" customFormat="1" x14ac:dyDescent="0.15"/>
    <row r="28700" s="69" customFormat="1" x14ac:dyDescent="0.15"/>
    <row r="28701" s="69" customFormat="1" x14ac:dyDescent="0.15"/>
    <row r="28702" s="69" customFormat="1" x14ac:dyDescent="0.15"/>
    <row r="28703" s="69" customFormat="1" x14ac:dyDescent="0.15"/>
    <row r="28704" s="69" customFormat="1" x14ac:dyDescent="0.15"/>
    <row r="28705" s="69" customFormat="1" x14ac:dyDescent="0.15"/>
    <row r="28706" s="69" customFormat="1" x14ac:dyDescent="0.15"/>
    <row r="28707" s="69" customFormat="1" x14ac:dyDescent="0.15"/>
    <row r="28708" s="69" customFormat="1" x14ac:dyDescent="0.15"/>
    <row r="28709" s="69" customFormat="1" x14ac:dyDescent="0.15"/>
    <row r="28710" s="69" customFormat="1" x14ac:dyDescent="0.15"/>
    <row r="28711" s="69" customFormat="1" x14ac:dyDescent="0.15"/>
    <row r="28712" s="69" customFormat="1" x14ac:dyDescent="0.15"/>
    <row r="28713" s="69" customFormat="1" x14ac:dyDescent="0.15"/>
    <row r="28714" s="69" customFormat="1" x14ac:dyDescent="0.15"/>
    <row r="28715" s="69" customFormat="1" x14ac:dyDescent="0.15"/>
    <row r="28716" s="69" customFormat="1" x14ac:dyDescent="0.15"/>
    <row r="28717" s="69" customFormat="1" x14ac:dyDescent="0.15"/>
    <row r="28718" s="69" customFormat="1" x14ac:dyDescent="0.15"/>
    <row r="28719" s="69" customFormat="1" x14ac:dyDescent="0.15"/>
    <row r="28720" s="69" customFormat="1" x14ac:dyDescent="0.15"/>
    <row r="28721" s="69" customFormat="1" x14ac:dyDescent="0.15"/>
    <row r="28722" s="69" customFormat="1" x14ac:dyDescent="0.15"/>
    <row r="28723" s="69" customFormat="1" x14ac:dyDescent="0.15"/>
    <row r="28724" s="69" customFormat="1" x14ac:dyDescent="0.15"/>
    <row r="28725" s="69" customFormat="1" x14ac:dyDescent="0.15"/>
    <row r="28726" s="69" customFormat="1" x14ac:dyDescent="0.15"/>
    <row r="28727" s="69" customFormat="1" x14ac:dyDescent="0.15"/>
    <row r="28728" s="69" customFormat="1" x14ac:dyDescent="0.15"/>
    <row r="28729" s="69" customFormat="1" x14ac:dyDescent="0.15"/>
    <row r="28730" s="69" customFormat="1" x14ac:dyDescent="0.15"/>
    <row r="28731" s="69" customFormat="1" x14ac:dyDescent="0.15"/>
    <row r="28732" s="69" customFormat="1" x14ac:dyDescent="0.15"/>
    <row r="28733" s="69" customFormat="1" x14ac:dyDescent="0.15"/>
    <row r="28734" s="69" customFormat="1" x14ac:dyDescent="0.15"/>
    <row r="28735" s="69" customFormat="1" x14ac:dyDescent="0.15"/>
    <row r="28736" s="69" customFormat="1" x14ac:dyDescent="0.15"/>
    <row r="28737" s="69" customFormat="1" x14ac:dyDescent="0.15"/>
    <row r="28738" s="69" customFormat="1" x14ac:dyDescent="0.15"/>
    <row r="28739" s="69" customFormat="1" x14ac:dyDescent="0.15"/>
    <row r="28740" s="69" customFormat="1" x14ac:dyDescent="0.15"/>
    <row r="28741" s="69" customFormat="1" x14ac:dyDescent="0.15"/>
    <row r="28742" s="69" customFormat="1" x14ac:dyDescent="0.15"/>
    <row r="28743" s="69" customFormat="1" x14ac:dyDescent="0.15"/>
    <row r="28744" s="69" customFormat="1" x14ac:dyDescent="0.15"/>
    <row r="28745" s="69" customFormat="1" x14ac:dyDescent="0.15"/>
    <row r="28746" s="69" customFormat="1" x14ac:dyDescent="0.15"/>
    <row r="28747" s="69" customFormat="1" x14ac:dyDescent="0.15"/>
    <row r="28748" s="69" customFormat="1" x14ac:dyDescent="0.15"/>
    <row r="28749" s="69" customFormat="1" x14ac:dyDescent="0.15"/>
    <row r="28750" s="69" customFormat="1" x14ac:dyDescent="0.15"/>
    <row r="28751" s="69" customFormat="1" x14ac:dyDescent="0.15"/>
    <row r="28752" s="69" customFormat="1" x14ac:dyDescent="0.15"/>
    <row r="28753" s="69" customFormat="1" x14ac:dyDescent="0.15"/>
    <row r="28754" s="69" customFormat="1" x14ac:dyDescent="0.15"/>
    <row r="28755" s="69" customFormat="1" x14ac:dyDescent="0.15"/>
    <row r="28756" s="69" customFormat="1" x14ac:dyDescent="0.15"/>
    <row r="28757" s="69" customFormat="1" x14ac:dyDescent="0.15"/>
    <row r="28758" s="69" customFormat="1" x14ac:dyDescent="0.15"/>
    <row r="28759" s="69" customFormat="1" x14ac:dyDescent="0.15"/>
    <row r="28760" s="69" customFormat="1" x14ac:dyDescent="0.15"/>
    <row r="28761" s="69" customFormat="1" x14ac:dyDescent="0.15"/>
    <row r="28762" s="69" customFormat="1" x14ac:dyDescent="0.15"/>
    <row r="28763" s="69" customFormat="1" x14ac:dyDescent="0.15"/>
    <row r="28764" s="69" customFormat="1" x14ac:dyDescent="0.15"/>
    <row r="28765" s="69" customFormat="1" x14ac:dyDescent="0.15"/>
    <row r="28766" s="69" customFormat="1" x14ac:dyDescent="0.15"/>
    <row r="28767" s="69" customFormat="1" x14ac:dyDescent="0.15"/>
    <row r="28768" s="69" customFormat="1" x14ac:dyDescent="0.15"/>
    <row r="28769" s="69" customFormat="1" x14ac:dyDescent="0.15"/>
    <row r="28770" s="69" customFormat="1" x14ac:dyDescent="0.15"/>
    <row r="28771" s="69" customFormat="1" x14ac:dyDescent="0.15"/>
    <row r="28772" s="69" customFormat="1" x14ac:dyDescent="0.15"/>
    <row r="28773" s="69" customFormat="1" x14ac:dyDescent="0.15"/>
    <row r="28774" s="69" customFormat="1" x14ac:dyDescent="0.15"/>
    <row r="28775" s="69" customFormat="1" x14ac:dyDescent="0.15"/>
    <row r="28776" s="69" customFormat="1" x14ac:dyDescent="0.15"/>
    <row r="28777" s="69" customFormat="1" x14ac:dyDescent="0.15"/>
    <row r="28778" s="69" customFormat="1" x14ac:dyDescent="0.15"/>
    <row r="28779" s="69" customFormat="1" x14ac:dyDescent="0.15"/>
    <row r="28780" s="69" customFormat="1" x14ac:dyDescent="0.15"/>
    <row r="28781" s="69" customFormat="1" x14ac:dyDescent="0.15"/>
    <row r="28782" s="69" customFormat="1" x14ac:dyDescent="0.15"/>
    <row r="28783" s="69" customFormat="1" x14ac:dyDescent="0.15"/>
    <row r="28784" s="69" customFormat="1" x14ac:dyDescent="0.15"/>
    <row r="28785" s="69" customFormat="1" x14ac:dyDescent="0.15"/>
    <row r="28786" s="69" customFormat="1" x14ac:dyDescent="0.15"/>
    <row r="28787" s="69" customFormat="1" x14ac:dyDescent="0.15"/>
    <row r="28788" s="69" customFormat="1" x14ac:dyDescent="0.15"/>
    <row r="28789" s="69" customFormat="1" x14ac:dyDescent="0.15"/>
    <row r="28790" s="69" customFormat="1" x14ac:dyDescent="0.15"/>
    <row r="28791" s="69" customFormat="1" x14ac:dyDescent="0.15"/>
    <row r="28792" s="69" customFormat="1" x14ac:dyDescent="0.15"/>
    <row r="28793" s="69" customFormat="1" x14ac:dyDescent="0.15"/>
    <row r="28794" s="69" customFormat="1" x14ac:dyDescent="0.15"/>
    <row r="28795" s="69" customFormat="1" x14ac:dyDescent="0.15"/>
    <row r="28796" s="69" customFormat="1" x14ac:dyDescent="0.15"/>
    <row r="28797" s="69" customFormat="1" x14ac:dyDescent="0.15"/>
    <row r="28798" s="69" customFormat="1" x14ac:dyDescent="0.15"/>
    <row r="28799" s="69" customFormat="1" x14ac:dyDescent="0.15"/>
    <row r="28800" s="69" customFormat="1" x14ac:dyDescent="0.15"/>
    <row r="28801" s="69" customFormat="1" x14ac:dyDescent="0.15"/>
    <row r="28802" s="69" customFormat="1" x14ac:dyDescent="0.15"/>
    <row r="28803" s="69" customFormat="1" x14ac:dyDescent="0.15"/>
    <row r="28804" s="69" customFormat="1" x14ac:dyDescent="0.15"/>
    <row r="28805" s="69" customFormat="1" x14ac:dyDescent="0.15"/>
    <row r="28806" s="69" customFormat="1" x14ac:dyDescent="0.15"/>
    <row r="28807" s="69" customFormat="1" x14ac:dyDescent="0.15"/>
    <row r="28808" s="69" customFormat="1" x14ac:dyDescent="0.15"/>
    <row r="28809" s="69" customFormat="1" x14ac:dyDescent="0.15"/>
    <row r="28810" s="69" customFormat="1" x14ac:dyDescent="0.15"/>
    <row r="28811" s="69" customFormat="1" x14ac:dyDescent="0.15"/>
    <row r="28812" s="69" customFormat="1" x14ac:dyDescent="0.15"/>
    <row r="28813" s="69" customFormat="1" x14ac:dyDescent="0.15"/>
    <row r="28814" s="69" customFormat="1" x14ac:dyDescent="0.15"/>
    <row r="28815" s="69" customFormat="1" x14ac:dyDescent="0.15"/>
    <row r="28816" s="69" customFormat="1" x14ac:dyDescent="0.15"/>
    <row r="28817" s="69" customFormat="1" x14ac:dyDescent="0.15"/>
    <row r="28818" s="69" customFormat="1" x14ac:dyDescent="0.15"/>
    <row r="28819" s="69" customFormat="1" x14ac:dyDescent="0.15"/>
    <row r="28820" s="69" customFormat="1" x14ac:dyDescent="0.15"/>
    <row r="28821" s="69" customFormat="1" x14ac:dyDescent="0.15"/>
    <row r="28822" s="69" customFormat="1" x14ac:dyDescent="0.15"/>
    <row r="28823" s="69" customFormat="1" x14ac:dyDescent="0.15"/>
    <row r="28824" s="69" customFormat="1" x14ac:dyDescent="0.15"/>
    <row r="28825" s="69" customFormat="1" x14ac:dyDescent="0.15"/>
    <row r="28826" s="69" customFormat="1" x14ac:dyDescent="0.15"/>
    <row r="28827" s="69" customFormat="1" x14ac:dyDescent="0.15"/>
    <row r="28828" s="69" customFormat="1" x14ac:dyDescent="0.15"/>
    <row r="28829" s="69" customFormat="1" x14ac:dyDescent="0.15"/>
    <row r="28830" s="69" customFormat="1" x14ac:dyDescent="0.15"/>
    <row r="28831" s="69" customFormat="1" x14ac:dyDescent="0.15"/>
    <row r="28832" s="69" customFormat="1" x14ac:dyDescent="0.15"/>
    <row r="28833" s="69" customFormat="1" x14ac:dyDescent="0.15"/>
    <row r="28834" s="69" customFormat="1" x14ac:dyDescent="0.15"/>
    <row r="28835" s="69" customFormat="1" x14ac:dyDescent="0.15"/>
    <row r="28836" s="69" customFormat="1" x14ac:dyDescent="0.15"/>
    <row r="28837" s="69" customFormat="1" x14ac:dyDescent="0.15"/>
    <row r="28838" s="69" customFormat="1" x14ac:dyDescent="0.15"/>
    <row r="28839" s="69" customFormat="1" x14ac:dyDescent="0.15"/>
    <row r="28840" s="69" customFormat="1" x14ac:dyDescent="0.15"/>
    <row r="28841" s="69" customFormat="1" x14ac:dyDescent="0.15"/>
    <row r="28842" s="69" customFormat="1" x14ac:dyDescent="0.15"/>
    <row r="28843" s="69" customFormat="1" x14ac:dyDescent="0.15"/>
    <row r="28844" s="69" customFormat="1" x14ac:dyDescent="0.15"/>
    <row r="28845" s="69" customFormat="1" x14ac:dyDescent="0.15"/>
    <row r="28846" s="69" customFormat="1" x14ac:dyDescent="0.15"/>
    <row r="28847" s="69" customFormat="1" x14ac:dyDescent="0.15"/>
    <row r="28848" s="69" customFormat="1" x14ac:dyDescent="0.15"/>
    <row r="28849" s="69" customFormat="1" x14ac:dyDescent="0.15"/>
    <row r="28850" s="69" customFormat="1" x14ac:dyDescent="0.15"/>
    <row r="28851" s="69" customFormat="1" x14ac:dyDescent="0.15"/>
    <row r="28852" s="69" customFormat="1" x14ac:dyDescent="0.15"/>
    <row r="28853" s="69" customFormat="1" x14ac:dyDescent="0.15"/>
    <row r="28854" s="69" customFormat="1" x14ac:dyDescent="0.15"/>
    <row r="28855" s="69" customFormat="1" x14ac:dyDescent="0.15"/>
    <row r="28856" s="69" customFormat="1" x14ac:dyDescent="0.15"/>
    <row r="28857" s="69" customFormat="1" x14ac:dyDescent="0.15"/>
    <row r="28858" s="69" customFormat="1" x14ac:dyDescent="0.15"/>
    <row r="28859" s="69" customFormat="1" x14ac:dyDescent="0.15"/>
    <row r="28860" s="69" customFormat="1" x14ac:dyDescent="0.15"/>
    <row r="28861" s="69" customFormat="1" x14ac:dyDescent="0.15"/>
    <row r="28862" s="69" customFormat="1" x14ac:dyDescent="0.15"/>
    <row r="28863" s="69" customFormat="1" x14ac:dyDescent="0.15"/>
    <row r="28864" s="69" customFormat="1" x14ac:dyDescent="0.15"/>
    <row r="28865" s="69" customFormat="1" x14ac:dyDescent="0.15"/>
    <row r="28866" s="69" customFormat="1" x14ac:dyDescent="0.15"/>
    <row r="28867" s="69" customFormat="1" x14ac:dyDescent="0.15"/>
    <row r="28868" s="69" customFormat="1" x14ac:dyDescent="0.15"/>
    <row r="28869" s="69" customFormat="1" x14ac:dyDescent="0.15"/>
    <row r="28870" s="69" customFormat="1" x14ac:dyDescent="0.15"/>
    <row r="28871" s="69" customFormat="1" x14ac:dyDescent="0.15"/>
    <row r="28872" s="69" customFormat="1" x14ac:dyDescent="0.15"/>
    <row r="28873" s="69" customFormat="1" x14ac:dyDescent="0.15"/>
    <row r="28874" s="69" customFormat="1" x14ac:dyDescent="0.15"/>
    <row r="28875" s="69" customFormat="1" x14ac:dyDescent="0.15"/>
    <row r="28876" s="69" customFormat="1" x14ac:dyDescent="0.15"/>
    <row r="28877" s="69" customFormat="1" x14ac:dyDescent="0.15"/>
    <row r="28878" s="69" customFormat="1" x14ac:dyDescent="0.15"/>
    <row r="28879" s="69" customFormat="1" x14ac:dyDescent="0.15"/>
    <row r="28880" s="69" customFormat="1" x14ac:dyDescent="0.15"/>
    <row r="28881" s="69" customFormat="1" x14ac:dyDescent="0.15"/>
    <row r="28882" s="69" customFormat="1" x14ac:dyDescent="0.15"/>
    <row r="28883" s="69" customFormat="1" x14ac:dyDescent="0.15"/>
    <row r="28884" s="69" customFormat="1" x14ac:dyDescent="0.15"/>
    <row r="28885" s="69" customFormat="1" x14ac:dyDescent="0.15"/>
    <row r="28886" s="69" customFormat="1" x14ac:dyDescent="0.15"/>
    <row r="28887" s="69" customFormat="1" x14ac:dyDescent="0.15"/>
    <row r="28888" s="69" customFormat="1" x14ac:dyDescent="0.15"/>
    <row r="28889" s="69" customFormat="1" x14ac:dyDescent="0.15"/>
    <row r="28890" s="69" customFormat="1" x14ac:dyDescent="0.15"/>
    <row r="28891" s="69" customFormat="1" x14ac:dyDescent="0.15"/>
    <row r="28892" s="69" customFormat="1" x14ac:dyDescent="0.15"/>
    <row r="28893" s="69" customFormat="1" x14ac:dyDescent="0.15"/>
    <row r="28894" s="69" customFormat="1" x14ac:dyDescent="0.15"/>
    <row r="28895" s="69" customFormat="1" x14ac:dyDescent="0.15"/>
    <row r="28896" s="69" customFormat="1" x14ac:dyDescent="0.15"/>
    <row r="28897" s="69" customFormat="1" x14ac:dyDescent="0.15"/>
    <row r="28898" s="69" customFormat="1" x14ac:dyDescent="0.15"/>
    <row r="28899" s="69" customFormat="1" x14ac:dyDescent="0.15"/>
    <row r="28900" s="69" customFormat="1" x14ac:dyDescent="0.15"/>
    <row r="28901" s="69" customFormat="1" x14ac:dyDescent="0.15"/>
    <row r="28902" s="69" customFormat="1" x14ac:dyDescent="0.15"/>
    <row r="28903" s="69" customFormat="1" x14ac:dyDescent="0.15"/>
    <row r="28904" s="69" customFormat="1" x14ac:dyDescent="0.15"/>
    <row r="28905" s="69" customFormat="1" x14ac:dyDescent="0.15"/>
    <row r="28906" s="69" customFormat="1" x14ac:dyDescent="0.15"/>
    <row r="28907" s="69" customFormat="1" x14ac:dyDescent="0.15"/>
    <row r="28908" s="69" customFormat="1" x14ac:dyDescent="0.15"/>
    <row r="28909" s="69" customFormat="1" x14ac:dyDescent="0.15"/>
    <row r="28910" s="69" customFormat="1" x14ac:dyDescent="0.15"/>
    <row r="28911" s="69" customFormat="1" x14ac:dyDescent="0.15"/>
    <row r="28912" s="69" customFormat="1" x14ac:dyDescent="0.15"/>
    <row r="28913" s="69" customFormat="1" x14ac:dyDescent="0.15"/>
    <row r="28914" s="69" customFormat="1" x14ac:dyDescent="0.15"/>
    <row r="28915" s="69" customFormat="1" x14ac:dyDescent="0.15"/>
    <row r="28916" s="69" customFormat="1" x14ac:dyDescent="0.15"/>
    <row r="28917" s="69" customFormat="1" x14ac:dyDescent="0.15"/>
    <row r="28918" s="69" customFormat="1" x14ac:dyDescent="0.15"/>
    <row r="28919" s="69" customFormat="1" x14ac:dyDescent="0.15"/>
    <row r="28920" s="69" customFormat="1" x14ac:dyDescent="0.15"/>
    <row r="28921" s="69" customFormat="1" x14ac:dyDescent="0.15"/>
    <row r="28922" s="69" customFormat="1" x14ac:dyDescent="0.15"/>
    <row r="28923" s="69" customFormat="1" x14ac:dyDescent="0.15"/>
    <row r="28924" s="69" customFormat="1" x14ac:dyDescent="0.15"/>
    <row r="28925" s="69" customFormat="1" x14ac:dyDescent="0.15"/>
    <row r="28926" s="69" customFormat="1" x14ac:dyDescent="0.15"/>
    <row r="28927" s="69" customFormat="1" x14ac:dyDescent="0.15"/>
    <row r="28928" s="69" customFormat="1" x14ac:dyDescent="0.15"/>
    <row r="28929" s="69" customFormat="1" x14ac:dyDescent="0.15"/>
    <row r="28930" s="69" customFormat="1" x14ac:dyDescent="0.15"/>
    <row r="28931" s="69" customFormat="1" x14ac:dyDescent="0.15"/>
    <row r="28932" s="69" customFormat="1" x14ac:dyDescent="0.15"/>
    <row r="28933" s="69" customFormat="1" x14ac:dyDescent="0.15"/>
    <row r="28934" s="69" customFormat="1" x14ac:dyDescent="0.15"/>
    <row r="28935" s="69" customFormat="1" x14ac:dyDescent="0.15"/>
    <row r="28936" s="69" customFormat="1" x14ac:dyDescent="0.15"/>
    <row r="28937" s="69" customFormat="1" x14ac:dyDescent="0.15"/>
    <row r="28938" s="69" customFormat="1" x14ac:dyDescent="0.15"/>
    <row r="28939" s="69" customFormat="1" x14ac:dyDescent="0.15"/>
    <row r="28940" s="69" customFormat="1" x14ac:dyDescent="0.15"/>
    <row r="28941" s="69" customFormat="1" x14ac:dyDescent="0.15"/>
    <row r="28942" s="69" customFormat="1" x14ac:dyDescent="0.15"/>
    <row r="28943" s="69" customFormat="1" x14ac:dyDescent="0.15"/>
    <row r="28944" s="69" customFormat="1" x14ac:dyDescent="0.15"/>
    <row r="28945" s="69" customFormat="1" x14ac:dyDescent="0.15"/>
    <row r="28946" s="69" customFormat="1" x14ac:dyDescent="0.15"/>
    <row r="28947" s="69" customFormat="1" x14ac:dyDescent="0.15"/>
    <row r="28948" s="69" customFormat="1" x14ac:dyDescent="0.15"/>
    <row r="28949" s="69" customFormat="1" x14ac:dyDescent="0.15"/>
    <row r="28950" s="69" customFormat="1" x14ac:dyDescent="0.15"/>
    <row r="28951" s="69" customFormat="1" x14ac:dyDescent="0.15"/>
    <row r="28952" s="69" customFormat="1" x14ac:dyDescent="0.15"/>
    <row r="28953" s="69" customFormat="1" x14ac:dyDescent="0.15"/>
    <row r="28954" s="69" customFormat="1" x14ac:dyDescent="0.15"/>
    <row r="28955" s="69" customFormat="1" x14ac:dyDescent="0.15"/>
    <row r="28956" s="69" customFormat="1" x14ac:dyDescent="0.15"/>
    <row r="28957" s="69" customFormat="1" x14ac:dyDescent="0.15"/>
    <row r="28958" s="69" customFormat="1" x14ac:dyDescent="0.15"/>
    <row r="28959" s="69" customFormat="1" x14ac:dyDescent="0.15"/>
    <row r="28960" s="69" customFormat="1" x14ac:dyDescent="0.15"/>
    <row r="28961" s="69" customFormat="1" x14ac:dyDescent="0.15"/>
    <row r="28962" s="69" customFormat="1" x14ac:dyDescent="0.15"/>
    <row r="28963" s="69" customFormat="1" x14ac:dyDescent="0.15"/>
    <row r="28964" s="69" customFormat="1" x14ac:dyDescent="0.15"/>
    <row r="28965" s="69" customFormat="1" x14ac:dyDescent="0.15"/>
    <row r="28966" s="69" customFormat="1" x14ac:dyDescent="0.15"/>
    <row r="28967" s="69" customFormat="1" x14ac:dyDescent="0.15"/>
    <row r="28968" s="69" customFormat="1" x14ac:dyDescent="0.15"/>
    <row r="28969" s="69" customFormat="1" x14ac:dyDescent="0.15"/>
    <row r="28970" s="69" customFormat="1" x14ac:dyDescent="0.15"/>
    <row r="28971" s="69" customFormat="1" x14ac:dyDescent="0.15"/>
    <row r="28972" s="69" customFormat="1" x14ac:dyDescent="0.15"/>
    <row r="28973" s="69" customFormat="1" x14ac:dyDescent="0.15"/>
    <row r="28974" s="69" customFormat="1" x14ac:dyDescent="0.15"/>
    <row r="28975" s="69" customFormat="1" x14ac:dyDescent="0.15"/>
    <row r="28976" s="69" customFormat="1" x14ac:dyDescent="0.15"/>
    <row r="28977" s="69" customFormat="1" x14ac:dyDescent="0.15"/>
    <row r="28978" s="69" customFormat="1" x14ac:dyDescent="0.15"/>
    <row r="28979" s="69" customFormat="1" x14ac:dyDescent="0.15"/>
    <row r="28980" s="69" customFormat="1" x14ac:dyDescent="0.15"/>
    <row r="28981" s="69" customFormat="1" x14ac:dyDescent="0.15"/>
    <row r="28982" s="69" customFormat="1" x14ac:dyDescent="0.15"/>
    <row r="28983" s="69" customFormat="1" x14ac:dyDescent="0.15"/>
    <row r="28984" s="69" customFormat="1" x14ac:dyDescent="0.15"/>
    <row r="28985" s="69" customFormat="1" x14ac:dyDescent="0.15"/>
    <row r="28986" s="69" customFormat="1" x14ac:dyDescent="0.15"/>
    <row r="28987" s="69" customFormat="1" x14ac:dyDescent="0.15"/>
    <row r="28988" s="69" customFormat="1" x14ac:dyDescent="0.15"/>
    <row r="28989" s="69" customFormat="1" x14ac:dyDescent="0.15"/>
    <row r="28990" s="69" customFormat="1" x14ac:dyDescent="0.15"/>
    <row r="28991" s="69" customFormat="1" x14ac:dyDescent="0.15"/>
    <row r="28992" s="69" customFormat="1" x14ac:dyDescent="0.15"/>
    <row r="28993" s="69" customFormat="1" x14ac:dyDescent="0.15"/>
    <row r="28994" s="69" customFormat="1" x14ac:dyDescent="0.15"/>
    <row r="28995" s="69" customFormat="1" x14ac:dyDescent="0.15"/>
    <row r="28996" s="69" customFormat="1" x14ac:dyDescent="0.15"/>
    <row r="28997" s="69" customFormat="1" x14ac:dyDescent="0.15"/>
    <row r="28998" s="69" customFormat="1" x14ac:dyDescent="0.15"/>
    <row r="28999" s="69" customFormat="1" x14ac:dyDescent="0.15"/>
    <row r="29000" s="69" customFormat="1" x14ac:dyDescent="0.15"/>
    <row r="29001" s="69" customFormat="1" x14ac:dyDescent="0.15"/>
    <row r="29002" s="69" customFormat="1" x14ac:dyDescent="0.15"/>
    <row r="29003" s="69" customFormat="1" x14ac:dyDescent="0.15"/>
    <row r="29004" s="69" customFormat="1" x14ac:dyDescent="0.15"/>
    <row r="29005" s="69" customFormat="1" x14ac:dyDescent="0.15"/>
    <row r="29006" s="69" customFormat="1" x14ac:dyDescent="0.15"/>
    <row r="29007" s="69" customFormat="1" x14ac:dyDescent="0.15"/>
    <row r="29008" s="69" customFormat="1" x14ac:dyDescent="0.15"/>
    <row r="29009" s="69" customFormat="1" x14ac:dyDescent="0.15"/>
    <row r="29010" s="69" customFormat="1" x14ac:dyDescent="0.15"/>
    <row r="29011" s="69" customFormat="1" x14ac:dyDescent="0.15"/>
    <row r="29012" s="69" customFormat="1" x14ac:dyDescent="0.15"/>
    <row r="29013" s="69" customFormat="1" x14ac:dyDescent="0.15"/>
    <row r="29014" s="69" customFormat="1" x14ac:dyDescent="0.15"/>
    <row r="29015" s="69" customFormat="1" x14ac:dyDescent="0.15"/>
    <row r="29016" s="69" customFormat="1" x14ac:dyDescent="0.15"/>
    <row r="29017" s="69" customFormat="1" x14ac:dyDescent="0.15"/>
    <row r="29018" s="69" customFormat="1" x14ac:dyDescent="0.15"/>
    <row r="29019" s="69" customFormat="1" x14ac:dyDescent="0.15"/>
    <row r="29020" s="69" customFormat="1" x14ac:dyDescent="0.15"/>
    <row r="29021" s="69" customFormat="1" x14ac:dyDescent="0.15"/>
    <row r="29022" s="69" customFormat="1" x14ac:dyDescent="0.15"/>
    <row r="29023" s="69" customFormat="1" x14ac:dyDescent="0.15"/>
    <row r="29024" s="69" customFormat="1" x14ac:dyDescent="0.15"/>
    <row r="29025" s="69" customFormat="1" x14ac:dyDescent="0.15"/>
    <row r="29026" s="69" customFormat="1" x14ac:dyDescent="0.15"/>
    <row r="29027" s="69" customFormat="1" x14ac:dyDescent="0.15"/>
    <row r="29028" s="69" customFormat="1" x14ac:dyDescent="0.15"/>
    <row r="29029" s="69" customFormat="1" x14ac:dyDescent="0.15"/>
    <row r="29030" s="69" customFormat="1" x14ac:dyDescent="0.15"/>
    <row r="29031" s="69" customFormat="1" x14ac:dyDescent="0.15"/>
    <row r="29032" s="69" customFormat="1" x14ac:dyDescent="0.15"/>
    <row r="29033" s="69" customFormat="1" x14ac:dyDescent="0.15"/>
    <row r="29034" s="69" customFormat="1" x14ac:dyDescent="0.15"/>
    <row r="29035" s="69" customFormat="1" x14ac:dyDescent="0.15"/>
    <row r="29036" s="69" customFormat="1" x14ac:dyDescent="0.15"/>
    <row r="29037" s="69" customFormat="1" x14ac:dyDescent="0.15"/>
    <row r="29038" s="69" customFormat="1" x14ac:dyDescent="0.15"/>
    <row r="29039" s="69" customFormat="1" x14ac:dyDescent="0.15"/>
    <row r="29040" s="69" customFormat="1" x14ac:dyDescent="0.15"/>
    <row r="29041" s="69" customFormat="1" x14ac:dyDescent="0.15"/>
    <row r="29042" s="69" customFormat="1" x14ac:dyDescent="0.15"/>
    <row r="29043" s="69" customFormat="1" x14ac:dyDescent="0.15"/>
    <row r="29044" s="69" customFormat="1" x14ac:dyDescent="0.15"/>
    <row r="29045" s="69" customFormat="1" x14ac:dyDescent="0.15"/>
    <row r="29046" s="69" customFormat="1" x14ac:dyDescent="0.15"/>
    <row r="29047" s="69" customFormat="1" x14ac:dyDescent="0.15"/>
    <row r="29048" s="69" customFormat="1" x14ac:dyDescent="0.15"/>
    <row r="29049" s="69" customFormat="1" x14ac:dyDescent="0.15"/>
    <row r="29050" s="69" customFormat="1" x14ac:dyDescent="0.15"/>
    <row r="29051" s="69" customFormat="1" x14ac:dyDescent="0.15"/>
    <row r="29052" s="69" customFormat="1" x14ac:dyDescent="0.15"/>
    <row r="29053" s="69" customFormat="1" x14ac:dyDescent="0.15"/>
    <row r="29054" s="69" customFormat="1" x14ac:dyDescent="0.15"/>
    <row r="29055" s="69" customFormat="1" x14ac:dyDescent="0.15"/>
    <row r="29056" s="69" customFormat="1" x14ac:dyDescent="0.15"/>
    <row r="29057" s="69" customFormat="1" x14ac:dyDescent="0.15"/>
    <row r="29058" s="69" customFormat="1" x14ac:dyDescent="0.15"/>
    <row r="29059" s="69" customFormat="1" x14ac:dyDescent="0.15"/>
    <row r="29060" s="69" customFormat="1" x14ac:dyDescent="0.15"/>
    <row r="29061" s="69" customFormat="1" x14ac:dyDescent="0.15"/>
    <row r="29062" s="69" customFormat="1" x14ac:dyDescent="0.15"/>
    <row r="29063" s="69" customFormat="1" x14ac:dyDescent="0.15"/>
    <row r="29064" s="69" customFormat="1" x14ac:dyDescent="0.15"/>
    <row r="29065" s="69" customFormat="1" x14ac:dyDescent="0.15"/>
    <row r="29066" s="69" customFormat="1" x14ac:dyDescent="0.15"/>
    <row r="29067" s="69" customFormat="1" x14ac:dyDescent="0.15"/>
    <row r="29068" s="69" customFormat="1" x14ac:dyDescent="0.15"/>
    <row r="29069" s="69" customFormat="1" x14ac:dyDescent="0.15"/>
    <row r="29070" s="69" customFormat="1" x14ac:dyDescent="0.15"/>
    <row r="29071" s="69" customFormat="1" x14ac:dyDescent="0.15"/>
    <row r="29072" s="69" customFormat="1" x14ac:dyDescent="0.15"/>
    <row r="29073" s="69" customFormat="1" x14ac:dyDescent="0.15"/>
    <row r="29074" s="69" customFormat="1" x14ac:dyDescent="0.15"/>
    <row r="29075" s="69" customFormat="1" x14ac:dyDescent="0.15"/>
    <row r="29076" s="69" customFormat="1" x14ac:dyDescent="0.15"/>
    <row r="29077" s="69" customFormat="1" x14ac:dyDescent="0.15"/>
    <row r="29078" s="69" customFormat="1" x14ac:dyDescent="0.15"/>
    <row r="29079" s="69" customFormat="1" x14ac:dyDescent="0.15"/>
    <row r="29080" s="69" customFormat="1" x14ac:dyDescent="0.15"/>
    <row r="29081" s="69" customFormat="1" x14ac:dyDescent="0.15"/>
    <row r="29082" s="69" customFormat="1" x14ac:dyDescent="0.15"/>
    <row r="29083" s="69" customFormat="1" x14ac:dyDescent="0.15"/>
    <row r="29084" s="69" customFormat="1" x14ac:dyDescent="0.15"/>
    <row r="29085" s="69" customFormat="1" x14ac:dyDescent="0.15"/>
    <row r="29086" s="69" customFormat="1" x14ac:dyDescent="0.15"/>
    <row r="29087" s="69" customFormat="1" x14ac:dyDescent="0.15"/>
    <row r="29088" s="69" customFormat="1" x14ac:dyDescent="0.15"/>
    <row r="29089" s="69" customFormat="1" x14ac:dyDescent="0.15"/>
    <row r="29090" s="69" customFormat="1" x14ac:dyDescent="0.15"/>
    <row r="29091" s="69" customFormat="1" x14ac:dyDescent="0.15"/>
    <row r="29092" s="69" customFormat="1" x14ac:dyDescent="0.15"/>
    <row r="29093" s="69" customFormat="1" x14ac:dyDescent="0.15"/>
    <row r="29094" s="69" customFormat="1" x14ac:dyDescent="0.15"/>
    <row r="29095" s="69" customFormat="1" x14ac:dyDescent="0.15"/>
    <row r="29096" s="69" customFormat="1" x14ac:dyDescent="0.15"/>
    <row r="29097" s="69" customFormat="1" x14ac:dyDescent="0.15"/>
    <row r="29098" s="69" customFormat="1" x14ac:dyDescent="0.15"/>
    <row r="29099" s="69" customFormat="1" x14ac:dyDescent="0.15"/>
    <row r="29100" s="69" customFormat="1" x14ac:dyDescent="0.15"/>
    <row r="29101" s="69" customFormat="1" x14ac:dyDescent="0.15"/>
    <row r="29102" s="69" customFormat="1" x14ac:dyDescent="0.15"/>
    <row r="29103" s="69" customFormat="1" x14ac:dyDescent="0.15"/>
    <row r="29104" s="69" customFormat="1" x14ac:dyDescent="0.15"/>
    <row r="29105" s="69" customFormat="1" x14ac:dyDescent="0.15"/>
    <row r="29106" s="69" customFormat="1" x14ac:dyDescent="0.15"/>
    <row r="29107" s="69" customFormat="1" x14ac:dyDescent="0.15"/>
    <row r="29108" s="69" customFormat="1" x14ac:dyDescent="0.15"/>
    <row r="29109" s="69" customFormat="1" x14ac:dyDescent="0.15"/>
    <row r="29110" s="69" customFormat="1" x14ac:dyDescent="0.15"/>
    <row r="29111" s="69" customFormat="1" x14ac:dyDescent="0.15"/>
    <row r="29112" s="69" customFormat="1" x14ac:dyDescent="0.15"/>
    <row r="29113" s="69" customFormat="1" x14ac:dyDescent="0.15"/>
    <row r="29114" s="69" customFormat="1" x14ac:dyDescent="0.15"/>
    <row r="29115" s="69" customFormat="1" x14ac:dyDescent="0.15"/>
    <row r="29116" s="69" customFormat="1" x14ac:dyDescent="0.15"/>
    <row r="29117" s="69" customFormat="1" x14ac:dyDescent="0.15"/>
    <row r="29118" s="69" customFormat="1" x14ac:dyDescent="0.15"/>
    <row r="29119" s="69" customFormat="1" x14ac:dyDescent="0.15"/>
    <row r="29120" s="69" customFormat="1" x14ac:dyDescent="0.15"/>
    <row r="29121" s="69" customFormat="1" x14ac:dyDescent="0.15"/>
    <row r="29122" s="69" customFormat="1" x14ac:dyDescent="0.15"/>
    <row r="29123" s="69" customFormat="1" x14ac:dyDescent="0.15"/>
    <row r="29124" s="69" customFormat="1" x14ac:dyDescent="0.15"/>
    <row r="29125" s="69" customFormat="1" x14ac:dyDescent="0.15"/>
    <row r="29126" s="69" customFormat="1" x14ac:dyDescent="0.15"/>
    <row r="29127" s="69" customFormat="1" x14ac:dyDescent="0.15"/>
    <row r="29128" s="69" customFormat="1" x14ac:dyDescent="0.15"/>
    <row r="29129" s="69" customFormat="1" x14ac:dyDescent="0.15"/>
    <row r="29130" s="69" customFormat="1" x14ac:dyDescent="0.15"/>
    <row r="29131" s="69" customFormat="1" x14ac:dyDescent="0.15"/>
    <row r="29132" s="69" customFormat="1" x14ac:dyDescent="0.15"/>
    <row r="29133" s="69" customFormat="1" x14ac:dyDescent="0.15"/>
    <row r="29134" s="69" customFormat="1" x14ac:dyDescent="0.15"/>
    <row r="29135" s="69" customFormat="1" x14ac:dyDescent="0.15"/>
    <row r="29136" s="69" customFormat="1" x14ac:dyDescent="0.15"/>
    <row r="29137" s="69" customFormat="1" x14ac:dyDescent="0.15"/>
    <row r="29138" s="69" customFormat="1" x14ac:dyDescent="0.15"/>
    <row r="29139" s="69" customFormat="1" x14ac:dyDescent="0.15"/>
    <row r="29140" s="69" customFormat="1" x14ac:dyDescent="0.15"/>
    <row r="29141" s="69" customFormat="1" x14ac:dyDescent="0.15"/>
    <row r="29142" s="69" customFormat="1" x14ac:dyDescent="0.15"/>
    <row r="29143" s="69" customFormat="1" x14ac:dyDescent="0.15"/>
    <row r="29144" s="69" customFormat="1" x14ac:dyDescent="0.15"/>
    <row r="29145" s="69" customFormat="1" x14ac:dyDescent="0.15"/>
    <row r="29146" s="69" customFormat="1" x14ac:dyDescent="0.15"/>
    <row r="29147" s="69" customFormat="1" x14ac:dyDescent="0.15"/>
    <row r="29148" s="69" customFormat="1" x14ac:dyDescent="0.15"/>
    <row r="29149" s="69" customFormat="1" x14ac:dyDescent="0.15"/>
    <row r="29150" s="69" customFormat="1" x14ac:dyDescent="0.15"/>
    <row r="29151" s="69" customFormat="1" x14ac:dyDescent="0.15"/>
    <row r="29152" s="69" customFormat="1" x14ac:dyDescent="0.15"/>
    <row r="29153" s="69" customFormat="1" x14ac:dyDescent="0.15"/>
    <row r="29154" s="69" customFormat="1" x14ac:dyDescent="0.15"/>
    <row r="29155" s="69" customFormat="1" x14ac:dyDescent="0.15"/>
    <row r="29156" s="69" customFormat="1" x14ac:dyDescent="0.15"/>
    <row r="29157" s="69" customFormat="1" x14ac:dyDescent="0.15"/>
    <row r="29158" s="69" customFormat="1" x14ac:dyDescent="0.15"/>
    <row r="29159" s="69" customFormat="1" x14ac:dyDescent="0.15"/>
    <row r="29160" s="69" customFormat="1" x14ac:dyDescent="0.15"/>
    <row r="29161" s="69" customFormat="1" x14ac:dyDescent="0.15"/>
    <row r="29162" s="69" customFormat="1" x14ac:dyDescent="0.15"/>
    <row r="29163" s="69" customFormat="1" x14ac:dyDescent="0.15"/>
    <row r="29164" s="69" customFormat="1" x14ac:dyDescent="0.15"/>
    <row r="29165" s="69" customFormat="1" x14ac:dyDescent="0.15"/>
    <row r="29166" s="69" customFormat="1" x14ac:dyDescent="0.15"/>
    <row r="29167" s="69" customFormat="1" x14ac:dyDescent="0.15"/>
    <row r="29168" s="69" customFormat="1" x14ac:dyDescent="0.15"/>
    <row r="29169" s="69" customFormat="1" x14ac:dyDescent="0.15"/>
    <row r="29170" s="69" customFormat="1" x14ac:dyDescent="0.15"/>
    <row r="29171" s="69" customFormat="1" x14ac:dyDescent="0.15"/>
    <row r="29172" s="69" customFormat="1" x14ac:dyDescent="0.15"/>
    <row r="29173" s="69" customFormat="1" x14ac:dyDescent="0.15"/>
    <row r="29174" s="69" customFormat="1" x14ac:dyDescent="0.15"/>
    <row r="29175" s="69" customFormat="1" x14ac:dyDescent="0.15"/>
    <row r="29176" s="69" customFormat="1" x14ac:dyDescent="0.15"/>
    <row r="29177" s="69" customFormat="1" x14ac:dyDescent="0.15"/>
    <row r="29178" s="69" customFormat="1" x14ac:dyDescent="0.15"/>
    <row r="29179" s="69" customFormat="1" x14ac:dyDescent="0.15"/>
    <row r="29180" s="69" customFormat="1" x14ac:dyDescent="0.15"/>
    <row r="29181" s="69" customFormat="1" x14ac:dyDescent="0.15"/>
    <row r="29182" s="69" customFormat="1" x14ac:dyDescent="0.15"/>
    <row r="29183" s="69" customFormat="1" x14ac:dyDescent="0.15"/>
    <row r="29184" s="69" customFormat="1" x14ac:dyDescent="0.15"/>
    <row r="29185" s="69" customFormat="1" x14ac:dyDescent="0.15"/>
    <row r="29186" s="69" customFormat="1" x14ac:dyDescent="0.15"/>
    <row r="29187" s="69" customFormat="1" x14ac:dyDescent="0.15"/>
    <row r="29188" s="69" customFormat="1" x14ac:dyDescent="0.15"/>
    <row r="29189" s="69" customFormat="1" x14ac:dyDescent="0.15"/>
    <row r="29190" s="69" customFormat="1" x14ac:dyDescent="0.15"/>
    <row r="29191" s="69" customFormat="1" x14ac:dyDescent="0.15"/>
    <row r="29192" s="69" customFormat="1" x14ac:dyDescent="0.15"/>
    <row r="29193" s="69" customFormat="1" x14ac:dyDescent="0.15"/>
    <row r="29194" s="69" customFormat="1" x14ac:dyDescent="0.15"/>
    <row r="29195" s="69" customFormat="1" x14ac:dyDescent="0.15"/>
    <row r="29196" s="69" customFormat="1" x14ac:dyDescent="0.15"/>
    <row r="29197" s="69" customFormat="1" x14ac:dyDescent="0.15"/>
    <row r="29198" s="69" customFormat="1" x14ac:dyDescent="0.15"/>
    <row r="29199" s="69" customFormat="1" x14ac:dyDescent="0.15"/>
    <row r="29200" s="69" customFormat="1" x14ac:dyDescent="0.15"/>
    <row r="29201" s="69" customFormat="1" x14ac:dyDescent="0.15"/>
    <row r="29202" s="69" customFormat="1" x14ac:dyDescent="0.15"/>
    <row r="29203" s="69" customFormat="1" x14ac:dyDescent="0.15"/>
    <row r="29204" s="69" customFormat="1" x14ac:dyDescent="0.15"/>
    <row r="29205" s="69" customFormat="1" x14ac:dyDescent="0.15"/>
    <row r="29206" s="69" customFormat="1" x14ac:dyDescent="0.15"/>
    <row r="29207" s="69" customFormat="1" x14ac:dyDescent="0.15"/>
    <row r="29208" s="69" customFormat="1" x14ac:dyDescent="0.15"/>
    <row r="29209" s="69" customFormat="1" x14ac:dyDescent="0.15"/>
    <row r="29210" s="69" customFormat="1" x14ac:dyDescent="0.15"/>
    <row r="29211" s="69" customFormat="1" x14ac:dyDescent="0.15"/>
    <row r="29212" s="69" customFormat="1" x14ac:dyDescent="0.15"/>
    <row r="29213" s="69" customFormat="1" x14ac:dyDescent="0.15"/>
    <row r="29214" s="69" customFormat="1" x14ac:dyDescent="0.15"/>
    <row r="29215" s="69" customFormat="1" x14ac:dyDescent="0.15"/>
    <row r="29216" s="69" customFormat="1" x14ac:dyDescent="0.15"/>
    <row r="29217" s="69" customFormat="1" x14ac:dyDescent="0.15"/>
    <row r="29218" s="69" customFormat="1" x14ac:dyDescent="0.15"/>
    <row r="29219" s="69" customFormat="1" x14ac:dyDescent="0.15"/>
    <row r="29220" s="69" customFormat="1" x14ac:dyDescent="0.15"/>
    <row r="29221" s="69" customFormat="1" x14ac:dyDescent="0.15"/>
    <row r="29222" s="69" customFormat="1" x14ac:dyDescent="0.15"/>
    <row r="29223" s="69" customFormat="1" x14ac:dyDescent="0.15"/>
    <row r="29224" s="69" customFormat="1" x14ac:dyDescent="0.15"/>
    <row r="29225" s="69" customFormat="1" x14ac:dyDescent="0.15"/>
    <row r="29226" s="69" customFormat="1" x14ac:dyDescent="0.15"/>
    <row r="29227" s="69" customFormat="1" x14ac:dyDescent="0.15"/>
    <row r="29228" s="69" customFormat="1" x14ac:dyDescent="0.15"/>
    <row r="29229" s="69" customFormat="1" x14ac:dyDescent="0.15"/>
    <row r="29230" s="69" customFormat="1" x14ac:dyDescent="0.15"/>
    <row r="29231" s="69" customFormat="1" x14ac:dyDescent="0.15"/>
    <row r="29232" s="69" customFormat="1" x14ac:dyDescent="0.15"/>
    <row r="29233" s="69" customFormat="1" x14ac:dyDescent="0.15"/>
    <row r="29234" s="69" customFormat="1" x14ac:dyDescent="0.15"/>
    <row r="29235" s="69" customFormat="1" x14ac:dyDescent="0.15"/>
    <row r="29236" s="69" customFormat="1" x14ac:dyDescent="0.15"/>
    <row r="29237" s="69" customFormat="1" x14ac:dyDescent="0.15"/>
    <row r="29238" s="69" customFormat="1" x14ac:dyDescent="0.15"/>
    <row r="29239" s="69" customFormat="1" x14ac:dyDescent="0.15"/>
    <row r="29240" s="69" customFormat="1" x14ac:dyDescent="0.15"/>
    <row r="29241" s="69" customFormat="1" x14ac:dyDescent="0.15"/>
    <row r="29242" s="69" customFormat="1" x14ac:dyDescent="0.15"/>
    <row r="29243" s="69" customFormat="1" x14ac:dyDescent="0.15"/>
    <row r="29244" s="69" customFormat="1" x14ac:dyDescent="0.15"/>
    <row r="29245" s="69" customFormat="1" x14ac:dyDescent="0.15"/>
    <row r="29246" s="69" customFormat="1" x14ac:dyDescent="0.15"/>
    <row r="29247" s="69" customFormat="1" x14ac:dyDescent="0.15"/>
    <row r="29248" s="69" customFormat="1" x14ac:dyDescent="0.15"/>
    <row r="29249" s="69" customFormat="1" x14ac:dyDescent="0.15"/>
    <row r="29250" s="69" customFormat="1" x14ac:dyDescent="0.15"/>
    <row r="29251" s="69" customFormat="1" x14ac:dyDescent="0.15"/>
    <row r="29252" s="69" customFormat="1" x14ac:dyDescent="0.15"/>
    <row r="29253" s="69" customFormat="1" x14ac:dyDescent="0.15"/>
    <row r="29254" s="69" customFormat="1" x14ac:dyDescent="0.15"/>
    <row r="29255" s="69" customFormat="1" x14ac:dyDescent="0.15"/>
    <row r="29256" s="69" customFormat="1" x14ac:dyDescent="0.15"/>
    <row r="29257" s="69" customFormat="1" x14ac:dyDescent="0.15"/>
    <row r="29258" s="69" customFormat="1" x14ac:dyDescent="0.15"/>
    <row r="29259" s="69" customFormat="1" x14ac:dyDescent="0.15"/>
    <row r="29260" s="69" customFormat="1" x14ac:dyDescent="0.15"/>
    <row r="29261" s="69" customFormat="1" x14ac:dyDescent="0.15"/>
    <row r="29262" s="69" customFormat="1" x14ac:dyDescent="0.15"/>
    <row r="29263" s="69" customFormat="1" x14ac:dyDescent="0.15"/>
    <row r="29264" s="69" customFormat="1" x14ac:dyDescent="0.15"/>
    <row r="29265" s="69" customFormat="1" x14ac:dyDescent="0.15"/>
    <row r="29266" s="69" customFormat="1" x14ac:dyDescent="0.15"/>
    <row r="29267" s="69" customFormat="1" x14ac:dyDescent="0.15"/>
    <row r="29268" s="69" customFormat="1" x14ac:dyDescent="0.15"/>
    <row r="29269" s="69" customFormat="1" x14ac:dyDescent="0.15"/>
    <row r="29270" s="69" customFormat="1" x14ac:dyDescent="0.15"/>
    <row r="29271" s="69" customFormat="1" x14ac:dyDescent="0.15"/>
    <row r="29272" s="69" customFormat="1" x14ac:dyDescent="0.15"/>
    <row r="29273" s="69" customFormat="1" x14ac:dyDescent="0.15"/>
    <row r="29274" s="69" customFormat="1" x14ac:dyDescent="0.15"/>
    <row r="29275" s="69" customFormat="1" x14ac:dyDescent="0.15"/>
    <row r="29276" s="69" customFormat="1" x14ac:dyDescent="0.15"/>
    <row r="29277" s="69" customFormat="1" x14ac:dyDescent="0.15"/>
    <row r="29278" s="69" customFormat="1" x14ac:dyDescent="0.15"/>
    <row r="29279" s="69" customFormat="1" x14ac:dyDescent="0.15"/>
    <row r="29280" s="69" customFormat="1" x14ac:dyDescent="0.15"/>
    <row r="29281" s="69" customFormat="1" x14ac:dyDescent="0.15"/>
    <row r="29282" s="69" customFormat="1" x14ac:dyDescent="0.15"/>
    <row r="29283" s="69" customFormat="1" x14ac:dyDescent="0.15"/>
    <row r="29284" s="69" customFormat="1" x14ac:dyDescent="0.15"/>
    <row r="29285" s="69" customFormat="1" x14ac:dyDescent="0.15"/>
    <row r="29286" s="69" customFormat="1" x14ac:dyDescent="0.15"/>
    <row r="29287" s="69" customFormat="1" x14ac:dyDescent="0.15"/>
    <row r="29288" s="69" customFormat="1" x14ac:dyDescent="0.15"/>
    <row r="29289" s="69" customFormat="1" x14ac:dyDescent="0.15"/>
    <row r="29290" s="69" customFormat="1" x14ac:dyDescent="0.15"/>
    <row r="29291" s="69" customFormat="1" x14ac:dyDescent="0.15"/>
    <row r="29292" s="69" customFormat="1" x14ac:dyDescent="0.15"/>
    <row r="29293" s="69" customFormat="1" x14ac:dyDescent="0.15"/>
    <row r="29294" s="69" customFormat="1" x14ac:dyDescent="0.15"/>
    <row r="29295" s="69" customFormat="1" x14ac:dyDescent="0.15"/>
    <row r="29296" s="69" customFormat="1" x14ac:dyDescent="0.15"/>
    <row r="29297" s="69" customFormat="1" x14ac:dyDescent="0.15"/>
    <row r="29298" s="69" customFormat="1" x14ac:dyDescent="0.15"/>
    <row r="29299" s="69" customFormat="1" x14ac:dyDescent="0.15"/>
    <row r="29300" s="69" customFormat="1" x14ac:dyDescent="0.15"/>
    <row r="29301" s="69" customFormat="1" x14ac:dyDescent="0.15"/>
    <row r="29302" s="69" customFormat="1" x14ac:dyDescent="0.15"/>
    <row r="29303" s="69" customFormat="1" x14ac:dyDescent="0.15"/>
    <row r="29304" s="69" customFormat="1" x14ac:dyDescent="0.15"/>
    <row r="29305" s="69" customFormat="1" x14ac:dyDescent="0.15"/>
    <row r="29306" s="69" customFormat="1" x14ac:dyDescent="0.15"/>
    <row r="29307" s="69" customFormat="1" x14ac:dyDescent="0.15"/>
    <row r="29308" s="69" customFormat="1" x14ac:dyDescent="0.15"/>
    <row r="29309" s="69" customFormat="1" x14ac:dyDescent="0.15"/>
    <row r="29310" s="69" customFormat="1" x14ac:dyDescent="0.15"/>
    <row r="29311" s="69" customFormat="1" x14ac:dyDescent="0.15"/>
    <row r="29312" s="69" customFormat="1" x14ac:dyDescent="0.15"/>
    <row r="29313" s="69" customFormat="1" x14ac:dyDescent="0.15"/>
    <row r="29314" s="69" customFormat="1" x14ac:dyDescent="0.15"/>
    <row r="29315" s="69" customFormat="1" x14ac:dyDescent="0.15"/>
    <row r="29316" s="69" customFormat="1" x14ac:dyDescent="0.15"/>
    <row r="29317" s="69" customFormat="1" x14ac:dyDescent="0.15"/>
    <row r="29318" s="69" customFormat="1" x14ac:dyDescent="0.15"/>
    <row r="29319" s="69" customFormat="1" x14ac:dyDescent="0.15"/>
    <row r="29320" s="69" customFormat="1" x14ac:dyDescent="0.15"/>
    <row r="29321" s="69" customFormat="1" x14ac:dyDescent="0.15"/>
    <row r="29322" s="69" customFormat="1" x14ac:dyDescent="0.15"/>
    <row r="29323" s="69" customFormat="1" x14ac:dyDescent="0.15"/>
    <row r="29324" s="69" customFormat="1" x14ac:dyDescent="0.15"/>
    <row r="29325" s="69" customFormat="1" x14ac:dyDescent="0.15"/>
    <row r="29326" s="69" customFormat="1" x14ac:dyDescent="0.15"/>
    <row r="29327" s="69" customFormat="1" x14ac:dyDescent="0.15"/>
    <row r="29328" s="69" customFormat="1" x14ac:dyDescent="0.15"/>
    <row r="29329" s="69" customFormat="1" x14ac:dyDescent="0.15"/>
    <row r="29330" s="69" customFormat="1" x14ac:dyDescent="0.15"/>
    <row r="29331" s="69" customFormat="1" x14ac:dyDescent="0.15"/>
    <row r="29332" s="69" customFormat="1" x14ac:dyDescent="0.15"/>
    <row r="29333" s="69" customFormat="1" x14ac:dyDescent="0.15"/>
    <row r="29334" s="69" customFormat="1" x14ac:dyDescent="0.15"/>
    <row r="29335" s="69" customFormat="1" x14ac:dyDescent="0.15"/>
    <row r="29336" s="69" customFormat="1" x14ac:dyDescent="0.15"/>
    <row r="29337" s="69" customFormat="1" x14ac:dyDescent="0.15"/>
    <row r="29338" s="69" customFormat="1" x14ac:dyDescent="0.15"/>
    <row r="29339" s="69" customFormat="1" x14ac:dyDescent="0.15"/>
    <row r="29340" s="69" customFormat="1" x14ac:dyDescent="0.15"/>
    <row r="29341" s="69" customFormat="1" x14ac:dyDescent="0.15"/>
    <row r="29342" s="69" customFormat="1" x14ac:dyDescent="0.15"/>
    <row r="29343" s="69" customFormat="1" x14ac:dyDescent="0.15"/>
    <row r="29344" s="69" customFormat="1" x14ac:dyDescent="0.15"/>
    <row r="29345" s="69" customFormat="1" x14ac:dyDescent="0.15"/>
    <row r="29346" s="69" customFormat="1" x14ac:dyDescent="0.15"/>
    <row r="29347" s="69" customFormat="1" x14ac:dyDescent="0.15"/>
    <row r="29348" s="69" customFormat="1" x14ac:dyDescent="0.15"/>
    <row r="29349" s="69" customFormat="1" x14ac:dyDescent="0.15"/>
    <row r="29350" s="69" customFormat="1" x14ac:dyDescent="0.15"/>
    <row r="29351" s="69" customFormat="1" x14ac:dyDescent="0.15"/>
    <row r="29352" s="69" customFormat="1" x14ac:dyDescent="0.15"/>
    <row r="29353" s="69" customFormat="1" x14ac:dyDescent="0.15"/>
    <row r="29354" s="69" customFormat="1" x14ac:dyDescent="0.15"/>
    <row r="29355" s="69" customFormat="1" x14ac:dyDescent="0.15"/>
    <row r="29356" s="69" customFormat="1" x14ac:dyDescent="0.15"/>
    <row r="29357" s="69" customFormat="1" x14ac:dyDescent="0.15"/>
    <row r="29358" s="69" customFormat="1" x14ac:dyDescent="0.15"/>
    <row r="29359" s="69" customFormat="1" x14ac:dyDescent="0.15"/>
    <row r="29360" s="69" customFormat="1" x14ac:dyDescent="0.15"/>
    <row r="29361" s="69" customFormat="1" x14ac:dyDescent="0.15"/>
    <row r="29362" s="69" customFormat="1" x14ac:dyDescent="0.15"/>
    <row r="29363" s="69" customFormat="1" x14ac:dyDescent="0.15"/>
    <row r="29364" s="69" customFormat="1" x14ac:dyDescent="0.15"/>
    <row r="29365" s="69" customFormat="1" x14ac:dyDescent="0.15"/>
    <row r="29366" s="69" customFormat="1" x14ac:dyDescent="0.15"/>
    <row r="29367" s="69" customFormat="1" x14ac:dyDescent="0.15"/>
    <row r="29368" s="69" customFormat="1" x14ac:dyDescent="0.15"/>
    <row r="29369" s="69" customFormat="1" x14ac:dyDescent="0.15"/>
    <row r="29370" s="69" customFormat="1" x14ac:dyDescent="0.15"/>
    <row r="29371" s="69" customFormat="1" x14ac:dyDescent="0.15"/>
    <row r="29372" s="69" customFormat="1" x14ac:dyDescent="0.15"/>
    <row r="29373" s="69" customFormat="1" x14ac:dyDescent="0.15"/>
    <row r="29374" s="69" customFormat="1" x14ac:dyDescent="0.15"/>
    <row r="29375" s="69" customFormat="1" x14ac:dyDescent="0.15"/>
    <row r="29376" s="69" customFormat="1" x14ac:dyDescent="0.15"/>
    <row r="29377" s="69" customFormat="1" x14ac:dyDescent="0.15"/>
    <row r="29378" s="69" customFormat="1" x14ac:dyDescent="0.15"/>
    <row r="29379" s="69" customFormat="1" x14ac:dyDescent="0.15"/>
    <row r="29380" s="69" customFormat="1" x14ac:dyDescent="0.15"/>
    <row r="29381" s="69" customFormat="1" x14ac:dyDescent="0.15"/>
    <row r="29382" s="69" customFormat="1" x14ac:dyDescent="0.15"/>
    <row r="29383" s="69" customFormat="1" x14ac:dyDescent="0.15"/>
    <row r="29384" s="69" customFormat="1" x14ac:dyDescent="0.15"/>
    <row r="29385" s="69" customFormat="1" x14ac:dyDescent="0.15"/>
    <row r="29386" s="69" customFormat="1" x14ac:dyDescent="0.15"/>
    <row r="29387" s="69" customFormat="1" x14ac:dyDescent="0.15"/>
    <row r="29388" s="69" customFormat="1" x14ac:dyDescent="0.15"/>
    <row r="29389" s="69" customFormat="1" x14ac:dyDescent="0.15"/>
    <row r="29390" s="69" customFormat="1" x14ac:dyDescent="0.15"/>
    <row r="29391" s="69" customFormat="1" x14ac:dyDescent="0.15"/>
    <row r="29392" s="69" customFormat="1" x14ac:dyDescent="0.15"/>
    <row r="29393" s="69" customFormat="1" x14ac:dyDescent="0.15"/>
    <row r="29394" s="69" customFormat="1" x14ac:dyDescent="0.15"/>
    <row r="29395" s="69" customFormat="1" x14ac:dyDescent="0.15"/>
    <row r="29396" s="69" customFormat="1" x14ac:dyDescent="0.15"/>
    <row r="29397" s="69" customFormat="1" x14ac:dyDescent="0.15"/>
    <row r="29398" s="69" customFormat="1" x14ac:dyDescent="0.15"/>
    <row r="29399" s="69" customFormat="1" x14ac:dyDescent="0.15"/>
    <row r="29400" s="69" customFormat="1" x14ac:dyDescent="0.15"/>
    <row r="29401" s="69" customFormat="1" x14ac:dyDescent="0.15"/>
    <row r="29402" s="69" customFormat="1" x14ac:dyDescent="0.15"/>
    <row r="29403" s="69" customFormat="1" x14ac:dyDescent="0.15"/>
    <row r="29404" s="69" customFormat="1" x14ac:dyDescent="0.15"/>
    <row r="29405" s="69" customFormat="1" x14ac:dyDescent="0.15"/>
    <row r="29406" s="69" customFormat="1" x14ac:dyDescent="0.15"/>
    <row r="29407" s="69" customFormat="1" x14ac:dyDescent="0.15"/>
    <row r="29408" s="69" customFormat="1" x14ac:dyDescent="0.15"/>
    <row r="29409" s="69" customFormat="1" x14ac:dyDescent="0.15"/>
    <row r="29410" s="69" customFormat="1" x14ac:dyDescent="0.15"/>
    <row r="29411" s="69" customFormat="1" x14ac:dyDescent="0.15"/>
    <row r="29412" s="69" customFormat="1" x14ac:dyDescent="0.15"/>
    <row r="29413" s="69" customFormat="1" x14ac:dyDescent="0.15"/>
    <row r="29414" s="69" customFormat="1" x14ac:dyDescent="0.15"/>
    <row r="29415" s="69" customFormat="1" x14ac:dyDescent="0.15"/>
    <row r="29416" s="69" customFormat="1" x14ac:dyDescent="0.15"/>
    <row r="29417" s="69" customFormat="1" x14ac:dyDescent="0.15"/>
    <row r="29418" s="69" customFormat="1" x14ac:dyDescent="0.15"/>
    <row r="29419" s="69" customFormat="1" x14ac:dyDescent="0.15"/>
    <row r="29420" s="69" customFormat="1" x14ac:dyDescent="0.15"/>
    <row r="29421" s="69" customFormat="1" x14ac:dyDescent="0.15"/>
    <row r="29422" s="69" customFormat="1" x14ac:dyDescent="0.15"/>
    <row r="29423" s="69" customFormat="1" x14ac:dyDescent="0.15"/>
    <row r="29424" s="69" customFormat="1" x14ac:dyDescent="0.15"/>
    <row r="29425" s="69" customFormat="1" x14ac:dyDescent="0.15"/>
    <row r="29426" s="69" customFormat="1" x14ac:dyDescent="0.15"/>
    <row r="29427" s="69" customFormat="1" x14ac:dyDescent="0.15"/>
    <row r="29428" s="69" customFormat="1" x14ac:dyDescent="0.15"/>
    <row r="29429" s="69" customFormat="1" x14ac:dyDescent="0.15"/>
    <row r="29430" s="69" customFormat="1" x14ac:dyDescent="0.15"/>
    <row r="29431" s="69" customFormat="1" x14ac:dyDescent="0.15"/>
    <row r="29432" s="69" customFormat="1" x14ac:dyDescent="0.15"/>
    <row r="29433" s="69" customFormat="1" x14ac:dyDescent="0.15"/>
    <row r="29434" s="69" customFormat="1" x14ac:dyDescent="0.15"/>
    <row r="29435" s="69" customFormat="1" x14ac:dyDescent="0.15"/>
    <row r="29436" s="69" customFormat="1" x14ac:dyDescent="0.15"/>
    <row r="29437" s="69" customFormat="1" x14ac:dyDescent="0.15"/>
    <row r="29438" s="69" customFormat="1" x14ac:dyDescent="0.15"/>
    <row r="29439" s="69" customFormat="1" x14ac:dyDescent="0.15"/>
    <row r="29440" s="69" customFormat="1" x14ac:dyDescent="0.15"/>
    <row r="29441" s="69" customFormat="1" x14ac:dyDescent="0.15"/>
    <row r="29442" s="69" customFormat="1" x14ac:dyDescent="0.15"/>
    <row r="29443" s="69" customFormat="1" x14ac:dyDescent="0.15"/>
    <row r="29444" s="69" customFormat="1" x14ac:dyDescent="0.15"/>
    <row r="29445" s="69" customFormat="1" x14ac:dyDescent="0.15"/>
    <row r="29446" s="69" customFormat="1" x14ac:dyDescent="0.15"/>
    <row r="29447" s="69" customFormat="1" x14ac:dyDescent="0.15"/>
    <row r="29448" s="69" customFormat="1" x14ac:dyDescent="0.15"/>
    <row r="29449" s="69" customFormat="1" x14ac:dyDescent="0.15"/>
    <row r="29450" s="69" customFormat="1" x14ac:dyDescent="0.15"/>
    <row r="29451" s="69" customFormat="1" x14ac:dyDescent="0.15"/>
    <row r="29452" s="69" customFormat="1" x14ac:dyDescent="0.15"/>
    <row r="29453" s="69" customFormat="1" x14ac:dyDescent="0.15"/>
    <row r="29454" s="69" customFormat="1" x14ac:dyDescent="0.15"/>
    <row r="29455" s="69" customFormat="1" x14ac:dyDescent="0.15"/>
    <row r="29456" s="69" customFormat="1" x14ac:dyDescent="0.15"/>
    <row r="29457" s="69" customFormat="1" x14ac:dyDescent="0.15"/>
    <row r="29458" s="69" customFormat="1" x14ac:dyDescent="0.15"/>
    <row r="29459" s="69" customFormat="1" x14ac:dyDescent="0.15"/>
    <row r="29460" s="69" customFormat="1" x14ac:dyDescent="0.15"/>
    <row r="29461" s="69" customFormat="1" x14ac:dyDescent="0.15"/>
    <row r="29462" s="69" customFormat="1" x14ac:dyDescent="0.15"/>
    <row r="29463" s="69" customFormat="1" x14ac:dyDescent="0.15"/>
    <row r="29464" s="69" customFormat="1" x14ac:dyDescent="0.15"/>
    <row r="29465" s="69" customFormat="1" x14ac:dyDescent="0.15"/>
    <row r="29466" s="69" customFormat="1" x14ac:dyDescent="0.15"/>
    <row r="29467" s="69" customFormat="1" x14ac:dyDescent="0.15"/>
    <row r="29468" s="69" customFormat="1" x14ac:dyDescent="0.15"/>
    <row r="29469" s="69" customFormat="1" x14ac:dyDescent="0.15"/>
    <row r="29470" s="69" customFormat="1" x14ac:dyDescent="0.15"/>
    <row r="29471" s="69" customFormat="1" x14ac:dyDescent="0.15"/>
    <row r="29472" s="69" customFormat="1" x14ac:dyDescent="0.15"/>
    <row r="29473" s="69" customFormat="1" x14ac:dyDescent="0.15"/>
    <row r="29474" s="69" customFormat="1" x14ac:dyDescent="0.15"/>
    <row r="29475" s="69" customFormat="1" x14ac:dyDescent="0.15"/>
    <row r="29476" s="69" customFormat="1" x14ac:dyDescent="0.15"/>
    <row r="29477" s="69" customFormat="1" x14ac:dyDescent="0.15"/>
    <row r="29478" s="69" customFormat="1" x14ac:dyDescent="0.15"/>
    <row r="29479" s="69" customFormat="1" x14ac:dyDescent="0.15"/>
    <row r="29480" s="69" customFormat="1" x14ac:dyDescent="0.15"/>
    <row r="29481" s="69" customFormat="1" x14ac:dyDescent="0.15"/>
    <row r="29482" s="69" customFormat="1" x14ac:dyDescent="0.15"/>
    <row r="29483" s="69" customFormat="1" x14ac:dyDescent="0.15"/>
    <row r="29484" s="69" customFormat="1" x14ac:dyDescent="0.15"/>
    <row r="29485" s="69" customFormat="1" x14ac:dyDescent="0.15"/>
    <row r="29486" s="69" customFormat="1" x14ac:dyDescent="0.15"/>
    <row r="29487" s="69" customFormat="1" x14ac:dyDescent="0.15"/>
    <row r="29488" s="69" customFormat="1" x14ac:dyDescent="0.15"/>
    <row r="29489" s="69" customFormat="1" x14ac:dyDescent="0.15"/>
    <row r="29490" s="69" customFormat="1" x14ac:dyDescent="0.15"/>
    <row r="29491" s="69" customFormat="1" x14ac:dyDescent="0.15"/>
    <row r="29492" s="69" customFormat="1" x14ac:dyDescent="0.15"/>
    <row r="29493" s="69" customFormat="1" x14ac:dyDescent="0.15"/>
    <row r="29494" s="69" customFormat="1" x14ac:dyDescent="0.15"/>
    <row r="29495" s="69" customFormat="1" x14ac:dyDescent="0.15"/>
    <row r="29496" s="69" customFormat="1" x14ac:dyDescent="0.15"/>
    <row r="29497" s="69" customFormat="1" x14ac:dyDescent="0.15"/>
    <row r="29498" s="69" customFormat="1" x14ac:dyDescent="0.15"/>
    <row r="29499" s="69" customFormat="1" x14ac:dyDescent="0.15"/>
    <row r="29500" s="69" customFormat="1" x14ac:dyDescent="0.15"/>
    <row r="29501" s="69" customFormat="1" x14ac:dyDescent="0.15"/>
    <row r="29502" s="69" customFormat="1" x14ac:dyDescent="0.15"/>
    <row r="29503" s="69" customFormat="1" x14ac:dyDescent="0.15"/>
    <row r="29504" s="69" customFormat="1" x14ac:dyDescent="0.15"/>
    <row r="29505" s="69" customFormat="1" x14ac:dyDescent="0.15"/>
    <row r="29506" s="69" customFormat="1" x14ac:dyDescent="0.15"/>
    <row r="29507" s="69" customFormat="1" x14ac:dyDescent="0.15"/>
    <row r="29508" s="69" customFormat="1" x14ac:dyDescent="0.15"/>
    <row r="29509" s="69" customFormat="1" x14ac:dyDescent="0.15"/>
    <row r="29510" s="69" customFormat="1" x14ac:dyDescent="0.15"/>
    <row r="29511" s="69" customFormat="1" x14ac:dyDescent="0.15"/>
    <row r="29512" s="69" customFormat="1" x14ac:dyDescent="0.15"/>
    <row r="29513" s="69" customFormat="1" x14ac:dyDescent="0.15"/>
    <row r="29514" s="69" customFormat="1" x14ac:dyDescent="0.15"/>
    <row r="29515" s="69" customFormat="1" x14ac:dyDescent="0.15"/>
    <row r="29516" s="69" customFormat="1" x14ac:dyDescent="0.15"/>
    <row r="29517" s="69" customFormat="1" x14ac:dyDescent="0.15"/>
    <row r="29518" s="69" customFormat="1" x14ac:dyDescent="0.15"/>
    <row r="29519" s="69" customFormat="1" x14ac:dyDescent="0.15"/>
    <row r="29520" s="69" customFormat="1" x14ac:dyDescent="0.15"/>
    <row r="29521" s="69" customFormat="1" x14ac:dyDescent="0.15"/>
    <row r="29522" s="69" customFormat="1" x14ac:dyDescent="0.15"/>
    <row r="29523" s="69" customFormat="1" x14ac:dyDescent="0.15"/>
    <row r="29524" s="69" customFormat="1" x14ac:dyDescent="0.15"/>
    <row r="29525" s="69" customFormat="1" x14ac:dyDescent="0.15"/>
    <row r="29526" s="69" customFormat="1" x14ac:dyDescent="0.15"/>
    <row r="29527" s="69" customFormat="1" x14ac:dyDescent="0.15"/>
    <row r="29528" s="69" customFormat="1" x14ac:dyDescent="0.15"/>
    <row r="29529" s="69" customFormat="1" x14ac:dyDescent="0.15"/>
    <row r="29530" s="69" customFormat="1" x14ac:dyDescent="0.15"/>
    <row r="29531" s="69" customFormat="1" x14ac:dyDescent="0.15"/>
    <row r="29532" s="69" customFormat="1" x14ac:dyDescent="0.15"/>
    <row r="29533" s="69" customFormat="1" x14ac:dyDescent="0.15"/>
    <row r="29534" s="69" customFormat="1" x14ac:dyDescent="0.15"/>
    <row r="29535" s="69" customFormat="1" x14ac:dyDescent="0.15"/>
    <row r="29536" s="69" customFormat="1" x14ac:dyDescent="0.15"/>
    <row r="29537" s="69" customFormat="1" x14ac:dyDescent="0.15"/>
    <row r="29538" s="69" customFormat="1" x14ac:dyDescent="0.15"/>
    <row r="29539" s="69" customFormat="1" x14ac:dyDescent="0.15"/>
    <row r="29540" s="69" customFormat="1" x14ac:dyDescent="0.15"/>
    <row r="29541" s="69" customFormat="1" x14ac:dyDescent="0.15"/>
    <row r="29542" s="69" customFormat="1" x14ac:dyDescent="0.15"/>
    <row r="29543" s="69" customFormat="1" x14ac:dyDescent="0.15"/>
    <row r="29544" s="69" customFormat="1" x14ac:dyDescent="0.15"/>
    <row r="29545" s="69" customFormat="1" x14ac:dyDescent="0.15"/>
    <row r="29546" s="69" customFormat="1" x14ac:dyDescent="0.15"/>
    <row r="29547" s="69" customFormat="1" x14ac:dyDescent="0.15"/>
    <row r="29548" s="69" customFormat="1" x14ac:dyDescent="0.15"/>
    <row r="29549" s="69" customFormat="1" x14ac:dyDescent="0.15"/>
    <row r="29550" s="69" customFormat="1" x14ac:dyDescent="0.15"/>
    <row r="29551" s="69" customFormat="1" x14ac:dyDescent="0.15"/>
    <row r="29552" s="69" customFormat="1" x14ac:dyDescent="0.15"/>
    <row r="29553" s="69" customFormat="1" x14ac:dyDescent="0.15"/>
    <row r="29554" s="69" customFormat="1" x14ac:dyDescent="0.15"/>
    <row r="29555" s="69" customFormat="1" x14ac:dyDescent="0.15"/>
    <row r="29556" s="69" customFormat="1" x14ac:dyDescent="0.15"/>
    <row r="29557" s="69" customFormat="1" x14ac:dyDescent="0.15"/>
    <row r="29558" s="69" customFormat="1" x14ac:dyDescent="0.15"/>
    <row r="29559" s="69" customFormat="1" x14ac:dyDescent="0.15"/>
    <row r="29560" s="69" customFormat="1" x14ac:dyDescent="0.15"/>
    <row r="29561" s="69" customFormat="1" x14ac:dyDescent="0.15"/>
    <row r="29562" s="69" customFormat="1" x14ac:dyDescent="0.15"/>
    <row r="29563" s="69" customFormat="1" x14ac:dyDescent="0.15"/>
    <row r="29564" s="69" customFormat="1" x14ac:dyDescent="0.15"/>
    <row r="29565" s="69" customFormat="1" x14ac:dyDescent="0.15"/>
    <row r="29566" s="69" customFormat="1" x14ac:dyDescent="0.15"/>
    <row r="29567" s="69" customFormat="1" x14ac:dyDescent="0.15"/>
    <row r="29568" s="69" customFormat="1" x14ac:dyDescent="0.15"/>
    <row r="29569" s="69" customFormat="1" x14ac:dyDescent="0.15"/>
    <row r="29570" s="69" customFormat="1" x14ac:dyDescent="0.15"/>
    <row r="29571" s="69" customFormat="1" x14ac:dyDescent="0.15"/>
    <row r="29572" s="69" customFormat="1" x14ac:dyDescent="0.15"/>
    <row r="29573" s="69" customFormat="1" x14ac:dyDescent="0.15"/>
    <row r="29574" s="69" customFormat="1" x14ac:dyDescent="0.15"/>
    <row r="29575" s="69" customFormat="1" x14ac:dyDescent="0.15"/>
    <row r="29576" s="69" customFormat="1" x14ac:dyDescent="0.15"/>
    <row r="29577" s="69" customFormat="1" x14ac:dyDescent="0.15"/>
    <row r="29578" s="69" customFormat="1" x14ac:dyDescent="0.15"/>
    <row r="29579" s="69" customFormat="1" x14ac:dyDescent="0.15"/>
    <row r="29580" s="69" customFormat="1" x14ac:dyDescent="0.15"/>
    <row r="29581" s="69" customFormat="1" x14ac:dyDescent="0.15"/>
    <row r="29582" s="69" customFormat="1" x14ac:dyDescent="0.15"/>
    <row r="29583" s="69" customFormat="1" x14ac:dyDescent="0.15"/>
    <row r="29584" s="69" customFormat="1" x14ac:dyDescent="0.15"/>
    <row r="29585" s="69" customFormat="1" x14ac:dyDescent="0.15"/>
    <row r="29586" s="69" customFormat="1" x14ac:dyDescent="0.15"/>
    <row r="29587" s="69" customFormat="1" x14ac:dyDescent="0.15"/>
    <row r="29588" s="69" customFormat="1" x14ac:dyDescent="0.15"/>
    <row r="29589" s="69" customFormat="1" x14ac:dyDescent="0.15"/>
    <row r="29590" s="69" customFormat="1" x14ac:dyDescent="0.15"/>
    <row r="29591" s="69" customFormat="1" x14ac:dyDescent="0.15"/>
    <row r="29592" s="69" customFormat="1" x14ac:dyDescent="0.15"/>
    <row r="29593" s="69" customFormat="1" x14ac:dyDescent="0.15"/>
    <row r="29594" s="69" customFormat="1" x14ac:dyDescent="0.15"/>
    <row r="29595" s="69" customFormat="1" x14ac:dyDescent="0.15"/>
    <row r="29596" s="69" customFormat="1" x14ac:dyDescent="0.15"/>
    <row r="29597" s="69" customFormat="1" x14ac:dyDescent="0.15"/>
    <row r="29598" s="69" customFormat="1" x14ac:dyDescent="0.15"/>
    <row r="29599" s="69" customFormat="1" x14ac:dyDescent="0.15"/>
    <row r="29600" s="69" customFormat="1" x14ac:dyDescent="0.15"/>
    <row r="29601" s="69" customFormat="1" x14ac:dyDescent="0.15"/>
    <row r="29602" s="69" customFormat="1" x14ac:dyDescent="0.15"/>
    <row r="29603" s="69" customFormat="1" x14ac:dyDescent="0.15"/>
    <row r="29604" s="69" customFormat="1" x14ac:dyDescent="0.15"/>
    <row r="29605" s="69" customFormat="1" x14ac:dyDescent="0.15"/>
    <row r="29606" s="69" customFormat="1" x14ac:dyDescent="0.15"/>
    <row r="29607" s="69" customFormat="1" x14ac:dyDescent="0.15"/>
    <row r="29608" s="69" customFormat="1" x14ac:dyDescent="0.15"/>
    <row r="29609" s="69" customFormat="1" x14ac:dyDescent="0.15"/>
    <row r="29610" s="69" customFormat="1" x14ac:dyDescent="0.15"/>
    <row r="29611" s="69" customFormat="1" x14ac:dyDescent="0.15"/>
    <row r="29612" s="69" customFormat="1" x14ac:dyDescent="0.15"/>
    <row r="29613" s="69" customFormat="1" x14ac:dyDescent="0.15"/>
    <row r="29614" s="69" customFormat="1" x14ac:dyDescent="0.15"/>
    <row r="29615" s="69" customFormat="1" x14ac:dyDescent="0.15"/>
    <row r="29616" s="69" customFormat="1" x14ac:dyDescent="0.15"/>
    <row r="29617" s="69" customFormat="1" x14ac:dyDescent="0.15"/>
    <row r="29618" s="69" customFormat="1" x14ac:dyDescent="0.15"/>
    <row r="29619" s="69" customFormat="1" x14ac:dyDescent="0.15"/>
    <row r="29620" s="69" customFormat="1" x14ac:dyDescent="0.15"/>
    <row r="29621" s="69" customFormat="1" x14ac:dyDescent="0.15"/>
    <row r="29622" s="69" customFormat="1" x14ac:dyDescent="0.15"/>
    <row r="29623" s="69" customFormat="1" x14ac:dyDescent="0.15"/>
    <row r="29624" s="69" customFormat="1" x14ac:dyDescent="0.15"/>
    <row r="29625" s="69" customFormat="1" x14ac:dyDescent="0.15"/>
    <row r="29626" s="69" customFormat="1" x14ac:dyDescent="0.15"/>
    <row r="29627" s="69" customFormat="1" x14ac:dyDescent="0.15"/>
    <row r="29628" s="69" customFormat="1" x14ac:dyDescent="0.15"/>
    <row r="29629" s="69" customFormat="1" x14ac:dyDescent="0.15"/>
    <row r="29630" s="69" customFormat="1" x14ac:dyDescent="0.15"/>
    <row r="29631" s="69" customFormat="1" x14ac:dyDescent="0.15"/>
    <row r="29632" s="69" customFormat="1" x14ac:dyDescent="0.15"/>
    <row r="29633" s="69" customFormat="1" x14ac:dyDescent="0.15"/>
    <row r="29634" s="69" customFormat="1" x14ac:dyDescent="0.15"/>
    <row r="29635" s="69" customFormat="1" x14ac:dyDescent="0.15"/>
    <row r="29636" s="69" customFormat="1" x14ac:dyDescent="0.15"/>
    <row r="29637" s="69" customFormat="1" x14ac:dyDescent="0.15"/>
    <row r="29638" s="69" customFormat="1" x14ac:dyDescent="0.15"/>
    <row r="29639" s="69" customFormat="1" x14ac:dyDescent="0.15"/>
    <row r="29640" s="69" customFormat="1" x14ac:dyDescent="0.15"/>
    <row r="29641" s="69" customFormat="1" x14ac:dyDescent="0.15"/>
    <row r="29642" s="69" customFormat="1" x14ac:dyDescent="0.15"/>
    <row r="29643" s="69" customFormat="1" x14ac:dyDescent="0.15"/>
    <row r="29644" s="69" customFormat="1" x14ac:dyDescent="0.15"/>
    <row r="29645" s="69" customFormat="1" x14ac:dyDescent="0.15"/>
    <row r="29646" s="69" customFormat="1" x14ac:dyDescent="0.15"/>
    <row r="29647" s="69" customFormat="1" x14ac:dyDescent="0.15"/>
    <row r="29648" s="69" customFormat="1" x14ac:dyDescent="0.15"/>
    <row r="29649" s="69" customFormat="1" x14ac:dyDescent="0.15"/>
    <row r="29650" s="69" customFormat="1" x14ac:dyDescent="0.15"/>
    <row r="29651" s="69" customFormat="1" x14ac:dyDescent="0.15"/>
    <row r="29652" s="69" customFormat="1" x14ac:dyDescent="0.15"/>
    <row r="29653" s="69" customFormat="1" x14ac:dyDescent="0.15"/>
    <row r="29654" s="69" customFormat="1" x14ac:dyDescent="0.15"/>
    <row r="29655" s="69" customFormat="1" x14ac:dyDescent="0.15"/>
    <row r="29656" s="69" customFormat="1" x14ac:dyDescent="0.15"/>
    <row r="29657" s="69" customFormat="1" x14ac:dyDescent="0.15"/>
    <row r="29658" s="69" customFormat="1" x14ac:dyDescent="0.15"/>
    <row r="29659" s="69" customFormat="1" x14ac:dyDescent="0.15"/>
    <row r="29660" s="69" customFormat="1" x14ac:dyDescent="0.15"/>
    <row r="29661" s="69" customFormat="1" x14ac:dyDescent="0.15"/>
    <row r="29662" s="69" customFormat="1" x14ac:dyDescent="0.15"/>
    <row r="29663" s="69" customFormat="1" x14ac:dyDescent="0.15"/>
    <row r="29664" s="69" customFormat="1" x14ac:dyDescent="0.15"/>
    <row r="29665" s="69" customFormat="1" x14ac:dyDescent="0.15"/>
    <row r="29666" s="69" customFormat="1" x14ac:dyDescent="0.15"/>
    <row r="29667" s="69" customFormat="1" x14ac:dyDescent="0.15"/>
    <row r="29668" s="69" customFormat="1" x14ac:dyDescent="0.15"/>
    <row r="29669" s="69" customFormat="1" x14ac:dyDescent="0.15"/>
    <row r="29670" s="69" customFormat="1" x14ac:dyDescent="0.15"/>
    <row r="29671" s="69" customFormat="1" x14ac:dyDescent="0.15"/>
    <row r="29672" s="69" customFormat="1" x14ac:dyDescent="0.15"/>
    <row r="29673" s="69" customFormat="1" x14ac:dyDescent="0.15"/>
    <row r="29674" s="69" customFormat="1" x14ac:dyDescent="0.15"/>
    <row r="29675" s="69" customFormat="1" x14ac:dyDescent="0.15"/>
    <row r="29676" s="69" customFormat="1" x14ac:dyDescent="0.15"/>
    <row r="29677" s="69" customFormat="1" x14ac:dyDescent="0.15"/>
    <row r="29678" s="69" customFormat="1" x14ac:dyDescent="0.15"/>
    <row r="29679" s="69" customFormat="1" x14ac:dyDescent="0.15"/>
    <row r="29680" s="69" customFormat="1" x14ac:dyDescent="0.15"/>
    <row r="29681" s="69" customFormat="1" x14ac:dyDescent="0.15"/>
    <row r="29682" s="69" customFormat="1" x14ac:dyDescent="0.15"/>
    <row r="29683" s="69" customFormat="1" x14ac:dyDescent="0.15"/>
    <row r="29684" s="69" customFormat="1" x14ac:dyDescent="0.15"/>
    <row r="29685" s="69" customFormat="1" x14ac:dyDescent="0.15"/>
    <row r="29686" s="69" customFormat="1" x14ac:dyDescent="0.15"/>
    <row r="29687" s="69" customFormat="1" x14ac:dyDescent="0.15"/>
    <row r="29688" s="69" customFormat="1" x14ac:dyDescent="0.15"/>
    <row r="29689" s="69" customFormat="1" x14ac:dyDescent="0.15"/>
    <row r="29690" s="69" customFormat="1" x14ac:dyDescent="0.15"/>
    <row r="29691" s="69" customFormat="1" x14ac:dyDescent="0.15"/>
    <row r="29692" s="69" customFormat="1" x14ac:dyDescent="0.15"/>
    <row r="29693" s="69" customFormat="1" x14ac:dyDescent="0.15"/>
    <row r="29694" s="69" customFormat="1" x14ac:dyDescent="0.15"/>
    <row r="29695" s="69" customFormat="1" x14ac:dyDescent="0.15"/>
    <row r="29696" s="69" customFormat="1" x14ac:dyDescent="0.15"/>
    <row r="29697" s="69" customFormat="1" x14ac:dyDescent="0.15"/>
    <row r="29698" s="69" customFormat="1" x14ac:dyDescent="0.15"/>
    <row r="29699" s="69" customFormat="1" x14ac:dyDescent="0.15"/>
    <row r="29700" s="69" customFormat="1" x14ac:dyDescent="0.15"/>
    <row r="29701" s="69" customFormat="1" x14ac:dyDescent="0.15"/>
    <row r="29702" s="69" customFormat="1" x14ac:dyDescent="0.15"/>
    <row r="29703" s="69" customFormat="1" x14ac:dyDescent="0.15"/>
    <row r="29704" s="69" customFormat="1" x14ac:dyDescent="0.15"/>
    <row r="29705" s="69" customFormat="1" x14ac:dyDescent="0.15"/>
    <row r="29706" s="69" customFormat="1" x14ac:dyDescent="0.15"/>
    <row r="29707" s="69" customFormat="1" x14ac:dyDescent="0.15"/>
    <row r="29708" s="69" customFormat="1" x14ac:dyDescent="0.15"/>
    <row r="29709" s="69" customFormat="1" x14ac:dyDescent="0.15"/>
    <row r="29710" s="69" customFormat="1" x14ac:dyDescent="0.15"/>
    <row r="29711" s="69" customFormat="1" x14ac:dyDescent="0.15"/>
    <row r="29712" s="69" customFormat="1" x14ac:dyDescent="0.15"/>
    <row r="29713" s="69" customFormat="1" x14ac:dyDescent="0.15"/>
    <row r="29714" s="69" customFormat="1" x14ac:dyDescent="0.15"/>
    <row r="29715" s="69" customFormat="1" x14ac:dyDescent="0.15"/>
    <row r="29716" s="69" customFormat="1" x14ac:dyDescent="0.15"/>
    <row r="29717" s="69" customFormat="1" x14ac:dyDescent="0.15"/>
    <row r="29718" s="69" customFormat="1" x14ac:dyDescent="0.15"/>
    <row r="29719" s="69" customFormat="1" x14ac:dyDescent="0.15"/>
    <row r="29720" s="69" customFormat="1" x14ac:dyDescent="0.15"/>
    <row r="29721" s="69" customFormat="1" x14ac:dyDescent="0.15"/>
    <row r="29722" s="69" customFormat="1" x14ac:dyDescent="0.15"/>
    <row r="29723" s="69" customFormat="1" x14ac:dyDescent="0.15"/>
    <row r="29724" s="69" customFormat="1" x14ac:dyDescent="0.15"/>
    <row r="29725" s="69" customFormat="1" x14ac:dyDescent="0.15"/>
    <row r="29726" s="69" customFormat="1" x14ac:dyDescent="0.15"/>
    <row r="29727" s="69" customFormat="1" x14ac:dyDescent="0.15"/>
    <row r="29728" s="69" customFormat="1" x14ac:dyDescent="0.15"/>
    <row r="29729" s="69" customFormat="1" x14ac:dyDescent="0.15"/>
    <row r="29730" s="69" customFormat="1" x14ac:dyDescent="0.15"/>
    <row r="29731" s="69" customFormat="1" x14ac:dyDescent="0.15"/>
    <row r="29732" s="69" customFormat="1" x14ac:dyDescent="0.15"/>
    <row r="29733" s="69" customFormat="1" x14ac:dyDescent="0.15"/>
    <row r="29734" s="69" customFormat="1" x14ac:dyDescent="0.15"/>
    <row r="29735" s="69" customFormat="1" x14ac:dyDescent="0.15"/>
    <row r="29736" s="69" customFormat="1" x14ac:dyDescent="0.15"/>
    <row r="29737" s="69" customFormat="1" x14ac:dyDescent="0.15"/>
    <row r="29738" s="69" customFormat="1" x14ac:dyDescent="0.15"/>
    <row r="29739" s="69" customFormat="1" x14ac:dyDescent="0.15"/>
    <row r="29740" s="69" customFormat="1" x14ac:dyDescent="0.15"/>
    <row r="29741" s="69" customFormat="1" x14ac:dyDescent="0.15"/>
    <row r="29742" s="69" customFormat="1" x14ac:dyDescent="0.15"/>
    <row r="29743" s="69" customFormat="1" x14ac:dyDescent="0.15"/>
    <row r="29744" s="69" customFormat="1" x14ac:dyDescent="0.15"/>
    <row r="29745" s="69" customFormat="1" x14ac:dyDescent="0.15"/>
    <row r="29746" s="69" customFormat="1" x14ac:dyDescent="0.15"/>
    <row r="29747" s="69" customFormat="1" x14ac:dyDescent="0.15"/>
    <row r="29748" s="69" customFormat="1" x14ac:dyDescent="0.15"/>
    <row r="29749" s="69" customFormat="1" x14ac:dyDescent="0.15"/>
    <row r="29750" s="69" customFormat="1" x14ac:dyDescent="0.15"/>
    <row r="29751" s="69" customFormat="1" x14ac:dyDescent="0.15"/>
    <row r="29752" s="69" customFormat="1" x14ac:dyDescent="0.15"/>
    <row r="29753" s="69" customFormat="1" x14ac:dyDescent="0.15"/>
    <row r="29754" s="69" customFormat="1" x14ac:dyDescent="0.15"/>
    <row r="29755" s="69" customFormat="1" x14ac:dyDescent="0.15"/>
    <row r="29756" s="69" customFormat="1" x14ac:dyDescent="0.15"/>
    <row r="29757" s="69" customFormat="1" x14ac:dyDescent="0.15"/>
    <row r="29758" s="69" customFormat="1" x14ac:dyDescent="0.15"/>
    <row r="29759" s="69" customFormat="1" x14ac:dyDescent="0.15"/>
    <row r="29760" s="69" customFormat="1" x14ac:dyDescent="0.15"/>
    <row r="29761" s="69" customFormat="1" x14ac:dyDescent="0.15"/>
    <row r="29762" s="69" customFormat="1" x14ac:dyDescent="0.15"/>
    <row r="29763" s="69" customFormat="1" x14ac:dyDescent="0.15"/>
    <row r="29764" s="69" customFormat="1" x14ac:dyDescent="0.15"/>
    <row r="29765" s="69" customFormat="1" x14ac:dyDescent="0.15"/>
    <row r="29766" s="69" customFormat="1" x14ac:dyDescent="0.15"/>
    <row r="29767" s="69" customFormat="1" x14ac:dyDescent="0.15"/>
    <row r="29768" s="69" customFormat="1" x14ac:dyDescent="0.15"/>
    <row r="29769" s="69" customFormat="1" x14ac:dyDescent="0.15"/>
    <row r="29770" s="69" customFormat="1" x14ac:dyDescent="0.15"/>
    <row r="29771" s="69" customFormat="1" x14ac:dyDescent="0.15"/>
    <row r="29772" s="69" customFormat="1" x14ac:dyDescent="0.15"/>
    <row r="29773" s="69" customFormat="1" x14ac:dyDescent="0.15"/>
    <row r="29774" s="69" customFormat="1" x14ac:dyDescent="0.15"/>
    <row r="29775" s="69" customFormat="1" x14ac:dyDescent="0.15"/>
    <row r="29776" s="69" customFormat="1" x14ac:dyDescent="0.15"/>
    <row r="29777" s="69" customFormat="1" x14ac:dyDescent="0.15"/>
    <row r="29778" s="69" customFormat="1" x14ac:dyDescent="0.15"/>
    <row r="29779" s="69" customFormat="1" x14ac:dyDescent="0.15"/>
    <row r="29780" s="69" customFormat="1" x14ac:dyDescent="0.15"/>
    <row r="29781" s="69" customFormat="1" x14ac:dyDescent="0.15"/>
    <row r="29782" s="69" customFormat="1" x14ac:dyDescent="0.15"/>
    <row r="29783" s="69" customFormat="1" x14ac:dyDescent="0.15"/>
    <row r="29784" s="69" customFormat="1" x14ac:dyDescent="0.15"/>
    <row r="29785" s="69" customFormat="1" x14ac:dyDescent="0.15"/>
    <row r="29786" s="69" customFormat="1" x14ac:dyDescent="0.15"/>
    <row r="29787" s="69" customFormat="1" x14ac:dyDescent="0.15"/>
    <row r="29788" s="69" customFormat="1" x14ac:dyDescent="0.15"/>
    <row r="29789" s="69" customFormat="1" x14ac:dyDescent="0.15"/>
    <row r="29790" s="69" customFormat="1" x14ac:dyDescent="0.15"/>
    <row r="29791" s="69" customFormat="1" x14ac:dyDescent="0.15"/>
    <row r="29792" s="69" customFormat="1" x14ac:dyDescent="0.15"/>
    <row r="29793" s="69" customFormat="1" x14ac:dyDescent="0.15"/>
    <row r="29794" s="69" customFormat="1" x14ac:dyDescent="0.15"/>
    <row r="29795" s="69" customFormat="1" x14ac:dyDescent="0.15"/>
    <row r="29796" s="69" customFormat="1" x14ac:dyDescent="0.15"/>
    <row r="29797" s="69" customFormat="1" x14ac:dyDescent="0.15"/>
    <row r="29798" s="69" customFormat="1" x14ac:dyDescent="0.15"/>
    <row r="29799" s="69" customFormat="1" x14ac:dyDescent="0.15"/>
    <row r="29800" s="69" customFormat="1" x14ac:dyDescent="0.15"/>
    <row r="29801" s="69" customFormat="1" x14ac:dyDescent="0.15"/>
    <row r="29802" s="69" customFormat="1" x14ac:dyDescent="0.15"/>
    <row r="29803" s="69" customFormat="1" x14ac:dyDescent="0.15"/>
    <row r="29804" s="69" customFormat="1" x14ac:dyDescent="0.15"/>
    <row r="29805" s="69" customFormat="1" x14ac:dyDescent="0.15"/>
    <row r="29806" s="69" customFormat="1" x14ac:dyDescent="0.15"/>
    <row r="29807" s="69" customFormat="1" x14ac:dyDescent="0.15"/>
    <row r="29808" s="69" customFormat="1" x14ac:dyDescent="0.15"/>
    <row r="29809" s="69" customFormat="1" x14ac:dyDescent="0.15"/>
    <row r="29810" s="69" customFormat="1" x14ac:dyDescent="0.15"/>
    <row r="29811" s="69" customFormat="1" x14ac:dyDescent="0.15"/>
    <row r="29812" s="69" customFormat="1" x14ac:dyDescent="0.15"/>
    <row r="29813" s="69" customFormat="1" x14ac:dyDescent="0.15"/>
    <row r="29814" s="69" customFormat="1" x14ac:dyDescent="0.15"/>
    <row r="29815" s="69" customFormat="1" x14ac:dyDescent="0.15"/>
    <row r="29816" s="69" customFormat="1" x14ac:dyDescent="0.15"/>
    <row r="29817" s="69" customFormat="1" x14ac:dyDescent="0.15"/>
    <row r="29818" s="69" customFormat="1" x14ac:dyDescent="0.15"/>
    <row r="29819" s="69" customFormat="1" x14ac:dyDescent="0.15"/>
    <row r="29820" s="69" customFormat="1" x14ac:dyDescent="0.15"/>
    <row r="29821" s="69" customFormat="1" x14ac:dyDescent="0.15"/>
    <row r="29822" s="69" customFormat="1" x14ac:dyDescent="0.15"/>
    <row r="29823" s="69" customFormat="1" x14ac:dyDescent="0.15"/>
    <row r="29824" s="69" customFormat="1" x14ac:dyDescent="0.15"/>
    <row r="29825" s="69" customFormat="1" x14ac:dyDescent="0.15"/>
    <row r="29826" s="69" customFormat="1" x14ac:dyDescent="0.15"/>
    <row r="29827" s="69" customFormat="1" x14ac:dyDescent="0.15"/>
    <row r="29828" s="69" customFormat="1" x14ac:dyDescent="0.15"/>
    <row r="29829" s="69" customFormat="1" x14ac:dyDescent="0.15"/>
    <row r="29830" s="69" customFormat="1" x14ac:dyDescent="0.15"/>
    <row r="29831" s="69" customFormat="1" x14ac:dyDescent="0.15"/>
    <row r="29832" s="69" customFormat="1" x14ac:dyDescent="0.15"/>
    <row r="29833" s="69" customFormat="1" x14ac:dyDescent="0.15"/>
    <row r="29834" s="69" customFormat="1" x14ac:dyDescent="0.15"/>
    <row r="29835" s="69" customFormat="1" x14ac:dyDescent="0.15"/>
    <row r="29836" s="69" customFormat="1" x14ac:dyDescent="0.15"/>
    <row r="29837" s="69" customFormat="1" x14ac:dyDescent="0.15"/>
    <row r="29838" s="69" customFormat="1" x14ac:dyDescent="0.15"/>
    <row r="29839" s="69" customFormat="1" x14ac:dyDescent="0.15"/>
    <row r="29840" s="69" customFormat="1" x14ac:dyDescent="0.15"/>
    <row r="29841" s="69" customFormat="1" x14ac:dyDescent="0.15"/>
    <row r="29842" s="69" customFormat="1" x14ac:dyDescent="0.15"/>
    <row r="29843" s="69" customFormat="1" x14ac:dyDescent="0.15"/>
    <row r="29844" s="69" customFormat="1" x14ac:dyDescent="0.15"/>
    <row r="29845" s="69" customFormat="1" x14ac:dyDescent="0.15"/>
    <row r="29846" s="69" customFormat="1" x14ac:dyDescent="0.15"/>
    <row r="29847" s="69" customFormat="1" x14ac:dyDescent="0.15"/>
    <row r="29848" s="69" customFormat="1" x14ac:dyDescent="0.15"/>
    <row r="29849" s="69" customFormat="1" x14ac:dyDescent="0.15"/>
    <row r="29850" s="69" customFormat="1" x14ac:dyDescent="0.15"/>
    <row r="29851" s="69" customFormat="1" x14ac:dyDescent="0.15"/>
    <row r="29852" s="69" customFormat="1" x14ac:dyDescent="0.15"/>
    <row r="29853" s="69" customFormat="1" x14ac:dyDescent="0.15"/>
    <row r="29854" s="69" customFormat="1" x14ac:dyDescent="0.15"/>
    <row r="29855" s="69" customFormat="1" x14ac:dyDescent="0.15"/>
    <row r="29856" s="69" customFormat="1" x14ac:dyDescent="0.15"/>
    <row r="29857" s="69" customFormat="1" x14ac:dyDescent="0.15"/>
    <row r="29858" s="69" customFormat="1" x14ac:dyDescent="0.15"/>
    <row r="29859" s="69" customFormat="1" x14ac:dyDescent="0.15"/>
    <row r="29860" s="69" customFormat="1" x14ac:dyDescent="0.15"/>
    <row r="29861" s="69" customFormat="1" x14ac:dyDescent="0.15"/>
    <row r="29862" s="69" customFormat="1" x14ac:dyDescent="0.15"/>
    <row r="29863" s="69" customFormat="1" x14ac:dyDescent="0.15"/>
    <row r="29864" s="69" customFormat="1" x14ac:dyDescent="0.15"/>
    <row r="29865" s="69" customFormat="1" x14ac:dyDescent="0.15"/>
    <row r="29866" s="69" customFormat="1" x14ac:dyDescent="0.15"/>
    <row r="29867" s="69" customFormat="1" x14ac:dyDescent="0.15"/>
    <row r="29868" s="69" customFormat="1" x14ac:dyDescent="0.15"/>
    <row r="29869" s="69" customFormat="1" x14ac:dyDescent="0.15"/>
    <row r="29870" s="69" customFormat="1" x14ac:dyDescent="0.15"/>
    <row r="29871" s="69" customFormat="1" x14ac:dyDescent="0.15"/>
    <row r="29872" s="69" customFormat="1" x14ac:dyDescent="0.15"/>
    <row r="29873" s="69" customFormat="1" x14ac:dyDescent="0.15"/>
    <row r="29874" s="69" customFormat="1" x14ac:dyDescent="0.15"/>
    <row r="29875" s="69" customFormat="1" x14ac:dyDescent="0.15"/>
    <row r="29876" s="69" customFormat="1" x14ac:dyDescent="0.15"/>
    <row r="29877" s="69" customFormat="1" x14ac:dyDescent="0.15"/>
    <row r="29878" s="69" customFormat="1" x14ac:dyDescent="0.15"/>
    <row r="29879" s="69" customFormat="1" x14ac:dyDescent="0.15"/>
    <row r="29880" s="69" customFormat="1" x14ac:dyDescent="0.15"/>
    <row r="29881" s="69" customFormat="1" x14ac:dyDescent="0.15"/>
    <row r="29882" s="69" customFormat="1" x14ac:dyDescent="0.15"/>
    <row r="29883" s="69" customFormat="1" x14ac:dyDescent="0.15"/>
    <row r="29884" s="69" customFormat="1" x14ac:dyDescent="0.15"/>
    <row r="29885" s="69" customFormat="1" x14ac:dyDescent="0.15"/>
    <row r="29886" s="69" customFormat="1" x14ac:dyDescent="0.15"/>
    <row r="29887" s="69" customFormat="1" x14ac:dyDescent="0.15"/>
    <row r="29888" s="69" customFormat="1" x14ac:dyDescent="0.15"/>
    <row r="29889" s="69" customFormat="1" x14ac:dyDescent="0.15"/>
    <row r="29890" s="69" customFormat="1" x14ac:dyDescent="0.15"/>
    <row r="29891" s="69" customFormat="1" x14ac:dyDescent="0.15"/>
    <row r="29892" s="69" customFormat="1" x14ac:dyDescent="0.15"/>
    <row r="29893" s="69" customFormat="1" x14ac:dyDescent="0.15"/>
    <row r="29894" s="69" customFormat="1" x14ac:dyDescent="0.15"/>
    <row r="29895" s="69" customFormat="1" x14ac:dyDescent="0.15"/>
    <row r="29896" s="69" customFormat="1" x14ac:dyDescent="0.15"/>
    <row r="29897" s="69" customFormat="1" x14ac:dyDescent="0.15"/>
    <row r="29898" s="69" customFormat="1" x14ac:dyDescent="0.15"/>
    <row r="29899" s="69" customFormat="1" x14ac:dyDescent="0.15"/>
    <row r="29900" s="69" customFormat="1" x14ac:dyDescent="0.15"/>
    <row r="29901" s="69" customFormat="1" x14ac:dyDescent="0.15"/>
    <row r="29902" s="69" customFormat="1" x14ac:dyDescent="0.15"/>
    <row r="29903" s="69" customFormat="1" x14ac:dyDescent="0.15"/>
    <row r="29904" s="69" customFormat="1" x14ac:dyDescent="0.15"/>
    <row r="29905" s="69" customFormat="1" x14ac:dyDescent="0.15"/>
    <row r="29906" s="69" customFormat="1" x14ac:dyDescent="0.15"/>
    <row r="29907" s="69" customFormat="1" x14ac:dyDescent="0.15"/>
    <row r="29908" s="69" customFormat="1" x14ac:dyDescent="0.15"/>
    <row r="29909" s="69" customFormat="1" x14ac:dyDescent="0.15"/>
    <row r="29910" s="69" customFormat="1" x14ac:dyDescent="0.15"/>
    <row r="29911" s="69" customFormat="1" x14ac:dyDescent="0.15"/>
    <row r="29912" s="69" customFormat="1" x14ac:dyDescent="0.15"/>
    <row r="29913" s="69" customFormat="1" x14ac:dyDescent="0.15"/>
    <row r="29914" s="69" customFormat="1" x14ac:dyDescent="0.15"/>
    <row r="29915" s="69" customFormat="1" x14ac:dyDescent="0.15"/>
    <row r="29916" s="69" customFormat="1" x14ac:dyDescent="0.15"/>
    <row r="29917" s="69" customFormat="1" x14ac:dyDescent="0.15"/>
    <row r="29918" s="69" customFormat="1" x14ac:dyDescent="0.15"/>
    <row r="29919" s="69" customFormat="1" x14ac:dyDescent="0.15"/>
    <row r="29920" s="69" customFormat="1" x14ac:dyDescent="0.15"/>
    <row r="29921" s="69" customFormat="1" x14ac:dyDescent="0.15"/>
    <row r="29922" s="69" customFormat="1" x14ac:dyDescent="0.15"/>
    <row r="29923" s="69" customFormat="1" x14ac:dyDescent="0.15"/>
    <row r="29924" s="69" customFormat="1" x14ac:dyDescent="0.15"/>
    <row r="29925" s="69" customFormat="1" x14ac:dyDescent="0.15"/>
    <row r="29926" s="69" customFormat="1" x14ac:dyDescent="0.15"/>
    <row r="29927" s="69" customFormat="1" x14ac:dyDescent="0.15"/>
    <row r="29928" s="69" customFormat="1" x14ac:dyDescent="0.15"/>
    <row r="29929" s="69" customFormat="1" x14ac:dyDescent="0.15"/>
    <row r="29930" s="69" customFormat="1" x14ac:dyDescent="0.15"/>
    <row r="29931" s="69" customFormat="1" x14ac:dyDescent="0.15"/>
    <row r="29932" s="69" customFormat="1" x14ac:dyDescent="0.15"/>
    <row r="29933" s="69" customFormat="1" x14ac:dyDescent="0.15"/>
    <row r="29934" s="69" customFormat="1" x14ac:dyDescent="0.15"/>
    <row r="29935" s="69" customFormat="1" x14ac:dyDescent="0.15"/>
    <row r="29936" s="69" customFormat="1" x14ac:dyDescent="0.15"/>
    <row r="29937" s="69" customFormat="1" x14ac:dyDescent="0.15"/>
    <row r="29938" s="69" customFormat="1" x14ac:dyDescent="0.15"/>
    <row r="29939" s="69" customFormat="1" x14ac:dyDescent="0.15"/>
    <row r="29940" s="69" customFormat="1" x14ac:dyDescent="0.15"/>
    <row r="29941" s="69" customFormat="1" x14ac:dyDescent="0.15"/>
    <row r="29942" s="69" customFormat="1" x14ac:dyDescent="0.15"/>
    <row r="29943" s="69" customFormat="1" x14ac:dyDescent="0.15"/>
    <row r="29944" s="69" customFormat="1" x14ac:dyDescent="0.15"/>
    <row r="29945" s="69" customFormat="1" x14ac:dyDescent="0.15"/>
    <row r="29946" s="69" customFormat="1" x14ac:dyDescent="0.15"/>
    <row r="29947" s="69" customFormat="1" x14ac:dyDescent="0.15"/>
    <row r="29948" s="69" customFormat="1" x14ac:dyDescent="0.15"/>
    <row r="29949" s="69" customFormat="1" x14ac:dyDescent="0.15"/>
    <row r="29950" s="69" customFormat="1" x14ac:dyDescent="0.15"/>
    <row r="29951" s="69" customFormat="1" x14ac:dyDescent="0.15"/>
    <row r="29952" s="69" customFormat="1" x14ac:dyDescent="0.15"/>
    <row r="29953" s="69" customFormat="1" x14ac:dyDescent="0.15"/>
    <row r="29954" s="69" customFormat="1" x14ac:dyDescent="0.15"/>
    <row r="29955" s="69" customFormat="1" x14ac:dyDescent="0.15"/>
    <row r="29956" s="69" customFormat="1" x14ac:dyDescent="0.15"/>
    <row r="29957" s="69" customFormat="1" x14ac:dyDescent="0.15"/>
    <row r="29958" s="69" customFormat="1" x14ac:dyDescent="0.15"/>
    <row r="29959" s="69" customFormat="1" x14ac:dyDescent="0.15"/>
    <row r="29960" s="69" customFormat="1" x14ac:dyDescent="0.15"/>
    <row r="29961" s="69" customFormat="1" x14ac:dyDescent="0.15"/>
    <row r="29962" s="69" customFormat="1" x14ac:dyDescent="0.15"/>
    <row r="29963" s="69" customFormat="1" x14ac:dyDescent="0.15"/>
    <row r="29964" s="69" customFormat="1" x14ac:dyDescent="0.15"/>
    <row r="29965" s="69" customFormat="1" x14ac:dyDescent="0.15"/>
    <row r="29966" s="69" customFormat="1" x14ac:dyDescent="0.15"/>
    <row r="29967" s="69" customFormat="1" x14ac:dyDescent="0.15"/>
    <row r="29968" s="69" customFormat="1" x14ac:dyDescent="0.15"/>
    <row r="29969" s="69" customFormat="1" x14ac:dyDescent="0.15"/>
    <row r="29970" s="69" customFormat="1" x14ac:dyDescent="0.15"/>
    <row r="29971" s="69" customFormat="1" x14ac:dyDescent="0.15"/>
    <row r="29972" s="69" customFormat="1" x14ac:dyDescent="0.15"/>
    <row r="29973" s="69" customFormat="1" x14ac:dyDescent="0.15"/>
    <row r="29974" s="69" customFormat="1" x14ac:dyDescent="0.15"/>
    <row r="29975" s="69" customFormat="1" x14ac:dyDescent="0.15"/>
    <row r="29976" s="69" customFormat="1" x14ac:dyDescent="0.15"/>
    <row r="29977" s="69" customFormat="1" x14ac:dyDescent="0.15"/>
    <row r="29978" s="69" customFormat="1" x14ac:dyDescent="0.15"/>
    <row r="29979" s="69" customFormat="1" x14ac:dyDescent="0.15"/>
    <row r="29980" s="69" customFormat="1" x14ac:dyDescent="0.15"/>
    <row r="29981" s="69" customFormat="1" x14ac:dyDescent="0.15"/>
    <row r="29982" s="69" customFormat="1" x14ac:dyDescent="0.15"/>
    <row r="29983" s="69" customFormat="1" x14ac:dyDescent="0.15"/>
    <row r="29984" s="69" customFormat="1" x14ac:dyDescent="0.15"/>
    <row r="29985" s="69" customFormat="1" x14ac:dyDescent="0.15"/>
    <row r="29986" s="69" customFormat="1" x14ac:dyDescent="0.15"/>
    <row r="29987" s="69" customFormat="1" x14ac:dyDescent="0.15"/>
    <row r="29988" s="69" customFormat="1" x14ac:dyDescent="0.15"/>
    <row r="29989" s="69" customFormat="1" x14ac:dyDescent="0.15"/>
    <row r="29990" s="69" customFormat="1" x14ac:dyDescent="0.15"/>
    <row r="29991" s="69" customFormat="1" x14ac:dyDescent="0.15"/>
    <row r="29992" s="69" customFormat="1" x14ac:dyDescent="0.15"/>
    <row r="29993" s="69" customFormat="1" x14ac:dyDescent="0.15"/>
    <row r="29994" s="69" customFormat="1" x14ac:dyDescent="0.15"/>
    <row r="29995" s="69" customFormat="1" x14ac:dyDescent="0.15"/>
    <row r="29996" s="69" customFormat="1" x14ac:dyDescent="0.15"/>
    <row r="29997" s="69" customFormat="1" x14ac:dyDescent="0.15"/>
    <row r="29998" s="69" customFormat="1" x14ac:dyDescent="0.15"/>
    <row r="29999" s="69" customFormat="1" x14ac:dyDescent="0.15"/>
    <row r="30000" s="69" customFormat="1" x14ac:dyDescent="0.15"/>
    <row r="30001" s="69" customFormat="1" x14ac:dyDescent="0.15"/>
    <row r="30002" s="69" customFormat="1" x14ac:dyDescent="0.15"/>
    <row r="30003" s="69" customFormat="1" x14ac:dyDescent="0.15"/>
    <row r="30004" s="69" customFormat="1" x14ac:dyDescent="0.15"/>
    <row r="30005" s="69" customFormat="1" x14ac:dyDescent="0.15"/>
    <row r="30006" s="69" customFormat="1" x14ac:dyDescent="0.15"/>
    <row r="30007" s="69" customFormat="1" x14ac:dyDescent="0.15"/>
    <row r="30008" s="69" customFormat="1" x14ac:dyDescent="0.15"/>
    <row r="30009" s="69" customFormat="1" x14ac:dyDescent="0.15"/>
    <row r="30010" s="69" customFormat="1" x14ac:dyDescent="0.15"/>
    <row r="30011" s="69" customFormat="1" x14ac:dyDescent="0.15"/>
    <row r="30012" s="69" customFormat="1" x14ac:dyDescent="0.15"/>
    <row r="30013" s="69" customFormat="1" x14ac:dyDescent="0.15"/>
    <row r="30014" s="69" customFormat="1" x14ac:dyDescent="0.15"/>
    <row r="30015" s="69" customFormat="1" x14ac:dyDescent="0.15"/>
    <row r="30016" s="69" customFormat="1" x14ac:dyDescent="0.15"/>
    <row r="30017" s="69" customFormat="1" x14ac:dyDescent="0.15"/>
    <row r="30018" s="69" customFormat="1" x14ac:dyDescent="0.15"/>
    <row r="30019" s="69" customFormat="1" x14ac:dyDescent="0.15"/>
    <row r="30020" s="69" customFormat="1" x14ac:dyDescent="0.15"/>
    <row r="30021" s="69" customFormat="1" x14ac:dyDescent="0.15"/>
    <row r="30022" s="69" customFormat="1" x14ac:dyDescent="0.15"/>
    <row r="30023" s="69" customFormat="1" x14ac:dyDescent="0.15"/>
    <row r="30024" s="69" customFormat="1" x14ac:dyDescent="0.15"/>
    <row r="30025" s="69" customFormat="1" x14ac:dyDescent="0.15"/>
    <row r="30026" s="69" customFormat="1" x14ac:dyDescent="0.15"/>
    <row r="30027" s="69" customFormat="1" x14ac:dyDescent="0.15"/>
    <row r="30028" s="69" customFormat="1" x14ac:dyDescent="0.15"/>
    <row r="30029" s="69" customFormat="1" x14ac:dyDescent="0.15"/>
    <row r="30030" s="69" customFormat="1" x14ac:dyDescent="0.15"/>
    <row r="30031" s="69" customFormat="1" x14ac:dyDescent="0.15"/>
    <row r="30032" s="69" customFormat="1" x14ac:dyDescent="0.15"/>
    <row r="30033" s="69" customFormat="1" x14ac:dyDescent="0.15"/>
    <row r="30034" s="69" customFormat="1" x14ac:dyDescent="0.15"/>
    <row r="30035" s="69" customFormat="1" x14ac:dyDescent="0.15"/>
    <row r="30036" s="69" customFormat="1" x14ac:dyDescent="0.15"/>
    <row r="30037" s="69" customFormat="1" x14ac:dyDescent="0.15"/>
    <row r="30038" s="69" customFormat="1" x14ac:dyDescent="0.15"/>
    <row r="30039" s="69" customFormat="1" x14ac:dyDescent="0.15"/>
    <row r="30040" s="69" customFormat="1" x14ac:dyDescent="0.15"/>
    <row r="30041" s="69" customFormat="1" x14ac:dyDescent="0.15"/>
    <row r="30042" s="69" customFormat="1" x14ac:dyDescent="0.15"/>
    <row r="30043" s="69" customFormat="1" x14ac:dyDescent="0.15"/>
    <row r="30044" s="69" customFormat="1" x14ac:dyDescent="0.15"/>
    <row r="30045" s="69" customFormat="1" x14ac:dyDescent="0.15"/>
    <row r="30046" s="69" customFormat="1" x14ac:dyDescent="0.15"/>
    <row r="30047" s="69" customFormat="1" x14ac:dyDescent="0.15"/>
    <row r="30048" s="69" customFormat="1" x14ac:dyDescent="0.15"/>
    <row r="30049" s="69" customFormat="1" x14ac:dyDescent="0.15"/>
    <row r="30050" s="69" customFormat="1" x14ac:dyDescent="0.15"/>
    <row r="30051" s="69" customFormat="1" x14ac:dyDescent="0.15"/>
    <row r="30052" s="69" customFormat="1" x14ac:dyDescent="0.15"/>
    <row r="30053" s="69" customFormat="1" x14ac:dyDescent="0.15"/>
    <row r="30054" s="69" customFormat="1" x14ac:dyDescent="0.15"/>
    <row r="30055" s="69" customFormat="1" x14ac:dyDescent="0.15"/>
    <row r="30056" s="69" customFormat="1" x14ac:dyDescent="0.15"/>
    <row r="30057" s="69" customFormat="1" x14ac:dyDescent="0.15"/>
    <row r="30058" s="69" customFormat="1" x14ac:dyDescent="0.15"/>
    <row r="30059" s="69" customFormat="1" x14ac:dyDescent="0.15"/>
    <row r="30060" s="69" customFormat="1" x14ac:dyDescent="0.15"/>
    <row r="30061" s="69" customFormat="1" x14ac:dyDescent="0.15"/>
    <row r="30062" s="69" customFormat="1" x14ac:dyDescent="0.15"/>
    <row r="30063" s="69" customFormat="1" x14ac:dyDescent="0.15"/>
    <row r="30064" s="69" customFormat="1" x14ac:dyDescent="0.15"/>
    <row r="30065" s="69" customFormat="1" x14ac:dyDescent="0.15"/>
    <row r="30066" s="69" customFormat="1" x14ac:dyDescent="0.15"/>
    <row r="30067" s="69" customFormat="1" x14ac:dyDescent="0.15"/>
    <row r="30068" s="69" customFormat="1" x14ac:dyDescent="0.15"/>
    <row r="30069" s="69" customFormat="1" x14ac:dyDescent="0.15"/>
    <row r="30070" s="69" customFormat="1" x14ac:dyDescent="0.15"/>
    <row r="30071" s="69" customFormat="1" x14ac:dyDescent="0.15"/>
    <row r="30072" s="69" customFormat="1" x14ac:dyDescent="0.15"/>
    <row r="30073" s="69" customFormat="1" x14ac:dyDescent="0.15"/>
    <row r="30074" s="69" customFormat="1" x14ac:dyDescent="0.15"/>
    <row r="30075" s="69" customFormat="1" x14ac:dyDescent="0.15"/>
    <row r="30076" s="69" customFormat="1" x14ac:dyDescent="0.15"/>
    <row r="30077" s="69" customFormat="1" x14ac:dyDescent="0.15"/>
    <row r="30078" s="69" customFormat="1" x14ac:dyDescent="0.15"/>
    <row r="30079" s="69" customFormat="1" x14ac:dyDescent="0.15"/>
    <row r="30080" s="69" customFormat="1" x14ac:dyDescent="0.15"/>
    <row r="30081" s="69" customFormat="1" x14ac:dyDescent="0.15"/>
    <row r="30082" s="69" customFormat="1" x14ac:dyDescent="0.15"/>
    <row r="30083" s="69" customFormat="1" x14ac:dyDescent="0.15"/>
    <row r="30084" s="69" customFormat="1" x14ac:dyDescent="0.15"/>
    <row r="30085" s="69" customFormat="1" x14ac:dyDescent="0.15"/>
    <row r="30086" s="69" customFormat="1" x14ac:dyDescent="0.15"/>
    <row r="30087" s="69" customFormat="1" x14ac:dyDescent="0.15"/>
    <row r="30088" s="69" customFormat="1" x14ac:dyDescent="0.15"/>
    <row r="30089" s="69" customFormat="1" x14ac:dyDescent="0.15"/>
    <row r="30090" s="69" customFormat="1" x14ac:dyDescent="0.15"/>
    <row r="30091" s="69" customFormat="1" x14ac:dyDescent="0.15"/>
    <row r="30092" s="69" customFormat="1" x14ac:dyDescent="0.15"/>
    <row r="30093" s="69" customFormat="1" x14ac:dyDescent="0.15"/>
    <row r="30094" s="69" customFormat="1" x14ac:dyDescent="0.15"/>
    <row r="30095" s="69" customFormat="1" x14ac:dyDescent="0.15"/>
    <row r="30096" s="69" customFormat="1" x14ac:dyDescent="0.15"/>
    <row r="30097" s="69" customFormat="1" x14ac:dyDescent="0.15"/>
    <row r="30098" s="69" customFormat="1" x14ac:dyDescent="0.15"/>
    <row r="30099" s="69" customFormat="1" x14ac:dyDescent="0.15"/>
    <row r="30100" s="69" customFormat="1" x14ac:dyDescent="0.15"/>
    <row r="30101" s="69" customFormat="1" x14ac:dyDescent="0.15"/>
    <row r="30102" s="69" customFormat="1" x14ac:dyDescent="0.15"/>
    <row r="30103" s="69" customFormat="1" x14ac:dyDescent="0.15"/>
    <row r="30104" s="69" customFormat="1" x14ac:dyDescent="0.15"/>
    <row r="30105" s="69" customFormat="1" x14ac:dyDescent="0.15"/>
    <row r="30106" s="69" customFormat="1" x14ac:dyDescent="0.15"/>
    <row r="30107" s="69" customFormat="1" x14ac:dyDescent="0.15"/>
    <row r="30108" s="69" customFormat="1" x14ac:dyDescent="0.15"/>
    <row r="30109" s="69" customFormat="1" x14ac:dyDescent="0.15"/>
    <row r="30110" s="69" customFormat="1" x14ac:dyDescent="0.15"/>
    <row r="30111" s="69" customFormat="1" x14ac:dyDescent="0.15"/>
    <row r="30112" s="69" customFormat="1" x14ac:dyDescent="0.15"/>
    <row r="30113" s="69" customFormat="1" x14ac:dyDescent="0.15"/>
    <row r="30114" s="69" customFormat="1" x14ac:dyDescent="0.15"/>
    <row r="30115" s="69" customFormat="1" x14ac:dyDescent="0.15"/>
    <row r="30116" s="69" customFormat="1" x14ac:dyDescent="0.15"/>
    <row r="30117" s="69" customFormat="1" x14ac:dyDescent="0.15"/>
    <row r="30118" s="69" customFormat="1" x14ac:dyDescent="0.15"/>
    <row r="30119" s="69" customFormat="1" x14ac:dyDescent="0.15"/>
    <row r="30120" s="69" customFormat="1" x14ac:dyDescent="0.15"/>
    <row r="30121" s="69" customFormat="1" x14ac:dyDescent="0.15"/>
    <row r="30122" s="69" customFormat="1" x14ac:dyDescent="0.15"/>
    <row r="30123" s="69" customFormat="1" x14ac:dyDescent="0.15"/>
    <row r="30124" s="69" customFormat="1" x14ac:dyDescent="0.15"/>
    <row r="30125" s="69" customFormat="1" x14ac:dyDescent="0.15"/>
    <row r="30126" s="69" customFormat="1" x14ac:dyDescent="0.15"/>
    <row r="30127" s="69" customFormat="1" x14ac:dyDescent="0.15"/>
    <row r="30128" s="69" customFormat="1" x14ac:dyDescent="0.15"/>
    <row r="30129" s="69" customFormat="1" x14ac:dyDescent="0.15"/>
    <row r="30130" s="69" customFormat="1" x14ac:dyDescent="0.15"/>
    <row r="30131" s="69" customFormat="1" x14ac:dyDescent="0.15"/>
    <row r="30132" s="69" customFormat="1" x14ac:dyDescent="0.15"/>
    <row r="30133" s="69" customFormat="1" x14ac:dyDescent="0.15"/>
    <row r="30134" s="69" customFormat="1" x14ac:dyDescent="0.15"/>
    <row r="30135" s="69" customFormat="1" x14ac:dyDescent="0.15"/>
    <row r="30136" s="69" customFormat="1" x14ac:dyDescent="0.15"/>
    <row r="30137" s="69" customFormat="1" x14ac:dyDescent="0.15"/>
    <row r="30138" s="69" customFormat="1" x14ac:dyDescent="0.15"/>
    <row r="30139" s="69" customFormat="1" x14ac:dyDescent="0.15"/>
    <row r="30140" s="69" customFormat="1" x14ac:dyDescent="0.15"/>
    <row r="30141" s="69" customFormat="1" x14ac:dyDescent="0.15"/>
    <row r="30142" s="69" customFormat="1" x14ac:dyDescent="0.15"/>
    <row r="30143" s="69" customFormat="1" x14ac:dyDescent="0.15"/>
    <row r="30144" s="69" customFormat="1" x14ac:dyDescent="0.15"/>
    <row r="30145" s="69" customFormat="1" x14ac:dyDescent="0.15"/>
    <row r="30146" s="69" customFormat="1" x14ac:dyDescent="0.15"/>
    <row r="30147" s="69" customFormat="1" x14ac:dyDescent="0.15"/>
    <row r="30148" s="69" customFormat="1" x14ac:dyDescent="0.15"/>
    <row r="30149" s="69" customFormat="1" x14ac:dyDescent="0.15"/>
    <row r="30150" s="69" customFormat="1" x14ac:dyDescent="0.15"/>
    <row r="30151" s="69" customFormat="1" x14ac:dyDescent="0.15"/>
    <row r="30152" s="69" customFormat="1" x14ac:dyDescent="0.15"/>
    <row r="30153" s="69" customFormat="1" x14ac:dyDescent="0.15"/>
    <row r="30154" s="69" customFormat="1" x14ac:dyDescent="0.15"/>
    <row r="30155" s="69" customFormat="1" x14ac:dyDescent="0.15"/>
    <row r="30156" s="69" customFormat="1" x14ac:dyDescent="0.15"/>
    <row r="30157" s="69" customFormat="1" x14ac:dyDescent="0.15"/>
    <row r="30158" s="69" customFormat="1" x14ac:dyDescent="0.15"/>
    <row r="30159" s="69" customFormat="1" x14ac:dyDescent="0.15"/>
    <row r="30160" s="69" customFormat="1" x14ac:dyDescent="0.15"/>
    <row r="30161" s="69" customFormat="1" x14ac:dyDescent="0.15"/>
    <row r="30162" s="69" customFormat="1" x14ac:dyDescent="0.15"/>
    <row r="30163" s="69" customFormat="1" x14ac:dyDescent="0.15"/>
    <row r="30164" s="69" customFormat="1" x14ac:dyDescent="0.15"/>
    <row r="30165" s="69" customFormat="1" x14ac:dyDescent="0.15"/>
    <row r="30166" s="69" customFormat="1" x14ac:dyDescent="0.15"/>
    <row r="30167" s="69" customFormat="1" x14ac:dyDescent="0.15"/>
    <row r="30168" s="69" customFormat="1" x14ac:dyDescent="0.15"/>
    <row r="30169" s="69" customFormat="1" x14ac:dyDescent="0.15"/>
    <row r="30170" s="69" customFormat="1" x14ac:dyDescent="0.15"/>
    <row r="30171" s="69" customFormat="1" x14ac:dyDescent="0.15"/>
    <row r="30172" s="69" customFormat="1" x14ac:dyDescent="0.15"/>
    <row r="30173" s="69" customFormat="1" x14ac:dyDescent="0.15"/>
    <row r="30174" s="69" customFormat="1" x14ac:dyDescent="0.15"/>
    <row r="30175" s="69" customFormat="1" x14ac:dyDescent="0.15"/>
    <row r="30176" s="69" customFormat="1" x14ac:dyDescent="0.15"/>
    <row r="30177" s="69" customFormat="1" x14ac:dyDescent="0.15"/>
    <row r="30178" s="69" customFormat="1" x14ac:dyDescent="0.15"/>
    <row r="30179" s="69" customFormat="1" x14ac:dyDescent="0.15"/>
    <row r="30180" s="69" customFormat="1" x14ac:dyDescent="0.15"/>
    <row r="30181" s="69" customFormat="1" x14ac:dyDescent="0.15"/>
    <row r="30182" s="69" customFormat="1" x14ac:dyDescent="0.15"/>
    <row r="30183" s="69" customFormat="1" x14ac:dyDescent="0.15"/>
    <row r="30184" s="69" customFormat="1" x14ac:dyDescent="0.15"/>
    <row r="30185" s="69" customFormat="1" x14ac:dyDescent="0.15"/>
    <row r="30186" s="69" customFormat="1" x14ac:dyDescent="0.15"/>
    <row r="30187" s="69" customFormat="1" x14ac:dyDescent="0.15"/>
    <row r="30188" s="69" customFormat="1" x14ac:dyDescent="0.15"/>
    <row r="30189" s="69" customFormat="1" x14ac:dyDescent="0.15"/>
    <row r="30190" s="69" customFormat="1" x14ac:dyDescent="0.15"/>
    <row r="30191" s="69" customFormat="1" x14ac:dyDescent="0.15"/>
    <row r="30192" s="69" customFormat="1" x14ac:dyDescent="0.15"/>
    <row r="30193" s="69" customFormat="1" x14ac:dyDescent="0.15"/>
    <row r="30194" s="69" customFormat="1" x14ac:dyDescent="0.15"/>
    <row r="30195" s="69" customFormat="1" x14ac:dyDescent="0.15"/>
    <row r="30196" s="69" customFormat="1" x14ac:dyDescent="0.15"/>
    <row r="30197" s="69" customFormat="1" x14ac:dyDescent="0.15"/>
    <row r="30198" s="69" customFormat="1" x14ac:dyDescent="0.15"/>
    <row r="30199" s="69" customFormat="1" x14ac:dyDescent="0.15"/>
    <row r="30200" s="69" customFormat="1" x14ac:dyDescent="0.15"/>
    <row r="30201" s="69" customFormat="1" x14ac:dyDescent="0.15"/>
    <row r="30202" s="69" customFormat="1" x14ac:dyDescent="0.15"/>
    <row r="30203" s="69" customFormat="1" x14ac:dyDescent="0.15"/>
    <row r="30204" s="69" customFormat="1" x14ac:dyDescent="0.15"/>
    <row r="30205" s="69" customFormat="1" x14ac:dyDescent="0.15"/>
    <row r="30206" s="69" customFormat="1" x14ac:dyDescent="0.15"/>
    <row r="30207" s="69" customFormat="1" x14ac:dyDescent="0.15"/>
    <row r="30208" s="69" customFormat="1" x14ac:dyDescent="0.15"/>
    <row r="30209" s="69" customFormat="1" x14ac:dyDescent="0.15"/>
    <row r="30210" s="69" customFormat="1" x14ac:dyDescent="0.15"/>
    <row r="30211" s="69" customFormat="1" x14ac:dyDescent="0.15"/>
    <row r="30212" s="69" customFormat="1" x14ac:dyDescent="0.15"/>
    <row r="30213" s="69" customFormat="1" x14ac:dyDescent="0.15"/>
    <row r="30214" s="69" customFormat="1" x14ac:dyDescent="0.15"/>
    <row r="30215" s="69" customFormat="1" x14ac:dyDescent="0.15"/>
    <row r="30216" s="69" customFormat="1" x14ac:dyDescent="0.15"/>
    <row r="30217" s="69" customFormat="1" x14ac:dyDescent="0.15"/>
    <row r="30218" s="69" customFormat="1" x14ac:dyDescent="0.15"/>
    <row r="30219" s="69" customFormat="1" x14ac:dyDescent="0.15"/>
    <row r="30220" s="69" customFormat="1" x14ac:dyDescent="0.15"/>
    <row r="30221" s="69" customFormat="1" x14ac:dyDescent="0.15"/>
    <row r="30222" s="69" customFormat="1" x14ac:dyDescent="0.15"/>
    <row r="30223" s="69" customFormat="1" x14ac:dyDescent="0.15"/>
    <row r="30224" s="69" customFormat="1" x14ac:dyDescent="0.15"/>
    <row r="30225" s="69" customFormat="1" x14ac:dyDescent="0.15"/>
    <row r="30226" s="69" customFormat="1" x14ac:dyDescent="0.15"/>
    <row r="30227" s="69" customFormat="1" x14ac:dyDescent="0.15"/>
    <row r="30228" s="69" customFormat="1" x14ac:dyDescent="0.15"/>
    <row r="30229" s="69" customFormat="1" x14ac:dyDescent="0.15"/>
    <row r="30230" s="69" customFormat="1" x14ac:dyDescent="0.15"/>
    <row r="30231" s="69" customFormat="1" x14ac:dyDescent="0.15"/>
    <row r="30232" s="69" customFormat="1" x14ac:dyDescent="0.15"/>
    <row r="30233" s="69" customFormat="1" x14ac:dyDescent="0.15"/>
    <row r="30234" s="69" customFormat="1" x14ac:dyDescent="0.15"/>
    <row r="30235" s="69" customFormat="1" x14ac:dyDescent="0.15"/>
    <row r="30236" s="69" customFormat="1" x14ac:dyDescent="0.15"/>
    <row r="30237" s="69" customFormat="1" x14ac:dyDescent="0.15"/>
    <row r="30238" s="69" customFormat="1" x14ac:dyDescent="0.15"/>
    <row r="30239" s="69" customFormat="1" x14ac:dyDescent="0.15"/>
    <row r="30240" s="69" customFormat="1" x14ac:dyDescent="0.15"/>
    <row r="30241" s="69" customFormat="1" x14ac:dyDescent="0.15"/>
    <row r="30242" s="69" customFormat="1" x14ac:dyDescent="0.15"/>
    <row r="30243" s="69" customFormat="1" x14ac:dyDescent="0.15"/>
    <row r="30244" s="69" customFormat="1" x14ac:dyDescent="0.15"/>
    <row r="30245" s="69" customFormat="1" x14ac:dyDescent="0.15"/>
    <row r="30246" s="69" customFormat="1" x14ac:dyDescent="0.15"/>
    <row r="30247" s="69" customFormat="1" x14ac:dyDescent="0.15"/>
    <row r="30248" s="69" customFormat="1" x14ac:dyDescent="0.15"/>
    <row r="30249" s="69" customFormat="1" x14ac:dyDescent="0.15"/>
    <row r="30250" s="69" customFormat="1" x14ac:dyDescent="0.15"/>
    <row r="30251" s="69" customFormat="1" x14ac:dyDescent="0.15"/>
    <row r="30252" s="69" customFormat="1" x14ac:dyDescent="0.15"/>
    <row r="30253" s="69" customFormat="1" x14ac:dyDescent="0.15"/>
    <row r="30254" s="69" customFormat="1" x14ac:dyDescent="0.15"/>
    <row r="30255" s="69" customFormat="1" x14ac:dyDescent="0.15"/>
    <row r="30256" s="69" customFormat="1" x14ac:dyDescent="0.15"/>
    <row r="30257" s="69" customFormat="1" x14ac:dyDescent="0.15"/>
    <row r="30258" s="69" customFormat="1" x14ac:dyDescent="0.15"/>
    <row r="30259" s="69" customFormat="1" x14ac:dyDescent="0.15"/>
    <row r="30260" s="69" customFormat="1" x14ac:dyDescent="0.15"/>
    <row r="30261" s="69" customFormat="1" x14ac:dyDescent="0.15"/>
    <row r="30262" s="69" customFormat="1" x14ac:dyDescent="0.15"/>
    <row r="30263" s="69" customFormat="1" x14ac:dyDescent="0.15"/>
    <row r="30264" s="69" customFormat="1" x14ac:dyDescent="0.15"/>
    <row r="30265" s="69" customFormat="1" x14ac:dyDescent="0.15"/>
    <row r="30266" s="69" customFormat="1" x14ac:dyDescent="0.15"/>
    <row r="30267" s="69" customFormat="1" x14ac:dyDescent="0.15"/>
    <row r="30268" s="69" customFormat="1" x14ac:dyDescent="0.15"/>
    <row r="30269" s="69" customFormat="1" x14ac:dyDescent="0.15"/>
    <row r="30270" s="69" customFormat="1" x14ac:dyDescent="0.15"/>
    <row r="30271" s="69" customFormat="1" x14ac:dyDescent="0.15"/>
    <row r="30272" s="69" customFormat="1" x14ac:dyDescent="0.15"/>
    <row r="30273" s="69" customFormat="1" x14ac:dyDescent="0.15"/>
    <row r="30274" s="69" customFormat="1" x14ac:dyDescent="0.15"/>
    <row r="30275" s="69" customFormat="1" x14ac:dyDescent="0.15"/>
    <row r="30276" s="69" customFormat="1" x14ac:dyDescent="0.15"/>
    <row r="30277" s="69" customFormat="1" x14ac:dyDescent="0.15"/>
    <row r="30278" s="69" customFormat="1" x14ac:dyDescent="0.15"/>
    <row r="30279" s="69" customFormat="1" x14ac:dyDescent="0.15"/>
    <row r="30280" s="69" customFormat="1" x14ac:dyDescent="0.15"/>
    <row r="30281" s="69" customFormat="1" x14ac:dyDescent="0.15"/>
    <row r="30282" s="69" customFormat="1" x14ac:dyDescent="0.15"/>
    <row r="30283" s="69" customFormat="1" x14ac:dyDescent="0.15"/>
    <row r="30284" s="69" customFormat="1" x14ac:dyDescent="0.15"/>
    <row r="30285" s="69" customFormat="1" x14ac:dyDescent="0.15"/>
    <row r="30286" s="69" customFormat="1" x14ac:dyDescent="0.15"/>
    <row r="30287" s="69" customFormat="1" x14ac:dyDescent="0.15"/>
    <row r="30288" s="69" customFormat="1" x14ac:dyDescent="0.15"/>
    <row r="30289" s="69" customFormat="1" x14ac:dyDescent="0.15"/>
    <row r="30290" s="69" customFormat="1" x14ac:dyDescent="0.15"/>
    <row r="30291" s="69" customFormat="1" x14ac:dyDescent="0.15"/>
    <row r="30292" s="69" customFormat="1" x14ac:dyDescent="0.15"/>
    <row r="30293" s="69" customFormat="1" x14ac:dyDescent="0.15"/>
    <row r="30294" s="69" customFormat="1" x14ac:dyDescent="0.15"/>
    <row r="30295" s="69" customFormat="1" x14ac:dyDescent="0.15"/>
    <row r="30296" s="69" customFormat="1" x14ac:dyDescent="0.15"/>
    <row r="30297" s="69" customFormat="1" x14ac:dyDescent="0.15"/>
    <row r="30298" s="69" customFormat="1" x14ac:dyDescent="0.15"/>
    <row r="30299" s="69" customFormat="1" x14ac:dyDescent="0.15"/>
    <row r="30300" s="69" customFormat="1" x14ac:dyDescent="0.15"/>
    <row r="30301" s="69" customFormat="1" x14ac:dyDescent="0.15"/>
    <row r="30302" s="69" customFormat="1" x14ac:dyDescent="0.15"/>
    <row r="30303" s="69" customFormat="1" x14ac:dyDescent="0.15"/>
    <row r="30304" s="69" customFormat="1" x14ac:dyDescent="0.15"/>
    <row r="30305" s="69" customFormat="1" x14ac:dyDescent="0.15"/>
    <row r="30306" s="69" customFormat="1" x14ac:dyDescent="0.15"/>
    <row r="30307" s="69" customFormat="1" x14ac:dyDescent="0.15"/>
    <row r="30308" s="69" customFormat="1" x14ac:dyDescent="0.15"/>
    <row r="30309" s="69" customFormat="1" x14ac:dyDescent="0.15"/>
    <row r="30310" s="69" customFormat="1" x14ac:dyDescent="0.15"/>
    <row r="30311" s="69" customFormat="1" x14ac:dyDescent="0.15"/>
    <row r="30312" s="69" customFormat="1" x14ac:dyDescent="0.15"/>
    <row r="30313" s="69" customFormat="1" x14ac:dyDescent="0.15"/>
    <row r="30314" s="69" customFormat="1" x14ac:dyDescent="0.15"/>
    <row r="30315" s="69" customFormat="1" x14ac:dyDescent="0.15"/>
    <row r="30316" s="69" customFormat="1" x14ac:dyDescent="0.15"/>
    <row r="30317" s="69" customFormat="1" x14ac:dyDescent="0.15"/>
    <row r="30318" s="69" customFormat="1" x14ac:dyDescent="0.15"/>
    <row r="30319" s="69" customFormat="1" x14ac:dyDescent="0.15"/>
    <row r="30320" s="69" customFormat="1" x14ac:dyDescent="0.15"/>
    <row r="30321" s="69" customFormat="1" x14ac:dyDescent="0.15"/>
    <row r="30322" s="69" customFormat="1" x14ac:dyDescent="0.15"/>
    <row r="30323" s="69" customFormat="1" x14ac:dyDescent="0.15"/>
    <row r="30324" s="69" customFormat="1" x14ac:dyDescent="0.15"/>
    <row r="30325" s="69" customFormat="1" x14ac:dyDescent="0.15"/>
    <row r="30326" s="69" customFormat="1" x14ac:dyDescent="0.15"/>
    <row r="30327" s="69" customFormat="1" x14ac:dyDescent="0.15"/>
    <row r="30328" s="69" customFormat="1" x14ac:dyDescent="0.15"/>
    <row r="30329" s="69" customFormat="1" x14ac:dyDescent="0.15"/>
    <row r="30330" s="69" customFormat="1" x14ac:dyDescent="0.15"/>
    <row r="30331" s="69" customFormat="1" x14ac:dyDescent="0.15"/>
    <row r="30332" s="69" customFormat="1" x14ac:dyDescent="0.15"/>
    <row r="30333" s="69" customFormat="1" x14ac:dyDescent="0.15"/>
    <row r="30334" s="69" customFormat="1" x14ac:dyDescent="0.15"/>
    <row r="30335" s="69" customFormat="1" x14ac:dyDescent="0.15"/>
    <row r="30336" s="69" customFormat="1" x14ac:dyDescent="0.15"/>
    <row r="30337" s="69" customFormat="1" x14ac:dyDescent="0.15"/>
    <row r="30338" s="69" customFormat="1" x14ac:dyDescent="0.15"/>
    <row r="30339" s="69" customFormat="1" x14ac:dyDescent="0.15"/>
    <row r="30340" s="69" customFormat="1" x14ac:dyDescent="0.15"/>
    <row r="30341" s="69" customFormat="1" x14ac:dyDescent="0.15"/>
    <row r="30342" s="69" customFormat="1" x14ac:dyDescent="0.15"/>
    <row r="30343" s="69" customFormat="1" x14ac:dyDescent="0.15"/>
    <row r="30344" s="69" customFormat="1" x14ac:dyDescent="0.15"/>
    <row r="30345" s="69" customFormat="1" x14ac:dyDescent="0.15"/>
    <row r="30346" s="69" customFormat="1" x14ac:dyDescent="0.15"/>
    <row r="30347" s="69" customFormat="1" x14ac:dyDescent="0.15"/>
    <row r="30348" s="69" customFormat="1" x14ac:dyDescent="0.15"/>
    <row r="30349" s="69" customFormat="1" x14ac:dyDescent="0.15"/>
    <row r="30350" s="69" customFormat="1" x14ac:dyDescent="0.15"/>
    <row r="30351" s="69" customFormat="1" x14ac:dyDescent="0.15"/>
    <row r="30352" s="69" customFormat="1" x14ac:dyDescent="0.15"/>
    <row r="30353" s="69" customFormat="1" x14ac:dyDescent="0.15"/>
    <row r="30354" s="69" customFormat="1" x14ac:dyDescent="0.15"/>
    <row r="30355" s="69" customFormat="1" x14ac:dyDescent="0.15"/>
    <row r="30356" s="69" customFormat="1" x14ac:dyDescent="0.15"/>
    <row r="30357" s="69" customFormat="1" x14ac:dyDescent="0.15"/>
    <row r="30358" s="69" customFormat="1" x14ac:dyDescent="0.15"/>
    <row r="30359" s="69" customFormat="1" x14ac:dyDescent="0.15"/>
    <row r="30360" s="69" customFormat="1" x14ac:dyDescent="0.15"/>
    <row r="30361" s="69" customFormat="1" x14ac:dyDescent="0.15"/>
    <row r="30362" s="69" customFormat="1" x14ac:dyDescent="0.15"/>
    <row r="30363" s="69" customFormat="1" x14ac:dyDescent="0.15"/>
    <row r="30364" s="69" customFormat="1" x14ac:dyDescent="0.15"/>
    <row r="30365" s="69" customFormat="1" x14ac:dyDescent="0.15"/>
    <row r="30366" s="69" customFormat="1" x14ac:dyDescent="0.15"/>
    <row r="30367" s="69" customFormat="1" x14ac:dyDescent="0.15"/>
    <row r="30368" s="69" customFormat="1" x14ac:dyDescent="0.15"/>
    <row r="30369" s="69" customFormat="1" x14ac:dyDescent="0.15"/>
    <row r="30370" s="69" customFormat="1" x14ac:dyDescent="0.15"/>
    <row r="30371" s="69" customFormat="1" x14ac:dyDescent="0.15"/>
    <row r="30372" s="69" customFormat="1" x14ac:dyDescent="0.15"/>
    <row r="30373" s="69" customFormat="1" x14ac:dyDescent="0.15"/>
    <row r="30374" s="69" customFormat="1" x14ac:dyDescent="0.15"/>
    <row r="30375" s="69" customFormat="1" x14ac:dyDescent="0.15"/>
    <row r="30376" s="69" customFormat="1" x14ac:dyDescent="0.15"/>
    <row r="30377" s="69" customFormat="1" x14ac:dyDescent="0.15"/>
    <row r="30378" s="69" customFormat="1" x14ac:dyDescent="0.15"/>
    <row r="30379" s="69" customFormat="1" x14ac:dyDescent="0.15"/>
    <row r="30380" s="69" customFormat="1" x14ac:dyDescent="0.15"/>
    <row r="30381" s="69" customFormat="1" x14ac:dyDescent="0.15"/>
    <row r="30382" s="69" customFormat="1" x14ac:dyDescent="0.15"/>
    <row r="30383" s="69" customFormat="1" x14ac:dyDescent="0.15"/>
    <row r="30384" s="69" customFormat="1" x14ac:dyDescent="0.15"/>
    <row r="30385" s="69" customFormat="1" x14ac:dyDescent="0.15"/>
    <row r="30386" s="69" customFormat="1" x14ac:dyDescent="0.15"/>
    <row r="30387" s="69" customFormat="1" x14ac:dyDescent="0.15"/>
    <row r="30388" s="69" customFormat="1" x14ac:dyDescent="0.15"/>
    <row r="30389" s="69" customFormat="1" x14ac:dyDescent="0.15"/>
    <row r="30390" s="69" customFormat="1" x14ac:dyDescent="0.15"/>
    <row r="30391" s="69" customFormat="1" x14ac:dyDescent="0.15"/>
    <row r="30392" s="69" customFormat="1" x14ac:dyDescent="0.15"/>
    <row r="30393" s="69" customFormat="1" x14ac:dyDescent="0.15"/>
    <row r="30394" s="69" customFormat="1" x14ac:dyDescent="0.15"/>
    <row r="30395" s="69" customFormat="1" x14ac:dyDescent="0.15"/>
    <row r="30396" s="69" customFormat="1" x14ac:dyDescent="0.15"/>
    <row r="30397" s="69" customFormat="1" x14ac:dyDescent="0.15"/>
    <row r="30398" s="69" customFormat="1" x14ac:dyDescent="0.15"/>
    <row r="30399" s="69" customFormat="1" x14ac:dyDescent="0.15"/>
    <row r="30400" s="69" customFormat="1" x14ac:dyDescent="0.15"/>
    <row r="30401" s="69" customFormat="1" x14ac:dyDescent="0.15"/>
    <row r="30402" s="69" customFormat="1" x14ac:dyDescent="0.15"/>
    <row r="30403" s="69" customFormat="1" x14ac:dyDescent="0.15"/>
    <row r="30404" s="69" customFormat="1" x14ac:dyDescent="0.15"/>
    <row r="30405" s="69" customFormat="1" x14ac:dyDescent="0.15"/>
    <row r="30406" s="69" customFormat="1" x14ac:dyDescent="0.15"/>
    <row r="30407" s="69" customFormat="1" x14ac:dyDescent="0.15"/>
    <row r="30408" s="69" customFormat="1" x14ac:dyDescent="0.15"/>
    <row r="30409" s="69" customFormat="1" x14ac:dyDescent="0.15"/>
    <row r="30410" s="69" customFormat="1" x14ac:dyDescent="0.15"/>
    <row r="30411" s="69" customFormat="1" x14ac:dyDescent="0.15"/>
    <row r="30412" s="69" customFormat="1" x14ac:dyDescent="0.15"/>
    <row r="30413" s="69" customFormat="1" x14ac:dyDescent="0.15"/>
    <row r="30414" s="69" customFormat="1" x14ac:dyDescent="0.15"/>
    <row r="30415" s="69" customFormat="1" x14ac:dyDescent="0.15"/>
    <row r="30416" s="69" customFormat="1" x14ac:dyDescent="0.15"/>
    <row r="30417" s="69" customFormat="1" x14ac:dyDescent="0.15"/>
    <row r="30418" s="69" customFormat="1" x14ac:dyDescent="0.15"/>
    <row r="30419" s="69" customFormat="1" x14ac:dyDescent="0.15"/>
    <row r="30420" s="69" customFormat="1" x14ac:dyDescent="0.15"/>
    <row r="30421" s="69" customFormat="1" x14ac:dyDescent="0.15"/>
    <row r="30422" s="69" customFormat="1" x14ac:dyDescent="0.15"/>
    <row r="30423" s="69" customFormat="1" x14ac:dyDescent="0.15"/>
    <row r="30424" s="69" customFormat="1" x14ac:dyDescent="0.15"/>
    <row r="30425" s="69" customFormat="1" x14ac:dyDescent="0.15"/>
    <row r="30426" s="69" customFormat="1" x14ac:dyDescent="0.15"/>
    <row r="30427" s="69" customFormat="1" x14ac:dyDescent="0.15"/>
    <row r="30428" s="69" customFormat="1" x14ac:dyDescent="0.15"/>
    <row r="30429" s="69" customFormat="1" x14ac:dyDescent="0.15"/>
    <row r="30430" s="69" customFormat="1" x14ac:dyDescent="0.15"/>
    <row r="30431" s="69" customFormat="1" x14ac:dyDescent="0.15"/>
    <row r="30432" s="69" customFormat="1" x14ac:dyDescent="0.15"/>
    <row r="30433" s="69" customFormat="1" x14ac:dyDescent="0.15"/>
    <row r="30434" s="69" customFormat="1" x14ac:dyDescent="0.15"/>
    <row r="30435" s="69" customFormat="1" x14ac:dyDescent="0.15"/>
    <row r="30436" s="69" customFormat="1" x14ac:dyDescent="0.15"/>
    <row r="30437" s="69" customFormat="1" x14ac:dyDescent="0.15"/>
    <row r="30438" s="69" customFormat="1" x14ac:dyDescent="0.15"/>
    <row r="30439" s="69" customFormat="1" x14ac:dyDescent="0.15"/>
    <row r="30440" s="69" customFormat="1" x14ac:dyDescent="0.15"/>
    <row r="30441" s="69" customFormat="1" x14ac:dyDescent="0.15"/>
    <row r="30442" s="69" customFormat="1" x14ac:dyDescent="0.15"/>
    <row r="30443" s="69" customFormat="1" x14ac:dyDescent="0.15"/>
    <row r="30444" s="69" customFormat="1" x14ac:dyDescent="0.15"/>
    <row r="30445" s="69" customFormat="1" x14ac:dyDescent="0.15"/>
    <row r="30446" s="69" customFormat="1" x14ac:dyDescent="0.15"/>
    <row r="30447" s="69" customFormat="1" x14ac:dyDescent="0.15"/>
    <row r="30448" s="69" customFormat="1" x14ac:dyDescent="0.15"/>
    <row r="30449" s="69" customFormat="1" x14ac:dyDescent="0.15"/>
    <row r="30450" s="69" customFormat="1" x14ac:dyDescent="0.15"/>
    <row r="30451" s="69" customFormat="1" x14ac:dyDescent="0.15"/>
    <row r="30452" s="69" customFormat="1" x14ac:dyDescent="0.15"/>
    <row r="30453" s="69" customFormat="1" x14ac:dyDescent="0.15"/>
    <row r="30454" s="69" customFormat="1" x14ac:dyDescent="0.15"/>
    <row r="30455" s="69" customFormat="1" x14ac:dyDescent="0.15"/>
    <row r="30456" s="69" customFormat="1" x14ac:dyDescent="0.15"/>
    <row r="30457" s="69" customFormat="1" x14ac:dyDescent="0.15"/>
    <row r="30458" s="69" customFormat="1" x14ac:dyDescent="0.15"/>
    <row r="30459" s="69" customFormat="1" x14ac:dyDescent="0.15"/>
    <row r="30460" s="69" customFormat="1" x14ac:dyDescent="0.15"/>
    <row r="30461" s="69" customFormat="1" x14ac:dyDescent="0.15"/>
    <row r="30462" s="69" customFormat="1" x14ac:dyDescent="0.15"/>
    <row r="30463" s="69" customFormat="1" x14ac:dyDescent="0.15"/>
    <row r="30464" s="69" customFormat="1" x14ac:dyDescent="0.15"/>
    <row r="30465" s="69" customFormat="1" x14ac:dyDescent="0.15"/>
    <row r="30466" s="69" customFormat="1" x14ac:dyDescent="0.15"/>
    <row r="30467" s="69" customFormat="1" x14ac:dyDescent="0.15"/>
    <row r="30468" s="69" customFormat="1" x14ac:dyDescent="0.15"/>
    <row r="30469" s="69" customFormat="1" x14ac:dyDescent="0.15"/>
    <row r="30470" s="69" customFormat="1" x14ac:dyDescent="0.15"/>
    <row r="30471" s="69" customFormat="1" x14ac:dyDescent="0.15"/>
    <row r="30472" s="69" customFormat="1" x14ac:dyDescent="0.15"/>
    <row r="30473" s="69" customFormat="1" x14ac:dyDescent="0.15"/>
    <row r="30474" s="69" customFormat="1" x14ac:dyDescent="0.15"/>
    <row r="30475" s="69" customFormat="1" x14ac:dyDescent="0.15"/>
    <row r="30476" s="69" customFormat="1" x14ac:dyDescent="0.15"/>
    <row r="30477" s="69" customFormat="1" x14ac:dyDescent="0.15"/>
    <row r="30478" s="69" customFormat="1" x14ac:dyDescent="0.15"/>
    <row r="30479" s="69" customFormat="1" x14ac:dyDescent="0.15"/>
    <row r="30480" s="69" customFormat="1" x14ac:dyDescent="0.15"/>
    <row r="30481" s="69" customFormat="1" x14ac:dyDescent="0.15"/>
    <row r="30482" s="69" customFormat="1" x14ac:dyDescent="0.15"/>
    <row r="30483" s="69" customFormat="1" x14ac:dyDescent="0.15"/>
    <row r="30484" s="69" customFormat="1" x14ac:dyDescent="0.15"/>
    <row r="30485" s="69" customFormat="1" x14ac:dyDescent="0.15"/>
    <row r="30486" s="69" customFormat="1" x14ac:dyDescent="0.15"/>
    <row r="30487" s="69" customFormat="1" x14ac:dyDescent="0.15"/>
    <row r="30488" s="69" customFormat="1" x14ac:dyDescent="0.15"/>
    <row r="30489" s="69" customFormat="1" x14ac:dyDescent="0.15"/>
    <row r="30490" s="69" customFormat="1" x14ac:dyDescent="0.15"/>
    <row r="30491" s="69" customFormat="1" x14ac:dyDescent="0.15"/>
    <row r="30492" s="69" customFormat="1" x14ac:dyDescent="0.15"/>
    <row r="30493" s="69" customFormat="1" x14ac:dyDescent="0.15"/>
    <row r="30494" s="69" customFormat="1" x14ac:dyDescent="0.15"/>
    <row r="30495" s="69" customFormat="1" x14ac:dyDescent="0.15"/>
    <row r="30496" s="69" customFormat="1" x14ac:dyDescent="0.15"/>
    <row r="30497" s="69" customFormat="1" x14ac:dyDescent="0.15"/>
    <row r="30498" s="69" customFormat="1" x14ac:dyDescent="0.15"/>
    <row r="30499" s="69" customFormat="1" x14ac:dyDescent="0.15"/>
    <row r="30500" s="69" customFormat="1" x14ac:dyDescent="0.15"/>
    <row r="30501" s="69" customFormat="1" x14ac:dyDescent="0.15"/>
    <row r="30502" s="69" customFormat="1" x14ac:dyDescent="0.15"/>
    <row r="30503" s="69" customFormat="1" x14ac:dyDescent="0.15"/>
    <row r="30504" s="69" customFormat="1" x14ac:dyDescent="0.15"/>
    <row r="30505" s="69" customFormat="1" x14ac:dyDescent="0.15"/>
    <row r="30506" s="69" customFormat="1" x14ac:dyDescent="0.15"/>
    <row r="30507" s="69" customFormat="1" x14ac:dyDescent="0.15"/>
    <row r="30508" s="69" customFormat="1" x14ac:dyDescent="0.15"/>
    <row r="30509" s="69" customFormat="1" x14ac:dyDescent="0.15"/>
    <row r="30510" s="69" customFormat="1" x14ac:dyDescent="0.15"/>
    <row r="30511" s="69" customFormat="1" x14ac:dyDescent="0.15"/>
    <row r="30512" s="69" customFormat="1" x14ac:dyDescent="0.15"/>
    <row r="30513" s="69" customFormat="1" x14ac:dyDescent="0.15"/>
    <row r="30514" s="69" customFormat="1" x14ac:dyDescent="0.15"/>
    <row r="30515" s="69" customFormat="1" x14ac:dyDescent="0.15"/>
    <row r="30516" s="69" customFormat="1" x14ac:dyDescent="0.15"/>
    <row r="30517" s="69" customFormat="1" x14ac:dyDescent="0.15"/>
    <row r="30518" s="69" customFormat="1" x14ac:dyDescent="0.15"/>
    <row r="30519" s="69" customFormat="1" x14ac:dyDescent="0.15"/>
    <row r="30520" s="69" customFormat="1" x14ac:dyDescent="0.15"/>
    <row r="30521" s="69" customFormat="1" x14ac:dyDescent="0.15"/>
    <row r="30522" s="69" customFormat="1" x14ac:dyDescent="0.15"/>
    <row r="30523" s="69" customFormat="1" x14ac:dyDescent="0.15"/>
    <row r="30524" s="69" customFormat="1" x14ac:dyDescent="0.15"/>
    <row r="30525" s="69" customFormat="1" x14ac:dyDescent="0.15"/>
    <row r="30526" s="69" customFormat="1" x14ac:dyDescent="0.15"/>
    <row r="30527" s="69" customFormat="1" x14ac:dyDescent="0.15"/>
    <row r="30528" s="69" customFormat="1" x14ac:dyDescent="0.15"/>
    <row r="30529" s="69" customFormat="1" x14ac:dyDescent="0.15"/>
    <row r="30530" s="69" customFormat="1" x14ac:dyDescent="0.15"/>
    <row r="30531" s="69" customFormat="1" x14ac:dyDescent="0.15"/>
    <row r="30532" s="69" customFormat="1" x14ac:dyDescent="0.15"/>
    <row r="30533" s="69" customFormat="1" x14ac:dyDescent="0.15"/>
    <row r="30534" s="69" customFormat="1" x14ac:dyDescent="0.15"/>
    <row r="30535" s="69" customFormat="1" x14ac:dyDescent="0.15"/>
    <row r="30536" s="69" customFormat="1" x14ac:dyDescent="0.15"/>
    <row r="30537" s="69" customFormat="1" x14ac:dyDescent="0.15"/>
    <row r="30538" s="69" customFormat="1" x14ac:dyDescent="0.15"/>
    <row r="30539" s="69" customFormat="1" x14ac:dyDescent="0.15"/>
    <row r="30540" s="69" customFormat="1" x14ac:dyDescent="0.15"/>
    <row r="30541" s="69" customFormat="1" x14ac:dyDescent="0.15"/>
    <row r="30542" s="69" customFormat="1" x14ac:dyDescent="0.15"/>
    <row r="30543" s="69" customFormat="1" x14ac:dyDescent="0.15"/>
    <row r="30544" s="69" customFormat="1" x14ac:dyDescent="0.15"/>
    <row r="30545" s="69" customFormat="1" x14ac:dyDescent="0.15"/>
    <row r="30546" s="69" customFormat="1" x14ac:dyDescent="0.15"/>
    <row r="30547" s="69" customFormat="1" x14ac:dyDescent="0.15"/>
    <row r="30548" s="69" customFormat="1" x14ac:dyDescent="0.15"/>
    <row r="30549" s="69" customFormat="1" x14ac:dyDescent="0.15"/>
    <row r="30550" s="69" customFormat="1" x14ac:dyDescent="0.15"/>
    <row r="30551" s="69" customFormat="1" x14ac:dyDescent="0.15"/>
    <row r="30552" s="69" customFormat="1" x14ac:dyDescent="0.15"/>
    <row r="30553" s="69" customFormat="1" x14ac:dyDescent="0.15"/>
    <row r="30554" s="69" customFormat="1" x14ac:dyDescent="0.15"/>
    <row r="30555" s="69" customFormat="1" x14ac:dyDescent="0.15"/>
    <row r="30556" s="69" customFormat="1" x14ac:dyDescent="0.15"/>
    <row r="30557" s="69" customFormat="1" x14ac:dyDescent="0.15"/>
    <row r="30558" s="69" customFormat="1" x14ac:dyDescent="0.15"/>
    <row r="30559" s="69" customFormat="1" x14ac:dyDescent="0.15"/>
    <row r="30560" s="69" customFormat="1" x14ac:dyDescent="0.15"/>
    <row r="30561" s="69" customFormat="1" x14ac:dyDescent="0.15"/>
    <row r="30562" s="69" customFormat="1" x14ac:dyDescent="0.15"/>
    <row r="30563" s="69" customFormat="1" x14ac:dyDescent="0.15"/>
    <row r="30564" s="69" customFormat="1" x14ac:dyDescent="0.15"/>
    <row r="30565" s="69" customFormat="1" x14ac:dyDescent="0.15"/>
    <row r="30566" s="69" customFormat="1" x14ac:dyDescent="0.15"/>
    <row r="30567" s="69" customFormat="1" x14ac:dyDescent="0.15"/>
    <row r="30568" s="69" customFormat="1" x14ac:dyDescent="0.15"/>
    <row r="30569" s="69" customFormat="1" x14ac:dyDescent="0.15"/>
    <row r="30570" s="69" customFormat="1" x14ac:dyDescent="0.15"/>
    <row r="30571" s="69" customFormat="1" x14ac:dyDescent="0.15"/>
    <row r="30572" s="69" customFormat="1" x14ac:dyDescent="0.15"/>
    <row r="30573" s="69" customFormat="1" x14ac:dyDescent="0.15"/>
    <row r="30574" s="69" customFormat="1" x14ac:dyDescent="0.15"/>
    <row r="30575" s="69" customFormat="1" x14ac:dyDescent="0.15"/>
    <row r="30576" s="69" customFormat="1" x14ac:dyDescent="0.15"/>
    <row r="30577" s="69" customFormat="1" x14ac:dyDescent="0.15"/>
    <row r="30578" s="69" customFormat="1" x14ac:dyDescent="0.15"/>
    <row r="30579" s="69" customFormat="1" x14ac:dyDescent="0.15"/>
    <row r="30580" s="69" customFormat="1" x14ac:dyDescent="0.15"/>
    <row r="30581" s="69" customFormat="1" x14ac:dyDescent="0.15"/>
    <row r="30582" s="69" customFormat="1" x14ac:dyDescent="0.15"/>
    <row r="30583" s="69" customFormat="1" x14ac:dyDescent="0.15"/>
    <row r="30584" s="69" customFormat="1" x14ac:dyDescent="0.15"/>
    <row r="30585" s="69" customFormat="1" x14ac:dyDescent="0.15"/>
    <row r="30586" s="69" customFormat="1" x14ac:dyDescent="0.15"/>
    <row r="30587" s="69" customFormat="1" x14ac:dyDescent="0.15"/>
    <row r="30588" s="69" customFormat="1" x14ac:dyDescent="0.15"/>
    <row r="30589" s="69" customFormat="1" x14ac:dyDescent="0.15"/>
    <row r="30590" s="69" customFormat="1" x14ac:dyDescent="0.15"/>
    <row r="30591" s="69" customFormat="1" x14ac:dyDescent="0.15"/>
    <row r="30592" s="69" customFormat="1" x14ac:dyDescent="0.15"/>
    <row r="30593" s="69" customFormat="1" x14ac:dyDescent="0.15"/>
    <row r="30594" s="69" customFormat="1" x14ac:dyDescent="0.15"/>
    <row r="30595" s="69" customFormat="1" x14ac:dyDescent="0.15"/>
    <row r="30596" s="69" customFormat="1" x14ac:dyDescent="0.15"/>
    <row r="30597" s="69" customFormat="1" x14ac:dyDescent="0.15"/>
    <row r="30598" s="69" customFormat="1" x14ac:dyDescent="0.15"/>
    <row r="30599" s="69" customFormat="1" x14ac:dyDescent="0.15"/>
    <row r="30600" s="69" customFormat="1" x14ac:dyDescent="0.15"/>
    <row r="30601" s="69" customFormat="1" x14ac:dyDescent="0.15"/>
    <row r="30602" s="69" customFormat="1" x14ac:dyDescent="0.15"/>
    <row r="30603" s="69" customFormat="1" x14ac:dyDescent="0.15"/>
    <row r="30604" s="69" customFormat="1" x14ac:dyDescent="0.15"/>
    <row r="30605" s="69" customFormat="1" x14ac:dyDescent="0.15"/>
    <row r="30606" s="69" customFormat="1" x14ac:dyDescent="0.15"/>
    <row r="30607" s="69" customFormat="1" x14ac:dyDescent="0.15"/>
    <row r="30608" s="69" customFormat="1" x14ac:dyDescent="0.15"/>
    <row r="30609" s="69" customFormat="1" x14ac:dyDescent="0.15"/>
    <row r="30610" s="69" customFormat="1" x14ac:dyDescent="0.15"/>
    <row r="30611" s="69" customFormat="1" x14ac:dyDescent="0.15"/>
    <row r="30612" s="69" customFormat="1" x14ac:dyDescent="0.15"/>
    <row r="30613" s="69" customFormat="1" x14ac:dyDescent="0.15"/>
    <row r="30614" s="69" customFormat="1" x14ac:dyDescent="0.15"/>
    <row r="30615" s="69" customFormat="1" x14ac:dyDescent="0.15"/>
    <row r="30616" s="69" customFormat="1" x14ac:dyDescent="0.15"/>
    <row r="30617" s="69" customFormat="1" x14ac:dyDescent="0.15"/>
    <row r="30618" s="69" customFormat="1" x14ac:dyDescent="0.15"/>
    <row r="30619" s="69" customFormat="1" x14ac:dyDescent="0.15"/>
    <row r="30620" s="69" customFormat="1" x14ac:dyDescent="0.15"/>
    <row r="30621" s="69" customFormat="1" x14ac:dyDescent="0.15"/>
    <row r="30622" s="69" customFormat="1" x14ac:dyDescent="0.15"/>
    <row r="30623" s="69" customFormat="1" x14ac:dyDescent="0.15"/>
    <row r="30624" s="69" customFormat="1" x14ac:dyDescent="0.15"/>
    <row r="30625" s="69" customFormat="1" x14ac:dyDescent="0.15"/>
    <row r="30626" s="69" customFormat="1" x14ac:dyDescent="0.15"/>
    <row r="30627" s="69" customFormat="1" x14ac:dyDescent="0.15"/>
    <row r="30628" s="69" customFormat="1" x14ac:dyDescent="0.15"/>
    <row r="30629" s="69" customFormat="1" x14ac:dyDescent="0.15"/>
    <row r="30630" s="69" customFormat="1" x14ac:dyDescent="0.15"/>
    <row r="30631" s="69" customFormat="1" x14ac:dyDescent="0.15"/>
    <row r="30632" s="69" customFormat="1" x14ac:dyDescent="0.15"/>
    <row r="30633" s="69" customFormat="1" x14ac:dyDescent="0.15"/>
    <row r="30634" s="69" customFormat="1" x14ac:dyDescent="0.15"/>
    <row r="30635" s="69" customFormat="1" x14ac:dyDescent="0.15"/>
    <row r="30636" s="69" customFormat="1" x14ac:dyDescent="0.15"/>
    <row r="30637" s="69" customFormat="1" x14ac:dyDescent="0.15"/>
    <row r="30638" s="69" customFormat="1" x14ac:dyDescent="0.15"/>
    <row r="30639" s="69" customFormat="1" x14ac:dyDescent="0.15"/>
    <row r="30640" s="69" customFormat="1" x14ac:dyDescent="0.15"/>
    <row r="30641" s="69" customFormat="1" x14ac:dyDescent="0.15"/>
    <row r="30642" s="69" customFormat="1" x14ac:dyDescent="0.15"/>
    <row r="30643" s="69" customFormat="1" x14ac:dyDescent="0.15"/>
    <row r="30644" s="69" customFormat="1" x14ac:dyDescent="0.15"/>
    <row r="30645" s="69" customFormat="1" x14ac:dyDescent="0.15"/>
    <row r="30646" s="69" customFormat="1" x14ac:dyDescent="0.15"/>
    <row r="30647" s="69" customFormat="1" x14ac:dyDescent="0.15"/>
    <row r="30648" s="69" customFormat="1" x14ac:dyDescent="0.15"/>
    <row r="30649" s="69" customFormat="1" x14ac:dyDescent="0.15"/>
    <row r="30650" s="69" customFormat="1" x14ac:dyDescent="0.15"/>
    <row r="30651" s="69" customFormat="1" x14ac:dyDescent="0.15"/>
    <row r="30652" s="69" customFormat="1" x14ac:dyDescent="0.15"/>
    <row r="30653" s="69" customFormat="1" x14ac:dyDescent="0.15"/>
    <row r="30654" s="69" customFormat="1" x14ac:dyDescent="0.15"/>
    <row r="30655" s="69" customFormat="1" x14ac:dyDescent="0.15"/>
    <row r="30656" s="69" customFormat="1" x14ac:dyDescent="0.15"/>
    <row r="30657" s="69" customFormat="1" x14ac:dyDescent="0.15"/>
    <row r="30658" s="69" customFormat="1" x14ac:dyDescent="0.15"/>
    <row r="30659" s="69" customFormat="1" x14ac:dyDescent="0.15"/>
    <row r="30660" s="69" customFormat="1" x14ac:dyDescent="0.15"/>
    <row r="30661" s="69" customFormat="1" x14ac:dyDescent="0.15"/>
    <row r="30662" s="69" customFormat="1" x14ac:dyDescent="0.15"/>
    <row r="30663" s="69" customFormat="1" x14ac:dyDescent="0.15"/>
    <row r="30664" s="69" customFormat="1" x14ac:dyDescent="0.15"/>
    <row r="30665" s="69" customFormat="1" x14ac:dyDescent="0.15"/>
    <row r="30666" s="69" customFormat="1" x14ac:dyDescent="0.15"/>
    <row r="30667" s="69" customFormat="1" x14ac:dyDescent="0.15"/>
    <row r="30668" s="69" customFormat="1" x14ac:dyDescent="0.15"/>
    <row r="30669" s="69" customFormat="1" x14ac:dyDescent="0.15"/>
    <row r="30670" s="69" customFormat="1" x14ac:dyDescent="0.15"/>
    <row r="30671" s="69" customFormat="1" x14ac:dyDescent="0.15"/>
    <row r="30672" s="69" customFormat="1" x14ac:dyDescent="0.15"/>
    <row r="30673" s="69" customFormat="1" x14ac:dyDescent="0.15"/>
    <row r="30674" s="69" customFormat="1" x14ac:dyDescent="0.15"/>
    <row r="30675" s="69" customFormat="1" x14ac:dyDescent="0.15"/>
    <row r="30676" s="69" customFormat="1" x14ac:dyDescent="0.15"/>
    <row r="30677" s="69" customFormat="1" x14ac:dyDescent="0.15"/>
    <row r="30678" s="69" customFormat="1" x14ac:dyDescent="0.15"/>
    <row r="30679" s="69" customFormat="1" x14ac:dyDescent="0.15"/>
    <row r="30680" s="69" customFormat="1" x14ac:dyDescent="0.15"/>
    <row r="30681" s="69" customFormat="1" x14ac:dyDescent="0.15"/>
    <row r="30682" s="69" customFormat="1" x14ac:dyDescent="0.15"/>
    <row r="30683" s="69" customFormat="1" x14ac:dyDescent="0.15"/>
    <row r="30684" s="69" customFormat="1" x14ac:dyDescent="0.15"/>
    <row r="30685" s="69" customFormat="1" x14ac:dyDescent="0.15"/>
    <row r="30686" s="69" customFormat="1" x14ac:dyDescent="0.15"/>
    <row r="30687" s="69" customFormat="1" x14ac:dyDescent="0.15"/>
    <row r="30688" s="69" customFormat="1" x14ac:dyDescent="0.15"/>
    <row r="30689" s="69" customFormat="1" x14ac:dyDescent="0.15"/>
    <row r="30690" s="69" customFormat="1" x14ac:dyDescent="0.15"/>
    <row r="30691" s="69" customFormat="1" x14ac:dyDescent="0.15"/>
    <row r="30692" s="69" customFormat="1" x14ac:dyDescent="0.15"/>
    <row r="30693" s="69" customFormat="1" x14ac:dyDescent="0.15"/>
    <row r="30694" s="69" customFormat="1" x14ac:dyDescent="0.15"/>
    <row r="30695" s="69" customFormat="1" x14ac:dyDescent="0.15"/>
    <row r="30696" s="69" customFormat="1" x14ac:dyDescent="0.15"/>
    <row r="30697" s="69" customFormat="1" x14ac:dyDescent="0.15"/>
    <row r="30698" s="69" customFormat="1" x14ac:dyDescent="0.15"/>
    <row r="30699" s="69" customFormat="1" x14ac:dyDescent="0.15"/>
    <row r="30700" s="69" customFormat="1" x14ac:dyDescent="0.15"/>
    <row r="30701" s="69" customFormat="1" x14ac:dyDescent="0.15"/>
    <row r="30702" s="69" customFormat="1" x14ac:dyDescent="0.15"/>
    <row r="30703" s="69" customFormat="1" x14ac:dyDescent="0.15"/>
    <row r="30704" s="69" customFormat="1" x14ac:dyDescent="0.15"/>
    <row r="30705" s="69" customFormat="1" x14ac:dyDescent="0.15"/>
    <row r="30706" s="69" customFormat="1" x14ac:dyDescent="0.15"/>
    <row r="30707" s="69" customFormat="1" x14ac:dyDescent="0.15"/>
    <row r="30708" s="69" customFormat="1" x14ac:dyDescent="0.15"/>
    <row r="30709" s="69" customFormat="1" x14ac:dyDescent="0.15"/>
    <row r="30710" s="69" customFormat="1" x14ac:dyDescent="0.15"/>
    <row r="30711" s="69" customFormat="1" x14ac:dyDescent="0.15"/>
    <row r="30712" s="69" customFormat="1" x14ac:dyDescent="0.15"/>
    <row r="30713" s="69" customFormat="1" x14ac:dyDescent="0.15"/>
    <row r="30714" s="69" customFormat="1" x14ac:dyDescent="0.15"/>
    <row r="30715" s="69" customFormat="1" x14ac:dyDescent="0.15"/>
    <row r="30716" s="69" customFormat="1" x14ac:dyDescent="0.15"/>
    <row r="30717" s="69" customFormat="1" x14ac:dyDescent="0.15"/>
    <row r="30718" s="69" customFormat="1" x14ac:dyDescent="0.15"/>
    <row r="30719" s="69" customFormat="1" x14ac:dyDescent="0.15"/>
    <row r="30720" s="69" customFormat="1" x14ac:dyDescent="0.15"/>
    <row r="30721" s="69" customFormat="1" x14ac:dyDescent="0.15"/>
    <row r="30722" s="69" customFormat="1" x14ac:dyDescent="0.15"/>
    <row r="30723" s="69" customFormat="1" x14ac:dyDescent="0.15"/>
    <row r="30724" s="69" customFormat="1" x14ac:dyDescent="0.15"/>
    <row r="30725" s="69" customFormat="1" x14ac:dyDescent="0.15"/>
    <row r="30726" s="69" customFormat="1" x14ac:dyDescent="0.15"/>
    <row r="30727" s="69" customFormat="1" x14ac:dyDescent="0.15"/>
    <row r="30728" s="69" customFormat="1" x14ac:dyDescent="0.15"/>
    <row r="30729" s="69" customFormat="1" x14ac:dyDescent="0.15"/>
    <row r="30730" s="69" customFormat="1" x14ac:dyDescent="0.15"/>
    <row r="30731" s="69" customFormat="1" x14ac:dyDescent="0.15"/>
    <row r="30732" s="69" customFormat="1" x14ac:dyDescent="0.15"/>
    <row r="30733" s="69" customFormat="1" x14ac:dyDescent="0.15"/>
    <row r="30734" s="69" customFormat="1" x14ac:dyDescent="0.15"/>
    <row r="30735" s="69" customFormat="1" x14ac:dyDescent="0.15"/>
    <row r="30736" s="69" customFormat="1" x14ac:dyDescent="0.15"/>
    <row r="30737" s="69" customFormat="1" x14ac:dyDescent="0.15"/>
    <row r="30738" s="69" customFormat="1" x14ac:dyDescent="0.15"/>
    <row r="30739" s="69" customFormat="1" x14ac:dyDescent="0.15"/>
    <row r="30740" s="69" customFormat="1" x14ac:dyDescent="0.15"/>
    <row r="30741" s="69" customFormat="1" x14ac:dyDescent="0.15"/>
    <row r="30742" s="69" customFormat="1" x14ac:dyDescent="0.15"/>
    <row r="30743" s="69" customFormat="1" x14ac:dyDescent="0.15"/>
    <row r="30744" s="69" customFormat="1" x14ac:dyDescent="0.15"/>
    <row r="30745" s="69" customFormat="1" x14ac:dyDescent="0.15"/>
    <row r="30746" s="69" customFormat="1" x14ac:dyDescent="0.15"/>
    <row r="30747" s="69" customFormat="1" x14ac:dyDescent="0.15"/>
    <row r="30748" s="69" customFormat="1" x14ac:dyDescent="0.15"/>
    <row r="30749" s="69" customFormat="1" x14ac:dyDescent="0.15"/>
    <row r="30750" s="69" customFormat="1" x14ac:dyDescent="0.15"/>
    <row r="30751" s="69" customFormat="1" x14ac:dyDescent="0.15"/>
    <row r="30752" s="69" customFormat="1" x14ac:dyDescent="0.15"/>
    <row r="30753" s="69" customFormat="1" x14ac:dyDescent="0.15"/>
    <row r="30754" s="69" customFormat="1" x14ac:dyDescent="0.15"/>
    <row r="30755" s="69" customFormat="1" x14ac:dyDescent="0.15"/>
    <row r="30756" s="69" customFormat="1" x14ac:dyDescent="0.15"/>
    <row r="30757" s="69" customFormat="1" x14ac:dyDescent="0.15"/>
    <row r="30758" s="69" customFormat="1" x14ac:dyDescent="0.15"/>
    <row r="30759" s="69" customFormat="1" x14ac:dyDescent="0.15"/>
    <row r="30760" s="69" customFormat="1" x14ac:dyDescent="0.15"/>
    <row r="30761" s="69" customFormat="1" x14ac:dyDescent="0.15"/>
    <row r="30762" s="69" customFormat="1" x14ac:dyDescent="0.15"/>
    <row r="30763" s="69" customFormat="1" x14ac:dyDescent="0.15"/>
    <row r="30764" s="69" customFormat="1" x14ac:dyDescent="0.15"/>
    <row r="30765" s="69" customFormat="1" x14ac:dyDescent="0.15"/>
    <row r="30766" s="69" customFormat="1" x14ac:dyDescent="0.15"/>
    <row r="30767" s="69" customFormat="1" x14ac:dyDescent="0.15"/>
    <row r="30768" s="69" customFormat="1" x14ac:dyDescent="0.15"/>
    <row r="30769" s="69" customFormat="1" x14ac:dyDescent="0.15"/>
    <row r="30770" s="69" customFormat="1" x14ac:dyDescent="0.15"/>
    <row r="30771" s="69" customFormat="1" x14ac:dyDescent="0.15"/>
    <row r="30772" s="69" customFormat="1" x14ac:dyDescent="0.15"/>
    <row r="30773" s="69" customFormat="1" x14ac:dyDescent="0.15"/>
    <row r="30774" s="69" customFormat="1" x14ac:dyDescent="0.15"/>
    <row r="30775" s="69" customFormat="1" x14ac:dyDescent="0.15"/>
    <row r="30776" s="69" customFormat="1" x14ac:dyDescent="0.15"/>
    <row r="30777" s="69" customFormat="1" x14ac:dyDescent="0.15"/>
    <row r="30778" s="69" customFormat="1" x14ac:dyDescent="0.15"/>
    <row r="30779" s="69" customFormat="1" x14ac:dyDescent="0.15"/>
    <row r="30780" s="69" customFormat="1" x14ac:dyDescent="0.15"/>
    <row r="30781" s="69" customFormat="1" x14ac:dyDescent="0.15"/>
    <row r="30782" s="69" customFormat="1" x14ac:dyDescent="0.15"/>
    <row r="30783" s="69" customFormat="1" x14ac:dyDescent="0.15"/>
    <row r="30784" s="69" customFormat="1" x14ac:dyDescent="0.15"/>
    <row r="30785" s="69" customFormat="1" x14ac:dyDescent="0.15"/>
    <row r="30786" s="69" customFormat="1" x14ac:dyDescent="0.15"/>
    <row r="30787" s="69" customFormat="1" x14ac:dyDescent="0.15"/>
    <row r="30788" s="69" customFormat="1" x14ac:dyDescent="0.15"/>
    <row r="30789" s="69" customFormat="1" x14ac:dyDescent="0.15"/>
    <row r="30790" s="69" customFormat="1" x14ac:dyDescent="0.15"/>
    <row r="30791" s="69" customFormat="1" x14ac:dyDescent="0.15"/>
    <row r="30792" s="69" customFormat="1" x14ac:dyDescent="0.15"/>
    <row r="30793" s="69" customFormat="1" x14ac:dyDescent="0.15"/>
    <row r="30794" s="69" customFormat="1" x14ac:dyDescent="0.15"/>
    <row r="30795" s="69" customFormat="1" x14ac:dyDescent="0.15"/>
    <row r="30796" s="69" customFormat="1" x14ac:dyDescent="0.15"/>
    <row r="30797" s="69" customFormat="1" x14ac:dyDescent="0.15"/>
    <row r="30798" s="69" customFormat="1" x14ac:dyDescent="0.15"/>
    <row r="30799" s="69" customFormat="1" x14ac:dyDescent="0.15"/>
    <row r="30800" s="69" customFormat="1" x14ac:dyDescent="0.15"/>
    <row r="30801" s="69" customFormat="1" x14ac:dyDescent="0.15"/>
    <row r="30802" s="69" customFormat="1" x14ac:dyDescent="0.15"/>
    <row r="30803" s="69" customFormat="1" x14ac:dyDescent="0.15"/>
    <row r="30804" s="69" customFormat="1" x14ac:dyDescent="0.15"/>
    <row r="30805" s="69" customFormat="1" x14ac:dyDescent="0.15"/>
    <row r="30806" s="69" customFormat="1" x14ac:dyDescent="0.15"/>
    <row r="30807" s="69" customFormat="1" x14ac:dyDescent="0.15"/>
    <row r="30808" s="69" customFormat="1" x14ac:dyDescent="0.15"/>
    <row r="30809" s="69" customFormat="1" x14ac:dyDescent="0.15"/>
    <row r="30810" s="69" customFormat="1" x14ac:dyDescent="0.15"/>
    <row r="30811" s="69" customFormat="1" x14ac:dyDescent="0.15"/>
    <row r="30812" s="69" customFormat="1" x14ac:dyDescent="0.15"/>
    <row r="30813" s="69" customFormat="1" x14ac:dyDescent="0.15"/>
    <row r="30814" s="69" customFormat="1" x14ac:dyDescent="0.15"/>
    <row r="30815" s="69" customFormat="1" x14ac:dyDescent="0.15"/>
    <row r="30816" s="69" customFormat="1" x14ac:dyDescent="0.15"/>
    <row r="30817" s="69" customFormat="1" x14ac:dyDescent="0.15"/>
    <row r="30818" s="69" customFormat="1" x14ac:dyDescent="0.15"/>
    <row r="30819" s="69" customFormat="1" x14ac:dyDescent="0.15"/>
    <row r="30820" s="69" customFormat="1" x14ac:dyDescent="0.15"/>
    <row r="30821" s="69" customFormat="1" x14ac:dyDescent="0.15"/>
    <row r="30822" s="69" customFormat="1" x14ac:dyDescent="0.15"/>
    <row r="30823" s="69" customFormat="1" x14ac:dyDescent="0.15"/>
    <row r="30824" s="69" customFormat="1" x14ac:dyDescent="0.15"/>
    <row r="30825" s="69" customFormat="1" x14ac:dyDescent="0.15"/>
    <row r="30826" s="69" customFormat="1" x14ac:dyDescent="0.15"/>
    <row r="30827" s="69" customFormat="1" x14ac:dyDescent="0.15"/>
    <row r="30828" s="69" customFormat="1" x14ac:dyDescent="0.15"/>
    <row r="30829" s="69" customFormat="1" x14ac:dyDescent="0.15"/>
    <row r="30830" s="69" customFormat="1" x14ac:dyDescent="0.15"/>
    <row r="30831" s="69" customFormat="1" x14ac:dyDescent="0.15"/>
    <row r="30832" s="69" customFormat="1" x14ac:dyDescent="0.15"/>
    <row r="30833" s="69" customFormat="1" x14ac:dyDescent="0.15"/>
    <row r="30834" s="69" customFormat="1" x14ac:dyDescent="0.15"/>
    <row r="30835" s="69" customFormat="1" x14ac:dyDescent="0.15"/>
    <row r="30836" s="69" customFormat="1" x14ac:dyDescent="0.15"/>
    <row r="30837" s="69" customFormat="1" x14ac:dyDescent="0.15"/>
    <row r="30838" s="69" customFormat="1" x14ac:dyDescent="0.15"/>
    <row r="30839" s="69" customFormat="1" x14ac:dyDescent="0.15"/>
    <row r="30840" s="69" customFormat="1" x14ac:dyDescent="0.15"/>
    <row r="30841" s="69" customFormat="1" x14ac:dyDescent="0.15"/>
    <row r="30842" s="69" customFormat="1" x14ac:dyDescent="0.15"/>
    <row r="30843" s="69" customFormat="1" x14ac:dyDescent="0.15"/>
    <row r="30844" s="69" customFormat="1" x14ac:dyDescent="0.15"/>
    <row r="30845" s="69" customFormat="1" x14ac:dyDescent="0.15"/>
    <row r="30846" s="69" customFormat="1" x14ac:dyDescent="0.15"/>
    <row r="30847" s="69" customFormat="1" x14ac:dyDescent="0.15"/>
    <row r="30848" s="69" customFormat="1" x14ac:dyDescent="0.15"/>
    <row r="30849" s="69" customFormat="1" x14ac:dyDescent="0.15"/>
    <row r="30850" s="69" customFormat="1" x14ac:dyDescent="0.15"/>
    <row r="30851" s="69" customFormat="1" x14ac:dyDescent="0.15"/>
    <row r="30852" s="69" customFormat="1" x14ac:dyDescent="0.15"/>
    <row r="30853" s="69" customFormat="1" x14ac:dyDescent="0.15"/>
    <row r="30854" s="69" customFormat="1" x14ac:dyDescent="0.15"/>
    <row r="30855" s="69" customFormat="1" x14ac:dyDescent="0.15"/>
    <row r="30856" s="69" customFormat="1" x14ac:dyDescent="0.15"/>
    <row r="30857" s="69" customFormat="1" x14ac:dyDescent="0.15"/>
    <row r="30858" s="69" customFormat="1" x14ac:dyDescent="0.15"/>
    <row r="30859" s="69" customFormat="1" x14ac:dyDescent="0.15"/>
    <row r="30860" s="69" customFormat="1" x14ac:dyDescent="0.15"/>
    <row r="30861" s="69" customFormat="1" x14ac:dyDescent="0.15"/>
    <row r="30862" s="69" customFormat="1" x14ac:dyDescent="0.15"/>
    <row r="30863" s="69" customFormat="1" x14ac:dyDescent="0.15"/>
    <row r="30864" s="69" customFormat="1" x14ac:dyDescent="0.15"/>
    <row r="30865" s="69" customFormat="1" x14ac:dyDescent="0.15"/>
    <row r="30866" s="69" customFormat="1" x14ac:dyDescent="0.15"/>
    <row r="30867" s="69" customFormat="1" x14ac:dyDescent="0.15"/>
    <row r="30868" s="69" customFormat="1" x14ac:dyDescent="0.15"/>
    <row r="30869" s="69" customFormat="1" x14ac:dyDescent="0.15"/>
    <row r="30870" s="69" customFormat="1" x14ac:dyDescent="0.15"/>
    <row r="30871" s="69" customFormat="1" x14ac:dyDescent="0.15"/>
    <row r="30872" s="69" customFormat="1" x14ac:dyDescent="0.15"/>
    <row r="30873" s="69" customFormat="1" x14ac:dyDescent="0.15"/>
    <row r="30874" s="69" customFormat="1" x14ac:dyDescent="0.15"/>
    <row r="30875" s="69" customFormat="1" x14ac:dyDescent="0.15"/>
    <row r="30876" s="69" customFormat="1" x14ac:dyDescent="0.15"/>
    <row r="30877" s="69" customFormat="1" x14ac:dyDescent="0.15"/>
    <row r="30878" s="69" customFormat="1" x14ac:dyDescent="0.15"/>
    <row r="30879" s="69" customFormat="1" x14ac:dyDescent="0.15"/>
    <row r="30880" s="69" customFormat="1" x14ac:dyDescent="0.15"/>
    <row r="30881" s="69" customFormat="1" x14ac:dyDescent="0.15"/>
    <row r="30882" s="69" customFormat="1" x14ac:dyDescent="0.15"/>
    <row r="30883" s="69" customFormat="1" x14ac:dyDescent="0.15"/>
    <row r="30884" s="69" customFormat="1" x14ac:dyDescent="0.15"/>
    <row r="30885" s="69" customFormat="1" x14ac:dyDescent="0.15"/>
    <row r="30886" s="69" customFormat="1" x14ac:dyDescent="0.15"/>
    <row r="30887" s="69" customFormat="1" x14ac:dyDescent="0.15"/>
    <row r="30888" s="69" customFormat="1" x14ac:dyDescent="0.15"/>
    <row r="30889" s="69" customFormat="1" x14ac:dyDescent="0.15"/>
    <row r="30890" s="69" customFormat="1" x14ac:dyDescent="0.15"/>
    <row r="30891" s="69" customFormat="1" x14ac:dyDescent="0.15"/>
    <row r="30892" s="69" customFormat="1" x14ac:dyDescent="0.15"/>
    <row r="30893" s="69" customFormat="1" x14ac:dyDescent="0.15"/>
    <row r="30894" s="69" customFormat="1" x14ac:dyDescent="0.15"/>
    <row r="30895" s="69" customFormat="1" x14ac:dyDescent="0.15"/>
    <row r="30896" s="69" customFormat="1" x14ac:dyDescent="0.15"/>
    <row r="30897" s="69" customFormat="1" x14ac:dyDescent="0.15"/>
    <row r="30898" s="69" customFormat="1" x14ac:dyDescent="0.15"/>
    <row r="30899" s="69" customFormat="1" x14ac:dyDescent="0.15"/>
    <row r="30900" s="69" customFormat="1" x14ac:dyDescent="0.15"/>
    <row r="30901" s="69" customFormat="1" x14ac:dyDescent="0.15"/>
    <row r="30902" s="69" customFormat="1" x14ac:dyDescent="0.15"/>
    <row r="30903" s="69" customFormat="1" x14ac:dyDescent="0.15"/>
    <row r="30904" s="69" customFormat="1" x14ac:dyDescent="0.15"/>
    <row r="30905" s="69" customFormat="1" x14ac:dyDescent="0.15"/>
    <row r="30906" s="69" customFormat="1" x14ac:dyDescent="0.15"/>
    <row r="30907" s="69" customFormat="1" x14ac:dyDescent="0.15"/>
    <row r="30908" s="69" customFormat="1" x14ac:dyDescent="0.15"/>
    <row r="30909" s="69" customFormat="1" x14ac:dyDescent="0.15"/>
    <row r="30910" s="69" customFormat="1" x14ac:dyDescent="0.15"/>
    <row r="30911" s="69" customFormat="1" x14ac:dyDescent="0.15"/>
    <row r="30912" s="69" customFormat="1" x14ac:dyDescent="0.15"/>
    <row r="30913" s="69" customFormat="1" x14ac:dyDescent="0.15"/>
    <row r="30914" s="69" customFormat="1" x14ac:dyDescent="0.15"/>
    <row r="30915" s="69" customFormat="1" x14ac:dyDescent="0.15"/>
    <row r="30916" s="69" customFormat="1" x14ac:dyDescent="0.15"/>
    <row r="30917" s="69" customFormat="1" x14ac:dyDescent="0.15"/>
    <row r="30918" s="69" customFormat="1" x14ac:dyDescent="0.15"/>
    <row r="30919" s="69" customFormat="1" x14ac:dyDescent="0.15"/>
    <row r="30920" s="69" customFormat="1" x14ac:dyDescent="0.15"/>
    <row r="30921" s="69" customFormat="1" x14ac:dyDescent="0.15"/>
    <row r="30922" s="69" customFormat="1" x14ac:dyDescent="0.15"/>
    <row r="30923" s="69" customFormat="1" x14ac:dyDescent="0.15"/>
    <row r="30924" s="69" customFormat="1" x14ac:dyDescent="0.15"/>
    <row r="30925" s="69" customFormat="1" x14ac:dyDescent="0.15"/>
    <row r="30926" s="69" customFormat="1" x14ac:dyDescent="0.15"/>
    <row r="30927" s="69" customFormat="1" x14ac:dyDescent="0.15"/>
    <row r="30928" s="69" customFormat="1" x14ac:dyDescent="0.15"/>
    <row r="30929" s="69" customFormat="1" x14ac:dyDescent="0.15"/>
    <row r="30930" s="69" customFormat="1" x14ac:dyDescent="0.15"/>
    <row r="30931" s="69" customFormat="1" x14ac:dyDescent="0.15"/>
    <row r="30932" s="69" customFormat="1" x14ac:dyDescent="0.15"/>
    <row r="30933" s="69" customFormat="1" x14ac:dyDescent="0.15"/>
    <row r="30934" s="69" customFormat="1" x14ac:dyDescent="0.15"/>
    <row r="30935" s="69" customFormat="1" x14ac:dyDescent="0.15"/>
    <row r="30936" s="69" customFormat="1" x14ac:dyDescent="0.15"/>
    <row r="30937" s="69" customFormat="1" x14ac:dyDescent="0.15"/>
    <row r="30938" s="69" customFormat="1" x14ac:dyDescent="0.15"/>
    <row r="30939" s="69" customFormat="1" x14ac:dyDescent="0.15"/>
    <row r="30940" s="69" customFormat="1" x14ac:dyDescent="0.15"/>
    <row r="30941" s="69" customFormat="1" x14ac:dyDescent="0.15"/>
    <row r="30942" s="69" customFormat="1" x14ac:dyDescent="0.15"/>
    <row r="30943" s="69" customFormat="1" x14ac:dyDescent="0.15"/>
    <row r="30944" s="69" customFormat="1" x14ac:dyDescent="0.15"/>
    <row r="30945" s="69" customFormat="1" x14ac:dyDescent="0.15"/>
    <row r="30946" s="69" customFormat="1" x14ac:dyDescent="0.15"/>
    <row r="30947" s="69" customFormat="1" x14ac:dyDescent="0.15"/>
    <row r="30948" s="69" customFormat="1" x14ac:dyDescent="0.15"/>
    <row r="30949" s="69" customFormat="1" x14ac:dyDescent="0.15"/>
    <row r="30950" s="69" customFormat="1" x14ac:dyDescent="0.15"/>
    <row r="30951" s="69" customFormat="1" x14ac:dyDescent="0.15"/>
    <row r="30952" s="69" customFormat="1" x14ac:dyDescent="0.15"/>
    <row r="30953" s="69" customFormat="1" x14ac:dyDescent="0.15"/>
    <row r="30954" s="69" customFormat="1" x14ac:dyDescent="0.15"/>
    <row r="30955" s="69" customFormat="1" x14ac:dyDescent="0.15"/>
    <row r="30956" s="69" customFormat="1" x14ac:dyDescent="0.15"/>
    <row r="30957" s="69" customFormat="1" x14ac:dyDescent="0.15"/>
    <row r="30958" s="69" customFormat="1" x14ac:dyDescent="0.15"/>
    <row r="30959" s="69" customFormat="1" x14ac:dyDescent="0.15"/>
    <row r="30960" s="69" customFormat="1" x14ac:dyDescent="0.15"/>
    <row r="30961" s="69" customFormat="1" x14ac:dyDescent="0.15"/>
    <row r="30962" s="69" customFormat="1" x14ac:dyDescent="0.15"/>
    <row r="30963" s="69" customFormat="1" x14ac:dyDescent="0.15"/>
    <row r="30964" s="69" customFormat="1" x14ac:dyDescent="0.15"/>
    <row r="30965" s="69" customFormat="1" x14ac:dyDescent="0.15"/>
    <row r="30966" s="69" customFormat="1" x14ac:dyDescent="0.15"/>
    <row r="30967" s="69" customFormat="1" x14ac:dyDescent="0.15"/>
    <row r="30968" s="69" customFormat="1" x14ac:dyDescent="0.15"/>
    <row r="30969" s="69" customFormat="1" x14ac:dyDescent="0.15"/>
    <row r="30970" s="69" customFormat="1" x14ac:dyDescent="0.15"/>
    <row r="30971" s="69" customFormat="1" x14ac:dyDescent="0.15"/>
    <row r="30972" s="69" customFormat="1" x14ac:dyDescent="0.15"/>
    <row r="30973" s="69" customFormat="1" x14ac:dyDescent="0.15"/>
    <row r="30974" s="69" customFormat="1" x14ac:dyDescent="0.15"/>
    <row r="30975" s="69" customFormat="1" x14ac:dyDescent="0.15"/>
    <row r="30976" s="69" customFormat="1" x14ac:dyDescent="0.15"/>
    <row r="30977" s="69" customFormat="1" x14ac:dyDescent="0.15"/>
    <row r="30978" s="69" customFormat="1" x14ac:dyDescent="0.15"/>
    <row r="30979" s="69" customFormat="1" x14ac:dyDescent="0.15"/>
    <row r="30980" s="69" customFormat="1" x14ac:dyDescent="0.15"/>
    <row r="30981" s="69" customFormat="1" x14ac:dyDescent="0.15"/>
    <row r="30982" s="69" customFormat="1" x14ac:dyDescent="0.15"/>
    <row r="30983" s="69" customFormat="1" x14ac:dyDescent="0.15"/>
    <row r="30984" s="69" customFormat="1" x14ac:dyDescent="0.15"/>
    <row r="30985" s="69" customFormat="1" x14ac:dyDescent="0.15"/>
    <row r="30986" s="69" customFormat="1" x14ac:dyDescent="0.15"/>
    <row r="30987" s="69" customFormat="1" x14ac:dyDescent="0.15"/>
    <row r="30988" s="69" customFormat="1" x14ac:dyDescent="0.15"/>
    <row r="30989" s="69" customFormat="1" x14ac:dyDescent="0.15"/>
    <row r="30990" s="69" customFormat="1" x14ac:dyDescent="0.15"/>
    <row r="30991" s="69" customFormat="1" x14ac:dyDescent="0.15"/>
    <row r="30992" s="69" customFormat="1" x14ac:dyDescent="0.15"/>
    <row r="30993" s="69" customFormat="1" x14ac:dyDescent="0.15"/>
    <row r="30994" s="69" customFormat="1" x14ac:dyDescent="0.15"/>
    <row r="30995" s="69" customFormat="1" x14ac:dyDescent="0.15"/>
    <row r="30996" s="69" customFormat="1" x14ac:dyDescent="0.15"/>
    <row r="30997" s="69" customFormat="1" x14ac:dyDescent="0.15"/>
    <row r="30998" s="69" customFormat="1" x14ac:dyDescent="0.15"/>
    <row r="30999" s="69" customFormat="1" x14ac:dyDescent="0.15"/>
    <row r="31000" s="69" customFormat="1" x14ac:dyDescent="0.15"/>
    <row r="31001" s="69" customFormat="1" x14ac:dyDescent="0.15"/>
    <row r="31002" s="69" customFormat="1" x14ac:dyDescent="0.15"/>
    <row r="31003" s="69" customFormat="1" x14ac:dyDescent="0.15"/>
    <row r="31004" s="69" customFormat="1" x14ac:dyDescent="0.15"/>
    <row r="31005" s="69" customFormat="1" x14ac:dyDescent="0.15"/>
    <row r="31006" s="69" customFormat="1" x14ac:dyDescent="0.15"/>
    <row r="31007" s="69" customFormat="1" x14ac:dyDescent="0.15"/>
    <row r="31008" s="69" customFormat="1" x14ac:dyDescent="0.15"/>
    <row r="31009" s="69" customFormat="1" x14ac:dyDescent="0.15"/>
    <row r="31010" s="69" customFormat="1" x14ac:dyDescent="0.15"/>
    <row r="31011" s="69" customFormat="1" x14ac:dyDescent="0.15"/>
    <row r="31012" s="69" customFormat="1" x14ac:dyDescent="0.15"/>
    <row r="31013" s="69" customFormat="1" x14ac:dyDescent="0.15"/>
    <row r="31014" s="69" customFormat="1" x14ac:dyDescent="0.15"/>
    <row r="31015" s="69" customFormat="1" x14ac:dyDescent="0.15"/>
    <row r="31016" s="69" customFormat="1" x14ac:dyDescent="0.15"/>
    <row r="31017" s="69" customFormat="1" x14ac:dyDescent="0.15"/>
    <row r="31018" s="69" customFormat="1" x14ac:dyDescent="0.15"/>
    <row r="31019" s="69" customFormat="1" x14ac:dyDescent="0.15"/>
    <row r="31020" s="69" customFormat="1" x14ac:dyDescent="0.15"/>
    <row r="31021" s="69" customFormat="1" x14ac:dyDescent="0.15"/>
    <row r="31022" s="69" customFormat="1" x14ac:dyDescent="0.15"/>
    <row r="31023" s="69" customFormat="1" x14ac:dyDescent="0.15"/>
    <row r="31024" s="69" customFormat="1" x14ac:dyDescent="0.15"/>
    <row r="31025" s="69" customFormat="1" x14ac:dyDescent="0.15"/>
    <row r="31026" s="69" customFormat="1" x14ac:dyDescent="0.15"/>
    <row r="31027" s="69" customFormat="1" x14ac:dyDescent="0.15"/>
    <row r="31028" s="69" customFormat="1" x14ac:dyDescent="0.15"/>
    <row r="31029" s="69" customFormat="1" x14ac:dyDescent="0.15"/>
    <row r="31030" s="69" customFormat="1" x14ac:dyDescent="0.15"/>
    <row r="31031" s="69" customFormat="1" x14ac:dyDescent="0.15"/>
    <row r="31032" s="69" customFormat="1" x14ac:dyDescent="0.15"/>
    <row r="31033" s="69" customFormat="1" x14ac:dyDescent="0.15"/>
    <row r="31034" s="69" customFormat="1" x14ac:dyDescent="0.15"/>
    <row r="31035" s="69" customFormat="1" x14ac:dyDescent="0.15"/>
    <row r="31036" s="69" customFormat="1" x14ac:dyDescent="0.15"/>
    <row r="31037" s="69" customFormat="1" x14ac:dyDescent="0.15"/>
    <row r="31038" s="69" customFormat="1" x14ac:dyDescent="0.15"/>
    <row r="31039" s="69" customFormat="1" x14ac:dyDescent="0.15"/>
    <row r="31040" s="69" customFormat="1" x14ac:dyDescent="0.15"/>
    <row r="31041" s="69" customFormat="1" x14ac:dyDescent="0.15"/>
    <row r="31042" s="69" customFormat="1" x14ac:dyDescent="0.15"/>
    <row r="31043" s="69" customFormat="1" x14ac:dyDescent="0.15"/>
    <row r="31044" s="69" customFormat="1" x14ac:dyDescent="0.15"/>
    <row r="31045" s="69" customFormat="1" x14ac:dyDescent="0.15"/>
    <row r="31046" s="69" customFormat="1" x14ac:dyDescent="0.15"/>
    <row r="31047" s="69" customFormat="1" x14ac:dyDescent="0.15"/>
    <row r="31048" s="69" customFormat="1" x14ac:dyDescent="0.15"/>
    <row r="31049" s="69" customFormat="1" x14ac:dyDescent="0.15"/>
    <row r="31050" s="69" customFormat="1" x14ac:dyDescent="0.15"/>
    <row r="31051" s="69" customFormat="1" x14ac:dyDescent="0.15"/>
    <row r="31052" s="69" customFormat="1" x14ac:dyDescent="0.15"/>
    <row r="31053" s="69" customFormat="1" x14ac:dyDescent="0.15"/>
    <row r="31054" s="69" customFormat="1" x14ac:dyDescent="0.15"/>
    <row r="31055" s="69" customFormat="1" x14ac:dyDescent="0.15"/>
    <row r="31056" s="69" customFormat="1" x14ac:dyDescent="0.15"/>
    <row r="31057" s="69" customFormat="1" x14ac:dyDescent="0.15"/>
    <row r="31058" s="69" customFormat="1" x14ac:dyDescent="0.15"/>
    <row r="31059" s="69" customFormat="1" x14ac:dyDescent="0.15"/>
    <row r="31060" s="69" customFormat="1" x14ac:dyDescent="0.15"/>
    <row r="31061" s="69" customFormat="1" x14ac:dyDescent="0.15"/>
    <row r="31062" s="69" customFormat="1" x14ac:dyDescent="0.15"/>
    <row r="31063" s="69" customFormat="1" x14ac:dyDescent="0.15"/>
    <row r="31064" s="69" customFormat="1" x14ac:dyDescent="0.15"/>
    <row r="31065" s="69" customFormat="1" x14ac:dyDescent="0.15"/>
    <row r="31066" s="69" customFormat="1" x14ac:dyDescent="0.15"/>
    <row r="31067" s="69" customFormat="1" x14ac:dyDescent="0.15"/>
    <row r="31068" s="69" customFormat="1" x14ac:dyDescent="0.15"/>
    <row r="31069" s="69" customFormat="1" x14ac:dyDescent="0.15"/>
    <row r="31070" s="69" customFormat="1" x14ac:dyDescent="0.15"/>
    <row r="31071" s="69" customFormat="1" x14ac:dyDescent="0.15"/>
    <row r="31072" s="69" customFormat="1" x14ac:dyDescent="0.15"/>
    <row r="31073" s="69" customFormat="1" x14ac:dyDescent="0.15"/>
    <row r="31074" s="69" customFormat="1" x14ac:dyDescent="0.15"/>
    <row r="31075" s="69" customFormat="1" x14ac:dyDescent="0.15"/>
    <row r="31076" s="69" customFormat="1" x14ac:dyDescent="0.15"/>
    <row r="31077" s="69" customFormat="1" x14ac:dyDescent="0.15"/>
    <row r="31078" s="69" customFormat="1" x14ac:dyDescent="0.15"/>
    <row r="31079" s="69" customFormat="1" x14ac:dyDescent="0.15"/>
    <row r="31080" s="69" customFormat="1" x14ac:dyDescent="0.15"/>
    <row r="31081" s="69" customFormat="1" x14ac:dyDescent="0.15"/>
    <row r="31082" s="69" customFormat="1" x14ac:dyDescent="0.15"/>
    <row r="31083" s="69" customFormat="1" x14ac:dyDescent="0.15"/>
    <row r="31084" s="69" customFormat="1" x14ac:dyDescent="0.15"/>
    <row r="31085" s="69" customFormat="1" x14ac:dyDescent="0.15"/>
    <row r="31086" s="69" customFormat="1" x14ac:dyDescent="0.15"/>
    <row r="31087" s="69" customFormat="1" x14ac:dyDescent="0.15"/>
    <row r="31088" s="69" customFormat="1" x14ac:dyDescent="0.15"/>
    <row r="31089" s="69" customFormat="1" x14ac:dyDescent="0.15"/>
    <row r="31090" s="69" customFormat="1" x14ac:dyDescent="0.15"/>
    <row r="31091" s="69" customFormat="1" x14ac:dyDescent="0.15"/>
    <row r="31092" s="69" customFormat="1" x14ac:dyDescent="0.15"/>
    <row r="31093" s="69" customFormat="1" x14ac:dyDescent="0.15"/>
    <row r="31094" s="69" customFormat="1" x14ac:dyDescent="0.15"/>
    <row r="31095" s="69" customFormat="1" x14ac:dyDescent="0.15"/>
    <row r="31096" s="69" customFormat="1" x14ac:dyDescent="0.15"/>
    <row r="31097" s="69" customFormat="1" x14ac:dyDescent="0.15"/>
    <row r="31098" s="69" customFormat="1" x14ac:dyDescent="0.15"/>
    <row r="31099" s="69" customFormat="1" x14ac:dyDescent="0.15"/>
    <row r="31100" s="69" customFormat="1" x14ac:dyDescent="0.15"/>
    <row r="31101" s="69" customFormat="1" x14ac:dyDescent="0.15"/>
    <row r="31102" s="69" customFormat="1" x14ac:dyDescent="0.15"/>
    <row r="31103" s="69" customFormat="1" x14ac:dyDescent="0.15"/>
    <row r="31104" s="69" customFormat="1" x14ac:dyDescent="0.15"/>
    <row r="31105" s="69" customFormat="1" x14ac:dyDescent="0.15"/>
    <row r="31106" s="69" customFormat="1" x14ac:dyDescent="0.15"/>
    <row r="31107" s="69" customFormat="1" x14ac:dyDescent="0.15"/>
    <row r="31108" s="69" customFormat="1" x14ac:dyDescent="0.15"/>
    <row r="31109" s="69" customFormat="1" x14ac:dyDescent="0.15"/>
    <row r="31110" s="69" customFormat="1" x14ac:dyDescent="0.15"/>
    <row r="31111" s="69" customFormat="1" x14ac:dyDescent="0.15"/>
    <row r="31112" s="69" customFormat="1" x14ac:dyDescent="0.15"/>
    <row r="31113" s="69" customFormat="1" x14ac:dyDescent="0.15"/>
    <row r="31114" s="69" customFormat="1" x14ac:dyDescent="0.15"/>
    <row r="31115" s="69" customFormat="1" x14ac:dyDescent="0.15"/>
    <row r="31116" s="69" customFormat="1" x14ac:dyDescent="0.15"/>
    <row r="31117" s="69" customFormat="1" x14ac:dyDescent="0.15"/>
    <row r="31118" s="69" customFormat="1" x14ac:dyDescent="0.15"/>
    <row r="31119" s="69" customFormat="1" x14ac:dyDescent="0.15"/>
    <row r="31120" s="69" customFormat="1" x14ac:dyDescent="0.15"/>
    <row r="31121" s="69" customFormat="1" x14ac:dyDescent="0.15"/>
    <row r="31122" s="69" customFormat="1" x14ac:dyDescent="0.15"/>
    <row r="31123" s="69" customFormat="1" x14ac:dyDescent="0.15"/>
    <row r="31124" s="69" customFormat="1" x14ac:dyDescent="0.15"/>
    <row r="31125" s="69" customFormat="1" x14ac:dyDescent="0.15"/>
    <row r="31126" s="69" customFormat="1" x14ac:dyDescent="0.15"/>
    <row r="31127" s="69" customFormat="1" x14ac:dyDescent="0.15"/>
    <row r="31128" s="69" customFormat="1" x14ac:dyDescent="0.15"/>
    <row r="31129" s="69" customFormat="1" x14ac:dyDescent="0.15"/>
    <row r="31130" s="69" customFormat="1" x14ac:dyDescent="0.15"/>
    <row r="31131" s="69" customFormat="1" x14ac:dyDescent="0.15"/>
    <row r="31132" s="69" customFormat="1" x14ac:dyDescent="0.15"/>
    <row r="31133" s="69" customFormat="1" x14ac:dyDescent="0.15"/>
    <row r="31134" s="69" customFormat="1" x14ac:dyDescent="0.15"/>
    <row r="31135" s="69" customFormat="1" x14ac:dyDescent="0.15"/>
    <row r="31136" s="69" customFormat="1" x14ac:dyDescent="0.15"/>
    <row r="31137" s="69" customFormat="1" x14ac:dyDescent="0.15"/>
    <row r="31138" s="69" customFormat="1" x14ac:dyDescent="0.15"/>
    <row r="31139" s="69" customFormat="1" x14ac:dyDescent="0.15"/>
    <row r="31140" s="69" customFormat="1" x14ac:dyDescent="0.15"/>
    <row r="31141" s="69" customFormat="1" x14ac:dyDescent="0.15"/>
    <row r="31142" s="69" customFormat="1" x14ac:dyDescent="0.15"/>
    <row r="31143" s="69" customFormat="1" x14ac:dyDescent="0.15"/>
    <row r="31144" s="69" customFormat="1" x14ac:dyDescent="0.15"/>
    <row r="31145" s="69" customFormat="1" x14ac:dyDescent="0.15"/>
    <row r="31146" s="69" customFormat="1" x14ac:dyDescent="0.15"/>
    <row r="31147" s="69" customFormat="1" x14ac:dyDescent="0.15"/>
    <row r="31148" s="69" customFormat="1" x14ac:dyDescent="0.15"/>
    <row r="31149" s="69" customFormat="1" x14ac:dyDescent="0.15"/>
    <row r="31150" s="69" customFormat="1" x14ac:dyDescent="0.15"/>
    <row r="31151" s="69" customFormat="1" x14ac:dyDescent="0.15"/>
    <row r="31152" s="69" customFormat="1" x14ac:dyDescent="0.15"/>
    <row r="31153" s="69" customFormat="1" x14ac:dyDescent="0.15"/>
    <row r="31154" s="69" customFormat="1" x14ac:dyDescent="0.15"/>
    <row r="31155" s="69" customFormat="1" x14ac:dyDescent="0.15"/>
    <row r="31156" s="69" customFormat="1" x14ac:dyDescent="0.15"/>
    <row r="31157" s="69" customFormat="1" x14ac:dyDescent="0.15"/>
    <row r="31158" s="69" customFormat="1" x14ac:dyDescent="0.15"/>
    <row r="31159" s="69" customFormat="1" x14ac:dyDescent="0.15"/>
    <row r="31160" s="69" customFormat="1" x14ac:dyDescent="0.15"/>
    <row r="31161" s="69" customFormat="1" x14ac:dyDescent="0.15"/>
    <row r="31162" s="69" customFormat="1" x14ac:dyDescent="0.15"/>
    <row r="31163" s="69" customFormat="1" x14ac:dyDescent="0.15"/>
    <row r="31164" s="69" customFormat="1" x14ac:dyDescent="0.15"/>
    <row r="31165" s="69" customFormat="1" x14ac:dyDescent="0.15"/>
    <row r="31166" s="69" customFormat="1" x14ac:dyDescent="0.15"/>
    <row r="31167" s="69" customFormat="1" x14ac:dyDescent="0.15"/>
    <row r="31168" s="69" customFormat="1" x14ac:dyDescent="0.15"/>
    <row r="31169" s="69" customFormat="1" x14ac:dyDescent="0.15"/>
    <row r="31170" s="69" customFormat="1" x14ac:dyDescent="0.15"/>
    <row r="31171" s="69" customFormat="1" x14ac:dyDescent="0.15"/>
    <row r="31172" s="69" customFormat="1" x14ac:dyDescent="0.15"/>
    <row r="31173" s="69" customFormat="1" x14ac:dyDescent="0.15"/>
    <row r="31174" s="69" customFormat="1" x14ac:dyDescent="0.15"/>
    <row r="31175" s="69" customFormat="1" x14ac:dyDescent="0.15"/>
    <row r="31176" s="69" customFormat="1" x14ac:dyDescent="0.15"/>
    <row r="31177" s="69" customFormat="1" x14ac:dyDescent="0.15"/>
    <row r="31178" s="69" customFormat="1" x14ac:dyDescent="0.15"/>
    <row r="31179" s="69" customFormat="1" x14ac:dyDescent="0.15"/>
    <row r="31180" s="69" customFormat="1" x14ac:dyDescent="0.15"/>
    <row r="31181" s="69" customFormat="1" x14ac:dyDescent="0.15"/>
    <row r="31182" s="69" customFormat="1" x14ac:dyDescent="0.15"/>
    <row r="31183" s="69" customFormat="1" x14ac:dyDescent="0.15"/>
    <row r="31184" s="69" customFormat="1" x14ac:dyDescent="0.15"/>
    <row r="31185" s="69" customFormat="1" x14ac:dyDescent="0.15"/>
    <row r="31186" s="69" customFormat="1" x14ac:dyDescent="0.15"/>
    <row r="31187" s="69" customFormat="1" x14ac:dyDescent="0.15"/>
    <row r="31188" s="69" customFormat="1" x14ac:dyDescent="0.15"/>
    <row r="31189" s="69" customFormat="1" x14ac:dyDescent="0.15"/>
    <row r="31190" s="69" customFormat="1" x14ac:dyDescent="0.15"/>
    <row r="31191" s="69" customFormat="1" x14ac:dyDescent="0.15"/>
    <row r="31192" s="69" customFormat="1" x14ac:dyDescent="0.15"/>
    <row r="31193" s="69" customFormat="1" x14ac:dyDescent="0.15"/>
    <row r="31194" s="69" customFormat="1" x14ac:dyDescent="0.15"/>
    <row r="31195" s="69" customFormat="1" x14ac:dyDescent="0.15"/>
    <row r="31196" s="69" customFormat="1" x14ac:dyDescent="0.15"/>
    <row r="31197" s="69" customFormat="1" x14ac:dyDescent="0.15"/>
    <row r="31198" s="69" customFormat="1" x14ac:dyDescent="0.15"/>
    <row r="31199" s="69" customFormat="1" x14ac:dyDescent="0.15"/>
    <row r="31200" s="69" customFormat="1" x14ac:dyDescent="0.15"/>
    <row r="31201" s="69" customFormat="1" x14ac:dyDescent="0.15"/>
    <row r="31202" s="69" customFormat="1" x14ac:dyDescent="0.15"/>
    <row r="31203" s="69" customFormat="1" x14ac:dyDescent="0.15"/>
    <row r="31204" s="69" customFormat="1" x14ac:dyDescent="0.15"/>
    <row r="31205" s="69" customFormat="1" x14ac:dyDescent="0.15"/>
    <row r="31206" s="69" customFormat="1" x14ac:dyDescent="0.15"/>
    <row r="31207" s="69" customFormat="1" x14ac:dyDescent="0.15"/>
    <row r="31208" s="69" customFormat="1" x14ac:dyDescent="0.15"/>
    <row r="31209" s="69" customFormat="1" x14ac:dyDescent="0.15"/>
    <row r="31210" s="69" customFormat="1" x14ac:dyDescent="0.15"/>
    <row r="31211" s="69" customFormat="1" x14ac:dyDescent="0.15"/>
    <row r="31212" s="69" customFormat="1" x14ac:dyDescent="0.15"/>
    <row r="31213" s="69" customFormat="1" x14ac:dyDescent="0.15"/>
    <row r="31214" s="69" customFormat="1" x14ac:dyDescent="0.15"/>
    <row r="31215" s="69" customFormat="1" x14ac:dyDescent="0.15"/>
    <row r="31216" s="69" customFormat="1" x14ac:dyDescent="0.15"/>
    <row r="31217" s="69" customFormat="1" x14ac:dyDescent="0.15"/>
    <row r="31218" s="69" customFormat="1" x14ac:dyDescent="0.15"/>
    <row r="31219" s="69" customFormat="1" x14ac:dyDescent="0.15"/>
    <row r="31220" s="69" customFormat="1" x14ac:dyDescent="0.15"/>
    <row r="31221" s="69" customFormat="1" x14ac:dyDescent="0.15"/>
    <row r="31222" s="69" customFormat="1" x14ac:dyDescent="0.15"/>
    <row r="31223" s="69" customFormat="1" x14ac:dyDescent="0.15"/>
    <row r="31224" s="69" customFormat="1" x14ac:dyDescent="0.15"/>
    <row r="31225" s="69" customFormat="1" x14ac:dyDescent="0.15"/>
    <row r="31226" s="69" customFormat="1" x14ac:dyDescent="0.15"/>
    <row r="31227" s="69" customFormat="1" x14ac:dyDescent="0.15"/>
    <row r="31228" s="69" customFormat="1" x14ac:dyDescent="0.15"/>
    <row r="31229" s="69" customFormat="1" x14ac:dyDescent="0.15"/>
    <row r="31230" s="69" customFormat="1" x14ac:dyDescent="0.15"/>
    <row r="31231" s="69" customFormat="1" x14ac:dyDescent="0.15"/>
    <row r="31232" s="69" customFormat="1" x14ac:dyDescent="0.15"/>
    <row r="31233" s="69" customFormat="1" x14ac:dyDescent="0.15"/>
    <row r="31234" s="69" customFormat="1" x14ac:dyDescent="0.15"/>
    <row r="31235" s="69" customFormat="1" x14ac:dyDescent="0.15"/>
    <row r="31236" s="69" customFormat="1" x14ac:dyDescent="0.15"/>
    <row r="31237" s="69" customFormat="1" x14ac:dyDescent="0.15"/>
    <row r="31238" s="69" customFormat="1" x14ac:dyDescent="0.15"/>
    <row r="31239" s="69" customFormat="1" x14ac:dyDescent="0.15"/>
    <row r="31240" s="69" customFormat="1" x14ac:dyDescent="0.15"/>
    <row r="31241" s="69" customFormat="1" x14ac:dyDescent="0.15"/>
    <row r="31242" s="69" customFormat="1" x14ac:dyDescent="0.15"/>
    <row r="31243" s="69" customFormat="1" x14ac:dyDescent="0.15"/>
    <row r="31244" s="69" customFormat="1" x14ac:dyDescent="0.15"/>
    <row r="31245" s="69" customFormat="1" x14ac:dyDescent="0.15"/>
    <row r="31246" s="69" customFormat="1" x14ac:dyDescent="0.15"/>
    <row r="31247" s="69" customFormat="1" x14ac:dyDescent="0.15"/>
    <row r="31248" s="69" customFormat="1" x14ac:dyDescent="0.15"/>
    <row r="31249" s="69" customFormat="1" x14ac:dyDescent="0.15"/>
    <row r="31250" s="69" customFormat="1" x14ac:dyDescent="0.15"/>
    <row r="31251" s="69" customFormat="1" x14ac:dyDescent="0.15"/>
    <row r="31252" s="69" customFormat="1" x14ac:dyDescent="0.15"/>
    <row r="31253" s="69" customFormat="1" x14ac:dyDescent="0.15"/>
    <row r="31254" s="69" customFormat="1" x14ac:dyDescent="0.15"/>
    <row r="31255" s="69" customFormat="1" x14ac:dyDescent="0.15"/>
    <row r="31256" s="69" customFormat="1" x14ac:dyDescent="0.15"/>
    <row r="31257" s="69" customFormat="1" x14ac:dyDescent="0.15"/>
    <row r="31258" s="69" customFormat="1" x14ac:dyDescent="0.15"/>
    <row r="31259" s="69" customFormat="1" x14ac:dyDescent="0.15"/>
    <row r="31260" s="69" customFormat="1" x14ac:dyDescent="0.15"/>
    <row r="31261" s="69" customFormat="1" x14ac:dyDescent="0.15"/>
    <row r="31262" s="69" customFormat="1" x14ac:dyDescent="0.15"/>
    <row r="31263" s="69" customFormat="1" x14ac:dyDescent="0.15"/>
    <row r="31264" s="69" customFormat="1" x14ac:dyDescent="0.15"/>
    <row r="31265" s="69" customFormat="1" x14ac:dyDescent="0.15"/>
    <row r="31266" s="69" customFormat="1" x14ac:dyDescent="0.15"/>
    <row r="31267" s="69" customFormat="1" x14ac:dyDescent="0.15"/>
    <row r="31268" s="69" customFormat="1" x14ac:dyDescent="0.15"/>
    <row r="31269" s="69" customFormat="1" x14ac:dyDescent="0.15"/>
    <row r="31270" s="69" customFormat="1" x14ac:dyDescent="0.15"/>
    <row r="31271" s="69" customFormat="1" x14ac:dyDescent="0.15"/>
    <row r="31272" s="69" customFormat="1" x14ac:dyDescent="0.15"/>
    <row r="31273" s="69" customFormat="1" x14ac:dyDescent="0.15"/>
    <row r="31274" s="69" customFormat="1" x14ac:dyDescent="0.15"/>
    <row r="31275" s="69" customFormat="1" x14ac:dyDescent="0.15"/>
    <row r="31276" s="69" customFormat="1" x14ac:dyDescent="0.15"/>
    <row r="31277" s="69" customFormat="1" x14ac:dyDescent="0.15"/>
    <row r="31278" s="69" customFormat="1" x14ac:dyDescent="0.15"/>
    <row r="31279" s="69" customFormat="1" x14ac:dyDescent="0.15"/>
    <row r="31280" s="69" customFormat="1" x14ac:dyDescent="0.15"/>
    <row r="31281" s="69" customFormat="1" x14ac:dyDescent="0.15"/>
    <row r="31282" s="69" customFormat="1" x14ac:dyDescent="0.15"/>
    <row r="31283" s="69" customFormat="1" x14ac:dyDescent="0.15"/>
    <row r="31284" s="69" customFormat="1" x14ac:dyDescent="0.15"/>
    <row r="31285" s="69" customFormat="1" x14ac:dyDescent="0.15"/>
    <row r="31286" s="69" customFormat="1" x14ac:dyDescent="0.15"/>
    <row r="31287" s="69" customFormat="1" x14ac:dyDescent="0.15"/>
    <row r="31288" s="69" customFormat="1" x14ac:dyDescent="0.15"/>
    <row r="31289" s="69" customFormat="1" x14ac:dyDescent="0.15"/>
    <row r="31290" s="69" customFormat="1" x14ac:dyDescent="0.15"/>
    <row r="31291" s="69" customFormat="1" x14ac:dyDescent="0.15"/>
    <row r="31292" s="69" customFormat="1" x14ac:dyDescent="0.15"/>
    <row r="31293" s="69" customFormat="1" x14ac:dyDescent="0.15"/>
    <row r="31294" s="69" customFormat="1" x14ac:dyDescent="0.15"/>
    <row r="31295" s="69" customFormat="1" x14ac:dyDescent="0.15"/>
    <row r="31296" s="69" customFormat="1" x14ac:dyDescent="0.15"/>
    <row r="31297" s="69" customFormat="1" x14ac:dyDescent="0.15"/>
    <row r="31298" s="69" customFormat="1" x14ac:dyDescent="0.15"/>
    <row r="31299" s="69" customFormat="1" x14ac:dyDescent="0.15"/>
    <row r="31300" s="69" customFormat="1" x14ac:dyDescent="0.15"/>
    <row r="31301" s="69" customFormat="1" x14ac:dyDescent="0.15"/>
    <row r="31302" s="69" customFormat="1" x14ac:dyDescent="0.15"/>
    <row r="31303" s="69" customFormat="1" x14ac:dyDescent="0.15"/>
    <row r="31304" s="69" customFormat="1" x14ac:dyDescent="0.15"/>
    <row r="31305" s="69" customFormat="1" x14ac:dyDescent="0.15"/>
    <row r="31306" s="69" customFormat="1" x14ac:dyDescent="0.15"/>
    <row r="31307" s="69" customFormat="1" x14ac:dyDescent="0.15"/>
    <row r="31308" s="69" customFormat="1" x14ac:dyDescent="0.15"/>
    <row r="31309" s="69" customFormat="1" x14ac:dyDescent="0.15"/>
    <row r="31310" s="69" customFormat="1" x14ac:dyDescent="0.15"/>
    <row r="31311" s="69" customFormat="1" x14ac:dyDescent="0.15"/>
    <row r="31312" s="69" customFormat="1" x14ac:dyDescent="0.15"/>
    <row r="31313" s="69" customFormat="1" x14ac:dyDescent="0.15"/>
    <row r="31314" s="69" customFormat="1" x14ac:dyDescent="0.15"/>
    <row r="31315" s="69" customFormat="1" x14ac:dyDescent="0.15"/>
    <row r="31316" s="69" customFormat="1" x14ac:dyDescent="0.15"/>
    <row r="31317" s="69" customFormat="1" x14ac:dyDescent="0.15"/>
    <row r="31318" s="69" customFormat="1" x14ac:dyDescent="0.15"/>
    <row r="31319" s="69" customFormat="1" x14ac:dyDescent="0.15"/>
    <row r="31320" s="69" customFormat="1" x14ac:dyDescent="0.15"/>
    <row r="31321" s="69" customFormat="1" x14ac:dyDescent="0.15"/>
    <row r="31322" s="69" customFormat="1" x14ac:dyDescent="0.15"/>
    <row r="31323" s="69" customFormat="1" x14ac:dyDescent="0.15"/>
    <row r="31324" s="69" customFormat="1" x14ac:dyDescent="0.15"/>
    <row r="31325" s="69" customFormat="1" x14ac:dyDescent="0.15"/>
    <row r="31326" s="69" customFormat="1" x14ac:dyDescent="0.15"/>
    <row r="31327" s="69" customFormat="1" x14ac:dyDescent="0.15"/>
    <row r="31328" s="69" customFormat="1" x14ac:dyDescent="0.15"/>
    <row r="31329" s="69" customFormat="1" x14ac:dyDescent="0.15"/>
    <row r="31330" s="69" customFormat="1" x14ac:dyDescent="0.15"/>
    <row r="31331" s="69" customFormat="1" x14ac:dyDescent="0.15"/>
    <row r="31332" s="69" customFormat="1" x14ac:dyDescent="0.15"/>
    <row r="31333" s="69" customFormat="1" x14ac:dyDescent="0.15"/>
    <row r="31334" s="69" customFormat="1" x14ac:dyDescent="0.15"/>
    <row r="31335" s="69" customFormat="1" x14ac:dyDescent="0.15"/>
    <row r="31336" s="69" customFormat="1" x14ac:dyDescent="0.15"/>
    <row r="31337" s="69" customFormat="1" x14ac:dyDescent="0.15"/>
    <row r="31338" s="69" customFormat="1" x14ac:dyDescent="0.15"/>
    <row r="31339" s="69" customFormat="1" x14ac:dyDescent="0.15"/>
    <row r="31340" s="69" customFormat="1" x14ac:dyDescent="0.15"/>
    <row r="31341" s="69" customFormat="1" x14ac:dyDescent="0.15"/>
    <row r="31342" s="69" customFormat="1" x14ac:dyDescent="0.15"/>
    <row r="31343" s="69" customFormat="1" x14ac:dyDescent="0.15"/>
    <row r="31344" s="69" customFormat="1" x14ac:dyDescent="0.15"/>
    <row r="31345" s="69" customFormat="1" x14ac:dyDescent="0.15"/>
    <row r="31346" s="69" customFormat="1" x14ac:dyDescent="0.15"/>
    <row r="31347" s="69" customFormat="1" x14ac:dyDescent="0.15"/>
    <row r="31348" s="69" customFormat="1" x14ac:dyDescent="0.15"/>
    <row r="31349" s="69" customFormat="1" x14ac:dyDescent="0.15"/>
    <row r="31350" s="69" customFormat="1" x14ac:dyDescent="0.15"/>
    <row r="31351" s="69" customFormat="1" x14ac:dyDescent="0.15"/>
    <row r="31352" s="69" customFormat="1" x14ac:dyDescent="0.15"/>
    <row r="31353" s="69" customFormat="1" x14ac:dyDescent="0.15"/>
    <row r="31354" s="69" customFormat="1" x14ac:dyDescent="0.15"/>
    <row r="31355" s="69" customFormat="1" x14ac:dyDescent="0.15"/>
    <row r="31356" s="69" customFormat="1" x14ac:dyDescent="0.15"/>
    <row r="31357" s="69" customFormat="1" x14ac:dyDescent="0.15"/>
    <row r="31358" s="69" customFormat="1" x14ac:dyDescent="0.15"/>
    <row r="31359" s="69" customFormat="1" x14ac:dyDescent="0.15"/>
    <row r="31360" s="69" customFormat="1" x14ac:dyDescent="0.15"/>
    <row r="31361" s="69" customFormat="1" x14ac:dyDescent="0.15"/>
    <row r="31362" s="69" customFormat="1" x14ac:dyDescent="0.15"/>
    <row r="31363" s="69" customFormat="1" x14ac:dyDescent="0.15"/>
    <row r="31364" s="69" customFormat="1" x14ac:dyDescent="0.15"/>
    <row r="31365" s="69" customFormat="1" x14ac:dyDescent="0.15"/>
    <row r="31366" s="69" customFormat="1" x14ac:dyDescent="0.15"/>
    <row r="31367" s="69" customFormat="1" x14ac:dyDescent="0.15"/>
    <row r="31368" s="69" customFormat="1" x14ac:dyDescent="0.15"/>
    <row r="31369" s="69" customFormat="1" x14ac:dyDescent="0.15"/>
    <row r="31370" s="69" customFormat="1" x14ac:dyDescent="0.15"/>
    <row r="31371" s="69" customFormat="1" x14ac:dyDescent="0.15"/>
    <row r="31372" s="69" customFormat="1" x14ac:dyDescent="0.15"/>
    <row r="31373" s="69" customFormat="1" x14ac:dyDescent="0.15"/>
    <row r="31374" s="69" customFormat="1" x14ac:dyDescent="0.15"/>
    <row r="31375" s="69" customFormat="1" x14ac:dyDescent="0.15"/>
    <row r="31376" s="69" customFormat="1" x14ac:dyDescent="0.15"/>
    <row r="31377" s="69" customFormat="1" x14ac:dyDescent="0.15"/>
    <row r="31378" s="69" customFormat="1" x14ac:dyDescent="0.15"/>
    <row r="31379" s="69" customFormat="1" x14ac:dyDescent="0.15"/>
    <row r="31380" s="69" customFormat="1" x14ac:dyDescent="0.15"/>
    <row r="31381" s="69" customFormat="1" x14ac:dyDescent="0.15"/>
    <row r="31382" s="69" customFormat="1" x14ac:dyDescent="0.15"/>
    <row r="31383" s="69" customFormat="1" x14ac:dyDescent="0.15"/>
    <row r="31384" s="69" customFormat="1" x14ac:dyDescent="0.15"/>
    <row r="31385" s="69" customFormat="1" x14ac:dyDescent="0.15"/>
    <row r="31386" s="69" customFormat="1" x14ac:dyDescent="0.15"/>
    <row r="31387" s="69" customFormat="1" x14ac:dyDescent="0.15"/>
    <row r="31388" s="69" customFormat="1" x14ac:dyDescent="0.15"/>
    <row r="31389" s="69" customFormat="1" x14ac:dyDescent="0.15"/>
    <row r="31390" s="69" customFormat="1" x14ac:dyDescent="0.15"/>
    <row r="31391" s="69" customFormat="1" x14ac:dyDescent="0.15"/>
    <row r="31392" s="69" customFormat="1" x14ac:dyDescent="0.15"/>
    <row r="31393" s="69" customFormat="1" x14ac:dyDescent="0.15"/>
    <row r="31394" s="69" customFormat="1" x14ac:dyDescent="0.15"/>
    <row r="31395" s="69" customFormat="1" x14ac:dyDescent="0.15"/>
    <row r="31396" s="69" customFormat="1" x14ac:dyDescent="0.15"/>
    <row r="31397" s="69" customFormat="1" x14ac:dyDescent="0.15"/>
    <row r="31398" s="69" customFormat="1" x14ac:dyDescent="0.15"/>
    <row r="31399" s="69" customFormat="1" x14ac:dyDescent="0.15"/>
    <row r="31400" s="69" customFormat="1" x14ac:dyDescent="0.15"/>
    <row r="31401" s="69" customFormat="1" x14ac:dyDescent="0.15"/>
    <row r="31402" s="69" customFormat="1" x14ac:dyDescent="0.15"/>
    <row r="31403" s="69" customFormat="1" x14ac:dyDescent="0.15"/>
    <row r="31404" s="69" customFormat="1" x14ac:dyDescent="0.15"/>
    <row r="31405" s="69" customFormat="1" x14ac:dyDescent="0.15"/>
    <row r="31406" s="69" customFormat="1" x14ac:dyDescent="0.15"/>
    <row r="31407" s="69" customFormat="1" x14ac:dyDescent="0.15"/>
    <row r="31408" s="69" customFormat="1" x14ac:dyDescent="0.15"/>
    <row r="31409" s="69" customFormat="1" x14ac:dyDescent="0.15"/>
    <row r="31410" s="69" customFormat="1" x14ac:dyDescent="0.15"/>
    <row r="31411" s="69" customFormat="1" x14ac:dyDescent="0.15"/>
    <row r="31412" s="69" customFormat="1" x14ac:dyDescent="0.15"/>
    <row r="31413" s="69" customFormat="1" x14ac:dyDescent="0.15"/>
    <row r="31414" s="69" customFormat="1" x14ac:dyDescent="0.15"/>
    <row r="31415" s="69" customFormat="1" x14ac:dyDescent="0.15"/>
    <row r="31416" s="69" customFormat="1" x14ac:dyDescent="0.15"/>
    <row r="31417" s="69" customFormat="1" x14ac:dyDescent="0.15"/>
    <row r="31418" s="69" customFormat="1" x14ac:dyDescent="0.15"/>
    <row r="31419" s="69" customFormat="1" x14ac:dyDescent="0.15"/>
    <row r="31420" s="69" customFormat="1" x14ac:dyDescent="0.15"/>
    <row r="31421" s="69" customFormat="1" x14ac:dyDescent="0.15"/>
    <row r="31422" s="69" customFormat="1" x14ac:dyDescent="0.15"/>
    <row r="31423" s="69" customFormat="1" x14ac:dyDescent="0.15"/>
    <row r="31424" s="69" customFormat="1" x14ac:dyDescent="0.15"/>
    <row r="31425" s="69" customFormat="1" x14ac:dyDescent="0.15"/>
    <row r="31426" s="69" customFormat="1" x14ac:dyDescent="0.15"/>
    <row r="31427" s="69" customFormat="1" x14ac:dyDescent="0.15"/>
    <row r="31428" s="69" customFormat="1" x14ac:dyDescent="0.15"/>
    <row r="31429" s="69" customFormat="1" x14ac:dyDescent="0.15"/>
    <row r="31430" s="69" customFormat="1" x14ac:dyDescent="0.15"/>
    <row r="31431" s="69" customFormat="1" x14ac:dyDescent="0.15"/>
    <row r="31432" s="69" customFormat="1" x14ac:dyDescent="0.15"/>
    <row r="31433" s="69" customFormat="1" x14ac:dyDescent="0.15"/>
    <row r="31434" s="69" customFormat="1" x14ac:dyDescent="0.15"/>
    <row r="31435" s="69" customFormat="1" x14ac:dyDescent="0.15"/>
    <row r="31436" s="69" customFormat="1" x14ac:dyDescent="0.15"/>
    <row r="31437" s="69" customFormat="1" x14ac:dyDescent="0.15"/>
    <row r="31438" s="69" customFormat="1" x14ac:dyDescent="0.15"/>
    <row r="31439" s="69" customFormat="1" x14ac:dyDescent="0.15"/>
    <row r="31440" s="69" customFormat="1" x14ac:dyDescent="0.15"/>
    <row r="31441" s="69" customFormat="1" x14ac:dyDescent="0.15"/>
    <row r="31442" s="69" customFormat="1" x14ac:dyDescent="0.15"/>
    <row r="31443" s="69" customFormat="1" x14ac:dyDescent="0.15"/>
    <row r="31444" s="69" customFormat="1" x14ac:dyDescent="0.15"/>
    <row r="31445" s="69" customFormat="1" x14ac:dyDescent="0.15"/>
    <row r="31446" s="69" customFormat="1" x14ac:dyDescent="0.15"/>
    <row r="31447" s="69" customFormat="1" x14ac:dyDescent="0.15"/>
    <row r="31448" s="69" customFormat="1" x14ac:dyDescent="0.15"/>
    <row r="31449" s="69" customFormat="1" x14ac:dyDescent="0.15"/>
    <row r="31450" s="69" customFormat="1" x14ac:dyDescent="0.15"/>
    <row r="31451" s="69" customFormat="1" x14ac:dyDescent="0.15"/>
    <row r="31452" s="69" customFormat="1" x14ac:dyDescent="0.15"/>
    <row r="31453" s="69" customFormat="1" x14ac:dyDescent="0.15"/>
    <row r="31454" s="69" customFormat="1" x14ac:dyDescent="0.15"/>
    <row r="31455" s="69" customFormat="1" x14ac:dyDescent="0.15"/>
    <row r="31456" s="69" customFormat="1" x14ac:dyDescent="0.15"/>
    <row r="31457" s="69" customFormat="1" x14ac:dyDescent="0.15"/>
    <row r="31458" s="69" customFormat="1" x14ac:dyDescent="0.15"/>
    <row r="31459" s="69" customFormat="1" x14ac:dyDescent="0.15"/>
    <row r="31460" s="69" customFormat="1" x14ac:dyDescent="0.15"/>
    <row r="31461" s="69" customFormat="1" x14ac:dyDescent="0.15"/>
    <row r="31462" s="69" customFormat="1" x14ac:dyDescent="0.15"/>
    <row r="31463" s="69" customFormat="1" x14ac:dyDescent="0.15"/>
    <row r="31464" s="69" customFormat="1" x14ac:dyDescent="0.15"/>
    <row r="31465" s="69" customFormat="1" x14ac:dyDescent="0.15"/>
    <row r="31466" s="69" customFormat="1" x14ac:dyDescent="0.15"/>
    <row r="31467" s="69" customFormat="1" x14ac:dyDescent="0.15"/>
    <row r="31468" s="69" customFormat="1" x14ac:dyDescent="0.15"/>
    <row r="31469" s="69" customFormat="1" x14ac:dyDescent="0.15"/>
    <row r="31470" s="69" customFormat="1" x14ac:dyDescent="0.15"/>
    <row r="31471" s="69" customFormat="1" x14ac:dyDescent="0.15"/>
    <row r="31472" s="69" customFormat="1" x14ac:dyDescent="0.15"/>
    <row r="31473" s="69" customFormat="1" x14ac:dyDescent="0.15"/>
    <row r="31474" s="69" customFormat="1" x14ac:dyDescent="0.15"/>
    <row r="31475" s="69" customFormat="1" x14ac:dyDescent="0.15"/>
    <row r="31476" s="69" customFormat="1" x14ac:dyDescent="0.15"/>
    <row r="31477" s="69" customFormat="1" x14ac:dyDescent="0.15"/>
    <row r="31478" s="69" customFormat="1" x14ac:dyDescent="0.15"/>
    <row r="31479" s="69" customFormat="1" x14ac:dyDescent="0.15"/>
    <row r="31480" s="69" customFormat="1" x14ac:dyDescent="0.15"/>
    <row r="31481" s="69" customFormat="1" x14ac:dyDescent="0.15"/>
    <row r="31482" s="69" customFormat="1" x14ac:dyDescent="0.15"/>
    <row r="31483" s="69" customFormat="1" x14ac:dyDescent="0.15"/>
    <row r="31484" s="69" customFormat="1" x14ac:dyDescent="0.15"/>
    <row r="31485" s="69" customFormat="1" x14ac:dyDescent="0.15"/>
    <row r="31486" s="69" customFormat="1" x14ac:dyDescent="0.15"/>
    <row r="31487" s="69" customFormat="1" x14ac:dyDescent="0.15"/>
    <row r="31488" s="69" customFormat="1" x14ac:dyDescent="0.15"/>
    <row r="31489" s="69" customFormat="1" x14ac:dyDescent="0.15"/>
    <row r="31490" s="69" customFormat="1" x14ac:dyDescent="0.15"/>
    <row r="31491" s="69" customFormat="1" x14ac:dyDescent="0.15"/>
    <row r="31492" s="69" customFormat="1" x14ac:dyDescent="0.15"/>
    <row r="31493" s="69" customFormat="1" x14ac:dyDescent="0.15"/>
    <row r="31494" s="69" customFormat="1" x14ac:dyDescent="0.15"/>
    <row r="31495" s="69" customFormat="1" x14ac:dyDescent="0.15"/>
    <row r="31496" s="69" customFormat="1" x14ac:dyDescent="0.15"/>
    <row r="31497" s="69" customFormat="1" x14ac:dyDescent="0.15"/>
    <row r="31498" s="69" customFormat="1" x14ac:dyDescent="0.15"/>
    <row r="31499" s="69" customFormat="1" x14ac:dyDescent="0.15"/>
    <row r="31500" s="69" customFormat="1" x14ac:dyDescent="0.15"/>
    <row r="31501" s="69" customFormat="1" x14ac:dyDescent="0.15"/>
    <row r="31502" s="69" customFormat="1" x14ac:dyDescent="0.15"/>
    <row r="31503" s="69" customFormat="1" x14ac:dyDescent="0.15"/>
    <row r="31504" s="69" customFormat="1" x14ac:dyDescent="0.15"/>
    <row r="31505" s="69" customFormat="1" x14ac:dyDescent="0.15"/>
    <row r="31506" s="69" customFormat="1" x14ac:dyDescent="0.15"/>
    <row r="31507" s="69" customFormat="1" x14ac:dyDescent="0.15"/>
    <row r="31508" s="69" customFormat="1" x14ac:dyDescent="0.15"/>
    <row r="31509" s="69" customFormat="1" x14ac:dyDescent="0.15"/>
    <row r="31510" s="69" customFormat="1" x14ac:dyDescent="0.15"/>
    <row r="31511" s="69" customFormat="1" x14ac:dyDescent="0.15"/>
    <row r="31512" s="69" customFormat="1" x14ac:dyDescent="0.15"/>
    <row r="31513" s="69" customFormat="1" x14ac:dyDescent="0.15"/>
    <row r="31514" s="69" customFormat="1" x14ac:dyDescent="0.15"/>
    <row r="31515" s="69" customFormat="1" x14ac:dyDescent="0.15"/>
    <row r="31516" s="69" customFormat="1" x14ac:dyDescent="0.15"/>
    <row r="31517" s="69" customFormat="1" x14ac:dyDescent="0.15"/>
    <row r="31518" s="69" customFormat="1" x14ac:dyDescent="0.15"/>
    <row r="31519" s="69" customFormat="1" x14ac:dyDescent="0.15"/>
    <row r="31520" s="69" customFormat="1" x14ac:dyDescent="0.15"/>
    <row r="31521" s="69" customFormat="1" x14ac:dyDescent="0.15"/>
    <row r="31522" s="69" customFormat="1" x14ac:dyDescent="0.15"/>
    <row r="31523" s="69" customFormat="1" x14ac:dyDescent="0.15"/>
    <row r="31524" s="69" customFormat="1" x14ac:dyDescent="0.15"/>
    <row r="31525" s="69" customFormat="1" x14ac:dyDescent="0.15"/>
    <row r="31526" s="69" customFormat="1" x14ac:dyDescent="0.15"/>
    <row r="31527" s="69" customFormat="1" x14ac:dyDescent="0.15"/>
    <row r="31528" s="69" customFormat="1" x14ac:dyDescent="0.15"/>
    <row r="31529" s="69" customFormat="1" x14ac:dyDescent="0.15"/>
    <row r="31530" s="69" customFormat="1" x14ac:dyDescent="0.15"/>
    <row r="31531" s="69" customFormat="1" x14ac:dyDescent="0.15"/>
    <row r="31532" s="69" customFormat="1" x14ac:dyDescent="0.15"/>
    <row r="31533" s="69" customFormat="1" x14ac:dyDescent="0.15"/>
    <row r="31534" s="69" customFormat="1" x14ac:dyDescent="0.15"/>
    <row r="31535" s="69" customFormat="1" x14ac:dyDescent="0.15"/>
    <row r="31536" s="69" customFormat="1" x14ac:dyDescent="0.15"/>
    <row r="31537" s="69" customFormat="1" x14ac:dyDescent="0.15"/>
    <row r="31538" s="69" customFormat="1" x14ac:dyDescent="0.15"/>
    <row r="31539" s="69" customFormat="1" x14ac:dyDescent="0.15"/>
    <row r="31540" s="69" customFormat="1" x14ac:dyDescent="0.15"/>
    <row r="31541" s="69" customFormat="1" x14ac:dyDescent="0.15"/>
    <row r="31542" s="69" customFormat="1" x14ac:dyDescent="0.15"/>
    <row r="31543" s="69" customFormat="1" x14ac:dyDescent="0.15"/>
    <row r="31544" s="69" customFormat="1" x14ac:dyDescent="0.15"/>
    <row r="31545" s="69" customFormat="1" x14ac:dyDescent="0.15"/>
    <row r="31546" s="69" customFormat="1" x14ac:dyDescent="0.15"/>
    <row r="31547" s="69" customFormat="1" x14ac:dyDescent="0.15"/>
    <row r="31548" s="69" customFormat="1" x14ac:dyDescent="0.15"/>
    <row r="31549" s="69" customFormat="1" x14ac:dyDescent="0.15"/>
    <row r="31550" s="69" customFormat="1" x14ac:dyDescent="0.15"/>
    <row r="31551" s="69" customFormat="1" x14ac:dyDescent="0.15"/>
    <row r="31552" s="69" customFormat="1" x14ac:dyDescent="0.15"/>
    <row r="31553" s="69" customFormat="1" x14ac:dyDescent="0.15"/>
    <row r="31554" s="69" customFormat="1" x14ac:dyDescent="0.15"/>
    <row r="31555" s="69" customFormat="1" x14ac:dyDescent="0.15"/>
    <row r="31556" s="69" customFormat="1" x14ac:dyDescent="0.15"/>
    <row r="31557" s="69" customFormat="1" x14ac:dyDescent="0.15"/>
    <row r="31558" s="69" customFormat="1" x14ac:dyDescent="0.15"/>
    <row r="31559" s="69" customFormat="1" x14ac:dyDescent="0.15"/>
    <row r="31560" s="69" customFormat="1" x14ac:dyDescent="0.15"/>
    <row r="31561" s="69" customFormat="1" x14ac:dyDescent="0.15"/>
    <row r="31562" s="69" customFormat="1" x14ac:dyDescent="0.15"/>
    <row r="31563" s="69" customFormat="1" x14ac:dyDescent="0.15"/>
    <row r="31564" s="69" customFormat="1" x14ac:dyDescent="0.15"/>
    <row r="31565" s="69" customFormat="1" x14ac:dyDescent="0.15"/>
    <row r="31566" s="69" customFormat="1" x14ac:dyDescent="0.15"/>
    <row r="31567" s="69" customFormat="1" x14ac:dyDescent="0.15"/>
    <row r="31568" s="69" customFormat="1" x14ac:dyDescent="0.15"/>
    <row r="31569" s="69" customFormat="1" x14ac:dyDescent="0.15"/>
    <row r="31570" s="69" customFormat="1" x14ac:dyDescent="0.15"/>
    <row r="31571" s="69" customFormat="1" x14ac:dyDescent="0.15"/>
    <row r="31572" s="69" customFormat="1" x14ac:dyDescent="0.15"/>
    <row r="31573" s="69" customFormat="1" x14ac:dyDescent="0.15"/>
    <row r="31574" s="69" customFormat="1" x14ac:dyDescent="0.15"/>
    <row r="31575" s="69" customFormat="1" x14ac:dyDescent="0.15"/>
    <row r="31576" s="69" customFormat="1" x14ac:dyDescent="0.15"/>
    <row r="31577" s="69" customFormat="1" x14ac:dyDescent="0.15"/>
    <row r="31578" s="69" customFormat="1" x14ac:dyDescent="0.15"/>
    <row r="31579" s="69" customFormat="1" x14ac:dyDescent="0.15"/>
    <row r="31580" s="69" customFormat="1" x14ac:dyDescent="0.15"/>
    <row r="31581" s="69" customFormat="1" x14ac:dyDescent="0.15"/>
    <row r="31582" s="69" customFormat="1" x14ac:dyDescent="0.15"/>
    <row r="31583" s="69" customFormat="1" x14ac:dyDescent="0.15"/>
    <row r="31584" s="69" customFormat="1" x14ac:dyDescent="0.15"/>
    <row r="31585" s="69" customFormat="1" x14ac:dyDescent="0.15"/>
    <row r="31586" s="69" customFormat="1" x14ac:dyDescent="0.15"/>
    <row r="31587" s="69" customFormat="1" x14ac:dyDescent="0.15"/>
    <row r="31588" s="69" customFormat="1" x14ac:dyDescent="0.15"/>
    <row r="31589" s="69" customFormat="1" x14ac:dyDescent="0.15"/>
    <row r="31590" s="69" customFormat="1" x14ac:dyDescent="0.15"/>
    <row r="31591" s="69" customFormat="1" x14ac:dyDescent="0.15"/>
    <row r="31592" s="69" customFormat="1" x14ac:dyDescent="0.15"/>
    <row r="31593" s="69" customFormat="1" x14ac:dyDescent="0.15"/>
    <row r="31594" s="69" customFormat="1" x14ac:dyDescent="0.15"/>
    <row r="31595" s="69" customFormat="1" x14ac:dyDescent="0.15"/>
    <row r="31596" s="69" customFormat="1" x14ac:dyDescent="0.15"/>
    <row r="31597" s="69" customFormat="1" x14ac:dyDescent="0.15"/>
    <row r="31598" s="69" customFormat="1" x14ac:dyDescent="0.15"/>
    <row r="31599" s="69" customFormat="1" x14ac:dyDescent="0.15"/>
    <row r="31600" s="69" customFormat="1" x14ac:dyDescent="0.15"/>
    <row r="31601" s="69" customFormat="1" x14ac:dyDescent="0.15"/>
    <row r="31602" s="69" customFormat="1" x14ac:dyDescent="0.15"/>
    <row r="31603" s="69" customFormat="1" x14ac:dyDescent="0.15"/>
    <row r="31604" s="69" customFormat="1" x14ac:dyDescent="0.15"/>
    <row r="31605" s="69" customFormat="1" x14ac:dyDescent="0.15"/>
    <row r="31606" s="69" customFormat="1" x14ac:dyDescent="0.15"/>
    <row r="31607" s="69" customFormat="1" x14ac:dyDescent="0.15"/>
    <row r="31608" s="69" customFormat="1" x14ac:dyDescent="0.15"/>
    <row r="31609" s="69" customFormat="1" x14ac:dyDescent="0.15"/>
    <row r="31610" s="69" customFormat="1" x14ac:dyDescent="0.15"/>
    <row r="31611" s="69" customFormat="1" x14ac:dyDescent="0.15"/>
    <row r="31612" s="69" customFormat="1" x14ac:dyDescent="0.15"/>
    <row r="31613" s="69" customFormat="1" x14ac:dyDescent="0.15"/>
    <row r="31614" s="69" customFormat="1" x14ac:dyDescent="0.15"/>
    <row r="31615" s="69" customFormat="1" x14ac:dyDescent="0.15"/>
    <row r="31616" s="69" customFormat="1" x14ac:dyDescent="0.15"/>
    <row r="31617" s="69" customFormat="1" x14ac:dyDescent="0.15"/>
    <row r="31618" s="69" customFormat="1" x14ac:dyDescent="0.15"/>
    <row r="31619" s="69" customFormat="1" x14ac:dyDescent="0.15"/>
    <row r="31620" s="69" customFormat="1" x14ac:dyDescent="0.15"/>
    <row r="31621" s="69" customFormat="1" x14ac:dyDescent="0.15"/>
    <row r="31622" s="69" customFormat="1" x14ac:dyDescent="0.15"/>
    <row r="31623" s="69" customFormat="1" x14ac:dyDescent="0.15"/>
    <row r="31624" s="69" customFormat="1" x14ac:dyDescent="0.15"/>
    <row r="31625" s="69" customFormat="1" x14ac:dyDescent="0.15"/>
    <row r="31626" s="69" customFormat="1" x14ac:dyDescent="0.15"/>
    <row r="31627" s="69" customFormat="1" x14ac:dyDescent="0.15"/>
    <row r="31628" s="69" customFormat="1" x14ac:dyDescent="0.15"/>
    <row r="31629" s="69" customFormat="1" x14ac:dyDescent="0.15"/>
    <row r="31630" s="69" customFormat="1" x14ac:dyDescent="0.15"/>
    <row r="31631" s="69" customFormat="1" x14ac:dyDescent="0.15"/>
    <row r="31632" s="69" customFormat="1" x14ac:dyDescent="0.15"/>
    <row r="31633" s="69" customFormat="1" x14ac:dyDescent="0.15"/>
    <row r="31634" s="69" customFormat="1" x14ac:dyDescent="0.15"/>
    <row r="31635" s="69" customFormat="1" x14ac:dyDescent="0.15"/>
    <row r="31636" s="69" customFormat="1" x14ac:dyDescent="0.15"/>
    <row r="31637" s="69" customFormat="1" x14ac:dyDescent="0.15"/>
    <row r="31638" s="69" customFormat="1" x14ac:dyDescent="0.15"/>
    <row r="31639" s="69" customFormat="1" x14ac:dyDescent="0.15"/>
    <row r="31640" s="69" customFormat="1" x14ac:dyDescent="0.15"/>
    <row r="31641" s="69" customFormat="1" x14ac:dyDescent="0.15"/>
    <row r="31642" s="69" customFormat="1" x14ac:dyDescent="0.15"/>
    <row r="31643" s="69" customFormat="1" x14ac:dyDescent="0.15"/>
    <row r="31644" s="69" customFormat="1" x14ac:dyDescent="0.15"/>
    <row r="31645" s="69" customFormat="1" x14ac:dyDescent="0.15"/>
    <row r="31646" s="69" customFormat="1" x14ac:dyDescent="0.15"/>
    <row r="31647" s="69" customFormat="1" x14ac:dyDescent="0.15"/>
    <row r="31648" s="69" customFormat="1" x14ac:dyDescent="0.15"/>
    <row r="31649" s="69" customFormat="1" x14ac:dyDescent="0.15"/>
    <row r="31650" s="69" customFormat="1" x14ac:dyDescent="0.15"/>
    <row r="31651" s="69" customFormat="1" x14ac:dyDescent="0.15"/>
    <row r="31652" s="69" customFormat="1" x14ac:dyDescent="0.15"/>
    <row r="31653" s="69" customFormat="1" x14ac:dyDescent="0.15"/>
    <row r="31654" s="69" customFormat="1" x14ac:dyDescent="0.15"/>
    <row r="31655" s="69" customFormat="1" x14ac:dyDescent="0.15"/>
    <row r="31656" s="69" customFormat="1" x14ac:dyDescent="0.15"/>
    <row r="31657" s="69" customFormat="1" x14ac:dyDescent="0.15"/>
    <row r="31658" s="69" customFormat="1" x14ac:dyDescent="0.15"/>
    <row r="31659" s="69" customFormat="1" x14ac:dyDescent="0.15"/>
    <row r="31660" s="69" customFormat="1" x14ac:dyDescent="0.15"/>
    <row r="31661" s="69" customFormat="1" x14ac:dyDescent="0.15"/>
    <row r="31662" s="69" customFormat="1" x14ac:dyDescent="0.15"/>
    <row r="31663" s="69" customFormat="1" x14ac:dyDescent="0.15"/>
    <row r="31664" s="69" customFormat="1" x14ac:dyDescent="0.15"/>
    <row r="31665" s="69" customFormat="1" x14ac:dyDescent="0.15"/>
    <row r="31666" s="69" customFormat="1" x14ac:dyDescent="0.15"/>
    <row r="31667" s="69" customFormat="1" x14ac:dyDescent="0.15"/>
    <row r="31668" s="69" customFormat="1" x14ac:dyDescent="0.15"/>
    <row r="31669" s="69" customFormat="1" x14ac:dyDescent="0.15"/>
    <row r="31670" s="69" customFormat="1" x14ac:dyDescent="0.15"/>
    <row r="31671" s="69" customFormat="1" x14ac:dyDescent="0.15"/>
    <row r="31672" s="69" customFormat="1" x14ac:dyDescent="0.15"/>
    <row r="31673" s="69" customFormat="1" x14ac:dyDescent="0.15"/>
    <row r="31674" s="69" customFormat="1" x14ac:dyDescent="0.15"/>
    <row r="31675" s="69" customFormat="1" x14ac:dyDescent="0.15"/>
    <row r="31676" s="69" customFormat="1" x14ac:dyDescent="0.15"/>
    <row r="31677" s="69" customFormat="1" x14ac:dyDescent="0.15"/>
    <row r="31678" s="69" customFormat="1" x14ac:dyDescent="0.15"/>
    <row r="31679" s="69" customFormat="1" x14ac:dyDescent="0.15"/>
    <row r="31680" s="69" customFormat="1" x14ac:dyDescent="0.15"/>
    <row r="31681" s="69" customFormat="1" x14ac:dyDescent="0.15"/>
    <row r="31682" s="69" customFormat="1" x14ac:dyDescent="0.15"/>
    <row r="31683" s="69" customFormat="1" x14ac:dyDescent="0.15"/>
    <row r="31684" s="69" customFormat="1" x14ac:dyDescent="0.15"/>
    <row r="31685" s="69" customFormat="1" x14ac:dyDescent="0.15"/>
    <row r="31686" s="69" customFormat="1" x14ac:dyDescent="0.15"/>
    <row r="31687" s="69" customFormat="1" x14ac:dyDescent="0.15"/>
    <row r="31688" s="69" customFormat="1" x14ac:dyDescent="0.15"/>
    <row r="31689" s="69" customFormat="1" x14ac:dyDescent="0.15"/>
    <row r="31690" s="69" customFormat="1" x14ac:dyDescent="0.15"/>
    <row r="31691" s="69" customFormat="1" x14ac:dyDescent="0.15"/>
    <row r="31692" s="69" customFormat="1" x14ac:dyDescent="0.15"/>
    <row r="31693" s="69" customFormat="1" x14ac:dyDescent="0.15"/>
    <row r="31694" s="69" customFormat="1" x14ac:dyDescent="0.15"/>
    <row r="31695" s="69" customFormat="1" x14ac:dyDescent="0.15"/>
    <row r="31696" s="69" customFormat="1" x14ac:dyDescent="0.15"/>
    <row r="31697" s="69" customFormat="1" x14ac:dyDescent="0.15"/>
    <row r="31698" s="69" customFormat="1" x14ac:dyDescent="0.15"/>
    <row r="31699" s="69" customFormat="1" x14ac:dyDescent="0.15"/>
    <row r="31700" s="69" customFormat="1" x14ac:dyDescent="0.15"/>
    <row r="31701" s="69" customFormat="1" x14ac:dyDescent="0.15"/>
    <row r="31702" s="69" customFormat="1" x14ac:dyDescent="0.15"/>
    <row r="31703" s="69" customFormat="1" x14ac:dyDescent="0.15"/>
    <row r="31704" s="69" customFormat="1" x14ac:dyDescent="0.15"/>
    <row r="31705" s="69" customFormat="1" x14ac:dyDescent="0.15"/>
    <row r="31706" s="69" customFormat="1" x14ac:dyDescent="0.15"/>
    <row r="31707" s="69" customFormat="1" x14ac:dyDescent="0.15"/>
    <row r="31708" s="69" customFormat="1" x14ac:dyDescent="0.15"/>
    <row r="31709" s="69" customFormat="1" x14ac:dyDescent="0.15"/>
    <row r="31710" s="69" customFormat="1" x14ac:dyDescent="0.15"/>
    <row r="31711" s="69" customFormat="1" x14ac:dyDescent="0.15"/>
    <row r="31712" s="69" customFormat="1" x14ac:dyDescent="0.15"/>
    <row r="31713" s="69" customFormat="1" x14ac:dyDescent="0.15"/>
    <row r="31714" s="69" customFormat="1" x14ac:dyDescent="0.15"/>
    <row r="31715" s="69" customFormat="1" x14ac:dyDescent="0.15"/>
    <row r="31716" s="69" customFormat="1" x14ac:dyDescent="0.15"/>
    <row r="31717" s="69" customFormat="1" x14ac:dyDescent="0.15"/>
    <row r="31718" s="69" customFormat="1" x14ac:dyDescent="0.15"/>
    <row r="31719" s="69" customFormat="1" x14ac:dyDescent="0.15"/>
    <row r="31720" s="69" customFormat="1" x14ac:dyDescent="0.15"/>
    <row r="31721" s="69" customFormat="1" x14ac:dyDescent="0.15"/>
    <row r="31722" s="69" customFormat="1" x14ac:dyDescent="0.15"/>
    <row r="31723" s="69" customFormat="1" x14ac:dyDescent="0.15"/>
    <row r="31724" s="69" customFormat="1" x14ac:dyDescent="0.15"/>
    <row r="31725" s="69" customFormat="1" x14ac:dyDescent="0.15"/>
    <row r="31726" s="69" customFormat="1" x14ac:dyDescent="0.15"/>
    <row r="31727" s="69" customFormat="1" x14ac:dyDescent="0.15"/>
    <row r="31728" s="69" customFormat="1" x14ac:dyDescent="0.15"/>
    <row r="31729" s="69" customFormat="1" x14ac:dyDescent="0.15"/>
    <row r="31730" s="69" customFormat="1" x14ac:dyDescent="0.15"/>
    <row r="31731" s="69" customFormat="1" x14ac:dyDescent="0.15"/>
    <row r="31732" s="69" customFormat="1" x14ac:dyDescent="0.15"/>
    <row r="31733" s="69" customFormat="1" x14ac:dyDescent="0.15"/>
    <row r="31734" s="69" customFormat="1" x14ac:dyDescent="0.15"/>
    <row r="31735" s="69" customFormat="1" x14ac:dyDescent="0.15"/>
    <row r="31736" s="69" customFormat="1" x14ac:dyDescent="0.15"/>
    <row r="31737" s="69" customFormat="1" x14ac:dyDescent="0.15"/>
    <row r="31738" s="69" customFormat="1" x14ac:dyDescent="0.15"/>
    <row r="31739" s="69" customFormat="1" x14ac:dyDescent="0.15"/>
    <row r="31740" s="69" customFormat="1" x14ac:dyDescent="0.15"/>
    <row r="31741" s="69" customFormat="1" x14ac:dyDescent="0.15"/>
    <row r="31742" s="69" customFormat="1" x14ac:dyDescent="0.15"/>
    <row r="31743" s="69" customFormat="1" x14ac:dyDescent="0.15"/>
    <row r="31744" s="69" customFormat="1" x14ac:dyDescent="0.15"/>
    <row r="31745" s="69" customFormat="1" x14ac:dyDescent="0.15"/>
    <row r="31746" s="69" customFormat="1" x14ac:dyDescent="0.15"/>
    <row r="31747" s="69" customFormat="1" x14ac:dyDescent="0.15"/>
    <row r="31748" s="69" customFormat="1" x14ac:dyDescent="0.15"/>
    <row r="31749" s="69" customFormat="1" x14ac:dyDescent="0.15"/>
    <row r="31750" s="69" customFormat="1" x14ac:dyDescent="0.15"/>
    <row r="31751" s="69" customFormat="1" x14ac:dyDescent="0.15"/>
    <row r="31752" s="69" customFormat="1" x14ac:dyDescent="0.15"/>
    <row r="31753" s="69" customFormat="1" x14ac:dyDescent="0.15"/>
    <row r="31754" s="69" customFormat="1" x14ac:dyDescent="0.15"/>
    <row r="31755" s="69" customFormat="1" x14ac:dyDescent="0.15"/>
    <row r="31756" s="69" customFormat="1" x14ac:dyDescent="0.15"/>
    <row r="31757" s="69" customFormat="1" x14ac:dyDescent="0.15"/>
    <row r="31758" s="69" customFormat="1" x14ac:dyDescent="0.15"/>
    <row r="31759" s="69" customFormat="1" x14ac:dyDescent="0.15"/>
    <row r="31760" s="69" customFormat="1" x14ac:dyDescent="0.15"/>
    <row r="31761" s="69" customFormat="1" x14ac:dyDescent="0.15"/>
    <row r="31762" s="69" customFormat="1" x14ac:dyDescent="0.15"/>
    <row r="31763" s="69" customFormat="1" x14ac:dyDescent="0.15"/>
    <row r="31764" s="69" customFormat="1" x14ac:dyDescent="0.15"/>
    <row r="31765" s="69" customFormat="1" x14ac:dyDescent="0.15"/>
    <row r="31766" s="69" customFormat="1" x14ac:dyDescent="0.15"/>
    <row r="31767" s="69" customFormat="1" x14ac:dyDescent="0.15"/>
    <row r="31768" s="69" customFormat="1" x14ac:dyDescent="0.15"/>
    <row r="31769" s="69" customFormat="1" x14ac:dyDescent="0.15"/>
    <row r="31770" s="69" customFormat="1" x14ac:dyDescent="0.15"/>
    <row r="31771" s="69" customFormat="1" x14ac:dyDescent="0.15"/>
    <row r="31772" s="69" customFormat="1" x14ac:dyDescent="0.15"/>
    <row r="31773" s="69" customFormat="1" x14ac:dyDescent="0.15"/>
    <row r="31774" s="69" customFormat="1" x14ac:dyDescent="0.15"/>
    <row r="31775" s="69" customFormat="1" x14ac:dyDescent="0.15"/>
    <row r="31776" s="69" customFormat="1" x14ac:dyDescent="0.15"/>
    <row r="31777" s="69" customFormat="1" x14ac:dyDescent="0.15"/>
    <row r="31778" s="69" customFormat="1" x14ac:dyDescent="0.15"/>
    <row r="31779" s="69" customFormat="1" x14ac:dyDescent="0.15"/>
    <row r="31780" s="69" customFormat="1" x14ac:dyDescent="0.15"/>
    <row r="31781" s="69" customFormat="1" x14ac:dyDescent="0.15"/>
    <row r="31782" s="69" customFormat="1" x14ac:dyDescent="0.15"/>
    <row r="31783" s="69" customFormat="1" x14ac:dyDescent="0.15"/>
    <row r="31784" s="69" customFormat="1" x14ac:dyDescent="0.15"/>
    <row r="31785" s="69" customFormat="1" x14ac:dyDescent="0.15"/>
    <row r="31786" s="69" customFormat="1" x14ac:dyDescent="0.15"/>
    <row r="31787" s="69" customFormat="1" x14ac:dyDescent="0.15"/>
    <row r="31788" s="69" customFormat="1" x14ac:dyDescent="0.15"/>
    <row r="31789" s="69" customFormat="1" x14ac:dyDescent="0.15"/>
    <row r="31790" s="69" customFormat="1" x14ac:dyDescent="0.15"/>
    <row r="31791" s="69" customFormat="1" x14ac:dyDescent="0.15"/>
    <row r="31792" s="69" customFormat="1" x14ac:dyDescent="0.15"/>
    <row r="31793" s="69" customFormat="1" x14ac:dyDescent="0.15"/>
    <row r="31794" s="69" customFormat="1" x14ac:dyDescent="0.15"/>
    <row r="31795" s="69" customFormat="1" x14ac:dyDescent="0.15"/>
    <row r="31796" s="69" customFormat="1" x14ac:dyDescent="0.15"/>
    <row r="31797" s="69" customFormat="1" x14ac:dyDescent="0.15"/>
    <row r="31798" s="69" customFormat="1" x14ac:dyDescent="0.15"/>
    <row r="31799" s="69" customFormat="1" x14ac:dyDescent="0.15"/>
    <row r="31800" s="69" customFormat="1" x14ac:dyDescent="0.15"/>
    <row r="31801" s="69" customFormat="1" x14ac:dyDescent="0.15"/>
    <row r="31802" s="69" customFormat="1" x14ac:dyDescent="0.15"/>
    <row r="31803" s="69" customFormat="1" x14ac:dyDescent="0.15"/>
    <row r="31804" s="69" customFormat="1" x14ac:dyDescent="0.15"/>
    <row r="31805" s="69" customFormat="1" x14ac:dyDescent="0.15"/>
    <row r="31806" s="69" customFormat="1" x14ac:dyDescent="0.15"/>
    <row r="31807" s="69" customFormat="1" x14ac:dyDescent="0.15"/>
    <row r="31808" s="69" customFormat="1" x14ac:dyDescent="0.15"/>
    <row r="31809" s="69" customFormat="1" x14ac:dyDescent="0.15"/>
    <row r="31810" s="69" customFormat="1" x14ac:dyDescent="0.15"/>
    <row r="31811" s="69" customFormat="1" x14ac:dyDescent="0.15"/>
    <row r="31812" s="69" customFormat="1" x14ac:dyDescent="0.15"/>
    <row r="31813" s="69" customFormat="1" x14ac:dyDescent="0.15"/>
    <row r="31814" s="69" customFormat="1" x14ac:dyDescent="0.15"/>
    <row r="31815" s="69" customFormat="1" x14ac:dyDescent="0.15"/>
    <row r="31816" s="69" customFormat="1" x14ac:dyDescent="0.15"/>
    <row r="31817" s="69" customFormat="1" x14ac:dyDescent="0.15"/>
    <row r="31818" s="69" customFormat="1" x14ac:dyDescent="0.15"/>
    <row r="31819" s="69" customFormat="1" x14ac:dyDescent="0.15"/>
    <row r="31820" s="69" customFormat="1" x14ac:dyDescent="0.15"/>
    <row r="31821" s="69" customFormat="1" x14ac:dyDescent="0.15"/>
    <row r="31822" s="69" customFormat="1" x14ac:dyDescent="0.15"/>
    <row r="31823" s="69" customFormat="1" x14ac:dyDescent="0.15"/>
    <row r="31824" s="69" customFormat="1" x14ac:dyDescent="0.15"/>
    <row r="31825" s="69" customFormat="1" x14ac:dyDescent="0.15"/>
    <row r="31826" s="69" customFormat="1" x14ac:dyDescent="0.15"/>
    <row r="31827" s="69" customFormat="1" x14ac:dyDescent="0.15"/>
    <row r="31828" s="69" customFormat="1" x14ac:dyDescent="0.15"/>
    <row r="31829" s="69" customFormat="1" x14ac:dyDescent="0.15"/>
    <row r="31830" s="69" customFormat="1" x14ac:dyDescent="0.15"/>
    <row r="31831" s="69" customFormat="1" x14ac:dyDescent="0.15"/>
    <row r="31832" s="69" customFormat="1" x14ac:dyDescent="0.15"/>
    <row r="31833" s="69" customFormat="1" x14ac:dyDescent="0.15"/>
    <row r="31834" s="69" customFormat="1" x14ac:dyDescent="0.15"/>
    <row r="31835" s="69" customFormat="1" x14ac:dyDescent="0.15"/>
    <row r="31836" s="69" customFormat="1" x14ac:dyDescent="0.15"/>
    <row r="31837" s="69" customFormat="1" x14ac:dyDescent="0.15"/>
    <row r="31838" s="69" customFormat="1" x14ac:dyDescent="0.15"/>
    <row r="31839" s="69" customFormat="1" x14ac:dyDescent="0.15"/>
    <row r="31840" s="69" customFormat="1" x14ac:dyDescent="0.15"/>
    <row r="31841" s="69" customFormat="1" x14ac:dyDescent="0.15"/>
    <row r="31842" s="69" customFormat="1" x14ac:dyDescent="0.15"/>
    <row r="31843" s="69" customFormat="1" x14ac:dyDescent="0.15"/>
    <row r="31844" s="69" customFormat="1" x14ac:dyDescent="0.15"/>
    <row r="31845" s="69" customFormat="1" x14ac:dyDescent="0.15"/>
    <row r="31846" s="69" customFormat="1" x14ac:dyDescent="0.15"/>
    <row r="31847" s="69" customFormat="1" x14ac:dyDescent="0.15"/>
    <row r="31848" s="69" customFormat="1" x14ac:dyDescent="0.15"/>
    <row r="31849" s="69" customFormat="1" x14ac:dyDescent="0.15"/>
    <row r="31850" s="69" customFormat="1" x14ac:dyDescent="0.15"/>
    <row r="31851" s="69" customFormat="1" x14ac:dyDescent="0.15"/>
    <row r="31852" s="69" customFormat="1" x14ac:dyDescent="0.15"/>
    <row r="31853" s="69" customFormat="1" x14ac:dyDescent="0.15"/>
    <row r="31854" s="69" customFormat="1" x14ac:dyDescent="0.15"/>
    <row r="31855" s="69" customFormat="1" x14ac:dyDescent="0.15"/>
    <row r="31856" s="69" customFormat="1" x14ac:dyDescent="0.15"/>
    <row r="31857" s="69" customFormat="1" x14ac:dyDescent="0.15"/>
    <row r="31858" s="69" customFormat="1" x14ac:dyDescent="0.15"/>
    <row r="31859" s="69" customFormat="1" x14ac:dyDescent="0.15"/>
    <row r="31860" s="69" customFormat="1" x14ac:dyDescent="0.15"/>
    <row r="31861" s="69" customFormat="1" x14ac:dyDescent="0.15"/>
    <row r="31862" s="69" customFormat="1" x14ac:dyDescent="0.15"/>
    <row r="31863" s="69" customFormat="1" x14ac:dyDescent="0.15"/>
    <row r="31864" s="69" customFormat="1" x14ac:dyDescent="0.15"/>
    <row r="31865" s="69" customFormat="1" x14ac:dyDescent="0.15"/>
    <row r="31866" s="69" customFormat="1" x14ac:dyDescent="0.15"/>
    <row r="31867" s="69" customFormat="1" x14ac:dyDescent="0.15"/>
    <row r="31868" s="69" customFormat="1" x14ac:dyDescent="0.15"/>
    <row r="31869" s="69" customFormat="1" x14ac:dyDescent="0.15"/>
    <row r="31870" s="69" customFormat="1" x14ac:dyDescent="0.15"/>
    <row r="31871" s="69" customFormat="1" x14ac:dyDescent="0.15"/>
    <row r="31872" s="69" customFormat="1" x14ac:dyDescent="0.15"/>
    <row r="31873" s="69" customFormat="1" x14ac:dyDescent="0.15"/>
    <row r="31874" s="69" customFormat="1" x14ac:dyDescent="0.15"/>
    <row r="31875" s="69" customFormat="1" x14ac:dyDescent="0.15"/>
    <row r="31876" s="69" customFormat="1" x14ac:dyDescent="0.15"/>
    <row r="31877" s="69" customFormat="1" x14ac:dyDescent="0.15"/>
    <row r="31878" s="69" customFormat="1" x14ac:dyDescent="0.15"/>
    <row r="31879" s="69" customFormat="1" x14ac:dyDescent="0.15"/>
    <row r="31880" s="69" customFormat="1" x14ac:dyDescent="0.15"/>
    <row r="31881" s="69" customFormat="1" x14ac:dyDescent="0.15"/>
    <row r="31882" s="69" customFormat="1" x14ac:dyDescent="0.15"/>
    <row r="31883" s="69" customFormat="1" x14ac:dyDescent="0.15"/>
    <row r="31884" s="69" customFormat="1" x14ac:dyDescent="0.15"/>
    <row r="31885" s="69" customFormat="1" x14ac:dyDescent="0.15"/>
    <row r="31886" s="69" customFormat="1" x14ac:dyDescent="0.15"/>
    <row r="31887" s="69" customFormat="1" x14ac:dyDescent="0.15"/>
    <row r="31888" s="69" customFormat="1" x14ac:dyDescent="0.15"/>
    <row r="31889" s="69" customFormat="1" x14ac:dyDescent="0.15"/>
    <row r="31890" s="69" customFormat="1" x14ac:dyDescent="0.15"/>
    <row r="31891" s="69" customFormat="1" x14ac:dyDescent="0.15"/>
    <row r="31892" s="69" customFormat="1" x14ac:dyDescent="0.15"/>
    <row r="31893" s="69" customFormat="1" x14ac:dyDescent="0.15"/>
    <row r="31894" s="69" customFormat="1" x14ac:dyDescent="0.15"/>
    <row r="31895" s="69" customFormat="1" x14ac:dyDescent="0.15"/>
    <row r="31896" s="69" customFormat="1" x14ac:dyDescent="0.15"/>
    <row r="31897" s="69" customFormat="1" x14ac:dyDescent="0.15"/>
    <row r="31898" s="69" customFormat="1" x14ac:dyDescent="0.15"/>
    <row r="31899" s="69" customFormat="1" x14ac:dyDescent="0.15"/>
    <row r="31900" s="69" customFormat="1" x14ac:dyDescent="0.15"/>
    <row r="31901" s="69" customFormat="1" x14ac:dyDescent="0.15"/>
    <row r="31902" s="69" customFormat="1" x14ac:dyDescent="0.15"/>
    <row r="31903" s="69" customFormat="1" x14ac:dyDescent="0.15"/>
    <row r="31904" s="69" customFormat="1" x14ac:dyDescent="0.15"/>
    <row r="31905" s="69" customFormat="1" x14ac:dyDescent="0.15"/>
    <row r="31906" s="69" customFormat="1" x14ac:dyDescent="0.15"/>
    <row r="31907" s="69" customFormat="1" x14ac:dyDescent="0.15"/>
    <row r="31908" s="69" customFormat="1" x14ac:dyDescent="0.15"/>
    <row r="31909" s="69" customFormat="1" x14ac:dyDescent="0.15"/>
    <row r="31910" s="69" customFormat="1" x14ac:dyDescent="0.15"/>
    <row r="31911" s="69" customFormat="1" x14ac:dyDescent="0.15"/>
    <row r="31912" s="69" customFormat="1" x14ac:dyDescent="0.15"/>
    <row r="31913" s="69" customFormat="1" x14ac:dyDescent="0.15"/>
    <row r="31914" s="69" customFormat="1" x14ac:dyDescent="0.15"/>
    <row r="31915" s="69" customFormat="1" x14ac:dyDescent="0.15"/>
    <row r="31916" s="69" customFormat="1" x14ac:dyDescent="0.15"/>
    <row r="31917" s="69" customFormat="1" x14ac:dyDescent="0.15"/>
    <row r="31918" s="69" customFormat="1" x14ac:dyDescent="0.15"/>
    <row r="31919" s="69" customFormat="1" x14ac:dyDescent="0.15"/>
    <row r="31920" s="69" customFormat="1" x14ac:dyDescent="0.15"/>
    <row r="31921" s="69" customFormat="1" x14ac:dyDescent="0.15"/>
    <row r="31922" s="69" customFormat="1" x14ac:dyDescent="0.15"/>
    <row r="31923" s="69" customFormat="1" x14ac:dyDescent="0.15"/>
    <row r="31924" s="69" customFormat="1" x14ac:dyDescent="0.15"/>
    <row r="31925" s="69" customFormat="1" x14ac:dyDescent="0.15"/>
    <row r="31926" s="69" customFormat="1" x14ac:dyDescent="0.15"/>
    <row r="31927" s="69" customFormat="1" x14ac:dyDescent="0.15"/>
    <row r="31928" s="69" customFormat="1" x14ac:dyDescent="0.15"/>
    <row r="31929" s="69" customFormat="1" x14ac:dyDescent="0.15"/>
    <row r="31930" s="69" customFormat="1" x14ac:dyDescent="0.15"/>
    <row r="31931" s="69" customFormat="1" x14ac:dyDescent="0.15"/>
    <row r="31932" s="69" customFormat="1" x14ac:dyDescent="0.15"/>
    <row r="31933" s="69" customFormat="1" x14ac:dyDescent="0.15"/>
    <row r="31934" s="69" customFormat="1" x14ac:dyDescent="0.15"/>
    <row r="31935" s="69" customFormat="1" x14ac:dyDescent="0.15"/>
    <row r="31936" s="69" customFormat="1" x14ac:dyDescent="0.15"/>
    <row r="31937" s="69" customFormat="1" x14ac:dyDescent="0.15"/>
    <row r="31938" s="69" customFormat="1" x14ac:dyDescent="0.15"/>
    <row r="31939" s="69" customFormat="1" x14ac:dyDescent="0.15"/>
    <row r="31940" s="69" customFormat="1" x14ac:dyDescent="0.15"/>
    <row r="31941" s="69" customFormat="1" x14ac:dyDescent="0.15"/>
    <row r="31942" s="69" customFormat="1" x14ac:dyDescent="0.15"/>
    <row r="31943" s="69" customFormat="1" x14ac:dyDescent="0.15"/>
    <row r="31944" s="69" customFormat="1" x14ac:dyDescent="0.15"/>
    <row r="31945" s="69" customFormat="1" x14ac:dyDescent="0.15"/>
    <row r="31946" s="69" customFormat="1" x14ac:dyDescent="0.15"/>
    <row r="31947" s="69" customFormat="1" x14ac:dyDescent="0.15"/>
    <row r="31948" s="69" customFormat="1" x14ac:dyDescent="0.15"/>
    <row r="31949" s="69" customFormat="1" x14ac:dyDescent="0.15"/>
    <row r="31950" s="69" customFormat="1" x14ac:dyDescent="0.15"/>
    <row r="31951" s="69" customFormat="1" x14ac:dyDescent="0.15"/>
    <row r="31952" s="69" customFormat="1" x14ac:dyDescent="0.15"/>
    <row r="31953" s="69" customFormat="1" x14ac:dyDescent="0.15"/>
    <row r="31954" s="69" customFormat="1" x14ac:dyDescent="0.15"/>
    <row r="31955" s="69" customFormat="1" x14ac:dyDescent="0.15"/>
    <row r="31956" s="69" customFormat="1" x14ac:dyDescent="0.15"/>
    <row r="31957" s="69" customFormat="1" x14ac:dyDescent="0.15"/>
    <row r="31958" s="69" customFormat="1" x14ac:dyDescent="0.15"/>
    <row r="31959" s="69" customFormat="1" x14ac:dyDescent="0.15"/>
    <row r="31960" s="69" customFormat="1" x14ac:dyDescent="0.15"/>
    <row r="31961" s="69" customFormat="1" x14ac:dyDescent="0.15"/>
    <row r="31962" s="69" customFormat="1" x14ac:dyDescent="0.15"/>
    <row r="31963" s="69" customFormat="1" x14ac:dyDescent="0.15"/>
    <row r="31964" s="69" customFormat="1" x14ac:dyDescent="0.15"/>
    <row r="31965" s="69" customFormat="1" x14ac:dyDescent="0.15"/>
    <row r="31966" s="69" customFormat="1" x14ac:dyDescent="0.15"/>
    <row r="31967" s="69" customFormat="1" x14ac:dyDescent="0.15"/>
    <row r="31968" s="69" customFormat="1" x14ac:dyDescent="0.15"/>
    <row r="31969" s="69" customFormat="1" x14ac:dyDescent="0.15"/>
    <row r="31970" s="69" customFormat="1" x14ac:dyDescent="0.15"/>
    <row r="31971" s="69" customFormat="1" x14ac:dyDescent="0.15"/>
    <row r="31972" s="69" customFormat="1" x14ac:dyDescent="0.15"/>
    <row r="31973" s="69" customFormat="1" x14ac:dyDescent="0.15"/>
    <row r="31974" s="69" customFormat="1" x14ac:dyDescent="0.15"/>
    <row r="31975" s="69" customFormat="1" x14ac:dyDescent="0.15"/>
    <row r="31976" s="69" customFormat="1" x14ac:dyDescent="0.15"/>
    <row r="31977" s="69" customFormat="1" x14ac:dyDescent="0.15"/>
    <row r="31978" s="69" customFormat="1" x14ac:dyDescent="0.15"/>
    <row r="31979" s="69" customFormat="1" x14ac:dyDescent="0.15"/>
    <row r="31980" s="69" customFormat="1" x14ac:dyDescent="0.15"/>
    <row r="31981" s="69" customFormat="1" x14ac:dyDescent="0.15"/>
    <row r="31982" s="69" customFormat="1" x14ac:dyDescent="0.15"/>
    <row r="31983" s="69" customFormat="1" x14ac:dyDescent="0.15"/>
    <row r="31984" s="69" customFormat="1" x14ac:dyDescent="0.15"/>
    <row r="31985" s="69" customFormat="1" x14ac:dyDescent="0.15"/>
    <row r="31986" s="69" customFormat="1" x14ac:dyDescent="0.15"/>
    <row r="31987" s="69" customFormat="1" x14ac:dyDescent="0.15"/>
    <row r="31988" s="69" customFormat="1" x14ac:dyDescent="0.15"/>
    <row r="31989" s="69" customFormat="1" x14ac:dyDescent="0.15"/>
    <row r="31990" s="69" customFormat="1" x14ac:dyDescent="0.15"/>
    <row r="31991" s="69" customFormat="1" x14ac:dyDescent="0.15"/>
    <row r="31992" s="69" customFormat="1" x14ac:dyDescent="0.15"/>
    <row r="31993" s="69" customFormat="1" x14ac:dyDescent="0.15"/>
    <row r="31994" s="69" customFormat="1" x14ac:dyDescent="0.15"/>
    <row r="31995" s="69" customFormat="1" x14ac:dyDescent="0.15"/>
    <row r="31996" s="69" customFormat="1" x14ac:dyDescent="0.15"/>
    <row r="31997" s="69" customFormat="1" x14ac:dyDescent="0.15"/>
    <row r="31998" s="69" customFormat="1" x14ac:dyDescent="0.15"/>
    <row r="31999" s="69" customFormat="1" x14ac:dyDescent="0.15"/>
    <row r="32000" s="69" customFormat="1" x14ac:dyDescent="0.15"/>
    <row r="32001" s="69" customFormat="1" x14ac:dyDescent="0.15"/>
    <row r="32002" s="69" customFormat="1" x14ac:dyDescent="0.15"/>
    <row r="32003" s="69" customFormat="1" x14ac:dyDescent="0.15"/>
    <row r="32004" s="69" customFormat="1" x14ac:dyDescent="0.15"/>
    <row r="32005" s="69" customFormat="1" x14ac:dyDescent="0.15"/>
    <row r="32006" s="69" customFormat="1" x14ac:dyDescent="0.15"/>
    <row r="32007" s="69" customFormat="1" x14ac:dyDescent="0.15"/>
    <row r="32008" s="69" customFormat="1" x14ac:dyDescent="0.15"/>
    <row r="32009" s="69" customFormat="1" x14ac:dyDescent="0.15"/>
    <row r="32010" s="69" customFormat="1" x14ac:dyDescent="0.15"/>
    <row r="32011" s="69" customFormat="1" x14ac:dyDescent="0.15"/>
    <row r="32012" s="69" customFormat="1" x14ac:dyDescent="0.15"/>
    <row r="32013" s="69" customFormat="1" x14ac:dyDescent="0.15"/>
    <row r="32014" s="69" customFormat="1" x14ac:dyDescent="0.15"/>
    <row r="32015" s="69" customFormat="1" x14ac:dyDescent="0.15"/>
    <row r="32016" s="69" customFormat="1" x14ac:dyDescent="0.15"/>
    <row r="32017" s="69" customFormat="1" x14ac:dyDescent="0.15"/>
    <row r="32018" s="69" customFormat="1" x14ac:dyDescent="0.15"/>
    <row r="32019" s="69" customFormat="1" x14ac:dyDescent="0.15"/>
    <row r="32020" s="69" customFormat="1" x14ac:dyDescent="0.15"/>
    <row r="32021" s="69" customFormat="1" x14ac:dyDescent="0.15"/>
    <row r="32022" s="69" customFormat="1" x14ac:dyDescent="0.15"/>
    <row r="32023" s="69" customFormat="1" x14ac:dyDescent="0.15"/>
    <row r="32024" s="69" customFormat="1" x14ac:dyDescent="0.15"/>
    <row r="32025" s="69" customFormat="1" x14ac:dyDescent="0.15"/>
    <row r="32026" s="69" customFormat="1" x14ac:dyDescent="0.15"/>
    <row r="32027" s="69" customFormat="1" x14ac:dyDescent="0.15"/>
    <row r="32028" s="69" customFormat="1" x14ac:dyDescent="0.15"/>
    <row r="32029" s="69" customFormat="1" x14ac:dyDescent="0.15"/>
    <row r="32030" s="69" customFormat="1" x14ac:dyDescent="0.15"/>
    <row r="32031" s="69" customFormat="1" x14ac:dyDescent="0.15"/>
    <row r="32032" s="69" customFormat="1" x14ac:dyDescent="0.15"/>
    <row r="32033" s="69" customFormat="1" x14ac:dyDescent="0.15"/>
    <row r="32034" s="69" customFormat="1" x14ac:dyDescent="0.15"/>
    <row r="32035" s="69" customFormat="1" x14ac:dyDescent="0.15"/>
    <row r="32036" s="69" customFormat="1" x14ac:dyDescent="0.15"/>
    <row r="32037" s="69" customFormat="1" x14ac:dyDescent="0.15"/>
    <row r="32038" s="69" customFormat="1" x14ac:dyDescent="0.15"/>
    <row r="32039" s="69" customFormat="1" x14ac:dyDescent="0.15"/>
    <row r="32040" s="69" customFormat="1" x14ac:dyDescent="0.15"/>
    <row r="32041" s="69" customFormat="1" x14ac:dyDescent="0.15"/>
    <row r="32042" s="69" customFormat="1" x14ac:dyDescent="0.15"/>
    <row r="32043" s="69" customFormat="1" x14ac:dyDescent="0.15"/>
    <row r="32044" s="69" customFormat="1" x14ac:dyDescent="0.15"/>
    <row r="32045" s="69" customFormat="1" x14ac:dyDescent="0.15"/>
    <row r="32046" s="69" customFormat="1" x14ac:dyDescent="0.15"/>
    <row r="32047" s="69" customFormat="1" x14ac:dyDescent="0.15"/>
    <row r="32048" s="69" customFormat="1" x14ac:dyDescent="0.15"/>
    <row r="32049" s="69" customFormat="1" x14ac:dyDescent="0.15"/>
    <row r="32050" s="69" customFormat="1" x14ac:dyDescent="0.15"/>
    <row r="32051" s="69" customFormat="1" x14ac:dyDescent="0.15"/>
    <row r="32052" s="69" customFormat="1" x14ac:dyDescent="0.15"/>
    <row r="32053" s="69" customFormat="1" x14ac:dyDescent="0.15"/>
    <row r="32054" s="69" customFormat="1" x14ac:dyDescent="0.15"/>
    <row r="32055" s="69" customFormat="1" x14ac:dyDescent="0.15"/>
    <row r="32056" s="69" customFormat="1" x14ac:dyDescent="0.15"/>
    <row r="32057" s="69" customFormat="1" x14ac:dyDescent="0.15"/>
    <row r="32058" s="69" customFormat="1" x14ac:dyDescent="0.15"/>
    <row r="32059" s="69" customFormat="1" x14ac:dyDescent="0.15"/>
    <row r="32060" s="69" customFormat="1" x14ac:dyDescent="0.15"/>
    <row r="32061" s="69" customFormat="1" x14ac:dyDescent="0.15"/>
    <row r="32062" s="69" customFormat="1" x14ac:dyDescent="0.15"/>
    <row r="32063" s="69" customFormat="1" x14ac:dyDescent="0.15"/>
    <row r="32064" s="69" customFormat="1" x14ac:dyDescent="0.15"/>
    <row r="32065" s="69" customFormat="1" x14ac:dyDescent="0.15"/>
    <row r="32066" s="69" customFormat="1" x14ac:dyDescent="0.15"/>
    <row r="32067" s="69" customFormat="1" x14ac:dyDescent="0.15"/>
    <row r="32068" s="69" customFormat="1" x14ac:dyDescent="0.15"/>
    <row r="32069" s="69" customFormat="1" x14ac:dyDescent="0.15"/>
    <row r="32070" s="69" customFormat="1" x14ac:dyDescent="0.15"/>
    <row r="32071" s="69" customFormat="1" x14ac:dyDescent="0.15"/>
    <row r="32072" s="69" customFormat="1" x14ac:dyDescent="0.15"/>
    <row r="32073" s="69" customFormat="1" x14ac:dyDescent="0.15"/>
    <row r="32074" s="69" customFormat="1" x14ac:dyDescent="0.15"/>
    <row r="32075" s="69" customFormat="1" x14ac:dyDescent="0.15"/>
    <row r="32076" s="69" customFormat="1" x14ac:dyDescent="0.15"/>
    <row r="32077" s="69" customFormat="1" x14ac:dyDescent="0.15"/>
    <row r="32078" s="69" customFormat="1" x14ac:dyDescent="0.15"/>
    <row r="32079" s="69" customFormat="1" x14ac:dyDescent="0.15"/>
    <row r="32080" s="69" customFormat="1" x14ac:dyDescent="0.15"/>
    <row r="32081" s="69" customFormat="1" x14ac:dyDescent="0.15"/>
    <row r="32082" s="69" customFormat="1" x14ac:dyDescent="0.15"/>
    <row r="32083" s="69" customFormat="1" x14ac:dyDescent="0.15"/>
    <row r="32084" s="69" customFormat="1" x14ac:dyDescent="0.15"/>
    <row r="32085" s="69" customFormat="1" x14ac:dyDescent="0.15"/>
    <row r="32086" s="69" customFormat="1" x14ac:dyDescent="0.15"/>
    <row r="32087" s="69" customFormat="1" x14ac:dyDescent="0.15"/>
    <row r="32088" s="69" customFormat="1" x14ac:dyDescent="0.15"/>
    <row r="32089" s="69" customFormat="1" x14ac:dyDescent="0.15"/>
    <row r="32090" s="69" customFormat="1" x14ac:dyDescent="0.15"/>
    <row r="32091" s="69" customFormat="1" x14ac:dyDescent="0.15"/>
    <row r="32092" s="69" customFormat="1" x14ac:dyDescent="0.15"/>
    <row r="32093" s="69" customFormat="1" x14ac:dyDescent="0.15"/>
    <row r="32094" s="69" customFormat="1" x14ac:dyDescent="0.15"/>
    <row r="32095" s="69" customFormat="1" x14ac:dyDescent="0.15"/>
    <row r="32096" s="69" customFormat="1" x14ac:dyDescent="0.15"/>
    <row r="32097" s="69" customFormat="1" x14ac:dyDescent="0.15"/>
    <row r="32098" s="69" customFormat="1" x14ac:dyDescent="0.15"/>
    <row r="32099" s="69" customFormat="1" x14ac:dyDescent="0.15"/>
    <row r="32100" s="69" customFormat="1" x14ac:dyDescent="0.15"/>
    <row r="32101" s="69" customFormat="1" x14ac:dyDescent="0.15"/>
    <row r="32102" s="69" customFormat="1" x14ac:dyDescent="0.15"/>
    <row r="32103" s="69" customFormat="1" x14ac:dyDescent="0.15"/>
    <row r="32104" s="69" customFormat="1" x14ac:dyDescent="0.15"/>
    <row r="32105" s="69" customFormat="1" x14ac:dyDescent="0.15"/>
    <row r="32106" s="69" customFormat="1" x14ac:dyDescent="0.15"/>
    <row r="32107" s="69" customFormat="1" x14ac:dyDescent="0.15"/>
    <row r="32108" s="69" customFormat="1" x14ac:dyDescent="0.15"/>
    <row r="32109" s="69" customFormat="1" x14ac:dyDescent="0.15"/>
    <row r="32110" s="69" customFormat="1" x14ac:dyDescent="0.15"/>
    <row r="32111" s="69" customFormat="1" x14ac:dyDescent="0.15"/>
    <row r="32112" s="69" customFormat="1" x14ac:dyDescent="0.15"/>
    <row r="32113" s="69" customFormat="1" x14ac:dyDescent="0.15"/>
    <row r="32114" s="69" customFormat="1" x14ac:dyDescent="0.15"/>
    <row r="32115" s="69" customFormat="1" x14ac:dyDescent="0.15"/>
    <row r="32116" s="69" customFormat="1" x14ac:dyDescent="0.15"/>
    <row r="32117" s="69" customFormat="1" x14ac:dyDescent="0.15"/>
    <row r="32118" s="69" customFormat="1" x14ac:dyDescent="0.15"/>
    <row r="32119" s="69" customFormat="1" x14ac:dyDescent="0.15"/>
    <row r="32120" s="69" customFormat="1" x14ac:dyDescent="0.15"/>
    <row r="32121" s="69" customFormat="1" x14ac:dyDescent="0.15"/>
    <row r="32122" s="69" customFormat="1" x14ac:dyDescent="0.15"/>
    <row r="32123" s="69" customFormat="1" x14ac:dyDescent="0.15"/>
    <row r="32124" s="69" customFormat="1" x14ac:dyDescent="0.15"/>
    <row r="32125" s="69" customFormat="1" x14ac:dyDescent="0.15"/>
    <row r="32126" s="69" customFormat="1" x14ac:dyDescent="0.15"/>
    <row r="32127" s="69" customFormat="1" x14ac:dyDescent="0.15"/>
    <row r="32128" s="69" customFormat="1" x14ac:dyDescent="0.15"/>
    <row r="32129" s="69" customFormat="1" x14ac:dyDescent="0.15"/>
    <row r="32130" s="69" customFormat="1" x14ac:dyDescent="0.15"/>
    <row r="32131" s="69" customFormat="1" x14ac:dyDescent="0.15"/>
    <row r="32132" s="69" customFormat="1" x14ac:dyDescent="0.15"/>
    <row r="32133" s="69" customFormat="1" x14ac:dyDescent="0.15"/>
    <row r="32134" s="69" customFormat="1" x14ac:dyDescent="0.15"/>
    <row r="32135" s="69" customFormat="1" x14ac:dyDescent="0.15"/>
    <row r="32136" s="69" customFormat="1" x14ac:dyDescent="0.15"/>
    <row r="32137" s="69" customFormat="1" x14ac:dyDescent="0.15"/>
    <row r="32138" s="69" customFormat="1" x14ac:dyDescent="0.15"/>
    <row r="32139" s="69" customFormat="1" x14ac:dyDescent="0.15"/>
    <row r="32140" s="69" customFormat="1" x14ac:dyDescent="0.15"/>
    <row r="32141" s="69" customFormat="1" x14ac:dyDescent="0.15"/>
    <row r="32142" s="69" customFormat="1" x14ac:dyDescent="0.15"/>
    <row r="32143" s="69" customFormat="1" x14ac:dyDescent="0.15"/>
    <row r="32144" s="69" customFormat="1" x14ac:dyDescent="0.15"/>
    <row r="32145" s="69" customFormat="1" x14ac:dyDescent="0.15"/>
    <row r="32146" s="69" customFormat="1" x14ac:dyDescent="0.15"/>
    <row r="32147" s="69" customFormat="1" x14ac:dyDescent="0.15"/>
    <row r="32148" s="69" customFormat="1" x14ac:dyDescent="0.15"/>
    <row r="32149" s="69" customFormat="1" x14ac:dyDescent="0.15"/>
    <row r="32150" s="69" customFormat="1" x14ac:dyDescent="0.15"/>
    <row r="32151" s="69" customFormat="1" x14ac:dyDescent="0.15"/>
    <row r="32152" s="69" customFormat="1" x14ac:dyDescent="0.15"/>
    <row r="32153" s="69" customFormat="1" x14ac:dyDescent="0.15"/>
    <row r="32154" s="69" customFormat="1" x14ac:dyDescent="0.15"/>
    <row r="32155" s="69" customFormat="1" x14ac:dyDescent="0.15"/>
    <row r="32156" s="69" customFormat="1" x14ac:dyDescent="0.15"/>
    <row r="32157" s="69" customFormat="1" x14ac:dyDescent="0.15"/>
    <row r="32158" s="69" customFormat="1" x14ac:dyDescent="0.15"/>
    <row r="32159" s="69" customFormat="1" x14ac:dyDescent="0.15"/>
    <row r="32160" s="69" customFormat="1" x14ac:dyDescent="0.15"/>
    <row r="32161" s="69" customFormat="1" x14ac:dyDescent="0.15"/>
    <row r="32162" s="69" customFormat="1" x14ac:dyDescent="0.15"/>
    <row r="32163" s="69" customFormat="1" x14ac:dyDescent="0.15"/>
    <row r="32164" s="69" customFormat="1" x14ac:dyDescent="0.15"/>
    <row r="32165" s="69" customFormat="1" x14ac:dyDescent="0.15"/>
    <row r="32166" s="69" customFormat="1" x14ac:dyDescent="0.15"/>
    <row r="32167" s="69" customFormat="1" x14ac:dyDescent="0.15"/>
    <row r="32168" s="69" customFormat="1" x14ac:dyDescent="0.15"/>
    <row r="32169" s="69" customFormat="1" x14ac:dyDescent="0.15"/>
    <row r="32170" s="69" customFormat="1" x14ac:dyDescent="0.15"/>
    <row r="32171" s="69" customFormat="1" x14ac:dyDescent="0.15"/>
    <row r="32172" s="69" customFormat="1" x14ac:dyDescent="0.15"/>
    <row r="32173" s="69" customFormat="1" x14ac:dyDescent="0.15"/>
    <row r="32174" s="69" customFormat="1" x14ac:dyDescent="0.15"/>
    <row r="32175" s="69" customFormat="1" x14ac:dyDescent="0.15"/>
    <row r="32176" s="69" customFormat="1" x14ac:dyDescent="0.15"/>
    <row r="32177" s="69" customFormat="1" x14ac:dyDescent="0.15"/>
    <row r="32178" s="69" customFormat="1" x14ac:dyDescent="0.15"/>
    <row r="32179" s="69" customFormat="1" x14ac:dyDescent="0.15"/>
    <row r="32180" s="69" customFormat="1" x14ac:dyDescent="0.15"/>
    <row r="32181" s="69" customFormat="1" x14ac:dyDescent="0.15"/>
    <row r="32182" s="69" customFormat="1" x14ac:dyDescent="0.15"/>
    <row r="32183" s="69" customFormat="1" x14ac:dyDescent="0.15"/>
    <row r="32184" s="69" customFormat="1" x14ac:dyDescent="0.15"/>
    <row r="32185" s="69" customFormat="1" x14ac:dyDescent="0.15"/>
    <row r="32186" s="69" customFormat="1" x14ac:dyDescent="0.15"/>
    <row r="32187" s="69" customFormat="1" x14ac:dyDescent="0.15"/>
    <row r="32188" s="69" customFormat="1" x14ac:dyDescent="0.15"/>
    <row r="32189" s="69" customFormat="1" x14ac:dyDescent="0.15"/>
    <row r="32190" s="69" customFormat="1" x14ac:dyDescent="0.15"/>
    <row r="32191" s="69" customFormat="1" x14ac:dyDescent="0.15"/>
    <row r="32192" s="69" customFormat="1" x14ac:dyDescent="0.15"/>
    <row r="32193" s="69" customFormat="1" x14ac:dyDescent="0.15"/>
    <row r="32194" s="69" customFormat="1" x14ac:dyDescent="0.15"/>
    <row r="32195" s="69" customFormat="1" x14ac:dyDescent="0.15"/>
    <row r="32196" s="69" customFormat="1" x14ac:dyDescent="0.15"/>
    <row r="32197" s="69" customFormat="1" x14ac:dyDescent="0.15"/>
    <row r="32198" s="69" customFormat="1" x14ac:dyDescent="0.15"/>
    <row r="32199" s="69" customFormat="1" x14ac:dyDescent="0.15"/>
    <row r="32200" s="69" customFormat="1" x14ac:dyDescent="0.15"/>
    <row r="32201" s="69" customFormat="1" x14ac:dyDescent="0.15"/>
    <row r="32202" s="69" customFormat="1" x14ac:dyDescent="0.15"/>
    <row r="32203" s="69" customFormat="1" x14ac:dyDescent="0.15"/>
    <row r="32204" s="69" customFormat="1" x14ac:dyDescent="0.15"/>
    <row r="32205" s="69" customFormat="1" x14ac:dyDescent="0.15"/>
    <row r="32206" s="69" customFormat="1" x14ac:dyDescent="0.15"/>
    <row r="32207" s="69" customFormat="1" x14ac:dyDescent="0.15"/>
    <row r="32208" s="69" customFormat="1" x14ac:dyDescent="0.15"/>
    <row r="32209" s="69" customFormat="1" x14ac:dyDescent="0.15"/>
    <row r="32210" s="69" customFormat="1" x14ac:dyDescent="0.15"/>
    <row r="32211" s="69" customFormat="1" x14ac:dyDescent="0.15"/>
    <row r="32212" s="69" customFormat="1" x14ac:dyDescent="0.15"/>
    <row r="32213" s="69" customFormat="1" x14ac:dyDescent="0.15"/>
    <row r="32214" s="69" customFormat="1" x14ac:dyDescent="0.15"/>
    <row r="32215" s="69" customFormat="1" x14ac:dyDescent="0.15"/>
    <row r="32216" s="69" customFormat="1" x14ac:dyDescent="0.15"/>
    <row r="32217" s="69" customFormat="1" x14ac:dyDescent="0.15"/>
    <row r="32218" s="69" customFormat="1" x14ac:dyDescent="0.15"/>
    <row r="32219" s="69" customFormat="1" x14ac:dyDescent="0.15"/>
    <row r="32220" s="69" customFormat="1" x14ac:dyDescent="0.15"/>
    <row r="32221" s="69" customFormat="1" x14ac:dyDescent="0.15"/>
    <row r="32222" s="69" customFormat="1" x14ac:dyDescent="0.15"/>
    <row r="32223" s="69" customFormat="1" x14ac:dyDescent="0.15"/>
    <row r="32224" s="69" customFormat="1" x14ac:dyDescent="0.15"/>
    <row r="32225" s="69" customFormat="1" x14ac:dyDescent="0.15"/>
    <row r="32226" s="69" customFormat="1" x14ac:dyDescent="0.15"/>
    <row r="32227" s="69" customFormat="1" x14ac:dyDescent="0.15"/>
    <row r="32228" s="69" customFormat="1" x14ac:dyDescent="0.15"/>
    <row r="32229" s="69" customFormat="1" x14ac:dyDescent="0.15"/>
    <row r="32230" s="69" customFormat="1" x14ac:dyDescent="0.15"/>
    <row r="32231" s="69" customFormat="1" x14ac:dyDescent="0.15"/>
    <row r="32232" s="69" customFormat="1" x14ac:dyDescent="0.15"/>
    <row r="32233" s="69" customFormat="1" x14ac:dyDescent="0.15"/>
    <row r="32234" s="69" customFormat="1" x14ac:dyDescent="0.15"/>
    <row r="32235" s="69" customFormat="1" x14ac:dyDescent="0.15"/>
    <row r="32236" s="69" customFormat="1" x14ac:dyDescent="0.15"/>
    <row r="32237" s="69" customFormat="1" x14ac:dyDescent="0.15"/>
    <row r="32238" s="69" customFormat="1" x14ac:dyDescent="0.15"/>
    <row r="32239" s="69" customFormat="1" x14ac:dyDescent="0.15"/>
    <row r="32240" s="69" customFormat="1" x14ac:dyDescent="0.15"/>
    <row r="32241" s="69" customFormat="1" x14ac:dyDescent="0.15"/>
    <row r="32242" s="69" customFormat="1" x14ac:dyDescent="0.15"/>
    <row r="32243" s="69" customFormat="1" x14ac:dyDescent="0.15"/>
    <row r="32244" s="69" customFormat="1" x14ac:dyDescent="0.15"/>
    <row r="32245" s="69" customFormat="1" x14ac:dyDescent="0.15"/>
    <row r="32246" s="69" customFormat="1" x14ac:dyDescent="0.15"/>
    <row r="32247" s="69" customFormat="1" x14ac:dyDescent="0.15"/>
    <row r="32248" s="69" customFormat="1" x14ac:dyDescent="0.15"/>
    <row r="32249" s="69" customFormat="1" x14ac:dyDescent="0.15"/>
    <row r="32250" s="69" customFormat="1" x14ac:dyDescent="0.15"/>
    <row r="32251" s="69" customFormat="1" x14ac:dyDescent="0.15"/>
    <row r="32252" s="69" customFormat="1" x14ac:dyDescent="0.15"/>
    <row r="32253" s="69" customFormat="1" x14ac:dyDescent="0.15"/>
    <row r="32254" s="69" customFormat="1" x14ac:dyDescent="0.15"/>
    <row r="32255" s="69" customFormat="1" x14ac:dyDescent="0.15"/>
    <row r="32256" s="69" customFormat="1" x14ac:dyDescent="0.15"/>
    <row r="32257" s="69" customFormat="1" x14ac:dyDescent="0.15"/>
    <row r="32258" s="69" customFormat="1" x14ac:dyDescent="0.15"/>
    <row r="32259" s="69" customFormat="1" x14ac:dyDescent="0.15"/>
    <row r="32260" s="69" customFormat="1" x14ac:dyDescent="0.15"/>
    <row r="32261" s="69" customFormat="1" x14ac:dyDescent="0.15"/>
    <row r="32262" s="69" customFormat="1" x14ac:dyDescent="0.15"/>
    <row r="32263" s="69" customFormat="1" x14ac:dyDescent="0.15"/>
    <row r="32264" s="69" customFormat="1" x14ac:dyDescent="0.15"/>
    <row r="32265" s="69" customFormat="1" x14ac:dyDescent="0.15"/>
    <row r="32266" s="69" customFormat="1" x14ac:dyDescent="0.15"/>
    <row r="32267" s="69" customFormat="1" x14ac:dyDescent="0.15"/>
    <row r="32268" s="69" customFormat="1" x14ac:dyDescent="0.15"/>
    <row r="32269" s="69" customFormat="1" x14ac:dyDescent="0.15"/>
    <row r="32270" s="69" customFormat="1" x14ac:dyDescent="0.15"/>
    <row r="32271" s="69" customFormat="1" x14ac:dyDescent="0.15"/>
    <row r="32272" s="69" customFormat="1" x14ac:dyDescent="0.15"/>
    <row r="32273" s="69" customFormat="1" x14ac:dyDescent="0.15"/>
    <row r="32274" s="69" customFormat="1" x14ac:dyDescent="0.15"/>
    <row r="32275" s="69" customFormat="1" x14ac:dyDescent="0.15"/>
    <row r="32276" s="69" customFormat="1" x14ac:dyDescent="0.15"/>
    <row r="32277" s="69" customFormat="1" x14ac:dyDescent="0.15"/>
    <row r="32278" s="69" customFormat="1" x14ac:dyDescent="0.15"/>
    <row r="32279" s="69" customFormat="1" x14ac:dyDescent="0.15"/>
    <row r="32280" s="69" customFormat="1" x14ac:dyDescent="0.15"/>
    <row r="32281" s="69" customFormat="1" x14ac:dyDescent="0.15"/>
    <row r="32282" s="69" customFormat="1" x14ac:dyDescent="0.15"/>
    <row r="32283" s="69" customFormat="1" x14ac:dyDescent="0.15"/>
    <row r="32284" s="69" customFormat="1" x14ac:dyDescent="0.15"/>
    <row r="32285" s="69" customFormat="1" x14ac:dyDescent="0.15"/>
    <row r="32286" s="69" customFormat="1" x14ac:dyDescent="0.15"/>
    <row r="32287" s="69" customFormat="1" x14ac:dyDescent="0.15"/>
    <row r="32288" s="69" customFormat="1" x14ac:dyDescent="0.15"/>
    <row r="32289" s="69" customFormat="1" x14ac:dyDescent="0.15"/>
    <row r="32290" s="69" customFormat="1" x14ac:dyDescent="0.15"/>
    <row r="32291" s="69" customFormat="1" x14ac:dyDescent="0.15"/>
    <row r="32292" s="69" customFormat="1" x14ac:dyDescent="0.15"/>
    <row r="32293" s="69" customFormat="1" x14ac:dyDescent="0.15"/>
    <row r="32294" s="69" customFormat="1" x14ac:dyDescent="0.15"/>
    <row r="32295" s="69" customFormat="1" x14ac:dyDescent="0.15"/>
    <row r="32296" s="69" customFormat="1" x14ac:dyDescent="0.15"/>
    <row r="32297" s="69" customFormat="1" x14ac:dyDescent="0.15"/>
    <row r="32298" s="69" customFormat="1" x14ac:dyDescent="0.15"/>
    <row r="32299" s="69" customFormat="1" x14ac:dyDescent="0.15"/>
    <row r="32300" s="69" customFormat="1" x14ac:dyDescent="0.15"/>
    <row r="32301" s="69" customFormat="1" x14ac:dyDescent="0.15"/>
    <row r="32302" s="69" customFormat="1" x14ac:dyDescent="0.15"/>
    <row r="32303" s="69" customFormat="1" x14ac:dyDescent="0.15"/>
    <row r="32304" s="69" customFormat="1" x14ac:dyDescent="0.15"/>
    <row r="32305" s="69" customFormat="1" x14ac:dyDescent="0.15"/>
    <row r="32306" s="69" customFormat="1" x14ac:dyDescent="0.15"/>
    <row r="32307" s="69" customFormat="1" x14ac:dyDescent="0.15"/>
    <row r="32308" s="69" customFormat="1" x14ac:dyDescent="0.15"/>
    <row r="32309" s="69" customFormat="1" x14ac:dyDescent="0.15"/>
    <row r="32310" s="69" customFormat="1" x14ac:dyDescent="0.15"/>
    <row r="32311" s="69" customFormat="1" x14ac:dyDescent="0.15"/>
    <row r="32312" s="69" customFormat="1" x14ac:dyDescent="0.15"/>
    <row r="32313" s="69" customFormat="1" x14ac:dyDescent="0.15"/>
    <row r="32314" s="69" customFormat="1" x14ac:dyDescent="0.15"/>
    <row r="32315" s="69" customFormat="1" x14ac:dyDescent="0.15"/>
    <row r="32316" s="69" customFormat="1" x14ac:dyDescent="0.15"/>
    <row r="32317" s="69" customFormat="1" x14ac:dyDescent="0.15"/>
    <row r="32318" s="69" customFormat="1" x14ac:dyDescent="0.15"/>
    <row r="32319" s="69" customFormat="1" x14ac:dyDescent="0.15"/>
    <row r="32320" s="69" customFormat="1" x14ac:dyDescent="0.15"/>
    <row r="32321" s="69" customFormat="1" x14ac:dyDescent="0.15"/>
    <row r="32322" s="69" customFormat="1" x14ac:dyDescent="0.15"/>
    <row r="32323" s="69" customFormat="1" x14ac:dyDescent="0.15"/>
    <row r="32324" s="69" customFormat="1" x14ac:dyDescent="0.15"/>
    <row r="32325" s="69" customFormat="1" x14ac:dyDescent="0.15"/>
    <row r="32326" s="69" customFormat="1" x14ac:dyDescent="0.15"/>
    <row r="32327" s="69" customFormat="1" x14ac:dyDescent="0.15"/>
    <row r="32328" s="69" customFormat="1" x14ac:dyDescent="0.15"/>
    <row r="32329" s="69" customFormat="1" x14ac:dyDescent="0.15"/>
    <row r="32330" s="69" customFormat="1" x14ac:dyDescent="0.15"/>
    <row r="32331" s="69" customFormat="1" x14ac:dyDescent="0.15"/>
    <row r="32332" s="69" customFormat="1" x14ac:dyDescent="0.15"/>
    <row r="32333" s="69" customFormat="1" x14ac:dyDescent="0.15"/>
    <row r="32334" s="69" customFormat="1" x14ac:dyDescent="0.15"/>
    <row r="32335" s="69" customFormat="1" x14ac:dyDescent="0.15"/>
    <row r="32336" s="69" customFormat="1" x14ac:dyDescent="0.15"/>
    <row r="32337" s="69" customFormat="1" x14ac:dyDescent="0.15"/>
    <row r="32338" s="69" customFormat="1" x14ac:dyDescent="0.15"/>
    <row r="32339" s="69" customFormat="1" x14ac:dyDescent="0.15"/>
    <row r="32340" s="69" customFormat="1" x14ac:dyDescent="0.15"/>
    <row r="32341" s="69" customFormat="1" x14ac:dyDescent="0.15"/>
    <row r="32342" s="69" customFormat="1" x14ac:dyDescent="0.15"/>
    <row r="32343" s="69" customFormat="1" x14ac:dyDescent="0.15"/>
    <row r="32344" s="69" customFormat="1" x14ac:dyDescent="0.15"/>
    <row r="32345" s="69" customFormat="1" x14ac:dyDescent="0.15"/>
    <row r="32346" s="69" customFormat="1" x14ac:dyDescent="0.15"/>
    <row r="32347" s="69" customFormat="1" x14ac:dyDescent="0.15"/>
    <row r="32348" s="69" customFormat="1" x14ac:dyDescent="0.15"/>
    <row r="32349" s="69" customFormat="1" x14ac:dyDescent="0.15"/>
    <row r="32350" s="69" customFormat="1" x14ac:dyDescent="0.15"/>
    <row r="32351" s="69" customFormat="1" x14ac:dyDescent="0.15"/>
    <row r="32352" s="69" customFormat="1" x14ac:dyDescent="0.15"/>
    <row r="32353" s="69" customFormat="1" x14ac:dyDescent="0.15"/>
    <row r="32354" s="69" customFormat="1" x14ac:dyDescent="0.15"/>
    <row r="32355" s="69" customFormat="1" x14ac:dyDescent="0.15"/>
    <row r="32356" s="69" customFormat="1" x14ac:dyDescent="0.15"/>
    <row r="32357" s="69" customFormat="1" x14ac:dyDescent="0.15"/>
    <row r="32358" s="69" customFormat="1" x14ac:dyDescent="0.15"/>
    <row r="32359" s="69" customFormat="1" x14ac:dyDescent="0.15"/>
    <row r="32360" s="69" customFormat="1" x14ac:dyDescent="0.15"/>
    <row r="32361" s="69" customFormat="1" x14ac:dyDescent="0.15"/>
    <row r="32362" s="69" customFormat="1" x14ac:dyDescent="0.15"/>
    <row r="32363" s="69" customFormat="1" x14ac:dyDescent="0.15"/>
    <row r="32364" s="69" customFormat="1" x14ac:dyDescent="0.15"/>
    <row r="32365" s="69" customFormat="1" x14ac:dyDescent="0.15"/>
    <row r="32366" s="69" customFormat="1" x14ac:dyDescent="0.15"/>
    <row r="32367" s="69" customFormat="1" x14ac:dyDescent="0.15"/>
    <row r="32368" s="69" customFormat="1" x14ac:dyDescent="0.15"/>
    <row r="32369" s="69" customFormat="1" x14ac:dyDescent="0.15"/>
    <row r="32370" s="69" customFormat="1" x14ac:dyDescent="0.15"/>
    <row r="32371" s="69" customFormat="1" x14ac:dyDescent="0.15"/>
    <row r="32372" s="69" customFormat="1" x14ac:dyDescent="0.15"/>
    <row r="32373" s="69" customFormat="1" x14ac:dyDescent="0.15"/>
    <row r="32374" s="69" customFormat="1" x14ac:dyDescent="0.15"/>
    <row r="32375" s="69" customFormat="1" x14ac:dyDescent="0.15"/>
    <row r="32376" s="69" customFormat="1" x14ac:dyDescent="0.15"/>
    <row r="32377" s="69" customFormat="1" x14ac:dyDescent="0.15"/>
    <row r="32378" s="69" customFormat="1" x14ac:dyDescent="0.15"/>
    <row r="32379" s="69" customFormat="1" x14ac:dyDescent="0.15"/>
    <row r="32380" s="69" customFormat="1" x14ac:dyDescent="0.15"/>
    <row r="32381" s="69" customFormat="1" x14ac:dyDescent="0.15"/>
    <row r="32382" s="69" customFormat="1" x14ac:dyDescent="0.15"/>
    <row r="32383" s="69" customFormat="1" x14ac:dyDescent="0.15"/>
    <row r="32384" s="69" customFormat="1" x14ac:dyDescent="0.15"/>
    <row r="32385" s="69" customFormat="1" x14ac:dyDescent="0.15"/>
    <row r="32386" s="69" customFormat="1" x14ac:dyDescent="0.15"/>
    <row r="32387" s="69" customFormat="1" x14ac:dyDescent="0.15"/>
    <row r="32388" s="69" customFormat="1" x14ac:dyDescent="0.15"/>
    <row r="32389" s="69" customFormat="1" x14ac:dyDescent="0.15"/>
    <row r="32390" s="69" customFormat="1" x14ac:dyDescent="0.15"/>
    <row r="32391" s="69" customFormat="1" x14ac:dyDescent="0.15"/>
    <row r="32392" s="69" customFormat="1" x14ac:dyDescent="0.15"/>
    <row r="32393" s="69" customFormat="1" x14ac:dyDescent="0.15"/>
    <row r="32394" s="69" customFormat="1" x14ac:dyDescent="0.15"/>
    <row r="32395" s="69" customFormat="1" x14ac:dyDescent="0.15"/>
    <row r="32396" s="69" customFormat="1" x14ac:dyDescent="0.15"/>
    <row r="32397" s="69" customFormat="1" x14ac:dyDescent="0.15"/>
    <row r="32398" s="69" customFormat="1" x14ac:dyDescent="0.15"/>
    <row r="32399" s="69" customFormat="1" x14ac:dyDescent="0.15"/>
    <row r="32400" s="69" customFormat="1" x14ac:dyDescent="0.15"/>
    <row r="32401" s="69" customFormat="1" x14ac:dyDescent="0.15"/>
    <row r="32402" s="69" customFormat="1" x14ac:dyDescent="0.15"/>
    <row r="32403" s="69" customFormat="1" x14ac:dyDescent="0.15"/>
    <row r="32404" s="69" customFormat="1" x14ac:dyDescent="0.15"/>
    <row r="32405" s="69" customFormat="1" x14ac:dyDescent="0.15"/>
    <row r="32406" s="69" customFormat="1" x14ac:dyDescent="0.15"/>
    <row r="32407" s="69" customFormat="1" x14ac:dyDescent="0.15"/>
    <row r="32408" s="69" customFormat="1" x14ac:dyDescent="0.15"/>
    <row r="32409" s="69" customFormat="1" x14ac:dyDescent="0.15"/>
    <row r="32410" s="69" customFormat="1" x14ac:dyDescent="0.15"/>
    <row r="32411" s="69" customFormat="1" x14ac:dyDescent="0.15"/>
    <row r="32412" s="69" customFormat="1" x14ac:dyDescent="0.15"/>
    <row r="32413" s="69" customFormat="1" x14ac:dyDescent="0.15"/>
    <row r="32414" s="69" customFormat="1" x14ac:dyDescent="0.15"/>
    <row r="32415" s="69" customFormat="1" x14ac:dyDescent="0.15"/>
    <row r="32416" s="69" customFormat="1" x14ac:dyDescent="0.15"/>
    <row r="32417" s="69" customFormat="1" x14ac:dyDescent="0.15"/>
    <row r="32418" s="69" customFormat="1" x14ac:dyDescent="0.15"/>
    <row r="32419" s="69" customFormat="1" x14ac:dyDescent="0.15"/>
    <row r="32420" s="69" customFormat="1" x14ac:dyDescent="0.15"/>
    <row r="32421" s="69" customFormat="1" x14ac:dyDescent="0.15"/>
    <row r="32422" s="69" customFormat="1" x14ac:dyDescent="0.15"/>
    <row r="32423" s="69" customFormat="1" x14ac:dyDescent="0.15"/>
    <row r="32424" s="69" customFormat="1" x14ac:dyDescent="0.15"/>
    <row r="32425" s="69" customFormat="1" x14ac:dyDescent="0.15"/>
    <row r="32426" s="69" customFormat="1" x14ac:dyDescent="0.15"/>
    <row r="32427" s="69" customFormat="1" x14ac:dyDescent="0.15"/>
    <row r="32428" s="69" customFormat="1" x14ac:dyDescent="0.15"/>
    <row r="32429" s="69" customFormat="1" x14ac:dyDescent="0.15"/>
    <row r="32430" s="69" customFormat="1" x14ac:dyDescent="0.15"/>
    <row r="32431" s="69" customFormat="1" x14ac:dyDescent="0.15"/>
    <row r="32432" s="69" customFormat="1" x14ac:dyDescent="0.15"/>
    <row r="32433" s="69" customFormat="1" x14ac:dyDescent="0.15"/>
    <row r="32434" s="69" customFormat="1" x14ac:dyDescent="0.15"/>
    <row r="32435" s="69" customFormat="1" x14ac:dyDescent="0.15"/>
    <row r="32436" s="69" customFormat="1" x14ac:dyDescent="0.15"/>
    <row r="32437" s="69" customFormat="1" x14ac:dyDescent="0.15"/>
    <row r="32438" s="69" customFormat="1" x14ac:dyDescent="0.15"/>
    <row r="32439" s="69" customFormat="1" x14ac:dyDescent="0.15"/>
    <row r="32440" s="69" customFormat="1" x14ac:dyDescent="0.15"/>
    <row r="32441" s="69" customFormat="1" x14ac:dyDescent="0.15"/>
    <row r="32442" s="69" customFormat="1" x14ac:dyDescent="0.15"/>
    <row r="32443" s="69" customFormat="1" x14ac:dyDescent="0.15"/>
    <row r="32444" s="69" customFormat="1" x14ac:dyDescent="0.15"/>
    <row r="32445" s="69" customFormat="1" x14ac:dyDescent="0.15"/>
    <row r="32446" s="69" customFormat="1" x14ac:dyDescent="0.15"/>
    <row r="32447" s="69" customFormat="1" x14ac:dyDescent="0.15"/>
    <row r="32448" s="69" customFormat="1" x14ac:dyDescent="0.15"/>
    <row r="32449" s="69" customFormat="1" x14ac:dyDescent="0.15"/>
    <row r="32450" s="69" customFormat="1" x14ac:dyDescent="0.15"/>
    <row r="32451" s="69" customFormat="1" x14ac:dyDescent="0.15"/>
    <row r="32452" s="69" customFormat="1" x14ac:dyDescent="0.15"/>
    <row r="32453" s="69" customFormat="1" x14ac:dyDescent="0.15"/>
    <row r="32454" s="69" customFormat="1" x14ac:dyDescent="0.15"/>
    <row r="32455" s="69" customFormat="1" x14ac:dyDescent="0.15"/>
    <row r="32456" s="69" customFormat="1" x14ac:dyDescent="0.15"/>
    <row r="32457" s="69" customFormat="1" x14ac:dyDescent="0.15"/>
    <row r="32458" s="69" customFormat="1" x14ac:dyDescent="0.15"/>
    <row r="32459" s="69" customFormat="1" x14ac:dyDescent="0.15"/>
    <row r="32460" s="69" customFormat="1" x14ac:dyDescent="0.15"/>
    <row r="32461" s="69" customFormat="1" x14ac:dyDescent="0.15"/>
    <row r="32462" s="69" customFormat="1" x14ac:dyDescent="0.15"/>
    <row r="32463" s="69" customFormat="1" x14ac:dyDescent="0.15"/>
    <row r="32464" s="69" customFormat="1" x14ac:dyDescent="0.15"/>
    <row r="32465" s="69" customFormat="1" x14ac:dyDescent="0.15"/>
    <row r="32466" s="69" customFormat="1" x14ac:dyDescent="0.15"/>
    <row r="32467" s="69" customFormat="1" x14ac:dyDescent="0.15"/>
    <row r="32468" s="69" customFormat="1" x14ac:dyDescent="0.15"/>
    <row r="32469" s="69" customFormat="1" x14ac:dyDescent="0.15"/>
    <row r="32470" s="69" customFormat="1" x14ac:dyDescent="0.15"/>
    <row r="32471" s="69" customFormat="1" x14ac:dyDescent="0.15"/>
    <row r="32472" s="69" customFormat="1" x14ac:dyDescent="0.15"/>
    <row r="32473" s="69" customFormat="1" x14ac:dyDescent="0.15"/>
    <row r="32474" s="69" customFormat="1" x14ac:dyDescent="0.15"/>
    <row r="32475" s="69" customFormat="1" x14ac:dyDescent="0.15"/>
    <row r="32476" s="69" customFormat="1" x14ac:dyDescent="0.15"/>
    <row r="32477" s="69" customFormat="1" x14ac:dyDescent="0.15"/>
    <row r="32478" s="69" customFormat="1" x14ac:dyDescent="0.15"/>
    <row r="32479" s="69" customFormat="1" x14ac:dyDescent="0.15"/>
    <row r="32480" s="69" customFormat="1" x14ac:dyDescent="0.15"/>
    <row r="32481" s="69" customFormat="1" x14ac:dyDescent="0.15"/>
    <row r="32482" s="69" customFormat="1" x14ac:dyDescent="0.15"/>
    <row r="32483" s="69" customFormat="1" x14ac:dyDescent="0.15"/>
    <row r="32484" s="69" customFormat="1" x14ac:dyDescent="0.15"/>
    <row r="32485" s="69" customFormat="1" x14ac:dyDescent="0.15"/>
    <row r="32486" s="69" customFormat="1" x14ac:dyDescent="0.15"/>
    <row r="32487" s="69" customFormat="1" x14ac:dyDescent="0.15"/>
    <row r="32488" s="69" customFormat="1" x14ac:dyDescent="0.15"/>
    <row r="32489" s="69" customFormat="1" x14ac:dyDescent="0.15"/>
    <row r="32490" s="69" customFormat="1" x14ac:dyDescent="0.15"/>
    <row r="32491" s="69" customFormat="1" x14ac:dyDescent="0.15"/>
    <row r="32492" s="69" customFormat="1" x14ac:dyDescent="0.15"/>
    <row r="32493" s="69" customFormat="1" x14ac:dyDescent="0.15"/>
    <row r="32494" s="69" customFormat="1" x14ac:dyDescent="0.15"/>
    <row r="32495" s="69" customFormat="1" x14ac:dyDescent="0.15"/>
    <row r="32496" s="69" customFormat="1" x14ac:dyDescent="0.15"/>
    <row r="32497" s="69" customFormat="1" x14ac:dyDescent="0.15"/>
    <row r="32498" s="69" customFormat="1" x14ac:dyDescent="0.15"/>
    <row r="32499" s="69" customFormat="1" x14ac:dyDescent="0.15"/>
    <row r="32500" s="69" customFormat="1" x14ac:dyDescent="0.15"/>
    <row r="32501" s="69" customFormat="1" x14ac:dyDescent="0.15"/>
    <row r="32502" s="69" customFormat="1" x14ac:dyDescent="0.15"/>
    <row r="32503" s="69" customFormat="1" x14ac:dyDescent="0.15"/>
    <row r="32504" s="69" customFormat="1" x14ac:dyDescent="0.15"/>
    <row r="32505" s="69" customFormat="1" x14ac:dyDescent="0.15"/>
    <row r="32506" s="69" customFormat="1" x14ac:dyDescent="0.15"/>
    <row r="32507" s="69" customFormat="1" x14ac:dyDescent="0.15"/>
    <row r="32508" s="69" customFormat="1" x14ac:dyDescent="0.15"/>
    <row r="32509" s="69" customFormat="1" x14ac:dyDescent="0.15"/>
    <row r="32510" s="69" customFormat="1" x14ac:dyDescent="0.15"/>
    <row r="32511" s="69" customFormat="1" x14ac:dyDescent="0.15"/>
    <row r="32512" s="69" customFormat="1" x14ac:dyDescent="0.15"/>
    <row r="32513" s="69" customFormat="1" x14ac:dyDescent="0.15"/>
    <row r="32514" s="69" customFormat="1" x14ac:dyDescent="0.15"/>
    <row r="32515" s="69" customFormat="1" x14ac:dyDescent="0.15"/>
    <row r="32516" s="69" customFormat="1" x14ac:dyDescent="0.15"/>
    <row r="32517" s="69" customFormat="1" x14ac:dyDescent="0.15"/>
    <row r="32518" s="69" customFormat="1" x14ac:dyDescent="0.15"/>
    <row r="32519" s="69" customFormat="1" x14ac:dyDescent="0.15"/>
    <row r="32520" s="69" customFormat="1" x14ac:dyDescent="0.15"/>
    <row r="32521" s="69" customFormat="1" x14ac:dyDescent="0.15"/>
    <row r="32522" s="69" customFormat="1" x14ac:dyDescent="0.15"/>
    <row r="32523" s="69" customFormat="1" x14ac:dyDescent="0.15"/>
    <row r="32524" s="69" customFormat="1" x14ac:dyDescent="0.15"/>
    <row r="32525" s="69" customFormat="1" x14ac:dyDescent="0.15"/>
    <row r="32526" s="69" customFormat="1" x14ac:dyDescent="0.15"/>
    <row r="32527" s="69" customFormat="1" x14ac:dyDescent="0.15"/>
    <row r="32528" s="69" customFormat="1" x14ac:dyDescent="0.15"/>
    <row r="32529" s="69" customFormat="1" x14ac:dyDescent="0.15"/>
    <row r="32530" s="69" customFormat="1" x14ac:dyDescent="0.15"/>
    <row r="32531" s="69" customFormat="1" x14ac:dyDescent="0.15"/>
    <row r="32532" s="69" customFormat="1" x14ac:dyDescent="0.15"/>
    <row r="32533" s="69" customFormat="1" x14ac:dyDescent="0.15"/>
    <row r="32534" s="69" customFormat="1" x14ac:dyDescent="0.15"/>
    <row r="32535" s="69" customFormat="1" x14ac:dyDescent="0.15"/>
    <row r="32536" s="69" customFormat="1" x14ac:dyDescent="0.15"/>
    <row r="32537" s="69" customFormat="1" x14ac:dyDescent="0.15"/>
    <row r="32538" s="69" customFormat="1" x14ac:dyDescent="0.15"/>
    <row r="32539" s="69" customFormat="1" x14ac:dyDescent="0.15"/>
    <row r="32540" s="69" customFormat="1" x14ac:dyDescent="0.15"/>
    <row r="32541" s="69" customFormat="1" x14ac:dyDescent="0.15"/>
    <row r="32542" s="69" customFormat="1" x14ac:dyDescent="0.15"/>
    <row r="32543" s="69" customFormat="1" x14ac:dyDescent="0.15"/>
    <row r="32544" s="69" customFormat="1" x14ac:dyDescent="0.15"/>
    <row r="32545" s="69" customFormat="1" x14ac:dyDescent="0.15"/>
    <row r="32546" s="69" customFormat="1" x14ac:dyDescent="0.15"/>
    <row r="32547" s="69" customFormat="1" x14ac:dyDescent="0.15"/>
    <row r="32548" s="69" customFormat="1" x14ac:dyDescent="0.15"/>
    <row r="32549" s="69" customFormat="1" x14ac:dyDescent="0.15"/>
    <row r="32550" s="69" customFormat="1" x14ac:dyDescent="0.15"/>
    <row r="32551" s="69" customFormat="1" x14ac:dyDescent="0.15"/>
    <row r="32552" s="69" customFormat="1" x14ac:dyDescent="0.15"/>
    <row r="32553" s="69" customFormat="1" x14ac:dyDescent="0.15"/>
    <row r="32554" s="69" customFormat="1" x14ac:dyDescent="0.15"/>
    <row r="32555" s="69" customFormat="1" x14ac:dyDescent="0.15"/>
    <row r="32556" s="69" customFormat="1" x14ac:dyDescent="0.15"/>
    <row r="32557" s="69" customFormat="1" x14ac:dyDescent="0.15"/>
    <row r="32558" s="69" customFormat="1" x14ac:dyDescent="0.15"/>
    <row r="32559" s="69" customFormat="1" x14ac:dyDescent="0.15"/>
    <row r="32560" s="69" customFormat="1" x14ac:dyDescent="0.15"/>
    <row r="32561" s="69" customFormat="1" x14ac:dyDescent="0.15"/>
    <row r="32562" s="69" customFormat="1" x14ac:dyDescent="0.15"/>
    <row r="32563" s="69" customFormat="1" x14ac:dyDescent="0.15"/>
    <row r="32564" s="69" customFormat="1" x14ac:dyDescent="0.15"/>
    <row r="32565" s="69" customFormat="1" x14ac:dyDescent="0.15"/>
    <row r="32566" s="69" customFormat="1" x14ac:dyDescent="0.15"/>
    <row r="32567" s="69" customFormat="1" x14ac:dyDescent="0.15"/>
    <row r="32568" s="69" customFormat="1" x14ac:dyDescent="0.15"/>
    <row r="32569" s="69" customFormat="1" x14ac:dyDescent="0.15"/>
    <row r="32570" s="69" customFormat="1" x14ac:dyDescent="0.15"/>
    <row r="32571" s="69" customFormat="1" x14ac:dyDescent="0.15"/>
    <row r="32572" s="69" customFormat="1" x14ac:dyDescent="0.15"/>
    <row r="32573" s="69" customFormat="1" x14ac:dyDescent="0.15"/>
    <row r="32574" s="69" customFormat="1" x14ac:dyDescent="0.15"/>
    <row r="32575" s="69" customFormat="1" x14ac:dyDescent="0.15"/>
    <row r="32576" s="69" customFormat="1" x14ac:dyDescent="0.15"/>
    <row r="32577" s="69" customFormat="1" x14ac:dyDescent="0.15"/>
    <row r="32578" s="69" customFormat="1" x14ac:dyDescent="0.15"/>
    <row r="32579" s="69" customFormat="1" x14ac:dyDescent="0.15"/>
    <row r="32580" s="69" customFormat="1" x14ac:dyDescent="0.15"/>
    <row r="32581" s="69" customFormat="1" x14ac:dyDescent="0.15"/>
    <row r="32582" s="69" customFormat="1" x14ac:dyDescent="0.15"/>
    <row r="32583" s="69" customFormat="1" x14ac:dyDescent="0.15"/>
    <row r="32584" s="69" customFormat="1" x14ac:dyDescent="0.15"/>
    <row r="32585" s="69" customFormat="1" x14ac:dyDescent="0.15"/>
    <row r="32586" s="69" customFormat="1" x14ac:dyDescent="0.15"/>
    <row r="32587" s="69" customFormat="1" x14ac:dyDescent="0.15"/>
    <row r="32588" s="69" customFormat="1" x14ac:dyDescent="0.15"/>
    <row r="32589" s="69" customFormat="1" x14ac:dyDescent="0.15"/>
    <row r="32590" s="69" customFormat="1" x14ac:dyDescent="0.15"/>
    <row r="32591" s="69" customFormat="1" x14ac:dyDescent="0.15"/>
    <row r="32592" s="69" customFormat="1" x14ac:dyDescent="0.15"/>
    <row r="32593" s="69" customFormat="1" x14ac:dyDescent="0.15"/>
    <row r="32594" s="69" customFormat="1" x14ac:dyDescent="0.15"/>
    <row r="32595" s="69" customFormat="1" x14ac:dyDescent="0.15"/>
    <row r="32596" s="69" customFormat="1" x14ac:dyDescent="0.15"/>
    <row r="32597" s="69" customFormat="1" x14ac:dyDescent="0.15"/>
    <row r="32598" s="69" customFormat="1" x14ac:dyDescent="0.15"/>
    <row r="32599" s="69" customFormat="1" x14ac:dyDescent="0.15"/>
    <row r="32600" s="69" customFormat="1" x14ac:dyDescent="0.15"/>
    <row r="32601" s="69" customFormat="1" x14ac:dyDescent="0.15"/>
    <row r="32602" s="69" customFormat="1" x14ac:dyDescent="0.15"/>
    <row r="32603" s="69" customFormat="1" x14ac:dyDescent="0.15"/>
    <row r="32604" s="69" customFormat="1" x14ac:dyDescent="0.15"/>
    <row r="32605" s="69" customFormat="1" x14ac:dyDescent="0.15"/>
    <row r="32606" s="69" customFormat="1" x14ac:dyDescent="0.15"/>
    <row r="32607" s="69" customFormat="1" x14ac:dyDescent="0.15"/>
    <row r="32608" s="69" customFormat="1" x14ac:dyDescent="0.15"/>
    <row r="32609" s="69" customFormat="1" x14ac:dyDescent="0.15"/>
    <row r="32610" s="69" customFormat="1" x14ac:dyDescent="0.15"/>
    <row r="32611" s="69" customFormat="1" x14ac:dyDescent="0.15"/>
    <row r="32612" s="69" customFormat="1" x14ac:dyDescent="0.15"/>
    <row r="32613" s="69" customFormat="1" x14ac:dyDescent="0.15"/>
    <row r="32614" s="69" customFormat="1" x14ac:dyDescent="0.15"/>
    <row r="32615" s="69" customFormat="1" x14ac:dyDescent="0.15"/>
    <row r="32616" s="69" customFormat="1" x14ac:dyDescent="0.15"/>
    <row r="32617" s="69" customFormat="1" x14ac:dyDescent="0.15"/>
    <row r="32618" s="69" customFormat="1" x14ac:dyDescent="0.15"/>
    <row r="32619" s="69" customFormat="1" x14ac:dyDescent="0.15"/>
    <row r="32620" s="69" customFormat="1" x14ac:dyDescent="0.15"/>
    <row r="32621" s="69" customFormat="1" x14ac:dyDescent="0.15"/>
    <row r="32622" s="69" customFormat="1" x14ac:dyDescent="0.15"/>
    <row r="32623" s="69" customFormat="1" x14ac:dyDescent="0.15"/>
    <row r="32624" s="69" customFormat="1" x14ac:dyDescent="0.15"/>
    <row r="32625" s="69" customFormat="1" x14ac:dyDescent="0.15"/>
    <row r="32626" s="69" customFormat="1" x14ac:dyDescent="0.15"/>
    <row r="32627" s="69" customFormat="1" x14ac:dyDescent="0.15"/>
    <row r="32628" s="69" customFormat="1" x14ac:dyDescent="0.15"/>
    <row r="32629" s="69" customFormat="1" x14ac:dyDescent="0.15"/>
    <row r="32630" s="69" customFormat="1" x14ac:dyDescent="0.15"/>
    <row r="32631" s="69" customFormat="1" x14ac:dyDescent="0.15"/>
    <row r="32632" s="69" customFormat="1" x14ac:dyDescent="0.15"/>
    <row r="32633" s="69" customFormat="1" x14ac:dyDescent="0.15"/>
    <row r="32634" s="69" customFormat="1" x14ac:dyDescent="0.15"/>
    <row r="32635" s="69" customFormat="1" x14ac:dyDescent="0.15"/>
    <row r="32636" s="69" customFormat="1" x14ac:dyDescent="0.15"/>
    <row r="32637" s="69" customFormat="1" x14ac:dyDescent="0.15"/>
    <row r="32638" s="69" customFormat="1" x14ac:dyDescent="0.15"/>
    <row r="32639" s="69" customFormat="1" x14ac:dyDescent="0.15"/>
    <row r="32640" s="69" customFormat="1" x14ac:dyDescent="0.15"/>
    <row r="32641" s="69" customFormat="1" x14ac:dyDescent="0.15"/>
    <row r="32642" s="69" customFormat="1" x14ac:dyDescent="0.15"/>
    <row r="32643" s="69" customFormat="1" x14ac:dyDescent="0.15"/>
    <row r="32644" s="69" customFormat="1" x14ac:dyDescent="0.15"/>
    <row r="32645" s="69" customFormat="1" x14ac:dyDescent="0.15"/>
    <row r="32646" s="69" customFormat="1" x14ac:dyDescent="0.15"/>
    <row r="32647" s="69" customFormat="1" x14ac:dyDescent="0.15"/>
    <row r="32648" s="69" customFormat="1" x14ac:dyDescent="0.15"/>
    <row r="32649" s="69" customFormat="1" x14ac:dyDescent="0.15"/>
    <row r="32650" s="69" customFormat="1" x14ac:dyDescent="0.15"/>
    <row r="32651" s="69" customFormat="1" x14ac:dyDescent="0.15"/>
    <row r="32652" s="69" customFormat="1" x14ac:dyDescent="0.15"/>
    <row r="32653" s="69" customFormat="1" x14ac:dyDescent="0.15"/>
    <row r="32654" s="69" customFormat="1" x14ac:dyDescent="0.15"/>
    <row r="32655" s="69" customFormat="1" x14ac:dyDescent="0.15"/>
    <row r="32656" s="69" customFormat="1" x14ac:dyDescent="0.15"/>
    <row r="32657" s="69" customFormat="1" x14ac:dyDescent="0.15"/>
    <row r="32658" s="69" customFormat="1" x14ac:dyDescent="0.15"/>
    <row r="32659" s="69" customFormat="1" x14ac:dyDescent="0.15"/>
    <row r="32660" s="69" customFormat="1" x14ac:dyDescent="0.15"/>
    <row r="32661" s="69" customFormat="1" x14ac:dyDescent="0.15"/>
    <row r="32662" s="69" customFormat="1" x14ac:dyDescent="0.15"/>
    <row r="32663" s="69" customFormat="1" x14ac:dyDescent="0.15"/>
    <row r="32664" s="69" customFormat="1" x14ac:dyDescent="0.15"/>
    <row r="32665" s="69" customFormat="1" x14ac:dyDescent="0.15"/>
    <row r="32666" s="69" customFormat="1" x14ac:dyDescent="0.15"/>
    <row r="32667" s="69" customFormat="1" x14ac:dyDescent="0.15"/>
    <row r="32668" s="69" customFormat="1" x14ac:dyDescent="0.15"/>
    <row r="32669" s="69" customFormat="1" x14ac:dyDescent="0.15"/>
    <row r="32670" s="69" customFormat="1" x14ac:dyDescent="0.15"/>
    <row r="32671" s="69" customFormat="1" x14ac:dyDescent="0.15"/>
    <row r="32672" s="69" customFormat="1" x14ac:dyDescent="0.15"/>
    <row r="32673" s="69" customFormat="1" x14ac:dyDescent="0.15"/>
    <row r="32674" s="69" customFormat="1" x14ac:dyDescent="0.15"/>
    <row r="32675" s="69" customFormat="1" x14ac:dyDescent="0.15"/>
    <row r="32676" s="69" customFormat="1" x14ac:dyDescent="0.15"/>
    <row r="32677" s="69" customFormat="1" x14ac:dyDescent="0.15"/>
    <row r="32678" s="69" customFormat="1" x14ac:dyDescent="0.15"/>
    <row r="32679" s="69" customFormat="1" x14ac:dyDescent="0.15"/>
    <row r="32680" s="69" customFormat="1" x14ac:dyDescent="0.15"/>
    <row r="32681" s="69" customFormat="1" x14ac:dyDescent="0.15"/>
    <row r="32682" s="69" customFormat="1" x14ac:dyDescent="0.15"/>
    <row r="32683" s="69" customFormat="1" x14ac:dyDescent="0.15"/>
    <row r="32684" s="69" customFormat="1" x14ac:dyDescent="0.15"/>
    <row r="32685" s="69" customFormat="1" x14ac:dyDescent="0.15"/>
    <row r="32686" s="69" customFormat="1" x14ac:dyDescent="0.15"/>
    <row r="32687" s="69" customFormat="1" x14ac:dyDescent="0.15"/>
    <row r="32688" s="69" customFormat="1" x14ac:dyDescent="0.15"/>
    <row r="32689" s="69" customFormat="1" x14ac:dyDescent="0.15"/>
    <row r="32690" s="69" customFormat="1" x14ac:dyDescent="0.15"/>
    <row r="32691" s="69" customFormat="1" x14ac:dyDescent="0.15"/>
    <row r="32692" s="69" customFormat="1" x14ac:dyDescent="0.15"/>
    <row r="32693" s="69" customFormat="1" x14ac:dyDescent="0.15"/>
    <row r="32694" s="69" customFormat="1" x14ac:dyDescent="0.15"/>
    <row r="32695" s="69" customFormat="1" x14ac:dyDescent="0.15"/>
    <row r="32696" s="69" customFormat="1" x14ac:dyDescent="0.15"/>
    <row r="32697" s="69" customFormat="1" x14ac:dyDescent="0.15"/>
    <row r="32698" s="69" customFormat="1" x14ac:dyDescent="0.15"/>
    <row r="32699" s="69" customFormat="1" x14ac:dyDescent="0.15"/>
    <row r="32700" s="69" customFormat="1" x14ac:dyDescent="0.15"/>
    <row r="32701" s="69" customFormat="1" x14ac:dyDescent="0.15"/>
    <row r="32702" s="69" customFormat="1" x14ac:dyDescent="0.15"/>
    <row r="32703" s="69" customFormat="1" x14ac:dyDescent="0.15"/>
    <row r="32704" s="69" customFormat="1" x14ac:dyDescent="0.15"/>
    <row r="32705" s="69" customFormat="1" x14ac:dyDescent="0.15"/>
    <row r="32706" s="69" customFormat="1" x14ac:dyDescent="0.15"/>
    <row r="32707" s="69" customFormat="1" x14ac:dyDescent="0.15"/>
    <row r="32708" s="69" customFormat="1" x14ac:dyDescent="0.15"/>
    <row r="32709" s="69" customFormat="1" x14ac:dyDescent="0.15"/>
    <row r="32710" s="69" customFormat="1" x14ac:dyDescent="0.15"/>
    <row r="32711" s="69" customFormat="1" x14ac:dyDescent="0.15"/>
    <row r="32712" s="69" customFormat="1" x14ac:dyDescent="0.15"/>
    <row r="32713" s="69" customFormat="1" x14ac:dyDescent="0.15"/>
    <row r="32714" s="69" customFormat="1" x14ac:dyDescent="0.15"/>
    <row r="32715" s="69" customFormat="1" x14ac:dyDescent="0.15"/>
    <row r="32716" s="69" customFormat="1" x14ac:dyDescent="0.15"/>
    <row r="32717" s="69" customFormat="1" x14ac:dyDescent="0.15"/>
    <row r="32718" s="69" customFormat="1" x14ac:dyDescent="0.15"/>
    <row r="32719" s="69" customFormat="1" x14ac:dyDescent="0.15"/>
    <row r="32720" s="69" customFormat="1" x14ac:dyDescent="0.15"/>
    <row r="32721" s="69" customFormat="1" x14ac:dyDescent="0.15"/>
    <row r="32722" s="69" customFormat="1" x14ac:dyDescent="0.15"/>
    <row r="32723" s="69" customFormat="1" x14ac:dyDescent="0.15"/>
    <row r="32724" s="69" customFormat="1" x14ac:dyDescent="0.15"/>
    <row r="32725" s="69" customFormat="1" x14ac:dyDescent="0.15"/>
    <row r="32726" s="69" customFormat="1" x14ac:dyDescent="0.15"/>
    <row r="32727" s="69" customFormat="1" x14ac:dyDescent="0.15"/>
    <row r="32728" s="69" customFormat="1" x14ac:dyDescent="0.15"/>
    <row r="32729" s="69" customFormat="1" x14ac:dyDescent="0.15"/>
    <row r="32730" s="69" customFormat="1" x14ac:dyDescent="0.15"/>
    <row r="32731" s="69" customFormat="1" x14ac:dyDescent="0.15"/>
    <row r="32732" s="69" customFormat="1" x14ac:dyDescent="0.15"/>
    <row r="32733" s="69" customFormat="1" x14ac:dyDescent="0.15"/>
    <row r="32734" s="69" customFormat="1" x14ac:dyDescent="0.15"/>
    <row r="32735" s="69" customFormat="1" x14ac:dyDescent="0.15"/>
    <row r="32736" s="69" customFormat="1" x14ac:dyDescent="0.15"/>
    <row r="32737" s="69" customFormat="1" x14ac:dyDescent="0.15"/>
    <row r="32738" s="69" customFormat="1" x14ac:dyDescent="0.15"/>
    <row r="32739" s="69" customFormat="1" x14ac:dyDescent="0.15"/>
    <row r="32740" s="69" customFormat="1" x14ac:dyDescent="0.15"/>
    <row r="32741" s="69" customFormat="1" x14ac:dyDescent="0.15"/>
    <row r="32742" s="69" customFormat="1" x14ac:dyDescent="0.15"/>
    <row r="32743" s="69" customFormat="1" x14ac:dyDescent="0.15"/>
    <row r="32744" s="69" customFormat="1" x14ac:dyDescent="0.15"/>
    <row r="32745" s="69" customFormat="1" x14ac:dyDescent="0.15"/>
    <row r="32746" s="69" customFormat="1" x14ac:dyDescent="0.15"/>
    <row r="32747" s="69" customFormat="1" x14ac:dyDescent="0.15"/>
    <row r="32748" s="69" customFormat="1" x14ac:dyDescent="0.15"/>
    <row r="32749" s="69" customFormat="1" x14ac:dyDescent="0.15"/>
    <row r="32750" s="69" customFormat="1" x14ac:dyDescent="0.15"/>
    <row r="32751" s="69" customFormat="1" x14ac:dyDescent="0.15"/>
    <row r="32752" s="69" customFormat="1" x14ac:dyDescent="0.15"/>
    <row r="32753" s="69" customFormat="1" x14ac:dyDescent="0.15"/>
    <row r="32754" s="69" customFormat="1" x14ac:dyDescent="0.15"/>
    <row r="32755" s="69" customFormat="1" x14ac:dyDescent="0.15"/>
    <row r="32756" s="69" customFormat="1" x14ac:dyDescent="0.15"/>
    <row r="32757" s="69" customFormat="1" x14ac:dyDescent="0.15"/>
    <row r="32758" s="69" customFormat="1" x14ac:dyDescent="0.15"/>
    <row r="32759" s="69" customFormat="1" x14ac:dyDescent="0.15"/>
    <row r="32760" s="69" customFormat="1" x14ac:dyDescent="0.15"/>
    <row r="32761" s="69" customFormat="1" x14ac:dyDescent="0.15"/>
    <row r="32762" s="69" customFormat="1" x14ac:dyDescent="0.15"/>
    <row r="32763" s="69" customFormat="1" x14ac:dyDescent="0.15"/>
    <row r="32764" s="69" customFormat="1" x14ac:dyDescent="0.15"/>
    <row r="32765" s="69" customFormat="1" x14ac:dyDescent="0.15"/>
    <row r="32766" s="69" customFormat="1" x14ac:dyDescent="0.15"/>
    <row r="32767" s="69" customFormat="1" x14ac:dyDescent="0.15"/>
    <row r="32768" s="69" customFormat="1" x14ac:dyDescent="0.15"/>
    <row r="32769" s="69" customFormat="1" x14ac:dyDescent="0.15"/>
    <row r="32770" s="69" customFormat="1" x14ac:dyDescent="0.15"/>
    <row r="32771" s="69" customFormat="1" x14ac:dyDescent="0.15"/>
    <row r="32772" s="69" customFormat="1" x14ac:dyDescent="0.15"/>
    <row r="32773" s="69" customFormat="1" x14ac:dyDescent="0.15"/>
    <row r="32774" s="69" customFormat="1" x14ac:dyDescent="0.15"/>
    <row r="32775" s="69" customFormat="1" x14ac:dyDescent="0.15"/>
    <row r="32776" s="69" customFormat="1" x14ac:dyDescent="0.15"/>
    <row r="32777" s="69" customFormat="1" x14ac:dyDescent="0.15"/>
    <row r="32778" s="69" customFormat="1" x14ac:dyDescent="0.15"/>
    <row r="32779" s="69" customFormat="1" x14ac:dyDescent="0.15"/>
    <row r="32780" s="69" customFormat="1" x14ac:dyDescent="0.15"/>
    <row r="32781" s="69" customFormat="1" x14ac:dyDescent="0.15"/>
    <row r="32782" s="69" customFormat="1" x14ac:dyDescent="0.15"/>
    <row r="32783" s="69" customFormat="1" x14ac:dyDescent="0.15"/>
    <row r="32784" s="69" customFormat="1" x14ac:dyDescent="0.15"/>
    <row r="32785" s="69" customFormat="1" x14ac:dyDescent="0.15"/>
    <row r="32786" s="69" customFormat="1" x14ac:dyDescent="0.15"/>
    <row r="32787" s="69" customFormat="1" x14ac:dyDescent="0.15"/>
    <row r="32788" s="69" customFormat="1" x14ac:dyDescent="0.15"/>
    <row r="32789" s="69" customFormat="1" x14ac:dyDescent="0.15"/>
    <row r="32790" s="69" customFormat="1" x14ac:dyDescent="0.15"/>
    <row r="32791" s="69" customFormat="1" x14ac:dyDescent="0.15"/>
    <row r="32792" s="69" customFormat="1" x14ac:dyDescent="0.15"/>
    <row r="32793" s="69" customFormat="1" x14ac:dyDescent="0.15"/>
    <row r="32794" s="69" customFormat="1" x14ac:dyDescent="0.15"/>
    <row r="32795" s="69" customFormat="1" x14ac:dyDescent="0.15"/>
    <row r="32796" s="69" customFormat="1" x14ac:dyDescent="0.15"/>
    <row r="32797" s="69" customFormat="1" x14ac:dyDescent="0.15"/>
    <row r="32798" s="69" customFormat="1" x14ac:dyDescent="0.15"/>
    <row r="32799" s="69" customFormat="1" x14ac:dyDescent="0.15"/>
    <row r="32800" s="69" customFormat="1" x14ac:dyDescent="0.15"/>
    <row r="32801" s="69" customFormat="1" x14ac:dyDescent="0.15"/>
    <row r="32802" s="69" customFormat="1" x14ac:dyDescent="0.15"/>
    <row r="32803" s="69" customFormat="1" x14ac:dyDescent="0.15"/>
    <row r="32804" s="69" customFormat="1" x14ac:dyDescent="0.15"/>
    <row r="32805" s="69" customFormat="1" x14ac:dyDescent="0.15"/>
    <row r="32806" s="69" customFormat="1" x14ac:dyDescent="0.15"/>
    <row r="32807" s="69" customFormat="1" x14ac:dyDescent="0.15"/>
    <row r="32808" s="69" customFormat="1" x14ac:dyDescent="0.15"/>
    <row r="32809" s="69" customFormat="1" x14ac:dyDescent="0.15"/>
    <row r="32810" s="69" customFormat="1" x14ac:dyDescent="0.15"/>
    <row r="32811" s="69" customFormat="1" x14ac:dyDescent="0.15"/>
    <row r="32812" s="69" customFormat="1" x14ac:dyDescent="0.15"/>
    <row r="32813" s="69" customFormat="1" x14ac:dyDescent="0.15"/>
    <row r="32814" s="69" customFormat="1" x14ac:dyDescent="0.15"/>
    <row r="32815" s="69" customFormat="1" x14ac:dyDescent="0.15"/>
    <row r="32816" s="69" customFormat="1" x14ac:dyDescent="0.15"/>
    <row r="32817" s="69" customFormat="1" x14ac:dyDescent="0.15"/>
    <row r="32818" s="69" customFormat="1" x14ac:dyDescent="0.15"/>
    <row r="32819" s="69" customFormat="1" x14ac:dyDescent="0.15"/>
    <row r="32820" s="69" customFormat="1" x14ac:dyDescent="0.15"/>
    <row r="32821" s="69" customFormat="1" x14ac:dyDescent="0.15"/>
    <row r="32822" s="69" customFormat="1" x14ac:dyDescent="0.15"/>
    <row r="32823" s="69" customFormat="1" x14ac:dyDescent="0.15"/>
    <row r="32824" s="69" customFormat="1" x14ac:dyDescent="0.15"/>
    <row r="32825" s="69" customFormat="1" x14ac:dyDescent="0.15"/>
    <row r="32826" s="69" customFormat="1" x14ac:dyDescent="0.15"/>
    <row r="32827" s="69" customFormat="1" x14ac:dyDescent="0.15"/>
    <row r="32828" s="69" customFormat="1" x14ac:dyDescent="0.15"/>
    <row r="32829" s="69" customFormat="1" x14ac:dyDescent="0.15"/>
    <row r="32830" s="69" customFormat="1" x14ac:dyDescent="0.15"/>
    <row r="32831" s="69" customFormat="1" x14ac:dyDescent="0.15"/>
    <row r="32832" s="69" customFormat="1" x14ac:dyDescent="0.15"/>
    <row r="32833" s="69" customFormat="1" x14ac:dyDescent="0.15"/>
    <row r="32834" s="69" customFormat="1" x14ac:dyDescent="0.15"/>
    <row r="32835" s="69" customFormat="1" x14ac:dyDescent="0.15"/>
    <row r="32836" s="69" customFormat="1" x14ac:dyDescent="0.15"/>
    <row r="32837" s="69" customFormat="1" x14ac:dyDescent="0.15"/>
    <row r="32838" s="69" customFormat="1" x14ac:dyDescent="0.15"/>
    <row r="32839" s="69" customFormat="1" x14ac:dyDescent="0.15"/>
    <row r="32840" s="69" customFormat="1" x14ac:dyDescent="0.15"/>
    <row r="32841" s="69" customFormat="1" x14ac:dyDescent="0.15"/>
    <row r="32842" s="69" customFormat="1" x14ac:dyDescent="0.15"/>
    <row r="32843" s="69" customFormat="1" x14ac:dyDescent="0.15"/>
    <row r="32844" s="69" customFormat="1" x14ac:dyDescent="0.15"/>
    <row r="32845" s="69" customFormat="1" x14ac:dyDescent="0.15"/>
    <row r="32846" s="69" customFormat="1" x14ac:dyDescent="0.15"/>
    <row r="32847" s="69" customFormat="1" x14ac:dyDescent="0.15"/>
    <row r="32848" s="69" customFormat="1" x14ac:dyDescent="0.15"/>
    <row r="32849" s="69" customFormat="1" x14ac:dyDescent="0.15"/>
    <row r="32850" s="69" customFormat="1" x14ac:dyDescent="0.15"/>
    <row r="32851" s="69" customFormat="1" x14ac:dyDescent="0.15"/>
    <row r="32852" s="69" customFormat="1" x14ac:dyDescent="0.15"/>
    <row r="32853" s="69" customFormat="1" x14ac:dyDescent="0.15"/>
    <row r="32854" s="69" customFormat="1" x14ac:dyDescent="0.15"/>
    <row r="32855" s="69" customFormat="1" x14ac:dyDescent="0.15"/>
    <row r="32856" s="69" customFormat="1" x14ac:dyDescent="0.15"/>
    <row r="32857" s="69" customFormat="1" x14ac:dyDescent="0.15"/>
    <row r="32858" s="69" customFormat="1" x14ac:dyDescent="0.15"/>
    <row r="32859" s="69" customFormat="1" x14ac:dyDescent="0.15"/>
    <row r="32860" s="69" customFormat="1" x14ac:dyDescent="0.15"/>
    <row r="32861" s="69" customFormat="1" x14ac:dyDescent="0.15"/>
    <row r="32862" s="69" customFormat="1" x14ac:dyDescent="0.15"/>
    <row r="32863" s="69" customFormat="1" x14ac:dyDescent="0.15"/>
    <row r="32864" s="69" customFormat="1" x14ac:dyDescent="0.15"/>
    <row r="32865" s="69" customFormat="1" x14ac:dyDescent="0.15"/>
    <row r="32866" s="69" customFormat="1" x14ac:dyDescent="0.15"/>
    <row r="32867" s="69" customFormat="1" x14ac:dyDescent="0.15"/>
    <row r="32868" s="69" customFormat="1" x14ac:dyDescent="0.15"/>
    <row r="32869" s="69" customFormat="1" x14ac:dyDescent="0.15"/>
    <row r="32870" s="69" customFormat="1" x14ac:dyDescent="0.15"/>
    <row r="32871" s="69" customFormat="1" x14ac:dyDescent="0.15"/>
    <row r="32872" s="69" customFormat="1" x14ac:dyDescent="0.15"/>
    <row r="32873" s="69" customFormat="1" x14ac:dyDescent="0.15"/>
    <row r="32874" s="69" customFormat="1" x14ac:dyDescent="0.15"/>
    <row r="32875" s="69" customFormat="1" x14ac:dyDescent="0.15"/>
    <row r="32876" s="69" customFormat="1" x14ac:dyDescent="0.15"/>
    <row r="32877" s="69" customFormat="1" x14ac:dyDescent="0.15"/>
    <row r="32878" s="69" customFormat="1" x14ac:dyDescent="0.15"/>
    <row r="32879" s="69" customFormat="1" x14ac:dyDescent="0.15"/>
    <row r="32880" s="69" customFormat="1" x14ac:dyDescent="0.15"/>
    <row r="32881" s="69" customFormat="1" x14ac:dyDescent="0.15"/>
    <row r="32882" s="69" customFormat="1" x14ac:dyDescent="0.15"/>
    <row r="32883" s="69" customFormat="1" x14ac:dyDescent="0.15"/>
    <row r="32884" s="69" customFormat="1" x14ac:dyDescent="0.15"/>
    <row r="32885" s="69" customFormat="1" x14ac:dyDescent="0.15"/>
    <row r="32886" s="69" customFormat="1" x14ac:dyDescent="0.15"/>
    <row r="32887" s="69" customFormat="1" x14ac:dyDescent="0.15"/>
    <row r="32888" s="69" customFormat="1" x14ac:dyDescent="0.15"/>
    <row r="32889" s="69" customFormat="1" x14ac:dyDescent="0.15"/>
    <row r="32890" s="69" customFormat="1" x14ac:dyDescent="0.15"/>
    <row r="32891" s="69" customFormat="1" x14ac:dyDescent="0.15"/>
    <row r="32892" s="69" customFormat="1" x14ac:dyDescent="0.15"/>
    <row r="32893" s="69" customFormat="1" x14ac:dyDescent="0.15"/>
    <row r="32894" s="69" customFormat="1" x14ac:dyDescent="0.15"/>
    <row r="32895" s="69" customFormat="1" x14ac:dyDescent="0.15"/>
    <row r="32896" s="69" customFormat="1" x14ac:dyDescent="0.15"/>
    <row r="32897" s="69" customFormat="1" x14ac:dyDescent="0.15"/>
    <row r="32898" s="69" customFormat="1" x14ac:dyDescent="0.15"/>
    <row r="32899" s="69" customFormat="1" x14ac:dyDescent="0.15"/>
    <row r="32900" s="69" customFormat="1" x14ac:dyDescent="0.15"/>
    <row r="32901" s="69" customFormat="1" x14ac:dyDescent="0.15"/>
    <row r="32902" s="69" customFormat="1" x14ac:dyDescent="0.15"/>
    <row r="32903" s="69" customFormat="1" x14ac:dyDescent="0.15"/>
    <row r="32904" s="69" customFormat="1" x14ac:dyDescent="0.15"/>
    <row r="32905" s="69" customFormat="1" x14ac:dyDescent="0.15"/>
    <row r="32906" s="69" customFormat="1" x14ac:dyDescent="0.15"/>
    <row r="32907" s="69" customFormat="1" x14ac:dyDescent="0.15"/>
    <row r="32908" s="69" customFormat="1" x14ac:dyDescent="0.15"/>
    <row r="32909" s="69" customFormat="1" x14ac:dyDescent="0.15"/>
    <row r="32910" s="69" customFormat="1" x14ac:dyDescent="0.15"/>
    <row r="32911" s="69" customFormat="1" x14ac:dyDescent="0.15"/>
    <row r="32912" s="69" customFormat="1" x14ac:dyDescent="0.15"/>
    <row r="32913" s="69" customFormat="1" x14ac:dyDescent="0.15"/>
    <row r="32914" s="69" customFormat="1" x14ac:dyDescent="0.15"/>
    <row r="32915" s="69" customFormat="1" x14ac:dyDescent="0.15"/>
    <row r="32916" s="69" customFormat="1" x14ac:dyDescent="0.15"/>
    <row r="32917" s="69" customFormat="1" x14ac:dyDescent="0.15"/>
    <row r="32918" s="69" customFormat="1" x14ac:dyDescent="0.15"/>
    <row r="32919" s="69" customFormat="1" x14ac:dyDescent="0.15"/>
    <row r="32920" s="69" customFormat="1" x14ac:dyDescent="0.15"/>
    <row r="32921" s="69" customFormat="1" x14ac:dyDescent="0.15"/>
    <row r="32922" s="69" customFormat="1" x14ac:dyDescent="0.15"/>
    <row r="32923" s="69" customFormat="1" x14ac:dyDescent="0.15"/>
    <row r="32924" s="69" customFormat="1" x14ac:dyDescent="0.15"/>
    <row r="32925" s="69" customFormat="1" x14ac:dyDescent="0.15"/>
    <row r="32926" s="69" customFormat="1" x14ac:dyDescent="0.15"/>
    <row r="32927" s="69" customFormat="1" x14ac:dyDescent="0.15"/>
    <row r="32928" s="69" customFormat="1" x14ac:dyDescent="0.15"/>
    <row r="32929" s="69" customFormat="1" x14ac:dyDescent="0.15"/>
    <row r="32930" s="69" customFormat="1" x14ac:dyDescent="0.15"/>
    <row r="32931" s="69" customFormat="1" x14ac:dyDescent="0.15"/>
    <row r="32932" s="69" customFormat="1" x14ac:dyDescent="0.15"/>
    <row r="32933" s="69" customFormat="1" x14ac:dyDescent="0.15"/>
    <row r="32934" s="69" customFormat="1" x14ac:dyDescent="0.15"/>
    <row r="32935" s="69" customFormat="1" x14ac:dyDescent="0.15"/>
    <row r="32936" s="69" customFormat="1" x14ac:dyDescent="0.15"/>
    <row r="32937" s="69" customFormat="1" x14ac:dyDescent="0.15"/>
    <row r="32938" s="69" customFormat="1" x14ac:dyDescent="0.15"/>
    <row r="32939" s="69" customFormat="1" x14ac:dyDescent="0.15"/>
    <row r="32940" s="69" customFormat="1" x14ac:dyDescent="0.15"/>
    <row r="32941" s="69" customFormat="1" x14ac:dyDescent="0.15"/>
    <row r="32942" s="69" customFormat="1" x14ac:dyDescent="0.15"/>
    <row r="32943" s="69" customFormat="1" x14ac:dyDescent="0.15"/>
    <row r="32944" s="69" customFormat="1" x14ac:dyDescent="0.15"/>
    <row r="32945" s="69" customFormat="1" x14ac:dyDescent="0.15"/>
    <row r="32946" s="69" customFormat="1" x14ac:dyDescent="0.15"/>
    <row r="32947" s="69" customFormat="1" x14ac:dyDescent="0.15"/>
    <row r="32948" s="69" customFormat="1" x14ac:dyDescent="0.15"/>
    <row r="32949" s="69" customFormat="1" x14ac:dyDescent="0.15"/>
    <row r="32950" s="69" customFormat="1" x14ac:dyDescent="0.15"/>
    <row r="32951" s="69" customFormat="1" x14ac:dyDescent="0.15"/>
    <row r="32952" s="69" customFormat="1" x14ac:dyDescent="0.15"/>
    <row r="32953" s="69" customFormat="1" x14ac:dyDescent="0.15"/>
    <row r="32954" s="69" customFormat="1" x14ac:dyDescent="0.15"/>
    <row r="32955" s="69" customFormat="1" x14ac:dyDescent="0.15"/>
    <row r="32956" s="69" customFormat="1" x14ac:dyDescent="0.15"/>
    <row r="32957" s="69" customFormat="1" x14ac:dyDescent="0.15"/>
    <row r="32958" s="69" customFormat="1" x14ac:dyDescent="0.15"/>
    <row r="32959" s="69" customFormat="1" x14ac:dyDescent="0.15"/>
    <row r="32960" s="69" customFormat="1" x14ac:dyDescent="0.15"/>
    <row r="32961" s="69" customFormat="1" x14ac:dyDescent="0.15"/>
    <row r="32962" s="69" customFormat="1" x14ac:dyDescent="0.15"/>
    <row r="32963" s="69" customFormat="1" x14ac:dyDescent="0.15"/>
    <row r="32964" s="69" customFormat="1" x14ac:dyDescent="0.15"/>
    <row r="32965" s="69" customFormat="1" x14ac:dyDescent="0.15"/>
    <row r="32966" s="69" customFormat="1" x14ac:dyDescent="0.15"/>
    <row r="32967" s="69" customFormat="1" x14ac:dyDescent="0.15"/>
    <row r="32968" s="69" customFormat="1" x14ac:dyDescent="0.15"/>
    <row r="32969" s="69" customFormat="1" x14ac:dyDescent="0.15"/>
    <row r="32970" s="69" customFormat="1" x14ac:dyDescent="0.15"/>
    <row r="32971" s="69" customFormat="1" x14ac:dyDescent="0.15"/>
    <row r="32972" s="69" customFormat="1" x14ac:dyDescent="0.15"/>
    <row r="32973" s="69" customFormat="1" x14ac:dyDescent="0.15"/>
    <row r="32974" s="69" customFormat="1" x14ac:dyDescent="0.15"/>
    <row r="32975" s="69" customFormat="1" x14ac:dyDescent="0.15"/>
    <row r="32976" s="69" customFormat="1" x14ac:dyDescent="0.15"/>
    <row r="32977" s="69" customFormat="1" x14ac:dyDescent="0.15"/>
    <row r="32978" s="69" customFormat="1" x14ac:dyDescent="0.15"/>
    <row r="32979" s="69" customFormat="1" x14ac:dyDescent="0.15"/>
    <row r="32980" s="69" customFormat="1" x14ac:dyDescent="0.15"/>
    <row r="32981" s="69" customFormat="1" x14ac:dyDescent="0.15"/>
    <row r="32982" s="69" customFormat="1" x14ac:dyDescent="0.15"/>
    <row r="32983" s="69" customFormat="1" x14ac:dyDescent="0.15"/>
    <row r="32984" s="69" customFormat="1" x14ac:dyDescent="0.15"/>
    <row r="32985" s="69" customFormat="1" x14ac:dyDescent="0.15"/>
    <row r="32986" s="69" customFormat="1" x14ac:dyDescent="0.15"/>
    <row r="32987" s="69" customFormat="1" x14ac:dyDescent="0.15"/>
    <row r="32988" s="69" customFormat="1" x14ac:dyDescent="0.15"/>
    <row r="32989" s="69" customFormat="1" x14ac:dyDescent="0.15"/>
    <row r="32990" s="69" customFormat="1" x14ac:dyDescent="0.15"/>
    <row r="32991" s="69" customFormat="1" x14ac:dyDescent="0.15"/>
    <row r="32992" s="69" customFormat="1" x14ac:dyDescent="0.15"/>
    <row r="32993" s="69" customFormat="1" x14ac:dyDescent="0.15"/>
    <row r="32994" s="69" customFormat="1" x14ac:dyDescent="0.15"/>
    <row r="32995" s="69" customFormat="1" x14ac:dyDescent="0.15"/>
    <row r="32996" s="69" customFormat="1" x14ac:dyDescent="0.15"/>
    <row r="32997" s="69" customFormat="1" x14ac:dyDescent="0.15"/>
    <row r="32998" s="69" customFormat="1" x14ac:dyDescent="0.15"/>
    <row r="32999" s="69" customFormat="1" x14ac:dyDescent="0.15"/>
    <row r="33000" s="69" customFormat="1" x14ac:dyDescent="0.15"/>
    <row r="33001" s="69" customFormat="1" x14ac:dyDescent="0.15"/>
    <row r="33002" s="69" customFormat="1" x14ac:dyDescent="0.15"/>
    <row r="33003" s="69" customFormat="1" x14ac:dyDescent="0.15"/>
    <row r="33004" s="69" customFormat="1" x14ac:dyDescent="0.15"/>
    <row r="33005" s="69" customFormat="1" x14ac:dyDescent="0.15"/>
    <row r="33006" s="69" customFormat="1" x14ac:dyDescent="0.15"/>
    <row r="33007" s="69" customFormat="1" x14ac:dyDescent="0.15"/>
    <row r="33008" s="69" customFormat="1" x14ac:dyDescent="0.15"/>
    <row r="33009" s="69" customFormat="1" x14ac:dyDescent="0.15"/>
    <row r="33010" s="69" customFormat="1" x14ac:dyDescent="0.15"/>
    <row r="33011" s="69" customFormat="1" x14ac:dyDescent="0.15"/>
    <row r="33012" s="69" customFormat="1" x14ac:dyDescent="0.15"/>
    <row r="33013" s="69" customFormat="1" x14ac:dyDescent="0.15"/>
    <row r="33014" s="69" customFormat="1" x14ac:dyDescent="0.15"/>
    <row r="33015" s="69" customFormat="1" x14ac:dyDescent="0.15"/>
    <row r="33016" s="69" customFormat="1" x14ac:dyDescent="0.15"/>
    <row r="33017" s="69" customFormat="1" x14ac:dyDescent="0.15"/>
    <row r="33018" s="69" customFormat="1" x14ac:dyDescent="0.15"/>
    <row r="33019" s="69" customFormat="1" x14ac:dyDescent="0.15"/>
    <row r="33020" s="69" customFormat="1" x14ac:dyDescent="0.15"/>
    <row r="33021" s="69" customFormat="1" x14ac:dyDescent="0.15"/>
    <row r="33022" s="69" customFormat="1" x14ac:dyDescent="0.15"/>
    <row r="33023" s="69" customFormat="1" x14ac:dyDescent="0.15"/>
    <row r="33024" s="69" customFormat="1" x14ac:dyDescent="0.15"/>
    <row r="33025" s="69" customFormat="1" x14ac:dyDescent="0.15"/>
    <row r="33026" s="69" customFormat="1" x14ac:dyDescent="0.15"/>
    <row r="33027" s="69" customFormat="1" x14ac:dyDescent="0.15"/>
    <row r="33028" s="69" customFormat="1" x14ac:dyDescent="0.15"/>
    <row r="33029" s="69" customFormat="1" x14ac:dyDescent="0.15"/>
    <row r="33030" s="69" customFormat="1" x14ac:dyDescent="0.15"/>
    <row r="33031" s="69" customFormat="1" x14ac:dyDescent="0.15"/>
    <row r="33032" s="69" customFormat="1" x14ac:dyDescent="0.15"/>
    <row r="33033" s="69" customFormat="1" x14ac:dyDescent="0.15"/>
    <row r="33034" s="69" customFormat="1" x14ac:dyDescent="0.15"/>
    <row r="33035" s="69" customFormat="1" x14ac:dyDescent="0.15"/>
    <row r="33036" s="69" customFormat="1" x14ac:dyDescent="0.15"/>
    <row r="33037" s="69" customFormat="1" x14ac:dyDescent="0.15"/>
    <row r="33038" s="69" customFormat="1" x14ac:dyDescent="0.15"/>
    <row r="33039" s="69" customFormat="1" x14ac:dyDescent="0.15"/>
    <row r="33040" s="69" customFormat="1" x14ac:dyDescent="0.15"/>
    <row r="33041" s="69" customFormat="1" x14ac:dyDescent="0.15"/>
    <row r="33042" s="69" customFormat="1" x14ac:dyDescent="0.15"/>
    <row r="33043" s="69" customFormat="1" x14ac:dyDescent="0.15"/>
    <row r="33044" s="69" customFormat="1" x14ac:dyDescent="0.15"/>
    <row r="33045" s="69" customFormat="1" x14ac:dyDescent="0.15"/>
    <row r="33046" s="69" customFormat="1" x14ac:dyDescent="0.15"/>
    <row r="33047" s="69" customFormat="1" x14ac:dyDescent="0.15"/>
    <row r="33048" s="69" customFormat="1" x14ac:dyDescent="0.15"/>
    <row r="33049" s="69" customFormat="1" x14ac:dyDescent="0.15"/>
    <row r="33050" s="69" customFormat="1" x14ac:dyDescent="0.15"/>
    <row r="33051" s="69" customFormat="1" x14ac:dyDescent="0.15"/>
    <row r="33052" s="69" customFormat="1" x14ac:dyDescent="0.15"/>
    <row r="33053" s="69" customFormat="1" x14ac:dyDescent="0.15"/>
    <row r="33054" s="69" customFormat="1" x14ac:dyDescent="0.15"/>
    <row r="33055" s="69" customFormat="1" x14ac:dyDescent="0.15"/>
    <row r="33056" s="69" customFormat="1" x14ac:dyDescent="0.15"/>
    <row r="33057" s="69" customFormat="1" x14ac:dyDescent="0.15"/>
    <row r="33058" s="69" customFormat="1" x14ac:dyDescent="0.15"/>
    <row r="33059" s="69" customFormat="1" x14ac:dyDescent="0.15"/>
    <row r="33060" s="69" customFormat="1" x14ac:dyDescent="0.15"/>
    <row r="33061" s="69" customFormat="1" x14ac:dyDescent="0.15"/>
    <row r="33062" s="69" customFormat="1" x14ac:dyDescent="0.15"/>
    <row r="33063" s="69" customFormat="1" x14ac:dyDescent="0.15"/>
    <row r="33064" s="69" customFormat="1" x14ac:dyDescent="0.15"/>
    <row r="33065" s="69" customFormat="1" x14ac:dyDescent="0.15"/>
    <row r="33066" s="69" customFormat="1" x14ac:dyDescent="0.15"/>
    <row r="33067" s="69" customFormat="1" x14ac:dyDescent="0.15"/>
    <row r="33068" s="69" customFormat="1" x14ac:dyDescent="0.15"/>
    <row r="33069" s="69" customFormat="1" x14ac:dyDescent="0.15"/>
    <row r="33070" s="69" customFormat="1" x14ac:dyDescent="0.15"/>
    <row r="33071" s="69" customFormat="1" x14ac:dyDescent="0.15"/>
    <row r="33072" s="69" customFormat="1" x14ac:dyDescent="0.15"/>
    <row r="33073" s="69" customFormat="1" x14ac:dyDescent="0.15"/>
    <row r="33074" s="69" customFormat="1" x14ac:dyDescent="0.15"/>
    <row r="33075" s="69" customFormat="1" x14ac:dyDescent="0.15"/>
    <row r="33076" s="69" customFormat="1" x14ac:dyDescent="0.15"/>
    <row r="33077" s="69" customFormat="1" x14ac:dyDescent="0.15"/>
    <row r="33078" s="69" customFormat="1" x14ac:dyDescent="0.15"/>
    <row r="33079" s="69" customFormat="1" x14ac:dyDescent="0.15"/>
    <row r="33080" s="69" customFormat="1" x14ac:dyDescent="0.15"/>
    <row r="33081" s="69" customFormat="1" x14ac:dyDescent="0.15"/>
    <row r="33082" s="69" customFormat="1" x14ac:dyDescent="0.15"/>
    <row r="33083" s="69" customFormat="1" x14ac:dyDescent="0.15"/>
    <row r="33084" s="69" customFormat="1" x14ac:dyDescent="0.15"/>
    <row r="33085" s="69" customFormat="1" x14ac:dyDescent="0.15"/>
    <row r="33086" s="69" customFormat="1" x14ac:dyDescent="0.15"/>
    <row r="33087" s="69" customFormat="1" x14ac:dyDescent="0.15"/>
    <row r="33088" s="69" customFormat="1" x14ac:dyDescent="0.15"/>
    <row r="33089" s="69" customFormat="1" x14ac:dyDescent="0.15"/>
    <row r="33090" s="69" customFormat="1" x14ac:dyDescent="0.15"/>
    <row r="33091" s="69" customFormat="1" x14ac:dyDescent="0.15"/>
    <row r="33092" s="69" customFormat="1" x14ac:dyDescent="0.15"/>
    <row r="33093" s="69" customFormat="1" x14ac:dyDescent="0.15"/>
    <row r="33094" s="69" customFormat="1" x14ac:dyDescent="0.15"/>
    <row r="33095" s="69" customFormat="1" x14ac:dyDescent="0.15"/>
    <row r="33096" s="69" customFormat="1" x14ac:dyDescent="0.15"/>
    <row r="33097" s="69" customFormat="1" x14ac:dyDescent="0.15"/>
    <row r="33098" s="69" customFormat="1" x14ac:dyDescent="0.15"/>
    <row r="33099" s="69" customFormat="1" x14ac:dyDescent="0.15"/>
    <row r="33100" s="69" customFormat="1" x14ac:dyDescent="0.15"/>
    <row r="33101" s="69" customFormat="1" x14ac:dyDescent="0.15"/>
    <row r="33102" s="69" customFormat="1" x14ac:dyDescent="0.15"/>
    <row r="33103" s="69" customFormat="1" x14ac:dyDescent="0.15"/>
    <row r="33104" s="69" customFormat="1" x14ac:dyDescent="0.15"/>
    <row r="33105" s="69" customFormat="1" x14ac:dyDescent="0.15"/>
    <row r="33106" s="69" customFormat="1" x14ac:dyDescent="0.15"/>
    <row r="33107" s="69" customFormat="1" x14ac:dyDescent="0.15"/>
    <row r="33108" s="69" customFormat="1" x14ac:dyDescent="0.15"/>
    <row r="33109" s="69" customFormat="1" x14ac:dyDescent="0.15"/>
    <row r="33110" s="69" customFormat="1" x14ac:dyDescent="0.15"/>
    <row r="33111" s="69" customFormat="1" x14ac:dyDescent="0.15"/>
    <row r="33112" s="69" customFormat="1" x14ac:dyDescent="0.15"/>
    <row r="33113" s="69" customFormat="1" x14ac:dyDescent="0.15"/>
    <row r="33114" s="69" customFormat="1" x14ac:dyDescent="0.15"/>
    <row r="33115" s="69" customFormat="1" x14ac:dyDescent="0.15"/>
    <row r="33116" s="69" customFormat="1" x14ac:dyDescent="0.15"/>
    <row r="33117" s="69" customFormat="1" x14ac:dyDescent="0.15"/>
    <row r="33118" s="69" customFormat="1" x14ac:dyDescent="0.15"/>
    <row r="33119" s="69" customFormat="1" x14ac:dyDescent="0.15"/>
    <row r="33120" s="69" customFormat="1" x14ac:dyDescent="0.15"/>
    <row r="33121" s="69" customFormat="1" x14ac:dyDescent="0.15"/>
    <row r="33122" s="69" customFormat="1" x14ac:dyDescent="0.15"/>
    <row r="33123" s="69" customFormat="1" x14ac:dyDescent="0.15"/>
    <row r="33124" s="69" customFormat="1" x14ac:dyDescent="0.15"/>
    <row r="33125" s="69" customFormat="1" x14ac:dyDescent="0.15"/>
    <row r="33126" s="69" customFormat="1" x14ac:dyDescent="0.15"/>
    <row r="33127" s="69" customFormat="1" x14ac:dyDescent="0.15"/>
    <row r="33128" s="69" customFormat="1" x14ac:dyDescent="0.15"/>
    <row r="33129" s="69" customFormat="1" x14ac:dyDescent="0.15"/>
    <row r="33130" s="69" customFormat="1" x14ac:dyDescent="0.15"/>
    <row r="33131" s="69" customFormat="1" x14ac:dyDescent="0.15"/>
    <row r="33132" s="69" customFormat="1" x14ac:dyDescent="0.15"/>
    <row r="33133" s="69" customFormat="1" x14ac:dyDescent="0.15"/>
    <row r="33134" s="69" customFormat="1" x14ac:dyDescent="0.15"/>
    <row r="33135" s="69" customFormat="1" x14ac:dyDescent="0.15"/>
    <row r="33136" s="69" customFormat="1" x14ac:dyDescent="0.15"/>
    <row r="33137" s="69" customFormat="1" x14ac:dyDescent="0.15"/>
    <row r="33138" s="69" customFormat="1" x14ac:dyDescent="0.15"/>
    <row r="33139" s="69" customFormat="1" x14ac:dyDescent="0.15"/>
    <row r="33140" s="69" customFormat="1" x14ac:dyDescent="0.15"/>
    <row r="33141" s="69" customFormat="1" x14ac:dyDescent="0.15"/>
    <row r="33142" s="69" customFormat="1" x14ac:dyDescent="0.15"/>
    <row r="33143" s="69" customFormat="1" x14ac:dyDescent="0.15"/>
    <row r="33144" s="69" customFormat="1" x14ac:dyDescent="0.15"/>
    <row r="33145" s="69" customFormat="1" x14ac:dyDescent="0.15"/>
    <row r="33146" s="69" customFormat="1" x14ac:dyDescent="0.15"/>
    <row r="33147" s="69" customFormat="1" x14ac:dyDescent="0.15"/>
    <row r="33148" s="69" customFormat="1" x14ac:dyDescent="0.15"/>
    <row r="33149" s="69" customFormat="1" x14ac:dyDescent="0.15"/>
    <row r="33150" s="69" customFormat="1" x14ac:dyDescent="0.15"/>
    <row r="33151" s="69" customFormat="1" x14ac:dyDescent="0.15"/>
    <row r="33152" s="69" customFormat="1" x14ac:dyDescent="0.15"/>
    <row r="33153" s="69" customFormat="1" x14ac:dyDescent="0.15"/>
    <row r="33154" s="69" customFormat="1" x14ac:dyDescent="0.15"/>
    <row r="33155" s="69" customFormat="1" x14ac:dyDescent="0.15"/>
    <row r="33156" s="69" customFormat="1" x14ac:dyDescent="0.15"/>
    <row r="33157" s="69" customFormat="1" x14ac:dyDescent="0.15"/>
    <row r="33158" s="69" customFormat="1" x14ac:dyDescent="0.15"/>
    <row r="33159" s="69" customFormat="1" x14ac:dyDescent="0.15"/>
    <row r="33160" s="69" customFormat="1" x14ac:dyDescent="0.15"/>
    <row r="33161" s="69" customFormat="1" x14ac:dyDescent="0.15"/>
    <row r="33162" s="69" customFormat="1" x14ac:dyDescent="0.15"/>
    <row r="33163" s="69" customFormat="1" x14ac:dyDescent="0.15"/>
    <row r="33164" s="69" customFormat="1" x14ac:dyDescent="0.15"/>
    <row r="33165" s="69" customFormat="1" x14ac:dyDescent="0.15"/>
    <row r="33166" s="69" customFormat="1" x14ac:dyDescent="0.15"/>
    <row r="33167" s="69" customFormat="1" x14ac:dyDescent="0.15"/>
    <row r="33168" s="69" customFormat="1" x14ac:dyDescent="0.15"/>
    <row r="33169" s="69" customFormat="1" x14ac:dyDescent="0.15"/>
    <row r="33170" s="69" customFormat="1" x14ac:dyDescent="0.15"/>
    <row r="33171" s="69" customFormat="1" x14ac:dyDescent="0.15"/>
    <row r="33172" s="69" customFormat="1" x14ac:dyDescent="0.15"/>
    <row r="33173" s="69" customFormat="1" x14ac:dyDescent="0.15"/>
    <row r="33174" s="69" customFormat="1" x14ac:dyDescent="0.15"/>
    <row r="33175" s="69" customFormat="1" x14ac:dyDescent="0.15"/>
    <row r="33176" s="69" customFormat="1" x14ac:dyDescent="0.15"/>
    <row r="33177" s="69" customFormat="1" x14ac:dyDescent="0.15"/>
    <row r="33178" s="69" customFormat="1" x14ac:dyDescent="0.15"/>
    <row r="33179" s="69" customFormat="1" x14ac:dyDescent="0.15"/>
    <row r="33180" s="69" customFormat="1" x14ac:dyDescent="0.15"/>
    <row r="33181" s="69" customFormat="1" x14ac:dyDescent="0.15"/>
    <row r="33182" s="69" customFormat="1" x14ac:dyDescent="0.15"/>
    <row r="33183" s="69" customFormat="1" x14ac:dyDescent="0.15"/>
    <row r="33184" s="69" customFormat="1" x14ac:dyDescent="0.15"/>
    <row r="33185" s="69" customFormat="1" x14ac:dyDescent="0.15"/>
    <row r="33186" s="69" customFormat="1" x14ac:dyDescent="0.15"/>
    <row r="33187" s="69" customFormat="1" x14ac:dyDescent="0.15"/>
    <row r="33188" s="69" customFormat="1" x14ac:dyDescent="0.15"/>
    <row r="33189" s="69" customFormat="1" x14ac:dyDescent="0.15"/>
    <row r="33190" s="69" customFormat="1" x14ac:dyDescent="0.15"/>
    <row r="33191" s="69" customFormat="1" x14ac:dyDescent="0.15"/>
    <row r="33192" s="69" customFormat="1" x14ac:dyDescent="0.15"/>
    <row r="33193" s="69" customFormat="1" x14ac:dyDescent="0.15"/>
    <row r="33194" s="69" customFormat="1" x14ac:dyDescent="0.15"/>
    <row r="33195" s="69" customFormat="1" x14ac:dyDescent="0.15"/>
    <row r="33196" s="69" customFormat="1" x14ac:dyDescent="0.15"/>
    <row r="33197" s="69" customFormat="1" x14ac:dyDescent="0.15"/>
    <row r="33198" s="69" customFormat="1" x14ac:dyDescent="0.15"/>
    <row r="33199" s="69" customFormat="1" x14ac:dyDescent="0.15"/>
    <row r="33200" s="69" customFormat="1" x14ac:dyDescent="0.15"/>
    <row r="33201" s="69" customFormat="1" x14ac:dyDescent="0.15"/>
    <row r="33202" s="69" customFormat="1" x14ac:dyDescent="0.15"/>
    <row r="33203" s="69" customFormat="1" x14ac:dyDescent="0.15"/>
    <row r="33204" s="69" customFormat="1" x14ac:dyDescent="0.15"/>
    <row r="33205" s="69" customFormat="1" x14ac:dyDescent="0.15"/>
    <row r="33206" s="69" customFormat="1" x14ac:dyDescent="0.15"/>
    <row r="33207" s="69" customFormat="1" x14ac:dyDescent="0.15"/>
    <row r="33208" s="69" customFormat="1" x14ac:dyDescent="0.15"/>
    <row r="33209" s="69" customFormat="1" x14ac:dyDescent="0.15"/>
    <row r="33210" s="69" customFormat="1" x14ac:dyDescent="0.15"/>
    <row r="33211" s="69" customFormat="1" x14ac:dyDescent="0.15"/>
    <row r="33212" s="69" customFormat="1" x14ac:dyDescent="0.15"/>
    <row r="33213" s="69" customFormat="1" x14ac:dyDescent="0.15"/>
    <row r="33214" s="69" customFormat="1" x14ac:dyDescent="0.15"/>
    <row r="33215" s="69" customFormat="1" x14ac:dyDescent="0.15"/>
    <row r="33216" s="69" customFormat="1" x14ac:dyDescent="0.15"/>
    <row r="33217" s="69" customFormat="1" x14ac:dyDescent="0.15"/>
    <row r="33218" s="69" customFormat="1" x14ac:dyDescent="0.15"/>
    <row r="33219" s="69" customFormat="1" x14ac:dyDescent="0.15"/>
    <row r="33220" s="69" customFormat="1" x14ac:dyDescent="0.15"/>
    <row r="33221" s="69" customFormat="1" x14ac:dyDescent="0.15"/>
    <row r="33222" s="69" customFormat="1" x14ac:dyDescent="0.15"/>
    <row r="33223" s="69" customFormat="1" x14ac:dyDescent="0.15"/>
    <row r="33224" s="69" customFormat="1" x14ac:dyDescent="0.15"/>
    <row r="33225" s="69" customFormat="1" x14ac:dyDescent="0.15"/>
    <row r="33226" s="69" customFormat="1" x14ac:dyDescent="0.15"/>
    <row r="33227" s="69" customFormat="1" x14ac:dyDescent="0.15"/>
    <row r="33228" s="69" customFormat="1" x14ac:dyDescent="0.15"/>
    <row r="33229" s="69" customFormat="1" x14ac:dyDescent="0.15"/>
    <row r="33230" s="69" customFormat="1" x14ac:dyDescent="0.15"/>
    <row r="33231" s="69" customFormat="1" x14ac:dyDescent="0.15"/>
    <row r="33232" s="69" customFormat="1" x14ac:dyDescent="0.15"/>
    <row r="33233" s="69" customFormat="1" x14ac:dyDescent="0.15"/>
    <row r="33234" s="69" customFormat="1" x14ac:dyDescent="0.15"/>
    <row r="33235" s="69" customFormat="1" x14ac:dyDescent="0.15"/>
    <row r="33236" s="69" customFormat="1" x14ac:dyDescent="0.15"/>
    <row r="33237" s="69" customFormat="1" x14ac:dyDescent="0.15"/>
    <row r="33238" s="69" customFormat="1" x14ac:dyDescent="0.15"/>
    <row r="33239" s="69" customFormat="1" x14ac:dyDescent="0.15"/>
    <row r="33240" s="69" customFormat="1" x14ac:dyDescent="0.15"/>
    <row r="33241" s="69" customFormat="1" x14ac:dyDescent="0.15"/>
    <row r="33242" s="69" customFormat="1" x14ac:dyDescent="0.15"/>
    <row r="33243" s="69" customFormat="1" x14ac:dyDescent="0.15"/>
    <row r="33244" s="69" customFormat="1" x14ac:dyDescent="0.15"/>
    <row r="33245" s="69" customFormat="1" x14ac:dyDescent="0.15"/>
    <row r="33246" s="69" customFormat="1" x14ac:dyDescent="0.15"/>
    <row r="33247" s="69" customFormat="1" x14ac:dyDescent="0.15"/>
    <row r="33248" s="69" customFormat="1" x14ac:dyDescent="0.15"/>
    <row r="33249" s="69" customFormat="1" x14ac:dyDescent="0.15"/>
    <row r="33250" s="69" customFormat="1" x14ac:dyDescent="0.15"/>
    <row r="33251" s="69" customFormat="1" x14ac:dyDescent="0.15"/>
    <row r="33252" s="69" customFormat="1" x14ac:dyDescent="0.15"/>
    <row r="33253" s="69" customFormat="1" x14ac:dyDescent="0.15"/>
    <row r="33254" s="69" customFormat="1" x14ac:dyDescent="0.15"/>
    <row r="33255" s="69" customFormat="1" x14ac:dyDescent="0.15"/>
    <row r="33256" s="69" customFormat="1" x14ac:dyDescent="0.15"/>
    <row r="33257" s="69" customFormat="1" x14ac:dyDescent="0.15"/>
    <row r="33258" s="69" customFormat="1" x14ac:dyDescent="0.15"/>
    <row r="33259" s="69" customFormat="1" x14ac:dyDescent="0.15"/>
    <row r="33260" s="69" customFormat="1" x14ac:dyDescent="0.15"/>
    <row r="33261" s="69" customFormat="1" x14ac:dyDescent="0.15"/>
    <row r="33262" s="69" customFormat="1" x14ac:dyDescent="0.15"/>
    <row r="33263" s="69" customFormat="1" x14ac:dyDescent="0.15"/>
    <row r="33264" s="69" customFormat="1" x14ac:dyDescent="0.15"/>
    <row r="33265" s="69" customFormat="1" x14ac:dyDescent="0.15"/>
    <row r="33266" s="69" customFormat="1" x14ac:dyDescent="0.15"/>
    <row r="33267" s="69" customFormat="1" x14ac:dyDescent="0.15"/>
    <row r="33268" s="69" customFormat="1" x14ac:dyDescent="0.15"/>
    <row r="33269" s="69" customFormat="1" x14ac:dyDescent="0.15"/>
    <row r="33270" s="69" customFormat="1" x14ac:dyDescent="0.15"/>
    <row r="33271" s="69" customFormat="1" x14ac:dyDescent="0.15"/>
    <row r="33272" s="69" customFormat="1" x14ac:dyDescent="0.15"/>
    <row r="33273" s="69" customFormat="1" x14ac:dyDescent="0.15"/>
    <row r="33274" s="69" customFormat="1" x14ac:dyDescent="0.15"/>
    <row r="33275" s="69" customFormat="1" x14ac:dyDescent="0.15"/>
    <row r="33276" s="69" customFormat="1" x14ac:dyDescent="0.15"/>
    <row r="33277" s="69" customFormat="1" x14ac:dyDescent="0.15"/>
    <row r="33278" s="69" customFormat="1" x14ac:dyDescent="0.15"/>
    <row r="33279" s="69" customFormat="1" x14ac:dyDescent="0.15"/>
    <row r="33280" s="69" customFormat="1" x14ac:dyDescent="0.15"/>
    <row r="33281" s="69" customFormat="1" x14ac:dyDescent="0.15"/>
    <row r="33282" s="69" customFormat="1" x14ac:dyDescent="0.15"/>
    <row r="33283" s="69" customFormat="1" x14ac:dyDescent="0.15"/>
    <row r="33284" s="69" customFormat="1" x14ac:dyDescent="0.15"/>
    <row r="33285" s="69" customFormat="1" x14ac:dyDescent="0.15"/>
    <row r="33286" s="69" customFormat="1" x14ac:dyDescent="0.15"/>
    <row r="33287" s="69" customFormat="1" x14ac:dyDescent="0.15"/>
    <row r="33288" s="69" customFormat="1" x14ac:dyDescent="0.15"/>
    <row r="33289" s="69" customFormat="1" x14ac:dyDescent="0.15"/>
    <row r="33290" s="69" customFormat="1" x14ac:dyDescent="0.15"/>
    <row r="33291" s="69" customFormat="1" x14ac:dyDescent="0.15"/>
    <row r="33292" s="69" customFormat="1" x14ac:dyDescent="0.15"/>
    <row r="33293" s="69" customFormat="1" x14ac:dyDescent="0.15"/>
    <row r="33294" s="69" customFormat="1" x14ac:dyDescent="0.15"/>
    <row r="33295" s="69" customFormat="1" x14ac:dyDescent="0.15"/>
    <row r="33296" s="69" customFormat="1" x14ac:dyDescent="0.15"/>
    <row r="33297" s="69" customFormat="1" x14ac:dyDescent="0.15"/>
    <row r="33298" s="69" customFormat="1" x14ac:dyDescent="0.15"/>
    <row r="33299" s="69" customFormat="1" x14ac:dyDescent="0.15"/>
    <row r="33300" s="69" customFormat="1" x14ac:dyDescent="0.15"/>
    <row r="33301" s="69" customFormat="1" x14ac:dyDescent="0.15"/>
    <row r="33302" s="69" customFormat="1" x14ac:dyDescent="0.15"/>
    <row r="33303" s="69" customFormat="1" x14ac:dyDescent="0.15"/>
    <row r="33304" s="69" customFormat="1" x14ac:dyDescent="0.15"/>
    <row r="33305" s="69" customFormat="1" x14ac:dyDescent="0.15"/>
    <row r="33306" s="69" customFormat="1" x14ac:dyDescent="0.15"/>
    <row r="33307" s="69" customFormat="1" x14ac:dyDescent="0.15"/>
    <row r="33308" s="69" customFormat="1" x14ac:dyDescent="0.15"/>
    <row r="33309" s="69" customFormat="1" x14ac:dyDescent="0.15"/>
    <row r="33310" s="69" customFormat="1" x14ac:dyDescent="0.15"/>
    <row r="33311" s="69" customFormat="1" x14ac:dyDescent="0.15"/>
    <row r="33312" s="69" customFormat="1" x14ac:dyDescent="0.15"/>
    <row r="33313" s="69" customFormat="1" x14ac:dyDescent="0.15"/>
    <row r="33314" s="69" customFormat="1" x14ac:dyDescent="0.15"/>
    <row r="33315" s="69" customFormat="1" x14ac:dyDescent="0.15"/>
    <row r="33316" s="69" customFormat="1" x14ac:dyDescent="0.15"/>
    <row r="33317" s="69" customFormat="1" x14ac:dyDescent="0.15"/>
    <row r="33318" s="69" customFormat="1" x14ac:dyDescent="0.15"/>
    <row r="33319" s="69" customFormat="1" x14ac:dyDescent="0.15"/>
    <row r="33320" s="69" customFormat="1" x14ac:dyDescent="0.15"/>
    <row r="33321" s="69" customFormat="1" x14ac:dyDescent="0.15"/>
    <row r="33322" s="69" customFormat="1" x14ac:dyDescent="0.15"/>
    <row r="33323" s="69" customFormat="1" x14ac:dyDescent="0.15"/>
    <row r="33324" s="69" customFormat="1" x14ac:dyDescent="0.15"/>
    <row r="33325" s="69" customFormat="1" x14ac:dyDescent="0.15"/>
    <row r="33326" s="69" customFormat="1" x14ac:dyDescent="0.15"/>
    <row r="33327" s="69" customFormat="1" x14ac:dyDescent="0.15"/>
    <row r="33328" s="69" customFormat="1" x14ac:dyDescent="0.15"/>
    <row r="33329" s="69" customFormat="1" x14ac:dyDescent="0.15"/>
    <row r="33330" s="69" customFormat="1" x14ac:dyDescent="0.15"/>
    <row r="33331" s="69" customFormat="1" x14ac:dyDescent="0.15"/>
    <row r="33332" s="69" customFormat="1" x14ac:dyDescent="0.15"/>
    <row r="33333" s="69" customFormat="1" x14ac:dyDescent="0.15"/>
    <row r="33334" s="69" customFormat="1" x14ac:dyDescent="0.15"/>
    <row r="33335" s="69" customFormat="1" x14ac:dyDescent="0.15"/>
    <row r="33336" s="69" customFormat="1" x14ac:dyDescent="0.15"/>
    <row r="33337" s="69" customFormat="1" x14ac:dyDescent="0.15"/>
    <row r="33338" s="69" customFormat="1" x14ac:dyDescent="0.15"/>
    <row r="33339" s="69" customFormat="1" x14ac:dyDescent="0.15"/>
    <row r="33340" s="69" customFormat="1" x14ac:dyDescent="0.15"/>
    <row r="33341" s="69" customFormat="1" x14ac:dyDescent="0.15"/>
    <row r="33342" s="69" customFormat="1" x14ac:dyDescent="0.15"/>
    <row r="33343" s="69" customFormat="1" x14ac:dyDescent="0.15"/>
    <row r="33344" s="69" customFormat="1" x14ac:dyDescent="0.15"/>
    <row r="33345" s="69" customFormat="1" x14ac:dyDescent="0.15"/>
    <row r="33346" s="69" customFormat="1" x14ac:dyDescent="0.15"/>
    <row r="33347" s="69" customFormat="1" x14ac:dyDescent="0.15"/>
    <row r="33348" s="69" customFormat="1" x14ac:dyDescent="0.15"/>
    <row r="33349" s="69" customFormat="1" x14ac:dyDescent="0.15"/>
    <row r="33350" s="69" customFormat="1" x14ac:dyDescent="0.15"/>
    <row r="33351" s="69" customFormat="1" x14ac:dyDescent="0.15"/>
    <row r="33352" s="69" customFormat="1" x14ac:dyDescent="0.15"/>
    <row r="33353" s="69" customFormat="1" x14ac:dyDescent="0.15"/>
    <row r="33354" s="69" customFormat="1" x14ac:dyDescent="0.15"/>
    <row r="33355" s="69" customFormat="1" x14ac:dyDescent="0.15"/>
    <row r="33356" s="69" customFormat="1" x14ac:dyDescent="0.15"/>
    <row r="33357" s="69" customFormat="1" x14ac:dyDescent="0.15"/>
    <row r="33358" s="69" customFormat="1" x14ac:dyDescent="0.15"/>
    <row r="33359" s="69" customFormat="1" x14ac:dyDescent="0.15"/>
    <row r="33360" s="69" customFormat="1" x14ac:dyDescent="0.15"/>
    <row r="33361" s="69" customFormat="1" x14ac:dyDescent="0.15"/>
    <row r="33362" s="69" customFormat="1" x14ac:dyDescent="0.15"/>
    <row r="33363" s="69" customFormat="1" x14ac:dyDescent="0.15"/>
    <row r="33364" s="69" customFormat="1" x14ac:dyDescent="0.15"/>
    <row r="33365" s="69" customFormat="1" x14ac:dyDescent="0.15"/>
    <row r="33366" s="69" customFormat="1" x14ac:dyDescent="0.15"/>
    <row r="33367" s="69" customFormat="1" x14ac:dyDescent="0.15"/>
    <row r="33368" s="69" customFormat="1" x14ac:dyDescent="0.15"/>
    <row r="33369" s="69" customFormat="1" x14ac:dyDescent="0.15"/>
    <row r="33370" s="69" customFormat="1" x14ac:dyDescent="0.15"/>
    <row r="33371" s="69" customFormat="1" x14ac:dyDescent="0.15"/>
    <row r="33372" s="69" customFormat="1" x14ac:dyDescent="0.15"/>
    <row r="33373" s="69" customFormat="1" x14ac:dyDescent="0.15"/>
    <row r="33374" s="69" customFormat="1" x14ac:dyDescent="0.15"/>
    <row r="33375" s="69" customFormat="1" x14ac:dyDescent="0.15"/>
    <row r="33376" s="69" customFormat="1" x14ac:dyDescent="0.15"/>
    <row r="33377" s="69" customFormat="1" x14ac:dyDescent="0.15"/>
    <row r="33378" s="69" customFormat="1" x14ac:dyDescent="0.15"/>
    <row r="33379" s="69" customFormat="1" x14ac:dyDescent="0.15"/>
    <row r="33380" s="69" customFormat="1" x14ac:dyDescent="0.15"/>
    <row r="33381" s="69" customFormat="1" x14ac:dyDescent="0.15"/>
    <row r="33382" s="69" customFormat="1" x14ac:dyDescent="0.15"/>
    <row r="33383" s="69" customFormat="1" x14ac:dyDescent="0.15"/>
    <row r="33384" s="69" customFormat="1" x14ac:dyDescent="0.15"/>
    <row r="33385" s="69" customFormat="1" x14ac:dyDescent="0.15"/>
    <row r="33386" s="69" customFormat="1" x14ac:dyDescent="0.15"/>
    <row r="33387" s="69" customFormat="1" x14ac:dyDescent="0.15"/>
    <row r="33388" s="69" customFormat="1" x14ac:dyDescent="0.15"/>
    <row r="33389" s="69" customFormat="1" x14ac:dyDescent="0.15"/>
    <row r="33390" s="69" customFormat="1" x14ac:dyDescent="0.15"/>
    <row r="33391" s="69" customFormat="1" x14ac:dyDescent="0.15"/>
    <row r="33392" s="69" customFormat="1" x14ac:dyDescent="0.15"/>
    <row r="33393" s="69" customFormat="1" x14ac:dyDescent="0.15"/>
    <row r="33394" s="69" customFormat="1" x14ac:dyDescent="0.15"/>
    <row r="33395" s="69" customFormat="1" x14ac:dyDescent="0.15"/>
    <row r="33396" s="69" customFormat="1" x14ac:dyDescent="0.15"/>
    <row r="33397" s="69" customFormat="1" x14ac:dyDescent="0.15"/>
    <row r="33398" s="69" customFormat="1" x14ac:dyDescent="0.15"/>
    <row r="33399" s="69" customFormat="1" x14ac:dyDescent="0.15"/>
    <row r="33400" s="69" customFormat="1" x14ac:dyDescent="0.15"/>
    <row r="33401" s="69" customFormat="1" x14ac:dyDescent="0.15"/>
    <row r="33402" s="69" customFormat="1" x14ac:dyDescent="0.15"/>
    <row r="33403" s="69" customFormat="1" x14ac:dyDescent="0.15"/>
    <row r="33404" s="69" customFormat="1" x14ac:dyDescent="0.15"/>
    <row r="33405" s="69" customFormat="1" x14ac:dyDescent="0.15"/>
    <row r="33406" s="69" customFormat="1" x14ac:dyDescent="0.15"/>
    <row r="33407" s="69" customFormat="1" x14ac:dyDescent="0.15"/>
    <row r="33408" s="69" customFormat="1" x14ac:dyDescent="0.15"/>
    <row r="33409" s="69" customFormat="1" x14ac:dyDescent="0.15"/>
    <row r="33410" s="69" customFormat="1" x14ac:dyDescent="0.15"/>
    <row r="33411" s="69" customFormat="1" x14ac:dyDescent="0.15"/>
    <row r="33412" s="69" customFormat="1" x14ac:dyDescent="0.15"/>
    <row r="33413" s="69" customFormat="1" x14ac:dyDescent="0.15"/>
    <row r="33414" s="69" customFormat="1" x14ac:dyDescent="0.15"/>
    <row r="33415" s="69" customFormat="1" x14ac:dyDescent="0.15"/>
    <row r="33416" s="69" customFormat="1" x14ac:dyDescent="0.15"/>
    <row r="33417" s="69" customFormat="1" x14ac:dyDescent="0.15"/>
    <row r="33418" s="69" customFormat="1" x14ac:dyDescent="0.15"/>
    <row r="33419" s="69" customFormat="1" x14ac:dyDescent="0.15"/>
    <row r="33420" s="69" customFormat="1" x14ac:dyDescent="0.15"/>
    <row r="33421" s="69" customFormat="1" x14ac:dyDescent="0.15"/>
    <row r="33422" s="69" customFormat="1" x14ac:dyDescent="0.15"/>
    <row r="33423" s="69" customFormat="1" x14ac:dyDescent="0.15"/>
    <row r="33424" s="69" customFormat="1" x14ac:dyDescent="0.15"/>
    <row r="33425" s="69" customFormat="1" x14ac:dyDescent="0.15"/>
    <row r="33426" s="69" customFormat="1" x14ac:dyDescent="0.15"/>
    <row r="33427" s="69" customFormat="1" x14ac:dyDescent="0.15"/>
    <row r="33428" s="69" customFormat="1" x14ac:dyDescent="0.15"/>
    <row r="33429" s="69" customFormat="1" x14ac:dyDescent="0.15"/>
    <row r="33430" s="69" customFormat="1" x14ac:dyDescent="0.15"/>
    <row r="33431" s="69" customFormat="1" x14ac:dyDescent="0.15"/>
    <row r="33432" s="69" customFormat="1" x14ac:dyDescent="0.15"/>
    <row r="33433" s="69" customFormat="1" x14ac:dyDescent="0.15"/>
    <row r="33434" s="69" customFormat="1" x14ac:dyDescent="0.15"/>
    <row r="33435" s="69" customFormat="1" x14ac:dyDescent="0.15"/>
    <row r="33436" s="69" customFormat="1" x14ac:dyDescent="0.15"/>
    <row r="33437" s="69" customFormat="1" x14ac:dyDescent="0.15"/>
    <row r="33438" s="69" customFormat="1" x14ac:dyDescent="0.15"/>
    <row r="33439" s="69" customFormat="1" x14ac:dyDescent="0.15"/>
    <row r="33440" s="69" customFormat="1" x14ac:dyDescent="0.15"/>
    <row r="33441" s="69" customFormat="1" x14ac:dyDescent="0.15"/>
    <row r="33442" s="69" customFormat="1" x14ac:dyDescent="0.15"/>
    <row r="33443" s="69" customFormat="1" x14ac:dyDescent="0.15"/>
    <row r="33444" s="69" customFormat="1" x14ac:dyDescent="0.15"/>
    <row r="33445" s="69" customFormat="1" x14ac:dyDescent="0.15"/>
    <row r="33446" s="69" customFormat="1" x14ac:dyDescent="0.15"/>
    <row r="33447" s="69" customFormat="1" x14ac:dyDescent="0.15"/>
    <row r="33448" s="69" customFormat="1" x14ac:dyDescent="0.15"/>
    <row r="33449" s="69" customFormat="1" x14ac:dyDescent="0.15"/>
    <row r="33450" s="69" customFormat="1" x14ac:dyDescent="0.15"/>
    <row r="33451" s="69" customFormat="1" x14ac:dyDescent="0.15"/>
    <row r="33452" s="69" customFormat="1" x14ac:dyDescent="0.15"/>
    <row r="33453" s="69" customFormat="1" x14ac:dyDescent="0.15"/>
    <row r="33454" s="69" customFormat="1" x14ac:dyDescent="0.15"/>
    <row r="33455" s="69" customFormat="1" x14ac:dyDescent="0.15"/>
    <row r="33456" s="69" customFormat="1" x14ac:dyDescent="0.15"/>
    <row r="33457" s="69" customFormat="1" x14ac:dyDescent="0.15"/>
    <row r="33458" s="69" customFormat="1" x14ac:dyDescent="0.15"/>
    <row r="33459" s="69" customFormat="1" x14ac:dyDescent="0.15"/>
    <row r="33460" s="69" customFormat="1" x14ac:dyDescent="0.15"/>
    <row r="33461" s="69" customFormat="1" x14ac:dyDescent="0.15"/>
    <row r="33462" s="69" customFormat="1" x14ac:dyDescent="0.15"/>
    <row r="33463" s="69" customFormat="1" x14ac:dyDescent="0.15"/>
    <row r="33464" s="69" customFormat="1" x14ac:dyDescent="0.15"/>
    <row r="33465" s="69" customFormat="1" x14ac:dyDescent="0.15"/>
    <row r="33466" s="69" customFormat="1" x14ac:dyDescent="0.15"/>
    <row r="33467" s="69" customFormat="1" x14ac:dyDescent="0.15"/>
    <row r="33468" s="69" customFormat="1" x14ac:dyDescent="0.15"/>
    <row r="33469" s="69" customFormat="1" x14ac:dyDescent="0.15"/>
    <row r="33470" s="69" customFormat="1" x14ac:dyDescent="0.15"/>
    <row r="33471" s="69" customFormat="1" x14ac:dyDescent="0.15"/>
    <row r="33472" s="69" customFormat="1" x14ac:dyDescent="0.15"/>
    <row r="33473" s="69" customFormat="1" x14ac:dyDescent="0.15"/>
    <row r="33474" s="69" customFormat="1" x14ac:dyDescent="0.15"/>
    <row r="33475" s="69" customFormat="1" x14ac:dyDescent="0.15"/>
    <row r="33476" s="69" customFormat="1" x14ac:dyDescent="0.15"/>
    <row r="33477" s="69" customFormat="1" x14ac:dyDescent="0.15"/>
    <row r="33478" s="69" customFormat="1" x14ac:dyDescent="0.15"/>
    <row r="33479" s="69" customFormat="1" x14ac:dyDescent="0.15"/>
    <row r="33480" s="69" customFormat="1" x14ac:dyDescent="0.15"/>
    <row r="33481" s="69" customFormat="1" x14ac:dyDescent="0.15"/>
    <row r="33482" s="69" customFormat="1" x14ac:dyDescent="0.15"/>
    <row r="33483" s="69" customFormat="1" x14ac:dyDescent="0.15"/>
    <row r="33484" s="69" customFormat="1" x14ac:dyDescent="0.15"/>
    <row r="33485" s="69" customFormat="1" x14ac:dyDescent="0.15"/>
    <row r="33486" s="69" customFormat="1" x14ac:dyDescent="0.15"/>
    <row r="33487" s="69" customFormat="1" x14ac:dyDescent="0.15"/>
    <row r="33488" s="69" customFormat="1" x14ac:dyDescent="0.15"/>
    <row r="33489" s="69" customFormat="1" x14ac:dyDescent="0.15"/>
    <row r="33490" s="69" customFormat="1" x14ac:dyDescent="0.15"/>
    <row r="33491" s="69" customFormat="1" x14ac:dyDescent="0.15"/>
    <row r="33492" s="69" customFormat="1" x14ac:dyDescent="0.15"/>
    <row r="33493" s="69" customFormat="1" x14ac:dyDescent="0.15"/>
    <row r="33494" s="69" customFormat="1" x14ac:dyDescent="0.15"/>
    <row r="33495" s="69" customFormat="1" x14ac:dyDescent="0.15"/>
    <row r="33496" s="69" customFormat="1" x14ac:dyDescent="0.15"/>
    <row r="33497" s="69" customFormat="1" x14ac:dyDescent="0.15"/>
    <row r="33498" s="69" customFormat="1" x14ac:dyDescent="0.15"/>
    <row r="33499" s="69" customFormat="1" x14ac:dyDescent="0.15"/>
    <row r="33500" s="69" customFormat="1" x14ac:dyDescent="0.15"/>
    <row r="33501" s="69" customFormat="1" x14ac:dyDescent="0.15"/>
    <row r="33502" s="69" customFormat="1" x14ac:dyDescent="0.15"/>
    <row r="33503" s="69" customFormat="1" x14ac:dyDescent="0.15"/>
    <row r="33504" s="69" customFormat="1" x14ac:dyDescent="0.15"/>
    <row r="33505" s="69" customFormat="1" x14ac:dyDescent="0.15"/>
    <row r="33506" s="69" customFormat="1" x14ac:dyDescent="0.15"/>
    <row r="33507" s="69" customFormat="1" x14ac:dyDescent="0.15"/>
    <row r="33508" s="69" customFormat="1" x14ac:dyDescent="0.15"/>
    <row r="33509" s="69" customFormat="1" x14ac:dyDescent="0.15"/>
    <row r="33510" s="69" customFormat="1" x14ac:dyDescent="0.15"/>
    <row r="33511" s="69" customFormat="1" x14ac:dyDescent="0.15"/>
    <row r="33512" s="69" customFormat="1" x14ac:dyDescent="0.15"/>
    <row r="33513" s="69" customFormat="1" x14ac:dyDescent="0.15"/>
    <row r="33514" s="69" customFormat="1" x14ac:dyDescent="0.15"/>
    <row r="33515" s="69" customFormat="1" x14ac:dyDescent="0.15"/>
    <row r="33516" s="69" customFormat="1" x14ac:dyDescent="0.15"/>
    <row r="33517" s="69" customFormat="1" x14ac:dyDescent="0.15"/>
    <row r="33518" s="69" customFormat="1" x14ac:dyDescent="0.15"/>
    <row r="33519" s="69" customFormat="1" x14ac:dyDescent="0.15"/>
    <row r="33520" s="69" customFormat="1" x14ac:dyDescent="0.15"/>
    <row r="33521" s="69" customFormat="1" x14ac:dyDescent="0.15"/>
    <row r="33522" s="69" customFormat="1" x14ac:dyDescent="0.15"/>
    <row r="33523" s="69" customFormat="1" x14ac:dyDescent="0.15"/>
    <row r="33524" s="69" customFormat="1" x14ac:dyDescent="0.15"/>
    <row r="33525" s="69" customFormat="1" x14ac:dyDescent="0.15"/>
    <row r="33526" s="69" customFormat="1" x14ac:dyDescent="0.15"/>
    <row r="33527" s="69" customFormat="1" x14ac:dyDescent="0.15"/>
    <row r="33528" s="69" customFormat="1" x14ac:dyDescent="0.15"/>
    <row r="33529" s="69" customFormat="1" x14ac:dyDescent="0.15"/>
    <row r="33530" s="69" customFormat="1" x14ac:dyDescent="0.15"/>
    <row r="33531" s="69" customFormat="1" x14ac:dyDescent="0.15"/>
    <row r="33532" s="69" customFormat="1" x14ac:dyDescent="0.15"/>
    <row r="33533" s="69" customFormat="1" x14ac:dyDescent="0.15"/>
    <row r="33534" s="69" customFormat="1" x14ac:dyDescent="0.15"/>
    <row r="33535" s="69" customFormat="1" x14ac:dyDescent="0.15"/>
    <row r="33536" s="69" customFormat="1" x14ac:dyDescent="0.15"/>
    <row r="33537" s="69" customFormat="1" x14ac:dyDescent="0.15"/>
    <row r="33538" s="69" customFormat="1" x14ac:dyDescent="0.15"/>
    <row r="33539" s="69" customFormat="1" x14ac:dyDescent="0.15"/>
    <row r="33540" s="69" customFormat="1" x14ac:dyDescent="0.15"/>
    <row r="33541" s="69" customFormat="1" x14ac:dyDescent="0.15"/>
    <row r="33542" s="69" customFormat="1" x14ac:dyDescent="0.15"/>
    <row r="33543" s="69" customFormat="1" x14ac:dyDescent="0.15"/>
    <row r="33544" s="69" customFormat="1" x14ac:dyDescent="0.15"/>
    <row r="33545" s="69" customFormat="1" x14ac:dyDescent="0.15"/>
    <row r="33546" s="69" customFormat="1" x14ac:dyDescent="0.15"/>
    <row r="33547" s="69" customFormat="1" x14ac:dyDescent="0.15"/>
    <row r="33548" s="69" customFormat="1" x14ac:dyDescent="0.15"/>
    <row r="33549" s="69" customFormat="1" x14ac:dyDescent="0.15"/>
    <row r="33550" s="69" customFormat="1" x14ac:dyDescent="0.15"/>
    <row r="33551" s="69" customFormat="1" x14ac:dyDescent="0.15"/>
    <row r="33552" s="69" customFormat="1" x14ac:dyDescent="0.15"/>
    <row r="33553" s="69" customFormat="1" x14ac:dyDescent="0.15"/>
    <row r="33554" s="69" customFormat="1" x14ac:dyDescent="0.15"/>
    <row r="33555" s="69" customFormat="1" x14ac:dyDescent="0.15"/>
    <row r="33556" s="69" customFormat="1" x14ac:dyDescent="0.15"/>
    <row r="33557" s="69" customFormat="1" x14ac:dyDescent="0.15"/>
    <row r="33558" s="69" customFormat="1" x14ac:dyDescent="0.15"/>
    <row r="33559" s="69" customFormat="1" x14ac:dyDescent="0.15"/>
    <row r="33560" s="69" customFormat="1" x14ac:dyDescent="0.15"/>
    <row r="33561" s="69" customFormat="1" x14ac:dyDescent="0.15"/>
    <row r="33562" s="69" customFormat="1" x14ac:dyDescent="0.15"/>
    <row r="33563" s="69" customFormat="1" x14ac:dyDescent="0.15"/>
    <row r="33564" s="69" customFormat="1" x14ac:dyDescent="0.15"/>
    <row r="33565" s="69" customFormat="1" x14ac:dyDescent="0.15"/>
    <row r="33566" s="69" customFormat="1" x14ac:dyDescent="0.15"/>
    <row r="33567" s="69" customFormat="1" x14ac:dyDescent="0.15"/>
    <row r="33568" s="69" customFormat="1" x14ac:dyDescent="0.15"/>
    <row r="33569" s="69" customFormat="1" x14ac:dyDescent="0.15"/>
    <row r="33570" s="69" customFormat="1" x14ac:dyDescent="0.15"/>
    <row r="33571" s="69" customFormat="1" x14ac:dyDescent="0.15"/>
    <row r="33572" s="69" customFormat="1" x14ac:dyDescent="0.15"/>
    <row r="33573" s="69" customFormat="1" x14ac:dyDescent="0.15"/>
    <row r="33574" s="69" customFormat="1" x14ac:dyDescent="0.15"/>
    <row r="33575" s="69" customFormat="1" x14ac:dyDescent="0.15"/>
    <row r="33576" s="69" customFormat="1" x14ac:dyDescent="0.15"/>
    <row r="33577" s="69" customFormat="1" x14ac:dyDescent="0.15"/>
    <row r="33578" s="69" customFormat="1" x14ac:dyDescent="0.15"/>
    <row r="33579" s="69" customFormat="1" x14ac:dyDescent="0.15"/>
    <row r="33580" s="69" customFormat="1" x14ac:dyDescent="0.15"/>
    <row r="33581" s="69" customFormat="1" x14ac:dyDescent="0.15"/>
    <row r="33582" s="69" customFormat="1" x14ac:dyDescent="0.15"/>
    <row r="33583" s="69" customFormat="1" x14ac:dyDescent="0.15"/>
    <row r="33584" s="69" customFormat="1" x14ac:dyDescent="0.15"/>
    <row r="33585" s="69" customFormat="1" x14ac:dyDescent="0.15"/>
    <row r="33586" s="69" customFormat="1" x14ac:dyDescent="0.15"/>
    <row r="33587" s="69" customFormat="1" x14ac:dyDescent="0.15"/>
    <row r="33588" s="69" customFormat="1" x14ac:dyDescent="0.15"/>
    <row r="33589" s="69" customFormat="1" x14ac:dyDescent="0.15"/>
    <row r="33590" s="69" customFormat="1" x14ac:dyDescent="0.15"/>
    <row r="33591" s="69" customFormat="1" x14ac:dyDescent="0.15"/>
    <row r="33592" s="69" customFormat="1" x14ac:dyDescent="0.15"/>
    <row r="33593" s="69" customFormat="1" x14ac:dyDescent="0.15"/>
    <row r="33594" s="69" customFormat="1" x14ac:dyDescent="0.15"/>
    <row r="33595" s="69" customFormat="1" x14ac:dyDescent="0.15"/>
    <row r="33596" s="69" customFormat="1" x14ac:dyDescent="0.15"/>
    <row r="33597" s="69" customFormat="1" x14ac:dyDescent="0.15"/>
    <row r="33598" s="69" customFormat="1" x14ac:dyDescent="0.15"/>
    <row r="33599" s="69" customFormat="1" x14ac:dyDescent="0.15"/>
    <row r="33600" s="69" customFormat="1" x14ac:dyDescent="0.15"/>
    <row r="33601" s="69" customFormat="1" x14ac:dyDescent="0.15"/>
    <row r="33602" s="69" customFormat="1" x14ac:dyDescent="0.15"/>
    <row r="33603" s="69" customFormat="1" x14ac:dyDescent="0.15"/>
    <row r="33604" s="69" customFormat="1" x14ac:dyDescent="0.15"/>
    <row r="33605" s="69" customFormat="1" x14ac:dyDescent="0.15"/>
    <row r="33606" s="69" customFormat="1" x14ac:dyDescent="0.15"/>
    <row r="33607" s="69" customFormat="1" x14ac:dyDescent="0.15"/>
    <row r="33608" s="69" customFormat="1" x14ac:dyDescent="0.15"/>
    <row r="33609" s="69" customFormat="1" x14ac:dyDescent="0.15"/>
    <row r="33610" s="69" customFormat="1" x14ac:dyDescent="0.15"/>
    <row r="33611" s="69" customFormat="1" x14ac:dyDescent="0.15"/>
    <row r="33612" s="69" customFormat="1" x14ac:dyDescent="0.15"/>
    <row r="33613" s="69" customFormat="1" x14ac:dyDescent="0.15"/>
    <row r="33614" s="69" customFormat="1" x14ac:dyDescent="0.15"/>
    <row r="33615" s="69" customFormat="1" x14ac:dyDescent="0.15"/>
    <row r="33616" s="69" customFormat="1" x14ac:dyDescent="0.15"/>
    <row r="33617" s="69" customFormat="1" x14ac:dyDescent="0.15"/>
    <row r="33618" s="69" customFormat="1" x14ac:dyDescent="0.15"/>
    <row r="33619" s="69" customFormat="1" x14ac:dyDescent="0.15"/>
    <row r="33620" s="69" customFormat="1" x14ac:dyDescent="0.15"/>
    <row r="33621" s="69" customFormat="1" x14ac:dyDescent="0.15"/>
    <row r="33622" s="69" customFormat="1" x14ac:dyDescent="0.15"/>
    <row r="33623" s="69" customFormat="1" x14ac:dyDescent="0.15"/>
    <row r="33624" s="69" customFormat="1" x14ac:dyDescent="0.15"/>
    <row r="33625" s="69" customFormat="1" x14ac:dyDescent="0.15"/>
    <row r="33626" s="69" customFormat="1" x14ac:dyDescent="0.15"/>
    <row r="33627" s="69" customFormat="1" x14ac:dyDescent="0.15"/>
    <row r="33628" s="69" customFormat="1" x14ac:dyDescent="0.15"/>
    <row r="33629" s="69" customFormat="1" x14ac:dyDescent="0.15"/>
    <row r="33630" s="69" customFormat="1" x14ac:dyDescent="0.15"/>
    <row r="33631" s="69" customFormat="1" x14ac:dyDescent="0.15"/>
    <row r="33632" s="69" customFormat="1" x14ac:dyDescent="0.15"/>
    <row r="33633" s="69" customFormat="1" x14ac:dyDescent="0.15"/>
    <row r="33634" s="69" customFormat="1" x14ac:dyDescent="0.15"/>
    <row r="33635" s="69" customFormat="1" x14ac:dyDescent="0.15"/>
    <row r="33636" s="69" customFormat="1" x14ac:dyDescent="0.15"/>
    <row r="33637" s="69" customFormat="1" x14ac:dyDescent="0.15"/>
    <row r="33638" s="69" customFormat="1" x14ac:dyDescent="0.15"/>
    <row r="33639" s="69" customFormat="1" x14ac:dyDescent="0.15"/>
    <row r="33640" s="69" customFormat="1" x14ac:dyDescent="0.15"/>
    <row r="33641" s="69" customFormat="1" x14ac:dyDescent="0.15"/>
    <row r="33642" s="69" customFormat="1" x14ac:dyDescent="0.15"/>
    <row r="33643" s="69" customFormat="1" x14ac:dyDescent="0.15"/>
    <row r="33644" s="69" customFormat="1" x14ac:dyDescent="0.15"/>
    <row r="33645" s="69" customFormat="1" x14ac:dyDescent="0.15"/>
    <row r="33646" s="69" customFormat="1" x14ac:dyDescent="0.15"/>
    <row r="33647" s="69" customFormat="1" x14ac:dyDescent="0.15"/>
    <row r="33648" s="69" customFormat="1" x14ac:dyDescent="0.15"/>
    <row r="33649" s="69" customFormat="1" x14ac:dyDescent="0.15"/>
    <row r="33650" s="69" customFormat="1" x14ac:dyDescent="0.15"/>
    <row r="33651" s="69" customFormat="1" x14ac:dyDescent="0.15"/>
    <row r="33652" s="69" customFormat="1" x14ac:dyDescent="0.15"/>
    <row r="33653" s="69" customFormat="1" x14ac:dyDescent="0.15"/>
    <row r="33654" s="69" customFormat="1" x14ac:dyDescent="0.15"/>
    <row r="33655" s="69" customFormat="1" x14ac:dyDescent="0.15"/>
    <row r="33656" s="69" customFormat="1" x14ac:dyDescent="0.15"/>
    <row r="33657" s="69" customFormat="1" x14ac:dyDescent="0.15"/>
    <row r="33658" s="69" customFormat="1" x14ac:dyDescent="0.15"/>
    <row r="33659" s="69" customFormat="1" x14ac:dyDescent="0.15"/>
    <row r="33660" s="69" customFormat="1" x14ac:dyDescent="0.15"/>
    <row r="33661" s="69" customFormat="1" x14ac:dyDescent="0.15"/>
    <row r="33662" s="69" customFormat="1" x14ac:dyDescent="0.15"/>
    <row r="33663" s="69" customFormat="1" x14ac:dyDescent="0.15"/>
    <row r="33664" s="69" customFormat="1" x14ac:dyDescent="0.15"/>
    <row r="33665" s="69" customFormat="1" x14ac:dyDescent="0.15"/>
    <row r="33666" s="69" customFormat="1" x14ac:dyDescent="0.15"/>
    <row r="33667" s="69" customFormat="1" x14ac:dyDescent="0.15"/>
    <row r="33668" s="69" customFormat="1" x14ac:dyDescent="0.15"/>
    <row r="33669" s="69" customFormat="1" x14ac:dyDescent="0.15"/>
    <row r="33670" s="69" customFormat="1" x14ac:dyDescent="0.15"/>
    <row r="33671" s="69" customFormat="1" x14ac:dyDescent="0.15"/>
    <row r="33672" s="69" customFormat="1" x14ac:dyDescent="0.15"/>
    <row r="33673" s="69" customFormat="1" x14ac:dyDescent="0.15"/>
    <row r="33674" s="69" customFormat="1" x14ac:dyDescent="0.15"/>
    <row r="33675" s="69" customFormat="1" x14ac:dyDescent="0.15"/>
    <row r="33676" s="69" customFormat="1" x14ac:dyDescent="0.15"/>
    <row r="33677" s="69" customFormat="1" x14ac:dyDescent="0.15"/>
    <row r="33678" s="69" customFormat="1" x14ac:dyDescent="0.15"/>
    <row r="33679" s="69" customFormat="1" x14ac:dyDescent="0.15"/>
    <row r="33680" s="69" customFormat="1" x14ac:dyDescent="0.15"/>
    <row r="33681" s="69" customFormat="1" x14ac:dyDescent="0.15"/>
    <row r="33682" s="69" customFormat="1" x14ac:dyDescent="0.15"/>
    <row r="33683" s="69" customFormat="1" x14ac:dyDescent="0.15"/>
    <row r="33684" s="69" customFormat="1" x14ac:dyDescent="0.15"/>
    <row r="33685" s="69" customFormat="1" x14ac:dyDescent="0.15"/>
    <row r="33686" s="69" customFormat="1" x14ac:dyDescent="0.15"/>
    <row r="33687" s="69" customFormat="1" x14ac:dyDescent="0.15"/>
    <row r="33688" s="69" customFormat="1" x14ac:dyDescent="0.15"/>
    <row r="33689" s="69" customFormat="1" x14ac:dyDescent="0.15"/>
    <row r="33690" s="69" customFormat="1" x14ac:dyDescent="0.15"/>
    <row r="33691" s="69" customFormat="1" x14ac:dyDescent="0.15"/>
    <row r="33692" s="69" customFormat="1" x14ac:dyDescent="0.15"/>
    <row r="33693" s="69" customFormat="1" x14ac:dyDescent="0.15"/>
    <row r="33694" s="69" customFormat="1" x14ac:dyDescent="0.15"/>
    <row r="33695" s="69" customFormat="1" x14ac:dyDescent="0.15"/>
    <row r="33696" s="69" customFormat="1" x14ac:dyDescent="0.15"/>
    <row r="33697" s="69" customFormat="1" x14ac:dyDescent="0.15"/>
    <row r="33698" s="69" customFormat="1" x14ac:dyDescent="0.15"/>
    <row r="33699" s="69" customFormat="1" x14ac:dyDescent="0.15"/>
    <row r="33700" s="69" customFormat="1" x14ac:dyDescent="0.15"/>
    <row r="33701" s="69" customFormat="1" x14ac:dyDescent="0.15"/>
    <row r="33702" s="69" customFormat="1" x14ac:dyDescent="0.15"/>
    <row r="33703" s="69" customFormat="1" x14ac:dyDescent="0.15"/>
    <row r="33704" s="69" customFormat="1" x14ac:dyDescent="0.15"/>
    <row r="33705" s="69" customFormat="1" x14ac:dyDescent="0.15"/>
    <row r="33706" s="69" customFormat="1" x14ac:dyDescent="0.15"/>
    <row r="33707" s="69" customFormat="1" x14ac:dyDescent="0.15"/>
    <row r="33708" s="69" customFormat="1" x14ac:dyDescent="0.15"/>
    <row r="33709" s="69" customFormat="1" x14ac:dyDescent="0.15"/>
    <row r="33710" s="69" customFormat="1" x14ac:dyDescent="0.15"/>
    <row r="33711" s="69" customFormat="1" x14ac:dyDescent="0.15"/>
    <row r="33712" s="69" customFormat="1" x14ac:dyDescent="0.15"/>
    <row r="33713" s="69" customFormat="1" x14ac:dyDescent="0.15"/>
    <row r="33714" s="69" customFormat="1" x14ac:dyDescent="0.15"/>
    <row r="33715" s="69" customFormat="1" x14ac:dyDescent="0.15"/>
    <row r="33716" s="69" customFormat="1" x14ac:dyDescent="0.15"/>
    <row r="33717" s="69" customFormat="1" x14ac:dyDescent="0.15"/>
    <row r="33718" s="69" customFormat="1" x14ac:dyDescent="0.15"/>
    <row r="33719" s="69" customFormat="1" x14ac:dyDescent="0.15"/>
    <row r="33720" s="69" customFormat="1" x14ac:dyDescent="0.15"/>
    <row r="33721" s="69" customFormat="1" x14ac:dyDescent="0.15"/>
    <row r="33722" s="69" customFormat="1" x14ac:dyDescent="0.15"/>
    <row r="33723" s="69" customFormat="1" x14ac:dyDescent="0.15"/>
    <row r="33724" s="69" customFormat="1" x14ac:dyDescent="0.15"/>
    <row r="33725" s="69" customFormat="1" x14ac:dyDescent="0.15"/>
    <row r="33726" s="69" customFormat="1" x14ac:dyDescent="0.15"/>
    <row r="33727" s="69" customFormat="1" x14ac:dyDescent="0.15"/>
    <row r="33728" s="69" customFormat="1" x14ac:dyDescent="0.15"/>
    <row r="33729" s="69" customFormat="1" x14ac:dyDescent="0.15"/>
    <row r="33730" s="69" customFormat="1" x14ac:dyDescent="0.15"/>
    <row r="33731" s="69" customFormat="1" x14ac:dyDescent="0.15"/>
    <row r="33732" s="69" customFormat="1" x14ac:dyDescent="0.15"/>
    <row r="33733" s="69" customFormat="1" x14ac:dyDescent="0.15"/>
    <row r="33734" s="69" customFormat="1" x14ac:dyDescent="0.15"/>
    <row r="33735" s="69" customFormat="1" x14ac:dyDescent="0.15"/>
    <row r="33736" s="69" customFormat="1" x14ac:dyDescent="0.15"/>
    <row r="33737" s="69" customFormat="1" x14ac:dyDescent="0.15"/>
    <row r="33738" s="69" customFormat="1" x14ac:dyDescent="0.15"/>
    <row r="33739" s="69" customFormat="1" x14ac:dyDescent="0.15"/>
    <row r="33740" s="69" customFormat="1" x14ac:dyDescent="0.15"/>
    <row r="33741" s="69" customFormat="1" x14ac:dyDescent="0.15"/>
    <row r="33742" s="69" customFormat="1" x14ac:dyDescent="0.15"/>
    <row r="33743" s="69" customFormat="1" x14ac:dyDescent="0.15"/>
    <row r="33744" s="69" customFormat="1" x14ac:dyDescent="0.15"/>
    <row r="33745" s="69" customFormat="1" x14ac:dyDescent="0.15"/>
    <row r="33746" s="69" customFormat="1" x14ac:dyDescent="0.15"/>
    <row r="33747" s="69" customFormat="1" x14ac:dyDescent="0.15"/>
    <row r="33748" s="69" customFormat="1" x14ac:dyDescent="0.15"/>
    <row r="33749" s="69" customFormat="1" x14ac:dyDescent="0.15"/>
    <row r="33750" s="69" customFormat="1" x14ac:dyDescent="0.15"/>
    <row r="33751" s="69" customFormat="1" x14ac:dyDescent="0.15"/>
    <row r="33752" s="69" customFormat="1" x14ac:dyDescent="0.15"/>
    <row r="33753" s="69" customFormat="1" x14ac:dyDescent="0.15"/>
    <row r="33754" s="69" customFormat="1" x14ac:dyDescent="0.15"/>
    <row r="33755" s="69" customFormat="1" x14ac:dyDescent="0.15"/>
    <row r="33756" s="69" customFormat="1" x14ac:dyDescent="0.15"/>
    <row r="33757" s="69" customFormat="1" x14ac:dyDescent="0.15"/>
    <row r="33758" s="69" customFormat="1" x14ac:dyDescent="0.15"/>
    <row r="33759" s="69" customFormat="1" x14ac:dyDescent="0.15"/>
    <row r="33760" s="69" customFormat="1" x14ac:dyDescent="0.15"/>
    <row r="33761" s="69" customFormat="1" x14ac:dyDescent="0.15"/>
    <row r="33762" s="69" customFormat="1" x14ac:dyDescent="0.15"/>
    <row r="33763" s="69" customFormat="1" x14ac:dyDescent="0.15"/>
    <row r="33764" s="69" customFormat="1" x14ac:dyDescent="0.15"/>
    <row r="33765" s="69" customFormat="1" x14ac:dyDescent="0.15"/>
    <row r="33766" s="69" customFormat="1" x14ac:dyDescent="0.15"/>
    <row r="33767" s="69" customFormat="1" x14ac:dyDescent="0.15"/>
    <row r="33768" s="69" customFormat="1" x14ac:dyDescent="0.15"/>
    <row r="33769" s="69" customFormat="1" x14ac:dyDescent="0.15"/>
    <row r="33770" s="69" customFormat="1" x14ac:dyDescent="0.15"/>
    <row r="33771" s="69" customFormat="1" x14ac:dyDescent="0.15"/>
    <row r="33772" s="69" customFormat="1" x14ac:dyDescent="0.15"/>
    <row r="33773" s="69" customFormat="1" x14ac:dyDescent="0.15"/>
    <row r="33774" s="69" customFormat="1" x14ac:dyDescent="0.15"/>
    <row r="33775" s="69" customFormat="1" x14ac:dyDescent="0.15"/>
    <row r="33776" s="69" customFormat="1" x14ac:dyDescent="0.15"/>
    <row r="33777" s="69" customFormat="1" x14ac:dyDescent="0.15"/>
    <row r="33778" s="69" customFormat="1" x14ac:dyDescent="0.15"/>
    <row r="33779" s="69" customFormat="1" x14ac:dyDescent="0.15"/>
    <row r="33780" s="69" customFormat="1" x14ac:dyDescent="0.15"/>
    <row r="33781" s="69" customFormat="1" x14ac:dyDescent="0.15"/>
    <row r="33782" s="69" customFormat="1" x14ac:dyDescent="0.15"/>
    <row r="33783" s="69" customFormat="1" x14ac:dyDescent="0.15"/>
    <row r="33784" s="69" customFormat="1" x14ac:dyDescent="0.15"/>
    <row r="33785" s="69" customFormat="1" x14ac:dyDescent="0.15"/>
    <row r="33786" s="69" customFormat="1" x14ac:dyDescent="0.15"/>
    <row r="33787" s="69" customFormat="1" x14ac:dyDescent="0.15"/>
    <row r="33788" s="69" customFormat="1" x14ac:dyDescent="0.15"/>
    <row r="33789" s="69" customFormat="1" x14ac:dyDescent="0.15"/>
    <row r="33790" s="69" customFormat="1" x14ac:dyDescent="0.15"/>
    <row r="33791" s="69" customFormat="1" x14ac:dyDescent="0.15"/>
    <row r="33792" s="69" customFormat="1" x14ac:dyDescent="0.15"/>
    <row r="33793" s="69" customFormat="1" x14ac:dyDescent="0.15"/>
    <row r="33794" s="69" customFormat="1" x14ac:dyDescent="0.15"/>
    <row r="33795" s="69" customFormat="1" x14ac:dyDescent="0.15"/>
    <row r="33796" s="69" customFormat="1" x14ac:dyDescent="0.15"/>
    <row r="33797" s="69" customFormat="1" x14ac:dyDescent="0.15"/>
    <row r="33798" s="69" customFormat="1" x14ac:dyDescent="0.15"/>
    <row r="33799" s="69" customFormat="1" x14ac:dyDescent="0.15"/>
    <row r="33800" s="69" customFormat="1" x14ac:dyDescent="0.15"/>
    <row r="33801" s="69" customFormat="1" x14ac:dyDescent="0.15"/>
    <row r="33802" s="69" customFormat="1" x14ac:dyDescent="0.15"/>
    <row r="33803" s="69" customFormat="1" x14ac:dyDescent="0.15"/>
    <row r="33804" s="69" customFormat="1" x14ac:dyDescent="0.15"/>
    <row r="33805" s="69" customFormat="1" x14ac:dyDescent="0.15"/>
    <row r="33806" s="69" customFormat="1" x14ac:dyDescent="0.15"/>
    <row r="33807" s="69" customFormat="1" x14ac:dyDescent="0.15"/>
    <row r="33808" s="69" customFormat="1" x14ac:dyDescent="0.15"/>
    <row r="33809" s="69" customFormat="1" x14ac:dyDescent="0.15"/>
    <row r="33810" s="69" customFormat="1" x14ac:dyDescent="0.15"/>
    <row r="33811" s="69" customFormat="1" x14ac:dyDescent="0.15"/>
    <row r="33812" s="69" customFormat="1" x14ac:dyDescent="0.15"/>
    <row r="33813" s="69" customFormat="1" x14ac:dyDescent="0.15"/>
    <row r="33814" s="69" customFormat="1" x14ac:dyDescent="0.15"/>
    <row r="33815" s="69" customFormat="1" x14ac:dyDescent="0.15"/>
    <row r="33816" s="69" customFormat="1" x14ac:dyDescent="0.15"/>
    <row r="33817" s="69" customFormat="1" x14ac:dyDescent="0.15"/>
    <row r="33818" s="69" customFormat="1" x14ac:dyDescent="0.15"/>
    <row r="33819" s="69" customFormat="1" x14ac:dyDescent="0.15"/>
    <row r="33820" s="69" customFormat="1" x14ac:dyDescent="0.15"/>
    <row r="33821" s="69" customFormat="1" x14ac:dyDescent="0.15"/>
    <row r="33822" s="69" customFormat="1" x14ac:dyDescent="0.15"/>
    <row r="33823" s="69" customFormat="1" x14ac:dyDescent="0.15"/>
    <row r="33824" s="69" customFormat="1" x14ac:dyDescent="0.15"/>
    <row r="33825" s="69" customFormat="1" x14ac:dyDescent="0.15"/>
    <row r="33826" s="69" customFormat="1" x14ac:dyDescent="0.15"/>
    <row r="33827" s="69" customFormat="1" x14ac:dyDescent="0.15"/>
    <row r="33828" s="69" customFormat="1" x14ac:dyDescent="0.15"/>
    <row r="33829" s="69" customFormat="1" x14ac:dyDescent="0.15"/>
    <row r="33830" s="69" customFormat="1" x14ac:dyDescent="0.15"/>
    <row r="33831" s="69" customFormat="1" x14ac:dyDescent="0.15"/>
    <row r="33832" s="69" customFormat="1" x14ac:dyDescent="0.15"/>
    <row r="33833" s="69" customFormat="1" x14ac:dyDescent="0.15"/>
    <row r="33834" s="69" customFormat="1" x14ac:dyDescent="0.15"/>
    <row r="33835" s="69" customFormat="1" x14ac:dyDescent="0.15"/>
    <row r="33836" s="69" customFormat="1" x14ac:dyDescent="0.15"/>
    <row r="33837" s="69" customFormat="1" x14ac:dyDescent="0.15"/>
    <row r="33838" s="69" customFormat="1" x14ac:dyDescent="0.15"/>
    <row r="33839" s="69" customFormat="1" x14ac:dyDescent="0.15"/>
    <row r="33840" s="69" customFormat="1" x14ac:dyDescent="0.15"/>
    <row r="33841" s="69" customFormat="1" x14ac:dyDescent="0.15"/>
    <row r="33842" s="69" customFormat="1" x14ac:dyDescent="0.15"/>
    <row r="33843" s="69" customFormat="1" x14ac:dyDescent="0.15"/>
    <row r="33844" s="69" customFormat="1" x14ac:dyDescent="0.15"/>
    <row r="33845" s="69" customFormat="1" x14ac:dyDescent="0.15"/>
    <row r="33846" s="69" customFormat="1" x14ac:dyDescent="0.15"/>
    <row r="33847" s="69" customFormat="1" x14ac:dyDescent="0.15"/>
    <row r="33848" s="69" customFormat="1" x14ac:dyDescent="0.15"/>
    <row r="33849" s="69" customFormat="1" x14ac:dyDescent="0.15"/>
    <row r="33850" s="69" customFormat="1" x14ac:dyDescent="0.15"/>
    <row r="33851" s="69" customFormat="1" x14ac:dyDescent="0.15"/>
    <row r="33852" s="69" customFormat="1" x14ac:dyDescent="0.15"/>
    <row r="33853" s="69" customFormat="1" x14ac:dyDescent="0.15"/>
    <row r="33854" s="69" customFormat="1" x14ac:dyDescent="0.15"/>
    <row r="33855" s="69" customFormat="1" x14ac:dyDescent="0.15"/>
    <row r="33856" s="69" customFormat="1" x14ac:dyDescent="0.15"/>
    <row r="33857" s="69" customFormat="1" x14ac:dyDescent="0.15"/>
    <row r="33858" s="69" customFormat="1" x14ac:dyDescent="0.15"/>
    <row r="33859" s="69" customFormat="1" x14ac:dyDescent="0.15"/>
    <row r="33860" s="69" customFormat="1" x14ac:dyDescent="0.15"/>
    <row r="33861" s="69" customFormat="1" x14ac:dyDescent="0.15"/>
    <row r="33862" s="69" customFormat="1" x14ac:dyDescent="0.15"/>
    <row r="33863" s="69" customFormat="1" x14ac:dyDescent="0.15"/>
    <row r="33864" s="69" customFormat="1" x14ac:dyDescent="0.15"/>
    <row r="33865" s="69" customFormat="1" x14ac:dyDescent="0.15"/>
    <row r="33866" s="69" customFormat="1" x14ac:dyDescent="0.15"/>
    <row r="33867" s="69" customFormat="1" x14ac:dyDescent="0.15"/>
    <row r="33868" s="69" customFormat="1" x14ac:dyDescent="0.15"/>
    <row r="33869" s="69" customFormat="1" x14ac:dyDescent="0.15"/>
    <row r="33870" s="69" customFormat="1" x14ac:dyDescent="0.15"/>
    <row r="33871" s="69" customFormat="1" x14ac:dyDescent="0.15"/>
    <row r="33872" s="69" customFormat="1" x14ac:dyDescent="0.15"/>
    <row r="33873" s="69" customFormat="1" x14ac:dyDescent="0.15"/>
    <row r="33874" s="69" customFormat="1" x14ac:dyDescent="0.15"/>
    <row r="33875" s="69" customFormat="1" x14ac:dyDescent="0.15"/>
    <row r="33876" s="69" customFormat="1" x14ac:dyDescent="0.15"/>
    <row r="33877" s="69" customFormat="1" x14ac:dyDescent="0.15"/>
    <row r="33878" s="69" customFormat="1" x14ac:dyDescent="0.15"/>
    <row r="33879" s="69" customFormat="1" x14ac:dyDescent="0.15"/>
    <row r="33880" s="69" customFormat="1" x14ac:dyDescent="0.15"/>
    <row r="33881" s="69" customFormat="1" x14ac:dyDescent="0.15"/>
    <row r="33882" s="69" customFormat="1" x14ac:dyDescent="0.15"/>
    <row r="33883" s="69" customFormat="1" x14ac:dyDescent="0.15"/>
    <row r="33884" s="69" customFormat="1" x14ac:dyDescent="0.15"/>
    <row r="33885" s="69" customFormat="1" x14ac:dyDescent="0.15"/>
    <row r="33886" s="69" customFormat="1" x14ac:dyDescent="0.15"/>
    <row r="33887" s="69" customFormat="1" x14ac:dyDescent="0.15"/>
    <row r="33888" s="69" customFormat="1" x14ac:dyDescent="0.15"/>
    <row r="33889" s="69" customFormat="1" x14ac:dyDescent="0.15"/>
    <row r="33890" s="69" customFormat="1" x14ac:dyDescent="0.15"/>
    <row r="33891" s="69" customFormat="1" x14ac:dyDescent="0.15"/>
    <row r="33892" s="69" customFormat="1" x14ac:dyDescent="0.15"/>
    <row r="33893" s="69" customFormat="1" x14ac:dyDescent="0.15"/>
    <row r="33894" s="69" customFormat="1" x14ac:dyDescent="0.15"/>
    <row r="33895" s="69" customFormat="1" x14ac:dyDescent="0.15"/>
    <row r="33896" s="69" customFormat="1" x14ac:dyDescent="0.15"/>
    <row r="33897" s="69" customFormat="1" x14ac:dyDescent="0.15"/>
    <row r="33898" s="69" customFormat="1" x14ac:dyDescent="0.15"/>
    <row r="33899" s="69" customFormat="1" x14ac:dyDescent="0.15"/>
    <row r="33900" s="69" customFormat="1" x14ac:dyDescent="0.15"/>
    <row r="33901" s="69" customFormat="1" x14ac:dyDescent="0.15"/>
    <row r="33902" s="69" customFormat="1" x14ac:dyDescent="0.15"/>
    <row r="33903" s="69" customFormat="1" x14ac:dyDescent="0.15"/>
    <row r="33904" s="69" customFormat="1" x14ac:dyDescent="0.15"/>
    <row r="33905" s="69" customFormat="1" x14ac:dyDescent="0.15"/>
    <row r="33906" s="69" customFormat="1" x14ac:dyDescent="0.15"/>
    <row r="33907" s="69" customFormat="1" x14ac:dyDescent="0.15"/>
    <row r="33908" s="69" customFormat="1" x14ac:dyDescent="0.15"/>
    <row r="33909" s="69" customFormat="1" x14ac:dyDescent="0.15"/>
    <row r="33910" s="69" customFormat="1" x14ac:dyDescent="0.15"/>
    <row r="33911" s="69" customFormat="1" x14ac:dyDescent="0.15"/>
    <row r="33912" s="69" customFormat="1" x14ac:dyDescent="0.15"/>
    <row r="33913" s="69" customFormat="1" x14ac:dyDescent="0.15"/>
    <row r="33914" s="69" customFormat="1" x14ac:dyDescent="0.15"/>
    <row r="33915" s="69" customFormat="1" x14ac:dyDescent="0.15"/>
    <row r="33916" s="69" customFormat="1" x14ac:dyDescent="0.15"/>
    <row r="33917" s="69" customFormat="1" x14ac:dyDescent="0.15"/>
    <row r="33918" s="69" customFormat="1" x14ac:dyDescent="0.15"/>
    <row r="33919" s="69" customFormat="1" x14ac:dyDescent="0.15"/>
    <row r="33920" s="69" customFormat="1" x14ac:dyDescent="0.15"/>
    <row r="33921" s="69" customFormat="1" x14ac:dyDescent="0.15"/>
    <row r="33922" s="69" customFormat="1" x14ac:dyDescent="0.15"/>
    <row r="33923" s="69" customFormat="1" x14ac:dyDescent="0.15"/>
    <row r="33924" s="69" customFormat="1" x14ac:dyDescent="0.15"/>
    <row r="33925" s="69" customFormat="1" x14ac:dyDescent="0.15"/>
    <row r="33926" s="69" customFormat="1" x14ac:dyDescent="0.15"/>
    <row r="33927" s="69" customFormat="1" x14ac:dyDescent="0.15"/>
    <row r="33928" s="69" customFormat="1" x14ac:dyDescent="0.15"/>
    <row r="33929" s="69" customFormat="1" x14ac:dyDescent="0.15"/>
    <row r="33930" s="69" customFormat="1" x14ac:dyDescent="0.15"/>
    <row r="33931" s="69" customFormat="1" x14ac:dyDescent="0.15"/>
    <row r="33932" s="69" customFormat="1" x14ac:dyDescent="0.15"/>
    <row r="33933" s="69" customFormat="1" x14ac:dyDescent="0.15"/>
    <row r="33934" s="69" customFormat="1" x14ac:dyDescent="0.15"/>
    <row r="33935" s="69" customFormat="1" x14ac:dyDescent="0.15"/>
    <row r="33936" s="69" customFormat="1" x14ac:dyDescent="0.15"/>
    <row r="33937" s="69" customFormat="1" x14ac:dyDescent="0.15"/>
    <row r="33938" s="69" customFormat="1" x14ac:dyDescent="0.15"/>
    <row r="33939" s="69" customFormat="1" x14ac:dyDescent="0.15"/>
    <row r="33940" s="69" customFormat="1" x14ac:dyDescent="0.15"/>
    <row r="33941" s="69" customFormat="1" x14ac:dyDescent="0.15"/>
    <row r="33942" s="69" customFormat="1" x14ac:dyDescent="0.15"/>
    <row r="33943" s="69" customFormat="1" x14ac:dyDescent="0.15"/>
    <row r="33944" s="69" customFormat="1" x14ac:dyDescent="0.15"/>
    <row r="33945" s="69" customFormat="1" x14ac:dyDescent="0.15"/>
    <row r="33946" s="69" customFormat="1" x14ac:dyDescent="0.15"/>
    <row r="33947" s="69" customFormat="1" x14ac:dyDescent="0.15"/>
    <row r="33948" s="69" customFormat="1" x14ac:dyDescent="0.15"/>
    <row r="33949" s="69" customFormat="1" x14ac:dyDescent="0.15"/>
    <row r="33950" s="69" customFormat="1" x14ac:dyDescent="0.15"/>
    <row r="33951" s="69" customFormat="1" x14ac:dyDescent="0.15"/>
    <row r="33952" s="69" customFormat="1" x14ac:dyDescent="0.15"/>
    <row r="33953" s="69" customFormat="1" x14ac:dyDescent="0.15"/>
    <row r="33954" s="69" customFormat="1" x14ac:dyDescent="0.15"/>
    <row r="33955" s="69" customFormat="1" x14ac:dyDescent="0.15"/>
    <row r="33956" s="69" customFormat="1" x14ac:dyDescent="0.15"/>
    <row r="33957" s="69" customFormat="1" x14ac:dyDescent="0.15"/>
    <row r="33958" s="69" customFormat="1" x14ac:dyDescent="0.15"/>
    <row r="33959" s="69" customFormat="1" x14ac:dyDescent="0.15"/>
    <row r="33960" s="69" customFormat="1" x14ac:dyDescent="0.15"/>
    <row r="33961" s="69" customFormat="1" x14ac:dyDescent="0.15"/>
    <row r="33962" s="69" customFormat="1" x14ac:dyDescent="0.15"/>
    <row r="33963" s="69" customFormat="1" x14ac:dyDescent="0.15"/>
    <row r="33964" s="69" customFormat="1" x14ac:dyDescent="0.15"/>
    <row r="33965" s="69" customFormat="1" x14ac:dyDescent="0.15"/>
    <row r="33966" s="69" customFormat="1" x14ac:dyDescent="0.15"/>
    <row r="33967" s="69" customFormat="1" x14ac:dyDescent="0.15"/>
    <row r="33968" s="69" customFormat="1" x14ac:dyDescent="0.15"/>
    <row r="33969" s="69" customFormat="1" x14ac:dyDescent="0.15"/>
    <row r="33970" s="69" customFormat="1" x14ac:dyDescent="0.15"/>
    <row r="33971" s="69" customFormat="1" x14ac:dyDescent="0.15"/>
    <row r="33972" s="69" customFormat="1" x14ac:dyDescent="0.15"/>
    <row r="33973" s="69" customFormat="1" x14ac:dyDescent="0.15"/>
    <row r="33974" s="69" customFormat="1" x14ac:dyDescent="0.15"/>
    <row r="33975" s="69" customFormat="1" x14ac:dyDescent="0.15"/>
    <row r="33976" s="69" customFormat="1" x14ac:dyDescent="0.15"/>
    <row r="33977" s="69" customFormat="1" x14ac:dyDescent="0.15"/>
    <row r="33978" s="69" customFormat="1" x14ac:dyDescent="0.15"/>
    <row r="33979" s="69" customFormat="1" x14ac:dyDescent="0.15"/>
    <row r="33980" s="69" customFormat="1" x14ac:dyDescent="0.15"/>
    <row r="33981" s="69" customFormat="1" x14ac:dyDescent="0.15"/>
    <row r="33982" s="69" customFormat="1" x14ac:dyDescent="0.15"/>
    <row r="33983" s="69" customFormat="1" x14ac:dyDescent="0.15"/>
    <row r="33984" s="69" customFormat="1" x14ac:dyDescent="0.15"/>
    <row r="33985" s="69" customFormat="1" x14ac:dyDescent="0.15"/>
    <row r="33986" s="69" customFormat="1" x14ac:dyDescent="0.15"/>
    <row r="33987" s="69" customFormat="1" x14ac:dyDescent="0.15"/>
    <row r="33988" s="69" customFormat="1" x14ac:dyDescent="0.15"/>
    <row r="33989" s="69" customFormat="1" x14ac:dyDescent="0.15"/>
    <row r="33990" s="69" customFormat="1" x14ac:dyDescent="0.15"/>
    <row r="33991" s="69" customFormat="1" x14ac:dyDescent="0.15"/>
    <row r="33992" s="69" customFormat="1" x14ac:dyDescent="0.15"/>
    <row r="33993" s="69" customFormat="1" x14ac:dyDescent="0.15"/>
    <row r="33994" s="69" customFormat="1" x14ac:dyDescent="0.15"/>
    <row r="33995" s="69" customFormat="1" x14ac:dyDescent="0.15"/>
    <row r="33996" s="69" customFormat="1" x14ac:dyDescent="0.15"/>
    <row r="33997" s="69" customFormat="1" x14ac:dyDescent="0.15"/>
    <row r="33998" s="69" customFormat="1" x14ac:dyDescent="0.15"/>
    <row r="33999" s="69" customFormat="1" x14ac:dyDescent="0.15"/>
    <row r="34000" s="69" customFormat="1" x14ac:dyDescent="0.15"/>
    <row r="34001" s="69" customFormat="1" x14ac:dyDescent="0.15"/>
    <row r="34002" s="69" customFormat="1" x14ac:dyDescent="0.15"/>
    <row r="34003" s="69" customFormat="1" x14ac:dyDescent="0.15"/>
    <row r="34004" s="69" customFormat="1" x14ac:dyDescent="0.15"/>
    <row r="34005" s="69" customFormat="1" x14ac:dyDescent="0.15"/>
    <row r="34006" s="69" customFormat="1" x14ac:dyDescent="0.15"/>
    <row r="34007" s="69" customFormat="1" x14ac:dyDescent="0.15"/>
    <row r="34008" s="69" customFormat="1" x14ac:dyDescent="0.15"/>
    <row r="34009" s="69" customFormat="1" x14ac:dyDescent="0.15"/>
    <row r="34010" s="69" customFormat="1" x14ac:dyDescent="0.15"/>
    <row r="34011" s="69" customFormat="1" x14ac:dyDescent="0.15"/>
    <row r="34012" s="69" customFormat="1" x14ac:dyDescent="0.15"/>
    <row r="34013" s="69" customFormat="1" x14ac:dyDescent="0.15"/>
    <row r="34014" s="69" customFormat="1" x14ac:dyDescent="0.15"/>
    <row r="34015" s="69" customFormat="1" x14ac:dyDescent="0.15"/>
    <row r="34016" s="69" customFormat="1" x14ac:dyDescent="0.15"/>
    <row r="34017" s="69" customFormat="1" x14ac:dyDescent="0.15"/>
    <row r="34018" s="69" customFormat="1" x14ac:dyDescent="0.15"/>
    <row r="34019" s="69" customFormat="1" x14ac:dyDescent="0.15"/>
    <row r="34020" s="69" customFormat="1" x14ac:dyDescent="0.15"/>
    <row r="34021" s="69" customFormat="1" x14ac:dyDescent="0.15"/>
    <row r="34022" s="69" customFormat="1" x14ac:dyDescent="0.15"/>
    <row r="34023" s="69" customFormat="1" x14ac:dyDescent="0.15"/>
    <row r="34024" s="69" customFormat="1" x14ac:dyDescent="0.15"/>
    <row r="34025" s="69" customFormat="1" x14ac:dyDescent="0.15"/>
    <row r="34026" s="69" customFormat="1" x14ac:dyDescent="0.15"/>
    <row r="34027" s="69" customFormat="1" x14ac:dyDescent="0.15"/>
    <row r="34028" s="69" customFormat="1" x14ac:dyDescent="0.15"/>
    <row r="34029" s="69" customFormat="1" x14ac:dyDescent="0.15"/>
    <row r="34030" s="69" customFormat="1" x14ac:dyDescent="0.15"/>
    <row r="34031" s="69" customFormat="1" x14ac:dyDescent="0.15"/>
    <row r="34032" s="69" customFormat="1" x14ac:dyDescent="0.15"/>
    <row r="34033" s="69" customFormat="1" x14ac:dyDescent="0.15"/>
    <row r="34034" s="69" customFormat="1" x14ac:dyDescent="0.15"/>
    <row r="34035" s="69" customFormat="1" x14ac:dyDescent="0.15"/>
    <row r="34036" s="69" customFormat="1" x14ac:dyDescent="0.15"/>
    <row r="34037" s="69" customFormat="1" x14ac:dyDescent="0.15"/>
    <row r="34038" s="69" customFormat="1" x14ac:dyDescent="0.15"/>
    <row r="34039" s="69" customFormat="1" x14ac:dyDescent="0.15"/>
    <row r="34040" s="69" customFormat="1" x14ac:dyDescent="0.15"/>
    <row r="34041" s="69" customFormat="1" x14ac:dyDescent="0.15"/>
    <row r="34042" s="69" customFormat="1" x14ac:dyDescent="0.15"/>
    <row r="34043" s="69" customFormat="1" x14ac:dyDescent="0.15"/>
    <row r="34044" s="69" customFormat="1" x14ac:dyDescent="0.15"/>
    <row r="34045" s="69" customFormat="1" x14ac:dyDescent="0.15"/>
    <row r="34046" s="69" customFormat="1" x14ac:dyDescent="0.15"/>
    <row r="34047" s="69" customFormat="1" x14ac:dyDescent="0.15"/>
    <row r="34048" s="69" customFormat="1" x14ac:dyDescent="0.15"/>
    <row r="34049" s="69" customFormat="1" x14ac:dyDescent="0.15"/>
    <row r="34050" s="69" customFormat="1" x14ac:dyDescent="0.15"/>
    <row r="34051" s="69" customFormat="1" x14ac:dyDescent="0.15"/>
    <row r="34052" s="69" customFormat="1" x14ac:dyDescent="0.15"/>
    <row r="34053" s="69" customFormat="1" x14ac:dyDescent="0.15"/>
    <row r="34054" s="69" customFormat="1" x14ac:dyDescent="0.15"/>
    <row r="34055" s="69" customFormat="1" x14ac:dyDescent="0.15"/>
    <row r="34056" s="69" customFormat="1" x14ac:dyDescent="0.15"/>
    <row r="34057" s="69" customFormat="1" x14ac:dyDescent="0.15"/>
    <row r="34058" s="69" customFormat="1" x14ac:dyDescent="0.15"/>
    <row r="34059" s="69" customFormat="1" x14ac:dyDescent="0.15"/>
    <row r="34060" s="69" customFormat="1" x14ac:dyDescent="0.15"/>
    <row r="34061" s="69" customFormat="1" x14ac:dyDescent="0.15"/>
    <row r="34062" s="69" customFormat="1" x14ac:dyDescent="0.15"/>
    <row r="34063" s="69" customFormat="1" x14ac:dyDescent="0.15"/>
    <row r="34064" s="69" customFormat="1" x14ac:dyDescent="0.15"/>
    <row r="34065" s="69" customFormat="1" x14ac:dyDescent="0.15"/>
    <row r="34066" s="69" customFormat="1" x14ac:dyDescent="0.15"/>
    <row r="34067" s="69" customFormat="1" x14ac:dyDescent="0.15"/>
    <row r="34068" s="69" customFormat="1" x14ac:dyDescent="0.15"/>
    <row r="34069" s="69" customFormat="1" x14ac:dyDescent="0.15"/>
    <row r="34070" s="69" customFormat="1" x14ac:dyDescent="0.15"/>
    <row r="34071" s="69" customFormat="1" x14ac:dyDescent="0.15"/>
    <row r="34072" s="69" customFormat="1" x14ac:dyDescent="0.15"/>
    <row r="34073" s="69" customFormat="1" x14ac:dyDescent="0.15"/>
    <row r="34074" s="69" customFormat="1" x14ac:dyDescent="0.15"/>
    <row r="34075" s="69" customFormat="1" x14ac:dyDescent="0.15"/>
    <row r="34076" s="69" customFormat="1" x14ac:dyDescent="0.15"/>
    <row r="34077" s="69" customFormat="1" x14ac:dyDescent="0.15"/>
    <row r="34078" s="69" customFormat="1" x14ac:dyDescent="0.15"/>
    <row r="34079" s="69" customFormat="1" x14ac:dyDescent="0.15"/>
    <row r="34080" s="69" customFormat="1" x14ac:dyDescent="0.15"/>
    <row r="34081" s="69" customFormat="1" x14ac:dyDescent="0.15"/>
    <row r="34082" s="69" customFormat="1" x14ac:dyDescent="0.15"/>
    <row r="34083" s="69" customFormat="1" x14ac:dyDescent="0.15"/>
    <row r="34084" s="69" customFormat="1" x14ac:dyDescent="0.15"/>
    <row r="34085" s="69" customFormat="1" x14ac:dyDescent="0.15"/>
    <row r="34086" s="69" customFormat="1" x14ac:dyDescent="0.15"/>
    <row r="34087" s="69" customFormat="1" x14ac:dyDescent="0.15"/>
    <row r="34088" s="69" customFormat="1" x14ac:dyDescent="0.15"/>
    <row r="34089" s="69" customFormat="1" x14ac:dyDescent="0.15"/>
    <row r="34090" s="69" customFormat="1" x14ac:dyDescent="0.15"/>
    <row r="34091" s="69" customFormat="1" x14ac:dyDescent="0.15"/>
    <row r="34092" s="69" customFormat="1" x14ac:dyDescent="0.15"/>
    <row r="34093" s="69" customFormat="1" x14ac:dyDescent="0.15"/>
    <row r="34094" s="69" customFormat="1" x14ac:dyDescent="0.15"/>
    <row r="34095" s="69" customFormat="1" x14ac:dyDescent="0.15"/>
    <row r="34096" s="69" customFormat="1" x14ac:dyDescent="0.15"/>
    <row r="34097" s="69" customFormat="1" x14ac:dyDescent="0.15"/>
    <row r="34098" s="69" customFormat="1" x14ac:dyDescent="0.15"/>
    <row r="34099" s="69" customFormat="1" x14ac:dyDescent="0.15"/>
    <row r="34100" s="69" customFormat="1" x14ac:dyDescent="0.15"/>
    <row r="34101" s="69" customFormat="1" x14ac:dyDescent="0.15"/>
    <row r="34102" s="69" customFormat="1" x14ac:dyDescent="0.15"/>
    <row r="34103" s="69" customFormat="1" x14ac:dyDescent="0.15"/>
    <row r="34104" s="69" customFormat="1" x14ac:dyDescent="0.15"/>
    <row r="34105" s="69" customFormat="1" x14ac:dyDescent="0.15"/>
    <row r="34106" s="69" customFormat="1" x14ac:dyDescent="0.15"/>
    <row r="34107" s="69" customFormat="1" x14ac:dyDescent="0.15"/>
    <row r="34108" s="69" customFormat="1" x14ac:dyDescent="0.15"/>
    <row r="34109" s="69" customFormat="1" x14ac:dyDescent="0.15"/>
    <row r="34110" s="69" customFormat="1" x14ac:dyDescent="0.15"/>
    <row r="34111" s="69" customFormat="1" x14ac:dyDescent="0.15"/>
    <row r="34112" s="69" customFormat="1" x14ac:dyDescent="0.15"/>
    <row r="34113" s="69" customFormat="1" x14ac:dyDescent="0.15"/>
    <row r="34114" s="69" customFormat="1" x14ac:dyDescent="0.15"/>
    <row r="34115" s="69" customFormat="1" x14ac:dyDescent="0.15"/>
    <row r="34116" s="69" customFormat="1" x14ac:dyDescent="0.15"/>
    <row r="34117" s="69" customFormat="1" x14ac:dyDescent="0.15"/>
    <row r="34118" s="69" customFormat="1" x14ac:dyDescent="0.15"/>
    <row r="34119" s="69" customFormat="1" x14ac:dyDescent="0.15"/>
    <row r="34120" s="69" customFormat="1" x14ac:dyDescent="0.15"/>
    <row r="34121" s="69" customFormat="1" x14ac:dyDescent="0.15"/>
    <row r="34122" s="69" customFormat="1" x14ac:dyDescent="0.15"/>
    <row r="34123" s="69" customFormat="1" x14ac:dyDescent="0.15"/>
    <row r="34124" s="69" customFormat="1" x14ac:dyDescent="0.15"/>
    <row r="34125" s="69" customFormat="1" x14ac:dyDescent="0.15"/>
    <row r="34126" s="69" customFormat="1" x14ac:dyDescent="0.15"/>
    <row r="34127" s="69" customFormat="1" x14ac:dyDescent="0.15"/>
    <row r="34128" s="69" customFormat="1" x14ac:dyDescent="0.15"/>
    <row r="34129" s="69" customFormat="1" x14ac:dyDescent="0.15"/>
    <row r="34130" s="69" customFormat="1" x14ac:dyDescent="0.15"/>
    <row r="34131" s="69" customFormat="1" x14ac:dyDescent="0.15"/>
    <row r="34132" s="69" customFormat="1" x14ac:dyDescent="0.15"/>
    <row r="34133" s="69" customFormat="1" x14ac:dyDescent="0.15"/>
    <row r="34134" s="69" customFormat="1" x14ac:dyDescent="0.15"/>
    <row r="34135" s="69" customFormat="1" x14ac:dyDescent="0.15"/>
    <row r="34136" s="69" customFormat="1" x14ac:dyDescent="0.15"/>
    <row r="34137" s="69" customFormat="1" x14ac:dyDescent="0.15"/>
    <row r="34138" s="69" customFormat="1" x14ac:dyDescent="0.15"/>
    <row r="34139" s="69" customFormat="1" x14ac:dyDescent="0.15"/>
    <row r="34140" s="69" customFormat="1" x14ac:dyDescent="0.15"/>
    <row r="34141" s="69" customFormat="1" x14ac:dyDescent="0.15"/>
    <row r="34142" s="69" customFormat="1" x14ac:dyDescent="0.15"/>
    <row r="34143" s="69" customFormat="1" x14ac:dyDescent="0.15"/>
    <row r="34144" s="69" customFormat="1" x14ac:dyDescent="0.15"/>
    <row r="34145" s="69" customFormat="1" x14ac:dyDescent="0.15"/>
    <row r="34146" s="69" customFormat="1" x14ac:dyDescent="0.15"/>
    <row r="34147" s="69" customFormat="1" x14ac:dyDescent="0.15"/>
    <row r="34148" s="69" customFormat="1" x14ac:dyDescent="0.15"/>
    <row r="34149" s="69" customFormat="1" x14ac:dyDescent="0.15"/>
    <row r="34150" s="69" customFormat="1" x14ac:dyDescent="0.15"/>
    <row r="34151" s="69" customFormat="1" x14ac:dyDescent="0.15"/>
    <row r="34152" s="69" customFormat="1" x14ac:dyDescent="0.15"/>
    <row r="34153" s="69" customFormat="1" x14ac:dyDescent="0.15"/>
    <row r="34154" s="69" customFormat="1" x14ac:dyDescent="0.15"/>
    <row r="34155" s="69" customFormat="1" x14ac:dyDescent="0.15"/>
    <row r="34156" s="69" customFormat="1" x14ac:dyDescent="0.15"/>
    <row r="34157" s="69" customFormat="1" x14ac:dyDescent="0.15"/>
    <row r="34158" s="69" customFormat="1" x14ac:dyDescent="0.15"/>
    <row r="34159" s="69" customFormat="1" x14ac:dyDescent="0.15"/>
    <row r="34160" s="69" customFormat="1" x14ac:dyDescent="0.15"/>
    <row r="34161" s="69" customFormat="1" x14ac:dyDescent="0.15"/>
    <row r="34162" s="69" customFormat="1" x14ac:dyDescent="0.15"/>
    <row r="34163" s="69" customFormat="1" x14ac:dyDescent="0.15"/>
    <row r="34164" s="69" customFormat="1" x14ac:dyDescent="0.15"/>
    <row r="34165" s="69" customFormat="1" x14ac:dyDescent="0.15"/>
    <row r="34166" s="69" customFormat="1" x14ac:dyDescent="0.15"/>
    <row r="34167" s="69" customFormat="1" x14ac:dyDescent="0.15"/>
    <row r="34168" s="69" customFormat="1" x14ac:dyDescent="0.15"/>
    <row r="34169" s="69" customFormat="1" x14ac:dyDescent="0.15"/>
    <row r="34170" s="69" customFormat="1" x14ac:dyDescent="0.15"/>
    <row r="34171" s="69" customFormat="1" x14ac:dyDescent="0.15"/>
    <row r="34172" s="69" customFormat="1" x14ac:dyDescent="0.15"/>
    <row r="34173" s="69" customFormat="1" x14ac:dyDescent="0.15"/>
    <row r="34174" s="69" customFormat="1" x14ac:dyDescent="0.15"/>
    <row r="34175" s="69" customFormat="1" x14ac:dyDescent="0.15"/>
    <row r="34176" s="69" customFormat="1" x14ac:dyDescent="0.15"/>
    <row r="34177" s="69" customFormat="1" x14ac:dyDescent="0.15"/>
    <row r="34178" s="69" customFormat="1" x14ac:dyDescent="0.15"/>
    <row r="34179" s="69" customFormat="1" x14ac:dyDescent="0.15"/>
    <row r="34180" s="69" customFormat="1" x14ac:dyDescent="0.15"/>
    <row r="34181" s="69" customFormat="1" x14ac:dyDescent="0.15"/>
    <row r="34182" s="69" customFormat="1" x14ac:dyDescent="0.15"/>
    <row r="34183" s="69" customFormat="1" x14ac:dyDescent="0.15"/>
    <row r="34184" s="69" customFormat="1" x14ac:dyDescent="0.15"/>
    <row r="34185" s="69" customFormat="1" x14ac:dyDescent="0.15"/>
    <row r="34186" s="69" customFormat="1" x14ac:dyDescent="0.15"/>
    <row r="34187" s="69" customFormat="1" x14ac:dyDescent="0.15"/>
    <row r="34188" s="69" customFormat="1" x14ac:dyDescent="0.15"/>
    <row r="34189" s="69" customFormat="1" x14ac:dyDescent="0.15"/>
    <row r="34190" s="69" customFormat="1" x14ac:dyDescent="0.15"/>
    <row r="34191" s="69" customFormat="1" x14ac:dyDescent="0.15"/>
    <row r="34192" s="69" customFormat="1" x14ac:dyDescent="0.15"/>
    <row r="34193" s="69" customFormat="1" x14ac:dyDescent="0.15"/>
    <row r="34194" s="69" customFormat="1" x14ac:dyDescent="0.15"/>
    <row r="34195" s="69" customFormat="1" x14ac:dyDescent="0.15"/>
    <row r="34196" s="69" customFormat="1" x14ac:dyDescent="0.15"/>
    <row r="34197" s="69" customFormat="1" x14ac:dyDescent="0.15"/>
    <row r="34198" s="69" customFormat="1" x14ac:dyDescent="0.15"/>
    <row r="34199" s="69" customFormat="1" x14ac:dyDescent="0.15"/>
    <row r="34200" s="69" customFormat="1" x14ac:dyDescent="0.15"/>
    <row r="34201" s="69" customFormat="1" x14ac:dyDescent="0.15"/>
    <row r="34202" s="69" customFormat="1" x14ac:dyDescent="0.15"/>
    <row r="34203" s="69" customFormat="1" x14ac:dyDescent="0.15"/>
    <row r="34204" s="69" customFormat="1" x14ac:dyDescent="0.15"/>
    <row r="34205" s="69" customFormat="1" x14ac:dyDescent="0.15"/>
    <row r="34206" s="69" customFormat="1" x14ac:dyDescent="0.15"/>
    <row r="34207" s="69" customFormat="1" x14ac:dyDescent="0.15"/>
    <row r="34208" s="69" customFormat="1" x14ac:dyDescent="0.15"/>
    <row r="34209" s="69" customFormat="1" x14ac:dyDescent="0.15"/>
    <row r="34210" s="69" customFormat="1" x14ac:dyDescent="0.15"/>
    <row r="34211" s="69" customFormat="1" x14ac:dyDescent="0.15"/>
    <row r="34212" s="69" customFormat="1" x14ac:dyDescent="0.15"/>
    <row r="34213" s="69" customFormat="1" x14ac:dyDescent="0.15"/>
    <row r="34214" s="69" customFormat="1" x14ac:dyDescent="0.15"/>
    <row r="34215" s="69" customFormat="1" x14ac:dyDescent="0.15"/>
    <row r="34216" s="69" customFormat="1" x14ac:dyDescent="0.15"/>
    <row r="34217" s="69" customFormat="1" x14ac:dyDescent="0.15"/>
    <row r="34218" s="69" customFormat="1" x14ac:dyDescent="0.15"/>
    <row r="34219" s="69" customFormat="1" x14ac:dyDescent="0.15"/>
    <row r="34220" s="69" customFormat="1" x14ac:dyDescent="0.15"/>
    <row r="34221" s="69" customFormat="1" x14ac:dyDescent="0.15"/>
    <row r="34222" s="69" customFormat="1" x14ac:dyDescent="0.15"/>
    <row r="34223" s="69" customFormat="1" x14ac:dyDescent="0.15"/>
    <row r="34224" s="69" customFormat="1" x14ac:dyDescent="0.15"/>
    <row r="34225" s="69" customFormat="1" x14ac:dyDescent="0.15"/>
    <row r="34226" s="69" customFormat="1" x14ac:dyDescent="0.15"/>
    <row r="34227" s="69" customFormat="1" x14ac:dyDescent="0.15"/>
    <row r="34228" s="69" customFormat="1" x14ac:dyDescent="0.15"/>
    <row r="34229" s="69" customFormat="1" x14ac:dyDescent="0.15"/>
    <row r="34230" s="69" customFormat="1" x14ac:dyDescent="0.15"/>
    <row r="34231" s="69" customFormat="1" x14ac:dyDescent="0.15"/>
    <row r="34232" s="69" customFormat="1" x14ac:dyDescent="0.15"/>
    <row r="34233" s="69" customFormat="1" x14ac:dyDescent="0.15"/>
    <row r="34234" s="69" customFormat="1" x14ac:dyDescent="0.15"/>
    <row r="34235" s="69" customFormat="1" x14ac:dyDescent="0.15"/>
    <row r="34236" s="69" customFormat="1" x14ac:dyDescent="0.15"/>
    <row r="34237" s="69" customFormat="1" x14ac:dyDescent="0.15"/>
    <row r="34238" s="69" customFormat="1" x14ac:dyDescent="0.15"/>
    <row r="34239" s="69" customFormat="1" x14ac:dyDescent="0.15"/>
    <row r="34240" s="69" customFormat="1" x14ac:dyDescent="0.15"/>
    <row r="34241" s="69" customFormat="1" x14ac:dyDescent="0.15"/>
    <row r="34242" s="69" customFormat="1" x14ac:dyDescent="0.15"/>
    <row r="34243" s="69" customFormat="1" x14ac:dyDescent="0.15"/>
    <row r="34244" s="69" customFormat="1" x14ac:dyDescent="0.15"/>
    <row r="34245" s="69" customFormat="1" x14ac:dyDescent="0.15"/>
    <row r="34246" s="69" customFormat="1" x14ac:dyDescent="0.15"/>
    <row r="34247" s="69" customFormat="1" x14ac:dyDescent="0.15"/>
    <row r="34248" s="69" customFormat="1" x14ac:dyDescent="0.15"/>
    <row r="34249" s="69" customFormat="1" x14ac:dyDescent="0.15"/>
    <row r="34250" s="69" customFormat="1" x14ac:dyDescent="0.15"/>
    <row r="34251" s="69" customFormat="1" x14ac:dyDescent="0.15"/>
    <row r="34252" s="69" customFormat="1" x14ac:dyDescent="0.15"/>
    <row r="34253" s="69" customFormat="1" x14ac:dyDescent="0.15"/>
    <row r="34254" s="69" customFormat="1" x14ac:dyDescent="0.15"/>
    <row r="34255" s="69" customFormat="1" x14ac:dyDescent="0.15"/>
    <row r="34256" s="69" customFormat="1" x14ac:dyDescent="0.15"/>
    <row r="34257" s="69" customFormat="1" x14ac:dyDescent="0.15"/>
    <row r="34258" s="69" customFormat="1" x14ac:dyDescent="0.15"/>
    <row r="34259" s="69" customFormat="1" x14ac:dyDescent="0.15"/>
    <row r="34260" s="69" customFormat="1" x14ac:dyDescent="0.15"/>
    <row r="34261" s="69" customFormat="1" x14ac:dyDescent="0.15"/>
    <row r="34262" s="69" customFormat="1" x14ac:dyDescent="0.15"/>
    <row r="34263" s="69" customFormat="1" x14ac:dyDescent="0.15"/>
    <row r="34264" s="69" customFormat="1" x14ac:dyDescent="0.15"/>
    <row r="34265" s="69" customFormat="1" x14ac:dyDescent="0.15"/>
    <row r="34266" s="69" customFormat="1" x14ac:dyDescent="0.15"/>
    <row r="34267" s="69" customFormat="1" x14ac:dyDescent="0.15"/>
    <row r="34268" s="69" customFormat="1" x14ac:dyDescent="0.15"/>
    <row r="34269" s="69" customFormat="1" x14ac:dyDescent="0.15"/>
    <row r="34270" s="69" customFormat="1" x14ac:dyDescent="0.15"/>
    <row r="34271" s="69" customFormat="1" x14ac:dyDescent="0.15"/>
    <row r="34272" s="69" customFormat="1" x14ac:dyDescent="0.15"/>
    <row r="34273" s="69" customFormat="1" x14ac:dyDescent="0.15"/>
    <row r="34274" s="69" customFormat="1" x14ac:dyDescent="0.15"/>
    <row r="34275" s="69" customFormat="1" x14ac:dyDescent="0.15"/>
    <row r="34276" s="69" customFormat="1" x14ac:dyDescent="0.15"/>
    <row r="34277" s="69" customFormat="1" x14ac:dyDescent="0.15"/>
    <row r="34278" s="69" customFormat="1" x14ac:dyDescent="0.15"/>
    <row r="34279" s="69" customFormat="1" x14ac:dyDescent="0.15"/>
    <row r="34280" s="69" customFormat="1" x14ac:dyDescent="0.15"/>
    <row r="34281" s="69" customFormat="1" x14ac:dyDescent="0.15"/>
    <row r="34282" s="69" customFormat="1" x14ac:dyDescent="0.15"/>
    <row r="34283" s="69" customFormat="1" x14ac:dyDescent="0.15"/>
    <row r="34284" s="69" customFormat="1" x14ac:dyDescent="0.15"/>
    <row r="34285" s="69" customFormat="1" x14ac:dyDescent="0.15"/>
    <row r="34286" s="69" customFormat="1" x14ac:dyDescent="0.15"/>
    <row r="34287" s="69" customFormat="1" x14ac:dyDescent="0.15"/>
    <row r="34288" s="69" customFormat="1" x14ac:dyDescent="0.15"/>
    <row r="34289" s="69" customFormat="1" x14ac:dyDescent="0.15"/>
    <row r="34290" s="69" customFormat="1" x14ac:dyDescent="0.15"/>
    <row r="34291" s="69" customFormat="1" x14ac:dyDescent="0.15"/>
    <row r="34292" s="69" customFormat="1" x14ac:dyDescent="0.15"/>
    <row r="34293" s="69" customFormat="1" x14ac:dyDescent="0.15"/>
    <row r="34294" s="69" customFormat="1" x14ac:dyDescent="0.15"/>
    <row r="34295" s="69" customFormat="1" x14ac:dyDescent="0.15"/>
    <row r="34296" s="69" customFormat="1" x14ac:dyDescent="0.15"/>
    <row r="34297" s="69" customFormat="1" x14ac:dyDescent="0.15"/>
    <row r="34298" s="69" customFormat="1" x14ac:dyDescent="0.15"/>
    <row r="34299" s="69" customFormat="1" x14ac:dyDescent="0.15"/>
    <row r="34300" s="69" customFormat="1" x14ac:dyDescent="0.15"/>
    <row r="34301" s="69" customFormat="1" x14ac:dyDescent="0.15"/>
    <row r="34302" s="69" customFormat="1" x14ac:dyDescent="0.15"/>
    <row r="34303" s="69" customFormat="1" x14ac:dyDescent="0.15"/>
    <row r="34304" s="69" customFormat="1" x14ac:dyDescent="0.15"/>
    <row r="34305" s="69" customFormat="1" x14ac:dyDescent="0.15"/>
    <row r="34306" s="69" customFormat="1" x14ac:dyDescent="0.15"/>
    <row r="34307" s="69" customFormat="1" x14ac:dyDescent="0.15"/>
    <row r="34308" s="69" customFormat="1" x14ac:dyDescent="0.15"/>
    <row r="34309" s="69" customFormat="1" x14ac:dyDescent="0.15"/>
    <row r="34310" s="69" customFormat="1" x14ac:dyDescent="0.15"/>
    <row r="34311" s="69" customFormat="1" x14ac:dyDescent="0.15"/>
    <row r="34312" s="69" customFormat="1" x14ac:dyDescent="0.15"/>
    <row r="34313" s="69" customFormat="1" x14ac:dyDescent="0.15"/>
    <row r="34314" s="69" customFormat="1" x14ac:dyDescent="0.15"/>
    <row r="34315" s="69" customFormat="1" x14ac:dyDescent="0.15"/>
    <row r="34316" s="69" customFormat="1" x14ac:dyDescent="0.15"/>
    <row r="34317" s="69" customFormat="1" x14ac:dyDescent="0.15"/>
    <row r="34318" s="69" customFormat="1" x14ac:dyDescent="0.15"/>
    <row r="34319" s="69" customFormat="1" x14ac:dyDescent="0.15"/>
    <row r="34320" s="69" customFormat="1" x14ac:dyDescent="0.15"/>
    <row r="34321" s="69" customFormat="1" x14ac:dyDescent="0.15"/>
    <row r="34322" s="69" customFormat="1" x14ac:dyDescent="0.15"/>
    <row r="34323" s="69" customFormat="1" x14ac:dyDescent="0.15"/>
    <row r="34324" s="69" customFormat="1" x14ac:dyDescent="0.15"/>
    <row r="34325" s="69" customFormat="1" x14ac:dyDescent="0.15"/>
    <row r="34326" s="69" customFormat="1" x14ac:dyDescent="0.15"/>
    <row r="34327" s="69" customFormat="1" x14ac:dyDescent="0.15"/>
    <row r="34328" s="69" customFormat="1" x14ac:dyDescent="0.15"/>
    <row r="34329" s="69" customFormat="1" x14ac:dyDescent="0.15"/>
    <row r="34330" s="69" customFormat="1" x14ac:dyDescent="0.15"/>
    <row r="34331" s="69" customFormat="1" x14ac:dyDescent="0.15"/>
    <row r="34332" s="69" customFormat="1" x14ac:dyDescent="0.15"/>
    <row r="34333" s="69" customFormat="1" x14ac:dyDescent="0.15"/>
    <row r="34334" s="69" customFormat="1" x14ac:dyDescent="0.15"/>
    <row r="34335" s="69" customFormat="1" x14ac:dyDescent="0.15"/>
    <row r="34336" s="69" customFormat="1" x14ac:dyDescent="0.15"/>
    <row r="34337" s="69" customFormat="1" x14ac:dyDescent="0.15"/>
    <row r="34338" s="69" customFormat="1" x14ac:dyDescent="0.15"/>
    <row r="34339" s="69" customFormat="1" x14ac:dyDescent="0.15"/>
    <row r="34340" s="69" customFormat="1" x14ac:dyDescent="0.15"/>
    <row r="34341" s="69" customFormat="1" x14ac:dyDescent="0.15"/>
    <row r="34342" s="69" customFormat="1" x14ac:dyDescent="0.15"/>
    <row r="34343" s="69" customFormat="1" x14ac:dyDescent="0.15"/>
    <row r="34344" s="69" customFormat="1" x14ac:dyDescent="0.15"/>
    <row r="34345" s="69" customFormat="1" x14ac:dyDescent="0.15"/>
    <row r="34346" s="69" customFormat="1" x14ac:dyDescent="0.15"/>
    <row r="34347" s="69" customFormat="1" x14ac:dyDescent="0.15"/>
    <row r="34348" s="69" customFormat="1" x14ac:dyDescent="0.15"/>
    <row r="34349" s="69" customFormat="1" x14ac:dyDescent="0.15"/>
    <row r="34350" s="69" customFormat="1" x14ac:dyDescent="0.15"/>
    <row r="34351" s="69" customFormat="1" x14ac:dyDescent="0.15"/>
    <row r="34352" s="69" customFormat="1" x14ac:dyDescent="0.15"/>
    <row r="34353" s="69" customFormat="1" x14ac:dyDescent="0.15"/>
    <row r="34354" s="69" customFormat="1" x14ac:dyDescent="0.15"/>
    <row r="34355" s="69" customFormat="1" x14ac:dyDescent="0.15"/>
    <row r="34356" s="69" customFormat="1" x14ac:dyDescent="0.15"/>
    <row r="34357" s="69" customFormat="1" x14ac:dyDescent="0.15"/>
    <row r="34358" s="69" customFormat="1" x14ac:dyDescent="0.15"/>
    <row r="34359" s="69" customFormat="1" x14ac:dyDescent="0.15"/>
    <row r="34360" s="69" customFormat="1" x14ac:dyDescent="0.15"/>
    <row r="34361" s="69" customFormat="1" x14ac:dyDescent="0.15"/>
    <row r="34362" s="69" customFormat="1" x14ac:dyDescent="0.15"/>
    <row r="34363" s="69" customFormat="1" x14ac:dyDescent="0.15"/>
    <row r="34364" s="69" customFormat="1" x14ac:dyDescent="0.15"/>
    <row r="34365" s="69" customFormat="1" x14ac:dyDescent="0.15"/>
    <row r="34366" s="69" customFormat="1" x14ac:dyDescent="0.15"/>
    <row r="34367" s="69" customFormat="1" x14ac:dyDescent="0.15"/>
    <row r="34368" s="69" customFormat="1" x14ac:dyDescent="0.15"/>
    <row r="34369" s="69" customFormat="1" x14ac:dyDescent="0.15"/>
    <row r="34370" s="69" customFormat="1" x14ac:dyDescent="0.15"/>
    <row r="34371" s="69" customFormat="1" x14ac:dyDescent="0.15"/>
    <row r="34372" s="69" customFormat="1" x14ac:dyDescent="0.15"/>
    <row r="34373" s="69" customFormat="1" x14ac:dyDescent="0.15"/>
    <row r="34374" s="69" customFormat="1" x14ac:dyDescent="0.15"/>
    <row r="34375" s="69" customFormat="1" x14ac:dyDescent="0.15"/>
    <row r="34376" s="69" customFormat="1" x14ac:dyDescent="0.15"/>
    <row r="34377" s="69" customFormat="1" x14ac:dyDescent="0.15"/>
    <row r="34378" s="69" customFormat="1" x14ac:dyDescent="0.15"/>
    <row r="34379" s="69" customFormat="1" x14ac:dyDescent="0.15"/>
    <row r="34380" s="69" customFormat="1" x14ac:dyDescent="0.15"/>
    <row r="34381" s="69" customFormat="1" x14ac:dyDescent="0.15"/>
    <row r="34382" s="69" customFormat="1" x14ac:dyDescent="0.15"/>
    <row r="34383" s="69" customFormat="1" x14ac:dyDescent="0.15"/>
    <row r="34384" s="69" customFormat="1" x14ac:dyDescent="0.15"/>
    <row r="34385" s="69" customFormat="1" x14ac:dyDescent="0.15"/>
    <row r="34386" s="69" customFormat="1" x14ac:dyDescent="0.15"/>
    <row r="34387" s="69" customFormat="1" x14ac:dyDescent="0.15"/>
    <row r="34388" s="69" customFormat="1" x14ac:dyDescent="0.15"/>
    <row r="34389" s="69" customFormat="1" x14ac:dyDescent="0.15"/>
    <row r="34390" s="69" customFormat="1" x14ac:dyDescent="0.15"/>
    <row r="34391" s="69" customFormat="1" x14ac:dyDescent="0.15"/>
    <row r="34392" s="69" customFormat="1" x14ac:dyDescent="0.15"/>
    <row r="34393" s="69" customFormat="1" x14ac:dyDescent="0.15"/>
    <row r="34394" s="69" customFormat="1" x14ac:dyDescent="0.15"/>
    <row r="34395" s="69" customFormat="1" x14ac:dyDescent="0.15"/>
    <row r="34396" s="69" customFormat="1" x14ac:dyDescent="0.15"/>
    <row r="34397" s="69" customFormat="1" x14ac:dyDescent="0.15"/>
    <row r="34398" s="69" customFormat="1" x14ac:dyDescent="0.15"/>
    <row r="34399" s="69" customFormat="1" x14ac:dyDescent="0.15"/>
    <row r="34400" s="69" customFormat="1" x14ac:dyDescent="0.15"/>
    <row r="34401" s="69" customFormat="1" x14ac:dyDescent="0.15"/>
    <row r="34402" s="69" customFormat="1" x14ac:dyDescent="0.15"/>
    <row r="34403" s="69" customFormat="1" x14ac:dyDescent="0.15"/>
    <row r="34404" s="69" customFormat="1" x14ac:dyDescent="0.15"/>
    <row r="34405" s="69" customFormat="1" x14ac:dyDescent="0.15"/>
    <row r="34406" s="69" customFormat="1" x14ac:dyDescent="0.15"/>
    <row r="34407" s="69" customFormat="1" x14ac:dyDescent="0.15"/>
    <row r="34408" s="69" customFormat="1" x14ac:dyDescent="0.15"/>
    <row r="34409" s="69" customFormat="1" x14ac:dyDescent="0.15"/>
    <row r="34410" s="69" customFormat="1" x14ac:dyDescent="0.15"/>
    <row r="34411" s="69" customFormat="1" x14ac:dyDescent="0.15"/>
    <row r="34412" s="69" customFormat="1" x14ac:dyDescent="0.15"/>
    <row r="34413" s="69" customFormat="1" x14ac:dyDescent="0.15"/>
    <row r="34414" s="69" customFormat="1" x14ac:dyDescent="0.15"/>
    <row r="34415" s="69" customFormat="1" x14ac:dyDescent="0.15"/>
    <row r="34416" s="69" customFormat="1" x14ac:dyDescent="0.15"/>
    <row r="34417" s="69" customFormat="1" x14ac:dyDescent="0.15"/>
    <row r="34418" s="69" customFormat="1" x14ac:dyDescent="0.15"/>
    <row r="34419" s="69" customFormat="1" x14ac:dyDescent="0.15"/>
    <row r="34420" s="69" customFormat="1" x14ac:dyDescent="0.15"/>
    <row r="34421" s="69" customFormat="1" x14ac:dyDescent="0.15"/>
    <row r="34422" s="69" customFormat="1" x14ac:dyDescent="0.15"/>
    <row r="34423" s="69" customFormat="1" x14ac:dyDescent="0.15"/>
    <row r="34424" s="69" customFormat="1" x14ac:dyDescent="0.15"/>
    <row r="34425" s="69" customFormat="1" x14ac:dyDescent="0.15"/>
    <row r="34426" s="69" customFormat="1" x14ac:dyDescent="0.15"/>
    <row r="34427" s="69" customFormat="1" x14ac:dyDescent="0.15"/>
    <row r="34428" s="69" customFormat="1" x14ac:dyDescent="0.15"/>
    <row r="34429" s="69" customFormat="1" x14ac:dyDescent="0.15"/>
    <row r="34430" s="69" customFormat="1" x14ac:dyDescent="0.15"/>
    <row r="34431" s="69" customFormat="1" x14ac:dyDescent="0.15"/>
    <row r="34432" s="69" customFormat="1" x14ac:dyDescent="0.15"/>
    <row r="34433" s="69" customFormat="1" x14ac:dyDescent="0.15"/>
    <row r="34434" s="69" customFormat="1" x14ac:dyDescent="0.15"/>
    <row r="34435" s="69" customFormat="1" x14ac:dyDescent="0.15"/>
    <row r="34436" s="69" customFormat="1" x14ac:dyDescent="0.15"/>
    <row r="34437" s="69" customFormat="1" x14ac:dyDescent="0.15"/>
    <row r="34438" s="69" customFormat="1" x14ac:dyDescent="0.15"/>
    <row r="34439" s="69" customFormat="1" x14ac:dyDescent="0.15"/>
    <row r="34440" s="69" customFormat="1" x14ac:dyDescent="0.15"/>
    <row r="34441" s="69" customFormat="1" x14ac:dyDescent="0.15"/>
    <row r="34442" s="69" customFormat="1" x14ac:dyDescent="0.15"/>
    <row r="34443" s="69" customFormat="1" x14ac:dyDescent="0.15"/>
    <row r="34444" s="69" customFormat="1" x14ac:dyDescent="0.15"/>
    <row r="34445" s="69" customFormat="1" x14ac:dyDescent="0.15"/>
    <row r="34446" s="69" customFormat="1" x14ac:dyDescent="0.15"/>
    <row r="34447" s="69" customFormat="1" x14ac:dyDescent="0.15"/>
    <row r="34448" s="69" customFormat="1" x14ac:dyDescent="0.15"/>
    <row r="34449" s="69" customFormat="1" x14ac:dyDescent="0.15"/>
    <row r="34450" s="69" customFormat="1" x14ac:dyDescent="0.15"/>
    <row r="34451" s="69" customFormat="1" x14ac:dyDescent="0.15"/>
    <row r="34452" s="69" customFormat="1" x14ac:dyDescent="0.15"/>
    <row r="34453" s="69" customFormat="1" x14ac:dyDescent="0.15"/>
    <row r="34454" s="69" customFormat="1" x14ac:dyDescent="0.15"/>
    <row r="34455" s="69" customFormat="1" x14ac:dyDescent="0.15"/>
    <row r="34456" s="69" customFormat="1" x14ac:dyDescent="0.15"/>
    <row r="34457" s="69" customFormat="1" x14ac:dyDescent="0.15"/>
    <row r="34458" s="69" customFormat="1" x14ac:dyDescent="0.15"/>
    <row r="34459" s="69" customFormat="1" x14ac:dyDescent="0.15"/>
    <row r="34460" s="69" customFormat="1" x14ac:dyDescent="0.15"/>
    <row r="34461" s="69" customFormat="1" x14ac:dyDescent="0.15"/>
    <row r="34462" s="69" customFormat="1" x14ac:dyDescent="0.15"/>
    <row r="34463" s="69" customFormat="1" x14ac:dyDescent="0.15"/>
    <row r="34464" s="69" customFormat="1" x14ac:dyDescent="0.15"/>
    <row r="34465" s="69" customFormat="1" x14ac:dyDescent="0.15"/>
    <row r="34466" s="69" customFormat="1" x14ac:dyDescent="0.15"/>
    <row r="34467" s="69" customFormat="1" x14ac:dyDescent="0.15"/>
    <row r="34468" s="69" customFormat="1" x14ac:dyDescent="0.15"/>
    <row r="34469" s="69" customFormat="1" x14ac:dyDescent="0.15"/>
    <row r="34470" s="69" customFormat="1" x14ac:dyDescent="0.15"/>
    <row r="34471" s="69" customFormat="1" x14ac:dyDescent="0.15"/>
    <row r="34472" s="69" customFormat="1" x14ac:dyDescent="0.15"/>
    <row r="34473" s="69" customFormat="1" x14ac:dyDescent="0.15"/>
    <row r="34474" s="69" customFormat="1" x14ac:dyDescent="0.15"/>
    <row r="34475" s="69" customFormat="1" x14ac:dyDescent="0.15"/>
    <row r="34476" s="69" customFormat="1" x14ac:dyDescent="0.15"/>
    <row r="34477" s="69" customFormat="1" x14ac:dyDescent="0.15"/>
    <row r="34478" s="69" customFormat="1" x14ac:dyDescent="0.15"/>
    <row r="34479" s="69" customFormat="1" x14ac:dyDescent="0.15"/>
    <row r="34480" s="69" customFormat="1" x14ac:dyDescent="0.15"/>
    <row r="34481" s="69" customFormat="1" x14ac:dyDescent="0.15"/>
    <row r="34482" s="69" customFormat="1" x14ac:dyDescent="0.15"/>
    <row r="34483" s="69" customFormat="1" x14ac:dyDescent="0.15"/>
    <row r="34484" s="69" customFormat="1" x14ac:dyDescent="0.15"/>
    <row r="34485" s="69" customFormat="1" x14ac:dyDescent="0.15"/>
    <row r="34486" s="69" customFormat="1" x14ac:dyDescent="0.15"/>
    <row r="34487" s="69" customFormat="1" x14ac:dyDescent="0.15"/>
    <row r="34488" s="69" customFormat="1" x14ac:dyDescent="0.15"/>
    <row r="34489" s="69" customFormat="1" x14ac:dyDescent="0.15"/>
    <row r="34490" s="69" customFormat="1" x14ac:dyDescent="0.15"/>
    <row r="34491" s="69" customFormat="1" x14ac:dyDescent="0.15"/>
    <row r="34492" s="69" customFormat="1" x14ac:dyDescent="0.15"/>
    <row r="34493" s="69" customFormat="1" x14ac:dyDescent="0.15"/>
    <row r="34494" s="69" customFormat="1" x14ac:dyDescent="0.15"/>
    <row r="34495" s="69" customFormat="1" x14ac:dyDescent="0.15"/>
    <row r="34496" s="69" customFormat="1" x14ac:dyDescent="0.15"/>
    <row r="34497" s="69" customFormat="1" x14ac:dyDescent="0.15"/>
    <row r="34498" s="69" customFormat="1" x14ac:dyDescent="0.15"/>
    <row r="34499" s="69" customFormat="1" x14ac:dyDescent="0.15"/>
    <row r="34500" s="69" customFormat="1" x14ac:dyDescent="0.15"/>
    <row r="34501" s="69" customFormat="1" x14ac:dyDescent="0.15"/>
    <row r="34502" s="69" customFormat="1" x14ac:dyDescent="0.15"/>
    <row r="34503" s="69" customFormat="1" x14ac:dyDescent="0.15"/>
    <row r="34504" s="69" customFormat="1" x14ac:dyDescent="0.15"/>
    <row r="34505" s="69" customFormat="1" x14ac:dyDescent="0.15"/>
    <row r="34506" s="69" customFormat="1" x14ac:dyDescent="0.15"/>
    <row r="34507" s="69" customFormat="1" x14ac:dyDescent="0.15"/>
    <row r="34508" s="69" customFormat="1" x14ac:dyDescent="0.15"/>
    <row r="34509" s="69" customFormat="1" x14ac:dyDescent="0.15"/>
    <row r="34510" s="69" customFormat="1" x14ac:dyDescent="0.15"/>
    <row r="34511" s="69" customFormat="1" x14ac:dyDescent="0.15"/>
    <row r="34512" s="69" customFormat="1" x14ac:dyDescent="0.15"/>
    <row r="34513" s="69" customFormat="1" x14ac:dyDescent="0.15"/>
    <row r="34514" s="69" customFormat="1" x14ac:dyDescent="0.15"/>
    <row r="34515" s="69" customFormat="1" x14ac:dyDescent="0.15"/>
    <row r="34516" s="69" customFormat="1" x14ac:dyDescent="0.15"/>
    <row r="34517" s="69" customFormat="1" x14ac:dyDescent="0.15"/>
    <row r="34518" s="69" customFormat="1" x14ac:dyDescent="0.15"/>
    <row r="34519" s="69" customFormat="1" x14ac:dyDescent="0.15"/>
    <row r="34520" s="69" customFormat="1" x14ac:dyDescent="0.15"/>
    <row r="34521" s="69" customFormat="1" x14ac:dyDescent="0.15"/>
    <row r="34522" s="69" customFormat="1" x14ac:dyDescent="0.15"/>
    <row r="34523" s="69" customFormat="1" x14ac:dyDescent="0.15"/>
    <row r="34524" s="69" customFormat="1" x14ac:dyDescent="0.15"/>
    <row r="34525" s="69" customFormat="1" x14ac:dyDescent="0.15"/>
    <row r="34526" s="69" customFormat="1" x14ac:dyDescent="0.15"/>
    <row r="34527" s="69" customFormat="1" x14ac:dyDescent="0.15"/>
    <row r="34528" s="69" customFormat="1" x14ac:dyDescent="0.15"/>
    <row r="34529" s="69" customFormat="1" x14ac:dyDescent="0.15"/>
    <row r="34530" s="69" customFormat="1" x14ac:dyDescent="0.15"/>
    <row r="34531" s="69" customFormat="1" x14ac:dyDescent="0.15"/>
    <row r="34532" s="69" customFormat="1" x14ac:dyDescent="0.15"/>
    <row r="34533" s="69" customFormat="1" x14ac:dyDescent="0.15"/>
    <row r="34534" s="69" customFormat="1" x14ac:dyDescent="0.15"/>
    <row r="34535" s="69" customFormat="1" x14ac:dyDescent="0.15"/>
    <row r="34536" s="69" customFormat="1" x14ac:dyDescent="0.15"/>
    <row r="34537" s="69" customFormat="1" x14ac:dyDescent="0.15"/>
    <row r="34538" s="69" customFormat="1" x14ac:dyDescent="0.15"/>
    <row r="34539" s="69" customFormat="1" x14ac:dyDescent="0.15"/>
    <row r="34540" s="69" customFormat="1" x14ac:dyDescent="0.15"/>
    <row r="34541" s="69" customFormat="1" x14ac:dyDescent="0.15"/>
    <row r="34542" s="69" customFormat="1" x14ac:dyDescent="0.15"/>
    <row r="34543" s="69" customFormat="1" x14ac:dyDescent="0.15"/>
    <row r="34544" s="69" customFormat="1" x14ac:dyDescent="0.15"/>
    <row r="34545" s="69" customFormat="1" x14ac:dyDescent="0.15"/>
    <row r="34546" s="69" customFormat="1" x14ac:dyDescent="0.15"/>
    <row r="34547" s="69" customFormat="1" x14ac:dyDescent="0.15"/>
    <row r="34548" s="69" customFormat="1" x14ac:dyDescent="0.15"/>
    <row r="34549" s="69" customFormat="1" x14ac:dyDescent="0.15"/>
    <row r="34550" s="69" customFormat="1" x14ac:dyDescent="0.15"/>
    <row r="34551" s="69" customFormat="1" x14ac:dyDescent="0.15"/>
    <row r="34552" s="69" customFormat="1" x14ac:dyDescent="0.15"/>
    <row r="34553" s="69" customFormat="1" x14ac:dyDescent="0.15"/>
    <row r="34554" s="69" customFormat="1" x14ac:dyDescent="0.15"/>
    <row r="34555" s="69" customFormat="1" x14ac:dyDescent="0.15"/>
    <row r="34556" s="69" customFormat="1" x14ac:dyDescent="0.15"/>
    <row r="34557" s="69" customFormat="1" x14ac:dyDescent="0.15"/>
    <row r="34558" s="69" customFormat="1" x14ac:dyDescent="0.15"/>
    <row r="34559" s="69" customFormat="1" x14ac:dyDescent="0.15"/>
    <row r="34560" s="69" customFormat="1" x14ac:dyDescent="0.15"/>
    <row r="34561" s="69" customFormat="1" x14ac:dyDescent="0.15"/>
    <row r="34562" s="69" customFormat="1" x14ac:dyDescent="0.15"/>
    <row r="34563" s="69" customFormat="1" x14ac:dyDescent="0.15"/>
    <row r="34564" s="69" customFormat="1" x14ac:dyDescent="0.15"/>
    <row r="34565" s="69" customFormat="1" x14ac:dyDescent="0.15"/>
    <row r="34566" s="69" customFormat="1" x14ac:dyDescent="0.15"/>
    <row r="34567" s="69" customFormat="1" x14ac:dyDescent="0.15"/>
    <row r="34568" s="69" customFormat="1" x14ac:dyDescent="0.15"/>
    <row r="34569" s="69" customFormat="1" x14ac:dyDescent="0.15"/>
    <row r="34570" s="69" customFormat="1" x14ac:dyDescent="0.15"/>
    <row r="34571" s="69" customFormat="1" x14ac:dyDescent="0.15"/>
    <row r="34572" s="69" customFormat="1" x14ac:dyDescent="0.15"/>
    <row r="34573" s="69" customFormat="1" x14ac:dyDescent="0.15"/>
    <row r="34574" s="69" customFormat="1" x14ac:dyDescent="0.15"/>
    <row r="34575" s="69" customFormat="1" x14ac:dyDescent="0.15"/>
    <row r="34576" s="69" customFormat="1" x14ac:dyDescent="0.15"/>
    <row r="34577" s="69" customFormat="1" x14ac:dyDescent="0.15"/>
    <row r="34578" s="69" customFormat="1" x14ac:dyDescent="0.15"/>
    <row r="34579" s="69" customFormat="1" x14ac:dyDescent="0.15"/>
    <row r="34580" s="69" customFormat="1" x14ac:dyDescent="0.15"/>
    <row r="34581" s="69" customFormat="1" x14ac:dyDescent="0.15"/>
    <row r="34582" s="69" customFormat="1" x14ac:dyDescent="0.15"/>
    <row r="34583" s="69" customFormat="1" x14ac:dyDescent="0.15"/>
    <row r="34584" s="69" customFormat="1" x14ac:dyDescent="0.15"/>
    <row r="34585" s="69" customFormat="1" x14ac:dyDescent="0.15"/>
    <row r="34586" s="69" customFormat="1" x14ac:dyDescent="0.15"/>
    <row r="34587" s="69" customFormat="1" x14ac:dyDescent="0.15"/>
    <row r="34588" s="69" customFormat="1" x14ac:dyDescent="0.15"/>
    <row r="34589" s="69" customFormat="1" x14ac:dyDescent="0.15"/>
    <row r="34590" s="69" customFormat="1" x14ac:dyDescent="0.15"/>
    <row r="34591" s="69" customFormat="1" x14ac:dyDescent="0.15"/>
    <row r="34592" s="69" customFormat="1" x14ac:dyDescent="0.15"/>
    <row r="34593" s="69" customFormat="1" x14ac:dyDescent="0.15"/>
    <row r="34594" s="69" customFormat="1" x14ac:dyDescent="0.15"/>
    <row r="34595" s="69" customFormat="1" x14ac:dyDescent="0.15"/>
    <row r="34596" s="69" customFormat="1" x14ac:dyDescent="0.15"/>
    <row r="34597" s="69" customFormat="1" x14ac:dyDescent="0.15"/>
    <row r="34598" s="69" customFormat="1" x14ac:dyDescent="0.15"/>
    <row r="34599" s="69" customFormat="1" x14ac:dyDescent="0.15"/>
    <row r="34600" s="69" customFormat="1" x14ac:dyDescent="0.15"/>
    <row r="34601" s="69" customFormat="1" x14ac:dyDescent="0.15"/>
    <row r="34602" s="69" customFormat="1" x14ac:dyDescent="0.15"/>
    <row r="34603" s="69" customFormat="1" x14ac:dyDescent="0.15"/>
    <row r="34604" s="69" customFormat="1" x14ac:dyDescent="0.15"/>
    <row r="34605" s="69" customFormat="1" x14ac:dyDescent="0.15"/>
    <row r="34606" s="69" customFormat="1" x14ac:dyDescent="0.15"/>
    <row r="34607" s="69" customFormat="1" x14ac:dyDescent="0.15"/>
    <row r="34608" s="69" customFormat="1" x14ac:dyDescent="0.15"/>
    <row r="34609" s="69" customFormat="1" x14ac:dyDescent="0.15"/>
    <row r="34610" s="69" customFormat="1" x14ac:dyDescent="0.15"/>
    <row r="34611" s="69" customFormat="1" x14ac:dyDescent="0.15"/>
    <row r="34612" s="69" customFormat="1" x14ac:dyDescent="0.15"/>
    <row r="34613" s="69" customFormat="1" x14ac:dyDescent="0.15"/>
    <row r="34614" s="69" customFormat="1" x14ac:dyDescent="0.15"/>
    <row r="34615" s="69" customFormat="1" x14ac:dyDescent="0.15"/>
    <row r="34616" s="69" customFormat="1" x14ac:dyDescent="0.15"/>
    <row r="34617" s="69" customFormat="1" x14ac:dyDescent="0.15"/>
    <row r="34618" s="69" customFormat="1" x14ac:dyDescent="0.15"/>
    <row r="34619" s="69" customFormat="1" x14ac:dyDescent="0.15"/>
    <row r="34620" s="69" customFormat="1" x14ac:dyDescent="0.15"/>
    <row r="34621" s="69" customFormat="1" x14ac:dyDescent="0.15"/>
    <row r="34622" s="69" customFormat="1" x14ac:dyDescent="0.15"/>
    <row r="34623" s="69" customFormat="1" x14ac:dyDescent="0.15"/>
    <row r="34624" s="69" customFormat="1" x14ac:dyDescent="0.15"/>
    <row r="34625" s="69" customFormat="1" x14ac:dyDescent="0.15"/>
    <row r="34626" s="69" customFormat="1" x14ac:dyDescent="0.15"/>
    <row r="34627" s="69" customFormat="1" x14ac:dyDescent="0.15"/>
    <row r="34628" s="69" customFormat="1" x14ac:dyDescent="0.15"/>
    <row r="34629" s="69" customFormat="1" x14ac:dyDescent="0.15"/>
    <row r="34630" s="69" customFormat="1" x14ac:dyDescent="0.15"/>
    <row r="34631" s="69" customFormat="1" x14ac:dyDescent="0.15"/>
    <row r="34632" s="69" customFormat="1" x14ac:dyDescent="0.15"/>
    <row r="34633" s="69" customFormat="1" x14ac:dyDescent="0.15"/>
    <row r="34634" s="69" customFormat="1" x14ac:dyDescent="0.15"/>
    <row r="34635" s="69" customFormat="1" x14ac:dyDescent="0.15"/>
    <row r="34636" s="69" customFormat="1" x14ac:dyDescent="0.15"/>
    <row r="34637" s="69" customFormat="1" x14ac:dyDescent="0.15"/>
    <row r="34638" s="69" customFormat="1" x14ac:dyDescent="0.15"/>
    <row r="34639" s="69" customFormat="1" x14ac:dyDescent="0.15"/>
    <row r="34640" s="69" customFormat="1" x14ac:dyDescent="0.15"/>
    <row r="34641" s="69" customFormat="1" x14ac:dyDescent="0.15"/>
    <row r="34642" s="69" customFormat="1" x14ac:dyDescent="0.15"/>
    <row r="34643" s="69" customFormat="1" x14ac:dyDescent="0.15"/>
    <row r="34644" s="69" customFormat="1" x14ac:dyDescent="0.15"/>
    <row r="34645" s="69" customFormat="1" x14ac:dyDescent="0.15"/>
    <row r="34646" s="69" customFormat="1" x14ac:dyDescent="0.15"/>
    <row r="34647" s="69" customFormat="1" x14ac:dyDescent="0.15"/>
    <row r="34648" s="69" customFormat="1" x14ac:dyDescent="0.15"/>
    <row r="34649" s="69" customFormat="1" x14ac:dyDescent="0.15"/>
    <row r="34650" s="69" customFormat="1" x14ac:dyDescent="0.15"/>
    <row r="34651" s="69" customFormat="1" x14ac:dyDescent="0.15"/>
    <row r="34652" s="69" customFormat="1" x14ac:dyDescent="0.15"/>
    <row r="34653" s="69" customFormat="1" x14ac:dyDescent="0.15"/>
    <row r="34654" s="69" customFormat="1" x14ac:dyDescent="0.15"/>
    <row r="34655" s="69" customFormat="1" x14ac:dyDescent="0.15"/>
    <row r="34656" s="69" customFormat="1" x14ac:dyDescent="0.15"/>
    <row r="34657" s="69" customFormat="1" x14ac:dyDescent="0.15"/>
    <row r="34658" s="69" customFormat="1" x14ac:dyDescent="0.15"/>
    <row r="34659" s="69" customFormat="1" x14ac:dyDescent="0.15"/>
    <row r="34660" s="69" customFormat="1" x14ac:dyDescent="0.15"/>
    <row r="34661" s="69" customFormat="1" x14ac:dyDescent="0.15"/>
    <row r="34662" s="69" customFormat="1" x14ac:dyDescent="0.15"/>
    <row r="34663" s="69" customFormat="1" x14ac:dyDescent="0.15"/>
    <row r="34664" s="69" customFormat="1" x14ac:dyDescent="0.15"/>
    <row r="34665" s="69" customFormat="1" x14ac:dyDescent="0.15"/>
    <row r="34666" s="69" customFormat="1" x14ac:dyDescent="0.15"/>
    <row r="34667" s="69" customFormat="1" x14ac:dyDescent="0.15"/>
    <row r="34668" s="69" customFormat="1" x14ac:dyDescent="0.15"/>
    <row r="34669" s="69" customFormat="1" x14ac:dyDescent="0.15"/>
    <row r="34670" s="69" customFormat="1" x14ac:dyDescent="0.15"/>
    <row r="34671" s="69" customFormat="1" x14ac:dyDescent="0.15"/>
    <row r="34672" s="69" customFormat="1" x14ac:dyDescent="0.15"/>
    <row r="34673" s="69" customFormat="1" x14ac:dyDescent="0.15"/>
    <row r="34674" s="69" customFormat="1" x14ac:dyDescent="0.15"/>
    <row r="34675" s="69" customFormat="1" x14ac:dyDescent="0.15"/>
    <row r="34676" s="69" customFormat="1" x14ac:dyDescent="0.15"/>
    <row r="34677" s="69" customFormat="1" x14ac:dyDescent="0.15"/>
    <row r="34678" s="69" customFormat="1" x14ac:dyDescent="0.15"/>
    <row r="34679" s="69" customFormat="1" x14ac:dyDescent="0.15"/>
    <row r="34680" s="69" customFormat="1" x14ac:dyDescent="0.15"/>
    <row r="34681" s="69" customFormat="1" x14ac:dyDescent="0.15"/>
    <row r="34682" s="69" customFormat="1" x14ac:dyDescent="0.15"/>
    <row r="34683" s="69" customFormat="1" x14ac:dyDescent="0.15"/>
    <row r="34684" s="69" customFormat="1" x14ac:dyDescent="0.15"/>
    <row r="34685" s="69" customFormat="1" x14ac:dyDescent="0.15"/>
    <row r="34686" s="69" customFormat="1" x14ac:dyDescent="0.15"/>
    <row r="34687" s="69" customFormat="1" x14ac:dyDescent="0.15"/>
    <row r="34688" s="69" customFormat="1" x14ac:dyDescent="0.15"/>
    <row r="34689" s="69" customFormat="1" x14ac:dyDescent="0.15"/>
    <row r="34690" s="69" customFormat="1" x14ac:dyDescent="0.15"/>
    <row r="34691" s="69" customFormat="1" x14ac:dyDescent="0.15"/>
    <row r="34692" s="69" customFormat="1" x14ac:dyDescent="0.15"/>
    <row r="34693" s="69" customFormat="1" x14ac:dyDescent="0.15"/>
    <row r="34694" s="69" customFormat="1" x14ac:dyDescent="0.15"/>
    <row r="34695" s="69" customFormat="1" x14ac:dyDescent="0.15"/>
    <row r="34696" s="69" customFormat="1" x14ac:dyDescent="0.15"/>
    <row r="34697" s="69" customFormat="1" x14ac:dyDescent="0.15"/>
    <row r="34698" s="69" customFormat="1" x14ac:dyDescent="0.15"/>
    <row r="34699" s="69" customFormat="1" x14ac:dyDescent="0.15"/>
    <row r="34700" s="69" customFormat="1" x14ac:dyDescent="0.15"/>
    <row r="34701" s="69" customFormat="1" x14ac:dyDescent="0.15"/>
    <row r="34702" s="69" customFormat="1" x14ac:dyDescent="0.15"/>
    <row r="34703" s="69" customFormat="1" x14ac:dyDescent="0.15"/>
    <row r="34704" s="69" customFormat="1" x14ac:dyDescent="0.15"/>
    <row r="34705" s="69" customFormat="1" x14ac:dyDescent="0.15"/>
    <row r="34706" s="69" customFormat="1" x14ac:dyDescent="0.15"/>
    <row r="34707" s="69" customFormat="1" x14ac:dyDescent="0.15"/>
    <row r="34708" s="69" customFormat="1" x14ac:dyDescent="0.15"/>
    <row r="34709" s="69" customFormat="1" x14ac:dyDescent="0.15"/>
    <row r="34710" s="69" customFormat="1" x14ac:dyDescent="0.15"/>
    <row r="34711" s="69" customFormat="1" x14ac:dyDescent="0.15"/>
    <row r="34712" s="69" customFormat="1" x14ac:dyDescent="0.15"/>
    <row r="34713" s="69" customFormat="1" x14ac:dyDescent="0.15"/>
    <row r="34714" s="69" customFormat="1" x14ac:dyDescent="0.15"/>
    <row r="34715" s="69" customFormat="1" x14ac:dyDescent="0.15"/>
    <row r="34716" s="69" customFormat="1" x14ac:dyDescent="0.15"/>
    <row r="34717" s="69" customFormat="1" x14ac:dyDescent="0.15"/>
    <row r="34718" s="69" customFormat="1" x14ac:dyDescent="0.15"/>
    <row r="34719" s="69" customFormat="1" x14ac:dyDescent="0.15"/>
    <row r="34720" s="69" customFormat="1" x14ac:dyDescent="0.15"/>
    <row r="34721" s="69" customFormat="1" x14ac:dyDescent="0.15"/>
    <row r="34722" s="69" customFormat="1" x14ac:dyDescent="0.15"/>
    <row r="34723" s="69" customFormat="1" x14ac:dyDescent="0.15"/>
    <row r="34724" s="69" customFormat="1" x14ac:dyDescent="0.15"/>
    <row r="34725" s="69" customFormat="1" x14ac:dyDescent="0.15"/>
    <row r="34726" s="69" customFormat="1" x14ac:dyDescent="0.15"/>
    <row r="34727" s="69" customFormat="1" x14ac:dyDescent="0.15"/>
    <row r="34728" s="69" customFormat="1" x14ac:dyDescent="0.15"/>
    <row r="34729" s="69" customFormat="1" x14ac:dyDescent="0.15"/>
    <row r="34730" s="69" customFormat="1" x14ac:dyDescent="0.15"/>
    <row r="34731" s="69" customFormat="1" x14ac:dyDescent="0.15"/>
    <row r="34732" s="69" customFormat="1" x14ac:dyDescent="0.15"/>
    <row r="34733" s="69" customFormat="1" x14ac:dyDescent="0.15"/>
    <row r="34734" s="69" customFormat="1" x14ac:dyDescent="0.15"/>
    <row r="34735" s="69" customFormat="1" x14ac:dyDescent="0.15"/>
    <row r="34736" s="69" customFormat="1" x14ac:dyDescent="0.15"/>
    <row r="34737" s="69" customFormat="1" x14ac:dyDescent="0.15"/>
    <row r="34738" s="69" customFormat="1" x14ac:dyDescent="0.15"/>
    <row r="34739" s="69" customFormat="1" x14ac:dyDescent="0.15"/>
    <row r="34740" s="69" customFormat="1" x14ac:dyDescent="0.15"/>
    <row r="34741" s="69" customFormat="1" x14ac:dyDescent="0.15"/>
    <row r="34742" s="69" customFormat="1" x14ac:dyDescent="0.15"/>
    <row r="34743" s="69" customFormat="1" x14ac:dyDescent="0.15"/>
    <row r="34744" s="69" customFormat="1" x14ac:dyDescent="0.15"/>
    <row r="34745" s="69" customFormat="1" x14ac:dyDescent="0.15"/>
    <row r="34746" s="69" customFormat="1" x14ac:dyDescent="0.15"/>
    <row r="34747" s="69" customFormat="1" x14ac:dyDescent="0.15"/>
    <row r="34748" s="69" customFormat="1" x14ac:dyDescent="0.15"/>
    <row r="34749" s="69" customFormat="1" x14ac:dyDescent="0.15"/>
    <row r="34750" s="69" customFormat="1" x14ac:dyDescent="0.15"/>
    <row r="34751" s="69" customFormat="1" x14ac:dyDescent="0.15"/>
    <row r="34752" s="69" customFormat="1" x14ac:dyDescent="0.15"/>
    <row r="34753" s="69" customFormat="1" x14ac:dyDescent="0.15"/>
    <row r="34754" s="69" customFormat="1" x14ac:dyDescent="0.15"/>
    <row r="34755" s="69" customFormat="1" x14ac:dyDescent="0.15"/>
    <row r="34756" s="69" customFormat="1" x14ac:dyDescent="0.15"/>
    <row r="34757" s="69" customFormat="1" x14ac:dyDescent="0.15"/>
    <row r="34758" s="69" customFormat="1" x14ac:dyDescent="0.15"/>
    <row r="34759" s="69" customFormat="1" x14ac:dyDescent="0.15"/>
    <row r="34760" s="69" customFormat="1" x14ac:dyDescent="0.15"/>
    <row r="34761" s="69" customFormat="1" x14ac:dyDescent="0.15"/>
    <row r="34762" s="69" customFormat="1" x14ac:dyDescent="0.15"/>
    <row r="34763" s="69" customFormat="1" x14ac:dyDescent="0.15"/>
    <row r="34764" s="69" customFormat="1" x14ac:dyDescent="0.15"/>
    <row r="34765" s="69" customFormat="1" x14ac:dyDescent="0.15"/>
    <row r="34766" s="69" customFormat="1" x14ac:dyDescent="0.15"/>
    <row r="34767" s="69" customFormat="1" x14ac:dyDescent="0.15"/>
    <row r="34768" s="69" customFormat="1" x14ac:dyDescent="0.15"/>
    <row r="34769" s="69" customFormat="1" x14ac:dyDescent="0.15"/>
    <row r="34770" s="69" customFormat="1" x14ac:dyDescent="0.15"/>
    <row r="34771" s="69" customFormat="1" x14ac:dyDescent="0.15"/>
    <row r="34772" s="69" customFormat="1" x14ac:dyDescent="0.15"/>
    <row r="34773" s="69" customFormat="1" x14ac:dyDescent="0.15"/>
    <row r="34774" s="69" customFormat="1" x14ac:dyDescent="0.15"/>
    <row r="34775" s="69" customFormat="1" x14ac:dyDescent="0.15"/>
    <row r="34776" s="69" customFormat="1" x14ac:dyDescent="0.15"/>
    <row r="34777" s="69" customFormat="1" x14ac:dyDescent="0.15"/>
    <row r="34778" s="69" customFormat="1" x14ac:dyDescent="0.15"/>
    <row r="34779" s="69" customFormat="1" x14ac:dyDescent="0.15"/>
    <row r="34780" s="69" customFormat="1" x14ac:dyDescent="0.15"/>
    <row r="34781" s="69" customFormat="1" x14ac:dyDescent="0.15"/>
    <row r="34782" s="69" customFormat="1" x14ac:dyDescent="0.15"/>
    <row r="34783" s="69" customFormat="1" x14ac:dyDescent="0.15"/>
    <row r="34784" s="69" customFormat="1" x14ac:dyDescent="0.15"/>
    <row r="34785" s="69" customFormat="1" x14ac:dyDescent="0.15"/>
    <row r="34786" s="69" customFormat="1" x14ac:dyDescent="0.15"/>
    <row r="34787" s="69" customFormat="1" x14ac:dyDescent="0.15"/>
    <row r="34788" s="69" customFormat="1" x14ac:dyDescent="0.15"/>
    <row r="34789" s="69" customFormat="1" x14ac:dyDescent="0.15"/>
    <row r="34790" s="69" customFormat="1" x14ac:dyDescent="0.15"/>
    <row r="34791" s="69" customFormat="1" x14ac:dyDescent="0.15"/>
    <row r="34792" s="69" customFormat="1" x14ac:dyDescent="0.15"/>
    <row r="34793" s="69" customFormat="1" x14ac:dyDescent="0.15"/>
    <row r="34794" s="69" customFormat="1" x14ac:dyDescent="0.15"/>
    <row r="34795" s="69" customFormat="1" x14ac:dyDescent="0.15"/>
    <row r="34796" s="69" customFormat="1" x14ac:dyDescent="0.15"/>
    <row r="34797" s="69" customFormat="1" x14ac:dyDescent="0.15"/>
    <row r="34798" s="69" customFormat="1" x14ac:dyDescent="0.15"/>
    <row r="34799" s="69" customFormat="1" x14ac:dyDescent="0.15"/>
    <row r="34800" s="69" customFormat="1" x14ac:dyDescent="0.15"/>
    <row r="34801" s="69" customFormat="1" x14ac:dyDescent="0.15"/>
    <row r="34802" s="69" customFormat="1" x14ac:dyDescent="0.15"/>
    <row r="34803" s="69" customFormat="1" x14ac:dyDescent="0.15"/>
    <row r="34804" s="69" customFormat="1" x14ac:dyDescent="0.15"/>
    <row r="34805" s="69" customFormat="1" x14ac:dyDescent="0.15"/>
    <row r="34806" s="69" customFormat="1" x14ac:dyDescent="0.15"/>
    <row r="34807" s="69" customFormat="1" x14ac:dyDescent="0.15"/>
    <row r="34808" s="69" customFormat="1" x14ac:dyDescent="0.15"/>
    <row r="34809" s="69" customFormat="1" x14ac:dyDescent="0.15"/>
    <row r="34810" s="69" customFormat="1" x14ac:dyDescent="0.15"/>
    <row r="34811" s="69" customFormat="1" x14ac:dyDescent="0.15"/>
    <row r="34812" s="69" customFormat="1" x14ac:dyDescent="0.15"/>
    <row r="34813" s="69" customFormat="1" x14ac:dyDescent="0.15"/>
    <row r="34814" s="69" customFormat="1" x14ac:dyDescent="0.15"/>
    <row r="34815" s="69" customFormat="1" x14ac:dyDescent="0.15"/>
    <row r="34816" s="69" customFormat="1" x14ac:dyDescent="0.15"/>
    <row r="34817" s="69" customFormat="1" x14ac:dyDescent="0.15"/>
    <row r="34818" s="69" customFormat="1" x14ac:dyDescent="0.15"/>
    <row r="34819" s="69" customFormat="1" x14ac:dyDescent="0.15"/>
    <row r="34820" s="69" customFormat="1" x14ac:dyDescent="0.15"/>
    <row r="34821" s="69" customFormat="1" x14ac:dyDescent="0.15"/>
    <row r="34822" s="69" customFormat="1" x14ac:dyDescent="0.15"/>
    <row r="34823" s="69" customFormat="1" x14ac:dyDescent="0.15"/>
    <row r="34824" s="69" customFormat="1" x14ac:dyDescent="0.15"/>
    <row r="34825" s="69" customFormat="1" x14ac:dyDescent="0.15"/>
    <row r="34826" s="69" customFormat="1" x14ac:dyDescent="0.15"/>
    <row r="34827" s="69" customFormat="1" x14ac:dyDescent="0.15"/>
    <row r="34828" s="69" customFormat="1" x14ac:dyDescent="0.15"/>
    <row r="34829" s="69" customFormat="1" x14ac:dyDescent="0.15"/>
    <row r="34830" s="69" customFormat="1" x14ac:dyDescent="0.15"/>
    <row r="34831" s="69" customFormat="1" x14ac:dyDescent="0.15"/>
    <row r="34832" s="69" customFormat="1" x14ac:dyDescent="0.15"/>
    <row r="34833" s="69" customFormat="1" x14ac:dyDescent="0.15"/>
    <row r="34834" s="69" customFormat="1" x14ac:dyDescent="0.15"/>
    <row r="34835" s="69" customFormat="1" x14ac:dyDescent="0.15"/>
    <row r="34836" s="69" customFormat="1" x14ac:dyDescent="0.15"/>
    <row r="34837" s="69" customFormat="1" x14ac:dyDescent="0.15"/>
    <row r="34838" s="69" customFormat="1" x14ac:dyDescent="0.15"/>
    <row r="34839" s="69" customFormat="1" x14ac:dyDescent="0.15"/>
    <row r="34840" s="69" customFormat="1" x14ac:dyDescent="0.15"/>
    <row r="34841" s="69" customFormat="1" x14ac:dyDescent="0.15"/>
    <row r="34842" s="69" customFormat="1" x14ac:dyDescent="0.15"/>
    <row r="34843" s="69" customFormat="1" x14ac:dyDescent="0.15"/>
    <row r="34844" s="69" customFormat="1" x14ac:dyDescent="0.15"/>
    <row r="34845" s="69" customFormat="1" x14ac:dyDescent="0.15"/>
    <row r="34846" s="69" customFormat="1" x14ac:dyDescent="0.15"/>
    <row r="34847" s="69" customFormat="1" x14ac:dyDescent="0.15"/>
    <row r="34848" s="69" customFormat="1" x14ac:dyDescent="0.15"/>
    <row r="34849" s="69" customFormat="1" x14ac:dyDescent="0.15"/>
    <row r="34850" s="69" customFormat="1" x14ac:dyDescent="0.15"/>
    <row r="34851" s="69" customFormat="1" x14ac:dyDescent="0.15"/>
    <row r="34852" s="69" customFormat="1" x14ac:dyDescent="0.15"/>
    <row r="34853" s="69" customFormat="1" x14ac:dyDescent="0.15"/>
    <row r="34854" s="69" customFormat="1" x14ac:dyDescent="0.15"/>
    <row r="34855" s="69" customFormat="1" x14ac:dyDescent="0.15"/>
    <row r="34856" s="69" customFormat="1" x14ac:dyDescent="0.15"/>
    <row r="34857" s="69" customFormat="1" x14ac:dyDescent="0.15"/>
    <row r="34858" s="69" customFormat="1" x14ac:dyDescent="0.15"/>
    <row r="34859" s="69" customFormat="1" x14ac:dyDescent="0.15"/>
    <row r="34860" s="69" customFormat="1" x14ac:dyDescent="0.15"/>
    <row r="34861" s="69" customFormat="1" x14ac:dyDescent="0.15"/>
    <row r="34862" s="69" customFormat="1" x14ac:dyDescent="0.15"/>
    <row r="34863" s="69" customFormat="1" x14ac:dyDescent="0.15"/>
    <row r="34864" s="69" customFormat="1" x14ac:dyDescent="0.15"/>
    <row r="34865" s="69" customFormat="1" x14ac:dyDescent="0.15"/>
    <row r="34866" s="69" customFormat="1" x14ac:dyDescent="0.15"/>
    <row r="34867" s="69" customFormat="1" x14ac:dyDescent="0.15"/>
    <row r="34868" s="69" customFormat="1" x14ac:dyDescent="0.15"/>
    <row r="34869" s="69" customFormat="1" x14ac:dyDescent="0.15"/>
    <row r="34870" s="69" customFormat="1" x14ac:dyDescent="0.15"/>
    <row r="34871" s="69" customFormat="1" x14ac:dyDescent="0.15"/>
    <row r="34872" s="69" customFormat="1" x14ac:dyDescent="0.15"/>
    <row r="34873" s="69" customFormat="1" x14ac:dyDescent="0.15"/>
    <row r="34874" s="69" customFormat="1" x14ac:dyDescent="0.15"/>
    <row r="34875" s="69" customFormat="1" x14ac:dyDescent="0.15"/>
    <row r="34876" s="69" customFormat="1" x14ac:dyDescent="0.15"/>
    <row r="34877" s="69" customFormat="1" x14ac:dyDescent="0.15"/>
    <row r="34878" s="69" customFormat="1" x14ac:dyDescent="0.15"/>
    <row r="34879" s="69" customFormat="1" x14ac:dyDescent="0.15"/>
    <row r="34880" s="69" customFormat="1" x14ac:dyDescent="0.15"/>
    <row r="34881" s="69" customFormat="1" x14ac:dyDescent="0.15"/>
    <row r="34882" s="69" customFormat="1" x14ac:dyDescent="0.15"/>
    <row r="34883" s="69" customFormat="1" x14ac:dyDescent="0.15"/>
    <row r="34884" s="69" customFormat="1" x14ac:dyDescent="0.15"/>
    <row r="34885" s="69" customFormat="1" x14ac:dyDescent="0.15"/>
    <row r="34886" s="69" customFormat="1" x14ac:dyDescent="0.15"/>
    <row r="34887" s="69" customFormat="1" x14ac:dyDescent="0.15"/>
    <row r="34888" s="69" customFormat="1" x14ac:dyDescent="0.15"/>
    <row r="34889" s="69" customFormat="1" x14ac:dyDescent="0.15"/>
    <row r="34890" s="69" customFormat="1" x14ac:dyDescent="0.15"/>
    <row r="34891" s="69" customFormat="1" x14ac:dyDescent="0.15"/>
    <row r="34892" s="69" customFormat="1" x14ac:dyDescent="0.15"/>
    <row r="34893" s="69" customFormat="1" x14ac:dyDescent="0.15"/>
    <row r="34894" s="69" customFormat="1" x14ac:dyDescent="0.15"/>
    <row r="34895" s="69" customFormat="1" x14ac:dyDescent="0.15"/>
    <row r="34896" s="69" customFormat="1" x14ac:dyDescent="0.15"/>
    <row r="34897" s="69" customFormat="1" x14ac:dyDescent="0.15"/>
    <row r="34898" s="69" customFormat="1" x14ac:dyDescent="0.15"/>
    <row r="34899" s="69" customFormat="1" x14ac:dyDescent="0.15"/>
    <row r="34900" s="69" customFormat="1" x14ac:dyDescent="0.15"/>
    <row r="34901" s="69" customFormat="1" x14ac:dyDescent="0.15"/>
    <row r="34902" s="69" customFormat="1" x14ac:dyDescent="0.15"/>
    <row r="34903" s="69" customFormat="1" x14ac:dyDescent="0.15"/>
    <row r="34904" s="69" customFormat="1" x14ac:dyDescent="0.15"/>
    <row r="34905" s="69" customFormat="1" x14ac:dyDescent="0.15"/>
    <row r="34906" s="69" customFormat="1" x14ac:dyDescent="0.15"/>
    <row r="34907" s="69" customFormat="1" x14ac:dyDescent="0.15"/>
    <row r="34908" s="69" customFormat="1" x14ac:dyDescent="0.15"/>
    <row r="34909" s="69" customFormat="1" x14ac:dyDescent="0.15"/>
    <row r="34910" s="69" customFormat="1" x14ac:dyDescent="0.15"/>
    <row r="34911" s="69" customFormat="1" x14ac:dyDescent="0.15"/>
    <row r="34912" s="69" customFormat="1" x14ac:dyDescent="0.15"/>
    <row r="34913" s="69" customFormat="1" x14ac:dyDescent="0.15"/>
    <row r="34914" s="69" customFormat="1" x14ac:dyDescent="0.15"/>
    <row r="34915" s="69" customFormat="1" x14ac:dyDescent="0.15"/>
    <row r="34916" s="69" customFormat="1" x14ac:dyDescent="0.15"/>
    <row r="34917" s="69" customFormat="1" x14ac:dyDescent="0.15"/>
    <row r="34918" s="69" customFormat="1" x14ac:dyDescent="0.15"/>
    <row r="34919" s="69" customFormat="1" x14ac:dyDescent="0.15"/>
    <row r="34920" s="69" customFormat="1" x14ac:dyDescent="0.15"/>
    <row r="34921" s="69" customFormat="1" x14ac:dyDescent="0.15"/>
    <row r="34922" s="69" customFormat="1" x14ac:dyDescent="0.15"/>
    <row r="34923" s="69" customFormat="1" x14ac:dyDescent="0.15"/>
    <row r="34924" s="69" customFormat="1" x14ac:dyDescent="0.15"/>
    <row r="34925" s="69" customFormat="1" x14ac:dyDescent="0.15"/>
    <row r="34926" s="69" customFormat="1" x14ac:dyDescent="0.15"/>
    <row r="34927" s="69" customFormat="1" x14ac:dyDescent="0.15"/>
    <row r="34928" s="69" customFormat="1" x14ac:dyDescent="0.15"/>
    <row r="34929" s="69" customFormat="1" x14ac:dyDescent="0.15"/>
    <row r="34930" s="69" customFormat="1" x14ac:dyDescent="0.15"/>
    <row r="34931" s="69" customFormat="1" x14ac:dyDescent="0.15"/>
    <row r="34932" s="69" customFormat="1" x14ac:dyDescent="0.15"/>
    <row r="34933" s="69" customFormat="1" x14ac:dyDescent="0.15"/>
    <row r="34934" s="69" customFormat="1" x14ac:dyDescent="0.15"/>
    <row r="34935" s="69" customFormat="1" x14ac:dyDescent="0.15"/>
    <row r="34936" s="69" customFormat="1" x14ac:dyDescent="0.15"/>
    <row r="34937" s="69" customFormat="1" x14ac:dyDescent="0.15"/>
    <row r="34938" s="69" customFormat="1" x14ac:dyDescent="0.15"/>
    <row r="34939" s="69" customFormat="1" x14ac:dyDescent="0.15"/>
    <row r="34940" s="69" customFormat="1" x14ac:dyDescent="0.15"/>
    <row r="34941" s="69" customFormat="1" x14ac:dyDescent="0.15"/>
    <row r="34942" s="69" customFormat="1" x14ac:dyDescent="0.15"/>
    <row r="34943" s="69" customFormat="1" x14ac:dyDescent="0.15"/>
    <row r="34944" s="69" customFormat="1" x14ac:dyDescent="0.15"/>
    <row r="34945" s="69" customFormat="1" x14ac:dyDescent="0.15"/>
    <row r="34946" s="69" customFormat="1" x14ac:dyDescent="0.15"/>
    <row r="34947" s="69" customFormat="1" x14ac:dyDescent="0.15"/>
    <row r="34948" s="69" customFormat="1" x14ac:dyDescent="0.15"/>
    <row r="34949" s="69" customFormat="1" x14ac:dyDescent="0.15"/>
    <row r="34950" s="69" customFormat="1" x14ac:dyDescent="0.15"/>
    <row r="34951" s="69" customFormat="1" x14ac:dyDescent="0.15"/>
    <row r="34952" s="69" customFormat="1" x14ac:dyDescent="0.15"/>
    <row r="34953" s="69" customFormat="1" x14ac:dyDescent="0.15"/>
    <row r="34954" s="69" customFormat="1" x14ac:dyDescent="0.15"/>
    <row r="34955" s="69" customFormat="1" x14ac:dyDescent="0.15"/>
    <row r="34956" s="69" customFormat="1" x14ac:dyDescent="0.15"/>
    <row r="34957" s="69" customFormat="1" x14ac:dyDescent="0.15"/>
    <row r="34958" s="69" customFormat="1" x14ac:dyDescent="0.15"/>
    <row r="34959" s="69" customFormat="1" x14ac:dyDescent="0.15"/>
    <row r="34960" s="69" customFormat="1" x14ac:dyDescent="0.15"/>
    <row r="34961" s="69" customFormat="1" x14ac:dyDescent="0.15"/>
    <row r="34962" s="69" customFormat="1" x14ac:dyDescent="0.15"/>
    <row r="34963" s="69" customFormat="1" x14ac:dyDescent="0.15"/>
    <row r="34964" s="69" customFormat="1" x14ac:dyDescent="0.15"/>
    <row r="34965" s="69" customFormat="1" x14ac:dyDescent="0.15"/>
    <row r="34966" s="69" customFormat="1" x14ac:dyDescent="0.15"/>
    <row r="34967" s="69" customFormat="1" x14ac:dyDescent="0.15"/>
    <row r="34968" s="69" customFormat="1" x14ac:dyDescent="0.15"/>
    <row r="34969" s="69" customFormat="1" x14ac:dyDescent="0.15"/>
    <row r="34970" s="69" customFormat="1" x14ac:dyDescent="0.15"/>
    <row r="34971" s="69" customFormat="1" x14ac:dyDescent="0.15"/>
    <row r="34972" s="69" customFormat="1" x14ac:dyDescent="0.15"/>
    <row r="34973" s="69" customFormat="1" x14ac:dyDescent="0.15"/>
    <row r="34974" s="69" customFormat="1" x14ac:dyDescent="0.15"/>
    <row r="34975" s="69" customFormat="1" x14ac:dyDescent="0.15"/>
    <row r="34976" s="69" customFormat="1" x14ac:dyDescent="0.15"/>
    <row r="34977" s="69" customFormat="1" x14ac:dyDescent="0.15"/>
    <row r="34978" s="69" customFormat="1" x14ac:dyDescent="0.15"/>
    <row r="34979" s="69" customFormat="1" x14ac:dyDescent="0.15"/>
    <row r="34980" s="69" customFormat="1" x14ac:dyDescent="0.15"/>
    <row r="34981" s="69" customFormat="1" x14ac:dyDescent="0.15"/>
    <row r="34982" s="69" customFormat="1" x14ac:dyDescent="0.15"/>
    <row r="34983" s="69" customFormat="1" x14ac:dyDescent="0.15"/>
    <row r="34984" s="69" customFormat="1" x14ac:dyDescent="0.15"/>
    <row r="34985" s="69" customFormat="1" x14ac:dyDescent="0.15"/>
    <row r="34986" s="69" customFormat="1" x14ac:dyDescent="0.15"/>
    <row r="34987" s="69" customFormat="1" x14ac:dyDescent="0.15"/>
    <row r="34988" s="69" customFormat="1" x14ac:dyDescent="0.15"/>
    <row r="34989" s="69" customFormat="1" x14ac:dyDescent="0.15"/>
    <row r="34990" s="69" customFormat="1" x14ac:dyDescent="0.15"/>
    <row r="34991" s="69" customFormat="1" x14ac:dyDescent="0.15"/>
    <row r="34992" s="69" customFormat="1" x14ac:dyDescent="0.15"/>
    <row r="34993" s="69" customFormat="1" x14ac:dyDescent="0.15"/>
    <row r="34994" s="69" customFormat="1" x14ac:dyDescent="0.15"/>
    <row r="34995" s="69" customFormat="1" x14ac:dyDescent="0.15"/>
    <row r="34996" s="69" customFormat="1" x14ac:dyDescent="0.15"/>
    <row r="34997" s="69" customFormat="1" x14ac:dyDescent="0.15"/>
    <row r="34998" s="69" customFormat="1" x14ac:dyDescent="0.15"/>
    <row r="34999" s="69" customFormat="1" x14ac:dyDescent="0.15"/>
    <row r="35000" s="69" customFormat="1" x14ac:dyDescent="0.15"/>
    <row r="35001" s="69" customFormat="1" x14ac:dyDescent="0.15"/>
    <row r="35002" s="69" customFormat="1" x14ac:dyDescent="0.15"/>
    <row r="35003" s="69" customFormat="1" x14ac:dyDescent="0.15"/>
    <row r="35004" s="69" customFormat="1" x14ac:dyDescent="0.15"/>
    <row r="35005" s="69" customFormat="1" x14ac:dyDescent="0.15"/>
    <row r="35006" s="69" customFormat="1" x14ac:dyDescent="0.15"/>
    <row r="35007" s="69" customFormat="1" x14ac:dyDescent="0.15"/>
    <row r="35008" s="69" customFormat="1" x14ac:dyDescent="0.15"/>
    <row r="35009" s="69" customFormat="1" x14ac:dyDescent="0.15"/>
    <row r="35010" s="69" customFormat="1" x14ac:dyDescent="0.15"/>
    <row r="35011" s="69" customFormat="1" x14ac:dyDescent="0.15"/>
    <row r="35012" s="69" customFormat="1" x14ac:dyDescent="0.15"/>
    <row r="35013" s="69" customFormat="1" x14ac:dyDescent="0.15"/>
    <row r="35014" s="69" customFormat="1" x14ac:dyDescent="0.15"/>
    <row r="35015" s="69" customFormat="1" x14ac:dyDescent="0.15"/>
    <row r="35016" s="69" customFormat="1" x14ac:dyDescent="0.15"/>
    <row r="35017" s="69" customFormat="1" x14ac:dyDescent="0.15"/>
    <row r="35018" s="69" customFormat="1" x14ac:dyDescent="0.15"/>
    <row r="35019" s="69" customFormat="1" x14ac:dyDescent="0.15"/>
    <row r="35020" s="69" customFormat="1" x14ac:dyDescent="0.15"/>
    <row r="35021" s="69" customFormat="1" x14ac:dyDescent="0.15"/>
    <row r="35022" s="69" customFormat="1" x14ac:dyDescent="0.15"/>
    <row r="35023" s="69" customFormat="1" x14ac:dyDescent="0.15"/>
    <row r="35024" s="69" customFormat="1" x14ac:dyDescent="0.15"/>
    <row r="35025" s="69" customFormat="1" x14ac:dyDescent="0.15"/>
    <row r="35026" s="69" customFormat="1" x14ac:dyDescent="0.15"/>
    <row r="35027" s="69" customFormat="1" x14ac:dyDescent="0.15"/>
    <row r="35028" s="69" customFormat="1" x14ac:dyDescent="0.15"/>
    <row r="35029" s="69" customFormat="1" x14ac:dyDescent="0.15"/>
    <row r="35030" s="69" customFormat="1" x14ac:dyDescent="0.15"/>
    <row r="35031" s="69" customFormat="1" x14ac:dyDescent="0.15"/>
    <row r="35032" s="69" customFormat="1" x14ac:dyDescent="0.15"/>
    <row r="35033" s="69" customFormat="1" x14ac:dyDescent="0.15"/>
    <row r="35034" s="69" customFormat="1" x14ac:dyDescent="0.15"/>
    <row r="35035" s="69" customFormat="1" x14ac:dyDescent="0.15"/>
    <row r="35036" s="69" customFormat="1" x14ac:dyDescent="0.15"/>
    <row r="35037" s="69" customFormat="1" x14ac:dyDescent="0.15"/>
    <row r="35038" s="69" customFormat="1" x14ac:dyDescent="0.15"/>
    <row r="35039" s="69" customFormat="1" x14ac:dyDescent="0.15"/>
    <row r="35040" s="69" customFormat="1" x14ac:dyDescent="0.15"/>
    <row r="35041" s="69" customFormat="1" x14ac:dyDescent="0.15"/>
    <row r="35042" s="69" customFormat="1" x14ac:dyDescent="0.15"/>
    <row r="35043" s="69" customFormat="1" x14ac:dyDescent="0.15"/>
    <row r="35044" s="69" customFormat="1" x14ac:dyDescent="0.15"/>
    <row r="35045" s="69" customFormat="1" x14ac:dyDescent="0.15"/>
    <row r="35046" s="69" customFormat="1" x14ac:dyDescent="0.15"/>
    <row r="35047" s="69" customFormat="1" x14ac:dyDescent="0.15"/>
    <row r="35048" s="69" customFormat="1" x14ac:dyDescent="0.15"/>
    <row r="35049" s="69" customFormat="1" x14ac:dyDescent="0.15"/>
    <row r="35050" s="69" customFormat="1" x14ac:dyDescent="0.15"/>
    <row r="35051" s="69" customFormat="1" x14ac:dyDescent="0.15"/>
    <row r="35052" s="69" customFormat="1" x14ac:dyDescent="0.15"/>
    <row r="35053" s="69" customFormat="1" x14ac:dyDescent="0.15"/>
    <row r="35054" s="69" customFormat="1" x14ac:dyDescent="0.15"/>
    <row r="35055" s="69" customFormat="1" x14ac:dyDescent="0.15"/>
    <row r="35056" s="69" customFormat="1" x14ac:dyDescent="0.15"/>
    <row r="35057" s="69" customFormat="1" x14ac:dyDescent="0.15"/>
    <row r="35058" s="69" customFormat="1" x14ac:dyDescent="0.15"/>
    <row r="35059" s="69" customFormat="1" x14ac:dyDescent="0.15"/>
    <row r="35060" s="69" customFormat="1" x14ac:dyDescent="0.15"/>
    <row r="35061" s="69" customFormat="1" x14ac:dyDescent="0.15"/>
    <row r="35062" s="69" customFormat="1" x14ac:dyDescent="0.15"/>
    <row r="35063" s="69" customFormat="1" x14ac:dyDescent="0.15"/>
    <row r="35064" s="69" customFormat="1" x14ac:dyDescent="0.15"/>
    <row r="35065" s="69" customFormat="1" x14ac:dyDescent="0.15"/>
    <row r="35066" s="69" customFormat="1" x14ac:dyDescent="0.15"/>
    <row r="35067" s="69" customFormat="1" x14ac:dyDescent="0.15"/>
    <row r="35068" s="69" customFormat="1" x14ac:dyDescent="0.15"/>
    <row r="35069" s="69" customFormat="1" x14ac:dyDescent="0.15"/>
    <row r="35070" s="69" customFormat="1" x14ac:dyDescent="0.15"/>
    <row r="35071" s="69" customFormat="1" x14ac:dyDescent="0.15"/>
    <row r="35072" s="69" customFormat="1" x14ac:dyDescent="0.15"/>
    <row r="35073" s="69" customFormat="1" x14ac:dyDescent="0.15"/>
    <row r="35074" s="69" customFormat="1" x14ac:dyDescent="0.15"/>
    <row r="35075" s="69" customFormat="1" x14ac:dyDescent="0.15"/>
    <row r="35076" s="69" customFormat="1" x14ac:dyDescent="0.15"/>
    <row r="35077" s="69" customFormat="1" x14ac:dyDescent="0.15"/>
    <row r="35078" s="69" customFormat="1" x14ac:dyDescent="0.15"/>
    <row r="35079" s="69" customFormat="1" x14ac:dyDescent="0.15"/>
    <row r="35080" s="69" customFormat="1" x14ac:dyDescent="0.15"/>
    <row r="35081" s="69" customFormat="1" x14ac:dyDescent="0.15"/>
    <row r="35082" s="69" customFormat="1" x14ac:dyDescent="0.15"/>
    <row r="35083" s="69" customFormat="1" x14ac:dyDescent="0.15"/>
    <row r="35084" s="69" customFormat="1" x14ac:dyDescent="0.15"/>
    <row r="35085" s="69" customFormat="1" x14ac:dyDescent="0.15"/>
    <row r="35086" s="69" customFormat="1" x14ac:dyDescent="0.15"/>
    <row r="35087" s="69" customFormat="1" x14ac:dyDescent="0.15"/>
    <row r="35088" s="69" customFormat="1" x14ac:dyDescent="0.15"/>
    <row r="35089" s="69" customFormat="1" x14ac:dyDescent="0.15"/>
    <row r="35090" s="69" customFormat="1" x14ac:dyDescent="0.15"/>
    <row r="35091" s="69" customFormat="1" x14ac:dyDescent="0.15"/>
    <row r="35092" s="69" customFormat="1" x14ac:dyDescent="0.15"/>
    <row r="35093" s="69" customFormat="1" x14ac:dyDescent="0.15"/>
    <row r="35094" s="69" customFormat="1" x14ac:dyDescent="0.15"/>
    <row r="35095" s="69" customFormat="1" x14ac:dyDescent="0.15"/>
    <row r="35096" s="69" customFormat="1" x14ac:dyDescent="0.15"/>
    <row r="35097" s="69" customFormat="1" x14ac:dyDescent="0.15"/>
    <row r="35098" s="69" customFormat="1" x14ac:dyDescent="0.15"/>
    <row r="35099" s="69" customFormat="1" x14ac:dyDescent="0.15"/>
    <row r="35100" s="69" customFormat="1" x14ac:dyDescent="0.15"/>
    <row r="35101" s="69" customFormat="1" x14ac:dyDescent="0.15"/>
    <row r="35102" s="69" customFormat="1" x14ac:dyDescent="0.15"/>
    <row r="35103" s="69" customFormat="1" x14ac:dyDescent="0.15"/>
    <row r="35104" s="69" customFormat="1" x14ac:dyDescent="0.15"/>
    <row r="35105" s="69" customFormat="1" x14ac:dyDescent="0.15"/>
    <row r="35106" s="69" customFormat="1" x14ac:dyDescent="0.15"/>
    <row r="35107" s="69" customFormat="1" x14ac:dyDescent="0.15"/>
    <row r="35108" s="69" customFormat="1" x14ac:dyDescent="0.15"/>
    <row r="35109" s="69" customFormat="1" x14ac:dyDescent="0.15"/>
    <row r="35110" s="69" customFormat="1" x14ac:dyDescent="0.15"/>
    <row r="35111" s="69" customFormat="1" x14ac:dyDescent="0.15"/>
    <row r="35112" s="69" customFormat="1" x14ac:dyDescent="0.15"/>
    <row r="35113" s="69" customFormat="1" x14ac:dyDescent="0.15"/>
    <row r="35114" s="69" customFormat="1" x14ac:dyDescent="0.15"/>
    <row r="35115" s="69" customFormat="1" x14ac:dyDescent="0.15"/>
    <row r="35116" s="69" customFormat="1" x14ac:dyDescent="0.15"/>
    <row r="35117" s="69" customFormat="1" x14ac:dyDescent="0.15"/>
    <row r="35118" s="69" customFormat="1" x14ac:dyDescent="0.15"/>
    <row r="35119" s="69" customFormat="1" x14ac:dyDescent="0.15"/>
    <row r="35120" s="69" customFormat="1" x14ac:dyDescent="0.15"/>
    <row r="35121" s="69" customFormat="1" x14ac:dyDescent="0.15"/>
    <row r="35122" s="69" customFormat="1" x14ac:dyDescent="0.15"/>
    <row r="35123" s="69" customFormat="1" x14ac:dyDescent="0.15"/>
    <row r="35124" s="69" customFormat="1" x14ac:dyDescent="0.15"/>
    <row r="35125" s="69" customFormat="1" x14ac:dyDescent="0.15"/>
    <row r="35126" s="69" customFormat="1" x14ac:dyDescent="0.15"/>
    <row r="35127" s="69" customFormat="1" x14ac:dyDescent="0.15"/>
    <row r="35128" s="69" customFormat="1" x14ac:dyDescent="0.15"/>
    <row r="35129" s="69" customFormat="1" x14ac:dyDescent="0.15"/>
    <row r="35130" s="69" customFormat="1" x14ac:dyDescent="0.15"/>
    <row r="35131" s="69" customFormat="1" x14ac:dyDescent="0.15"/>
    <row r="35132" s="69" customFormat="1" x14ac:dyDescent="0.15"/>
    <row r="35133" s="69" customFormat="1" x14ac:dyDescent="0.15"/>
    <row r="35134" s="69" customFormat="1" x14ac:dyDescent="0.15"/>
    <row r="35135" s="69" customFormat="1" x14ac:dyDescent="0.15"/>
    <row r="35136" s="69" customFormat="1" x14ac:dyDescent="0.15"/>
    <row r="35137" s="69" customFormat="1" x14ac:dyDescent="0.15"/>
    <row r="35138" s="69" customFormat="1" x14ac:dyDescent="0.15"/>
    <row r="35139" s="69" customFormat="1" x14ac:dyDescent="0.15"/>
    <row r="35140" s="69" customFormat="1" x14ac:dyDescent="0.15"/>
    <row r="35141" s="69" customFormat="1" x14ac:dyDescent="0.15"/>
    <row r="35142" s="69" customFormat="1" x14ac:dyDescent="0.15"/>
    <row r="35143" s="69" customFormat="1" x14ac:dyDescent="0.15"/>
    <row r="35144" s="69" customFormat="1" x14ac:dyDescent="0.15"/>
    <row r="35145" s="69" customFormat="1" x14ac:dyDescent="0.15"/>
    <row r="35146" s="69" customFormat="1" x14ac:dyDescent="0.15"/>
    <row r="35147" s="69" customFormat="1" x14ac:dyDescent="0.15"/>
    <row r="35148" s="69" customFormat="1" x14ac:dyDescent="0.15"/>
    <row r="35149" s="69" customFormat="1" x14ac:dyDescent="0.15"/>
    <row r="35150" s="69" customFormat="1" x14ac:dyDescent="0.15"/>
    <row r="35151" s="69" customFormat="1" x14ac:dyDescent="0.15"/>
    <row r="35152" s="69" customFormat="1" x14ac:dyDescent="0.15"/>
    <row r="35153" s="69" customFormat="1" x14ac:dyDescent="0.15"/>
    <row r="35154" s="69" customFormat="1" x14ac:dyDescent="0.15"/>
    <row r="35155" s="69" customFormat="1" x14ac:dyDescent="0.15"/>
    <row r="35156" s="69" customFormat="1" x14ac:dyDescent="0.15"/>
    <row r="35157" s="69" customFormat="1" x14ac:dyDescent="0.15"/>
    <row r="35158" s="69" customFormat="1" x14ac:dyDescent="0.15"/>
    <row r="35159" s="69" customFormat="1" x14ac:dyDescent="0.15"/>
    <row r="35160" s="69" customFormat="1" x14ac:dyDescent="0.15"/>
    <row r="35161" s="69" customFormat="1" x14ac:dyDescent="0.15"/>
    <row r="35162" s="69" customFormat="1" x14ac:dyDescent="0.15"/>
    <row r="35163" s="69" customFormat="1" x14ac:dyDescent="0.15"/>
    <row r="35164" s="69" customFormat="1" x14ac:dyDescent="0.15"/>
    <row r="35165" s="69" customFormat="1" x14ac:dyDescent="0.15"/>
    <row r="35166" s="69" customFormat="1" x14ac:dyDescent="0.15"/>
    <row r="35167" s="69" customFormat="1" x14ac:dyDescent="0.15"/>
    <row r="35168" s="69" customFormat="1" x14ac:dyDescent="0.15"/>
    <row r="35169" s="69" customFormat="1" x14ac:dyDescent="0.15"/>
    <row r="35170" s="69" customFormat="1" x14ac:dyDescent="0.15"/>
    <row r="35171" s="69" customFormat="1" x14ac:dyDescent="0.15"/>
    <row r="35172" s="69" customFormat="1" x14ac:dyDescent="0.15"/>
    <row r="35173" s="69" customFormat="1" x14ac:dyDescent="0.15"/>
    <row r="35174" s="69" customFormat="1" x14ac:dyDescent="0.15"/>
    <row r="35175" s="69" customFormat="1" x14ac:dyDescent="0.15"/>
    <row r="35176" s="69" customFormat="1" x14ac:dyDescent="0.15"/>
    <row r="35177" s="69" customFormat="1" x14ac:dyDescent="0.15"/>
    <row r="35178" s="69" customFormat="1" x14ac:dyDescent="0.15"/>
    <row r="35179" s="69" customFormat="1" x14ac:dyDescent="0.15"/>
    <row r="35180" s="69" customFormat="1" x14ac:dyDescent="0.15"/>
    <row r="35181" s="69" customFormat="1" x14ac:dyDescent="0.15"/>
    <row r="35182" s="69" customFormat="1" x14ac:dyDescent="0.15"/>
    <row r="35183" s="69" customFormat="1" x14ac:dyDescent="0.15"/>
    <row r="35184" s="69" customFormat="1" x14ac:dyDescent="0.15"/>
    <row r="35185" s="69" customFormat="1" x14ac:dyDescent="0.15"/>
    <row r="35186" s="69" customFormat="1" x14ac:dyDescent="0.15"/>
    <row r="35187" s="69" customFormat="1" x14ac:dyDescent="0.15"/>
    <row r="35188" s="69" customFormat="1" x14ac:dyDescent="0.15"/>
    <row r="35189" s="69" customFormat="1" x14ac:dyDescent="0.15"/>
    <row r="35190" s="69" customFormat="1" x14ac:dyDescent="0.15"/>
    <row r="35191" s="69" customFormat="1" x14ac:dyDescent="0.15"/>
    <row r="35192" s="69" customFormat="1" x14ac:dyDescent="0.15"/>
    <row r="35193" s="69" customFormat="1" x14ac:dyDescent="0.15"/>
    <row r="35194" s="69" customFormat="1" x14ac:dyDescent="0.15"/>
    <row r="35195" s="69" customFormat="1" x14ac:dyDescent="0.15"/>
    <row r="35196" s="69" customFormat="1" x14ac:dyDescent="0.15"/>
    <row r="35197" s="69" customFormat="1" x14ac:dyDescent="0.15"/>
    <row r="35198" s="69" customFormat="1" x14ac:dyDescent="0.15"/>
    <row r="35199" s="69" customFormat="1" x14ac:dyDescent="0.15"/>
    <row r="35200" s="69" customFormat="1" x14ac:dyDescent="0.15"/>
    <row r="35201" s="69" customFormat="1" x14ac:dyDescent="0.15"/>
    <row r="35202" s="69" customFormat="1" x14ac:dyDescent="0.15"/>
    <row r="35203" s="69" customFormat="1" x14ac:dyDescent="0.15"/>
    <row r="35204" s="69" customFormat="1" x14ac:dyDescent="0.15"/>
    <row r="35205" s="69" customFormat="1" x14ac:dyDescent="0.15"/>
    <row r="35206" s="69" customFormat="1" x14ac:dyDescent="0.15"/>
    <row r="35207" s="69" customFormat="1" x14ac:dyDescent="0.15"/>
    <row r="35208" s="69" customFormat="1" x14ac:dyDescent="0.15"/>
    <row r="35209" s="69" customFormat="1" x14ac:dyDescent="0.15"/>
    <row r="35210" s="69" customFormat="1" x14ac:dyDescent="0.15"/>
    <row r="35211" s="69" customFormat="1" x14ac:dyDescent="0.15"/>
    <row r="35212" s="69" customFormat="1" x14ac:dyDescent="0.15"/>
    <row r="35213" s="69" customFormat="1" x14ac:dyDescent="0.15"/>
    <row r="35214" s="69" customFormat="1" x14ac:dyDescent="0.15"/>
    <row r="35215" s="69" customFormat="1" x14ac:dyDescent="0.15"/>
    <row r="35216" s="69" customFormat="1" x14ac:dyDescent="0.15"/>
    <row r="35217" s="69" customFormat="1" x14ac:dyDescent="0.15"/>
    <row r="35218" s="69" customFormat="1" x14ac:dyDescent="0.15"/>
    <row r="35219" s="69" customFormat="1" x14ac:dyDescent="0.15"/>
    <row r="35220" s="69" customFormat="1" x14ac:dyDescent="0.15"/>
    <row r="35221" s="69" customFormat="1" x14ac:dyDescent="0.15"/>
    <row r="35222" s="69" customFormat="1" x14ac:dyDescent="0.15"/>
    <row r="35223" s="69" customFormat="1" x14ac:dyDescent="0.15"/>
    <row r="35224" s="69" customFormat="1" x14ac:dyDescent="0.15"/>
    <row r="35225" s="69" customFormat="1" x14ac:dyDescent="0.15"/>
    <row r="35226" s="69" customFormat="1" x14ac:dyDescent="0.15"/>
    <row r="35227" s="69" customFormat="1" x14ac:dyDescent="0.15"/>
    <row r="35228" s="69" customFormat="1" x14ac:dyDescent="0.15"/>
    <row r="35229" s="69" customFormat="1" x14ac:dyDescent="0.15"/>
    <row r="35230" s="69" customFormat="1" x14ac:dyDescent="0.15"/>
    <row r="35231" s="69" customFormat="1" x14ac:dyDescent="0.15"/>
    <row r="35232" s="69" customFormat="1" x14ac:dyDescent="0.15"/>
    <row r="35233" s="69" customFormat="1" x14ac:dyDescent="0.15"/>
    <row r="35234" s="69" customFormat="1" x14ac:dyDescent="0.15"/>
    <row r="35235" s="69" customFormat="1" x14ac:dyDescent="0.15"/>
    <row r="35236" s="69" customFormat="1" x14ac:dyDescent="0.15"/>
    <row r="35237" s="69" customFormat="1" x14ac:dyDescent="0.15"/>
    <row r="35238" s="69" customFormat="1" x14ac:dyDescent="0.15"/>
    <row r="35239" s="69" customFormat="1" x14ac:dyDescent="0.15"/>
    <row r="35240" s="69" customFormat="1" x14ac:dyDescent="0.15"/>
    <row r="35241" s="69" customFormat="1" x14ac:dyDescent="0.15"/>
    <row r="35242" s="69" customFormat="1" x14ac:dyDescent="0.15"/>
    <row r="35243" s="69" customFormat="1" x14ac:dyDescent="0.15"/>
    <row r="35244" s="69" customFormat="1" x14ac:dyDescent="0.15"/>
    <row r="35245" s="69" customFormat="1" x14ac:dyDescent="0.15"/>
    <row r="35246" s="69" customFormat="1" x14ac:dyDescent="0.15"/>
    <row r="35247" s="69" customFormat="1" x14ac:dyDescent="0.15"/>
    <row r="35248" s="69" customFormat="1" x14ac:dyDescent="0.15"/>
    <row r="35249" s="69" customFormat="1" x14ac:dyDescent="0.15"/>
    <row r="35250" s="69" customFormat="1" x14ac:dyDescent="0.15"/>
    <row r="35251" s="69" customFormat="1" x14ac:dyDescent="0.15"/>
    <row r="35252" s="69" customFormat="1" x14ac:dyDescent="0.15"/>
    <row r="35253" s="69" customFormat="1" x14ac:dyDescent="0.15"/>
    <row r="35254" s="69" customFormat="1" x14ac:dyDescent="0.15"/>
    <row r="35255" s="69" customFormat="1" x14ac:dyDescent="0.15"/>
    <row r="35256" s="69" customFormat="1" x14ac:dyDescent="0.15"/>
    <row r="35257" s="69" customFormat="1" x14ac:dyDescent="0.15"/>
    <row r="35258" s="69" customFormat="1" x14ac:dyDescent="0.15"/>
    <row r="35259" s="69" customFormat="1" x14ac:dyDescent="0.15"/>
    <row r="35260" s="69" customFormat="1" x14ac:dyDescent="0.15"/>
    <row r="35261" s="69" customFormat="1" x14ac:dyDescent="0.15"/>
    <row r="35262" s="69" customFormat="1" x14ac:dyDescent="0.15"/>
    <row r="35263" s="69" customFormat="1" x14ac:dyDescent="0.15"/>
    <row r="35264" s="69" customFormat="1" x14ac:dyDescent="0.15"/>
    <row r="35265" s="69" customFormat="1" x14ac:dyDescent="0.15"/>
    <row r="35266" s="69" customFormat="1" x14ac:dyDescent="0.15"/>
    <row r="35267" s="69" customFormat="1" x14ac:dyDescent="0.15"/>
    <row r="35268" s="69" customFormat="1" x14ac:dyDescent="0.15"/>
    <row r="35269" s="69" customFormat="1" x14ac:dyDescent="0.15"/>
    <row r="35270" s="69" customFormat="1" x14ac:dyDescent="0.15"/>
    <row r="35271" s="69" customFormat="1" x14ac:dyDescent="0.15"/>
    <row r="35272" s="69" customFormat="1" x14ac:dyDescent="0.15"/>
    <row r="35273" s="69" customFormat="1" x14ac:dyDescent="0.15"/>
    <row r="35274" s="69" customFormat="1" x14ac:dyDescent="0.15"/>
    <row r="35275" s="69" customFormat="1" x14ac:dyDescent="0.15"/>
    <row r="35276" s="69" customFormat="1" x14ac:dyDescent="0.15"/>
    <row r="35277" s="69" customFormat="1" x14ac:dyDescent="0.15"/>
    <row r="35278" s="69" customFormat="1" x14ac:dyDescent="0.15"/>
    <row r="35279" s="69" customFormat="1" x14ac:dyDescent="0.15"/>
    <row r="35280" s="69" customFormat="1" x14ac:dyDescent="0.15"/>
    <row r="35281" s="69" customFormat="1" x14ac:dyDescent="0.15"/>
    <row r="35282" s="69" customFormat="1" x14ac:dyDescent="0.15"/>
    <row r="35283" s="69" customFormat="1" x14ac:dyDescent="0.15"/>
    <row r="35284" s="69" customFormat="1" x14ac:dyDescent="0.15"/>
    <row r="35285" s="69" customFormat="1" x14ac:dyDescent="0.15"/>
    <row r="35286" s="69" customFormat="1" x14ac:dyDescent="0.15"/>
    <row r="35287" s="69" customFormat="1" x14ac:dyDescent="0.15"/>
    <row r="35288" s="69" customFormat="1" x14ac:dyDescent="0.15"/>
    <row r="35289" s="69" customFormat="1" x14ac:dyDescent="0.15"/>
    <row r="35290" s="69" customFormat="1" x14ac:dyDescent="0.15"/>
    <row r="35291" s="69" customFormat="1" x14ac:dyDescent="0.15"/>
    <row r="35292" s="69" customFormat="1" x14ac:dyDescent="0.15"/>
    <row r="35293" s="69" customFormat="1" x14ac:dyDescent="0.15"/>
    <row r="35294" s="69" customFormat="1" x14ac:dyDescent="0.15"/>
    <row r="35295" s="69" customFormat="1" x14ac:dyDescent="0.15"/>
    <row r="35296" s="69" customFormat="1" x14ac:dyDescent="0.15"/>
    <row r="35297" s="69" customFormat="1" x14ac:dyDescent="0.15"/>
    <row r="35298" s="69" customFormat="1" x14ac:dyDescent="0.15"/>
    <row r="35299" s="69" customFormat="1" x14ac:dyDescent="0.15"/>
    <row r="35300" s="69" customFormat="1" x14ac:dyDescent="0.15"/>
    <row r="35301" s="69" customFormat="1" x14ac:dyDescent="0.15"/>
    <row r="35302" s="69" customFormat="1" x14ac:dyDescent="0.15"/>
    <row r="35303" s="69" customFormat="1" x14ac:dyDescent="0.15"/>
    <row r="35304" s="69" customFormat="1" x14ac:dyDescent="0.15"/>
    <row r="35305" s="69" customFormat="1" x14ac:dyDescent="0.15"/>
    <row r="35306" s="69" customFormat="1" x14ac:dyDescent="0.15"/>
    <row r="35307" s="69" customFormat="1" x14ac:dyDescent="0.15"/>
    <row r="35308" s="69" customFormat="1" x14ac:dyDescent="0.15"/>
    <row r="35309" s="69" customFormat="1" x14ac:dyDescent="0.15"/>
    <row r="35310" s="69" customFormat="1" x14ac:dyDescent="0.15"/>
    <row r="35311" s="69" customFormat="1" x14ac:dyDescent="0.15"/>
    <row r="35312" s="69" customFormat="1" x14ac:dyDescent="0.15"/>
    <row r="35313" s="69" customFormat="1" x14ac:dyDescent="0.15"/>
    <row r="35314" s="69" customFormat="1" x14ac:dyDescent="0.15"/>
    <row r="35315" s="69" customFormat="1" x14ac:dyDescent="0.15"/>
    <row r="35316" s="69" customFormat="1" x14ac:dyDescent="0.15"/>
    <row r="35317" s="69" customFormat="1" x14ac:dyDescent="0.15"/>
    <row r="35318" s="69" customFormat="1" x14ac:dyDescent="0.15"/>
    <row r="35319" s="69" customFormat="1" x14ac:dyDescent="0.15"/>
    <row r="35320" s="69" customFormat="1" x14ac:dyDescent="0.15"/>
    <row r="35321" s="69" customFormat="1" x14ac:dyDescent="0.15"/>
    <row r="35322" s="69" customFormat="1" x14ac:dyDescent="0.15"/>
    <row r="35323" s="69" customFormat="1" x14ac:dyDescent="0.15"/>
    <row r="35324" s="69" customFormat="1" x14ac:dyDescent="0.15"/>
    <row r="35325" s="69" customFormat="1" x14ac:dyDescent="0.15"/>
    <row r="35326" s="69" customFormat="1" x14ac:dyDescent="0.15"/>
    <row r="35327" s="69" customFormat="1" x14ac:dyDescent="0.15"/>
    <row r="35328" s="69" customFormat="1" x14ac:dyDescent="0.15"/>
    <row r="35329" s="69" customFormat="1" x14ac:dyDescent="0.15"/>
    <row r="35330" s="69" customFormat="1" x14ac:dyDescent="0.15"/>
    <row r="35331" s="69" customFormat="1" x14ac:dyDescent="0.15"/>
    <row r="35332" s="69" customFormat="1" x14ac:dyDescent="0.15"/>
    <row r="35333" s="69" customFormat="1" x14ac:dyDescent="0.15"/>
    <row r="35334" s="69" customFormat="1" x14ac:dyDescent="0.15"/>
    <row r="35335" s="69" customFormat="1" x14ac:dyDescent="0.15"/>
    <row r="35336" s="69" customFormat="1" x14ac:dyDescent="0.15"/>
    <row r="35337" s="69" customFormat="1" x14ac:dyDescent="0.15"/>
    <row r="35338" s="69" customFormat="1" x14ac:dyDescent="0.15"/>
    <row r="35339" s="69" customFormat="1" x14ac:dyDescent="0.15"/>
    <row r="35340" s="69" customFormat="1" x14ac:dyDescent="0.15"/>
    <row r="35341" s="69" customFormat="1" x14ac:dyDescent="0.15"/>
    <row r="35342" s="69" customFormat="1" x14ac:dyDescent="0.15"/>
    <row r="35343" s="69" customFormat="1" x14ac:dyDescent="0.15"/>
    <row r="35344" s="69" customFormat="1" x14ac:dyDescent="0.15"/>
    <row r="35345" s="69" customFormat="1" x14ac:dyDescent="0.15"/>
    <row r="35346" s="69" customFormat="1" x14ac:dyDescent="0.15"/>
    <row r="35347" s="69" customFormat="1" x14ac:dyDescent="0.15"/>
    <row r="35348" s="69" customFormat="1" x14ac:dyDescent="0.15"/>
    <row r="35349" s="69" customFormat="1" x14ac:dyDescent="0.15"/>
    <row r="35350" s="69" customFormat="1" x14ac:dyDescent="0.15"/>
    <row r="35351" s="69" customFormat="1" x14ac:dyDescent="0.15"/>
    <row r="35352" s="69" customFormat="1" x14ac:dyDescent="0.15"/>
    <row r="35353" s="69" customFormat="1" x14ac:dyDescent="0.15"/>
    <row r="35354" s="69" customFormat="1" x14ac:dyDescent="0.15"/>
    <row r="35355" s="69" customFormat="1" x14ac:dyDescent="0.15"/>
    <row r="35356" s="69" customFormat="1" x14ac:dyDescent="0.15"/>
    <row r="35357" s="69" customFormat="1" x14ac:dyDescent="0.15"/>
    <row r="35358" s="69" customFormat="1" x14ac:dyDescent="0.15"/>
    <row r="35359" s="69" customFormat="1" x14ac:dyDescent="0.15"/>
    <row r="35360" s="69" customFormat="1" x14ac:dyDescent="0.15"/>
    <row r="35361" s="69" customFormat="1" x14ac:dyDescent="0.15"/>
    <row r="35362" s="69" customFormat="1" x14ac:dyDescent="0.15"/>
    <row r="35363" s="69" customFormat="1" x14ac:dyDescent="0.15"/>
    <row r="35364" s="69" customFormat="1" x14ac:dyDescent="0.15"/>
    <row r="35365" s="69" customFormat="1" x14ac:dyDescent="0.15"/>
    <row r="35366" s="69" customFormat="1" x14ac:dyDescent="0.15"/>
    <row r="35367" s="69" customFormat="1" x14ac:dyDescent="0.15"/>
    <row r="35368" s="69" customFormat="1" x14ac:dyDescent="0.15"/>
    <row r="35369" s="69" customFormat="1" x14ac:dyDescent="0.15"/>
    <row r="35370" s="69" customFormat="1" x14ac:dyDescent="0.15"/>
    <row r="35371" s="69" customFormat="1" x14ac:dyDescent="0.15"/>
    <row r="35372" s="69" customFormat="1" x14ac:dyDescent="0.15"/>
    <row r="35373" s="69" customFormat="1" x14ac:dyDescent="0.15"/>
    <row r="35374" s="69" customFormat="1" x14ac:dyDescent="0.15"/>
    <row r="35375" s="69" customFormat="1" x14ac:dyDescent="0.15"/>
    <row r="35376" s="69" customFormat="1" x14ac:dyDescent="0.15"/>
    <row r="35377" s="69" customFormat="1" x14ac:dyDescent="0.15"/>
    <row r="35378" s="69" customFormat="1" x14ac:dyDescent="0.15"/>
    <row r="35379" s="69" customFormat="1" x14ac:dyDescent="0.15"/>
    <row r="35380" s="69" customFormat="1" x14ac:dyDescent="0.15"/>
    <row r="35381" s="69" customFormat="1" x14ac:dyDescent="0.15"/>
    <row r="35382" s="69" customFormat="1" x14ac:dyDescent="0.15"/>
    <row r="35383" s="69" customFormat="1" x14ac:dyDescent="0.15"/>
    <row r="35384" s="69" customFormat="1" x14ac:dyDescent="0.15"/>
    <row r="35385" s="69" customFormat="1" x14ac:dyDescent="0.15"/>
    <row r="35386" s="69" customFormat="1" x14ac:dyDescent="0.15"/>
    <row r="35387" s="69" customFormat="1" x14ac:dyDescent="0.15"/>
    <row r="35388" s="69" customFormat="1" x14ac:dyDescent="0.15"/>
    <row r="35389" s="69" customFormat="1" x14ac:dyDescent="0.15"/>
    <row r="35390" s="69" customFormat="1" x14ac:dyDescent="0.15"/>
    <row r="35391" s="69" customFormat="1" x14ac:dyDescent="0.15"/>
    <row r="35392" s="69" customFormat="1" x14ac:dyDescent="0.15"/>
    <row r="35393" s="69" customFormat="1" x14ac:dyDescent="0.15"/>
    <row r="35394" s="69" customFormat="1" x14ac:dyDescent="0.15"/>
    <row r="35395" s="69" customFormat="1" x14ac:dyDescent="0.15"/>
    <row r="35396" s="69" customFormat="1" x14ac:dyDescent="0.15"/>
    <row r="35397" s="69" customFormat="1" x14ac:dyDescent="0.15"/>
    <row r="35398" s="69" customFormat="1" x14ac:dyDescent="0.15"/>
    <row r="35399" s="69" customFormat="1" x14ac:dyDescent="0.15"/>
    <row r="35400" s="69" customFormat="1" x14ac:dyDescent="0.15"/>
    <row r="35401" s="69" customFormat="1" x14ac:dyDescent="0.15"/>
    <row r="35402" s="69" customFormat="1" x14ac:dyDescent="0.15"/>
    <row r="35403" s="69" customFormat="1" x14ac:dyDescent="0.15"/>
    <row r="35404" s="69" customFormat="1" x14ac:dyDescent="0.15"/>
    <row r="35405" s="69" customFormat="1" x14ac:dyDescent="0.15"/>
    <row r="35406" s="69" customFormat="1" x14ac:dyDescent="0.15"/>
    <row r="35407" s="69" customFormat="1" x14ac:dyDescent="0.15"/>
    <row r="35408" s="69" customFormat="1" x14ac:dyDescent="0.15"/>
    <row r="35409" s="69" customFormat="1" x14ac:dyDescent="0.15"/>
    <row r="35410" s="69" customFormat="1" x14ac:dyDescent="0.15"/>
    <row r="35411" s="69" customFormat="1" x14ac:dyDescent="0.15"/>
    <row r="35412" s="69" customFormat="1" x14ac:dyDescent="0.15"/>
    <row r="35413" s="69" customFormat="1" x14ac:dyDescent="0.15"/>
    <row r="35414" s="69" customFormat="1" x14ac:dyDescent="0.15"/>
    <row r="35415" s="69" customFormat="1" x14ac:dyDescent="0.15"/>
    <row r="35416" s="69" customFormat="1" x14ac:dyDescent="0.15"/>
    <row r="35417" s="69" customFormat="1" x14ac:dyDescent="0.15"/>
    <row r="35418" s="69" customFormat="1" x14ac:dyDescent="0.15"/>
    <row r="35419" s="69" customFormat="1" x14ac:dyDescent="0.15"/>
    <row r="35420" s="69" customFormat="1" x14ac:dyDescent="0.15"/>
    <row r="35421" s="69" customFormat="1" x14ac:dyDescent="0.15"/>
    <row r="35422" s="69" customFormat="1" x14ac:dyDescent="0.15"/>
    <row r="35423" s="69" customFormat="1" x14ac:dyDescent="0.15"/>
    <row r="35424" s="69" customFormat="1" x14ac:dyDescent="0.15"/>
    <row r="35425" s="69" customFormat="1" x14ac:dyDescent="0.15"/>
    <row r="35426" s="69" customFormat="1" x14ac:dyDescent="0.15"/>
    <row r="35427" s="69" customFormat="1" x14ac:dyDescent="0.15"/>
    <row r="35428" s="69" customFormat="1" x14ac:dyDescent="0.15"/>
    <row r="35429" s="69" customFormat="1" x14ac:dyDescent="0.15"/>
    <row r="35430" s="69" customFormat="1" x14ac:dyDescent="0.15"/>
    <row r="35431" s="69" customFormat="1" x14ac:dyDescent="0.15"/>
    <row r="35432" s="69" customFormat="1" x14ac:dyDescent="0.15"/>
    <row r="35433" s="69" customFormat="1" x14ac:dyDescent="0.15"/>
    <row r="35434" s="69" customFormat="1" x14ac:dyDescent="0.15"/>
    <row r="35435" s="69" customFormat="1" x14ac:dyDescent="0.15"/>
    <row r="35436" s="69" customFormat="1" x14ac:dyDescent="0.15"/>
    <row r="35437" s="69" customFormat="1" x14ac:dyDescent="0.15"/>
    <row r="35438" s="69" customFormat="1" x14ac:dyDescent="0.15"/>
    <row r="35439" s="69" customFormat="1" x14ac:dyDescent="0.15"/>
    <row r="35440" s="69" customFormat="1" x14ac:dyDescent="0.15"/>
    <row r="35441" s="69" customFormat="1" x14ac:dyDescent="0.15"/>
    <row r="35442" s="69" customFormat="1" x14ac:dyDescent="0.15"/>
    <row r="35443" s="69" customFormat="1" x14ac:dyDescent="0.15"/>
    <row r="35444" s="69" customFormat="1" x14ac:dyDescent="0.15"/>
    <row r="35445" s="69" customFormat="1" x14ac:dyDescent="0.15"/>
    <row r="35446" s="69" customFormat="1" x14ac:dyDescent="0.15"/>
    <row r="35447" s="69" customFormat="1" x14ac:dyDescent="0.15"/>
    <row r="35448" s="69" customFormat="1" x14ac:dyDescent="0.15"/>
    <row r="35449" s="69" customFormat="1" x14ac:dyDescent="0.15"/>
    <row r="35450" s="69" customFormat="1" x14ac:dyDescent="0.15"/>
    <row r="35451" s="69" customFormat="1" x14ac:dyDescent="0.15"/>
    <row r="35452" s="69" customFormat="1" x14ac:dyDescent="0.15"/>
    <row r="35453" s="69" customFormat="1" x14ac:dyDescent="0.15"/>
    <row r="35454" s="69" customFormat="1" x14ac:dyDescent="0.15"/>
    <row r="35455" s="69" customFormat="1" x14ac:dyDescent="0.15"/>
    <row r="35456" s="69" customFormat="1" x14ac:dyDescent="0.15"/>
    <row r="35457" s="69" customFormat="1" x14ac:dyDescent="0.15"/>
    <row r="35458" s="69" customFormat="1" x14ac:dyDescent="0.15"/>
    <row r="35459" s="69" customFormat="1" x14ac:dyDescent="0.15"/>
    <row r="35460" s="69" customFormat="1" x14ac:dyDescent="0.15"/>
    <row r="35461" s="69" customFormat="1" x14ac:dyDescent="0.15"/>
    <row r="35462" s="69" customFormat="1" x14ac:dyDescent="0.15"/>
    <row r="35463" s="69" customFormat="1" x14ac:dyDescent="0.15"/>
    <row r="35464" s="69" customFormat="1" x14ac:dyDescent="0.15"/>
    <row r="35465" s="69" customFormat="1" x14ac:dyDescent="0.15"/>
    <row r="35466" s="69" customFormat="1" x14ac:dyDescent="0.15"/>
    <row r="35467" s="69" customFormat="1" x14ac:dyDescent="0.15"/>
    <row r="35468" s="69" customFormat="1" x14ac:dyDescent="0.15"/>
    <row r="35469" s="69" customFormat="1" x14ac:dyDescent="0.15"/>
    <row r="35470" s="69" customFormat="1" x14ac:dyDescent="0.15"/>
    <row r="35471" s="69" customFormat="1" x14ac:dyDescent="0.15"/>
    <row r="35472" s="69" customFormat="1" x14ac:dyDescent="0.15"/>
    <row r="35473" s="69" customFormat="1" x14ac:dyDescent="0.15"/>
    <row r="35474" s="69" customFormat="1" x14ac:dyDescent="0.15"/>
    <row r="35475" s="69" customFormat="1" x14ac:dyDescent="0.15"/>
    <row r="35476" s="69" customFormat="1" x14ac:dyDescent="0.15"/>
    <row r="35477" s="69" customFormat="1" x14ac:dyDescent="0.15"/>
    <row r="35478" s="69" customFormat="1" x14ac:dyDescent="0.15"/>
    <row r="35479" s="69" customFormat="1" x14ac:dyDescent="0.15"/>
    <row r="35480" s="69" customFormat="1" x14ac:dyDescent="0.15"/>
    <row r="35481" s="69" customFormat="1" x14ac:dyDescent="0.15"/>
    <row r="35482" s="69" customFormat="1" x14ac:dyDescent="0.15"/>
    <row r="35483" s="69" customFormat="1" x14ac:dyDescent="0.15"/>
    <row r="35484" s="69" customFormat="1" x14ac:dyDescent="0.15"/>
    <row r="35485" s="69" customFormat="1" x14ac:dyDescent="0.15"/>
    <row r="35486" s="69" customFormat="1" x14ac:dyDescent="0.15"/>
    <row r="35487" s="69" customFormat="1" x14ac:dyDescent="0.15"/>
    <row r="35488" s="69" customFormat="1" x14ac:dyDescent="0.15"/>
    <row r="35489" s="69" customFormat="1" x14ac:dyDescent="0.15"/>
    <row r="35490" s="69" customFormat="1" x14ac:dyDescent="0.15"/>
    <row r="35491" s="69" customFormat="1" x14ac:dyDescent="0.15"/>
    <row r="35492" s="69" customFormat="1" x14ac:dyDescent="0.15"/>
    <row r="35493" s="69" customFormat="1" x14ac:dyDescent="0.15"/>
    <row r="35494" s="69" customFormat="1" x14ac:dyDescent="0.15"/>
    <row r="35495" s="69" customFormat="1" x14ac:dyDescent="0.15"/>
    <row r="35496" s="69" customFormat="1" x14ac:dyDescent="0.15"/>
    <row r="35497" s="69" customFormat="1" x14ac:dyDescent="0.15"/>
    <row r="35498" s="69" customFormat="1" x14ac:dyDescent="0.15"/>
    <row r="35499" s="69" customFormat="1" x14ac:dyDescent="0.15"/>
    <row r="35500" s="69" customFormat="1" x14ac:dyDescent="0.15"/>
    <row r="35501" s="69" customFormat="1" x14ac:dyDescent="0.15"/>
    <row r="35502" s="69" customFormat="1" x14ac:dyDescent="0.15"/>
    <row r="35503" s="69" customFormat="1" x14ac:dyDescent="0.15"/>
    <row r="35504" s="69" customFormat="1" x14ac:dyDescent="0.15"/>
    <row r="35505" s="69" customFormat="1" x14ac:dyDescent="0.15"/>
    <row r="35506" s="69" customFormat="1" x14ac:dyDescent="0.15"/>
    <row r="35507" s="69" customFormat="1" x14ac:dyDescent="0.15"/>
    <row r="35508" s="69" customFormat="1" x14ac:dyDescent="0.15"/>
    <row r="35509" s="69" customFormat="1" x14ac:dyDescent="0.15"/>
    <row r="35510" s="69" customFormat="1" x14ac:dyDescent="0.15"/>
    <row r="35511" s="69" customFormat="1" x14ac:dyDescent="0.15"/>
    <row r="35512" s="69" customFormat="1" x14ac:dyDescent="0.15"/>
    <row r="35513" s="69" customFormat="1" x14ac:dyDescent="0.15"/>
    <row r="35514" s="69" customFormat="1" x14ac:dyDescent="0.15"/>
    <row r="35515" s="69" customFormat="1" x14ac:dyDescent="0.15"/>
    <row r="35516" s="69" customFormat="1" x14ac:dyDescent="0.15"/>
    <row r="35517" s="69" customFormat="1" x14ac:dyDescent="0.15"/>
    <row r="35518" s="69" customFormat="1" x14ac:dyDescent="0.15"/>
    <row r="35519" s="69" customFormat="1" x14ac:dyDescent="0.15"/>
    <row r="35520" s="69" customFormat="1" x14ac:dyDescent="0.15"/>
    <row r="35521" s="69" customFormat="1" x14ac:dyDescent="0.15"/>
    <row r="35522" s="69" customFormat="1" x14ac:dyDescent="0.15"/>
    <row r="35523" s="69" customFormat="1" x14ac:dyDescent="0.15"/>
    <row r="35524" s="69" customFormat="1" x14ac:dyDescent="0.15"/>
    <row r="35525" s="69" customFormat="1" x14ac:dyDescent="0.15"/>
    <row r="35526" s="69" customFormat="1" x14ac:dyDescent="0.15"/>
    <row r="35527" s="69" customFormat="1" x14ac:dyDescent="0.15"/>
    <row r="35528" s="69" customFormat="1" x14ac:dyDescent="0.15"/>
    <row r="35529" s="69" customFormat="1" x14ac:dyDescent="0.15"/>
    <row r="35530" s="69" customFormat="1" x14ac:dyDescent="0.15"/>
    <row r="35531" s="69" customFormat="1" x14ac:dyDescent="0.15"/>
    <row r="35532" s="69" customFormat="1" x14ac:dyDescent="0.15"/>
    <row r="35533" s="69" customFormat="1" x14ac:dyDescent="0.15"/>
    <row r="35534" s="69" customFormat="1" x14ac:dyDescent="0.15"/>
    <row r="35535" s="69" customFormat="1" x14ac:dyDescent="0.15"/>
    <row r="35536" s="69" customFormat="1" x14ac:dyDescent="0.15"/>
    <row r="35537" s="69" customFormat="1" x14ac:dyDescent="0.15"/>
    <row r="35538" s="69" customFormat="1" x14ac:dyDescent="0.15"/>
    <row r="35539" s="69" customFormat="1" x14ac:dyDescent="0.15"/>
    <row r="35540" s="69" customFormat="1" x14ac:dyDescent="0.15"/>
    <row r="35541" s="69" customFormat="1" x14ac:dyDescent="0.15"/>
    <row r="35542" s="69" customFormat="1" x14ac:dyDescent="0.15"/>
    <row r="35543" s="69" customFormat="1" x14ac:dyDescent="0.15"/>
    <row r="35544" s="69" customFormat="1" x14ac:dyDescent="0.15"/>
    <row r="35545" s="69" customFormat="1" x14ac:dyDescent="0.15"/>
    <row r="35546" s="69" customFormat="1" x14ac:dyDescent="0.15"/>
    <row r="35547" s="69" customFormat="1" x14ac:dyDescent="0.15"/>
    <row r="35548" s="69" customFormat="1" x14ac:dyDescent="0.15"/>
    <row r="35549" s="69" customFormat="1" x14ac:dyDescent="0.15"/>
    <row r="35550" s="69" customFormat="1" x14ac:dyDescent="0.15"/>
    <row r="35551" s="69" customFormat="1" x14ac:dyDescent="0.15"/>
    <row r="35552" s="69" customFormat="1" x14ac:dyDescent="0.15"/>
    <row r="35553" s="69" customFormat="1" x14ac:dyDescent="0.15"/>
    <row r="35554" s="69" customFormat="1" x14ac:dyDescent="0.15"/>
    <row r="35555" s="69" customFormat="1" x14ac:dyDescent="0.15"/>
    <row r="35556" s="69" customFormat="1" x14ac:dyDescent="0.15"/>
    <row r="35557" s="69" customFormat="1" x14ac:dyDescent="0.15"/>
    <row r="35558" s="69" customFormat="1" x14ac:dyDescent="0.15"/>
    <row r="35559" s="69" customFormat="1" x14ac:dyDescent="0.15"/>
    <row r="35560" s="69" customFormat="1" x14ac:dyDescent="0.15"/>
    <row r="35561" s="69" customFormat="1" x14ac:dyDescent="0.15"/>
    <row r="35562" s="69" customFormat="1" x14ac:dyDescent="0.15"/>
    <row r="35563" s="69" customFormat="1" x14ac:dyDescent="0.15"/>
    <row r="35564" s="69" customFormat="1" x14ac:dyDescent="0.15"/>
    <row r="35565" s="69" customFormat="1" x14ac:dyDescent="0.15"/>
    <row r="35566" s="69" customFormat="1" x14ac:dyDescent="0.15"/>
    <row r="35567" s="69" customFormat="1" x14ac:dyDescent="0.15"/>
    <row r="35568" s="69" customFormat="1" x14ac:dyDescent="0.15"/>
    <row r="35569" s="69" customFormat="1" x14ac:dyDescent="0.15"/>
    <row r="35570" s="69" customFormat="1" x14ac:dyDescent="0.15"/>
    <row r="35571" s="69" customFormat="1" x14ac:dyDescent="0.15"/>
    <row r="35572" s="69" customFormat="1" x14ac:dyDescent="0.15"/>
    <row r="35573" s="69" customFormat="1" x14ac:dyDescent="0.15"/>
    <row r="35574" s="69" customFormat="1" x14ac:dyDescent="0.15"/>
    <row r="35575" s="69" customFormat="1" x14ac:dyDescent="0.15"/>
    <row r="35576" s="69" customFormat="1" x14ac:dyDescent="0.15"/>
    <row r="35577" s="69" customFormat="1" x14ac:dyDescent="0.15"/>
    <row r="35578" s="69" customFormat="1" x14ac:dyDescent="0.15"/>
    <row r="35579" s="69" customFormat="1" x14ac:dyDescent="0.15"/>
    <row r="35580" s="69" customFormat="1" x14ac:dyDescent="0.15"/>
    <row r="35581" s="69" customFormat="1" x14ac:dyDescent="0.15"/>
    <row r="35582" s="69" customFormat="1" x14ac:dyDescent="0.15"/>
    <row r="35583" s="69" customFormat="1" x14ac:dyDescent="0.15"/>
    <row r="35584" s="69" customFormat="1" x14ac:dyDescent="0.15"/>
    <row r="35585" s="69" customFormat="1" x14ac:dyDescent="0.15"/>
    <row r="35586" s="69" customFormat="1" x14ac:dyDescent="0.15"/>
    <row r="35587" s="69" customFormat="1" x14ac:dyDescent="0.15"/>
    <row r="35588" s="69" customFormat="1" x14ac:dyDescent="0.15"/>
    <row r="35589" s="69" customFormat="1" x14ac:dyDescent="0.15"/>
    <row r="35590" s="69" customFormat="1" x14ac:dyDescent="0.15"/>
    <row r="35591" s="69" customFormat="1" x14ac:dyDescent="0.15"/>
    <row r="35592" s="69" customFormat="1" x14ac:dyDescent="0.15"/>
    <row r="35593" s="69" customFormat="1" x14ac:dyDescent="0.15"/>
    <row r="35594" s="69" customFormat="1" x14ac:dyDescent="0.15"/>
    <row r="35595" s="69" customFormat="1" x14ac:dyDescent="0.15"/>
    <row r="35596" s="69" customFormat="1" x14ac:dyDescent="0.15"/>
    <row r="35597" s="69" customFormat="1" x14ac:dyDescent="0.15"/>
    <row r="35598" s="69" customFormat="1" x14ac:dyDescent="0.15"/>
    <row r="35599" s="69" customFormat="1" x14ac:dyDescent="0.15"/>
    <row r="35600" s="69" customFormat="1" x14ac:dyDescent="0.15"/>
    <row r="35601" s="69" customFormat="1" x14ac:dyDescent="0.15"/>
    <row r="35602" s="69" customFormat="1" x14ac:dyDescent="0.15"/>
    <row r="35603" s="69" customFormat="1" x14ac:dyDescent="0.15"/>
    <row r="35604" s="69" customFormat="1" x14ac:dyDescent="0.15"/>
    <row r="35605" s="69" customFormat="1" x14ac:dyDescent="0.15"/>
    <row r="35606" s="69" customFormat="1" x14ac:dyDescent="0.15"/>
    <row r="35607" s="69" customFormat="1" x14ac:dyDescent="0.15"/>
    <row r="35608" s="69" customFormat="1" x14ac:dyDescent="0.15"/>
    <row r="35609" s="69" customFormat="1" x14ac:dyDescent="0.15"/>
    <row r="35610" s="69" customFormat="1" x14ac:dyDescent="0.15"/>
    <row r="35611" s="69" customFormat="1" x14ac:dyDescent="0.15"/>
    <row r="35612" s="69" customFormat="1" x14ac:dyDescent="0.15"/>
    <row r="35613" s="69" customFormat="1" x14ac:dyDescent="0.15"/>
    <row r="35614" s="69" customFormat="1" x14ac:dyDescent="0.15"/>
    <row r="35615" s="69" customFormat="1" x14ac:dyDescent="0.15"/>
    <row r="35616" s="69" customFormat="1" x14ac:dyDescent="0.15"/>
    <row r="35617" s="69" customFormat="1" x14ac:dyDescent="0.15"/>
    <row r="35618" s="69" customFormat="1" x14ac:dyDescent="0.15"/>
    <row r="35619" s="69" customFormat="1" x14ac:dyDescent="0.15"/>
    <row r="35620" s="69" customFormat="1" x14ac:dyDescent="0.15"/>
    <row r="35621" s="69" customFormat="1" x14ac:dyDescent="0.15"/>
    <row r="35622" s="69" customFormat="1" x14ac:dyDescent="0.15"/>
    <row r="35623" s="69" customFormat="1" x14ac:dyDescent="0.15"/>
    <row r="35624" s="69" customFormat="1" x14ac:dyDescent="0.15"/>
    <row r="35625" s="69" customFormat="1" x14ac:dyDescent="0.15"/>
    <row r="35626" s="69" customFormat="1" x14ac:dyDescent="0.15"/>
    <row r="35627" s="69" customFormat="1" x14ac:dyDescent="0.15"/>
    <row r="35628" s="69" customFormat="1" x14ac:dyDescent="0.15"/>
    <row r="35629" s="69" customFormat="1" x14ac:dyDescent="0.15"/>
    <row r="35630" s="69" customFormat="1" x14ac:dyDescent="0.15"/>
    <row r="35631" s="69" customFormat="1" x14ac:dyDescent="0.15"/>
    <row r="35632" s="69" customFormat="1" x14ac:dyDescent="0.15"/>
    <row r="35633" s="69" customFormat="1" x14ac:dyDescent="0.15"/>
    <row r="35634" s="69" customFormat="1" x14ac:dyDescent="0.15"/>
    <row r="35635" s="69" customFormat="1" x14ac:dyDescent="0.15"/>
    <row r="35636" s="69" customFormat="1" x14ac:dyDescent="0.15"/>
    <row r="35637" s="69" customFormat="1" x14ac:dyDescent="0.15"/>
    <row r="35638" s="69" customFormat="1" x14ac:dyDescent="0.15"/>
    <row r="35639" s="69" customFormat="1" x14ac:dyDescent="0.15"/>
    <row r="35640" s="69" customFormat="1" x14ac:dyDescent="0.15"/>
    <row r="35641" s="69" customFormat="1" x14ac:dyDescent="0.15"/>
    <row r="35642" s="69" customFormat="1" x14ac:dyDescent="0.15"/>
    <row r="35643" s="69" customFormat="1" x14ac:dyDescent="0.15"/>
    <row r="35644" s="69" customFormat="1" x14ac:dyDescent="0.15"/>
    <row r="35645" s="69" customFormat="1" x14ac:dyDescent="0.15"/>
    <row r="35646" s="69" customFormat="1" x14ac:dyDescent="0.15"/>
    <row r="35647" s="69" customFormat="1" x14ac:dyDescent="0.15"/>
    <row r="35648" s="69" customFormat="1" x14ac:dyDescent="0.15"/>
    <row r="35649" s="69" customFormat="1" x14ac:dyDescent="0.15"/>
    <row r="35650" s="69" customFormat="1" x14ac:dyDescent="0.15"/>
    <row r="35651" s="69" customFormat="1" x14ac:dyDescent="0.15"/>
    <row r="35652" s="69" customFormat="1" x14ac:dyDescent="0.15"/>
    <row r="35653" s="69" customFormat="1" x14ac:dyDescent="0.15"/>
    <row r="35654" s="69" customFormat="1" x14ac:dyDescent="0.15"/>
    <row r="35655" s="69" customFormat="1" x14ac:dyDescent="0.15"/>
    <row r="35656" s="69" customFormat="1" x14ac:dyDescent="0.15"/>
    <row r="35657" s="69" customFormat="1" x14ac:dyDescent="0.15"/>
    <row r="35658" s="69" customFormat="1" x14ac:dyDescent="0.15"/>
    <row r="35659" s="69" customFormat="1" x14ac:dyDescent="0.15"/>
    <row r="35660" s="69" customFormat="1" x14ac:dyDescent="0.15"/>
    <row r="35661" s="69" customFormat="1" x14ac:dyDescent="0.15"/>
    <row r="35662" s="69" customFormat="1" x14ac:dyDescent="0.15"/>
    <row r="35663" s="69" customFormat="1" x14ac:dyDescent="0.15"/>
    <row r="35664" s="69" customFormat="1" x14ac:dyDescent="0.15"/>
    <row r="35665" s="69" customFormat="1" x14ac:dyDescent="0.15"/>
    <row r="35666" s="69" customFormat="1" x14ac:dyDescent="0.15"/>
    <row r="35667" s="69" customFormat="1" x14ac:dyDescent="0.15"/>
    <row r="35668" s="69" customFormat="1" x14ac:dyDescent="0.15"/>
    <row r="35669" s="69" customFormat="1" x14ac:dyDescent="0.15"/>
    <row r="35670" s="69" customFormat="1" x14ac:dyDescent="0.15"/>
    <row r="35671" s="69" customFormat="1" x14ac:dyDescent="0.15"/>
    <row r="35672" s="69" customFormat="1" x14ac:dyDescent="0.15"/>
    <row r="35673" s="69" customFormat="1" x14ac:dyDescent="0.15"/>
    <row r="35674" s="69" customFormat="1" x14ac:dyDescent="0.15"/>
    <row r="35675" s="69" customFormat="1" x14ac:dyDescent="0.15"/>
    <row r="35676" s="69" customFormat="1" x14ac:dyDescent="0.15"/>
    <row r="35677" s="69" customFormat="1" x14ac:dyDescent="0.15"/>
    <row r="35678" s="69" customFormat="1" x14ac:dyDescent="0.15"/>
    <row r="35679" s="69" customFormat="1" x14ac:dyDescent="0.15"/>
    <row r="35680" s="69" customFormat="1" x14ac:dyDescent="0.15"/>
    <row r="35681" s="69" customFormat="1" x14ac:dyDescent="0.15"/>
    <row r="35682" s="69" customFormat="1" x14ac:dyDescent="0.15"/>
    <row r="35683" s="69" customFormat="1" x14ac:dyDescent="0.15"/>
    <row r="35684" s="69" customFormat="1" x14ac:dyDescent="0.15"/>
    <row r="35685" s="69" customFormat="1" x14ac:dyDescent="0.15"/>
    <row r="35686" s="69" customFormat="1" x14ac:dyDescent="0.15"/>
    <row r="35687" s="69" customFormat="1" x14ac:dyDescent="0.15"/>
    <row r="35688" s="69" customFormat="1" x14ac:dyDescent="0.15"/>
    <row r="35689" s="69" customFormat="1" x14ac:dyDescent="0.15"/>
    <row r="35690" s="69" customFormat="1" x14ac:dyDescent="0.15"/>
    <row r="35691" s="69" customFormat="1" x14ac:dyDescent="0.15"/>
    <row r="35692" s="69" customFormat="1" x14ac:dyDescent="0.15"/>
    <row r="35693" s="69" customFormat="1" x14ac:dyDescent="0.15"/>
    <row r="35694" s="69" customFormat="1" x14ac:dyDescent="0.15"/>
    <row r="35695" s="69" customFormat="1" x14ac:dyDescent="0.15"/>
    <row r="35696" s="69" customFormat="1" x14ac:dyDescent="0.15"/>
    <row r="35697" s="69" customFormat="1" x14ac:dyDescent="0.15"/>
    <row r="35698" s="69" customFormat="1" x14ac:dyDescent="0.15"/>
    <row r="35699" s="69" customFormat="1" x14ac:dyDescent="0.15"/>
    <row r="35700" s="69" customFormat="1" x14ac:dyDescent="0.15"/>
    <row r="35701" s="69" customFormat="1" x14ac:dyDescent="0.15"/>
    <row r="35702" s="69" customFormat="1" x14ac:dyDescent="0.15"/>
    <row r="35703" s="69" customFormat="1" x14ac:dyDescent="0.15"/>
    <row r="35704" s="69" customFormat="1" x14ac:dyDescent="0.15"/>
    <row r="35705" s="69" customFormat="1" x14ac:dyDescent="0.15"/>
    <row r="35706" s="69" customFormat="1" x14ac:dyDescent="0.15"/>
    <row r="35707" s="69" customFormat="1" x14ac:dyDescent="0.15"/>
    <row r="35708" s="69" customFormat="1" x14ac:dyDescent="0.15"/>
    <row r="35709" s="69" customFormat="1" x14ac:dyDescent="0.15"/>
    <row r="35710" s="69" customFormat="1" x14ac:dyDescent="0.15"/>
    <row r="35711" s="69" customFormat="1" x14ac:dyDescent="0.15"/>
    <row r="35712" s="69" customFormat="1" x14ac:dyDescent="0.15"/>
    <row r="35713" s="69" customFormat="1" x14ac:dyDescent="0.15"/>
    <row r="35714" s="69" customFormat="1" x14ac:dyDescent="0.15"/>
    <row r="35715" s="69" customFormat="1" x14ac:dyDescent="0.15"/>
    <row r="35716" s="69" customFormat="1" x14ac:dyDescent="0.15"/>
    <row r="35717" s="69" customFormat="1" x14ac:dyDescent="0.15"/>
    <row r="35718" s="69" customFormat="1" x14ac:dyDescent="0.15"/>
    <row r="35719" s="69" customFormat="1" x14ac:dyDescent="0.15"/>
    <row r="35720" s="69" customFormat="1" x14ac:dyDescent="0.15"/>
    <row r="35721" s="69" customFormat="1" x14ac:dyDescent="0.15"/>
    <row r="35722" s="69" customFormat="1" x14ac:dyDescent="0.15"/>
    <row r="35723" s="69" customFormat="1" x14ac:dyDescent="0.15"/>
    <row r="35724" s="69" customFormat="1" x14ac:dyDescent="0.15"/>
    <row r="35725" s="69" customFormat="1" x14ac:dyDescent="0.15"/>
    <row r="35726" s="69" customFormat="1" x14ac:dyDescent="0.15"/>
    <row r="35727" s="69" customFormat="1" x14ac:dyDescent="0.15"/>
    <row r="35728" s="69" customFormat="1" x14ac:dyDescent="0.15"/>
    <row r="35729" s="69" customFormat="1" x14ac:dyDescent="0.15"/>
    <row r="35730" s="69" customFormat="1" x14ac:dyDescent="0.15"/>
    <row r="35731" s="69" customFormat="1" x14ac:dyDescent="0.15"/>
    <row r="35732" s="69" customFormat="1" x14ac:dyDescent="0.15"/>
    <row r="35733" s="69" customFormat="1" x14ac:dyDescent="0.15"/>
    <row r="35734" s="69" customFormat="1" x14ac:dyDescent="0.15"/>
    <row r="35735" s="69" customFormat="1" x14ac:dyDescent="0.15"/>
    <row r="35736" s="69" customFormat="1" x14ac:dyDescent="0.15"/>
    <row r="35737" s="69" customFormat="1" x14ac:dyDescent="0.15"/>
    <row r="35738" s="69" customFormat="1" x14ac:dyDescent="0.15"/>
    <row r="35739" s="69" customFormat="1" x14ac:dyDescent="0.15"/>
    <row r="35740" s="69" customFormat="1" x14ac:dyDescent="0.15"/>
    <row r="35741" s="69" customFormat="1" x14ac:dyDescent="0.15"/>
    <row r="35742" s="69" customFormat="1" x14ac:dyDescent="0.15"/>
    <row r="35743" s="69" customFormat="1" x14ac:dyDescent="0.15"/>
    <row r="35744" s="69" customFormat="1" x14ac:dyDescent="0.15"/>
    <row r="35745" s="69" customFormat="1" x14ac:dyDescent="0.15"/>
    <row r="35746" s="69" customFormat="1" x14ac:dyDescent="0.15"/>
    <row r="35747" s="69" customFormat="1" x14ac:dyDescent="0.15"/>
    <row r="35748" s="69" customFormat="1" x14ac:dyDescent="0.15"/>
    <row r="35749" s="69" customFormat="1" x14ac:dyDescent="0.15"/>
    <row r="35750" s="69" customFormat="1" x14ac:dyDescent="0.15"/>
    <row r="35751" s="69" customFormat="1" x14ac:dyDescent="0.15"/>
    <row r="35752" s="69" customFormat="1" x14ac:dyDescent="0.15"/>
    <row r="35753" s="69" customFormat="1" x14ac:dyDescent="0.15"/>
    <row r="35754" s="69" customFormat="1" x14ac:dyDescent="0.15"/>
    <row r="35755" s="69" customFormat="1" x14ac:dyDescent="0.15"/>
    <row r="35756" s="69" customFormat="1" x14ac:dyDescent="0.15"/>
    <row r="35757" s="69" customFormat="1" x14ac:dyDescent="0.15"/>
    <row r="35758" s="69" customFormat="1" x14ac:dyDescent="0.15"/>
    <row r="35759" s="69" customFormat="1" x14ac:dyDescent="0.15"/>
    <row r="35760" s="69" customFormat="1" x14ac:dyDescent="0.15"/>
    <row r="35761" s="69" customFormat="1" x14ac:dyDescent="0.15"/>
    <row r="35762" s="69" customFormat="1" x14ac:dyDescent="0.15"/>
    <row r="35763" s="69" customFormat="1" x14ac:dyDescent="0.15"/>
    <row r="35764" s="69" customFormat="1" x14ac:dyDescent="0.15"/>
    <row r="35765" s="69" customFormat="1" x14ac:dyDescent="0.15"/>
    <row r="35766" s="69" customFormat="1" x14ac:dyDescent="0.15"/>
    <row r="35767" s="69" customFormat="1" x14ac:dyDescent="0.15"/>
    <row r="35768" s="69" customFormat="1" x14ac:dyDescent="0.15"/>
    <row r="35769" s="69" customFormat="1" x14ac:dyDescent="0.15"/>
    <row r="35770" s="69" customFormat="1" x14ac:dyDescent="0.15"/>
    <row r="35771" s="69" customFormat="1" x14ac:dyDescent="0.15"/>
    <row r="35772" s="69" customFormat="1" x14ac:dyDescent="0.15"/>
    <row r="35773" s="69" customFormat="1" x14ac:dyDescent="0.15"/>
    <row r="35774" s="69" customFormat="1" x14ac:dyDescent="0.15"/>
    <row r="35775" s="69" customFormat="1" x14ac:dyDescent="0.15"/>
    <row r="35776" s="69" customFormat="1" x14ac:dyDescent="0.15"/>
    <row r="35777" s="69" customFormat="1" x14ac:dyDescent="0.15"/>
    <row r="35778" s="69" customFormat="1" x14ac:dyDescent="0.15"/>
    <row r="35779" s="69" customFormat="1" x14ac:dyDescent="0.15"/>
    <row r="35780" s="69" customFormat="1" x14ac:dyDescent="0.15"/>
    <row r="35781" s="69" customFormat="1" x14ac:dyDescent="0.15"/>
    <row r="35782" s="69" customFormat="1" x14ac:dyDescent="0.15"/>
    <row r="35783" s="69" customFormat="1" x14ac:dyDescent="0.15"/>
    <row r="35784" s="69" customFormat="1" x14ac:dyDescent="0.15"/>
    <row r="35785" s="69" customFormat="1" x14ac:dyDescent="0.15"/>
    <row r="35786" s="69" customFormat="1" x14ac:dyDescent="0.15"/>
    <row r="35787" s="69" customFormat="1" x14ac:dyDescent="0.15"/>
    <row r="35788" s="69" customFormat="1" x14ac:dyDescent="0.15"/>
    <row r="35789" s="69" customFormat="1" x14ac:dyDescent="0.15"/>
    <row r="35790" s="69" customFormat="1" x14ac:dyDescent="0.15"/>
    <row r="35791" s="69" customFormat="1" x14ac:dyDescent="0.15"/>
    <row r="35792" s="69" customFormat="1" x14ac:dyDescent="0.15"/>
    <row r="35793" s="69" customFormat="1" x14ac:dyDescent="0.15"/>
    <row r="35794" s="69" customFormat="1" x14ac:dyDescent="0.15"/>
    <row r="35795" s="69" customFormat="1" x14ac:dyDescent="0.15"/>
    <row r="35796" s="69" customFormat="1" x14ac:dyDescent="0.15"/>
    <row r="35797" s="69" customFormat="1" x14ac:dyDescent="0.15"/>
    <row r="35798" s="69" customFormat="1" x14ac:dyDescent="0.15"/>
    <row r="35799" s="69" customFormat="1" x14ac:dyDescent="0.15"/>
    <row r="35800" s="69" customFormat="1" x14ac:dyDescent="0.15"/>
    <row r="35801" s="69" customFormat="1" x14ac:dyDescent="0.15"/>
    <row r="35802" s="69" customFormat="1" x14ac:dyDescent="0.15"/>
    <row r="35803" s="69" customFormat="1" x14ac:dyDescent="0.15"/>
    <row r="35804" s="69" customFormat="1" x14ac:dyDescent="0.15"/>
    <row r="35805" s="69" customFormat="1" x14ac:dyDescent="0.15"/>
    <row r="35806" s="69" customFormat="1" x14ac:dyDescent="0.15"/>
    <row r="35807" s="69" customFormat="1" x14ac:dyDescent="0.15"/>
    <row r="35808" s="69" customFormat="1" x14ac:dyDescent="0.15"/>
    <row r="35809" s="69" customFormat="1" x14ac:dyDescent="0.15"/>
    <row r="35810" s="69" customFormat="1" x14ac:dyDescent="0.15"/>
    <row r="35811" s="69" customFormat="1" x14ac:dyDescent="0.15"/>
    <row r="35812" s="69" customFormat="1" x14ac:dyDescent="0.15"/>
    <row r="35813" s="69" customFormat="1" x14ac:dyDescent="0.15"/>
    <row r="35814" s="69" customFormat="1" x14ac:dyDescent="0.15"/>
    <row r="35815" s="69" customFormat="1" x14ac:dyDescent="0.15"/>
    <row r="35816" s="69" customFormat="1" x14ac:dyDescent="0.15"/>
    <row r="35817" s="69" customFormat="1" x14ac:dyDescent="0.15"/>
    <row r="35818" s="69" customFormat="1" x14ac:dyDescent="0.15"/>
    <row r="35819" s="69" customFormat="1" x14ac:dyDescent="0.15"/>
    <row r="35820" s="69" customFormat="1" x14ac:dyDescent="0.15"/>
    <row r="35821" s="69" customFormat="1" x14ac:dyDescent="0.15"/>
    <row r="35822" s="69" customFormat="1" x14ac:dyDescent="0.15"/>
    <row r="35823" s="69" customFormat="1" x14ac:dyDescent="0.15"/>
    <row r="35824" s="69" customFormat="1" x14ac:dyDescent="0.15"/>
    <row r="35825" s="69" customFormat="1" x14ac:dyDescent="0.15"/>
    <row r="35826" s="69" customFormat="1" x14ac:dyDescent="0.15"/>
    <row r="35827" s="69" customFormat="1" x14ac:dyDescent="0.15"/>
    <row r="35828" s="69" customFormat="1" x14ac:dyDescent="0.15"/>
    <row r="35829" s="69" customFormat="1" x14ac:dyDescent="0.15"/>
    <row r="35830" s="69" customFormat="1" x14ac:dyDescent="0.15"/>
    <row r="35831" s="69" customFormat="1" x14ac:dyDescent="0.15"/>
    <row r="35832" s="69" customFormat="1" x14ac:dyDescent="0.15"/>
    <row r="35833" s="69" customFormat="1" x14ac:dyDescent="0.15"/>
    <row r="35834" s="69" customFormat="1" x14ac:dyDescent="0.15"/>
    <row r="35835" s="69" customFormat="1" x14ac:dyDescent="0.15"/>
    <row r="35836" s="69" customFormat="1" x14ac:dyDescent="0.15"/>
    <row r="35837" s="69" customFormat="1" x14ac:dyDescent="0.15"/>
    <row r="35838" s="69" customFormat="1" x14ac:dyDescent="0.15"/>
    <row r="35839" s="69" customFormat="1" x14ac:dyDescent="0.15"/>
    <row r="35840" s="69" customFormat="1" x14ac:dyDescent="0.15"/>
    <row r="35841" s="69" customFormat="1" x14ac:dyDescent="0.15"/>
    <row r="35842" s="69" customFormat="1" x14ac:dyDescent="0.15"/>
    <row r="35843" s="69" customFormat="1" x14ac:dyDescent="0.15"/>
    <row r="35844" s="69" customFormat="1" x14ac:dyDescent="0.15"/>
    <row r="35845" s="69" customFormat="1" x14ac:dyDescent="0.15"/>
    <row r="35846" s="69" customFormat="1" x14ac:dyDescent="0.15"/>
    <row r="35847" s="69" customFormat="1" x14ac:dyDescent="0.15"/>
    <row r="35848" s="69" customFormat="1" x14ac:dyDescent="0.15"/>
    <row r="35849" s="69" customFormat="1" x14ac:dyDescent="0.15"/>
    <row r="35850" s="69" customFormat="1" x14ac:dyDescent="0.15"/>
    <row r="35851" s="69" customFormat="1" x14ac:dyDescent="0.15"/>
    <row r="35852" s="69" customFormat="1" x14ac:dyDescent="0.15"/>
    <row r="35853" s="69" customFormat="1" x14ac:dyDescent="0.15"/>
    <row r="35854" s="69" customFormat="1" x14ac:dyDescent="0.15"/>
    <row r="35855" s="69" customFormat="1" x14ac:dyDescent="0.15"/>
    <row r="35856" s="69" customFormat="1" x14ac:dyDescent="0.15"/>
    <row r="35857" s="69" customFormat="1" x14ac:dyDescent="0.15"/>
    <row r="35858" s="69" customFormat="1" x14ac:dyDescent="0.15"/>
    <row r="35859" s="69" customFormat="1" x14ac:dyDescent="0.15"/>
    <row r="35860" s="69" customFormat="1" x14ac:dyDescent="0.15"/>
    <row r="35861" s="69" customFormat="1" x14ac:dyDescent="0.15"/>
    <row r="35862" s="69" customFormat="1" x14ac:dyDescent="0.15"/>
    <row r="35863" s="69" customFormat="1" x14ac:dyDescent="0.15"/>
    <row r="35864" s="69" customFormat="1" x14ac:dyDescent="0.15"/>
    <row r="35865" s="69" customFormat="1" x14ac:dyDescent="0.15"/>
    <row r="35866" s="69" customFormat="1" x14ac:dyDescent="0.15"/>
    <row r="35867" s="69" customFormat="1" x14ac:dyDescent="0.15"/>
    <row r="35868" s="69" customFormat="1" x14ac:dyDescent="0.15"/>
    <row r="35869" s="69" customFormat="1" x14ac:dyDescent="0.15"/>
    <row r="35870" s="69" customFormat="1" x14ac:dyDescent="0.15"/>
    <row r="35871" s="69" customFormat="1" x14ac:dyDescent="0.15"/>
    <row r="35872" s="69" customFormat="1" x14ac:dyDescent="0.15"/>
    <row r="35873" s="69" customFormat="1" x14ac:dyDescent="0.15"/>
    <row r="35874" s="69" customFormat="1" x14ac:dyDescent="0.15"/>
    <row r="35875" s="69" customFormat="1" x14ac:dyDescent="0.15"/>
    <row r="35876" s="69" customFormat="1" x14ac:dyDescent="0.15"/>
    <row r="35877" s="69" customFormat="1" x14ac:dyDescent="0.15"/>
    <row r="35878" s="69" customFormat="1" x14ac:dyDescent="0.15"/>
    <row r="35879" s="69" customFormat="1" x14ac:dyDescent="0.15"/>
    <row r="35880" s="69" customFormat="1" x14ac:dyDescent="0.15"/>
    <row r="35881" s="69" customFormat="1" x14ac:dyDescent="0.15"/>
    <row r="35882" s="69" customFormat="1" x14ac:dyDescent="0.15"/>
    <row r="35883" s="69" customFormat="1" x14ac:dyDescent="0.15"/>
    <row r="35884" s="69" customFormat="1" x14ac:dyDescent="0.15"/>
    <row r="35885" s="69" customFormat="1" x14ac:dyDescent="0.15"/>
    <row r="35886" s="69" customFormat="1" x14ac:dyDescent="0.15"/>
    <row r="35887" s="69" customFormat="1" x14ac:dyDescent="0.15"/>
    <row r="35888" s="69" customFormat="1" x14ac:dyDescent="0.15"/>
    <row r="35889" s="69" customFormat="1" x14ac:dyDescent="0.15"/>
    <row r="35890" s="69" customFormat="1" x14ac:dyDescent="0.15"/>
    <row r="35891" s="69" customFormat="1" x14ac:dyDescent="0.15"/>
    <row r="35892" s="69" customFormat="1" x14ac:dyDescent="0.15"/>
    <row r="35893" s="69" customFormat="1" x14ac:dyDescent="0.15"/>
    <row r="35894" s="69" customFormat="1" x14ac:dyDescent="0.15"/>
    <row r="35895" s="69" customFormat="1" x14ac:dyDescent="0.15"/>
    <row r="35896" s="69" customFormat="1" x14ac:dyDescent="0.15"/>
    <row r="35897" s="69" customFormat="1" x14ac:dyDescent="0.15"/>
    <row r="35898" s="69" customFormat="1" x14ac:dyDescent="0.15"/>
    <row r="35899" s="69" customFormat="1" x14ac:dyDescent="0.15"/>
    <row r="35900" s="69" customFormat="1" x14ac:dyDescent="0.15"/>
    <row r="35901" s="69" customFormat="1" x14ac:dyDescent="0.15"/>
    <row r="35902" s="69" customFormat="1" x14ac:dyDescent="0.15"/>
    <row r="35903" s="69" customFormat="1" x14ac:dyDescent="0.15"/>
    <row r="35904" s="69" customFormat="1" x14ac:dyDescent="0.15"/>
    <row r="35905" s="69" customFormat="1" x14ac:dyDescent="0.15"/>
    <row r="35906" s="69" customFormat="1" x14ac:dyDescent="0.15"/>
    <row r="35907" s="69" customFormat="1" x14ac:dyDescent="0.15"/>
    <row r="35908" s="69" customFormat="1" x14ac:dyDescent="0.15"/>
    <row r="35909" s="69" customFormat="1" x14ac:dyDescent="0.15"/>
    <row r="35910" s="69" customFormat="1" x14ac:dyDescent="0.15"/>
    <row r="35911" s="69" customFormat="1" x14ac:dyDescent="0.15"/>
    <row r="35912" s="69" customFormat="1" x14ac:dyDescent="0.15"/>
    <row r="35913" s="69" customFormat="1" x14ac:dyDescent="0.15"/>
    <row r="35914" s="69" customFormat="1" x14ac:dyDescent="0.15"/>
    <row r="35915" s="69" customFormat="1" x14ac:dyDescent="0.15"/>
    <row r="35916" s="69" customFormat="1" x14ac:dyDescent="0.15"/>
    <row r="35917" s="69" customFormat="1" x14ac:dyDescent="0.15"/>
    <row r="35918" s="69" customFormat="1" x14ac:dyDescent="0.15"/>
    <row r="35919" s="69" customFormat="1" x14ac:dyDescent="0.15"/>
    <row r="35920" s="69" customFormat="1" x14ac:dyDescent="0.15"/>
    <row r="35921" s="69" customFormat="1" x14ac:dyDescent="0.15"/>
    <row r="35922" s="69" customFormat="1" x14ac:dyDescent="0.15"/>
    <row r="35923" s="69" customFormat="1" x14ac:dyDescent="0.15"/>
    <row r="35924" s="69" customFormat="1" x14ac:dyDescent="0.15"/>
    <row r="35925" s="69" customFormat="1" x14ac:dyDescent="0.15"/>
    <row r="35926" s="69" customFormat="1" x14ac:dyDescent="0.15"/>
    <row r="35927" s="69" customFormat="1" x14ac:dyDescent="0.15"/>
    <row r="35928" s="69" customFormat="1" x14ac:dyDescent="0.15"/>
    <row r="35929" s="69" customFormat="1" x14ac:dyDescent="0.15"/>
    <row r="35930" s="69" customFormat="1" x14ac:dyDescent="0.15"/>
    <row r="35931" s="69" customFormat="1" x14ac:dyDescent="0.15"/>
    <row r="35932" s="69" customFormat="1" x14ac:dyDescent="0.15"/>
    <row r="35933" s="69" customFormat="1" x14ac:dyDescent="0.15"/>
    <row r="35934" s="69" customFormat="1" x14ac:dyDescent="0.15"/>
    <row r="35935" s="69" customFormat="1" x14ac:dyDescent="0.15"/>
    <row r="35936" s="69" customFormat="1" x14ac:dyDescent="0.15"/>
    <row r="35937" s="69" customFormat="1" x14ac:dyDescent="0.15"/>
    <row r="35938" s="69" customFormat="1" x14ac:dyDescent="0.15"/>
    <row r="35939" s="69" customFormat="1" x14ac:dyDescent="0.15"/>
    <row r="35940" s="69" customFormat="1" x14ac:dyDescent="0.15"/>
    <row r="35941" s="69" customFormat="1" x14ac:dyDescent="0.15"/>
    <row r="35942" s="69" customFormat="1" x14ac:dyDescent="0.15"/>
    <row r="35943" s="69" customFormat="1" x14ac:dyDescent="0.15"/>
    <row r="35944" s="69" customFormat="1" x14ac:dyDescent="0.15"/>
    <row r="35945" s="69" customFormat="1" x14ac:dyDescent="0.15"/>
    <row r="35946" s="69" customFormat="1" x14ac:dyDescent="0.15"/>
    <row r="35947" s="69" customFormat="1" x14ac:dyDescent="0.15"/>
    <row r="35948" s="69" customFormat="1" x14ac:dyDescent="0.15"/>
    <row r="35949" s="69" customFormat="1" x14ac:dyDescent="0.15"/>
    <row r="35950" s="69" customFormat="1" x14ac:dyDescent="0.15"/>
    <row r="35951" s="69" customFormat="1" x14ac:dyDescent="0.15"/>
    <row r="35952" s="69" customFormat="1" x14ac:dyDescent="0.15"/>
    <row r="35953" s="69" customFormat="1" x14ac:dyDescent="0.15"/>
    <row r="35954" s="69" customFormat="1" x14ac:dyDescent="0.15"/>
    <row r="35955" s="69" customFormat="1" x14ac:dyDescent="0.15"/>
    <row r="35956" s="69" customFormat="1" x14ac:dyDescent="0.15"/>
    <row r="35957" s="69" customFormat="1" x14ac:dyDescent="0.15"/>
    <row r="35958" s="69" customFormat="1" x14ac:dyDescent="0.15"/>
    <row r="35959" s="69" customFormat="1" x14ac:dyDescent="0.15"/>
    <row r="35960" s="69" customFormat="1" x14ac:dyDescent="0.15"/>
    <row r="35961" s="69" customFormat="1" x14ac:dyDescent="0.15"/>
    <row r="35962" s="69" customFormat="1" x14ac:dyDescent="0.15"/>
    <row r="35963" s="69" customFormat="1" x14ac:dyDescent="0.15"/>
    <row r="35964" s="69" customFormat="1" x14ac:dyDescent="0.15"/>
    <row r="35965" s="69" customFormat="1" x14ac:dyDescent="0.15"/>
    <row r="35966" s="69" customFormat="1" x14ac:dyDescent="0.15"/>
    <row r="35967" s="69" customFormat="1" x14ac:dyDescent="0.15"/>
    <row r="35968" s="69" customFormat="1" x14ac:dyDescent="0.15"/>
    <row r="35969" s="69" customFormat="1" x14ac:dyDescent="0.15"/>
    <row r="35970" s="69" customFormat="1" x14ac:dyDescent="0.15"/>
    <row r="35971" s="69" customFormat="1" x14ac:dyDescent="0.15"/>
    <row r="35972" s="69" customFormat="1" x14ac:dyDescent="0.15"/>
    <row r="35973" s="69" customFormat="1" x14ac:dyDescent="0.15"/>
    <row r="35974" s="69" customFormat="1" x14ac:dyDescent="0.15"/>
    <row r="35975" s="69" customFormat="1" x14ac:dyDescent="0.15"/>
    <row r="35976" s="69" customFormat="1" x14ac:dyDescent="0.15"/>
    <row r="35977" s="69" customFormat="1" x14ac:dyDescent="0.15"/>
    <row r="35978" s="69" customFormat="1" x14ac:dyDescent="0.15"/>
    <row r="35979" s="69" customFormat="1" x14ac:dyDescent="0.15"/>
    <row r="35980" s="69" customFormat="1" x14ac:dyDescent="0.15"/>
    <row r="35981" s="69" customFormat="1" x14ac:dyDescent="0.15"/>
    <row r="35982" s="69" customFormat="1" x14ac:dyDescent="0.15"/>
    <row r="35983" s="69" customFormat="1" x14ac:dyDescent="0.15"/>
    <row r="35984" s="69" customFormat="1" x14ac:dyDescent="0.15"/>
    <row r="35985" s="69" customFormat="1" x14ac:dyDescent="0.15"/>
    <row r="35986" s="69" customFormat="1" x14ac:dyDescent="0.15"/>
    <row r="35987" s="69" customFormat="1" x14ac:dyDescent="0.15"/>
    <row r="35988" s="69" customFormat="1" x14ac:dyDescent="0.15"/>
    <row r="35989" s="69" customFormat="1" x14ac:dyDescent="0.15"/>
    <row r="35990" s="69" customFormat="1" x14ac:dyDescent="0.15"/>
    <row r="35991" s="69" customFormat="1" x14ac:dyDescent="0.15"/>
    <row r="35992" s="69" customFormat="1" x14ac:dyDescent="0.15"/>
    <row r="35993" s="69" customFormat="1" x14ac:dyDescent="0.15"/>
    <row r="35994" s="69" customFormat="1" x14ac:dyDescent="0.15"/>
    <row r="35995" s="69" customFormat="1" x14ac:dyDescent="0.15"/>
    <row r="35996" s="69" customFormat="1" x14ac:dyDescent="0.15"/>
    <row r="35997" s="69" customFormat="1" x14ac:dyDescent="0.15"/>
    <row r="35998" s="69" customFormat="1" x14ac:dyDescent="0.15"/>
    <row r="35999" s="69" customFormat="1" x14ac:dyDescent="0.15"/>
    <row r="36000" s="69" customFormat="1" x14ac:dyDescent="0.15"/>
    <row r="36001" s="69" customFormat="1" x14ac:dyDescent="0.15"/>
    <row r="36002" s="69" customFormat="1" x14ac:dyDescent="0.15"/>
    <row r="36003" s="69" customFormat="1" x14ac:dyDescent="0.15"/>
    <row r="36004" s="69" customFormat="1" x14ac:dyDescent="0.15"/>
    <row r="36005" s="69" customFormat="1" x14ac:dyDescent="0.15"/>
    <row r="36006" s="69" customFormat="1" x14ac:dyDescent="0.15"/>
    <row r="36007" s="69" customFormat="1" x14ac:dyDescent="0.15"/>
    <row r="36008" s="69" customFormat="1" x14ac:dyDescent="0.15"/>
    <row r="36009" s="69" customFormat="1" x14ac:dyDescent="0.15"/>
    <row r="36010" s="69" customFormat="1" x14ac:dyDescent="0.15"/>
    <row r="36011" s="69" customFormat="1" x14ac:dyDescent="0.15"/>
    <row r="36012" s="69" customFormat="1" x14ac:dyDescent="0.15"/>
    <row r="36013" s="69" customFormat="1" x14ac:dyDescent="0.15"/>
    <row r="36014" s="69" customFormat="1" x14ac:dyDescent="0.15"/>
    <row r="36015" s="69" customFormat="1" x14ac:dyDescent="0.15"/>
    <row r="36016" s="69" customFormat="1" x14ac:dyDescent="0.15"/>
    <row r="36017" s="69" customFormat="1" x14ac:dyDescent="0.15"/>
    <row r="36018" s="69" customFormat="1" x14ac:dyDescent="0.15"/>
    <row r="36019" s="69" customFormat="1" x14ac:dyDescent="0.15"/>
    <row r="36020" s="69" customFormat="1" x14ac:dyDescent="0.15"/>
    <row r="36021" s="69" customFormat="1" x14ac:dyDescent="0.15"/>
    <row r="36022" s="69" customFormat="1" x14ac:dyDescent="0.15"/>
    <row r="36023" s="69" customFormat="1" x14ac:dyDescent="0.15"/>
    <row r="36024" s="69" customFormat="1" x14ac:dyDescent="0.15"/>
    <row r="36025" s="69" customFormat="1" x14ac:dyDescent="0.15"/>
    <row r="36026" s="69" customFormat="1" x14ac:dyDescent="0.15"/>
    <row r="36027" s="69" customFormat="1" x14ac:dyDescent="0.15"/>
    <row r="36028" s="69" customFormat="1" x14ac:dyDescent="0.15"/>
    <row r="36029" s="69" customFormat="1" x14ac:dyDescent="0.15"/>
    <row r="36030" s="69" customFormat="1" x14ac:dyDescent="0.15"/>
    <row r="36031" s="69" customFormat="1" x14ac:dyDescent="0.15"/>
    <row r="36032" s="69" customFormat="1" x14ac:dyDescent="0.15"/>
    <row r="36033" s="69" customFormat="1" x14ac:dyDescent="0.15"/>
    <row r="36034" s="69" customFormat="1" x14ac:dyDescent="0.15"/>
    <row r="36035" s="69" customFormat="1" x14ac:dyDescent="0.15"/>
    <row r="36036" s="69" customFormat="1" x14ac:dyDescent="0.15"/>
    <row r="36037" s="69" customFormat="1" x14ac:dyDescent="0.15"/>
    <row r="36038" s="69" customFormat="1" x14ac:dyDescent="0.15"/>
    <row r="36039" s="69" customFormat="1" x14ac:dyDescent="0.15"/>
    <row r="36040" s="69" customFormat="1" x14ac:dyDescent="0.15"/>
    <row r="36041" s="69" customFormat="1" x14ac:dyDescent="0.15"/>
    <row r="36042" s="69" customFormat="1" x14ac:dyDescent="0.15"/>
    <row r="36043" s="69" customFormat="1" x14ac:dyDescent="0.15"/>
    <row r="36044" s="69" customFormat="1" x14ac:dyDescent="0.15"/>
    <row r="36045" s="69" customFormat="1" x14ac:dyDescent="0.15"/>
    <row r="36046" s="69" customFormat="1" x14ac:dyDescent="0.15"/>
    <row r="36047" s="69" customFormat="1" x14ac:dyDescent="0.15"/>
    <row r="36048" s="69" customFormat="1" x14ac:dyDescent="0.15"/>
    <row r="36049" s="69" customFormat="1" x14ac:dyDescent="0.15"/>
    <row r="36050" s="69" customFormat="1" x14ac:dyDescent="0.15"/>
    <row r="36051" s="69" customFormat="1" x14ac:dyDescent="0.15"/>
    <row r="36052" s="69" customFormat="1" x14ac:dyDescent="0.15"/>
    <row r="36053" s="69" customFormat="1" x14ac:dyDescent="0.15"/>
    <row r="36054" s="69" customFormat="1" x14ac:dyDescent="0.15"/>
    <row r="36055" s="69" customFormat="1" x14ac:dyDescent="0.15"/>
    <row r="36056" s="69" customFormat="1" x14ac:dyDescent="0.15"/>
    <row r="36057" s="69" customFormat="1" x14ac:dyDescent="0.15"/>
    <row r="36058" s="69" customFormat="1" x14ac:dyDescent="0.15"/>
    <row r="36059" s="69" customFormat="1" x14ac:dyDescent="0.15"/>
    <row r="36060" s="69" customFormat="1" x14ac:dyDescent="0.15"/>
    <row r="36061" s="69" customFormat="1" x14ac:dyDescent="0.15"/>
    <row r="36062" s="69" customFormat="1" x14ac:dyDescent="0.15"/>
    <row r="36063" s="69" customFormat="1" x14ac:dyDescent="0.15"/>
    <row r="36064" s="69" customFormat="1" x14ac:dyDescent="0.15"/>
    <row r="36065" s="69" customFormat="1" x14ac:dyDescent="0.15"/>
    <row r="36066" s="69" customFormat="1" x14ac:dyDescent="0.15"/>
    <row r="36067" s="69" customFormat="1" x14ac:dyDescent="0.15"/>
    <row r="36068" s="69" customFormat="1" x14ac:dyDescent="0.15"/>
    <row r="36069" s="69" customFormat="1" x14ac:dyDescent="0.15"/>
    <row r="36070" s="69" customFormat="1" x14ac:dyDescent="0.15"/>
    <row r="36071" s="69" customFormat="1" x14ac:dyDescent="0.15"/>
    <row r="36072" s="69" customFormat="1" x14ac:dyDescent="0.15"/>
    <row r="36073" s="69" customFormat="1" x14ac:dyDescent="0.15"/>
    <row r="36074" s="69" customFormat="1" x14ac:dyDescent="0.15"/>
    <row r="36075" s="69" customFormat="1" x14ac:dyDescent="0.15"/>
    <row r="36076" s="69" customFormat="1" x14ac:dyDescent="0.15"/>
    <row r="36077" s="69" customFormat="1" x14ac:dyDescent="0.15"/>
    <row r="36078" s="69" customFormat="1" x14ac:dyDescent="0.15"/>
    <row r="36079" s="69" customFormat="1" x14ac:dyDescent="0.15"/>
    <row r="36080" s="69" customFormat="1" x14ac:dyDescent="0.15"/>
    <row r="36081" s="69" customFormat="1" x14ac:dyDescent="0.15"/>
    <row r="36082" s="69" customFormat="1" x14ac:dyDescent="0.15"/>
    <row r="36083" s="69" customFormat="1" x14ac:dyDescent="0.15"/>
    <row r="36084" s="69" customFormat="1" x14ac:dyDescent="0.15"/>
    <row r="36085" s="69" customFormat="1" x14ac:dyDescent="0.15"/>
    <row r="36086" s="69" customFormat="1" x14ac:dyDescent="0.15"/>
    <row r="36087" s="69" customFormat="1" x14ac:dyDescent="0.15"/>
    <row r="36088" s="69" customFormat="1" x14ac:dyDescent="0.15"/>
    <row r="36089" s="69" customFormat="1" x14ac:dyDescent="0.15"/>
    <row r="36090" s="69" customFormat="1" x14ac:dyDescent="0.15"/>
    <row r="36091" s="69" customFormat="1" x14ac:dyDescent="0.15"/>
    <row r="36092" s="69" customFormat="1" x14ac:dyDescent="0.15"/>
    <row r="36093" s="69" customFormat="1" x14ac:dyDescent="0.15"/>
    <row r="36094" s="69" customFormat="1" x14ac:dyDescent="0.15"/>
    <row r="36095" s="69" customFormat="1" x14ac:dyDescent="0.15"/>
    <row r="36096" s="69" customFormat="1" x14ac:dyDescent="0.15"/>
    <row r="36097" s="69" customFormat="1" x14ac:dyDescent="0.15"/>
    <row r="36098" s="69" customFormat="1" x14ac:dyDescent="0.15"/>
    <row r="36099" s="69" customFormat="1" x14ac:dyDescent="0.15"/>
    <row r="36100" s="69" customFormat="1" x14ac:dyDescent="0.15"/>
    <row r="36101" s="69" customFormat="1" x14ac:dyDescent="0.15"/>
    <row r="36102" s="69" customFormat="1" x14ac:dyDescent="0.15"/>
    <row r="36103" s="69" customFormat="1" x14ac:dyDescent="0.15"/>
    <row r="36104" s="69" customFormat="1" x14ac:dyDescent="0.15"/>
    <row r="36105" s="69" customFormat="1" x14ac:dyDescent="0.15"/>
    <row r="36106" s="69" customFormat="1" x14ac:dyDescent="0.15"/>
    <row r="36107" s="69" customFormat="1" x14ac:dyDescent="0.15"/>
    <row r="36108" s="69" customFormat="1" x14ac:dyDescent="0.15"/>
    <row r="36109" s="69" customFormat="1" x14ac:dyDescent="0.15"/>
    <row r="36110" s="69" customFormat="1" x14ac:dyDescent="0.15"/>
    <row r="36111" s="69" customFormat="1" x14ac:dyDescent="0.15"/>
    <row r="36112" s="69" customFormat="1" x14ac:dyDescent="0.15"/>
    <row r="36113" s="69" customFormat="1" x14ac:dyDescent="0.15"/>
    <row r="36114" s="69" customFormat="1" x14ac:dyDescent="0.15"/>
    <row r="36115" s="69" customFormat="1" x14ac:dyDescent="0.15"/>
    <row r="36116" s="69" customFormat="1" x14ac:dyDescent="0.15"/>
    <row r="36117" s="69" customFormat="1" x14ac:dyDescent="0.15"/>
    <row r="36118" s="69" customFormat="1" x14ac:dyDescent="0.15"/>
    <row r="36119" s="69" customFormat="1" x14ac:dyDescent="0.15"/>
    <row r="36120" s="69" customFormat="1" x14ac:dyDescent="0.15"/>
    <row r="36121" s="69" customFormat="1" x14ac:dyDescent="0.15"/>
    <row r="36122" s="69" customFormat="1" x14ac:dyDescent="0.15"/>
    <row r="36123" s="69" customFormat="1" x14ac:dyDescent="0.15"/>
    <row r="36124" s="69" customFormat="1" x14ac:dyDescent="0.15"/>
    <row r="36125" s="69" customFormat="1" x14ac:dyDescent="0.15"/>
    <row r="36126" s="69" customFormat="1" x14ac:dyDescent="0.15"/>
    <row r="36127" s="69" customFormat="1" x14ac:dyDescent="0.15"/>
    <row r="36128" s="69" customFormat="1" x14ac:dyDescent="0.15"/>
    <row r="36129" s="69" customFormat="1" x14ac:dyDescent="0.15"/>
    <row r="36130" s="69" customFormat="1" x14ac:dyDescent="0.15"/>
    <row r="36131" s="69" customFormat="1" x14ac:dyDescent="0.15"/>
    <row r="36132" s="69" customFormat="1" x14ac:dyDescent="0.15"/>
    <row r="36133" s="69" customFormat="1" x14ac:dyDescent="0.15"/>
    <row r="36134" s="69" customFormat="1" x14ac:dyDescent="0.15"/>
    <row r="36135" s="69" customFormat="1" x14ac:dyDescent="0.15"/>
    <row r="36136" s="69" customFormat="1" x14ac:dyDescent="0.15"/>
    <row r="36137" s="69" customFormat="1" x14ac:dyDescent="0.15"/>
    <row r="36138" s="69" customFormat="1" x14ac:dyDescent="0.15"/>
    <row r="36139" s="69" customFormat="1" x14ac:dyDescent="0.15"/>
    <row r="36140" s="69" customFormat="1" x14ac:dyDescent="0.15"/>
    <row r="36141" s="69" customFormat="1" x14ac:dyDescent="0.15"/>
    <row r="36142" s="69" customFormat="1" x14ac:dyDescent="0.15"/>
    <row r="36143" s="69" customFormat="1" x14ac:dyDescent="0.15"/>
    <row r="36144" s="69" customFormat="1" x14ac:dyDescent="0.15"/>
    <row r="36145" s="69" customFormat="1" x14ac:dyDescent="0.15"/>
    <row r="36146" s="69" customFormat="1" x14ac:dyDescent="0.15"/>
    <row r="36147" s="69" customFormat="1" x14ac:dyDescent="0.15"/>
    <row r="36148" s="69" customFormat="1" x14ac:dyDescent="0.15"/>
    <row r="36149" s="69" customFormat="1" x14ac:dyDescent="0.15"/>
    <row r="36150" s="69" customFormat="1" x14ac:dyDescent="0.15"/>
    <row r="36151" s="69" customFormat="1" x14ac:dyDescent="0.15"/>
    <row r="36152" s="69" customFormat="1" x14ac:dyDescent="0.15"/>
    <row r="36153" s="69" customFormat="1" x14ac:dyDescent="0.15"/>
    <row r="36154" s="69" customFormat="1" x14ac:dyDescent="0.15"/>
    <row r="36155" s="69" customFormat="1" x14ac:dyDescent="0.15"/>
    <row r="36156" s="69" customFormat="1" x14ac:dyDescent="0.15"/>
    <row r="36157" s="69" customFormat="1" x14ac:dyDescent="0.15"/>
    <row r="36158" s="69" customFormat="1" x14ac:dyDescent="0.15"/>
    <row r="36159" s="69" customFormat="1" x14ac:dyDescent="0.15"/>
    <row r="36160" s="69" customFormat="1" x14ac:dyDescent="0.15"/>
    <row r="36161" s="69" customFormat="1" x14ac:dyDescent="0.15"/>
    <row r="36162" s="69" customFormat="1" x14ac:dyDescent="0.15"/>
    <row r="36163" s="69" customFormat="1" x14ac:dyDescent="0.15"/>
    <row r="36164" s="69" customFormat="1" x14ac:dyDescent="0.15"/>
    <row r="36165" s="69" customFormat="1" x14ac:dyDescent="0.15"/>
    <row r="36166" s="69" customFormat="1" x14ac:dyDescent="0.15"/>
    <row r="36167" s="69" customFormat="1" x14ac:dyDescent="0.15"/>
    <row r="36168" s="69" customFormat="1" x14ac:dyDescent="0.15"/>
    <row r="36169" s="69" customFormat="1" x14ac:dyDescent="0.15"/>
    <row r="36170" s="69" customFormat="1" x14ac:dyDescent="0.15"/>
    <row r="36171" s="69" customFormat="1" x14ac:dyDescent="0.15"/>
    <row r="36172" s="69" customFormat="1" x14ac:dyDescent="0.15"/>
    <row r="36173" s="69" customFormat="1" x14ac:dyDescent="0.15"/>
    <row r="36174" s="69" customFormat="1" x14ac:dyDescent="0.15"/>
    <row r="36175" s="69" customFormat="1" x14ac:dyDescent="0.15"/>
    <row r="36176" s="69" customFormat="1" x14ac:dyDescent="0.15"/>
    <row r="36177" s="69" customFormat="1" x14ac:dyDescent="0.15"/>
    <row r="36178" s="69" customFormat="1" x14ac:dyDescent="0.15"/>
    <row r="36179" s="69" customFormat="1" x14ac:dyDescent="0.15"/>
    <row r="36180" s="69" customFormat="1" x14ac:dyDescent="0.15"/>
    <row r="36181" s="69" customFormat="1" x14ac:dyDescent="0.15"/>
    <row r="36182" s="69" customFormat="1" x14ac:dyDescent="0.15"/>
    <row r="36183" s="69" customFormat="1" x14ac:dyDescent="0.15"/>
    <row r="36184" s="69" customFormat="1" x14ac:dyDescent="0.15"/>
    <row r="36185" s="69" customFormat="1" x14ac:dyDescent="0.15"/>
    <row r="36186" s="69" customFormat="1" x14ac:dyDescent="0.15"/>
    <row r="36187" s="69" customFormat="1" x14ac:dyDescent="0.15"/>
    <row r="36188" s="69" customFormat="1" x14ac:dyDescent="0.15"/>
    <row r="36189" s="69" customFormat="1" x14ac:dyDescent="0.15"/>
    <row r="36190" s="69" customFormat="1" x14ac:dyDescent="0.15"/>
    <row r="36191" s="69" customFormat="1" x14ac:dyDescent="0.15"/>
    <row r="36192" s="69" customFormat="1" x14ac:dyDescent="0.15"/>
    <row r="36193" s="69" customFormat="1" x14ac:dyDescent="0.15"/>
    <row r="36194" s="69" customFormat="1" x14ac:dyDescent="0.15"/>
    <row r="36195" s="69" customFormat="1" x14ac:dyDescent="0.15"/>
    <row r="36196" s="69" customFormat="1" x14ac:dyDescent="0.15"/>
    <row r="36197" s="69" customFormat="1" x14ac:dyDescent="0.15"/>
    <row r="36198" s="69" customFormat="1" x14ac:dyDescent="0.15"/>
    <row r="36199" s="69" customFormat="1" x14ac:dyDescent="0.15"/>
    <row r="36200" s="69" customFormat="1" x14ac:dyDescent="0.15"/>
    <row r="36201" s="69" customFormat="1" x14ac:dyDescent="0.15"/>
    <row r="36202" s="69" customFormat="1" x14ac:dyDescent="0.15"/>
    <row r="36203" s="69" customFormat="1" x14ac:dyDescent="0.15"/>
    <row r="36204" s="69" customFormat="1" x14ac:dyDescent="0.15"/>
    <row r="36205" s="69" customFormat="1" x14ac:dyDescent="0.15"/>
    <row r="36206" s="69" customFormat="1" x14ac:dyDescent="0.15"/>
    <row r="36207" s="69" customFormat="1" x14ac:dyDescent="0.15"/>
    <row r="36208" s="69" customFormat="1" x14ac:dyDescent="0.15"/>
    <row r="36209" s="69" customFormat="1" x14ac:dyDescent="0.15"/>
    <row r="36210" s="69" customFormat="1" x14ac:dyDescent="0.15"/>
    <row r="36211" s="69" customFormat="1" x14ac:dyDescent="0.15"/>
    <row r="36212" s="69" customFormat="1" x14ac:dyDescent="0.15"/>
    <row r="36213" s="69" customFormat="1" x14ac:dyDescent="0.15"/>
    <row r="36214" s="69" customFormat="1" x14ac:dyDescent="0.15"/>
    <row r="36215" s="69" customFormat="1" x14ac:dyDescent="0.15"/>
    <row r="36216" s="69" customFormat="1" x14ac:dyDescent="0.15"/>
    <row r="36217" s="69" customFormat="1" x14ac:dyDescent="0.15"/>
    <row r="36218" s="69" customFormat="1" x14ac:dyDescent="0.15"/>
    <row r="36219" s="69" customFormat="1" x14ac:dyDescent="0.15"/>
    <row r="36220" s="69" customFormat="1" x14ac:dyDescent="0.15"/>
    <row r="36221" s="69" customFormat="1" x14ac:dyDescent="0.15"/>
    <row r="36222" s="69" customFormat="1" x14ac:dyDescent="0.15"/>
    <row r="36223" s="69" customFormat="1" x14ac:dyDescent="0.15"/>
    <row r="36224" s="69" customFormat="1" x14ac:dyDescent="0.15"/>
    <row r="36225" s="69" customFormat="1" x14ac:dyDescent="0.15"/>
    <row r="36226" s="69" customFormat="1" x14ac:dyDescent="0.15"/>
    <row r="36227" s="69" customFormat="1" x14ac:dyDescent="0.15"/>
    <row r="36228" s="69" customFormat="1" x14ac:dyDescent="0.15"/>
    <row r="36229" s="69" customFormat="1" x14ac:dyDescent="0.15"/>
    <row r="36230" s="69" customFormat="1" x14ac:dyDescent="0.15"/>
    <row r="36231" s="69" customFormat="1" x14ac:dyDescent="0.15"/>
    <row r="36232" s="69" customFormat="1" x14ac:dyDescent="0.15"/>
    <row r="36233" s="69" customFormat="1" x14ac:dyDescent="0.15"/>
    <row r="36234" s="69" customFormat="1" x14ac:dyDescent="0.15"/>
    <row r="36235" s="69" customFormat="1" x14ac:dyDescent="0.15"/>
    <row r="36236" s="69" customFormat="1" x14ac:dyDescent="0.15"/>
    <row r="36237" s="69" customFormat="1" x14ac:dyDescent="0.15"/>
    <row r="36238" s="69" customFormat="1" x14ac:dyDescent="0.15"/>
    <row r="36239" s="69" customFormat="1" x14ac:dyDescent="0.15"/>
    <row r="36240" s="69" customFormat="1" x14ac:dyDescent="0.15"/>
    <row r="36241" s="69" customFormat="1" x14ac:dyDescent="0.15"/>
    <row r="36242" s="69" customFormat="1" x14ac:dyDescent="0.15"/>
    <row r="36243" s="69" customFormat="1" x14ac:dyDescent="0.15"/>
    <row r="36244" s="69" customFormat="1" x14ac:dyDescent="0.15"/>
    <row r="36245" s="69" customFormat="1" x14ac:dyDescent="0.15"/>
    <row r="36246" s="69" customFormat="1" x14ac:dyDescent="0.15"/>
    <row r="36247" s="69" customFormat="1" x14ac:dyDescent="0.15"/>
    <row r="36248" s="69" customFormat="1" x14ac:dyDescent="0.15"/>
    <row r="36249" s="69" customFormat="1" x14ac:dyDescent="0.15"/>
    <row r="36250" s="69" customFormat="1" x14ac:dyDescent="0.15"/>
    <row r="36251" s="69" customFormat="1" x14ac:dyDescent="0.15"/>
    <row r="36252" s="69" customFormat="1" x14ac:dyDescent="0.15"/>
    <row r="36253" s="69" customFormat="1" x14ac:dyDescent="0.15"/>
    <row r="36254" s="69" customFormat="1" x14ac:dyDescent="0.15"/>
    <row r="36255" s="69" customFormat="1" x14ac:dyDescent="0.15"/>
    <row r="36256" s="69" customFormat="1" x14ac:dyDescent="0.15"/>
    <row r="36257" s="69" customFormat="1" x14ac:dyDescent="0.15"/>
    <row r="36258" s="69" customFormat="1" x14ac:dyDescent="0.15"/>
    <row r="36259" s="69" customFormat="1" x14ac:dyDescent="0.15"/>
    <row r="36260" s="69" customFormat="1" x14ac:dyDescent="0.15"/>
    <row r="36261" s="69" customFormat="1" x14ac:dyDescent="0.15"/>
    <row r="36262" s="69" customFormat="1" x14ac:dyDescent="0.15"/>
    <row r="36263" s="69" customFormat="1" x14ac:dyDescent="0.15"/>
    <row r="36264" s="69" customFormat="1" x14ac:dyDescent="0.15"/>
    <row r="36265" s="69" customFormat="1" x14ac:dyDescent="0.15"/>
    <row r="36266" s="69" customFormat="1" x14ac:dyDescent="0.15"/>
    <row r="36267" s="69" customFormat="1" x14ac:dyDescent="0.15"/>
    <row r="36268" s="69" customFormat="1" x14ac:dyDescent="0.15"/>
    <row r="36269" s="69" customFormat="1" x14ac:dyDescent="0.15"/>
    <row r="36270" s="69" customFormat="1" x14ac:dyDescent="0.15"/>
    <row r="36271" s="69" customFormat="1" x14ac:dyDescent="0.15"/>
    <row r="36272" s="69" customFormat="1" x14ac:dyDescent="0.15"/>
    <row r="36273" s="69" customFormat="1" x14ac:dyDescent="0.15"/>
    <row r="36274" s="69" customFormat="1" x14ac:dyDescent="0.15"/>
    <row r="36275" s="69" customFormat="1" x14ac:dyDescent="0.15"/>
    <row r="36276" s="69" customFormat="1" x14ac:dyDescent="0.15"/>
    <row r="36277" s="69" customFormat="1" x14ac:dyDescent="0.15"/>
    <row r="36278" s="69" customFormat="1" x14ac:dyDescent="0.15"/>
    <row r="36279" s="69" customFormat="1" x14ac:dyDescent="0.15"/>
    <row r="36280" s="69" customFormat="1" x14ac:dyDescent="0.15"/>
    <row r="36281" s="69" customFormat="1" x14ac:dyDescent="0.15"/>
    <row r="36282" s="69" customFormat="1" x14ac:dyDescent="0.15"/>
    <row r="36283" s="69" customFormat="1" x14ac:dyDescent="0.15"/>
    <row r="36284" s="69" customFormat="1" x14ac:dyDescent="0.15"/>
    <row r="36285" s="69" customFormat="1" x14ac:dyDescent="0.15"/>
    <row r="36286" s="69" customFormat="1" x14ac:dyDescent="0.15"/>
    <row r="36287" s="69" customFormat="1" x14ac:dyDescent="0.15"/>
    <row r="36288" s="69" customFormat="1" x14ac:dyDescent="0.15"/>
    <row r="36289" s="69" customFormat="1" x14ac:dyDescent="0.15"/>
    <row r="36290" s="69" customFormat="1" x14ac:dyDescent="0.15"/>
    <row r="36291" s="69" customFormat="1" x14ac:dyDescent="0.15"/>
    <row r="36292" s="69" customFormat="1" x14ac:dyDescent="0.15"/>
    <row r="36293" s="69" customFormat="1" x14ac:dyDescent="0.15"/>
    <row r="36294" s="69" customFormat="1" x14ac:dyDescent="0.15"/>
    <row r="36295" s="69" customFormat="1" x14ac:dyDescent="0.15"/>
    <row r="36296" s="69" customFormat="1" x14ac:dyDescent="0.15"/>
    <row r="36297" s="69" customFormat="1" x14ac:dyDescent="0.15"/>
    <row r="36298" s="69" customFormat="1" x14ac:dyDescent="0.15"/>
    <row r="36299" s="69" customFormat="1" x14ac:dyDescent="0.15"/>
    <row r="36300" s="69" customFormat="1" x14ac:dyDescent="0.15"/>
    <row r="36301" s="69" customFormat="1" x14ac:dyDescent="0.15"/>
    <row r="36302" s="69" customFormat="1" x14ac:dyDescent="0.15"/>
    <row r="36303" s="69" customFormat="1" x14ac:dyDescent="0.15"/>
    <row r="36304" s="69" customFormat="1" x14ac:dyDescent="0.15"/>
    <row r="36305" s="69" customFormat="1" x14ac:dyDescent="0.15"/>
    <row r="36306" s="69" customFormat="1" x14ac:dyDescent="0.15"/>
    <row r="36307" s="69" customFormat="1" x14ac:dyDescent="0.15"/>
    <row r="36308" s="69" customFormat="1" x14ac:dyDescent="0.15"/>
    <row r="36309" s="69" customFormat="1" x14ac:dyDescent="0.15"/>
    <row r="36310" s="69" customFormat="1" x14ac:dyDescent="0.15"/>
    <row r="36311" s="69" customFormat="1" x14ac:dyDescent="0.15"/>
    <row r="36312" s="69" customFormat="1" x14ac:dyDescent="0.15"/>
    <row r="36313" s="69" customFormat="1" x14ac:dyDescent="0.15"/>
    <row r="36314" s="69" customFormat="1" x14ac:dyDescent="0.15"/>
    <row r="36315" s="69" customFormat="1" x14ac:dyDescent="0.15"/>
    <row r="36316" s="69" customFormat="1" x14ac:dyDescent="0.15"/>
    <row r="36317" s="69" customFormat="1" x14ac:dyDescent="0.15"/>
    <row r="36318" s="69" customFormat="1" x14ac:dyDescent="0.15"/>
    <row r="36319" s="69" customFormat="1" x14ac:dyDescent="0.15"/>
    <row r="36320" s="69" customFormat="1" x14ac:dyDescent="0.15"/>
    <row r="36321" s="69" customFormat="1" x14ac:dyDescent="0.15"/>
    <row r="36322" s="69" customFormat="1" x14ac:dyDescent="0.15"/>
    <row r="36323" s="69" customFormat="1" x14ac:dyDescent="0.15"/>
    <row r="36324" s="69" customFormat="1" x14ac:dyDescent="0.15"/>
    <row r="36325" s="69" customFormat="1" x14ac:dyDescent="0.15"/>
    <row r="36326" s="69" customFormat="1" x14ac:dyDescent="0.15"/>
    <row r="36327" s="69" customFormat="1" x14ac:dyDescent="0.15"/>
    <row r="36328" s="69" customFormat="1" x14ac:dyDescent="0.15"/>
    <row r="36329" s="69" customFormat="1" x14ac:dyDescent="0.15"/>
    <row r="36330" s="69" customFormat="1" x14ac:dyDescent="0.15"/>
    <row r="36331" s="69" customFormat="1" x14ac:dyDescent="0.15"/>
    <row r="36332" s="69" customFormat="1" x14ac:dyDescent="0.15"/>
    <row r="36333" s="69" customFormat="1" x14ac:dyDescent="0.15"/>
    <row r="36334" s="69" customFormat="1" x14ac:dyDescent="0.15"/>
    <row r="36335" s="69" customFormat="1" x14ac:dyDescent="0.15"/>
    <row r="36336" s="69" customFormat="1" x14ac:dyDescent="0.15"/>
    <row r="36337" s="69" customFormat="1" x14ac:dyDescent="0.15"/>
    <row r="36338" s="69" customFormat="1" x14ac:dyDescent="0.15"/>
    <row r="36339" s="69" customFormat="1" x14ac:dyDescent="0.15"/>
    <row r="36340" s="69" customFormat="1" x14ac:dyDescent="0.15"/>
    <row r="36341" s="69" customFormat="1" x14ac:dyDescent="0.15"/>
    <row r="36342" s="69" customFormat="1" x14ac:dyDescent="0.15"/>
    <row r="36343" s="69" customFormat="1" x14ac:dyDescent="0.15"/>
    <row r="36344" s="69" customFormat="1" x14ac:dyDescent="0.15"/>
    <row r="36345" s="69" customFormat="1" x14ac:dyDescent="0.15"/>
    <row r="36346" s="69" customFormat="1" x14ac:dyDescent="0.15"/>
    <row r="36347" s="69" customFormat="1" x14ac:dyDescent="0.15"/>
    <row r="36348" s="69" customFormat="1" x14ac:dyDescent="0.15"/>
    <row r="36349" s="69" customFormat="1" x14ac:dyDescent="0.15"/>
    <row r="36350" s="69" customFormat="1" x14ac:dyDescent="0.15"/>
    <row r="36351" s="69" customFormat="1" x14ac:dyDescent="0.15"/>
    <row r="36352" s="69" customFormat="1" x14ac:dyDescent="0.15"/>
    <row r="36353" s="69" customFormat="1" x14ac:dyDescent="0.15"/>
    <row r="36354" s="69" customFormat="1" x14ac:dyDescent="0.15"/>
    <row r="36355" s="69" customFormat="1" x14ac:dyDescent="0.15"/>
    <row r="36356" s="69" customFormat="1" x14ac:dyDescent="0.15"/>
    <row r="36357" s="69" customFormat="1" x14ac:dyDescent="0.15"/>
    <row r="36358" s="69" customFormat="1" x14ac:dyDescent="0.15"/>
    <row r="36359" s="69" customFormat="1" x14ac:dyDescent="0.15"/>
    <row r="36360" s="69" customFormat="1" x14ac:dyDescent="0.15"/>
    <row r="36361" s="69" customFormat="1" x14ac:dyDescent="0.15"/>
    <row r="36362" s="69" customFormat="1" x14ac:dyDescent="0.15"/>
    <row r="36363" s="69" customFormat="1" x14ac:dyDescent="0.15"/>
    <row r="36364" s="69" customFormat="1" x14ac:dyDescent="0.15"/>
    <row r="36365" s="69" customFormat="1" x14ac:dyDescent="0.15"/>
    <row r="36366" s="69" customFormat="1" x14ac:dyDescent="0.15"/>
    <row r="36367" s="69" customFormat="1" x14ac:dyDescent="0.15"/>
    <row r="36368" s="69" customFormat="1" x14ac:dyDescent="0.15"/>
    <row r="36369" s="69" customFormat="1" x14ac:dyDescent="0.15"/>
    <row r="36370" s="69" customFormat="1" x14ac:dyDescent="0.15"/>
    <row r="36371" s="69" customFormat="1" x14ac:dyDescent="0.15"/>
    <row r="36372" s="69" customFormat="1" x14ac:dyDescent="0.15"/>
    <row r="36373" s="69" customFormat="1" x14ac:dyDescent="0.15"/>
    <row r="36374" s="69" customFormat="1" x14ac:dyDescent="0.15"/>
    <row r="36375" s="69" customFormat="1" x14ac:dyDescent="0.15"/>
    <row r="36376" s="69" customFormat="1" x14ac:dyDescent="0.15"/>
    <row r="36377" s="69" customFormat="1" x14ac:dyDescent="0.15"/>
    <row r="36378" s="69" customFormat="1" x14ac:dyDescent="0.15"/>
    <row r="36379" s="69" customFormat="1" x14ac:dyDescent="0.15"/>
    <row r="36380" s="69" customFormat="1" x14ac:dyDescent="0.15"/>
    <row r="36381" s="69" customFormat="1" x14ac:dyDescent="0.15"/>
    <row r="36382" s="69" customFormat="1" x14ac:dyDescent="0.15"/>
    <row r="36383" s="69" customFormat="1" x14ac:dyDescent="0.15"/>
    <row r="36384" s="69" customFormat="1" x14ac:dyDescent="0.15"/>
    <row r="36385" s="69" customFormat="1" x14ac:dyDescent="0.15"/>
    <row r="36386" s="69" customFormat="1" x14ac:dyDescent="0.15"/>
    <row r="36387" s="69" customFormat="1" x14ac:dyDescent="0.15"/>
    <row r="36388" s="69" customFormat="1" x14ac:dyDescent="0.15"/>
    <row r="36389" s="69" customFormat="1" x14ac:dyDescent="0.15"/>
    <row r="36390" s="69" customFormat="1" x14ac:dyDescent="0.15"/>
    <row r="36391" s="69" customFormat="1" x14ac:dyDescent="0.15"/>
    <row r="36392" s="69" customFormat="1" x14ac:dyDescent="0.15"/>
    <row r="36393" s="69" customFormat="1" x14ac:dyDescent="0.15"/>
    <row r="36394" s="69" customFormat="1" x14ac:dyDescent="0.15"/>
    <row r="36395" s="69" customFormat="1" x14ac:dyDescent="0.15"/>
    <row r="36396" s="69" customFormat="1" x14ac:dyDescent="0.15"/>
    <row r="36397" s="69" customFormat="1" x14ac:dyDescent="0.15"/>
    <row r="36398" s="69" customFormat="1" x14ac:dyDescent="0.15"/>
    <row r="36399" s="69" customFormat="1" x14ac:dyDescent="0.15"/>
    <row r="36400" s="69" customFormat="1" x14ac:dyDescent="0.15"/>
    <row r="36401" s="69" customFormat="1" x14ac:dyDescent="0.15"/>
    <row r="36402" s="69" customFormat="1" x14ac:dyDescent="0.15"/>
    <row r="36403" s="69" customFormat="1" x14ac:dyDescent="0.15"/>
    <row r="36404" s="69" customFormat="1" x14ac:dyDescent="0.15"/>
    <row r="36405" s="69" customFormat="1" x14ac:dyDescent="0.15"/>
    <row r="36406" s="69" customFormat="1" x14ac:dyDescent="0.15"/>
    <row r="36407" s="69" customFormat="1" x14ac:dyDescent="0.15"/>
    <row r="36408" s="69" customFormat="1" x14ac:dyDescent="0.15"/>
    <row r="36409" s="69" customFormat="1" x14ac:dyDescent="0.15"/>
    <row r="36410" s="69" customFormat="1" x14ac:dyDescent="0.15"/>
    <row r="36411" s="69" customFormat="1" x14ac:dyDescent="0.15"/>
    <row r="36412" s="69" customFormat="1" x14ac:dyDescent="0.15"/>
    <row r="36413" s="69" customFormat="1" x14ac:dyDescent="0.15"/>
    <row r="36414" s="69" customFormat="1" x14ac:dyDescent="0.15"/>
    <row r="36415" s="69" customFormat="1" x14ac:dyDescent="0.15"/>
    <row r="36416" s="69" customFormat="1" x14ac:dyDescent="0.15"/>
    <row r="36417" s="69" customFormat="1" x14ac:dyDescent="0.15"/>
    <row r="36418" s="69" customFormat="1" x14ac:dyDescent="0.15"/>
    <row r="36419" s="69" customFormat="1" x14ac:dyDescent="0.15"/>
    <row r="36420" s="69" customFormat="1" x14ac:dyDescent="0.15"/>
    <row r="36421" s="69" customFormat="1" x14ac:dyDescent="0.15"/>
    <row r="36422" s="69" customFormat="1" x14ac:dyDescent="0.15"/>
    <row r="36423" s="69" customFormat="1" x14ac:dyDescent="0.15"/>
    <row r="36424" s="69" customFormat="1" x14ac:dyDescent="0.15"/>
    <row r="36425" s="69" customFormat="1" x14ac:dyDescent="0.15"/>
    <row r="36426" s="69" customFormat="1" x14ac:dyDescent="0.15"/>
    <row r="36427" s="69" customFormat="1" x14ac:dyDescent="0.15"/>
    <row r="36428" s="69" customFormat="1" x14ac:dyDescent="0.15"/>
    <row r="36429" s="69" customFormat="1" x14ac:dyDescent="0.15"/>
    <row r="36430" s="69" customFormat="1" x14ac:dyDescent="0.15"/>
    <row r="36431" s="69" customFormat="1" x14ac:dyDescent="0.15"/>
    <row r="36432" s="69" customFormat="1" x14ac:dyDescent="0.15"/>
    <row r="36433" s="69" customFormat="1" x14ac:dyDescent="0.15"/>
    <row r="36434" s="69" customFormat="1" x14ac:dyDescent="0.15"/>
    <row r="36435" s="69" customFormat="1" x14ac:dyDescent="0.15"/>
    <row r="36436" s="69" customFormat="1" x14ac:dyDescent="0.15"/>
    <row r="36437" s="69" customFormat="1" x14ac:dyDescent="0.15"/>
    <row r="36438" s="69" customFormat="1" x14ac:dyDescent="0.15"/>
    <row r="36439" s="69" customFormat="1" x14ac:dyDescent="0.15"/>
    <row r="36440" s="69" customFormat="1" x14ac:dyDescent="0.15"/>
    <row r="36441" s="69" customFormat="1" x14ac:dyDescent="0.15"/>
    <row r="36442" s="69" customFormat="1" x14ac:dyDescent="0.15"/>
    <row r="36443" s="69" customFormat="1" x14ac:dyDescent="0.15"/>
    <row r="36444" s="69" customFormat="1" x14ac:dyDescent="0.15"/>
    <row r="36445" s="69" customFormat="1" x14ac:dyDescent="0.15"/>
    <row r="36446" s="69" customFormat="1" x14ac:dyDescent="0.15"/>
    <row r="36447" s="69" customFormat="1" x14ac:dyDescent="0.15"/>
    <row r="36448" s="69" customFormat="1" x14ac:dyDescent="0.15"/>
    <row r="36449" s="69" customFormat="1" x14ac:dyDescent="0.15"/>
    <row r="36450" s="69" customFormat="1" x14ac:dyDescent="0.15"/>
    <row r="36451" s="69" customFormat="1" x14ac:dyDescent="0.15"/>
    <row r="36452" s="69" customFormat="1" x14ac:dyDescent="0.15"/>
    <row r="36453" s="69" customFormat="1" x14ac:dyDescent="0.15"/>
    <row r="36454" s="69" customFormat="1" x14ac:dyDescent="0.15"/>
    <row r="36455" s="69" customFormat="1" x14ac:dyDescent="0.15"/>
    <row r="36456" s="69" customFormat="1" x14ac:dyDescent="0.15"/>
    <row r="36457" s="69" customFormat="1" x14ac:dyDescent="0.15"/>
    <row r="36458" s="69" customFormat="1" x14ac:dyDescent="0.15"/>
    <row r="36459" s="69" customFormat="1" x14ac:dyDescent="0.15"/>
    <row r="36460" s="69" customFormat="1" x14ac:dyDescent="0.15"/>
    <row r="36461" s="69" customFormat="1" x14ac:dyDescent="0.15"/>
    <row r="36462" s="69" customFormat="1" x14ac:dyDescent="0.15"/>
    <row r="36463" s="69" customFormat="1" x14ac:dyDescent="0.15"/>
    <row r="36464" s="69" customFormat="1" x14ac:dyDescent="0.15"/>
    <row r="36465" s="69" customFormat="1" x14ac:dyDescent="0.15"/>
    <row r="36466" s="69" customFormat="1" x14ac:dyDescent="0.15"/>
    <row r="36467" s="69" customFormat="1" x14ac:dyDescent="0.15"/>
    <row r="36468" s="69" customFormat="1" x14ac:dyDescent="0.15"/>
    <row r="36469" s="69" customFormat="1" x14ac:dyDescent="0.15"/>
    <row r="36470" s="69" customFormat="1" x14ac:dyDescent="0.15"/>
    <row r="36471" s="69" customFormat="1" x14ac:dyDescent="0.15"/>
    <row r="36472" s="69" customFormat="1" x14ac:dyDescent="0.15"/>
    <row r="36473" s="69" customFormat="1" x14ac:dyDescent="0.15"/>
    <row r="36474" s="69" customFormat="1" x14ac:dyDescent="0.15"/>
    <row r="36475" s="69" customFormat="1" x14ac:dyDescent="0.15"/>
    <row r="36476" s="69" customFormat="1" x14ac:dyDescent="0.15"/>
    <row r="36477" s="69" customFormat="1" x14ac:dyDescent="0.15"/>
    <row r="36478" s="69" customFormat="1" x14ac:dyDescent="0.15"/>
    <row r="36479" s="69" customFormat="1" x14ac:dyDescent="0.15"/>
    <row r="36480" s="69" customFormat="1" x14ac:dyDescent="0.15"/>
    <row r="36481" s="69" customFormat="1" x14ac:dyDescent="0.15"/>
    <row r="36482" s="69" customFormat="1" x14ac:dyDescent="0.15"/>
    <row r="36483" s="69" customFormat="1" x14ac:dyDescent="0.15"/>
    <row r="36484" s="69" customFormat="1" x14ac:dyDescent="0.15"/>
    <row r="36485" s="69" customFormat="1" x14ac:dyDescent="0.15"/>
    <row r="36486" s="69" customFormat="1" x14ac:dyDescent="0.15"/>
    <row r="36487" s="69" customFormat="1" x14ac:dyDescent="0.15"/>
    <row r="36488" s="69" customFormat="1" x14ac:dyDescent="0.15"/>
    <row r="36489" s="69" customFormat="1" x14ac:dyDescent="0.15"/>
    <row r="36490" s="69" customFormat="1" x14ac:dyDescent="0.15"/>
    <row r="36491" s="69" customFormat="1" x14ac:dyDescent="0.15"/>
    <row r="36492" s="69" customFormat="1" x14ac:dyDescent="0.15"/>
    <row r="36493" s="69" customFormat="1" x14ac:dyDescent="0.15"/>
    <row r="36494" s="69" customFormat="1" x14ac:dyDescent="0.15"/>
    <row r="36495" s="69" customFormat="1" x14ac:dyDescent="0.15"/>
    <row r="36496" s="69" customFormat="1" x14ac:dyDescent="0.15"/>
    <row r="36497" s="69" customFormat="1" x14ac:dyDescent="0.15"/>
    <row r="36498" s="69" customFormat="1" x14ac:dyDescent="0.15"/>
    <row r="36499" s="69" customFormat="1" x14ac:dyDescent="0.15"/>
    <row r="36500" s="69" customFormat="1" x14ac:dyDescent="0.15"/>
    <row r="36501" s="69" customFormat="1" x14ac:dyDescent="0.15"/>
    <row r="36502" s="69" customFormat="1" x14ac:dyDescent="0.15"/>
    <row r="36503" s="69" customFormat="1" x14ac:dyDescent="0.15"/>
    <row r="36504" s="69" customFormat="1" x14ac:dyDescent="0.15"/>
    <row r="36505" s="69" customFormat="1" x14ac:dyDescent="0.15"/>
    <row r="36506" s="69" customFormat="1" x14ac:dyDescent="0.15"/>
    <row r="36507" s="69" customFormat="1" x14ac:dyDescent="0.15"/>
    <row r="36508" s="69" customFormat="1" x14ac:dyDescent="0.15"/>
    <row r="36509" s="69" customFormat="1" x14ac:dyDescent="0.15"/>
    <row r="36510" s="69" customFormat="1" x14ac:dyDescent="0.15"/>
    <row r="36511" s="69" customFormat="1" x14ac:dyDescent="0.15"/>
    <row r="36512" s="69" customFormat="1" x14ac:dyDescent="0.15"/>
    <row r="36513" s="69" customFormat="1" x14ac:dyDescent="0.15"/>
    <row r="36514" s="69" customFormat="1" x14ac:dyDescent="0.15"/>
    <row r="36515" s="69" customFormat="1" x14ac:dyDescent="0.15"/>
    <row r="36516" s="69" customFormat="1" x14ac:dyDescent="0.15"/>
    <row r="36517" s="69" customFormat="1" x14ac:dyDescent="0.15"/>
    <row r="36518" s="69" customFormat="1" x14ac:dyDescent="0.15"/>
    <row r="36519" s="69" customFormat="1" x14ac:dyDescent="0.15"/>
    <row r="36520" s="69" customFormat="1" x14ac:dyDescent="0.15"/>
    <row r="36521" s="69" customFormat="1" x14ac:dyDescent="0.15"/>
    <row r="36522" s="69" customFormat="1" x14ac:dyDescent="0.15"/>
    <row r="36523" s="69" customFormat="1" x14ac:dyDescent="0.15"/>
    <row r="36524" s="69" customFormat="1" x14ac:dyDescent="0.15"/>
    <row r="36525" s="69" customFormat="1" x14ac:dyDescent="0.15"/>
    <row r="36526" s="69" customFormat="1" x14ac:dyDescent="0.15"/>
    <row r="36527" s="69" customFormat="1" x14ac:dyDescent="0.15"/>
    <row r="36528" s="69" customFormat="1" x14ac:dyDescent="0.15"/>
    <row r="36529" s="69" customFormat="1" x14ac:dyDescent="0.15"/>
    <row r="36530" s="69" customFormat="1" x14ac:dyDescent="0.15"/>
    <row r="36531" s="69" customFormat="1" x14ac:dyDescent="0.15"/>
    <row r="36532" s="69" customFormat="1" x14ac:dyDescent="0.15"/>
    <row r="36533" s="69" customFormat="1" x14ac:dyDescent="0.15"/>
    <row r="36534" s="69" customFormat="1" x14ac:dyDescent="0.15"/>
    <row r="36535" s="69" customFormat="1" x14ac:dyDescent="0.15"/>
    <row r="36536" s="69" customFormat="1" x14ac:dyDescent="0.15"/>
    <row r="36537" s="69" customFormat="1" x14ac:dyDescent="0.15"/>
    <row r="36538" s="69" customFormat="1" x14ac:dyDescent="0.15"/>
    <row r="36539" s="69" customFormat="1" x14ac:dyDescent="0.15"/>
    <row r="36540" s="69" customFormat="1" x14ac:dyDescent="0.15"/>
    <row r="36541" s="69" customFormat="1" x14ac:dyDescent="0.15"/>
    <row r="36542" s="69" customFormat="1" x14ac:dyDescent="0.15"/>
    <row r="36543" s="69" customFormat="1" x14ac:dyDescent="0.15"/>
    <row r="36544" s="69" customFormat="1" x14ac:dyDescent="0.15"/>
    <row r="36545" s="69" customFormat="1" x14ac:dyDescent="0.15"/>
    <row r="36546" s="69" customFormat="1" x14ac:dyDescent="0.15"/>
    <row r="36547" s="69" customFormat="1" x14ac:dyDescent="0.15"/>
    <row r="36548" s="69" customFormat="1" x14ac:dyDescent="0.15"/>
    <row r="36549" s="69" customFormat="1" x14ac:dyDescent="0.15"/>
    <row r="36550" s="69" customFormat="1" x14ac:dyDescent="0.15"/>
    <row r="36551" s="69" customFormat="1" x14ac:dyDescent="0.15"/>
    <row r="36552" s="69" customFormat="1" x14ac:dyDescent="0.15"/>
    <row r="36553" s="69" customFormat="1" x14ac:dyDescent="0.15"/>
    <row r="36554" s="69" customFormat="1" x14ac:dyDescent="0.15"/>
    <row r="36555" s="69" customFormat="1" x14ac:dyDescent="0.15"/>
    <row r="36556" s="69" customFormat="1" x14ac:dyDescent="0.15"/>
    <row r="36557" s="69" customFormat="1" x14ac:dyDescent="0.15"/>
    <row r="36558" s="69" customFormat="1" x14ac:dyDescent="0.15"/>
    <row r="36559" s="69" customFormat="1" x14ac:dyDescent="0.15"/>
    <row r="36560" s="69" customFormat="1" x14ac:dyDescent="0.15"/>
    <row r="36561" s="69" customFormat="1" x14ac:dyDescent="0.15"/>
    <row r="36562" s="69" customFormat="1" x14ac:dyDescent="0.15"/>
    <row r="36563" s="69" customFormat="1" x14ac:dyDescent="0.15"/>
    <row r="36564" s="69" customFormat="1" x14ac:dyDescent="0.15"/>
    <row r="36565" s="69" customFormat="1" x14ac:dyDescent="0.15"/>
    <row r="36566" s="69" customFormat="1" x14ac:dyDescent="0.15"/>
    <row r="36567" s="69" customFormat="1" x14ac:dyDescent="0.15"/>
    <row r="36568" s="69" customFormat="1" x14ac:dyDescent="0.15"/>
    <row r="36569" s="69" customFormat="1" x14ac:dyDescent="0.15"/>
    <row r="36570" s="69" customFormat="1" x14ac:dyDescent="0.15"/>
    <row r="36571" s="69" customFormat="1" x14ac:dyDescent="0.15"/>
    <row r="36572" s="69" customFormat="1" x14ac:dyDescent="0.15"/>
    <row r="36573" s="69" customFormat="1" x14ac:dyDescent="0.15"/>
    <row r="36574" s="69" customFormat="1" x14ac:dyDescent="0.15"/>
    <row r="36575" s="69" customFormat="1" x14ac:dyDescent="0.15"/>
    <row r="36576" s="69" customFormat="1" x14ac:dyDescent="0.15"/>
    <row r="36577" s="69" customFormat="1" x14ac:dyDescent="0.15"/>
    <row r="36578" s="69" customFormat="1" x14ac:dyDescent="0.15"/>
    <row r="36579" s="69" customFormat="1" x14ac:dyDescent="0.15"/>
    <row r="36580" s="69" customFormat="1" x14ac:dyDescent="0.15"/>
    <row r="36581" s="69" customFormat="1" x14ac:dyDescent="0.15"/>
    <row r="36582" s="69" customFormat="1" x14ac:dyDescent="0.15"/>
    <row r="36583" s="69" customFormat="1" x14ac:dyDescent="0.15"/>
    <row r="36584" s="69" customFormat="1" x14ac:dyDescent="0.15"/>
    <row r="36585" s="69" customFormat="1" x14ac:dyDescent="0.15"/>
    <row r="36586" s="69" customFormat="1" x14ac:dyDescent="0.15"/>
    <row r="36587" s="69" customFormat="1" x14ac:dyDescent="0.15"/>
    <row r="36588" s="69" customFormat="1" x14ac:dyDescent="0.15"/>
    <row r="36589" s="69" customFormat="1" x14ac:dyDescent="0.15"/>
    <row r="36590" s="69" customFormat="1" x14ac:dyDescent="0.15"/>
    <row r="36591" s="69" customFormat="1" x14ac:dyDescent="0.15"/>
    <row r="36592" s="69" customFormat="1" x14ac:dyDescent="0.15"/>
    <row r="36593" s="69" customFormat="1" x14ac:dyDescent="0.15"/>
    <row r="36594" s="69" customFormat="1" x14ac:dyDescent="0.15"/>
    <row r="36595" s="69" customFormat="1" x14ac:dyDescent="0.15"/>
    <row r="36596" s="69" customFormat="1" x14ac:dyDescent="0.15"/>
    <row r="36597" s="69" customFormat="1" x14ac:dyDescent="0.15"/>
    <row r="36598" s="69" customFormat="1" x14ac:dyDescent="0.15"/>
    <row r="36599" s="69" customFormat="1" x14ac:dyDescent="0.15"/>
    <row r="36600" s="69" customFormat="1" x14ac:dyDescent="0.15"/>
    <row r="36601" s="69" customFormat="1" x14ac:dyDescent="0.15"/>
    <row r="36602" s="69" customFormat="1" x14ac:dyDescent="0.15"/>
    <row r="36603" s="69" customFormat="1" x14ac:dyDescent="0.15"/>
    <row r="36604" s="69" customFormat="1" x14ac:dyDescent="0.15"/>
    <row r="36605" s="69" customFormat="1" x14ac:dyDescent="0.15"/>
    <row r="36606" s="69" customFormat="1" x14ac:dyDescent="0.15"/>
    <row r="36607" s="69" customFormat="1" x14ac:dyDescent="0.15"/>
    <row r="36608" s="69" customFormat="1" x14ac:dyDescent="0.15"/>
    <row r="36609" s="69" customFormat="1" x14ac:dyDescent="0.15"/>
    <row r="36610" s="69" customFormat="1" x14ac:dyDescent="0.15"/>
    <row r="36611" s="69" customFormat="1" x14ac:dyDescent="0.15"/>
    <row r="36612" s="69" customFormat="1" x14ac:dyDescent="0.15"/>
    <row r="36613" s="69" customFormat="1" x14ac:dyDescent="0.15"/>
    <row r="36614" s="69" customFormat="1" x14ac:dyDescent="0.15"/>
    <row r="36615" s="69" customFormat="1" x14ac:dyDescent="0.15"/>
    <row r="36616" s="69" customFormat="1" x14ac:dyDescent="0.15"/>
    <row r="36617" s="69" customFormat="1" x14ac:dyDescent="0.15"/>
    <row r="36618" s="69" customFormat="1" x14ac:dyDescent="0.15"/>
    <row r="36619" s="69" customFormat="1" x14ac:dyDescent="0.15"/>
    <row r="36620" s="69" customFormat="1" x14ac:dyDescent="0.15"/>
    <row r="36621" s="69" customFormat="1" x14ac:dyDescent="0.15"/>
    <row r="36622" s="69" customFormat="1" x14ac:dyDescent="0.15"/>
    <row r="36623" s="69" customFormat="1" x14ac:dyDescent="0.15"/>
    <row r="36624" s="69" customFormat="1" x14ac:dyDescent="0.15"/>
    <row r="36625" s="69" customFormat="1" x14ac:dyDescent="0.15"/>
    <row r="36626" s="69" customFormat="1" x14ac:dyDescent="0.15"/>
    <row r="36627" s="69" customFormat="1" x14ac:dyDescent="0.15"/>
    <row r="36628" s="69" customFormat="1" x14ac:dyDescent="0.15"/>
    <row r="36629" s="69" customFormat="1" x14ac:dyDescent="0.15"/>
    <row r="36630" s="69" customFormat="1" x14ac:dyDescent="0.15"/>
    <row r="36631" s="69" customFormat="1" x14ac:dyDescent="0.15"/>
    <row r="36632" s="69" customFormat="1" x14ac:dyDescent="0.15"/>
    <row r="36633" s="69" customFormat="1" x14ac:dyDescent="0.15"/>
    <row r="36634" s="69" customFormat="1" x14ac:dyDescent="0.15"/>
    <row r="36635" s="69" customFormat="1" x14ac:dyDescent="0.15"/>
    <row r="36636" s="69" customFormat="1" x14ac:dyDescent="0.15"/>
    <row r="36637" s="69" customFormat="1" x14ac:dyDescent="0.15"/>
    <row r="36638" s="69" customFormat="1" x14ac:dyDescent="0.15"/>
    <row r="36639" s="69" customFormat="1" x14ac:dyDescent="0.15"/>
    <row r="36640" s="69" customFormat="1" x14ac:dyDescent="0.15"/>
    <row r="36641" s="69" customFormat="1" x14ac:dyDescent="0.15"/>
    <row r="36642" s="69" customFormat="1" x14ac:dyDescent="0.15"/>
    <row r="36643" s="69" customFormat="1" x14ac:dyDescent="0.15"/>
    <row r="36644" s="69" customFormat="1" x14ac:dyDescent="0.15"/>
    <row r="36645" s="69" customFormat="1" x14ac:dyDescent="0.15"/>
    <row r="36646" s="69" customFormat="1" x14ac:dyDescent="0.15"/>
    <row r="36647" s="69" customFormat="1" x14ac:dyDescent="0.15"/>
    <row r="36648" s="69" customFormat="1" x14ac:dyDescent="0.15"/>
    <row r="36649" s="69" customFormat="1" x14ac:dyDescent="0.15"/>
    <row r="36650" s="69" customFormat="1" x14ac:dyDescent="0.15"/>
    <row r="36651" s="69" customFormat="1" x14ac:dyDescent="0.15"/>
    <row r="36652" s="69" customFormat="1" x14ac:dyDescent="0.15"/>
    <row r="36653" s="69" customFormat="1" x14ac:dyDescent="0.15"/>
    <row r="36654" s="69" customFormat="1" x14ac:dyDescent="0.15"/>
    <row r="36655" s="69" customFormat="1" x14ac:dyDescent="0.15"/>
    <row r="36656" s="69" customFormat="1" x14ac:dyDescent="0.15"/>
    <row r="36657" s="69" customFormat="1" x14ac:dyDescent="0.15"/>
    <row r="36658" s="69" customFormat="1" x14ac:dyDescent="0.15"/>
    <row r="36659" s="69" customFormat="1" x14ac:dyDescent="0.15"/>
    <row r="36660" s="69" customFormat="1" x14ac:dyDescent="0.15"/>
    <row r="36661" s="69" customFormat="1" x14ac:dyDescent="0.15"/>
    <row r="36662" s="69" customFormat="1" x14ac:dyDescent="0.15"/>
    <row r="36663" s="69" customFormat="1" x14ac:dyDescent="0.15"/>
    <row r="36664" s="69" customFormat="1" x14ac:dyDescent="0.15"/>
    <row r="36665" s="69" customFormat="1" x14ac:dyDescent="0.15"/>
    <row r="36666" s="69" customFormat="1" x14ac:dyDescent="0.15"/>
    <row r="36667" s="69" customFormat="1" x14ac:dyDescent="0.15"/>
    <row r="36668" s="69" customFormat="1" x14ac:dyDescent="0.15"/>
    <row r="36669" s="69" customFormat="1" x14ac:dyDescent="0.15"/>
    <row r="36670" s="69" customFormat="1" x14ac:dyDescent="0.15"/>
    <row r="36671" s="69" customFormat="1" x14ac:dyDescent="0.15"/>
    <row r="36672" s="69" customFormat="1" x14ac:dyDescent="0.15"/>
    <row r="36673" s="69" customFormat="1" x14ac:dyDescent="0.15"/>
    <row r="36674" s="69" customFormat="1" x14ac:dyDescent="0.15"/>
    <row r="36675" s="69" customFormat="1" x14ac:dyDescent="0.15"/>
    <row r="36676" s="69" customFormat="1" x14ac:dyDescent="0.15"/>
    <row r="36677" s="69" customFormat="1" x14ac:dyDescent="0.15"/>
    <row r="36678" s="69" customFormat="1" x14ac:dyDescent="0.15"/>
    <row r="36679" s="69" customFormat="1" x14ac:dyDescent="0.15"/>
    <row r="36680" s="69" customFormat="1" x14ac:dyDescent="0.15"/>
    <row r="36681" s="69" customFormat="1" x14ac:dyDescent="0.15"/>
    <row r="36682" s="69" customFormat="1" x14ac:dyDescent="0.15"/>
    <row r="36683" s="69" customFormat="1" x14ac:dyDescent="0.15"/>
    <row r="36684" s="69" customFormat="1" x14ac:dyDescent="0.15"/>
    <row r="36685" s="69" customFormat="1" x14ac:dyDescent="0.15"/>
    <row r="36686" s="69" customFormat="1" x14ac:dyDescent="0.15"/>
    <row r="36687" s="69" customFormat="1" x14ac:dyDescent="0.15"/>
    <row r="36688" s="69" customFormat="1" x14ac:dyDescent="0.15"/>
    <row r="36689" s="69" customFormat="1" x14ac:dyDescent="0.15"/>
    <row r="36690" s="69" customFormat="1" x14ac:dyDescent="0.15"/>
    <row r="36691" s="69" customFormat="1" x14ac:dyDescent="0.15"/>
    <row r="36692" s="69" customFormat="1" x14ac:dyDescent="0.15"/>
    <row r="36693" s="69" customFormat="1" x14ac:dyDescent="0.15"/>
    <row r="36694" s="69" customFormat="1" x14ac:dyDescent="0.15"/>
    <row r="36695" s="69" customFormat="1" x14ac:dyDescent="0.15"/>
    <row r="36696" s="69" customFormat="1" x14ac:dyDescent="0.15"/>
    <row r="36697" s="69" customFormat="1" x14ac:dyDescent="0.15"/>
    <row r="36698" s="69" customFormat="1" x14ac:dyDescent="0.15"/>
    <row r="36699" s="69" customFormat="1" x14ac:dyDescent="0.15"/>
    <row r="36700" s="69" customFormat="1" x14ac:dyDescent="0.15"/>
    <row r="36701" s="69" customFormat="1" x14ac:dyDescent="0.15"/>
    <row r="36702" s="69" customFormat="1" x14ac:dyDescent="0.15"/>
    <row r="36703" s="69" customFormat="1" x14ac:dyDescent="0.15"/>
    <row r="36704" s="69" customFormat="1" x14ac:dyDescent="0.15"/>
    <row r="36705" s="69" customFormat="1" x14ac:dyDescent="0.15"/>
    <row r="36706" s="69" customFormat="1" x14ac:dyDescent="0.15"/>
    <row r="36707" s="69" customFormat="1" x14ac:dyDescent="0.15"/>
    <row r="36708" s="69" customFormat="1" x14ac:dyDescent="0.15"/>
    <row r="36709" s="69" customFormat="1" x14ac:dyDescent="0.15"/>
    <row r="36710" s="69" customFormat="1" x14ac:dyDescent="0.15"/>
    <row r="36711" s="69" customFormat="1" x14ac:dyDescent="0.15"/>
    <row r="36712" s="69" customFormat="1" x14ac:dyDescent="0.15"/>
    <row r="36713" s="69" customFormat="1" x14ac:dyDescent="0.15"/>
    <row r="36714" s="69" customFormat="1" x14ac:dyDescent="0.15"/>
    <row r="36715" s="69" customFormat="1" x14ac:dyDescent="0.15"/>
    <row r="36716" s="69" customFormat="1" x14ac:dyDescent="0.15"/>
    <row r="36717" s="69" customFormat="1" x14ac:dyDescent="0.15"/>
    <row r="36718" s="69" customFormat="1" x14ac:dyDescent="0.15"/>
    <row r="36719" s="69" customFormat="1" x14ac:dyDescent="0.15"/>
    <row r="36720" s="69" customFormat="1" x14ac:dyDescent="0.15"/>
    <row r="36721" s="69" customFormat="1" x14ac:dyDescent="0.15"/>
    <row r="36722" s="69" customFormat="1" x14ac:dyDescent="0.15"/>
    <row r="36723" s="69" customFormat="1" x14ac:dyDescent="0.15"/>
    <row r="36724" s="69" customFormat="1" x14ac:dyDescent="0.15"/>
    <row r="36725" s="69" customFormat="1" x14ac:dyDescent="0.15"/>
    <row r="36726" s="69" customFormat="1" x14ac:dyDescent="0.15"/>
    <row r="36727" s="69" customFormat="1" x14ac:dyDescent="0.15"/>
    <row r="36728" s="69" customFormat="1" x14ac:dyDescent="0.15"/>
    <row r="36729" s="69" customFormat="1" x14ac:dyDescent="0.15"/>
    <row r="36730" s="69" customFormat="1" x14ac:dyDescent="0.15"/>
    <row r="36731" s="69" customFormat="1" x14ac:dyDescent="0.15"/>
    <row r="36732" s="69" customFormat="1" x14ac:dyDescent="0.15"/>
    <row r="36733" s="69" customFormat="1" x14ac:dyDescent="0.15"/>
    <row r="36734" s="69" customFormat="1" x14ac:dyDescent="0.15"/>
    <row r="36735" s="69" customFormat="1" x14ac:dyDescent="0.15"/>
    <row r="36736" s="69" customFormat="1" x14ac:dyDescent="0.15"/>
    <row r="36737" s="69" customFormat="1" x14ac:dyDescent="0.15"/>
    <row r="36738" s="69" customFormat="1" x14ac:dyDescent="0.15"/>
    <row r="36739" s="69" customFormat="1" x14ac:dyDescent="0.15"/>
    <row r="36740" s="69" customFormat="1" x14ac:dyDescent="0.15"/>
    <row r="36741" s="69" customFormat="1" x14ac:dyDescent="0.15"/>
    <row r="36742" s="69" customFormat="1" x14ac:dyDescent="0.15"/>
    <row r="36743" s="69" customFormat="1" x14ac:dyDescent="0.15"/>
    <row r="36744" s="69" customFormat="1" x14ac:dyDescent="0.15"/>
    <row r="36745" s="69" customFormat="1" x14ac:dyDescent="0.15"/>
    <row r="36746" s="69" customFormat="1" x14ac:dyDescent="0.15"/>
    <row r="36747" s="69" customFormat="1" x14ac:dyDescent="0.15"/>
    <row r="36748" s="69" customFormat="1" x14ac:dyDescent="0.15"/>
    <row r="36749" s="69" customFormat="1" x14ac:dyDescent="0.15"/>
    <row r="36750" s="69" customFormat="1" x14ac:dyDescent="0.15"/>
    <row r="36751" s="69" customFormat="1" x14ac:dyDescent="0.15"/>
    <row r="36752" s="69" customFormat="1" x14ac:dyDescent="0.15"/>
    <row r="36753" s="69" customFormat="1" x14ac:dyDescent="0.15"/>
    <row r="36754" s="69" customFormat="1" x14ac:dyDescent="0.15"/>
    <row r="36755" s="69" customFormat="1" x14ac:dyDescent="0.15"/>
    <row r="36756" s="69" customFormat="1" x14ac:dyDescent="0.15"/>
    <row r="36757" s="69" customFormat="1" x14ac:dyDescent="0.15"/>
    <row r="36758" s="69" customFormat="1" x14ac:dyDescent="0.15"/>
    <row r="36759" s="69" customFormat="1" x14ac:dyDescent="0.15"/>
    <row r="36760" s="69" customFormat="1" x14ac:dyDescent="0.15"/>
    <row r="36761" s="69" customFormat="1" x14ac:dyDescent="0.15"/>
    <row r="36762" s="69" customFormat="1" x14ac:dyDescent="0.15"/>
    <row r="36763" s="69" customFormat="1" x14ac:dyDescent="0.15"/>
    <row r="36764" s="69" customFormat="1" x14ac:dyDescent="0.15"/>
    <row r="36765" s="69" customFormat="1" x14ac:dyDescent="0.15"/>
    <row r="36766" s="69" customFormat="1" x14ac:dyDescent="0.15"/>
    <row r="36767" s="69" customFormat="1" x14ac:dyDescent="0.15"/>
    <row r="36768" s="69" customFormat="1" x14ac:dyDescent="0.15"/>
    <row r="36769" s="69" customFormat="1" x14ac:dyDescent="0.15"/>
    <row r="36770" s="69" customFormat="1" x14ac:dyDescent="0.15"/>
    <row r="36771" s="69" customFormat="1" x14ac:dyDescent="0.15"/>
    <row r="36772" s="69" customFormat="1" x14ac:dyDescent="0.15"/>
    <row r="36773" s="69" customFormat="1" x14ac:dyDescent="0.15"/>
    <row r="36774" s="69" customFormat="1" x14ac:dyDescent="0.15"/>
    <row r="36775" s="69" customFormat="1" x14ac:dyDescent="0.15"/>
    <row r="36776" s="69" customFormat="1" x14ac:dyDescent="0.15"/>
    <row r="36777" s="69" customFormat="1" x14ac:dyDescent="0.15"/>
    <row r="36778" s="69" customFormat="1" x14ac:dyDescent="0.15"/>
    <row r="36779" s="69" customFormat="1" x14ac:dyDescent="0.15"/>
    <row r="36780" s="69" customFormat="1" x14ac:dyDescent="0.15"/>
    <row r="36781" s="69" customFormat="1" x14ac:dyDescent="0.15"/>
    <row r="36782" s="69" customFormat="1" x14ac:dyDescent="0.15"/>
    <row r="36783" s="69" customFormat="1" x14ac:dyDescent="0.15"/>
    <row r="36784" s="69" customFormat="1" x14ac:dyDescent="0.15"/>
    <row r="36785" s="69" customFormat="1" x14ac:dyDescent="0.15"/>
    <row r="36786" s="69" customFormat="1" x14ac:dyDescent="0.15"/>
    <row r="36787" s="69" customFormat="1" x14ac:dyDescent="0.15"/>
    <row r="36788" s="69" customFormat="1" x14ac:dyDescent="0.15"/>
    <row r="36789" s="69" customFormat="1" x14ac:dyDescent="0.15"/>
    <row r="36790" s="69" customFormat="1" x14ac:dyDescent="0.15"/>
    <row r="36791" s="69" customFormat="1" x14ac:dyDescent="0.15"/>
    <row r="36792" s="69" customFormat="1" x14ac:dyDescent="0.15"/>
    <row r="36793" s="69" customFormat="1" x14ac:dyDescent="0.15"/>
    <row r="36794" s="69" customFormat="1" x14ac:dyDescent="0.15"/>
    <row r="36795" s="69" customFormat="1" x14ac:dyDescent="0.15"/>
    <row r="36796" s="69" customFormat="1" x14ac:dyDescent="0.15"/>
    <row r="36797" s="69" customFormat="1" x14ac:dyDescent="0.15"/>
    <row r="36798" s="69" customFormat="1" x14ac:dyDescent="0.15"/>
    <row r="36799" s="69" customFormat="1" x14ac:dyDescent="0.15"/>
    <row r="36800" s="69" customFormat="1" x14ac:dyDescent="0.15"/>
    <row r="36801" s="69" customFormat="1" x14ac:dyDescent="0.15"/>
    <row r="36802" s="69" customFormat="1" x14ac:dyDescent="0.15"/>
    <row r="36803" s="69" customFormat="1" x14ac:dyDescent="0.15"/>
    <row r="36804" s="69" customFormat="1" x14ac:dyDescent="0.15"/>
    <row r="36805" s="69" customFormat="1" x14ac:dyDescent="0.15"/>
    <row r="36806" s="69" customFormat="1" x14ac:dyDescent="0.15"/>
    <row r="36807" s="69" customFormat="1" x14ac:dyDescent="0.15"/>
    <row r="36808" s="69" customFormat="1" x14ac:dyDescent="0.15"/>
    <row r="36809" s="69" customFormat="1" x14ac:dyDescent="0.15"/>
    <row r="36810" s="69" customFormat="1" x14ac:dyDescent="0.15"/>
    <row r="36811" s="69" customFormat="1" x14ac:dyDescent="0.15"/>
    <row r="36812" s="69" customFormat="1" x14ac:dyDescent="0.15"/>
    <row r="36813" s="69" customFormat="1" x14ac:dyDescent="0.15"/>
    <row r="36814" s="69" customFormat="1" x14ac:dyDescent="0.15"/>
    <row r="36815" s="69" customFormat="1" x14ac:dyDescent="0.15"/>
    <row r="36816" s="69" customFormat="1" x14ac:dyDescent="0.15"/>
    <row r="36817" s="69" customFormat="1" x14ac:dyDescent="0.15"/>
    <row r="36818" s="69" customFormat="1" x14ac:dyDescent="0.15"/>
    <row r="36819" s="69" customFormat="1" x14ac:dyDescent="0.15"/>
    <row r="36820" s="69" customFormat="1" x14ac:dyDescent="0.15"/>
    <row r="36821" s="69" customFormat="1" x14ac:dyDescent="0.15"/>
    <row r="36822" s="69" customFormat="1" x14ac:dyDescent="0.15"/>
    <row r="36823" s="69" customFormat="1" x14ac:dyDescent="0.15"/>
    <row r="36824" s="69" customFormat="1" x14ac:dyDescent="0.15"/>
    <row r="36825" s="69" customFormat="1" x14ac:dyDescent="0.15"/>
    <row r="36826" s="69" customFormat="1" x14ac:dyDescent="0.15"/>
    <row r="36827" s="69" customFormat="1" x14ac:dyDescent="0.15"/>
    <row r="36828" s="69" customFormat="1" x14ac:dyDescent="0.15"/>
    <row r="36829" s="69" customFormat="1" x14ac:dyDescent="0.15"/>
    <row r="36830" s="69" customFormat="1" x14ac:dyDescent="0.15"/>
    <row r="36831" s="69" customFormat="1" x14ac:dyDescent="0.15"/>
    <row r="36832" s="69" customFormat="1" x14ac:dyDescent="0.15"/>
    <row r="36833" s="69" customFormat="1" x14ac:dyDescent="0.15"/>
    <row r="36834" s="69" customFormat="1" x14ac:dyDescent="0.15"/>
    <row r="36835" s="69" customFormat="1" x14ac:dyDescent="0.15"/>
    <row r="36836" s="69" customFormat="1" x14ac:dyDescent="0.15"/>
    <row r="36837" s="69" customFormat="1" x14ac:dyDescent="0.15"/>
    <row r="36838" s="69" customFormat="1" x14ac:dyDescent="0.15"/>
    <row r="36839" s="69" customFormat="1" x14ac:dyDescent="0.15"/>
    <row r="36840" s="69" customFormat="1" x14ac:dyDescent="0.15"/>
    <row r="36841" s="69" customFormat="1" x14ac:dyDescent="0.15"/>
    <row r="36842" s="69" customFormat="1" x14ac:dyDescent="0.15"/>
    <row r="36843" s="69" customFormat="1" x14ac:dyDescent="0.15"/>
    <row r="36844" s="69" customFormat="1" x14ac:dyDescent="0.15"/>
    <row r="36845" s="69" customFormat="1" x14ac:dyDescent="0.15"/>
    <row r="36846" s="69" customFormat="1" x14ac:dyDescent="0.15"/>
    <row r="36847" s="69" customFormat="1" x14ac:dyDescent="0.15"/>
    <row r="36848" s="69" customFormat="1" x14ac:dyDescent="0.15"/>
    <row r="36849" s="69" customFormat="1" x14ac:dyDescent="0.15"/>
    <row r="36850" s="69" customFormat="1" x14ac:dyDescent="0.15"/>
    <row r="36851" s="69" customFormat="1" x14ac:dyDescent="0.15"/>
    <row r="36852" s="69" customFormat="1" x14ac:dyDescent="0.15"/>
    <row r="36853" s="69" customFormat="1" x14ac:dyDescent="0.15"/>
    <row r="36854" s="69" customFormat="1" x14ac:dyDescent="0.15"/>
    <row r="36855" s="69" customFormat="1" x14ac:dyDescent="0.15"/>
    <row r="36856" s="69" customFormat="1" x14ac:dyDescent="0.15"/>
    <row r="36857" s="69" customFormat="1" x14ac:dyDescent="0.15"/>
    <row r="36858" s="69" customFormat="1" x14ac:dyDescent="0.15"/>
    <row r="36859" s="69" customFormat="1" x14ac:dyDescent="0.15"/>
    <row r="36860" s="69" customFormat="1" x14ac:dyDescent="0.15"/>
    <row r="36861" s="69" customFormat="1" x14ac:dyDescent="0.15"/>
    <row r="36862" s="69" customFormat="1" x14ac:dyDescent="0.15"/>
    <row r="36863" s="69" customFormat="1" x14ac:dyDescent="0.15"/>
    <row r="36864" s="69" customFormat="1" x14ac:dyDescent="0.15"/>
    <row r="36865" s="69" customFormat="1" x14ac:dyDescent="0.15"/>
    <row r="36866" s="69" customFormat="1" x14ac:dyDescent="0.15"/>
    <row r="36867" s="69" customFormat="1" x14ac:dyDescent="0.15"/>
    <row r="36868" s="69" customFormat="1" x14ac:dyDescent="0.15"/>
    <row r="36869" s="69" customFormat="1" x14ac:dyDescent="0.15"/>
    <row r="36870" s="69" customFormat="1" x14ac:dyDescent="0.15"/>
    <row r="36871" s="69" customFormat="1" x14ac:dyDescent="0.15"/>
    <row r="36872" s="69" customFormat="1" x14ac:dyDescent="0.15"/>
    <row r="36873" s="69" customFormat="1" x14ac:dyDescent="0.15"/>
    <row r="36874" s="69" customFormat="1" x14ac:dyDescent="0.15"/>
    <row r="36875" s="69" customFormat="1" x14ac:dyDescent="0.15"/>
    <row r="36876" s="69" customFormat="1" x14ac:dyDescent="0.15"/>
    <row r="36877" s="69" customFormat="1" x14ac:dyDescent="0.15"/>
    <row r="36878" s="69" customFormat="1" x14ac:dyDescent="0.15"/>
    <row r="36879" s="69" customFormat="1" x14ac:dyDescent="0.15"/>
    <row r="36880" s="69" customFormat="1" x14ac:dyDescent="0.15"/>
    <row r="36881" s="69" customFormat="1" x14ac:dyDescent="0.15"/>
    <row r="36882" s="69" customFormat="1" x14ac:dyDescent="0.15"/>
    <row r="36883" s="69" customFormat="1" x14ac:dyDescent="0.15"/>
    <row r="36884" s="69" customFormat="1" x14ac:dyDescent="0.15"/>
    <row r="36885" s="69" customFormat="1" x14ac:dyDescent="0.15"/>
    <row r="36886" s="69" customFormat="1" x14ac:dyDescent="0.15"/>
    <row r="36887" s="69" customFormat="1" x14ac:dyDescent="0.15"/>
    <row r="36888" s="69" customFormat="1" x14ac:dyDescent="0.15"/>
    <row r="36889" s="69" customFormat="1" x14ac:dyDescent="0.15"/>
    <row r="36890" s="69" customFormat="1" x14ac:dyDescent="0.15"/>
    <row r="36891" s="69" customFormat="1" x14ac:dyDescent="0.15"/>
    <row r="36892" s="69" customFormat="1" x14ac:dyDescent="0.15"/>
    <row r="36893" s="69" customFormat="1" x14ac:dyDescent="0.15"/>
    <row r="36894" s="69" customFormat="1" x14ac:dyDescent="0.15"/>
    <row r="36895" s="69" customFormat="1" x14ac:dyDescent="0.15"/>
    <row r="36896" s="69" customFormat="1" x14ac:dyDescent="0.15"/>
    <row r="36897" s="69" customFormat="1" x14ac:dyDescent="0.15"/>
    <row r="36898" s="69" customFormat="1" x14ac:dyDescent="0.15"/>
    <row r="36899" s="69" customFormat="1" x14ac:dyDescent="0.15"/>
    <row r="36900" s="69" customFormat="1" x14ac:dyDescent="0.15"/>
    <row r="36901" s="69" customFormat="1" x14ac:dyDescent="0.15"/>
    <row r="36902" s="69" customFormat="1" x14ac:dyDescent="0.15"/>
    <row r="36903" s="69" customFormat="1" x14ac:dyDescent="0.15"/>
    <row r="36904" s="69" customFormat="1" x14ac:dyDescent="0.15"/>
    <row r="36905" s="69" customFormat="1" x14ac:dyDescent="0.15"/>
    <row r="36906" s="69" customFormat="1" x14ac:dyDescent="0.15"/>
    <row r="36907" s="69" customFormat="1" x14ac:dyDescent="0.15"/>
    <row r="36908" s="69" customFormat="1" x14ac:dyDescent="0.15"/>
    <row r="36909" s="69" customFormat="1" x14ac:dyDescent="0.15"/>
    <row r="36910" s="69" customFormat="1" x14ac:dyDescent="0.15"/>
    <row r="36911" s="69" customFormat="1" x14ac:dyDescent="0.15"/>
    <row r="36912" s="69" customFormat="1" x14ac:dyDescent="0.15"/>
    <row r="36913" s="69" customFormat="1" x14ac:dyDescent="0.15"/>
    <row r="36914" s="69" customFormat="1" x14ac:dyDescent="0.15"/>
    <row r="36915" s="69" customFormat="1" x14ac:dyDescent="0.15"/>
    <row r="36916" s="69" customFormat="1" x14ac:dyDescent="0.15"/>
    <row r="36917" s="69" customFormat="1" x14ac:dyDescent="0.15"/>
    <row r="36918" s="69" customFormat="1" x14ac:dyDescent="0.15"/>
    <row r="36919" s="69" customFormat="1" x14ac:dyDescent="0.15"/>
    <row r="36920" s="69" customFormat="1" x14ac:dyDescent="0.15"/>
    <row r="36921" s="69" customFormat="1" x14ac:dyDescent="0.15"/>
    <row r="36922" s="69" customFormat="1" x14ac:dyDescent="0.15"/>
    <row r="36923" s="69" customFormat="1" x14ac:dyDescent="0.15"/>
    <row r="36924" s="69" customFormat="1" x14ac:dyDescent="0.15"/>
    <row r="36925" s="69" customFormat="1" x14ac:dyDescent="0.15"/>
    <row r="36926" s="69" customFormat="1" x14ac:dyDescent="0.15"/>
    <row r="36927" s="69" customFormat="1" x14ac:dyDescent="0.15"/>
    <row r="36928" s="69" customFormat="1" x14ac:dyDescent="0.15"/>
    <row r="36929" s="69" customFormat="1" x14ac:dyDescent="0.15"/>
    <row r="36930" s="69" customFormat="1" x14ac:dyDescent="0.15"/>
    <row r="36931" s="69" customFormat="1" x14ac:dyDescent="0.15"/>
    <row r="36932" s="69" customFormat="1" x14ac:dyDescent="0.15"/>
    <row r="36933" s="69" customFormat="1" x14ac:dyDescent="0.15"/>
    <row r="36934" s="69" customFormat="1" x14ac:dyDescent="0.15"/>
    <row r="36935" s="69" customFormat="1" x14ac:dyDescent="0.15"/>
    <row r="36936" s="69" customFormat="1" x14ac:dyDescent="0.15"/>
    <row r="36937" s="69" customFormat="1" x14ac:dyDescent="0.15"/>
    <row r="36938" s="69" customFormat="1" x14ac:dyDescent="0.15"/>
    <row r="36939" s="69" customFormat="1" x14ac:dyDescent="0.15"/>
    <row r="36940" s="69" customFormat="1" x14ac:dyDescent="0.15"/>
    <row r="36941" s="69" customFormat="1" x14ac:dyDescent="0.15"/>
    <row r="36942" s="69" customFormat="1" x14ac:dyDescent="0.15"/>
    <row r="36943" s="69" customFormat="1" x14ac:dyDescent="0.15"/>
    <row r="36944" s="69" customFormat="1" x14ac:dyDescent="0.15"/>
    <row r="36945" s="69" customFormat="1" x14ac:dyDescent="0.15"/>
    <row r="36946" s="69" customFormat="1" x14ac:dyDescent="0.15"/>
    <row r="36947" s="69" customFormat="1" x14ac:dyDescent="0.15"/>
    <row r="36948" s="69" customFormat="1" x14ac:dyDescent="0.15"/>
    <row r="36949" s="69" customFormat="1" x14ac:dyDescent="0.15"/>
    <row r="36950" s="69" customFormat="1" x14ac:dyDescent="0.15"/>
    <row r="36951" s="69" customFormat="1" x14ac:dyDescent="0.15"/>
    <row r="36952" s="69" customFormat="1" x14ac:dyDescent="0.15"/>
    <row r="36953" s="69" customFormat="1" x14ac:dyDescent="0.15"/>
    <row r="36954" s="69" customFormat="1" x14ac:dyDescent="0.15"/>
    <row r="36955" s="69" customFormat="1" x14ac:dyDescent="0.15"/>
    <row r="36956" s="69" customFormat="1" x14ac:dyDescent="0.15"/>
    <row r="36957" s="69" customFormat="1" x14ac:dyDescent="0.15"/>
    <row r="36958" s="69" customFormat="1" x14ac:dyDescent="0.15"/>
    <row r="36959" s="69" customFormat="1" x14ac:dyDescent="0.15"/>
    <row r="36960" s="69" customFormat="1" x14ac:dyDescent="0.15"/>
    <row r="36961" s="69" customFormat="1" x14ac:dyDescent="0.15"/>
    <row r="36962" s="69" customFormat="1" x14ac:dyDescent="0.15"/>
    <row r="36963" s="69" customFormat="1" x14ac:dyDescent="0.15"/>
    <row r="36964" s="69" customFormat="1" x14ac:dyDescent="0.15"/>
    <row r="36965" s="69" customFormat="1" x14ac:dyDescent="0.15"/>
    <row r="36966" s="69" customFormat="1" x14ac:dyDescent="0.15"/>
    <row r="36967" s="69" customFormat="1" x14ac:dyDescent="0.15"/>
    <row r="36968" s="69" customFormat="1" x14ac:dyDescent="0.15"/>
    <row r="36969" s="69" customFormat="1" x14ac:dyDescent="0.15"/>
    <row r="36970" s="69" customFormat="1" x14ac:dyDescent="0.15"/>
    <row r="36971" s="69" customFormat="1" x14ac:dyDescent="0.15"/>
    <row r="36972" s="69" customFormat="1" x14ac:dyDescent="0.15"/>
    <row r="36973" s="69" customFormat="1" x14ac:dyDescent="0.15"/>
    <row r="36974" s="69" customFormat="1" x14ac:dyDescent="0.15"/>
    <row r="36975" s="69" customFormat="1" x14ac:dyDescent="0.15"/>
    <row r="36976" s="69" customFormat="1" x14ac:dyDescent="0.15"/>
    <row r="36977" s="69" customFormat="1" x14ac:dyDescent="0.15"/>
    <row r="36978" s="69" customFormat="1" x14ac:dyDescent="0.15"/>
    <row r="36979" s="69" customFormat="1" x14ac:dyDescent="0.15"/>
    <row r="36980" s="69" customFormat="1" x14ac:dyDescent="0.15"/>
    <row r="36981" s="69" customFormat="1" x14ac:dyDescent="0.15"/>
    <row r="36982" s="69" customFormat="1" x14ac:dyDescent="0.15"/>
    <row r="36983" s="69" customFormat="1" x14ac:dyDescent="0.15"/>
    <row r="36984" s="69" customFormat="1" x14ac:dyDescent="0.15"/>
    <row r="36985" s="69" customFormat="1" x14ac:dyDescent="0.15"/>
    <row r="36986" s="69" customFormat="1" x14ac:dyDescent="0.15"/>
    <row r="36987" s="69" customFormat="1" x14ac:dyDescent="0.15"/>
    <row r="36988" s="69" customFormat="1" x14ac:dyDescent="0.15"/>
    <row r="36989" s="69" customFormat="1" x14ac:dyDescent="0.15"/>
    <row r="36990" s="69" customFormat="1" x14ac:dyDescent="0.15"/>
    <row r="36991" s="69" customFormat="1" x14ac:dyDescent="0.15"/>
    <row r="36992" s="69" customFormat="1" x14ac:dyDescent="0.15"/>
    <row r="36993" s="69" customFormat="1" x14ac:dyDescent="0.15"/>
    <row r="36994" s="69" customFormat="1" x14ac:dyDescent="0.15"/>
    <row r="36995" s="69" customFormat="1" x14ac:dyDescent="0.15"/>
    <row r="36996" s="69" customFormat="1" x14ac:dyDescent="0.15"/>
    <row r="36997" s="69" customFormat="1" x14ac:dyDescent="0.15"/>
    <row r="36998" s="69" customFormat="1" x14ac:dyDescent="0.15"/>
    <row r="36999" s="69" customFormat="1" x14ac:dyDescent="0.15"/>
    <row r="37000" s="69" customFormat="1" x14ac:dyDescent="0.15"/>
    <row r="37001" s="69" customFormat="1" x14ac:dyDescent="0.15"/>
    <row r="37002" s="69" customFormat="1" x14ac:dyDescent="0.15"/>
    <row r="37003" s="69" customFormat="1" x14ac:dyDescent="0.15"/>
    <row r="37004" s="69" customFormat="1" x14ac:dyDescent="0.15"/>
    <row r="37005" s="69" customFormat="1" x14ac:dyDescent="0.15"/>
    <row r="37006" s="69" customFormat="1" x14ac:dyDescent="0.15"/>
    <row r="37007" s="69" customFormat="1" x14ac:dyDescent="0.15"/>
    <row r="37008" s="69" customFormat="1" x14ac:dyDescent="0.15"/>
    <row r="37009" s="69" customFormat="1" x14ac:dyDescent="0.15"/>
    <row r="37010" s="69" customFormat="1" x14ac:dyDescent="0.15"/>
    <row r="37011" s="69" customFormat="1" x14ac:dyDescent="0.15"/>
    <row r="37012" s="69" customFormat="1" x14ac:dyDescent="0.15"/>
    <row r="37013" s="69" customFormat="1" x14ac:dyDescent="0.15"/>
    <row r="37014" s="69" customFormat="1" x14ac:dyDescent="0.15"/>
    <row r="37015" s="69" customFormat="1" x14ac:dyDescent="0.15"/>
    <row r="37016" s="69" customFormat="1" x14ac:dyDescent="0.15"/>
    <row r="37017" s="69" customFormat="1" x14ac:dyDescent="0.15"/>
    <row r="37018" s="69" customFormat="1" x14ac:dyDescent="0.15"/>
    <row r="37019" s="69" customFormat="1" x14ac:dyDescent="0.15"/>
    <row r="37020" s="69" customFormat="1" x14ac:dyDescent="0.15"/>
    <row r="37021" s="69" customFormat="1" x14ac:dyDescent="0.15"/>
    <row r="37022" s="69" customFormat="1" x14ac:dyDescent="0.15"/>
    <row r="37023" s="69" customFormat="1" x14ac:dyDescent="0.15"/>
    <row r="37024" s="69" customFormat="1" x14ac:dyDescent="0.15"/>
    <row r="37025" s="69" customFormat="1" x14ac:dyDescent="0.15"/>
    <row r="37026" s="69" customFormat="1" x14ac:dyDescent="0.15"/>
    <row r="37027" s="69" customFormat="1" x14ac:dyDescent="0.15"/>
    <row r="37028" s="69" customFormat="1" x14ac:dyDescent="0.15"/>
    <row r="37029" s="69" customFormat="1" x14ac:dyDescent="0.15"/>
    <row r="37030" s="69" customFormat="1" x14ac:dyDescent="0.15"/>
    <row r="37031" s="69" customFormat="1" x14ac:dyDescent="0.15"/>
    <row r="37032" s="69" customFormat="1" x14ac:dyDescent="0.15"/>
    <row r="37033" s="69" customFormat="1" x14ac:dyDescent="0.15"/>
    <row r="37034" s="69" customFormat="1" x14ac:dyDescent="0.15"/>
    <row r="37035" s="69" customFormat="1" x14ac:dyDescent="0.15"/>
    <row r="37036" s="69" customFormat="1" x14ac:dyDescent="0.15"/>
    <row r="37037" s="69" customFormat="1" x14ac:dyDescent="0.15"/>
    <row r="37038" s="69" customFormat="1" x14ac:dyDescent="0.15"/>
    <row r="37039" s="69" customFormat="1" x14ac:dyDescent="0.15"/>
    <row r="37040" s="69" customFormat="1" x14ac:dyDescent="0.15"/>
    <row r="37041" s="69" customFormat="1" x14ac:dyDescent="0.15"/>
    <row r="37042" s="69" customFormat="1" x14ac:dyDescent="0.15"/>
    <row r="37043" s="69" customFormat="1" x14ac:dyDescent="0.15"/>
    <row r="37044" s="69" customFormat="1" x14ac:dyDescent="0.15"/>
    <row r="37045" s="69" customFormat="1" x14ac:dyDescent="0.15"/>
    <row r="37046" s="69" customFormat="1" x14ac:dyDescent="0.15"/>
    <row r="37047" s="69" customFormat="1" x14ac:dyDescent="0.15"/>
    <row r="37048" s="69" customFormat="1" x14ac:dyDescent="0.15"/>
    <row r="37049" s="69" customFormat="1" x14ac:dyDescent="0.15"/>
    <row r="37050" s="69" customFormat="1" x14ac:dyDescent="0.15"/>
    <row r="37051" s="69" customFormat="1" x14ac:dyDescent="0.15"/>
    <row r="37052" s="69" customFormat="1" x14ac:dyDescent="0.15"/>
    <row r="37053" s="69" customFormat="1" x14ac:dyDescent="0.15"/>
    <row r="37054" s="69" customFormat="1" x14ac:dyDescent="0.15"/>
    <row r="37055" s="69" customFormat="1" x14ac:dyDescent="0.15"/>
    <row r="37056" s="69" customFormat="1" x14ac:dyDescent="0.15"/>
    <row r="37057" s="69" customFormat="1" x14ac:dyDescent="0.15"/>
    <row r="37058" s="69" customFormat="1" x14ac:dyDescent="0.15"/>
    <row r="37059" s="69" customFormat="1" x14ac:dyDescent="0.15"/>
    <row r="37060" s="69" customFormat="1" x14ac:dyDescent="0.15"/>
    <row r="37061" s="69" customFormat="1" x14ac:dyDescent="0.15"/>
    <row r="37062" s="69" customFormat="1" x14ac:dyDescent="0.15"/>
    <row r="37063" s="69" customFormat="1" x14ac:dyDescent="0.15"/>
    <row r="37064" s="69" customFormat="1" x14ac:dyDescent="0.15"/>
    <row r="37065" s="69" customFormat="1" x14ac:dyDescent="0.15"/>
    <row r="37066" s="69" customFormat="1" x14ac:dyDescent="0.15"/>
    <row r="37067" s="69" customFormat="1" x14ac:dyDescent="0.15"/>
    <row r="37068" s="69" customFormat="1" x14ac:dyDescent="0.15"/>
    <row r="37069" s="69" customFormat="1" x14ac:dyDescent="0.15"/>
    <row r="37070" s="69" customFormat="1" x14ac:dyDescent="0.15"/>
    <row r="37071" s="69" customFormat="1" x14ac:dyDescent="0.15"/>
    <row r="37072" s="69" customFormat="1" x14ac:dyDescent="0.15"/>
    <row r="37073" s="69" customFormat="1" x14ac:dyDescent="0.15"/>
    <row r="37074" s="69" customFormat="1" x14ac:dyDescent="0.15"/>
    <row r="37075" s="69" customFormat="1" x14ac:dyDescent="0.15"/>
    <row r="37076" s="69" customFormat="1" x14ac:dyDescent="0.15"/>
    <row r="37077" s="69" customFormat="1" x14ac:dyDescent="0.15"/>
    <row r="37078" s="69" customFormat="1" x14ac:dyDescent="0.15"/>
    <row r="37079" s="69" customFormat="1" x14ac:dyDescent="0.15"/>
    <row r="37080" s="69" customFormat="1" x14ac:dyDescent="0.15"/>
    <row r="37081" s="69" customFormat="1" x14ac:dyDescent="0.15"/>
    <row r="37082" s="69" customFormat="1" x14ac:dyDescent="0.15"/>
    <row r="37083" s="69" customFormat="1" x14ac:dyDescent="0.15"/>
    <row r="37084" s="69" customFormat="1" x14ac:dyDescent="0.15"/>
    <row r="37085" s="69" customFormat="1" x14ac:dyDescent="0.15"/>
    <row r="37086" s="69" customFormat="1" x14ac:dyDescent="0.15"/>
    <row r="37087" s="69" customFormat="1" x14ac:dyDescent="0.15"/>
    <row r="37088" s="69" customFormat="1" x14ac:dyDescent="0.15"/>
    <row r="37089" s="69" customFormat="1" x14ac:dyDescent="0.15"/>
    <row r="37090" s="69" customFormat="1" x14ac:dyDescent="0.15"/>
    <row r="37091" s="69" customFormat="1" x14ac:dyDescent="0.15"/>
    <row r="37092" s="69" customFormat="1" x14ac:dyDescent="0.15"/>
    <row r="37093" s="69" customFormat="1" x14ac:dyDescent="0.15"/>
    <row r="37094" s="69" customFormat="1" x14ac:dyDescent="0.15"/>
    <row r="37095" s="69" customFormat="1" x14ac:dyDescent="0.15"/>
    <row r="37096" s="69" customFormat="1" x14ac:dyDescent="0.15"/>
    <row r="37097" s="69" customFormat="1" x14ac:dyDescent="0.15"/>
    <row r="37098" s="69" customFormat="1" x14ac:dyDescent="0.15"/>
    <row r="37099" s="69" customFormat="1" x14ac:dyDescent="0.15"/>
    <row r="37100" s="69" customFormat="1" x14ac:dyDescent="0.15"/>
    <row r="37101" s="69" customFormat="1" x14ac:dyDescent="0.15"/>
    <row r="37102" s="69" customFormat="1" x14ac:dyDescent="0.15"/>
    <row r="37103" s="69" customFormat="1" x14ac:dyDescent="0.15"/>
    <row r="37104" s="69" customFormat="1" x14ac:dyDescent="0.15"/>
    <row r="37105" s="69" customFormat="1" x14ac:dyDescent="0.15"/>
    <row r="37106" s="69" customFormat="1" x14ac:dyDescent="0.15"/>
    <row r="37107" s="69" customFormat="1" x14ac:dyDescent="0.15"/>
    <row r="37108" s="69" customFormat="1" x14ac:dyDescent="0.15"/>
    <row r="37109" s="69" customFormat="1" x14ac:dyDescent="0.15"/>
    <row r="37110" s="69" customFormat="1" x14ac:dyDescent="0.15"/>
    <row r="37111" s="69" customFormat="1" x14ac:dyDescent="0.15"/>
    <row r="37112" s="69" customFormat="1" x14ac:dyDescent="0.15"/>
    <row r="37113" s="69" customFormat="1" x14ac:dyDescent="0.15"/>
    <row r="37114" s="69" customFormat="1" x14ac:dyDescent="0.15"/>
    <row r="37115" s="69" customFormat="1" x14ac:dyDescent="0.15"/>
    <row r="37116" s="69" customFormat="1" x14ac:dyDescent="0.15"/>
    <row r="37117" s="69" customFormat="1" x14ac:dyDescent="0.15"/>
    <row r="37118" s="69" customFormat="1" x14ac:dyDescent="0.15"/>
    <row r="37119" s="69" customFormat="1" x14ac:dyDescent="0.15"/>
    <row r="37120" s="69" customFormat="1" x14ac:dyDescent="0.15"/>
    <row r="37121" s="69" customFormat="1" x14ac:dyDescent="0.15"/>
    <row r="37122" s="69" customFormat="1" x14ac:dyDescent="0.15"/>
    <row r="37123" s="69" customFormat="1" x14ac:dyDescent="0.15"/>
    <row r="37124" s="69" customFormat="1" x14ac:dyDescent="0.15"/>
    <row r="37125" s="69" customFormat="1" x14ac:dyDescent="0.15"/>
    <row r="37126" s="69" customFormat="1" x14ac:dyDescent="0.15"/>
    <row r="37127" s="69" customFormat="1" x14ac:dyDescent="0.15"/>
    <row r="37128" s="69" customFormat="1" x14ac:dyDescent="0.15"/>
    <row r="37129" s="69" customFormat="1" x14ac:dyDescent="0.15"/>
    <row r="37130" s="69" customFormat="1" x14ac:dyDescent="0.15"/>
    <row r="37131" s="69" customFormat="1" x14ac:dyDescent="0.15"/>
    <row r="37132" s="69" customFormat="1" x14ac:dyDescent="0.15"/>
    <row r="37133" s="69" customFormat="1" x14ac:dyDescent="0.15"/>
    <row r="37134" s="69" customFormat="1" x14ac:dyDescent="0.15"/>
    <row r="37135" s="69" customFormat="1" x14ac:dyDescent="0.15"/>
    <row r="37136" s="69" customFormat="1" x14ac:dyDescent="0.15"/>
    <row r="37137" s="69" customFormat="1" x14ac:dyDescent="0.15"/>
    <row r="37138" s="69" customFormat="1" x14ac:dyDescent="0.15"/>
    <row r="37139" s="69" customFormat="1" x14ac:dyDescent="0.15"/>
    <row r="37140" s="69" customFormat="1" x14ac:dyDescent="0.15"/>
    <row r="37141" s="69" customFormat="1" x14ac:dyDescent="0.15"/>
    <row r="37142" s="69" customFormat="1" x14ac:dyDescent="0.15"/>
    <row r="37143" s="69" customFormat="1" x14ac:dyDescent="0.15"/>
    <row r="37144" s="69" customFormat="1" x14ac:dyDescent="0.15"/>
    <row r="37145" s="69" customFormat="1" x14ac:dyDescent="0.15"/>
    <row r="37146" s="69" customFormat="1" x14ac:dyDescent="0.15"/>
    <row r="37147" s="69" customFormat="1" x14ac:dyDescent="0.15"/>
    <row r="37148" s="69" customFormat="1" x14ac:dyDescent="0.15"/>
    <row r="37149" s="69" customFormat="1" x14ac:dyDescent="0.15"/>
    <row r="37150" s="69" customFormat="1" x14ac:dyDescent="0.15"/>
    <row r="37151" s="69" customFormat="1" x14ac:dyDescent="0.15"/>
    <row r="37152" s="69" customFormat="1" x14ac:dyDescent="0.15"/>
    <row r="37153" s="69" customFormat="1" x14ac:dyDescent="0.15"/>
    <row r="37154" s="69" customFormat="1" x14ac:dyDescent="0.15"/>
    <row r="37155" s="69" customFormat="1" x14ac:dyDescent="0.15"/>
    <row r="37156" s="69" customFormat="1" x14ac:dyDescent="0.15"/>
    <row r="37157" s="69" customFormat="1" x14ac:dyDescent="0.15"/>
    <row r="37158" s="69" customFormat="1" x14ac:dyDescent="0.15"/>
    <row r="37159" s="69" customFormat="1" x14ac:dyDescent="0.15"/>
    <row r="37160" s="69" customFormat="1" x14ac:dyDescent="0.15"/>
    <row r="37161" s="69" customFormat="1" x14ac:dyDescent="0.15"/>
    <row r="37162" s="69" customFormat="1" x14ac:dyDescent="0.15"/>
    <row r="37163" s="69" customFormat="1" x14ac:dyDescent="0.15"/>
    <row r="37164" s="69" customFormat="1" x14ac:dyDescent="0.15"/>
    <row r="37165" s="69" customFormat="1" x14ac:dyDescent="0.15"/>
    <row r="37166" s="69" customFormat="1" x14ac:dyDescent="0.15"/>
    <row r="37167" s="69" customFormat="1" x14ac:dyDescent="0.15"/>
    <row r="37168" s="69" customFormat="1" x14ac:dyDescent="0.15"/>
    <row r="37169" s="69" customFormat="1" x14ac:dyDescent="0.15"/>
    <row r="37170" s="69" customFormat="1" x14ac:dyDescent="0.15"/>
    <row r="37171" s="69" customFormat="1" x14ac:dyDescent="0.15"/>
    <row r="37172" s="69" customFormat="1" x14ac:dyDescent="0.15"/>
    <row r="37173" s="69" customFormat="1" x14ac:dyDescent="0.15"/>
    <row r="37174" s="69" customFormat="1" x14ac:dyDescent="0.15"/>
    <row r="37175" s="69" customFormat="1" x14ac:dyDescent="0.15"/>
    <row r="37176" s="69" customFormat="1" x14ac:dyDescent="0.15"/>
    <row r="37177" s="69" customFormat="1" x14ac:dyDescent="0.15"/>
    <row r="37178" s="69" customFormat="1" x14ac:dyDescent="0.15"/>
    <row r="37179" s="69" customFormat="1" x14ac:dyDescent="0.15"/>
    <row r="37180" s="69" customFormat="1" x14ac:dyDescent="0.15"/>
    <row r="37181" s="69" customFormat="1" x14ac:dyDescent="0.15"/>
    <row r="37182" s="69" customFormat="1" x14ac:dyDescent="0.15"/>
    <row r="37183" s="69" customFormat="1" x14ac:dyDescent="0.15"/>
    <row r="37184" s="69" customFormat="1" x14ac:dyDescent="0.15"/>
    <row r="37185" s="69" customFormat="1" x14ac:dyDescent="0.15"/>
    <row r="37186" s="69" customFormat="1" x14ac:dyDescent="0.15"/>
    <row r="37187" s="69" customFormat="1" x14ac:dyDescent="0.15"/>
    <row r="37188" s="69" customFormat="1" x14ac:dyDescent="0.15"/>
    <row r="37189" s="69" customFormat="1" x14ac:dyDescent="0.15"/>
    <row r="37190" s="69" customFormat="1" x14ac:dyDescent="0.15"/>
    <row r="37191" s="69" customFormat="1" x14ac:dyDescent="0.15"/>
    <row r="37192" s="69" customFormat="1" x14ac:dyDescent="0.15"/>
    <row r="37193" s="69" customFormat="1" x14ac:dyDescent="0.15"/>
    <row r="37194" s="69" customFormat="1" x14ac:dyDescent="0.15"/>
    <row r="37195" s="69" customFormat="1" x14ac:dyDescent="0.15"/>
    <row r="37196" s="69" customFormat="1" x14ac:dyDescent="0.15"/>
    <row r="37197" s="69" customFormat="1" x14ac:dyDescent="0.15"/>
    <row r="37198" s="69" customFormat="1" x14ac:dyDescent="0.15"/>
    <row r="37199" s="69" customFormat="1" x14ac:dyDescent="0.15"/>
    <row r="37200" s="69" customFormat="1" x14ac:dyDescent="0.15"/>
    <row r="37201" s="69" customFormat="1" x14ac:dyDescent="0.15"/>
    <row r="37202" s="69" customFormat="1" x14ac:dyDescent="0.15"/>
    <row r="37203" s="69" customFormat="1" x14ac:dyDescent="0.15"/>
    <row r="37204" s="69" customFormat="1" x14ac:dyDescent="0.15"/>
    <row r="37205" s="69" customFormat="1" x14ac:dyDescent="0.15"/>
    <row r="37206" s="69" customFormat="1" x14ac:dyDescent="0.15"/>
    <row r="37207" s="69" customFormat="1" x14ac:dyDescent="0.15"/>
    <row r="37208" s="69" customFormat="1" x14ac:dyDescent="0.15"/>
    <row r="37209" s="69" customFormat="1" x14ac:dyDescent="0.15"/>
    <row r="37210" s="69" customFormat="1" x14ac:dyDescent="0.15"/>
    <row r="37211" s="69" customFormat="1" x14ac:dyDescent="0.15"/>
    <row r="37212" s="69" customFormat="1" x14ac:dyDescent="0.15"/>
    <row r="37213" s="69" customFormat="1" x14ac:dyDescent="0.15"/>
    <row r="37214" s="69" customFormat="1" x14ac:dyDescent="0.15"/>
    <row r="37215" s="69" customFormat="1" x14ac:dyDescent="0.15"/>
    <row r="37216" s="69" customFormat="1" x14ac:dyDescent="0.15"/>
    <row r="37217" s="69" customFormat="1" x14ac:dyDescent="0.15"/>
    <row r="37218" s="69" customFormat="1" x14ac:dyDescent="0.15"/>
    <row r="37219" s="69" customFormat="1" x14ac:dyDescent="0.15"/>
    <row r="37220" s="69" customFormat="1" x14ac:dyDescent="0.15"/>
    <row r="37221" s="69" customFormat="1" x14ac:dyDescent="0.15"/>
    <row r="37222" s="69" customFormat="1" x14ac:dyDescent="0.15"/>
    <row r="37223" s="69" customFormat="1" x14ac:dyDescent="0.15"/>
    <row r="37224" s="69" customFormat="1" x14ac:dyDescent="0.15"/>
    <row r="37225" s="69" customFormat="1" x14ac:dyDescent="0.15"/>
    <row r="37226" s="69" customFormat="1" x14ac:dyDescent="0.15"/>
    <row r="37227" s="69" customFormat="1" x14ac:dyDescent="0.15"/>
    <row r="37228" s="69" customFormat="1" x14ac:dyDescent="0.15"/>
    <row r="37229" s="69" customFormat="1" x14ac:dyDescent="0.15"/>
    <row r="37230" s="69" customFormat="1" x14ac:dyDescent="0.15"/>
    <row r="37231" s="69" customFormat="1" x14ac:dyDescent="0.15"/>
    <row r="37232" s="69" customFormat="1" x14ac:dyDescent="0.15"/>
    <row r="37233" s="69" customFormat="1" x14ac:dyDescent="0.15"/>
    <row r="37234" s="69" customFormat="1" x14ac:dyDescent="0.15"/>
    <row r="37235" s="69" customFormat="1" x14ac:dyDescent="0.15"/>
    <row r="37236" s="69" customFormat="1" x14ac:dyDescent="0.15"/>
    <row r="37237" s="69" customFormat="1" x14ac:dyDescent="0.15"/>
    <row r="37238" s="69" customFormat="1" x14ac:dyDescent="0.15"/>
    <row r="37239" s="69" customFormat="1" x14ac:dyDescent="0.15"/>
    <row r="37240" s="69" customFormat="1" x14ac:dyDescent="0.15"/>
    <row r="37241" s="69" customFormat="1" x14ac:dyDescent="0.15"/>
    <row r="37242" s="69" customFormat="1" x14ac:dyDescent="0.15"/>
    <row r="37243" s="69" customFormat="1" x14ac:dyDescent="0.15"/>
    <row r="37244" s="69" customFormat="1" x14ac:dyDescent="0.15"/>
    <row r="37245" s="69" customFormat="1" x14ac:dyDescent="0.15"/>
    <row r="37246" s="69" customFormat="1" x14ac:dyDescent="0.15"/>
    <row r="37247" s="69" customFormat="1" x14ac:dyDescent="0.15"/>
    <row r="37248" s="69" customFormat="1" x14ac:dyDescent="0.15"/>
    <row r="37249" s="69" customFormat="1" x14ac:dyDescent="0.15"/>
    <row r="37250" s="69" customFormat="1" x14ac:dyDescent="0.15"/>
    <row r="37251" s="69" customFormat="1" x14ac:dyDescent="0.15"/>
    <row r="37252" s="69" customFormat="1" x14ac:dyDescent="0.15"/>
    <row r="37253" s="69" customFormat="1" x14ac:dyDescent="0.15"/>
    <row r="37254" s="69" customFormat="1" x14ac:dyDescent="0.15"/>
    <row r="37255" s="69" customFormat="1" x14ac:dyDescent="0.15"/>
    <row r="37256" s="69" customFormat="1" x14ac:dyDescent="0.15"/>
    <row r="37257" s="69" customFormat="1" x14ac:dyDescent="0.15"/>
    <row r="37258" s="69" customFormat="1" x14ac:dyDescent="0.15"/>
    <row r="37259" s="69" customFormat="1" x14ac:dyDescent="0.15"/>
    <row r="37260" s="69" customFormat="1" x14ac:dyDescent="0.15"/>
    <row r="37261" s="69" customFormat="1" x14ac:dyDescent="0.15"/>
    <row r="37262" s="69" customFormat="1" x14ac:dyDescent="0.15"/>
    <row r="37263" s="69" customFormat="1" x14ac:dyDescent="0.15"/>
    <row r="37264" s="69" customFormat="1" x14ac:dyDescent="0.15"/>
    <row r="37265" s="69" customFormat="1" x14ac:dyDescent="0.15"/>
    <row r="37266" s="69" customFormat="1" x14ac:dyDescent="0.15"/>
    <row r="37267" s="69" customFormat="1" x14ac:dyDescent="0.15"/>
    <row r="37268" s="69" customFormat="1" x14ac:dyDescent="0.15"/>
    <row r="37269" s="69" customFormat="1" x14ac:dyDescent="0.15"/>
    <row r="37270" s="69" customFormat="1" x14ac:dyDescent="0.15"/>
    <row r="37271" s="69" customFormat="1" x14ac:dyDescent="0.15"/>
    <row r="37272" s="69" customFormat="1" x14ac:dyDescent="0.15"/>
    <row r="37273" s="69" customFormat="1" x14ac:dyDescent="0.15"/>
    <row r="37274" s="69" customFormat="1" x14ac:dyDescent="0.15"/>
    <row r="37275" s="69" customFormat="1" x14ac:dyDescent="0.15"/>
    <row r="37276" s="69" customFormat="1" x14ac:dyDescent="0.15"/>
    <row r="37277" s="69" customFormat="1" x14ac:dyDescent="0.15"/>
    <row r="37278" s="69" customFormat="1" x14ac:dyDescent="0.15"/>
    <row r="37279" s="69" customFormat="1" x14ac:dyDescent="0.15"/>
    <row r="37280" s="69" customFormat="1" x14ac:dyDescent="0.15"/>
    <row r="37281" s="69" customFormat="1" x14ac:dyDescent="0.15"/>
    <row r="37282" s="69" customFormat="1" x14ac:dyDescent="0.15"/>
    <row r="37283" s="69" customFormat="1" x14ac:dyDescent="0.15"/>
    <row r="37284" s="69" customFormat="1" x14ac:dyDescent="0.15"/>
    <row r="37285" s="69" customFormat="1" x14ac:dyDescent="0.15"/>
    <row r="37286" s="69" customFormat="1" x14ac:dyDescent="0.15"/>
    <row r="37287" s="69" customFormat="1" x14ac:dyDescent="0.15"/>
    <row r="37288" s="69" customFormat="1" x14ac:dyDescent="0.15"/>
    <row r="37289" s="69" customFormat="1" x14ac:dyDescent="0.15"/>
    <row r="37290" s="69" customFormat="1" x14ac:dyDescent="0.15"/>
    <row r="37291" s="69" customFormat="1" x14ac:dyDescent="0.15"/>
    <row r="37292" s="69" customFormat="1" x14ac:dyDescent="0.15"/>
    <row r="37293" s="69" customFormat="1" x14ac:dyDescent="0.15"/>
    <row r="37294" s="69" customFormat="1" x14ac:dyDescent="0.15"/>
    <row r="37295" s="69" customFormat="1" x14ac:dyDescent="0.15"/>
    <row r="37296" s="69" customFormat="1" x14ac:dyDescent="0.15"/>
    <row r="37297" s="69" customFormat="1" x14ac:dyDescent="0.15"/>
    <row r="37298" s="69" customFormat="1" x14ac:dyDescent="0.15"/>
    <row r="37299" s="69" customFormat="1" x14ac:dyDescent="0.15"/>
    <row r="37300" s="69" customFormat="1" x14ac:dyDescent="0.15"/>
    <row r="37301" s="69" customFormat="1" x14ac:dyDescent="0.15"/>
    <row r="37302" s="69" customFormat="1" x14ac:dyDescent="0.15"/>
    <row r="37303" s="69" customFormat="1" x14ac:dyDescent="0.15"/>
    <row r="37304" s="69" customFormat="1" x14ac:dyDescent="0.15"/>
    <row r="37305" s="69" customFormat="1" x14ac:dyDescent="0.15"/>
    <row r="37306" s="69" customFormat="1" x14ac:dyDescent="0.15"/>
    <row r="37307" s="69" customFormat="1" x14ac:dyDescent="0.15"/>
    <row r="37308" s="69" customFormat="1" x14ac:dyDescent="0.15"/>
    <row r="37309" s="69" customFormat="1" x14ac:dyDescent="0.15"/>
    <row r="37310" s="69" customFormat="1" x14ac:dyDescent="0.15"/>
    <row r="37311" s="69" customFormat="1" x14ac:dyDescent="0.15"/>
    <row r="37312" s="69" customFormat="1" x14ac:dyDescent="0.15"/>
    <row r="37313" s="69" customFormat="1" x14ac:dyDescent="0.15"/>
    <row r="37314" s="69" customFormat="1" x14ac:dyDescent="0.15"/>
    <row r="37315" s="69" customFormat="1" x14ac:dyDescent="0.15"/>
    <row r="37316" s="69" customFormat="1" x14ac:dyDescent="0.15"/>
    <row r="37317" s="69" customFormat="1" x14ac:dyDescent="0.15"/>
    <row r="37318" s="69" customFormat="1" x14ac:dyDescent="0.15"/>
    <row r="37319" s="69" customFormat="1" x14ac:dyDescent="0.15"/>
    <row r="37320" s="69" customFormat="1" x14ac:dyDescent="0.15"/>
    <row r="37321" s="69" customFormat="1" x14ac:dyDescent="0.15"/>
    <row r="37322" s="69" customFormat="1" x14ac:dyDescent="0.15"/>
    <row r="37323" s="69" customFormat="1" x14ac:dyDescent="0.15"/>
    <row r="37324" s="69" customFormat="1" x14ac:dyDescent="0.15"/>
    <row r="37325" s="69" customFormat="1" x14ac:dyDescent="0.15"/>
    <row r="37326" s="69" customFormat="1" x14ac:dyDescent="0.15"/>
    <row r="37327" s="69" customFormat="1" x14ac:dyDescent="0.15"/>
    <row r="37328" s="69" customFormat="1" x14ac:dyDescent="0.15"/>
    <row r="37329" s="69" customFormat="1" x14ac:dyDescent="0.15"/>
    <row r="37330" s="69" customFormat="1" x14ac:dyDescent="0.15"/>
    <row r="37331" s="69" customFormat="1" x14ac:dyDescent="0.15"/>
    <row r="37332" s="69" customFormat="1" x14ac:dyDescent="0.15"/>
    <row r="37333" s="69" customFormat="1" x14ac:dyDescent="0.15"/>
    <row r="37334" s="69" customFormat="1" x14ac:dyDescent="0.15"/>
    <row r="37335" s="69" customFormat="1" x14ac:dyDescent="0.15"/>
    <row r="37336" s="69" customFormat="1" x14ac:dyDescent="0.15"/>
    <row r="37337" s="69" customFormat="1" x14ac:dyDescent="0.15"/>
    <row r="37338" s="69" customFormat="1" x14ac:dyDescent="0.15"/>
    <row r="37339" s="69" customFormat="1" x14ac:dyDescent="0.15"/>
    <row r="37340" s="69" customFormat="1" x14ac:dyDescent="0.15"/>
    <row r="37341" s="69" customFormat="1" x14ac:dyDescent="0.15"/>
    <row r="37342" s="69" customFormat="1" x14ac:dyDescent="0.15"/>
    <row r="37343" s="69" customFormat="1" x14ac:dyDescent="0.15"/>
    <row r="37344" s="69" customFormat="1" x14ac:dyDescent="0.15"/>
    <row r="37345" s="69" customFormat="1" x14ac:dyDescent="0.15"/>
    <row r="37346" s="69" customFormat="1" x14ac:dyDescent="0.15"/>
    <row r="37347" s="69" customFormat="1" x14ac:dyDescent="0.15"/>
    <row r="37348" s="69" customFormat="1" x14ac:dyDescent="0.15"/>
    <row r="37349" s="69" customFormat="1" x14ac:dyDescent="0.15"/>
    <row r="37350" s="69" customFormat="1" x14ac:dyDescent="0.15"/>
    <row r="37351" s="69" customFormat="1" x14ac:dyDescent="0.15"/>
    <row r="37352" s="69" customFormat="1" x14ac:dyDescent="0.15"/>
    <row r="37353" s="69" customFormat="1" x14ac:dyDescent="0.15"/>
    <row r="37354" s="69" customFormat="1" x14ac:dyDescent="0.15"/>
    <row r="37355" s="69" customFormat="1" x14ac:dyDescent="0.15"/>
    <row r="37356" s="69" customFormat="1" x14ac:dyDescent="0.15"/>
    <row r="37357" s="69" customFormat="1" x14ac:dyDescent="0.15"/>
    <row r="37358" s="69" customFormat="1" x14ac:dyDescent="0.15"/>
    <row r="37359" s="69" customFormat="1" x14ac:dyDescent="0.15"/>
    <row r="37360" s="69" customFormat="1" x14ac:dyDescent="0.15"/>
    <row r="37361" s="69" customFormat="1" x14ac:dyDescent="0.15"/>
    <row r="37362" s="69" customFormat="1" x14ac:dyDescent="0.15"/>
    <row r="37363" s="69" customFormat="1" x14ac:dyDescent="0.15"/>
    <row r="37364" s="69" customFormat="1" x14ac:dyDescent="0.15"/>
    <row r="37365" s="69" customFormat="1" x14ac:dyDescent="0.15"/>
    <row r="37366" s="69" customFormat="1" x14ac:dyDescent="0.15"/>
    <row r="37367" s="69" customFormat="1" x14ac:dyDescent="0.15"/>
    <row r="37368" s="69" customFormat="1" x14ac:dyDescent="0.15"/>
    <row r="37369" s="69" customFormat="1" x14ac:dyDescent="0.15"/>
    <row r="37370" s="69" customFormat="1" x14ac:dyDescent="0.15"/>
    <row r="37371" s="69" customFormat="1" x14ac:dyDescent="0.15"/>
    <row r="37372" s="69" customFormat="1" x14ac:dyDescent="0.15"/>
    <row r="37373" s="69" customFormat="1" x14ac:dyDescent="0.15"/>
    <row r="37374" s="69" customFormat="1" x14ac:dyDescent="0.15"/>
    <row r="37375" s="69" customFormat="1" x14ac:dyDescent="0.15"/>
    <row r="37376" s="69" customFormat="1" x14ac:dyDescent="0.15"/>
    <row r="37377" s="69" customFormat="1" x14ac:dyDescent="0.15"/>
    <row r="37378" s="69" customFormat="1" x14ac:dyDescent="0.15"/>
    <row r="37379" s="69" customFormat="1" x14ac:dyDescent="0.15"/>
    <row r="37380" s="69" customFormat="1" x14ac:dyDescent="0.15"/>
    <row r="37381" s="69" customFormat="1" x14ac:dyDescent="0.15"/>
    <row r="37382" s="69" customFormat="1" x14ac:dyDescent="0.15"/>
    <row r="37383" s="69" customFormat="1" x14ac:dyDescent="0.15"/>
    <row r="37384" s="69" customFormat="1" x14ac:dyDescent="0.15"/>
    <row r="37385" s="69" customFormat="1" x14ac:dyDescent="0.15"/>
    <row r="37386" s="69" customFormat="1" x14ac:dyDescent="0.15"/>
    <row r="37387" s="69" customFormat="1" x14ac:dyDescent="0.15"/>
    <row r="37388" s="69" customFormat="1" x14ac:dyDescent="0.15"/>
    <row r="37389" s="69" customFormat="1" x14ac:dyDescent="0.15"/>
    <row r="37390" s="69" customFormat="1" x14ac:dyDescent="0.15"/>
    <row r="37391" s="69" customFormat="1" x14ac:dyDescent="0.15"/>
    <row r="37392" s="69" customFormat="1" x14ac:dyDescent="0.15"/>
    <row r="37393" s="69" customFormat="1" x14ac:dyDescent="0.15"/>
    <row r="37394" s="69" customFormat="1" x14ac:dyDescent="0.15"/>
    <row r="37395" s="69" customFormat="1" x14ac:dyDescent="0.15"/>
    <row r="37396" s="69" customFormat="1" x14ac:dyDescent="0.15"/>
    <row r="37397" s="69" customFormat="1" x14ac:dyDescent="0.15"/>
    <row r="37398" s="69" customFormat="1" x14ac:dyDescent="0.15"/>
    <row r="37399" s="69" customFormat="1" x14ac:dyDescent="0.15"/>
    <row r="37400" s="69" customFormat="1" x14ac:dyDescent="0.15"/>
    <row r="37401" s="69" customFormat="1" x14ac:dyDescent="0.15"/>
    <row r="37402" s="69" customFormat="1" x14ac:dyDescent="0.15"/>
    <row r="37403" s="69" customFormat="1" x14ac:dyDescent="0.15"/>
    <row r="37404" s="69" customFormat="1" x14ac:dyDescent="0.15"/>
    <row r="37405" s="69" customFormat="1" x14ac:dyDescent="0.15"/>
    <row r="37406" s="69" customFormat="1" x14ac:dyDescent="0.15"/>
    <row r="37407" s="69" customFormat="1" x14ac:dyDescent="0.15"/>
    <row r="37408" s="69" customFormat="1" x14ac:dyDescent="0.15"/>
    <row r="37409" s="69" customFormat="1" x14ac:dyDescent="0.15"/>
    <row r="37410" s="69" customFormat="1" x14ac:dyDescent="0.15"/>
    <row r="37411" s="69" customFormat="1" x14ac:dyDescent="0.15"/>
    <row r="37412" s="69" customFormat="1" x14ac:dyDescent="0.15"/>
    <row r="37413" s="69" customFormat="1" x14ac:dyDescent="0.15"/>
    <row r="37414" s="69" customFormat="1" x14ac:dyDescent="0.15"/>
    <row r="37415" s="69" customFormat="1" x14ac:dyDescent="0.15"/>
    <row r="37416" s="69" customFormat="1" x14ac:dyDescent="0.15"/>
    <row r="37417" s="69" customFormat="1" x14ac:dyDescent="0.15"/>
    <row r="37418" s="69" customFormat="1" x14ac:dyDescent="0.15"/>
    <row r="37419" s="69" customFormat="1" x14ac:dyDescent="0.15"/>
    <row r="37420" s="69" customFormat="1" x14ac:dyDescent="0.15"/>
    <row r="37421" s="69" customFormat="1" x14ac:dyDescent="0.15"/>
    <row r="37422" s="69" customFormat="1" x14ac:dyDescent="0.15"/>
    <row r="37423" s="69" customFormat="1" x14ac:dyDescent="0.15"/>
    <row r="37424" s="69" customFormat="1" x14ac:dyDescent="0.15"/>
    <row r="37425" s="69" customFormat="1" x14ac:dyDescent="0.15"/>
    <row r="37426" s="69" customFormat="1" x14ac:dyDescent="0.15"/>
    <row r="37427" s="69" customFormat="1" x14ac:dyDescent="0.15"/>
    <row r="37428" s="69" customFormat="1" x14ac:dyDescent="0.15"/>
    <row r="37429" s="69" customFormat="1" x14ac:dyDescent="0.15"/>
    <row r="37430" s="69" customFormat="1" x14ac:dyDescent="0.15"/>
    <row r="37431" s="69" customFormat="1" x14ac:dyDescent="0.15"/>
    <row r="37432" s="69" customFormat="1" x14ac:dyDescent="0.15"/>
    <row r="37433" s="69" customFormat="1" x14ac:dyDescent="0.15"/>
    <row r="37434" s="69" customFormat="1" x14ac:dyDescent="0.15"/>
    <row r="37435" s="69" customFormat="1" x14ac:dyDescent="0.15"/>
    <row r="37436" s="69" customFormat="1" x14ac:dyDescent="0.15"/>
    <row r="37437" s="69" customFormat="1" x14ac:dyDescent="0.15"/>
    <row r="37438" s="69" customFormat="1" x14ac:dyDescent="0.15"/>
    <row r="37439" s="69" customFormat="1" x14ac:dyDescent="0.15"/>
    <row r="37440" s="69" customFormat="1" x14ac:dyDescent="0.15"/>
    <row r="37441" s="69" customFormat="1" x14ac:dyDescent="0.15"/>
    <row r="37442" s="69" customFormat="1" x14ac:dyDescent="0.15"/>
    <row r="37443" s="69" customFormat="1" x14ac:dyDescent="0.15"/>
    <row r="37444" s="69" customFormat="1" x14ac:dyDescent="0.15"/>
    <row r="37445" s="69" customFormat="1" x14ac:dyDescent="0.15"/>
    <row r="37446" s="69" customFormat="1" x14ac:dyDescent="0.15"/>
    <row r="37447" s="69" customFormat="1" x14ac:dyDescent="0.15"/>
    <row r="37448" s="69" customFormat="1" x14ac:dyDescent="0.15"/>
    <row r="37449" s="69" customFormat="1" x14ac:dyDescent="0.15"/>
    <row r="37450" s="69" customFormat="1" x14ac:dyDescent="0.15"/>
    <row r="37451" s="69" customFormat="1" x14ac:dyDescent="0.15"/>
    <row r="37452" s="69" customFormat="1" x14ac:dyDescent="0.15"/>
    <row r="37453" s="69" customFormat="1" x14ac:dyDescent="0.15"/>
    <row r="37454" s="69" customFormat="1" x14ac:dyDescent="0.15"/>
    <row r="37455" s="69" customFormat="1" x14ac:dyDescent="0.15"/>
    <row r="37456" s="69" customFormat="1" x14ac:dyDescent="0.15"/>
    <row r="37457" s="69" customFormat="1" x14ac:dyDescent="0.15"/>
    <row r="37458" s="69" customFormat="1" x14ac:dyDescent="0.15"/>
    <row r="37459" s="69" customFormat="1" x14ac:dyDescent="0.15"/>
    <row r="37460" s="69" customFormat="1" x14ac:dyDescent="0.15"/>
    <row r="37461" s="69" customFormat="1" x14ac:dyDescent="0.15"/>
    <row r="37462" s="69" customFormat="1" x14ac:dyDescent="0.15"/>
    <row r="37463" s="69" customFormat="1" x14ac:dyDescent="0.15"/>
    <row r="37464" s="69" customFormat="1" x14ac:dyDescent="0.15"/>
    <row r="37465" s="69" customFormat="1" x14ac:dyDescent="0.15"/>
    <row r="37466" s="69" customFormat="1" x14ac:dyDescent="0.15"/>
    <row r="37467" s="69" customFormat="1" x14ac:dyDescent="0.15"/>
    <row r="37468" s="69" customFormat="1" x14ac:dyDescent="0.15"/>
    <row r="37469" s="69" customFormat="1" x14ac:dyDescent="0.15"/>
    <row r="37470" s="69" customFormat="1" x14ac:dyDescent="0.15"/>
    <row r="37471" s="69" customFormat="1" x14ac:dyDescent="0.15"/>
    <row r="37472" s="69" customFormat="1" x14ac:dyDescent="0.15"/>
    <row r="37473" s="69" customFormat="1" x14ac:dyDescent="0.15"/>
    <row r="37474" s="69" customFormat="1" x14ac:dyDescent="0.15"/>
    <row r="37475" s="69" customFormat="1" x14ac:dyDescent="0.15"/>
    <row r="37476" s="69" customFormat="1" x14ac:dyDescent="0.15"/>
    <row r="37477" s="69" customFormat="1" x14ac:dyDescent="0.15"/>
    <row r="37478" s="69" customFormat="1" x14ac:dyDescent="0.15"/>
    <row r="37479" s="69" customFormat="1" x14ac:dyDescent="0.15"/>
    <row r="37480" s="69" customFormat="1" x14ac:dyDescent="0.15"/>
    <row r="37481" s="69" customFormat="1" x14ac:dyDescent="0.15"/>
    <row r="37482" s="69" customFormat="1" x14ac:dyDescent="0.15"/>
    <row r="37483" s="69" customFormat="1" x14ac:dyDescent="0.15"/>
    <row r="37484" s="69" customFormat="1" x14ac:dyDescent="0.15"/>
    <row r="37485" s="69" customFormat="1" x14ac:dyDescent="0.15"/>
    <row r="37486" s="69" customFormat="1" x14ac:dyDescent="0.15"/>
    <row r="37487" s="69" customFormat="1" x14ac:dyDescent="0.15"/>
    <row r="37488" s="69" customFormat="1" x14ac:dyDescent="0.15"/>
    <row r="37489" s="69" customFormat="1" x14ac:dyDescent="0.15"/>
    <row r="37490" s="69" customFormat="1" x14ac:dyDescent="0.15"/>
    <row r="37491" s="69" customFormat="1" x14ac:dyDescent="0.15"/>
    <row r="37492" s="69" customFormat="1" x14ac:dyDescent="0.15"/>
    <row r="37493" s="69" customFormat="1" x14ac:dyDescent="0.15"/>
    <row r="37494" s="69" customFormat="1" x14ac:dyDescent="0.15"/>
    <row r="37495" s="69" customFormat="1" x14ac:dyDescent="0.15"/>
    <row r="37496" s="69" customFormat="1" x14ac:dyDescent="0.15"/>
    <row r="37497" s="69" customFormat="1" x14ac:dyDescent="0.15"/>
    <row r="37498" s="69" customFormat="1" x14ac:dyDescent="0.15"/>
    <row r="37499" s="69" customFormat="1" x14ac:dyDescent="0.15"/>
    <row r="37500" s="69" customFormat="1" x14ac:dyDescent="0.15"/>
    <row r="37501" s="69" customFormat="1" x14ac:dyDescent="0.15"/>
    <row r="37502" s="69" customFormat="1" x14ac:dyDescent="0.15"/>
    <row r="37503" s="69" customFormat="1" x14ac:dyDescent="0.15"/>
    <row r="37504" s="69" customFormat="1" x14ac:dyDescent="0.15"/>
    <row r="37505" s="69" customFormat="1" x14ac:dyDescent="0.15"/>
    <row r="37506" s="69" customFormat="1" x14ac:dyDescent="0.15"/>
    <row r="37507" s="69" customFormat="1" x14ac:dyDescent="0.15"/>
    <row r="37508" s="69" customFormat="1" x14ac:dyDescent="0.15"/>
    <row r="37509" s="69" customFormat="1" x14ac:dyDescent="0.15"/>
    <row r="37510" s="69" customFormat="1" x14ac:dyDescent="0.15"/>
    <row r="37511" s="69" customFormat="1" x14ac:dyDescent="0.15"/>
    <row r="37512" s="69" customFormat="1" x14ac:dyDescent="0.15"/>
    <row r="37513" s="69" customFormat="1" x14ac:dyDescent="0.15"/>
    <row r="37514" s="69" customFormat="1" x14ac:dyDescent="0.15"/>
    <row r="37515" s="69" customFormat="1" x14ac:dyDescent="0.15"/>
    <row r="37516" s="69" customFormat="1" x14ac:dyDescent="0.15"/>
    <row r="37517" s="69" customFormat="1" x14ac:dyDescent="0.15"/>
    <row r="37518" s="69" customFormat="1" x14ac:dyDescent="0.15"/>
    <row r="37519" s="69" customFormat="1" x14ac:dyDescent="0.15"/>
    <row r="37520" s="69" customFormat="1" x14ac:dyDescent="0.15"/>
    <row r="37521" s="69" customFormat="1" x14ac:dyDescent="0.15"/>
    <row r="37522" s="69" customFormat="1" x14ac:dyDescent="0.15"/>
    <row r="37523" s="69" customFormat="1" x14ac:dyDescent="0.15"/>
    <row r="37524" s="69" customFormat="1" x14ac:dyDescent="0.15"/>
    <row r="37525" s="69" customFormat="1" x14ac:dyDescent="0.15"/>
    <row r="37526" s="69" customFormat="1" x14ac:dyDescent="0.15"/>
    <row r="37527" s="69" customFormat="1" x14ac:dyDescent="0.15"/>
    <row r="37528" s="69" customFormat="1" x14ac:dyDescent="0.15"/>
    <row r="37529" s="69" customFormat="1" x14ac:dyDescent="0.15"/>
    <row r="37530" s="69" customFormat="1" x14ac:dyDescent="0.15"/>
    <row r="37531" s="69" customFormat="1" x14ac:dyDescent="0.15"/>
    <row r="37532" s="69" customFormat="1" x14ac:dyDescent="0.15"/>
    <row r="37533" s="69" customFormat="1" x14ac:dyDescent="0.15"/>
    <row r="37534" s="69" customFormat="1" x14ac:dyDescent="0.15"/>
    <row r="37535" s="69" customFormat="1" x14ac:dyDescent="0.15"/>
    <row r="37536" s="69" customFormat="1" x14ac:dyDescent="0.15"/>
    <row r="37537" s="69" customFormat="1" x14ac:dyDescent="0.15"/>
    <row r="37538" s="69" customFormat="1" x14ac:dyDescent="0.15"/>
    <row r="37539" s="69" customFormat="1" x14ac:dyDescent="0.15"/>
    <row r="37540" s="69" customFormat="1" x14ac:dyDescent="0.15"/>
    <row r="37541" s="69" customFormat="1" x14ac:dyDescent="0.15"/>
    <row r="37542" s="69" customFormat="1" x14ac:dyDescent="0.15"/>
    <row r="37543" s="69" customFormat="1" x14ac:dyDescent="0.15"/>
    <row r="37544" s="69" customFormat="1" x14ac:dyDescent="0.15"/>
    <row r="37545" s="69" customFormat="1" x14ac:dyDescent="0.15"/>
    <row r="37546" s="69" customFormat="1" x14ac:dyDescent="0.15"/>
    <row r="37547" s="69" customFormat="1" x14ac:dyDescent="0.15"/>
    <row r="37548" s="69" customFormat="1" x14ac:dyDescent="0.15"/>
    <row r="37549" s="69" customFormat="1" x14ac:dyDescent="0.15"/>
    <row r="37550" s="69" customFormat="1" x14ac:dyDescent="0.15"/>
    <row r="37551" s="69" customFormat="1" x14ac:dyDescent="0.15"/>
    <row r="37552" s="69" customFormat="1" x14ac:dyDescent="0.15"/>
    <row r="37553" s="69" customFormat="1" x14ac:dyDescent="0.15"/>
    <row r="37554" s="69" customFormat="1" x14ac:dyDescent="0.15"/>
    <row r="37555" s="69" customFormat="1" x14ac:dyDescent="0.15"/>
    <row r="37556" s="69" customFormat="1" x14ac:dyDescent="0.15"/>
    <row r="37557" s="69" customFormat="1" x14ac:dyDescent="0.15"/>
    <row r="37558" s="69" customFormat="1" x14ac:dyDescent="0.15"/>
    <row r="37559" s="69" customFormat="1" x14ac:dyDescent="0.15"/>
    <row r="37560" s="69" customFormat="1" x14ac:dyDescent="0.15"/>
    <row r="37561" s="69" customFormat="1" x14ac:dyDescent="0.15"/>
    <row r="37562" s="69" customFormat="1" x14ac:dyDescent="0.15"/>
    <row r="37563" s="69" customFormat="1" x14ac:dyDescent="0.15"/>
    <row r="37564" s="69" customFormat="1" x14ac:dyDescent="0.15"/>
    <row r="37565" s="69" customFormat="1" x14ac:dyDescent="0.15"/>
    <row r="37566" s="69" customFormat="1" x14ac:dyDescent="0.15"/>
    <row r="37567" s="69" customFormat="1" x14ac:dyDescent="0.15"/>
    <row r="37568" s="69" customFormat="1" x14ac:dyDescent="0.15"/>
    <row r="37569" s="69" customFormat="1" x14ac:dyDescent="0.15"/>
    <row r="37570" s="69" customFormat="1" x14ac:dyDescent="0.15"/>
    <row r="37571" s="69" customFormat="1" x14ac:dyDescent="0.15"/>
    <row r="37572" s="69" customFormat="1" x14ac:dyDescent="0.15"/>
    <row r="37573" s="69" customFormat="1" x14ac:dyDescent="0.15"/>
    <row r="37574" s="69" customFormat="1" x14ac:dyDescent="0.15"/>
    <row r="37575" s="69" customFormat="1" x14ac:dyDescent="0.15"/>
    <row r="37576" s="69" customFormat="1" x14ac:dyDescent="0.15"/>
    <row r="37577" s="69" customFormat="1" x14ac:dyDescent="0.15"/>
    <row r="37578" s="69" customFormat="1" x14ac:dyDescent="0.15"/>
    <row r="37579" s="69" customFormat="1" x14ac:dyDescent="0.15"/>
    <row r="37580" s="69" customFormat="1" x14ac:dyDescent="0.15"/>
    <row r="37581" s="69" customFormat="1" x14ac:dyDescent="0.15"/>
    <row r="37582" s="69" customFormat="1" x14ac:dyDescent="0.15"/>
    <row r="37583" s="69" customFormat="1" x14ac:dyDescent="0.15"/>
    <row r="37584" s="69" customFormat="1" x14ac:dyDescent="0.15"/>
    <row r="37585" s="69" customFormat="1" x14ac:dyDescent="0.15"/>
    <row r="37586" s="69" customFormat="1" x14ac:dyDescent="0.15"/>
    <row r="37587" s="69" customFormat="1" x14ac:dyDescent="0.15"/>
    <row r="37588" s="69" customFormat="1" x14ac:dyDescent="0.15"/>
    <row r="37589" s="69" customFormat="1" x14ac:dyDescent="0.15"/>
    <row r="37590" s="69" customFormat="1" x14ac:dyDescent="0.15"/>
    <row r="37591" s="69" customFormat="1" x14ac:dyDescent="0.15"/>
    <row r="37592" s="69" customFormat="1" x14ac:dyDescent="0.15"/>
    <row r="37593" s="69" customFormat="1" x14ac:dyDescent="0.15"/>
    <row r="37594" s="69" customFormat="1" x14ac:dyDescent="0.15"/>
    <row r="37595" s="69" customFormat="1" x14ac:dyDescent="0.15"/>
    <row r="37596" s="69" customFormat="1" x14ac:dyDescent="0.15"/>
    <row r="37597" s="69" customFormat="1" x14ac:dyDescent="0.15"/>
    <row r="37598" s="69" customFormat="1" x14ac:dyDescent="0.15"/>
    <row r="37599" s="69" customFormat="1" x14ac:dyDescent="0.15"/>
    <row r="37600" s="69" customFormat="1" x14ac:dyDescent="0.15"/>
    <row r="37601" s="69" customFormat="1" x14ac:dyDescent="0.15"/>
    <row r="37602" s="69" customFormat="1" x14ac:dyDescent="0.15"/>
    <row r="37603" s="69" customFormat="1" x14ac:dyDescent="0.15"/>
    <row r="37604" s="69" customFormat="1" x14ac:dyDescent="0.15"/>
    <row r="37605" s="69" customFormat="1" x14ac:dyDescent="0.15"/>
    <row r="37606" s="69" customFormat="1" x14ac:dyDescent="0.15"/>
    <row r="37607" s="69" customFormat="1" x14ac:dyDescent="0.15"/>
    <row r="37608" s="69" customFormat="1" x14ac:dyDescent="0.15"/>
    <row r="37609" s="69" customFormat="1" x14ac:dyDescent="0.15"/>
    <row r="37610" s="69" customFormat="1" x14ac:dyDescent="0.15"/>
    <row r="37611" s="69" customFormat="1" x14ac:dyDescent="0.15"/>
    <row r="37612" s="69" customFormat="1" x14ac:dyDescent="0.15"/>
    <row r="37613" s="69" customFormat="1" x14ac:dyDescent="0.15"/>
    <row r="37614" s="69" customFormat="1" x14ac:dyDescent="0.15"/>
    <row r="37615" s="69" customFormat="1" x14ac:dyDescent="0.15"/>
    <row r="37616" s="69" customFormat="1" x14ac:dyDescent="0.15"/>
    <row r="37617" s="69" customFormat="1" x14ac:dyDescent="0.15"/>
    <row r="37618" s="69" customFormat="1" x14ac:dyDescent="0.15"/>
    <row r="37619" s="69" customFormat="1" x14ac:dyDescent="0.15"/>
    <row r="37620" s="69" customFormat="1" x14ac:dyDescent="0.15"/>
    <row r="37621" s="69" customFormat="1" x14ac:dyDescent="0.15"/>
    <row r="37622" s="69" customFormat="1" x14ac:dyDescent="0.15"/>
    <row r="37623" s="69" customFormat="1" x14ac:dyDescent="0.15"/>
    <row r="37624" s="69" customFormat="1" x14ac:dyDescent="0.15"/>
    <row r="37625" s="69" customFormat="1" x14ac:dyDescent="0.15"/>
    <row r="37626" s="69" customFormat="1" x14ac:dyDescent="0.15"/>
    <row r="37627" s="69" customFormat="1" x14ac:dyDescent="0.15"/>
    <row r="37628" s="69" customFormat="1" x14ac:dyDescent="0.15"/>
    <row r="37629" s="69" customFormat="1" x14ac:dyDescent="0.15"/>
    <row r="37630" s="69" customFormat="1" x14ac:dyDescent="0.15"/>
    <row r="37631" s="69" customFormat="1" x14ac:dyDescent="0.15"/>
    <row r="37632" s="69" customFormat="1" x14ac:dyDescent="0.15"/>
    <row r="37633" s="69" customFormat="1" x14ac:dyDescent="0.15"/>
    <row r="37634" s="69" customFormat="1" x14ac:dyDescent="0.15"/>
    <row r="37635" s="69" customFormat="1" x14ac:dyDescent="0.15"/>
    <row r="37636" s="69" customFormat="1" x14ac:dyDescent="0.15"/>
    <row r="37637" s="69" customFormat="1" x14ac:dyDescent="0.15"/>
    <row r="37638" s="69" customFormat="1" x14ac:dyDescent="0.15"/>
    <row r="37639" s="69" customFormat="1" x14ac:dyDescent="0.15"/>
    <row r="37640" s="69" customFormat="1" x14ac:dyDescent="0.15"/>
    <row r="37641" s="69" customFormat="1" x14ac:dyDescent="0.15"/>
    <row r="37642" s="69" customFormat="1" x14ac:dyDescent="0.15"/>
    <row r="37643" s="69" customFormat="1" x14ac:dyDescent="0.15"/>
    <row r="37644" s="69" customFormat="1" x14ac:dyDescent="0.15"/>
    <row r="37645" s="69" customFormat="1" x14ac:dyDescent="0.15"/>
    <row r="37646" s="69" customFormat="1" x14ac:dyDescent="0.15"/>
    <row r="37647" s="69" customFormat="1" x14ac:dyDescent="0.15"/>
    <row r="37648" s="69" customFormat="1" x14ac:dyDescent="0.15"/>
    <row r="37649" s="69" customFormat="1" x14ac:dyDescent="0.15"/>
    <row r="37650" s="69" customFormat="1" x14ac:dyDescent="0.15"/>
    <row r="37651" s="69" customFormat="1" x14ac:dyDescent="0.15"/>
    <row r="37652" s="69" customFormat="1" x14ac:dyDescent="0.15"/>
    <row r="37653" s="69" customFormat="1" x14ac:dyDescent="0.15"/>
    <row r="37654" s="69" customFormat="1" x14ac:dyDescent="0.15"/>
    <row r="37655" s="69" customFormat="1" x14ac:dyDescent="0.15"/>
    <row r="37656" s="69" customFormat="1" x14ac:dyDescent="0.15"/>
    <row r="37657" s="69" customFormat="1" x14ac:dyDescent="0.15"/>
    <row r="37658" s="69" customFormat="1" x14ac:dyDescent="0.15"/>
    <row r="37659" s="69" customFormat="1" x14ac:dyDescent="0.15"/>
    <row r="37660" s="69" customFormat="1" x14ac:dyDescent="0.15"/>
    <row r="37661" s="69" customFormat="1" x14ac:dyDescent="0.15"/>
    <row r="37662" s="69" customFormat="1" x14ac:dyDescent="0.15"/>
    <row r="37663" s="69" customFormat="1" x14ac:dyDescent="0.15"/>
    <row r="37664" s="69" customFormat="1" x14ac:dyDescent="0.15"/>
    <row r="37665" s="69" customFormat="1" x14ac:dyDescent="0.15"/>
    <row r="37666" s="69" customFormat="1" x14ac:dyDescent="0.15"/>
    <row r="37667" s="69" customFormat="1" x14ac:dyDescent="0.15"/>
    <row r="37668" s="69" customFormat="1" x14ac:dyDescent="0.15"/>
    <row r="37669" s="69" customFormat="1" x14ac:dyDescent="0.15"/>
    <row r="37670" s="69" customFormat="1" x14ac:dyDescent="0.15"/>
    <row r="37671" s="69" customFormat="1" x14ac:dyDescent="0.15"/>
    <row r="37672" s="69" customFormat="1" x14ac:dyDescent="0.15"/>
    <row r="37673" s="69" customFormat="1" x14ac:dyDescent="0.15"/>
    <row r="37674" s="69" customFormat="1" x14ac:dyDescent="0.15"/>
    <row r="37675" s="69" customFormat="1" x14ac:dyDescent="0.15"/>
    <row r="37676" s="69" customFormat="1" x14ac:dyDescent="0.15"/>
    <row r="37677" s="69" customFormat="1" x14ac:dyDescent="0.15"/>
    <row r="37678" s="69" customFormat="1" x14ac:dyDescent="0.15"/>
    <row r="37679" s="69" customFormat="1" x14ac:dyDescent="0.15"/>
    <row r="37680" s="69" customFormat="1" x14ac:dyDescent="0.15"/>
    <row r="37681" s="69" customFormat="1" x14ac:dyDescent="0.15"/>
    <row r="37682" s="69" customFormat="1" x14ac:dyDescent="0.15"/>
    <row r="37683" s="69" customFormat="1" x14ac:dyDescent="0.15"/>
    <row r="37684" s="69" customFormat="1" x14ac:dyDescent="0.15"/>
    <row r="37685" s="69" customFormat="1" x14ac:dyDescent="0.15"/>
    <row r="37686" s="69" customFormat="1" x14ac:dyDescent="0.15"/>
    <row r="37687" s="69" customFormat="1" x14ac:dyDescent="0.15"/>
    <row r="37688" s="69" customFormat="1" x14ac:dyDescent="0.15"/>
    <row r="37689" s="69" customFormat="1" x14ac:dyDescent="0.15"/>
    <row r="37690" s="69" customFormat="1" x14ac:dyDescent="0.15"/>
    <row r="37691" s="69" customFormat="1" x14ac:dyDescent="0.15"/>
    <row r="37692" s="69" customFormat="1" x14ac:dyDescent="0.15"/>
    <row r="37693" s="69" customFormat="1" x14ac:dyDescent="0.15"/>
    <row r="37694" s="69" customFormat="1" x14ac:dyDescent="0.15"/>
    <row r="37695" s="69" customFormat="1" x14ac:dyDescent="0.15"/>
    <row r="37696" s="69" customFormat="1" x14ac:dyDescent="0.15"/>
    <row r="37697" s="69" customFormat="1" x14ac:dyDescent="0.15"/>
    <row r="37698" s="69" customFormat="1" x14ac:dyDescent="0.15"/>
    <row r="37699" s="69" customFormat="1" x14ac:dyDescent="0.15"/>
    <row r="37700" s="69" customFormat="1" x14ac:dyDescent="0.15"/>
    <row r="37701" s="69" customFormat="1" x14ac:dyDescent="0.15"/>
    <row r="37702" s="69" customFormat="1" x14ac:dyDescent="0.15"/>
    <row r="37703" s="69" customFormat="1" x14ac:dyDescent="0.15"/>
    <row r="37704" s="69" customFormat="1" x14ac:dyDescent="0.15"/>
    <row r="37705" s="69" customFormat="1" x14ac:dyDescent="0.15"/>
    <row r="37706" s="69" customFormat="1" x14ac:dyDescent="0.15"/>
    <row r="37707" s="69" customFormat="1" x14ac:dyDescent="0.15"/>
    <row r="37708" s="69" customFormat="1" x14ac:dyDescent="0.15"/>
    <row r="37709" s="69" customFormat="1" x14ac:dyDescent="0.15"/>
    <row r="37710" s="69" customFormat="1" x14ac:dyDescent="0.15"/>
    <row r="37711" s="69" customFormat="1" x14ac:dyDescent="0.15"/>
    <row r="37712" s="69" customFormat="1" x14ac:dyDescent="0.15"/>
    <row r="37713" s="69" customFormat="1" x14ac:dyDescent="0.15"/>
    <row r="37714" s="69" customFormat="1" x14ac:dyDescent="0.15"/>
    <row r="37715" s="69" customFormat="1" x14ac:dyDescent="0.15"/>
    <row r="37716" s="69" customFormat="1" x14ac:dyDescent="0.15"/>
    <row r="37717" s="69" customFormat="1" x14ac:dyDescent="0.15"/>
    <row r="37718" s="69" customFormat="1" x14ac:dyDescent="0.15"/>
    <row r="37719" s="69" customFormat="1" x14ac:dyDescent="0.15"/>
    <row r="37720" s="69" customFormat="1" x14ac:dyDescent="0.15"/>
    <row r="37721" s="69" customFormat="1" x14ac:dyDescent="0.15"/>
    <row r="37722" s="69" customFormat="1" x14ac:dyDescent="0.15"/>
    <row r="37723" s="69" customFormat="1" x14ac:dyDescent="0.15"/>
    <row r="37724" s="69" customFormat="1" x14ac:dyDescent="0.15"/>
    <row r="37725" s="69" customFormat="1" x14ac:dyDescent="0.15"/>
    <row r="37726" s="69" customFormat="1" x14ac:dyDescent="0.15"/>
    <row r="37727" s="69" customFormat="1" x14ac:dyDescent="0.15"/>
    <row r="37728" s="69" customFormat="1" x14ac:dyDescent="0.15"/>
    <row r="37729" s="69" customFormat="1" x14ac:dyDescent="0.15"/>
    <row r="37730" s="69" customFormat="1" x14ac:dyDescent="0.15"/>
    <row r="37731" s="69" customFormat="1" x14ac:dyDescent="0.15"/>
    <row r="37732" s="69" customFormat="1" x14ac:dyDescent="0.15"/>
    <row r="37733" s="69" customFormat="1" x14ac:dyDescent="0.15"/>
    <row r="37734" s="69" customFormat="1" x14ac:dyDescent="0.15"/>
    <row r="37735" s="69" customFormat="1" x14ac:dyDescent="0.15"/>
    <row r="37736" s="69" customFormat="1" x14ac:dyDescent="0.15"/>
    <row r="37737" s="69" customFormat="1" x14ac:dyDescent="0.15"/>
    <row r="37738" s="69" customFormat="1" x14ac:dyDescent="0.15"/>
    <row r="37739" s="69" customFormat="1" x14ac:dyDescent="0.15"/>
    <row r="37740" s="69" customFormat="1" x14ac:dyDescent="0.15"/>
    <row r="37741" s="69" customFormat="1" x14ac:dyDescent="0.15"/>
    <row r="37742" s="69" customFormat="1" x14ac:dyDescent="0.15"/>
    <row r="37743" s="69" customFormat="1" x14ac:dyDescent="0.15"/>
    <row r="37744" s="69" customFormat="1" x14ac:dyDescent="0.15"/>
    <row r="37745" s="69" customFormat="1" x14ac:dyDescent="0.15"/>
    <row r="37746" s="69" customFormat="1" x14ac:dyDescent="0.15"/>
    <row r="37747" s="69" customFormat="1" x14ac:dyDescent="0.15"/>
    <row r="37748" s="69" customFormat="1" x14ac:dyDescent="0.15"/>
    <row r="37749" s="69" customFormat="1" x14ac:dyDescent="0.15"/>
    <row r="37750" s="69" customFormat="1" x14ac:dyDescent="0.15"/>
    <row r="37751" s="69" customFormat="1" x14ac:dyDescent="0.15"/>
    <row r="37752" s="69" customFormat="1" x14ac:dyDescent="0.15"/>
    <row r="37753" s="69" customFormat="1" x14ac:dyDescent="0.15"/>
    <row r="37754" s="69" customFormat="1" x14ac:dyDescent="0.15"/>
    <row r="37755" s="69" customFormat="1" x14ac:dyDescent="0.15"/>
    <row r="37756" s="69" customFormat="1" x14ac:dyDescent="0.15"/>
    <row r="37757" s="69" customFormat="1" x14ac:dyDescent="0.15"/>
    <row r="37758" s="69" customFormat="1" x14ac:dyDescent="0.15"/>
    <row r="37759" s="69" customFormat="1" x14ac:dyDescent="0.15"/>
    <row r="37760" s="69" customFormat="1" x14ac:dyDescent="0.15"/>
    <row r="37761" s="69" customFormat="1" x14ac:dyDescent="0.15"/>
    <row r="37762" s="69" customFormat="1" x14ac:dyDescent="0.15"/>
    <row r="37763" s="69" customFormat="1" x14ac:dyDescent="0.15"/>
    <row r="37764" s="69" customFormat="1" x14ac:dyDescent="0.15"/>
    <row r="37765" s="69" customFormat="1" x14ac:dyDescent="0.15"/>
    <row r="37766" s="69" customFormat="1" x14ac:dyDescent="0.15"/>
    <row r="37767" s="69" customFormat="1" x14ac:dyDescent="0.15"/>
    <row r="37768" s="69" customFormat="1" x14ac:dyDescent="0.15"/>
    <row r="37769" s="69" customFormat="1" x14ac:dyDescent="0.15"/>
    <row r="37770" s="69" customFormat="1" x14ac:dyDescent="0.15"/>
    <row r="37771" s="69" customFormat="1" x14ac:dyDescent="0.15"/>
    <row r="37772" s="69" customFormat="1" x14ac:dyDescent="0.15"/>
    <row r="37773" s="69" customFormat="1" x14ac:dyDescent="0.15"/>
    <row r="37774" s="69" customFormat="1" x14ac:dyDescent="0.15"/>
    <row r="37775" s="69" customFormat="1" x14ac:dyDescent="0.15"/>
    <row r="37776" s="69" customFormat="1" x14ac:dyDescent="0.15"/>
    <row r="37777" s="69" customFormat="1" x14ac:dyDescent="0.15"/>
    <row r="37778" s="69" customFormat="1" x14ac:dyDescent="0.15"/>
    <row r="37779" s="69" customFormat="1" x14ac:dyDescent="0.15"/>
    <row r="37780" s="69" customFormat="1" x14ac:dyDescent="0.15"/>
    <row r="37781" s="69" customFormat="1" x14ac:dyDescent="0.15"/>
    <row r="37782" s="69" customFormat="1" x14ac:dyDescent="0.15"/>
    <row r="37783" s="69" customFormat="1" x14ac:dyDescent="0.15"/>
    <row r="37784" s="69" customFormat="1" x14ac:dyDescent="0.15"/>
    <row r="37785" s="69" customFormat="1" x14ac:dyDescent="0.15"/>
    <row r="37786" s="69" customFormat="1" x14ac:dyDescent="0.15"/>
    <row r="37787" s="69" customFormat="1" x14ac:dyDescent="0.15"/>
    <row r="37788" s="69" customFormat="1" x14ac:dyDescent="0.15"/>
    <row r="37789" s="69" customFormat="1" x14ac:dyDescent="0.15"/>
    <row r="37790" s="69" customFormat="1" x14ac:dyDescent="0.15"/>
    <row r="37791" s="69" customFormat="1" x14ac:dyDescent="0.15"/>
    <row r="37792" s="69" customFormat="1" x14ac:dyDescent="0.15"/>
    <row r="37793" s="69" customFormat="1" x14ac:dyDescent="0.15"/>
    <row r="37794" s="69" customFormat="1" x14ac:dyDescent="0.15"/>
    <row r="37795" s="69" customFormat="1" x14ac:dyDescent="0.15"/>
    <row r="37796" s="69" customFormat="1" x14ac:dyDescent="0.15"/>
    <row r="37797" s="69" customFormat="1" x14ac:dyDescent="0.15"/>
    <row r="37798" s="69" customFormat="1" x14ac:dyDescent="0.15"/>
    <row r="37799" s="69" customFormat="1" x14ac:dyDescent="0.15"/>
    <row r="37800" s="69" customFormat="1" x14ac:dyDescent="0.15"/>
    <row r="37801" s="69" customFormat="1" x14ac:dyDescent="0.15"/>
    <row r="37802" s="69" customFormat="1" x14ac:dyDescent="0.15"/>
    <row r="37803" s="69" customFormat="1" x14ac:dyDescent="0.15"/>
    <row r="37804" s="69" customFormat="1" x14ac:dyDescent="0.15"/>
    <row r="37805" s="69" customFormat="1" x14ac:dyDescent="0.15"/>
    <row r="37806" s="69" customFormat="1" x14ac:dyDescent="0.15"/>
    <row r="37807" s="69" customFormat="1" x14ac:dyDescent="0.15"/>
    <row r="37808" s="69" customFormat="1" x14ac:dyDescent="0.15"/>
    <row r="37809" s="69" customFormat="1" x14ac:dyDescent="0.15"/>
    <row r="37810" s="69" customFormat="1" x14ac:dyDescent="0.15"/>
    <row r="37811" s="69" customFormat="1" x14ac:dyDescent="0.15"/>
    <row r="37812" s="69" customFormat="1" x14ac:dyDescent="0.15"/>
    <row r="37813" s="69" customFormat="1" x14ac:dyDescent="0.15"/>
    <row r="37814" s="69" customFormat="1" x14ac:dyDescent="0.15"/>
    <row r="37815" s="69" customFormat="1" x14ac:dyDescent="0.15"/>
    <row r="37816" s="69" customFormat="1" x14ac:dyDescent="0.15"/>
    <row r="37817" s="69" customFormat="1" x14ac:dyDescent="0.15"/>
    <row r="37818" s="69" customFormat="1" x14ac:dyDescent="0.15"/>
    <row r="37819" s="69" customFormat="1" x14ac:dyDescent="0.15"/>
    <row r="37820" s="69" customFormat="1" x14ac:dyDescent="0.15"/>
    <row r="37821" s="69" customFormat="1" x14ac:dyDescent="0.15"/>
    <row r="37822" s="69" customFormat="1" x14ac:dyDescent="0.15"/>
    <row r="37823" s="69" customFormat="1" x14ac:dyDescent="0.15"/>
    <row r="37824" s="69" customFormat="1" x14ac:dyDescent="0.15"/>
    <row r="37825" s="69" customFormat="1" x14ac:dyDescent="0.15"/>
    <row r="37826" s="69" customFormat="1" x14ac:dyDescent="0.15"/>
    <row r="37827" s="69" customFormat="1" x14ac:dyDescent="0.15"/>
    <row r="37828" s="69" customFormat="1" x14ac:dyDescent="0.15"/>
    <row r="37829" s="69" customFormat="1" x14ac:dyDescent="0.15"/>
    <row r="37830" s="69" customFormat="1" x14ac:dyDescent="0.15"/>
    <row r="37831" s="69" customFormat="1" x14ac:dyDescent="0.15"/>
    <row r="37832" s="69" customFormat="1" x14ac:dyDescent="0.15"/>
    <row r="37833" s="69" customFormat="1" x14ac:dyDescent="0.15"/>
    <row r="37834" s="69" customFormat="1" x14ac:dyDescent="0.15"/>
    <row r="37835" s="69" customFormat="1" x14ac:dyDescent="0.15"/>
    <row r="37836" s="69" customFormat="1" x14ac:dyDescent="0.15"/>
    <row r="37837" s="69" customFormat="1" x14ac:dyDescent="0.15"/>
    <row r="37838" s="69" customFormat="1" x14ac:dyDescent="0.15"/>
    <row r="37839" s="69" customFormat="1" x14ac:dyDescent="0.15"/>
    <row r="37840" s="69" customFormat="1" x14ac:dyDescent="0.15"/>
    <row r="37841" s="69" customFormat="1" x14ac:dyDescent="0.15"/>
    <row r="37842" s="69" customFormat="1" x14ac:dyDescent="0.15"/>
    <row r="37843" s="69" customFormat="1" x14ac:dyDescent="0.15"/>
    <row r="37844" s="69" customFormat="1" x14ac:dyDescent="0.15"/>
    <row r="37845" s="69" customFormat="1" x14ac:dyDescent="0.15"/>
    <row r="37846" s="69" customFormat="1" x14ac:dyDescent="0.15"/>
    <row r="37847" s="69" customFormat="1" x14ac:dyDescent="0.15"/>
    <row r="37848" s="69" customFormat="1" x14ac:dyDescent="0.15"/>
    <row r="37849" s="69" customFormat="1" x14ac:dyDescent="0.15"/>
    <row r="37850" s="69" customFormat="1" x14ac:dyDescent="0.15"/>
    <row r="37851" s="69" customFormat="1" x14ac:dyDescent="0.15"/>
    <row r="37852" s="69" customFormat="1" x14ac:dyDescent="0.15"/>
    <row r="37853" s="69" customFormat="1" x14ac:dyDescent="0.15"/>
    <row r="37854" s="69" customFormat="1" x14ac:dyDescent="0.15"/>
    <row r="37855" s="69" customFormat="1" x14ac:dyDescent="0.15"/>
    <row r="37856" s="69" customFormat="1" x14ac:dyDescent="0.15"/>
    <row r="37857" s="69" customFormat="1" x14ac:dyDescent="0.15"/>
    <row r="37858" s="69" customFormat="1" x14ac:dyDescent="0.15"/>
    <row r="37859" s="69" customFormat="1" x14ac:dyDescent="0.15"/>
    <row r="37860" s="69" customFormat="1" x14ac:dyDescent="0.15"/>
    <row r="37861" s="69" customFormat="1" x14ac:dyDescent="0.15"/>
    <row r="37862" s="69" customFormat="1" x14ac:dyDescent="0.15"/>
    <row r="37863" s="69" customFormat="1" x14ac:dyDescent="0.15"/>
    <row r="37864" s="69" customFormat="1" x14ac:dyDescent="0.15"/>
    <row r="37865" s="69" customFormat="1" x14ac:dyDescent="0.15"/>
    <row r="37866" s="69" customFormat="1" x14ac:dyDescent="0.15"/>
    <row r="37867" s="69" customFormat="1" x14ac:dyDescent="0.15"/>
    <row r="37868" s="69" customFormat="1" x14ac:dyDescent="0.15"/>
    <row r="37869" s="69" customFormat="1" x14ac:dyDescent="0.15"/>
    <row r="37870" s="69" customFormat="1" x14ac:dyDescent="0.15"/>
    <row r="37871" s="69" customFormat="1" x14ac:dyDescent="0.15"/>
    <row r="37872" s="69" customFormat="1" x14ac:dyDescent="0.15"/>
    <row r="37873" s="69" customFormat="1" x14ac:dyDescent="0.15"/>
    <row r="37874" s="69" customFormat="1" x14ac:dyDescent="0.15"/>
    <row r="37875" s="69" customFormat="1" x14ac:dyDescent="0.15"/>
    <row r="37876" s="69" customFormat="1" x14ac:dyDescent="0.15"/>
    <row r="37877" s="69" customFormat="1" x14ac:dyDescent="0.15"/>
    <row r="37878" s="69" customFormat="1" x14ac:dyDescent="0.15"/>
    <row r="37879" s="69" customFormat="1" x14ac:dyDescent="0.15"/>
    <row r="37880" s="69" customFormat="1" x14ac:dyDescent="0.15"/>
    <row r="37881" s="69" customFormat="1" x14ac:dyDescent="0.15"/>
    <row r="37882" s="69" customFormat="1" x14ac:dyDescent="0.15"/>
    <row r="37883" s="69" customFormat="1" x14ac:dyDescent="0.15"/>
    <row r="37884" s="69" customFormat="1" x14ac:dyDescent="0.15"/>
    <row r="37885" s="69" customFormat="1" x14ac:dyDescent="0.15"/>
    <row r="37886" s="69" customFormat="1" x14ac:dyDescent="0.15"/>
    <row r="37887" s="69" customFormat="1" x14ac:dyDescent="0.15"/>
    <row r="37888" s="69" customFormat="1" x14ac:dyDescent="0.15"/>
    <row r="37889" s="69" customFormat="1" x14ac:dyDescent="0.15"/>
    <row r="37890" s="69" customFormat="1" x14ac:dyDescent="0.15"/>
    <row r="37891" s="69" customFormat="1" x14ac:dyDescent="0.15"/>
    <row r="37892" s="69" customFormat="1" x14ac:dyDescent="0.15"/>
    <row r="37893" s="69" customFormat="1" x14ac:dyDescent="0.15"/>
    <row r="37894" s="69" customFormat="1" x14ac:dyDescent="0.15"/>
    <row r="37895" s="69" customFormat="1" x14ac:dyDescent="0.15"/>
    <row r="37896" s="69" customFormat="1" x14ac:dyDescent="0.15"/>
    <row r="37897" s="69" customFormat="1" x14ac:dyDescent="0.15"/>
    <row r="37898" s="69" customFormat="1" x14ac:dyDescent="0.15"/>
    <row r="37899" s="69" customFormat="1" x14ac:dyDescent="0.15"/>
    <row r="37900" s="69" customFormat="1" x14ac:dyDescent="0.15"/>
    <row r="37901" s="69" customFormat="1" x14ac:dyDescent="0.15"/>
    <row r="37902" s="69" customFormat="1" x14ac:dyDescent="0.15"/>
    <row r="37903" s="69" customFormat="1" x14ac:dyDescent="0.15"/>
    <row r="37904" s="69" customFormat="1" x14ac:dyDescent="0.15"/>
    <row r="37905" s="69" customFormat="1" x14ac:dyDescent="0.15"/>
    <row r="37906" s="69" customFormat="1" x14ac:dyDescent="0.15"/>
    <row r="37907" s="69" customFormat="1" x14ac:dyDescent="0.15"/>
    <row r="37908" s="69" customFormat="1" x14ac:dyDescent="0.15"/>
    <row r="37909" s="69" customFormat="1" x14ac:dyDescent="0.15"/>
    <row r="37910" s="69" customFormat="1" x14ac:dyDescent="0.15"/>
    <row r="37911" s="69" customFormat="1" x14ac:dyDescent="0.15"/>
    <row r="37912" s="69" customFormat="1" x14ac:dyDescent="0.15"/>
    <row r="37913" s="69" customFormat="1" x14ac:dyDescent="0.15"/>
    <row r="37914" s="69" customFormat="1" x14ac:dyDescent="0.15"/>
    <row r="37915" s="69" customFormat="1" x14ac:dyDescent="0.15"/>
    <row r="37916" s="69" customFormat="1" x14ac:dyDescent="0.15"/>
    <row r="37917" s="69" customFormat="1" x14ac:dyDescent="0.15"/>
    <row r="37918" s="69" customFormat="1" x14ac:dyDescent="0.15"/>
    <row r="37919" s="69" customFormat="1" x14ac:dyDescent="0.15"/>
    <row r="37920" s="69" customFormat="1" x14ac:dyDescent="0.15"/>
    <row r="37921" s="69" customFormat="1" x14ac:dyDescent="0.15"/>
    <row r="37922" s="69" customFormat="1" x14ac:dyDescent="0.15"/>
    <row r="37923" s="69" customFormat="1" x14ac:dyDescent="0.15"/>
    <row r="37924" s="69" customFormat="1" x14ac:dyDescent="0.15"/>
    <row r="37925" s="69" customFormat="1" x14ac:dyDescent="0.15"/>
    <row r="37926" s="69" customFormat="1" x14ac:dyDescent="0.15"/>
    <row r="37927" s="69" customFormat="1" x14ac:dyDescent="0.15"/>
    <row r="37928" s="69" customFormat="1" x14ac:dyDescent="0.15"/>
    <row r="37929" s="69" customFormat="1" x14ac:dyDescent="0.15"/>
    <row r="37930" s="69" customFormat="1" x14ac:dyDescent="0.15"/>
    <row r="37931" s="69" customFormat="1" x14ac:dyDescent="0.15"/>
    <row r="37932" s="69" customFormat="1" x14ac:dyDescent="0.15"/>
    <row r="37933" s="69" customFormat="1" x14ac:dyDescent="0.15"/>
    <row r="37934" s="69" customFormat="1" x14ac:dyDescent="0.15"/>
    <row r="37935" s="69" customFormat="1" x14ac:dyDescent="0.15"/>
    <row r="37936" s="69" customFormat="1" x14ac:dyDescent="0.15"/>
    <row r="37937" s="69" customFormat="1" x14ac:dyDescent="0.15"/>
    <row r="37938" s="69" customFormat="1" x14ac:dyDescent="0.15"/>
    <row r="37939" s="69" customFormat="1" x14ac:dyDescent="0.15"/>
    <row r="37940" s="69" customFormat="1" x14ac:dyDescent="0.15"/>
    <row r="37941" s="69" customFormat="1" x14ac:dyDescent="0.15"/>
    <row r="37942" s="69" customFormat="1" x14ac:dyDescent="0.15"/>
    <row r="37943" s="69" customFormat="1" x14ac:dyDescent="0.15"/>
    <row r="37944" s="69" customFormat="1" x14ac:dyDescent="0.15"/>
    <row r="37945" s="69" customFormat="1" x14ac:dyDescent="0.15"/>
    <row r="37946" s="69" customFormat="1" x14ac:dyDescent="0.15"/>
    <row r="37947" s="69" customFormat="1" x14ac:dyDescent="0.15"/>
    <row r="37948" s="69" customFormat="1" x14ac:dyDescent="0.15"/>
    <row r="37949" s="69" customFormat="1" x14ac:dyDescent="0.15"/>
    <row r="37950" s="69" customFormat="1" x14ac:dyDescent="0.15"/>
    <row r="37951" s="69" customFormat="1" x14ac:dyDescent="0.15"/>
    <row r="37952" s="69" customFormat="1" x14ac:dyDescent="0.15"/>
    <row r="37953" s="69" customFormat="1" x14ac:dyDescent="0.15"/>
    <row r="37954" s="69" customFormat="1" x14ac:dyDescent="0.15"/>
    <row r="37955" s="69" customFormat="1" x14ac:dyDescent="0.15"/>
    <row r="37956" s="69" customFormat="1" x14ac:dyDescent="0.15"/>
    <row r="37957" s="69" customFormat="1" x14ac:dyDescent="0.15"/>
    <row r="37958" s="69" customFormat="1" x14ac:dyDescent="0.15"/>
    <row r="37959" s="69" customFormat="1" x14ac:dyDescent="0.15"/>
    <row r="37960" s="69" customFormat="1" x14ac:dyDescent="0.15"/>
    <row r="37961" s="69" customFormat="1" x14ac:dyDescent="0.15"/>
    <row r="37962" s="69" customFormat="1" x14ac:dyDescent="0.15"/>
    <row r="37963" s="69" customFormat="1" x14ac:dyDescent="0.15"/>
    <row r="37964" s="69" customFormat="1" x14ac:dyDescent="0.15"/>
    <row r="37965" s="69" customFormat="1" x14ac:dyDescent="0.15"/>
    <row r="37966" s="69" customFormat="1" x14ac:dyDescent="0.15"/>
    <row r="37967" s="69" customFormat="1" x14ac:dyDescent="0.15"/>
    <row r="37968" s="69" customFormat="1" x14ac:dyDescent="0.15"/>
    <row r="37969" s="69" customFormat="1" x14ac:dyDescent="0.15"/>
    <row r="37970" s="69" customFormat="1" x14ac:dyDescent="0.15"/>
    <row r="37971" s="69" customFormat="1" x14ac:dyDescent="0.15"/>
    <row r="37972" s="69" customFormat="1" x14ac:dyDescent="0.15"/>
    <row r="37973" s="69" customFormat="1" x14ac:dyDescent="0.15"/>
    <row r="37974" s="69" customFormat="1" x14ac:dyDescent="0.15"/>
    <row r="37975" s="69" customFormat="1" x14ac:dyDescent="0.15"/>
    <row r="37976" s="69" customFormat="1" x14ac:dyDescent="0.15"/>
    <row r="37977" s="69" customFormat="1" x14ac:dyDescent="0.15"/>
    <row r="37978" s="69" customFormat="1" x14ac:dyDescent="0.15"/>
    <row r="37979" s="69" customFormat="1" x14ac:dyDescent="0.15"/>
    <row r="37980" s="69" customFormat="1" x14ac:dyDescent="0.15"/>
    <row r="37981" s="69" customFormat="1" x14ac:dyDescent="0.15"/>
    <row r="37982" s="69" customFormat="1" x14ac:dyDescent="0.15"/>
    <row r="37983" s="69" customFormat="1" x14ac:dyDescent="0.15"/>
    <row r="37984" s="69" customFormat="1" x14ac:dyDescent="0.15"/>
    <row r="37985" s="69" customFormat="1" x14ac:dyDescent="0.15"/>
    <row r="37986" s="69" customFormat="1" x14ac:dyDescent="0.15"/>
    <row r="37987" s="69" customFormat="1" x14ac:dyDescent="0.15"/>
    <row r="37988" s="69" customFormat="1" x14ac:dyDescent="0.15"/>
    <row r="37989" s="69" customFormat="1" x14ac:dyDescent="0.15"/>
    <row r="37990" s="69" customFormat="1" x14ac:dyDescent="0.15"/>
    <row r="37991" s="69" customFormat="1" x14ac:dyDescent="0.15"/>
    <row r="37992" s="69" customFormat="1" x14ac:dyDescent="0.15"/>
    <row r="37993" s="69" customFormat="1" x14ac:dyDescent="0.15"/>
    <row r="37994" s="69" customFormat="1" x14ac:dyDescent="0.15"/>
    <row r="37995" s="69" customFormat="1" x14ac:dyDescent="0.15"/>
    <row r="37996" s="69" customFormat="1" x14ac:dyDescent="0.15"/>
    <row r="37997" s="69" customFormat="1" x14ac:dyDescent="0.15"/>
    <row r="37998" s="69" customFormat="1" x14ac:dyDescent="0.15"/>
    <row r="37999" s="69" customFormat="1" x14ac:dyDescent="0.15"/>
    <row r="38000" s="69" customFormat="1" x14ac:dyDescent="0.15"/>
    <row r="38001" s="69" customFormat="1" x14ac:dyDescent="0.15"/>
    <row r="38002" s="69" customFormat="1" x14ac:dyDescent="0.15"/>
    <row r="38003" s="69" customFormat="1" x14ac:dyDescent="0.15"/>
    <row r="38004" s="69" customFormat="1" x14ac:dyDescent="0.15"/>
    <row r="38005" s="69" customFormat="1" x14ac:dyDescent="0.15"/>
    <row r="38006" s="69" customFormat="1" x14ac:dyDescent="0.15"/>
    <row r="38007" s="69" customFormat="1" x14ac:dyDescent="0.15"/>
    <row r="38008" s="69" customFormat="1" x14ac:dyDescent="0.15"/>
    <row r="38009" s="69" customFormat="1" x14ac:dyDescent="0.15"/>
    <row r="38010" s="69" customFormat="1" x14ac:dyDescent="0.15"/>
    <row r="38011" s="69" customFormat="1" x14ac:dyDescent="0.15"/>
    <row r="38012" s="69" customFormat="1" x14ac:dyDescent="0.15"/>
    <row r="38013" s="69" customFormat="1" x14ac:dyDescent="0.15"/>
    <row r="38014" s="69" customFormat="1" x14ac:dyDescent="0.15"/>
    <row r="38015" s="69" customFormat="1" x14ac:dyDescent="0.15"/>
    <row r="38016" s="69" customFormat="1" x14ac:dyDescent="0.15"/>
    <row r="38017" s="69" customFormat="1" x14ac:dyDescent="0.15"/>
    <row r="38018" s="69" customFormat="1" x14ac:dyDescent="0.15"/>
    <row r="38019" s="69" customFormat="1" x14ac:dyDescent="0.15"/>
    <row r="38020" s="69" customFormat="1" x14ac:dyDescent="0.15"/>
    <row r="38021" s="69" customFormat="1" x14ac:dyDescent="0.15"/>
    <row r="38022" s="69" customFormat="1" x14ac:dyDescent="0.15"/>
    <row r="38023" s="69" customFormat="1" x14ac:dyDescent="0.15"/>
    <row r="38024" s="69" customFormat="1" x14ac:dyDescent="0.15"/>
    <row r="38025" s="69" customFormat="1" x14ac:dyDescent="0.15"/>
    <row r="38026" s="69" customFormat="1" x14ac:dyDescent="0.15"/>
    <row r="38027" s="69" customFormat="1" x14ac:dyDescent="0.15"/>
    <row r="38028" s="69" customFormat="1" x14ac:dyDescent="0.15"/>
    <row r="38029" s="69" customFormat="1" x14ac:dyDescent="0.15"/>
    <row r="38030" s="69" customFormat="1" x14ac:dyDescent="0.15"/>
    <row r="38031" s="69" customFormat="1" x14ac:dyDescent="0.15"/>
    <row r="38032" s="69" customFormat="1" x14ac:dyDescent="0.15"/>
    <row r="38033" s="69" customFormat="1" x14ac:dyDescent="0.15"/>
    <row r="38034" s="69" customFormat="1" x14ac:dyDescent="0.15"/>
    <row r="38035" s="69" customFormat="1" x14ac:dyDescent="0.15"/>
    <row r="38036" s="69" customFormat="1" x14ac:dyDescent="0.15"/>
    <row r="38037" s="69" customFormat="1" x14ac:dyDescent="0.15"/>
    <row r="38038" s="69" customFormat="1" x14ac:dyDescent="0.15"/>
    <row r="38039" s="69" customFormat="1" x14ac:dyDescent="0.15"/>
    <row r="38040" s="69" customFormat="1" x14ac:dyDescent="0.15"/>
    <row r="38041" s="69" customFormat="1" x14ac:dyDescent="0.15"/>
    <row r="38042" s="69" customFormat="1" x14ac:dyDescent="0.15"/>
    <row r="38043" s="69" customFormat="1" x14ac:dyDescent="0.15"/>
    <row r="38044" s="69" customFormat="1" x14ac:dyDescent="0.15"/>
    <row r="38045" s="69" customFormat="1" x14ac:dyDescent="0.15"/>
    <row r="38046" s="69" customFormat="1" x14ac:dyDescent="0.15"/>
    <row r="38047" s="69" customFormat="1" x14ac:dyDescent="0.15"/>
    <row r="38048" s="69" customFormat="1" x14ac:dyDescent="0.15"/>
    <row r="38049" s="69" customFormat="1" x14ac:dyDescent="0.15"/>
    <row r="38050" s="69" customFormat="1" x14ac:dyDescent="0.15"/>
    <row r="38051" s="69" customFormat="1" x14ac:dyDescent="0.15"/>
    <row r="38052" s="69" customFormat="1" x14ac:dyDescent="0.15"/>
    <row r="38053" s="69" customFormat="1" x14ac:dyDescent="0.15"/>
    <row r="38054" s="69" customFormat="1" x14ac:dyDescent="0.15"/>
    <row r="38055" s="69" customFormat="1" x14ac:dyDescent="0.15"/>
    <row r="38056" s="69" customFormat="1" x14ac:dyDescent="0.15"/>
    <row r="38057" s="69" customFormat="1" x14ac:dyDescent="0.15"/>
    <row r="38058" s="69" customFormat="1" x14ac:dyDescent="0.15"/>
    <row r="38059" s="69" customFormat="1" x14ac:dyDescent="0.15"/>
    <row r="38060" s="69" customFormat="1" x14ac:dyDescent="0.15"/>
    <row r="38061" s="69" customFormat="1" x14ac:dyDescent="0.15"/>
    <row r="38062" s="69" customFormat="1" x14ac:dyDescent="0.15"/>
    <row r="38063" s="69" customFormat="1" x14ac:dyDescent="0.15"/>
    <row r="38064" s="69" customFormat="1" x14ac:dyDescent="0.15"/>
    <row r="38065" s="69" customFormat="1" x14ac:dyDescent="0.15"/>
    <row r="38066" s="69" customFormat="1" x14ac:dyDescent="0.15"/>
    <row r="38067" s="69" customFormat="1" x14ac:dyDescent="0.15"/>
    <row r="38068" s="69" customFormat="1" x14ac:dyDescent="0.15"/>
    <row r="38069" s="69" customFormat="1" x14ac:dyDescent="0.15"/>
    <row r="38070" s="69" customFormat="1" x14ac:dyDescent="0.15"/>
    <row r="38071" s="69" customFormat="1" x14ac:dyDescent="0.15"/>
    <row r="38072" s="69" customFormat="1" x14ac:dyDescent="0.15"/>
    <row r="38073" s="69" customFormat="1" x14ac:dyDescent="0.15"/>
    <row r="38074" s="69" customFormat="1" x14ac:dyDescent="0.15"/>
    <row r="38075" s="69" customFormat="1" x14ac:dyDescent="0.15"/>
    <row r="38076" s="69" customFormat="1" x14ac:dyDescent="0.15"/>
    <row r="38077" s="69" customFormat="1" x14ac:dyDescent="0.15"/>
    <row r="38078" s="69" customFormat="1" x14ac:dyDescent="0.15"/>
    <row r="38079" s="69" customFormat="1" x14ac:dyDescent="0.15"/>
    <row r="38080" s="69" customFormat="1" x14ac:dyDescent="0.15"/>
    <row r="38081" s="69" customFormat="1" x14ac:dyDescent="0.15"/>
    <row r="38082" s="69" customFormat="1" x14ac:dyDescent="0.15"/>
    <row r="38083" s="69" customFormat="1" x14ac:dyDescent="0.15"/>
    <row r="38084" s="69" customFormat="1" x14ac:dyDescent="0.15"/>
    <row r="38085" s="69" customFormat="1" x14ac:dyDescent="0.15"/>
    <row r="38086" s="69" customFormat="1" x14ac:dyDescent="0.15"/>
    <row r="38087" s="69" customFormat="1" x14ac:dyDescent="0.15"/>
    <row r="38088" s="69" customFormat="1" x14ac:dyDescent="0.15"/>
    <row r="38089" s="69" customFormat="1" x14ac:dyDescent="0.15"/>
    <row r="38090" s="69" customFormat="1" x14ac:dyDescent="0.15"/>
    <row r="38091" s="69" customFormat="1" x14ac:dyDescent="0.15"/>
    <row r="38092" s="69" customFormat="1" x14ac:dyDescent="0.15"/>
    <row r="38093" s="69" customFormat="1" x14ac:dyDescent="0.15"/>
    <row r="38094" s="69" customFormat="1" x14ac:dyDescent="0.15"/>
    <row r="38095" s="69" customFormat="1" x14ac:dyDescent="0.15"/>
    <row r="38096" s="69" customFormat="1" x14ac:dyDescent="0.15"/>
    <row r="38097" s="69" customFormat="1" x14ac:dyDescent="0.15"/>
    <row r="38098" s="69" customFormat="1" x14ac:dyDescent="0.15"/>
    <row r="38099" s="69" customFormat="1" x14ac:dyDescent="0.15"/>
    <row r="38100" s="69" customFormat="1" x14ac:dyDescent="0.15"/>
    <row r="38101" s="69" customFormat="1" x14ac:dyDescent="0.15"/>
    <row r="38102" s="69" customFormat="1" x14ac:dyDescent="0.15"/>
    <row r="38103" s="69" customFormat="1" x14ac:dyDescent="0.15"/>
    <row r="38104" s="69" customFormat="1" x14ac:dyDescent="0.15"/>
    <row r="38105" s="69" customFormat="1" x14ac:dyDescent="0.15"/>
    <row r="38106" s="69" customFormat="1" x14ac:dyDescent="0.15"/>
    <row r="38107" s="69" customFormat="1" x14ac:dyDescent="0.15"/>
    <row r="38108" s="69" customFormat="1" x14ac:dyDescent="0.15"/>
    <row r="38109" s="69" customFormat="1" x14ac:dyDescent="0.15"/>
    <row r="38110" s="69" customFormat="1" x14ac:dyDescent="0.15"/>
    <row r="38111" s="69" customFormat="1" x14ac:dyDescent="0.15"/>
    <row r="38112" s="69" customFormat="1" x14ac:dyDescent="0.15"/>
    <row r="38113" s="69" customFormat="1" x14ac:dyDescent="0.15"/>
    <row r="38114" s="69" customFormat="1" x14ac:dyDescent="0.15"/>
    <row r="38115" s="69" customFormat="1" x14ac:dyDescent="0.15"/>
    <row r="38116" s="69" customFormat="1" x14ac:dyDescent="0.15"/>
    <row r="38117" s="69" customFormat="1" x14ac:dyDescent="0.15"/>
    <row r="38118" s="69" customFormat="1" x14ac:dyDescent="0.15"/>
    <row r="38119" s="69" customFormat="1" x14ac:dyDescent="0.15"/>
    <row r="38120" s="69" customFormat="1" x14ac:dyDescent="0.15"/>
    <row r="38121" s="69" customFormat="1" x14ac:dyDescent="0.15"/>
    <row r="38122" s="69" customFormat="1" x14ac:dyDescent="0.15"/>
    <row r="38123" s="69" customFormat="1" x14ac:dyDescent="0.15"/>
    <row r="38124" s="69" customFormat="1" x14ac:dyDescent="0.15"/>
    <row r="38125" s="69" customFormat="1" x14ac:dyDescent="0.15"/>
    <row r="38126" s="69" customFormat="1" x14ac:dyDescent="0.15"/>
    <row r="38127" s="69" customFormat="1" x14ac:dyDescent="0.15"/>
    <row r="38128" s="69" customFormat="1" x14ac:dyDescent="0.15"/>
    <row r="38129" s="69" customFormat="1" x14ac:dyDescent="0.15"/>
    <row r="38130" s="69" customFormat="1" x14ac:dyDescent="0.15"/>
    <row r="38131" s="69" customFormat="1" x14ac:dyDescent="0.15"/>
    <row r="38132" s="69" customFormat="1" x14ac:dyDescent="0.15"/>
    <row r="38133" s="69" customFormat="1" x14ac:dyDescent="0.15"/>
    <row r="38134" s="69" customFormat="1" x14ac:dyDescent="0.15"/>
    <row r="38135" s="69" customFormat="1" x14ac:dyDescent="0.15"/>
    <row r="38136" s="69" customFormat="1" x14ac:dyDescent="0.15"/>
    <row r="38137" s="69" customFormat="1" x14ac:dyDescent="0.15"/>
    <row r="38138" s="69" customFormat="1" x14ac:dyDescent="0.15"/>
    <row r="38139" s="69" customFormat="1" x14ac:dyDescent="0.15"/>
    <row r="38140" s="69" customFormat="1" x14ac:dyDescent="0.15"/>
    <row r="38141" s="69" customFormat="1" x14ac:dyDescent="0.15"/>
    <row r="38142" s="69" customFormat="1" x14ac:dyDescent="0.15"/>
    <row r="38143" s="69" customFormat="1" x14ac:dyDescent="0.15"/>
    <row r="38144" s="69" customFormat="1" x14ac:dyDescent="0.15"/>
    <row r="38145" s="69" customFormat="1" x14ac:dyDescent="0.15"/>
    <row r="38146" s="69" customFormat="1" x14ac:dyDescent="0.15"/>
    <row r="38147" s="69" customFormat="1" x14ac:dyDescent="0.15"/>
    <row r="38148" s="69" customFormat="1" x14ac:dyDescent="0.15"/>
    <row r="38149" s="69" customFormat="1" x14ac:dyDescent="0.15"/>
    <row r="38150" s="69" customFormat="1" x14ac:dyDescent="0.15"/>
    <row r="38151" s="69" customFormat="1" x14ac:dyDescent="0.15"/>
    <row r="38152" s="69" customFormat="1" x14ac:dyDescent="0.15"/>
    <row r="38153" s="69" customFormat="1" x14ac:dyDescent="0.15"/>
    <row r="38154" s="69" customFormat="1" x14ac:dyDescent="0.15"/>
    <row r="38155" s="69" customFormat="1" x14ac:dyDescent="0.15"/>
    <row r="38156" s="69" customFormat="1" x14ac:dyDescent="0.15"/>
    <row r="38157" s="69" customFormat="1" x14ac:dyDescent="0.15"/>
    <row r="38158" s="69" customFormat="1" x14ac:dyDescent="0.15"/>
    <row r="38159" s="69" customFormat="1" x14ac:dyDescent="0.15"/>
    <row r="38160" s="69" customFormat="1" x14ac:dyDescent="0.15"/>
    <row r="38161" s="69" customFormat="1" x14ac:dyDescent="0.15"/>
    <row r="38162" s="69" customFormat="1" x14ac:dyDescent="0.15"/>
    <row r="38163" s="69" customFormat="1" x14ac:dyDescent="0.15"/>
    <row r="38164" s="69" customFormat="1" x14ac:dyDescent="0.15"/>
    <row r="38165" s="69" customFormat="1" x14ac:dyDescent="0.15"/>
    <row r="38166" s="69" customFormat="1" x14ac:dyDescent="0.15"/>
    <row r="38167" s="69" customFormat="1" x14ac:dyDescent="0.15"/>
    <row r="38168" s="69" customFormat="1" x14ac:dyDescent="0.15"/>
    <row r="38169" s="69" customFormat="1" x14ac:dyDescent="0.15"/>
    <row r="38170" s="69" customFormat="1" x14ac:dyDescent="0.15"/>
    <row r="38171" s="69" customFormat="1" x14ac:dyDescent="0.15"/>
    <row r="38172" s="69" customFormat="1" x14ac:dyDescent="0.15"/>
    <row r="38173" s="69" customFormat="1" x14ac:dyDescent="0.15"/>
    <row r="38174" s="69" customFormat="1" x14ac:dyDescent="0.15"/>
    <row r="38175" s="69" customFormat="1" x14ac:dyDescent="0.15"/>
    <row r="38176" s="69" customFormat="1" x14ac:dyDescent="0.15"/>
    <row r="38177" s="69" customFormat="1" x14ac:dyDescent="0.15"/>
    <row r="38178" s="69" customFormat="1" x14ac:dyDescent="0.15"/>
    <row r="38179" s="69" customFormat="1" x14ac:dyDescent="0.15"/>
    <row r="38180" s="69" customFormat="1" x14ac:dyDescent="0.15"/>
    <row r="38181" s="69" customFormat="1" x14ac:dyDescent="0.15"/>
    <row r="38182" s="69" customFormat="1" x14ac:dyDescent="0.15"/>
    <row r="38183" s="69" customFormat="1" x14ac:dyDescent="0.15"/>
    <row r="38184" s="69" customFormat="1" x14ac:dyDescent="0.15"/>
    <row r="38185" s="69" customFormat="1" x14ac:dyDescent="0.15"/>
    <row r="38186" s="69" customFormat="1" x14ac:dyDescent="0.15"/>
    <row r="38187" s="69" customFormat="1" x14ac:dyDescent="0.15"/>
    <row r="38188" s="69" customFormat="1" x14ac:dyDescent="0.15"/>
    <row r="38189" s="69" customFormat="1" x14ac:dyDescent="0.15"/>
    <row r="38190" s="69" customFormat="1" x14ac:dyDescent="0.15"/>
    <row r="38191" s="69" customFormat="1" x14ac:dyDescent="0.15"/>
    <row r="38192" s="69" customFormat="1" x14ac:dyDescent="0.15"/>
    <row r="38193" s="69" customFormat="1" x14ac:dyDescent="0.15"/>
    <row r="38194" s="69" customFormat="1" x14ac:dyDescent="0.15"/>
    <row r="38195" s="69" customFormat="1" x14ac:dyDescent="0.15"/>
    <row r="38196" s="69" customFormat="1" x14ac:dyDescent="0.15"/>
    <row r="38197" s="69" customFormat="1" x14ac:dyDescent="0.15"/>
    <row r="38198" s="69" customFormat="1" x14ac:dyDescent="0.15"/>
    <row r="38199" s="69" customFormat="1" x14ac:dyDescent="0.15"/>
    <row r="38200" s="69" customFormat="1" x14ac:dyDescent="0.15"/>
    <row r="38201" s="69" customFormat="1" x14ac:dyDescent="0.15"/>
    <row r="38202" s="69" customFormat="1" x14ac:dyDescent="0.15"/>
    <row r="38203" s="69" customFormat="1" x14ac:dyDescent="0.15"/>
    <row r="38204" s="69" customFormat="1" x14ac:dyDescent="0.15"/>
    <row r="38205" s="69" customFormat="1" x14ac:dyDescent="0.15"/>
    <row r="38206" s="69" customFormat="1" x14ac:dyDescent="0.15"/>
    <row r="38207" s="69" customFormat="1" x14ac:dyDescent="0.15"/>
    <row r="38208" s="69" customFormat="1" x14ac:dyDescent="0.15"/>
    <row r="38209" s="69" customFormat="1" x14ac:dyDescent="0.15"/>
    <row r="38210" s="69" customFormat="1" x14ac:dyDescent="0.15"/>
    <row r="38211" s="69" customFormat="1" x14ac:dyDescent="0.15"/>
    <row r="38212" s="69" customFormat="1" x14ac:dyDescent="0.15"/>
    <row r="38213" s="69" customFormat="1" x14ac:dyDescent="0.15"/>
    <row r="38214" s="69" customFormat="1" x14ac:dyDescent="0.15"/>
    <row r="38215" s="69" customFormat="1" x14ac:dyDescent="0.15"/>
    <row r="38216" s="69" customFormat="1" x14ac:dyDescent="0.15"/>
    <row r="38217" s="69" customFormat="1" x14ac:dyDescent="0.15"/>
    <row r="38218" s="69" customFormat="1" x14ac:dyDescent="0.15"/>
    <row r="38219" s="69" customFormat="1" x14ac:dyDescent="0.15"/>
    <row r="38220" s="69" customFormat="1" x14ac:dyDescent="0.15"/>
    <row r="38221" s="69" customFormat="1" x14ac:dyDescent="0.15"/>
    <row r="38222" s="69" customFormat="1" x14ac:dyDescent="0.15"/>
    <row r="38223" s="69" customFormat="1" x14ac:dyDescent="0.15"/>
    <row r="38224" s="69" customFormat="1" x14ac:dyDescent="0.15"/>
    <row r="38225" s="69" customFormat="1" x14ac:dyDescent="0.15"/>
    <row r="38226" s="69" customFormat="1" x14ac:dyDescent="0.15"/>
    <row r="38227" s="69" customFormat="1" x14ac:dyDescent="0.15"/>
    <row r="38228" s="69" customFormat="1" x14ac:dyDescent="0.15"/>
    <row r="38229" s="69" customFormat="1" x14ac:dyDescent="0.15"/>
    <row r="38230" s="69" customFormat="1" x14ac:dyDescent="0.15"/>
    <row r="38231" s="69" customFormat="1" x14ac:dyDescent="0.15"/>
    <row r="38232" s="69" customFormat="1" x14ac:dyDescent="0.15"/>
    <row r="38233" s="69" customFormat="1" x14ac:dyDescent="0.15"/>
    <row r="38234" s="69" customFormat="1" x14ac:dyDescent="0.15"/>
    <row r="38235" s="69" customFormat="1" x14ac:dyDescent="0.15"/>
    <row r="38236" s="69" customFormat="1" x14ac:dyDescent="0.15"/>
    <row r="38237" s="69" customFormat="1" x14ac:dyDescent="0.15"/>
    <row r="38238" s="69" customFormat="1" x14ac:dyDescent="0.15"/>
    <row r="38239" s="69" customFormat="1" x14ac:dyDescent="0.15"/>
    <row r="38240" s="69" customFormat="1" x14ac:dyDescent="0.15"/>
    <row r="38241" s="69" customFormat="1" x14ac:dyDescent="0.15"/>
    <row r="38242" s="69" customFormat="1" x14ac:dyDescent="0.15"/>
    <row r="38243" s="69" customFormat="1" x14ac:dyDescent="0.15"/>
    <row r="38244" s="69" customFormat="1" x14ac:dyDescent="0.15"/>
    <row r="38245" s="69" customFormat="1" x14ac:dyDescent="0.15"/>
    <row r="38246" s="69" customFormat="1" x14ac:dyDescent="0.15"/>
    <row r="38247" s="69" customFormat="1" x14ac:dyDescent="0.15"/>
    <row r="38248" s="69" customFormat="1" x14ac:dyDescent="0.15"/>
    <row r="38249" s="69" customFormat="1" x14ac:dyDescent="0.15"/>
    <row r="38250" s="69" customFormat="1" x14ac:dyDescent="0.15"/>
    <row r="38251" s="69" customFormat="1" x14ac:dyDescent="0.15"/>
    <row r="38252" s="69" customFormat="1" x14ac:dyDescent="0.15"/>
    <row r="38253" s="69" customFormat="1" x14ac:dyDescent="0.15"/>
    <row r="38254" s="69" customFormat="1" x14ac:dyDescent="0.15"/>
    <row r="38255" s="69" customFormat="1" x14ac:dyDescent="0.15"/>
    <row r="38256" s="69" customFormat="1" x14ac:dyDescent="0.15"/>
    <row r="38257" s="69" customFormat="1" x14ac:dyDescent="0.15"/>
    <row r="38258" s="69" customFormat="1" x14ac:dyDescent="0.15"/>
    <row r="38259" s="69" customFormat="1" x14ac:dyDescent="0.15"/>
    <row r="38260" s="69" customFormat="1" x14ac:dyDescent="0.15"/>
    <row r="38261" s="69" customFormat="1" x14ac:dyDescent="0.15"/>
    <row r="38262" s="69" customFormat="1" x14ac:dyDescent="0.15"/>
    <row r="38263" s="69" customFormat="1" x14ac:dyDescent="0.15"/>
    <row r="38264" s="69" customFormat="1" x14ac:dyDescent="0.15"/>
    <row r="38265" s="69" customFormat="1" x14ac:dyDescent="0.15"/>
    <row r="38266" s="69" customFormat="1" x14ac:dyDescent="0.15"/>
    <row r="38267" s="69" customFormat="1" x14ac:dyDescent="0.15"/>
    <row r="38268" s="69" customFormat="1" x14ac:dyDescent="0.15"/>
    <row r="38269" s="69" customFormat="1" x14ac:dyDescent="0.15"/>
    <row r="38270" s="69" customFormat="1" x14ac:dyDescent="0.15"/>
    <row r="38271" s="69" customFormat="1" x14ac:dyDescent="0.15"/>
    <row r="38272" s="69" customFormat="1" x14ac:dyDescent="0.15"/>
    <row r="38273" s="69" customFormat="1" x14ac:dyDescent="0.15"/>
    <row r="38274" s="69" customFormat="1" x14ac:dyDescent="0.15"/>
    <row r="38275" s="69" customFormat="1" x14ac:dyDescent="0.15"/>
    <row r="38276" s="69" customFormat="1" x14ac:dyDescent="0.15"/>
    <row r="38277" s="69" customFormat="1" x14ac:dyDescent="0.15"/>
    <row r="38278" s="69" customFormat="1" x14ac:dyDescent="0.15"/>
    <row r="38279" s="69" customFormat="1" x14ac:dyDescent="0.15"/>
    <row r="38280" s="69" customFormat="1" x14ac:dyDescent="0.15"/>
    <row r="38281" s="69" customFormat="1" x14ac:dyDescent="0.15"/>
    <row r="38282" s="69" customFormat="1" x14ac:dyDescent="0.15"/>
    <row r="38283" s="69" customFormat="1" x14ac:dyDescent="0.15"/>
    <row r="38284" s="69" customFormat="1" x14ac:dyDescent="0.15"/>
    <row r="38285" s="69" customFormat="1" x14ac:dyDescent="0.15"/>
    <row r="38286" s="69" customFormat="1" x14ac:dyDescent="0.15"/>
    <row r="38287" s="69" customFormat="1" x14ac:dyDescent="0.15"/>
    <row r="38288" s="69" customFormat="1" x14ac:dyDescent="0.15"/>
    <row r="38289" s="69" customFormat="1" x14ac:dyDescent="0.15"/>
    <row r="38290" s="69" customFormat="1" x14ac:dyDescent="0.15"/>
    <row r="38291" s="69" customFormat="1" x14ac:dyDescent="0.15"/>
    <row r="38292" s="69" customFormat="1" x14ac:dyDescent="0.15"/>
    <row r="38293" s="69" customFormat="1" x14ac:dyDescent="0.15"/>
    <row r="38294" s="69" customFormat="1" x14ac:dyDescent="0.15"/>
    <row r="38295" s="69" customFormat="1" x14ac:dyDescent="0.15"/>
    <row r="38296" s="69" customFormat="1" x14ac:dyDescent="0.15"/>
    <row r="38297" s="69" customFormat="1" x14ac:dyDescent="0.15"/>
    <row r="38298" s="69" customFormat="1" x14ac:dyDescent="0.15"/>
    <row r="38299" s="69" customFormat="1" x14ac:dyDescent="0.15"/>
    <row r="38300" s="69" customFormat="1" x14ac:dyDescent="0.15"/>
    <row r="38301" s="69" customFormat="1" x14ac:dyDescent="0.15"/>
    <row r="38302" s="69" customFormat="1" x14ac:dyDescent="0.15"/>
    <row r="38303" s="69" customFormat="1" x14ac:dyDescent="0.15"/>
    <row r="38304" s="69" customFormat="1" x14ac:dyDescent="0.15"/>
    <row r="38305" s="69" customFormat="1" x14ac:dyDescent="0.15"/>
    <row r="38306" s="69" customFormat="1" x14ac:dyDescent="0.15"/>
    <row r="38307" s="69" customFormat="1" x14ac:dyDescent="0.15"/>
    <row r="38308" s="69" customFormat="1" x14ac:dyDescent="0.15"/>
    <row r="38309" s="69" customFormat="1" x14ac:dyDescent="0.15"/>
    <row r="38310" s="69" customFormat="1" x14ac:dyDescent="0.15"/>
    <row r="38311" s="69" customFormat="1" x14ac:dyDescent="0.15"/>
    <row r="38312" s="69" customFormat="1" x14ac:dyDescent="0.15"/>
    <row r="38313" s="69" customFormat="1" x14ac:dyDescent="0.15"/>
    <row r="38314" s="69" customFormat="1" x14ac:dyDescent="0.15"/>
    <row r="38315" s="69" customFormat="1" x14ac:dyDescent="0.15"/>
    <row r="38316" s="69" customFormat="1" x14ac:dyDescent="0.15"/>
    <row r="38317" s="69" customFormat="1" x14ac:dyDescent="0.15"/>
    <row r="38318" s="69" customFormat="1" x14ac:dyDescent="0.15"/>
    <row r="38319" s="69" customFormat="1" x14ac:dyDescent="0.15"/>
    <row r="38320" s="69" customFormat="1" x14ac:dyDescent="0.15"/>
    <row r="38321" s="69" customFormat="1" x14ac:dyDescent="0.15"/>
    <row r="38322" s="69" customFormat="1" x14ac:dyDescent="0.15"/>
    <row r="38323" s="69" customFormat="1" x14ac:dyDescent="0.15"/>
    <row r="38324" s="69" customFormat="1" x14ac:dyDescent="0.15"/>
    <row r="38325" s="69" customFormat="1" x14ac:dyDescent="0.15"/>
    <row r="38326" s="69" customFormat="1" x14ac:dyDescent="0.15"/>
    <row r="38327" s="69" customFormat="1" x14ac:dyDescent="0.15"/>
    <row r="38328" s="69" customFormat="1" x14ac:dyDescent="0.15"/>
    <row r="38329" s="69" customFormat="1" x14ac:dyDescent="0.15"/>
    <row r="38330" s="69" customFormat="1" x14ac:dyDescent="0.15"/>
    <row r="38331" s="69" customFormat="1" x14ac:dyDescent="0.15"/>
    <row r="38332" s="69" customFormat="1" x14ac:dyDescent="0.15"/>
    <row r="38333" s="69" customFormat="1" x14ac:dyDescent="0.15"/>
    <row r="38334" s="69" customFormat="1" x14ac:dyDescent="0.15"/>
    <row r="38335" s="69" customFormat="1" x14ac:dyDescent="0.15"/>
    <row r="38336" s="69" customFormat="1" x14ac:dyDescent="0.15"/>
    <row r="38337" s="69" customFormat="1" x14ac:dyDescent="0.15"/>
    <row r="38338" s="69" customFormat="1" x14ac:dyDescent="0.15"/>
    <row r="38339" s="69" customFormat="1" x14ac:dyDescent="0.15"/>
    <row r="38340" s="69" customFormat="1" x14ac:dyDescent="0.15"/>
    <row r="38341" s="69" customFormat="1" x14ac:dyDescent="0.15"/>
    <row r="38342" s="69" customFormat="1" x14ac:dyDescent="0.15"/>
    <row r="38343" s="69" customFormat="1" x14ac:dyDescent="0.15"/>
    <row r="38344" s="69" customFormat="1" x14ac:dyDescent="0.15"/>
    <row r="38345" s="69" customFormat="1" x14ac:dyDescent="0.15"/>
    <row r="38346" s="69" customFormat="1" x14ac:dyDescent="0.15"/>
    <row r="38347" s="69" customFormat="1" x14ac:dyDescent="0.15"/>
    <row r="38348" s="69" customFormat="1" x14ac:dyDescent="0.15"/>
    <row r="38349" s="69" customFormat="1" x14ac:dyDescent="0.15"/>
    <row r="38350" s="69" customFormat="1" x14ac:dyDescent="0.15"/>
    <row r="38351" s="69" customFormat="1" x14ac:dyDescent="0.15"/>
    <row r="38352" s="69" customFormat="1" x14ac:dyDescent="0.15"/>
    <row r="38353" s="69" customFormat="1" x14ac:dyDescent="0.15"/>
    <row r="38354" s="69" customFormat="1" x14ac:dyDescent="0.15"/>
    <row r="38355" s="69" customFormat="1" x14ac:dyDescent="0.15"/>
    <row r="38356" s="69" customFormat="1" x14ac:dyDescent="0.15"/>
    <row r="38357" s="69" customFormat="1" x14ac:dyDescent="0.15"/>
    <row r="38358" s="69" customFormat="1" x14ac:dyDescent="0.15"/>
    <row r="38359" s="69" customFormat="1" x14ac:dyDescent="0.15"/>
    <row r="38360" s="69" customFormat="1" x14ac:dyDescent="0.15"/>
    <row r="38361" s="69" customFormat="1" x14ac:dyDescent="0.15"/>
    <row r="38362" s="69" customFormat="1" x14ac:dyDescent="0.15"/>
    <row r="38363" s="69" customFormat="1" x14ac:dyDescent="0.15"/>
    <row r="38364" s="69" customFormat="1" x14ac:dyDescent="0.15"/>
    <row r="38365" s="69" customFormat="1" x14ac:dyDescent="0.15"/>
    <row r="38366" s="69" customFormat="1" x14ac:dyDescent="0.15"/>
    <row r="38367" s="69" customFormat="1" x14ac:dyDescent="0.15"/>
    <row r="38368" s="69" customFormat="1" x14ac:dyDescent="0.15"/>
    <row r="38369" s="69" customFormat="1" x14ac:dyDescent="0.15"/>
    <row r="38370" s="69" customFormat="1" x14ac:dyDescent="0.15"/>
    <row r="38371" s="69" customFormat="1" x14ac:dyDescent="0.15"/>
    <row r="38372" s="69" customFormat="1" x14ac:dyDescent="0.15"/>
    <row r="38373" s="69" customFormat="1" x14ac:dyDescent="0.15"/>
    <row r="38374" s="69" customFormat="1" x14ac:dyDescent="0.15"/>
    <row r="38375" s="69" customFormat="1" x14ac:dyDescent="0.15"/>
    <row r="38376" s="69" customFormat="1" x14ac:dyDescent="0.15"/>
    <row r="38377" s="69" customFormat="1" x14ac:dyDescent="0.15"/>
    <row r="38378" s="69" customFormat="1" x14ac:dyDescent="0.15"/>
    <row r="38379" s="69" customFormat="1" x14ac:dyDescent="0.15"/>
    <row r="38380" s="69" customFormat="1" x14ac:dyDescent="0.15"/>
    <row r="38381" s="69" customFormat="1" x14ac:dyDescent="0.15"/>
    <row r="38382" s="69" customFormat="1" x14ac:dyDescent="0.15"/>
    <row r="38383" s="69" customFormat="1" x14ac:dyDescent="0.15"/>
    <row r="38384" s="69" customFormat="1" x14ac:dyDescent="0.15"/>
    <row r="38385" s="69" customFormat="1" x14ac:dyDescent="0.15"/>
    <row r="38386" s="69" customFormat="1" x14ac:dyDescent="0.15"/>
    <row r="38387" s="69" customFormat="1" x14ac:dyDescent="0.15"/>
    <row r="38388" s="69" customFormat="1" x14ac:dyDescent="0.15"/>
    <row r="38389" s="69" customFormat="1" x14ac:dyDescent="0.15"/>
    <row r="38390" s="69" customFormat="1" x14ac:dyDescent="0.15"/>
    <row r="38391" s="69" customFormat="1" x14ac:dyDescent="0.15"/>
    <row r="38392" s="69" customFormat="1" x14ac:dyDescent="0.15"/>
    <row r="38393" s="69" customFormat="1" x14ac:dyDescent="0.15"/>
    <row r="38394" s="69" customFormat="1" x14ac:dyDescent="0.15"/>
    <row r="38395" s="69" customFormat="1" x14ac:dyDescent="0.15"/>
    <row r="38396" s="69" customFormat="1" x14ac:dyDescent="0.15"/>
    <row r="38397" s="69" customFormat="1" x14ac:dyDescent="0.15"/>
    <row r="38398" s="69" customFormat="1" x14ac:dyDescent="0.15"/>
    <row r="38399" s="69" customFormat="1" x14ac:dyDescent="0.15"/>
    <row r="38400" s="69" customFormat="1" x14ac:dyDescent="0.15"/>
    <row r="38401" s="69" customFormat="1" x14ac:dyDescent="0.15"/>
    <row r="38402" s="69" customFormat="1" x14ac:dyDescent="0.15"/>
    <row r="38403" s="69" customFormat="1" x14ac:dyDescent="0.15"/>
    <row r="38404" s="69" customFormat="1" x14ac:dyDescent="0.15"/>
    <row r="38405" s="69" customFormat="1" x14ac:dyDescent="0.15"/>
    <row r="38406" s="69" customFormat="1" x14ac:dyDescent="0.15"/>
    <row r="38407" s="69" customFormat="1" x14ac:dyDescent="0.15"/>
    <row r="38408" s="69" customFormat="1" x14ac:dyDescent="0.15"/>
    <row r="38409" s="69" customFormat="1" x14ac:dyDescent="0.15"/>
    <row r="38410" s="69" customFormat="1" x14ac:dyDescent="0.15"/>
    <row r="38411" s="69" customFormat="1" x14ac:dyDescent="0.15"/>
    <row r="38412" s="69" customFormat="1" x14ac:dyDescent="0.15"/>
    <row r="38413" s="69" customFormat="1" x14ac:dyDescent="0.15"/>
    <row r="38414" s="69" customFormat="1" x14ac:dyDescent="0.15"/>
    <row r="38415" s="69" customFormat="1" x14ac:dyDescent="0.15"/>
    <row r="38416" s="69" customFormat="1" x14ac:dyDescent="0.15"/>
    <row r="38417" s="69" customFormat="1" x14ac:dyDescent="0.15"/>
    <row r="38418" s="69" customFormat="1" x14ac:dyDescent="0.15"/>
    <row r="38419" s="69" customFormat="1" x14ac:dyDescent="0.15"/>
    <row r="38420" s="69" customFormat="1" x14ac:dyDescent="0.15"/>
    <row r="38421" s="69" customFormat="1" x14ac:dyDescent="0.15"/>
    <row r="38422" s="69" customFormat="1" x14ac:dyDescent="0.15"/>
    <row r="38423" s="69" customFormat="1" x14ac:dyDescent="0.15"/>
    <row r="38424" s="69" customFormat="1" x14ac:dyDescent="0.15"/>
    <row r="38425" s="69" customFormat="1" x14ac:dyDescent="0.15"/>
    <row r="38426" s="69" customFormat="1" x14ac:dyDescent="0.15"/>
    <row r="38427" s="69" customFormat="1" x14ac:dyDescent="0.15"/>
    <row r="38428" s="69" customFormat="1" x14ac:dyDescent="0.15"/>
    <row r="38429" s="69" customFormat="1" x14ac:dyDescent="0.15"/>
    <row r="38430" s="69" customFormat="1" x14ac:dyDescent="0.15"/>
    <row r="38431" s="69" customFormat="1" x14ac:dyDescent="0.15"/>
    <row r="38432" s="69" customFormat="1" x14ac:dyDescent="0.15"/>
    <row r="38433" s="69" customFormat="1" x14ac:dyDescent="0.15"/>
    <row r="38434" s="69" customFormat="1" x14ac:dyDescent="0.15"/>
    <row r="38435" s="69" customFormat="1" x14ac:dyDescent="0.15"/>
    <row r="38436" s="69" customFormat="1" x14ac:dyDescent="0.15"/>
    <row r="38437" s="69" customFormat="1" x14ac:dyDescent="0.15"/>
    <row r="38438" s="69" customFormat="1" x14ac:dyDescent="0.15"/>
    <row r="38439" s="69" customFormat="1" x14ac:dyDescent="0.15"/>
    <row r="38440" s="69" customFormat="1" x14ac:dyDescent="0.15"/>
    <row r="38441" s="69" customFormat="1" x14ac:dyDescent="0.15"/>
    <row r="38442" s="69" customFormat="1" x14ac:dyDescent="0.15"/>
    <row r="38443" s="69" customFormat="1" x14ac:dyDescent="0.15"/>
    <row r="38444" s="69" customFormat="1" x14ac:dyDescent="0.15"/>
    <row r="38445" s="69" customFormat="1" x14ac:dyDescent="0.15"/>
    <row r="38446" s="69" customFormat="1" x14ac:dyDescent="0.15"/>
    <row r="38447" s="69" customFormat="1" x14ac:dyDescent="0.15"/>
    <row r="38448" s="69" customFormat="1" x14ac:dyDescent="0.15"/>
    <row r="38449" s="69" customFormat="1" x14ac:dyDescent="0.15"/>
    <row r="38450" s="69" customFormat="1" x14ac:dyDescent="0.15"/>
    <row r="38451" s="69" customFormat="1" x14ac:dyDescent="0.15"/>
    <row r="38452" s="69" customFormat="1" x14ac:dyDescent="0.15"/>
    <row r="38453" s="69" customFormat="1" x14ac:dyDescent="0.15"/>
    <row r="38454" s="69" customFormat="1" x14ac:dyDescent="0.15"/>
    <row r="38455" s="69" customFormat="1" x14ac:dyDescent="0.15"/>
    <row r="38456" s="69" customFormat="1" x14ac:dyDescent="0.15"/>
    <row r="38457" s="69" customFormat="1" x14ac:dyDescent="0.15"/>
    <row r="38458" s="69" customFormat="1" x14ac:dyDescent="0.15"/>
    <row r="38459" s="69" customFormat="1" x14ac:dyDescent="0.15"/>
    <row r="38460" s="69" customFormat="1" x14ac:dyDescent="0.15"/>
    <row r="38461" s="69" customFormat="1" x14ac:dyDescent="0.15"/>
    <row r="38462" s="69" customFormat="1" x14ac:dyDescent="0.15"/>
    <row r="38463" s="69" customFormat="1" x14ac:dyDescent="0.15"/>
    <row r="38464" s="69" customFormat="1" x14ac:dyDescent="0.15"/>
    <row r="38465" s="69" customFormat="1" x14ac:dyDescent="0.15"/>
    <row r="38466" s="69" customFormat="1" x14ac:dyDescent="0.15"/>
    <row r="38467" s="69" customFormat="1" x14ac:dyDescent="0.15"/>
    <row r="38468" s="69" customFormat="1" x14ac:dyDescent="0.15"/>
    <row r="38469" s="69" customFormat="1" x14ac:dyDescent="0.15"/>
    <row r="38470" s="69" customFormat="1" x14ac:dyDescent="0.15"/>
    <row r="38471" s="69" customFormat="1" x14ac:dyDescent="0.15"/>
    <row r="38472" s="69" customFormat="1" x14ac:dyDescent="0.15"/>
    <row r="38473" s="69" customFormat="1" x14ac:dyDescent="0.15"/>
    <row r="38474" s="69" customFormat="1" x14ac:dyDescent="0.15"/>
    <row r="38475" s="69" customFormat="1" x14ac:dyDescent="0.15"/>
    <row r="38476" s="69" customFormat="1" x14ac:dyDescent="0.15"/>
    <row r="38477" s="69" customFormat="1" x14ac:dyDescent="0.15"/>
    <row r="38478" s="69" customFormat="1" x14ac:dyDescent="0.15"/>
    <row r="38479" s="69" customFormat="1" x14ac:dyDescent="0.15"/>
    <row r="38480" s="69" customFormat="1" x14ac:dyDescent="0.15"/>
    <row r="38481" s="69" customFormat="1" x14ac:dyDescent="0.15"/>
    <row r="38482" s="69" customFormat="1" x14ac:dyDescent="0.15"/>
    <row r="38483" s="69" customFormat="1" x14ac:dyDescent="0.15"/>
    <row r="38484" s="69" customFormat="1" x14ac:dyDescent="0.15"/>
    <row r="38485" s="69" customFormat="1" x14ac:dyDescent="0.15"/>
    <row r="38486" s="69" customFormat="1" x14ac:dyDescent="0.15"/>
    <row r="38487" s="69" customFormat="1" x14ac:dyDescent="0.15"/>
    <row r="38488" s="69" customFormat="1" x14ac:dyDescent="0.15"/>
    <row r="38489" s="69" customFormat="1" x14ac:dyDescent="0.15"/>
    <row r="38490" s="69" customFormat="1" x14ac:dyDescent="0.15"/>
    <row r="38491" s="69" customFormat="1" x14ac:dyDescent="0.15"/>
    <row r="38492" s="69" customFormat="1" x14ac:dyDescent="0.15"/>
    <row r="38493" s="69" customFormat="1" x14ac:dyDescent="0.15"/>
    <row r="38494" s="69" customFormat="1" x14ac:dyDescent="0.15"/>
    <row r="38495" s="69" customFormat="1" x14ac:dyDescent="0.15"/>
    <row r="38496" s="69" customFormat="1" x14ac:dyDescent="0.15"/>
    <row r="38497" s="69" customFormat="1" x14ac:dyDescent="0.15"/>
    <row r="38498" s="69" customFormat="1" x14ac:dyDescent="0.15"/>
    <row r="38499" s="69" customFormat="1" x14ac:dyDescent="0.15"/>
    <row r="38500" s="69" customFormat="1" x14ac:dyDescent="0.15"/>
    <row r="38501" s="69" customFormat="1" x14ac:dyDescent="0.15"/>
    <row r="38502" s="69" customFormat="1" x14ac:dyDescent="0.15"/>
    <row r="38503" s="69" customFormat="1" x14ac:dyDescent="0.15"/>
    <row r="38504" s="69" customFormat="1" x14ac:dyDescent="0.15"/>
    <row r="38505" s="69" customFormat="1" x14ac:dyDescent="0.15"/>
    <row r="38506" s="69" customFormat="1" x14ac:dyDescent="0.15"/>
    <row r="38507" s="69" customFormat="1" x14ac:dyDescent="0.15"/>
    <row r="38508" s="69" customFormat="1" x14ac:dyDescent="0.15"/>
    <row r="38509" s="69" customFormat="1" x14ac:dyDescent="0.15"/>
    <row r="38510" s="69" customFormat="1" x14ac:dyDescent="0.15"/>
    <row r="38511" s="69" customFormat="1" x14ac:dyDescent="0.15"/>
    <row r="38512" s="69" customFormat="1" x14ac:dyDescent="0.15"/>
    <row r="38513" s="69" customFormat="1" x14ac:dyDescent="0.15"/>
    <row r="38514" s="69" customFormat="1" x14ac:dyDescent="0.15"/>
    <row r="38515" s="69" customFormat="1" x14ac:dyDescent="0.15"/>
    <row r="38516" s="69" customFormat="1" x14ac:dyDescent="0.15"/>
    <row r="38517" s="69" customFormat="1" x14ac:dyDescent="0.15"/>
    <row r="38518" s="69" customFormat="1" x14ac:dyDescent="0.15"/>
    <row r="38519" s="69" customFormat="1" x14ac:dyDescent="0.15"/>
    <row r="38520" s="69" customFormat="1" x14ac:dyDescent="0.15"/>
    <row r="38521" s="69" customFormat="1" x14ac:dyDescent="0.15"/>
    <row r="38522" s="69" customFormat="1" x14ac:dyDescent="0.15"/>
    <row r="38523" s="69" customFormat="1" x14ac:dyDescent="0.15"/>
    <row r="38524" s="69" customFormat="1" x14ac:dyDescent="0.15"/>
    <row r="38525" s="69" customFormat="1" x14ac:dyDescent="0.15"/>
    <row r="38526" s="69" customFormat="1" x14ac:dyDescent="0.15"/>
    <row r="38527" s="69" customFormat="1" x14ac:dyDescent="0.15"/>
    <row r="38528" s="69" customFormat="1" x14ac:dyDescent="0.15"/>
    <row r="38529" s="69" customFormat="1" x14ac:dyDescent="0.15"/>
    <row r="38530" s="69" customFormat="1" x14ac:dyDescent="0.15"/>
    <row r="38531" s="69" customFormat="1" x14ac:dyDescent="0.15"/>
    <row r="38532" s="69" customFormat="1" x14ac:dyDescent="0.15"/>
    <row r="38533" s="69" customFormat="1" x14ac:dyDescent="0.15"/>
    <row r="38534" s="69" customFormat="1" x14ac:dyDescent="0.15"/>
    <row r="38535" s="69" customFormat="1" x14ac:dyDescent="0.15"/>
    <row r="38536" s="69" customFormat="1" x14ac:dyDescent="0.15"/>
    <row r="38537" s="69" customFormat="1" x14ac:dyDescent="0.15"/>
    <row r="38538" s="69" customFormat="1" x14ac:dyDescent="0.15"/>
    <row r="38539" s="69" customFormat="1" x14ac:dyDescent="0.15"/>
    <row r="38540" s="69" customFormat="1" x14ac:dyDescent="0.15"/>
    <row r="38541" s="69" customFormat="1" x14ac:dyDescent="0.15"/>
    <row r="38542" s="69" customFormat="1" x14ac:dyDescent="0.15"/>
    <row r="38543" s="69" customFormat="1" x14ac:dyDescent="0.15"/>
    <row r="38544" s="69" customFormat="1" x14ac:dyDescent="0.15"/>
    <row r="38545" s="69" customFormat="1" x14ac:dyDescent="0.15"/>
    <row r="38546" s="69" customFormat="1" x14ac:dyDescent="0.15"/>
    <row r="38547" s="69" customFormat="1" x14ac:dyDescent="0.15"/>
    <row r="38548" s="69" customFormat="1" x14ac:dyDescent="0.15"/>
    <row r="38549" s="69" customFormat="1" x14ac:dyDescent="0.15"/>
    <row r="38550" s="69" customFormat="1" x14ac:dyDescent="0.15"/>
    <row r="38551" s="69" customFormat="1" x14ac:dyDescent="0.15"/>
    <row r="38552" s="69" customFormat="1" x14ac:dyDescent="0.15"/>
    <row r="38553" s="69" customFormat="1" x14ac:dyDescent="0.15"/>
    <row r="38554" s="69" customFormat="1" x14ac:dyDescent="0.15"/>
    <row r="38555" s="69" customFormat="1" x14ac:dyDescent="0.15"/>
    <row r="38556" s="69" customFormat="1" x14ac:dyDescent="0.15"/>
    <row r="38557" s="69" customFormat="1" x14ac:dyDescent="0.15"/>
    <row r="38558" s="69" customFormat="1" x14ac:dyDescent="0.15"/>
    <row r="38559" s="69" customFormat="1" x14ac:dyDescent="0.15"/>
    <row r="38560" s="69" customFormat="1" x14ac:dyDescent="0.15"/>
    <row r="38561" s="69" customFormat="1" x14ac:dyDescent="0.15"/>
    <row r="38562" s="69" customFormat="1" x14ac:dyDescent="0.15"/>
    <row r="38563" s="69" customFormat="1" x14ac:dyDescent="0.15"/>
    <row r="38564" s="69" customFormat="1" x14ac:dyDescent="0.15"/>
    <row r="38565" s="69" customFormat="1" x14ac:dyDescent="0.15"/>
    <row r="38566" s="69" customFormat="1" x14ac:dyDescent="0.15"/>
    <row r="38567" s="69" customFormat="1" x14ac:dyDescent="0.15"/>
    <row r="38568" s="69" customFormat="1" x14ac:dyDescent="0.15"/>
    <row r="38569" s="69" customFormat="1" x14ac:dyDescent="0.15"/>
    <row r="38570" s="69" customFormat="1" x14ac:dyDescent="0.15"/>
    <row r="38571" s="69" customFormat="1" x14ac:dyDescent="0.15"/>
    <row r="38572" s="69" customFormat="1" x14ac:dyDescent="0.15"/>
    <row r="38573" s="69" customFormat="1" x14ac:dyDescent="0.15"/>
    <row r="38574" s="69" customFormat="1" x14ac:dyDescent="0.15"/>
    <row r="38575" s="69" customFormat="1" x14ac:dyDescent="0.15"/>
    <row r="38576" s="69" customFormat="1" x14ac:dyDescent="0.15"/>
    <row r="38577" s="69" customFormat="1" x14ac:dyDescent="0.15"/>
    <row r="38578" s="69" customFormat="1" x14ac:dyDescent="0.15"/>
    <row r="38579" s="69" customFormat="1" x14ac:dyDescent="0.15"/>
    <row r="38580" s="69" customFormat="1" x14ac:dyDescent="0.15"/>
    <row r="38581" s="69" customFormat="1" x14ac:dyDescent="0.15"/>
    <row r="38582" s="69" customFormat="1" x14ac:dyDescent="0.15"/>
    <row r="38583" s="69" customFormat="1" x14ac:dyDescent="0.15"/>
    <row r="38584" s="69" customFormat="1" x14ac:dyDescent="0.15"/>
    <row r="38585" s="69" customFormat="1" x14ac:dyDescent="0.15"/>
    <row r="38586" s="69" customFormat="1" x14ac:dyDescent="0.15"/>
    <row r="38587" s="69" customFormat="1" x14ac:dyDescent="0.15"/>
    <row r="38588" s="69" customFormat="1" x14ac:dyDescent="0.15"/>
    <row r="38589" s="69" customFormat="1" x14ac:dyDescent="0.15"/>
    <row r="38590" s="69" customFormat="1" x14ac:dyDescent="0.15"/>
    <row r="38591" s="69" customFormat="1" x14ac:dyDescent="0.15"/>
    <row r="38592" s="69" customFormat="1" x14ac:dyDescent="0.15"/>
    <row r="38593" s="69" customFormat="1" x14ac:dyDescent="0.15"/>
    <row r="38594" s="69" customFormat="1" x14ac:dyDescent="0.15"/>
    <row r="38595" s="69" customFormat="1" x14ac:dyDescent="0.15"/>
    <row r="38596" s="69" customFormat="1" x14ac:dyDescent="0.15"/>
    <row r="38597" s="69" customFormat="1" x14ac:dyDescent="0.15"/>
    <row r="38598" s="69" customFormat="1" x14ac:dyDescent="0.15"/>
    <row r="38599" s="69" customFormat="1" x14ac:dyDescent="0.15"/>
    <row r="38600" s="69" customFormat="1" x14ac:dyDescent="0.15"/>
    <row r="38601" s="69" customFormat="1" x14ac:dyDescent="0.15"/>
    <row r="38602" s="69" customFormat="1" x14ac:dyDescent="0.15"/>
    <row r="38603" s="69" customFormat="1" x14ac:dyDescent="0.15"/>
    <row r="38604" s="69" customFormat="1" x14ac:dyDescent="0.15"/>
    <row r="38605" s="69" customFormat="1" x14ac:dyDescent="0.15"/>
    <row r="38606" s="69" customFormat="1" x14ac:dyDescent="0.15"/>
    <row r="38607" s="69" customFormat="1" x14ac:dyDescent="0.15"/>
    <row r="38608" s="69" customFormat="1" x14ac:dyDescent="0.15"/>
    <row r="38609" s="69" customFormat="1" x14ac:dyDescent="0.15"/>
    <row r="38610" s="69" customFormat="1" x14ac:dyDescent="0.15"/>
    <row r="38611" s="69" customFormat="1" x14ac:dyDescent="0.15"/>
    <row r="38612" s="69" customFormat="1" x14ac:dyDescent="0.15"/>
    <row r="38613" s="69" customFormat="1" x14ac:dyDescent="0.15"/>
    <row r="38614" s="69" customFormat="1" x14ac:dyDescent="0.15"/>
    <row r="38615" s="69" customFormat="1" x14ac:dyDescent="0.15"/>
    <row r="38616" s="69" customFormat="1" x14ac:dyDescent="0.15"/>
    <row r="38617" s="69" customFormat="1" x14ac:dyDescent="0.15"/>
    <row r="38618" s="69" customFormat="1" x14ac:dyDescent="0.15"/>
    <row r="38619" s="69" customFormat="1" x14ac:dyDescent="0.15"/>
    <row r="38620" s="69" customFormat="1" x14ac:dyDescent="0.15"/>
    <row r="38621" s="69" customFormat="1" x14ac:dyDescent="0.15"/>
    <row r="38622" s="69" customFormat="1" x14ac:dyDescent="0.15"/>
    <row r="38623" s="69" customFormat="1" x14ac:dyDescent="0.15"/>
    <row r="38624" s="69" customFormat="1" x14ac:dyDescent="0.15"/>
    <row r="38625" s="69" customFormat="1" x14ac:dyDescent="0.15"/>
    <row r="38626" s="69" customFormat="1" x14ac:dyDescent="0.15"/>
    <row r="38627" s="69" customFormat="1" x14ac:dyDescent="0.15"/>
    <row r="38628" s="69" customFormat="1" x14ac:dyDescent="0.15"/>
    <row r="38629" s="69" customFormat="1" x14ac:dyDescent="0.15"/>
    <row r="38630" s="69" customFormat="1" x14ac:dyDescent="0.15"/>
    <row r="38631" s="69" customFormat="1" x14ac:dyDescent="0.15"/>
    <row r="38632" s="69" customFormat="1" x14ac:dyDescent="0.15"/>
    <row r="38633" s="69" customFormat="1" x14ac:dyDescent="0.15"/>
    <row r="38634" s="69" customFormat="1" x14ac:dyDescent="0.15"/>
    <row r="38635" s="69" customFormat="1" x14ac:dyDescent="0.15"/>
    <row r="38636" s="69" customFormat="1" x14ac:dyDescent="0.15"/>
    <row r="38637" s="69" customFormat="1" x14ac:dyDescent="0.15"/>
    <row r="38638" s="69" customFormat="1" x14ac:dyDescent="0.15"/>
    <row r="38639" s="69" customFormat="1" x14ac:dyDescent="0.15"/>
    <row r="38640" s="69" customFormat="1" x14ac:dyDescent="0.15"/>
    <row r="38641" s="69" customFormat="1" x14ac:dyDescent="0.15"/>
    <row r="38642" s="69" customFormat="1" x14ac:dyDescent="0.15"/>
    <row r="38643" s="69" customFormat="1" x14ac:dyDescent="0.15"/>
    <row r="38644" s="69" customFormat="1" x14ac:dyDescent="0.15"/>
    <row r="38645" s="69" customFormat="1" x14ac:dyDescent="0.15"/>
    <row r="38646" s="69" customFormat="1" x14ac:dyDescent="0.15"/>
    <row r="38647" s="69" customFormat="1" x14ac:dyDescent="0.15"/>
    <row r="38648" s="69" customFormat="1" x14ac:dyDescent="0.15"/>
    <row r="38649" s="69" customFormat="1" x14ac:dyDescent="0.15"/>
    <row r="38650" s="69" customFormat="1" x14ac:dyDescent="0.15"/>
    <row r="38651" s="69" customFormat="1" x14ac:dyDescent="0.15"/>
    <row r="38652" s="69" customFormat="1" x14ac:dyDescent="0.15"/>
    <row r="38653" s="69" customFormat="1" x14ac:dyDescent="0.15"/>
    <row r="38654" s="69" customFormat="1" x14ac:dyDescent="0.15"/>
    <row r="38655" s="69" customFormat="1" x14ac:dyDescent="0.15"/>
    <row r="38656" s="69" customFormat="1" x14ac:dyDescent="0.15"/>
    <row r="38657" s="69" customFormat="1" x14ac:dyDescent="0.15"/>
    <row r="38658" s="69" customFormat="1" x14ac:dyDescent="0.15"/>
    <row r="38659" s="69" customFormat="1" x14ac:dyDescent="0.15"/>
    <row r="38660" s="69" customFormat="1" x14ac:dyDescent="0.15"/>
    <row r="38661" s="69" customFormat="1" x14ac:dyDescent="0.15"/>
    <row r="38662" s="69" customFormat="1" x14ac:dyDescent="0.15"/>
    <row r="38663" s="69" customFormat="1" x14ac:dyDescent="0.15"/>
    <row r="38664" s="69" customFormat="1" x14ac:dyDescent="0.15"/>
    <row r="38665" s="69" customFormat="1" x14ac:dyDescent="0.15"/>
    <row r="38666" s="69" customFormat="1" x14ac:dyDescent="0.15"/>
    <row r="38667" s="69" customFormat="1" x14ac:dyDescent="0.15"/>
    <row r="38668" s="69" customFormat="1" x14ac:dyDescent="0.15"/>
    <row r="38669" s="69" customFormat="1" x14ac:dyDescent="0.15"/>
    <row r="38670" s="69" customFormat="1" x14ac:dyDescent="0.15"/>
    <row r="38671" s="69" customFormat="1" x14ac:dyDescent="0.15"/>
    <row r="38672" s="69" customFormat="1" x14ac:dyDescent="0.15"/>
    <row r="38673" s="69" customFormat="1" x14ac:dyDescent="0.15"/>
    <row r="38674" s="69" customFormat="1" x14ac:dyDescent="0.15"/>
    <row r="38675" s="69" customFormat="1" x14ac:dyDescent="0.15"/>
    <row r="38676" s="69" customFormat="1" x14ac:dyDescent="0.15"/>
    <row r="38677" s="69" customFormat="1" x14ac:dyDescent="0.15"/>
    <row r="38678" s="69" customFormat="1" x14ac:dyDescent="0.15"/>
    <row r="38679" s="69" customFormat="1" x14ac:dyDescent="0.15"/>
    <row r="38680" s="69" customFormat="1" x14ac:dyDescent="0.15"/>
    <row r="38681" s="69" customFormat="1" x14ac:dyDescent="0.15"/>
    <row r="38682" s="69" customFormat="1" x14ac:dyDescent="0.15"/>
    <row r="38683" s="69" customFormat="1" x14ac:dyDescent="0.15"/>
    <row r="38684" s="69" customFormat="1" x14ac:dyDescent="0.15"/>
    <row r="38685" s="69" customFormat="1" x14ac:dyDescent="0.15"/>
    <row r="38686" s="69" customFormat="1" x14ac:dyDescent="0.15"/>
    <row r="38687" s="69" customFormat="1" x14ac:dyDescent="0.15"/>
    <row r="38688" s="69" customFormat="1" x14ac:dyDescent="0.15"/>
    <row r="38689" s="69" customFormat="1" x14ac:dyDescent="0.15"/>
    <row r="38690" s="69" customFormat="1" x14ac:dyDescent="0.15"/>
    <row r="38691" s="69" customFormat="1" x14ac:dyDescent="0.15"/>
    <row r="38692" s="69" customFormat="1" x14ac:dyDescent="0.15"/>
    <row r="38693" s="69" customFormat="1" x14ac:dyDescent="0.15"/>
    <row r="38694" s="69" customFormat="1" x14ac:dyDescent="0.15"/>
    <row r="38695" s="69" customFormat="1" x14ac:dyDescent="0.15"/>
    <row r="38696" s="69" customFormat="1" x14ac:dyDescent="0.15"/>
    <row r="38697" s="69" customFormat="1" x14ac:dyDescent="0.15"/>
    <row r="38698" s="69" customFormat="1" x14ac:dyDescent="0.15"/>
    <row r="38699" s="69" customFormat="1" x14ac:dyDescent="0.15"/>
    <row r="38700" s="69" customFormat="1" x14ac:dyDescent="0.15"/>
    <row r="38701" s="69" customFormat="1" x14ac:dyDescent="0.15"/>
    <row r="38702" s="69" customFormat="1" x14ac:dyDescent="0.15"/>
    <row r="38703" s="69" customFormat="1" x14ac:dyDescent="0.15"/>
    <row r="38704" s="69" customFormat="1" x14ac:dyDescent="0.15"/>
    <row r="38705" s="69" customFormat="1" x14ac:dyDescent="0.15"/>
    <row r="38706" s="69" customFormat="1" x14ac:dyDescent="0.15"/>
    <row r="38707" s="69" customFormat="1" x14ac:dyDescent="0.15"/>
    <row r="38708" s="69" customFormat="1" x14ac:dyDescent="0.15"/>
    <row r="38709" s="69" customFormat="1" x14ac:dyDescent="0.15"/>
    <row r="38710" s="69" customFormat="1" x14ac:dyDescent="0.15"/>
    <row r="38711" s="69" customFormat="1" x14ac:dyDescent="0.15"/>
    <row r="38712" s="69" customFormat="1" x14ac:dyDescent="0.15"/>
    <row r="38713" s="69" customFormat="1" x14ac:dyDescent="0.15"/>
    <row r="38714" s="69" customFormat="1" x14ac:dyDescent="0.15"/>
    <row r="38715" s="69" customFormat="1" x14ac:dyDescent="0.15"/>
    <row r="38716" s="69" customFormat="1" x14ac:dyDescent="0.15"/>
    <row r="38717" s="69" customFormat="1" x14ac:dyDescent="0.15"/>
    <row r="38718" s="69" customFormat="1" x14ac:dyDescent="0.15"/>
    <row r="38719" s="69" customFormat="1" x14ac:dyDescent="0.15"/>
    <row r="38720" s="69" customFormat="1" x14ac:dyDescent="0.15"/>
    <row r="38721" s="69" customFormat="1" x14ac:dyDescent="0.15"/>
    <row r="38722" s="69" customFormat="1" x14ac:dyDescent="0.15"/>
    <row r="38723" s="69" customFormat="1" x14ac:dyDescent="0.15"/>
    <row r="38724" s="69" customFormat="1" x14ac:dyDescent="0.15"/>
    <row r="38725" s="69" customFormat="1" x14ac:dyDescent="0.15"/>
    <row r="38726" s="69" customFormat="1" x14ac:dyDescent="0.15"/>
    <row r="38727" s="69" customFormat="1" x14ac:dyDescent="0.15"/>
    <row r="38728" s="69" customFormat="1" x14ac:dyDescent="0.15"/>
    <row r="38729" s="69" customFormat="1" x14ac:dyDescent="0.15"/>
    <row r="38730" s="69" customFormat="1" x14ac:dyDescent="0.15"/>
    <row r="38731" s="69" customFormat="1" x14ac:dyDescent="0.15"/>
    <row r="38732" s="69" customFormat="1" x14ac:dyDescent="0.15"/>
    <row r="38733" s="69" customFormat="1" x14ac:dyDescent="0.15"/>
    <row r="38734" s="69" customFormat="1" x14ac:dyDescent="0.15"/>
    <row r="38735" s="69" customFormat="1" x14ac:dyDescent="0.15"/>
    <row r="38736" s="69" customFormat="1" x14ac:dyDescent="0.15"/>
    <row r="38737" s="69" customFormat="1" x14ac:dyDescent="0.15"/>
    <row r="38738" s="69" customFormat="1" x14ac:dyDescent="0.15"/>
    <row r="38739" s="69" customFormat="1" x14ac:dyDescent="0.15"/>
    <row r="38740" s="69" customFormat="1" x14ac:dyDescent="0.15"/>
    <row r="38741" s="69" customFormat="1" x14ac:dyDescent="0.15"/>
    <row r="38742" s="69" customFormat="1" x14ac:dyDescent="0.15"/>
    <row r="38743" s="69" customFormat="1" x14ac:dyDescent="0.15"/>
    <row r="38744" s="69" customFormat="1" x14ac:dyDescent="0.15"/>
    <row r="38745" s="69" customFormat="1" x14ac:dyDescent="0.15"/>
    <row r="38746" s="69" customFormat="1" x14ac:dyDescent="0.15"/>
    <row r="38747" s="69" customFormat="1" x14ac:dyDescent="0.15"/>
    <row r="38748" s="69" customFormat="1" x14ac:dyDescent="0.15"/>
    <row r="38749" s="69" customFormat="1" x14ac:dyDescent="0.15"/>
    <row r="38750" s="69" customFormat="1" x14ac:dyDescent="0.15"/>
    <row r="38751" s="69" customFormat="1" x14ac:dyDescent="0.15"/>
    <row r="38752" s="69" customFormat="1" x14ac:dyDescent="0.15"/>
    <row r="38753" s="69" customFormat="1" x14ac:dyDescent="0.15"/>
    <row r="38754" s="69" customFormat="1" x14ac:dyDescent="0.15"/>
    <row r="38755" s="69" customFormat="1" x14ac:dyDescent="0.15"/>
    <row r="38756" s="69" customFormat="1" x14ac:dyDescent="0.15"/>
    <row r="38757" s="69" customFormat="1" x14ac:dyDescent="0.15"/>
    <row r="38758" s="69" customFormat="1" x14ac:dyDescent="0.15"/>
    <row r="38759" s="69" customFormat="1" x14ac:dyDescent="0.15"/>
    <row r="38760" s="69" customFormat="1" x14ac:dyDescent="0.15"/>
    <row r="38761" s="69" customFormat="1" x14ac:dyDescent="0.15"/>
    <row r="38762" s="69" customFormat="1" x14ac:dyDescent="0.15"/>
    <row r="38763" s="69" customFormat="1" x14ac:dyDescent="0.15"/>
    <row r="38764" s="69" customFormat="1" x14ac:dyDescent="0.15"/>
    <row r="38765" s="69" customFormat="1" x14ac:dyDescent="0.15"/>
    <row r="38766" s="69" customFormat="1" x14ac:dyDescent="0.15"/>
    <row r="38767" s="69" customFormat="1" x14ac:dyDescent="0.15"/>
    <row r="38768" s="69" customFormat="1" x14ac:dyDescent="0.15"/>
    <row r="38769" s="69" customFormat="1" x14ac:dyDescent="0.15"/>
    <row r="38770" s="69" customFormat="1" x14ac:dyDescent="0.15"/>
    <row r="38771" s="69" customFormat="1" x14ac:dyDescent="0.15"/>
    <row r="38772" s="69" customFormat="1" x14ac:dyDescent="0.15"/>
    <row r="38773" s="69" customFormat="1" x14ac:dyDescent="0.15"/>
    <row r="38774" s="69" customFormat="1" x14ac:dyDescent="0.15"/>
    <row r="38775" s="69" customFormat="1" x14ac:dyDescent="0.15"/>
    <row r="38776" s="69" customFormat="1" x14ac:dyDescent="0.15"/>
    <row r="38777" s="69" customFormat="1" x14ac:dyDescent="0.15"/>
    <row r="38778" s="69" customFormat="1" x14ac:dyDescent="0.15"/>
    <row r="38779" s="69" customFormat="1" x14ac:dyDescent="0.15"/>
    <row r="38780" s="69" customFormat="1" x14ac:dyDescent="0.15"/>
    <row r="38781" s="69" customFormat="1" x14ac:dyDescent="0.15"/>
    <row r="38782" s="69" customFormat="1" x14ac:dyDescent="0.15"/>
    <row r="38783" s="69" customFormat="1" x14ac:dyDescent="0.15"/>
    <row r="38784" s="69" customFormat="1" x14ac:dyDescent="0.15"/>
    <row r="38785" s="69" customFormat="1" x14ac:dyDescent="0.15"/>
    <row r="38786" s="69" customFormat="1" x14ac:dyDescent="0.15"/>
    <row r="38787" s="69" customFormat="1" x14ac:dyDescent="0.15"/>
    <row r="38788" s="69" customFormat="1" x14ac:dyDescent="0.15"/>
    <row r="38789" s="69" customFormat="1" x14ac:dyDescent="0.15"/>
    <row r="38790" s="69" customFormat="1" x14ac:dyDescent="0.15"/>
    <row r="38791" s="69" customFormat="1" x14ac:dyDescent="0.15"/>
    <row r="38792" s="69" customFormat="1" x14ac:dyDescent="0.15"/>
    <row r="38793" s="69" customFormat="1" x14ac:dyDescent="0.15"/>
    <row r="38794" s="69" customFormat="1" x14ac:dyDescent="0.15"/>
    <row r="38795" s="69" customFormat="1" x14ac:dyDescent="0.15"/>
    <row r="38796" s="69" customFormat="1" x14ac:dyDescent="0.15"/>
    <row r="38797" s="69" customFormat="1" x14ac:dyDescent="0.15"/>
    <row r="38798" s="69" customFormat="1" x14ac:dyDescent="0.15"/>
    <row r="38799" s="69" customFormat="1" x14ac:dyDescent="0.15"/>
    <row r="38800" s="69" customFormat="1" x14ac:dyDescent="0.15"/>
    <row r="38801" s="69" customFormat="1" x14ac:dyDescent="0.15"/>
    <row r="38802" s="69" customFormat="1" x14ac:dyDescent="0.15"/>
    <row r="38803" s="69" customFormat="1" x14ac:dyDescent="0.15"/>
    <row r="38804" s="69" customFormat="1" x14ac:dyDescent="0.15"/>
    <row r="38805" s="69" customFormat="1" x14ac:dyDescent="0.15"/>
    <row r="38806" s="69" customFormat="1" x14ac:dyDescent="0.15"/>
    <row r="38807" s="69" customFormat="1" x14ac:dyDescent="0.15"/>
    <row r="38808" s="69" customFormat="1" x14ac:dyDescent="0.15"/>
    <row r="38809" s="69" customFormat="1" x14ac:dyDescent="0.15"/>
    <row r="38810" s="69" customFormat="1" x14ac:dyDescent="0.15"/>
    <row r="38811" s="69" customFormat="1" x14ac:dyDescent="0.15"/>
    <row r="38812" s="69" customFormat="1" x14ac:dyDescent="0.15"/>
    <row r="38813" s="69" customFormat="1" x14ac:dyDescent="0.15"/>
    <row r="38814" s="69" customFormat="1" x14ac:dyDescent="0.15"/>
    <row r="38815" s="69" customFormat="1" x14ac:dyDescent="0.15"/>
    <row r="38816" s="69" customFormat="1" x14ac:dyDescent="0.15"/>
    <row r="38817" s="69" customFormat="1" x14ac:dyDescent="0.15"/>
    <row r="38818" s="69" customFormat="1" x14ac:dyDescent="0.15"/>
    <row r="38819" s="69" customFormat="1" x14ac:dyDescent="0.15"/>
    <row r="38820" s="69" customFormat="1" x14ac:dyDescent="0.15"/>
    <row r="38821" s="69" customFormat="1" x14ac:dyDescent="0.15"/>
    <row r="38822" s="69" customFormat="1" x14ac:dyDescent="0.15"/>
    <row r="38823" s="69" customFormat="1" x14ac:dyDescent="0.15"/>
    <row r="38824" s="69" customFormat="1" x14ac:dyDescent="0.15"/>
    <row r="38825" s="69" customFormat="1" x14ac:dyDescent="0.15"/>
    <row r="38826" s="69" customFormat="1" x14ac:dyDescent="0.15"/>
    <row r="38827" s="69" customFormat="1" x14ac:dyDescent="0.15"/>
    <row r="38828" s="69" customFormat="1" x14ac:dyDescent="0.15"/>
    <row r="38829" s="69" customFormat="1" x14ac:dyDescent="0.15"/>
    <row r="38830" s="69" customFormat="1" x14ac:dyDescent="0.15"/>
    <row r="38831" s="69" customFormat="1" x14ac:dyDescent="0.15"/>
    <row r="38832" s="69" customFormat="1" x14ac:dyDescent="0.15"/>
    <row r="38833" s="69" customFormat="1" x14ac:dyDescent="0.15"/>
    <row r="38834" s="69" customFormat="1" x14ac:dyDescent="0.15"/>
    <row r="38835" s="69" customFormat="1" x14ac:dyDescent="0.15"/>
    <row r="38836" s="69" customFormat="1" x14ac:dyDescent="0.15"/>
    <row r="38837" s="69" customFormat="1" x14ac:dyDescent="0.15"/>
    <row r="38838" s="69" customFormat="1" x14ac:dyDescent="0.15"/>
    <row r="38839" s="69" customFormat="1" x14ac:dyDescent="0.15"/>
    <row r="38840" s="69" customFormat="1" x14ac:dyDescent="0.15"/>
    <row r="38841" s="69" customFormat="1" x14ac:dyDescent="0.15"/>
    <row r="38842" s="69" customFormat="1" x14ac:dyDescent="0.15"/>
    <row r="38843" s="69" customFormat="1" x14ac:dyDescent="0.15"/>
    <row r="38844" s="69" customFormat="1" x14ac:dyDescent="0.15"/>
    <row r="38845" s="69" customFormat="1" x14ac:dyDescent="0.15"/>
    <row r="38846" s="69" customFormat="1" x14ac:dyDescent="0.15"/>
    <row r="38847" s="69" customFormat="1" x14ac:dyDescent="0.15"/>
    <row r="38848" s="69" customFormat="1" x14ac:dyDescent="0.15"/>
    <row r="38849" s="69" customFormat="1" x14ac:dyDescent="0.15"/>
    <row r="38850" s="69" customFormat="1" x14ac:dyDescent="0.15"/>
    <row r="38851" s="69" customFormat="1" x14ac:dyDescent="0.15"/>
    <row r="38852" s="69" customFormat="1" x14ac:dyDescent="0.15"/>
    <row r="38853" s="69" customFormat="1" x14ac:dyDescent="0.15"/>
    <row r="38854" s="69" customFormat="1" x14ac:dyDescent="0.15"/>
    <row r="38855" s="69" customFormat="1" x14ac:dyDescent="0.15"/>
    <row r="38856" s="69" customFormat="1" x14ac:dyDescent="0.15"/>
    <row r="38857" s="69" customFormat="1" x14ac:dyDescent="0.15"/>
    <row r="38858" s="69" customFormat="1" x14ac:dyDescent="0.15"/>
    <row r="38859" s="69" customFormat="1" x14ac:dyDescent="0.15"/>
    <row r="38860" s="69" customFormat="1" x14ac:dyDescent="0.15"/>
    <row r="38861" s="69" customFormat="1" x14ac:dyDescent="0.15"/>
    <row r="38862" s="69" customFormat="1" x14ac:dyDescent="0.15"/>
    <row r="38863" s="69" customFormat="1" x14ac:dyDescent="0.15"/>
    <row r="38864" s="69" customFormat="1" x14ac:dyDescent="0.15"/>
    <row r="38865" s="69" customFormat="1" x14ac:dyDescent="0.15"/>
    <row r="38866" s="69" customFormat="1" x14ac:dyDescent="0.15"/>
    <row r="38867" s="69" customFormat="1" x14ac:dyDescent="0.15"/>
    <row r="38868" s="69" customFormat="1" x14ac:dyDescent="0.15"/>
    <row r="38869" s="69" customFormat="1" x14ac:dyDescent="0.15"/>
    <row r="38870" s="69" customFormat="1" x14ac:dyDescent="0.15"/>
    <row r="38871" s="69" customFormat="1" x14ac:dyDescent="0.15"/>
    <row r="38872" s="69" customFormat="1" x14ac:dyDescent="0.15"/>
    <row r="38873" s="69" customFormat="1" x14ac:dyDescent="0.15"/>
    <row r="38874" s="69" customFormat="1" x14ac:dyDescent="0.15"/>
    <row r="38875" s="69" customFormat="1" x14ac:dyDescent="0.15"/>
    <row r="38876" s="69" customFormat="1" x14ac:dyDescent="0.15"/>
    <row r="38877" s="69" customFormat="1" x14ac:dyDescent="0.15"/>
    <row r="38878" s="69" customFormat="1" x14ac:dyDescent="0.15"/>
    <row r="38879" s="69" customFormat="1" x14ac:dyDescent="0.15"/>
    <row r="38880" s="69" customFormat="1" x14ac:dyDescent="0.15"/>
    <row r="38881" s="69" customFormat="1" x14ac:dyDescent="0.15"/>
    <row r="38882" s="69" customFormat="1" x14ac:dyDescent="0.15"/>
    <row r="38883" s="69" customFormat="1" x14ac:dyDescent="0.15"/>
    <row r="38884" s="69" customFormat="1" x14ac:dyDescent="0.15"/>
    <row r="38885" s="69" customFormat="1" x14ac:dyDescent="0.15"/>
    <row r="38886" s="69" customFormat="1" x14ac:dyDescent="0.15"/>
    <row r="38887" s="69" customFormat="1" x14ac:dyDescent="0.15"/>
    <row r="38888" s="69" customFormat="1" x14ac:dyDescent="0.15"/>
    <row r="38889" s="69" customFormat="1" x14ac:dyDescent="0.15"/>
    <row r="38890" s="69" customFormat="1" x14ac:dyDescent="0.15"/>
    <row r="38891" s="69" customFormat="1" x14ac:dyDescent="0.15"/>
    <row r="38892" s="69" customFormat="1" x14ac:dyDescent="0.15"/>
    <row r="38893" s="69" customFormat="1" x14ac:dyDescent="0.15"/>
    <row r="38894" s="69" customFormat="1" x14ac:dyDescent="0.15"/>
    <row r="38895" s="69" customFormat="1" x14ac:dyDescent="0.15"/>
    <row r="38896" s="69" customFormat="1" x14ac:dyDescent="0.15"/>
    <row r="38897" s="69" customFormat="1" x14ac:dyDescent="0.15"/>
    <row r="38898" s="69" customFormat="1" x14ac:dyDescent="0.15"/>
    <row r="38899" s="69" customFormat="1" x14ac:dyDescent="0.15"/>
    <row r="38900" s="69" customFormat="1" x14ac:dyDescent="0.15"/>
    <row r="38901" s="69" customFormat="1" x14ac:dyDescent="0.15"/>
    <row r="38902" s="69" customFormat="1" x14ac:dyDescent="0.15"/>
    <row r="38903" s="69" customFormat="1" x14ac:dyDescent="0.15"/>
    <row r="38904" s="69" customFormat="1" x14ac:dyDescent="0.15"/>
    <row r="38905" s="69" customFormat="1" x14ac:dyDescent="0.15"/>
    <row r="38906" s="69" customFormat="1" x14ac:dyDescent="0.15"/>
    <row r="38907" s="69" customFormat="1" x14ac:dyDescent="0.15"/>
    <row r="38908" s="69" customFormat="1" x14ac:dyDescent="0.15"/>
    <row r="38909" s="69" customFormat="1" x14ac:dyDescent="0.15"/>
    <row r="38910" s="69" customFormat="1" x14ac:dyDescent="0.15"/>
    <row r="38911" s="69" customFormat="1" x14ac:dyDescent="0.15"/>
    <row r="38912" s="69" customFormat="1" x14ac:dyDescent="0.15"/>
    <row r="38913" s="69" customFormat="1" x14ac:dyDescent="0.15"/>
    <row r="38914" s="69" customFormat="1" x14ac:dyDescent="0.15"/>
    <row r="38915" s="69" customFormat="1" x14ac:dyDescent="0.15"/>
    <row r="38916" s="69" customFormat="1" x14ac:dyDescent="0.15"/>
    <row r="38917" s="69" customFormat="1" x14ac:dyDescent="0.15"/>
    <row r="38918" s="69" customFormat="1" x14ac:dyDescent="0.15"/>
    <row r="38919" s="69" customFormat="1" x14ac:dyDescent="0.15"/>
    <row r="38920" s="69" customFormat="1" x14ac:dyDescent="0.15"/>
    <row r="38921" s="69" customFormat="1" x14ac:dyDescent="0.15"/>
    <row r="38922" s="69" customFormat="1" x14ac:dyDescent="0.15"/>
    <row r="38923" s="69" customFormat="1" x14ac:dyDescent="0.15"/>
    <row r="38924" s="69" customFormat="1" x14ac:dyDescent="0.15"/>
    <row r="38925" s="69" customFormat="1" x14ac:dyDescent="0.15"/>
    <row r="38926" s="69" customFormat="1" x14ac:dyDescent="0.15"/>
    <row r="38927" s="69" customFormat="1" x14ac:dyDescent="0.15"/>
    <row r="38928" s="69" customFormat="1" x14ac:dyDescent="0.15"/>
    <row r="38929" s="69" customFormat="1" x14ac:dyDescent="0.15"/>
    <row r="38930" s="69" customFormat="1" x14ac:dyDescent="0.15"/>
    <row r="38931" s="69" customFormat="1" x14ac:dyDescent="0.15"/>
    <row r="38932" s="69" customFormat="1" x14ac:dyDescent="0.15"/>
    <row r="38933" s="69" customFormat="1" x14ac:dyDescent="0.15"/>
    <row r="38934" s="69" customFormat="1" x14ac:dyDescent="0.15"/>
    <row r="38935" s="69" customFormat="1" x14ac:dyDescent="0.15"/>
    <row r="38936" s="69" customFormat="1" x14ac:dyDescent="0.15"/>
    <row r="38937" s="69" customFormat="1" x14ac:dyDescent="0.15"/>
    <row r="38938" s="69" customFormat="1" x14ac:dyDescent="0.15"/>
    <row r="38939" s="69" customFormat="1" x14ac:dyDescent="0.15"/>
    <row r="38940" s="69" customFormat="1" x14ac:dyDescent="0.15"/>
    <row r="38941" s="69" customFormat="1" x14ac:dyDescent="0.15"/>
    <row r="38942" s="69" customFormat="1" x14ac:dyDescent="0.15"/>
    <row r="38943" s="69" customFormat="1" x14ac:dyDescent="0.15"/>
    <row r="38944" s="69" customFormat="1" x14ac:dyDescent="0.15"/>
    <row r="38945" s="69" customFormat="1" x14ac:dyDescent="0.15"/>
    <row r="38946" s="69" customFormat="1" x14ac:dyDescent="0.15"/>
    <row r="38947" s="69" customFormat="1" x14ac:dyDescent="0.15"/>
    <row r="38948" s="69" customFormat="1" x14ac:dyDescent="0.15"/>
    <row r="38949" s="69" customFormat="1" x14ac:dyDescent="0.15"/>
    <row r="38950" s="69" customFormat="1" x14ac:dyDescent="0.15"/>
    <row r="38951" s="69" customFormat="1" x14ac:dyDescent="0.15"/>
    <row r="38952" s="69" customFormat="1" x14ac:dyDescent="0.15"/>
    <row r="38953" s="69" customFormat="1" x14ac:dyDescent="0.15"/>
    <row r="38954" s="69" customFormat="1" x14ac:dyDescent="0.15"/>
    <row r="38955" s="69" customFormat="1" x14ac:dyDescent="0.15"/>
    <row r="38956" s="69" customFormat="1" x14ac:dyDescent="0.15"/>
    <row r="38957" s="69" customFormat="1" x14ac:dyDescent="0.15"/>
    <row r="38958" s="69" customFormat="1" x14ac:dyDescent="0.15"/>
    <row r="38959" s="69" customFormat="1" x14ac:dyDescent="0.15"/>
    <row r="38960" s="69" customFormat="1" x14ac:dyDescent="0.15"/>
    <row r="38961" s="69" customFormat="1" x14ac:dyDescent="0.15"/>
    <row r="38962" s="69" customFormat="1" x14ac:dyDescent="0.15"/>
    <row r="38963" s="69" customFormat="1" x14ac:dyDescent="0.15"/>
    <row r="38964" s="69" customFormat="1" x14ac:dyDescent="0.15"/>
    <row r="38965" s="69" customFormat="1" x14ac:dyDescent="0.15"/>
    <row r="38966" s="69" customFormat="1" x14ac:dyDescent="0.15"/>
    <row r="38967" s="69" customFormat="1" x14ac:dyDescent="0.15"/>
    <row r="38968" s="69" customFormat="1" x14ac:dyDescent="0.15"/>
    <row r="38969" s="69" customFormat="1" x14ac:dyDescent="0.15"/>
    <row r="38970" s="69" customFormat="1" x14ac:dyDescent="0.15"/>
    <row r="38971" s="69" customFormat="1" x14ac:dyDescent="0.15"/>
    <row r="38972" s="69" customFormat="1" x14ac:dyDescent="0.15"/>
    <row r="38973" s="69" customFormat="1" x14ac:dyDescent="0.15"/>
    <row r="38974" s="69" customFormat="1" x14ac:dyDescent="0.15"/>
    <row r="38975" s="69" customFormat="1" x14ac:dyDescent="0.15"/>
    <row r="38976" s="69" customFormat="1" x14ac:dyDescent="0.15"/>
    <row r="38977" s="69" customFormat="1" x14ac:dyDescent="0.15"/>
    <row r="38978" s="69" customFormat="1" x14ac:dyDescent="0.15"/>
    <row r="38979" s="69" customFormat="1" x14ac:dyDescent="0.15"/>
    <row r="38980" s="69" customFormat="1" x14ac:dyDescent="0.15"/>
    <row r="38981" s="69" customFormat="1" x14ac:dyDescent="0.15"/>
    <row r="38982" s="69" customFormat="1" x14ac:dyDescent="0.15"/>
    <row r="38983" s="69" customFormat="1" x14ac:dyDescent="0.15"/>
    <row r="38984" s="69" customFormat="1" x14ac:dyDescent="0.15"/>
    <row r="38985" s="69" customFormat="1" x14ac:dyDescent="0.15"/>
    <row r="38986" s="69" customFormat="1" x14ac:dyDescent="0.15"/>
    <row r="38987" s="69" customFormat="1" x14ac:dyDescent="0.15"/>
    <row r="38988" s="69" customFormat="1" x14ac:dyDescent="0.15"/>
    <row r="38989" s="69" customFormat="1" x14ac:dyDescent="0.15"/>
    <row r="38990" s="69" customFormat="1" x14ac:dyDescent="0.15"/>
    <row r="38991" s="69" customFormat="1" x14ac:dyDescent="0.15"/>
    <row r="38992" s="69" customFormat="1" x14ac:dyDescent="0.15"/>
    <row r="38993" s="69" customFormat="1" x14ac:dyDescent="0.15"/>
    <row r="38994" s="69" customFormat="1" x14ac:dyDescent="0.15"/>
    <row r="38995" s="69" customFormat="1" x14ac:dyDescent="0.15"/>
    <row r="38996" s="69" customFormat="1" x14ac:dyDescent="0.15"/>
    <row r="38997" s="69" customFormat="1" x14ac:dyDescent="0.15"/>
    <row r="38998" s="69" customFormat="1" x14ac:dyDescent="0.15"/>
    <row r="38999" s="69" customFormat="1" x14ac:dyDescent="0.15"/>
    <row r="39000" s="69" customFormat="1" x14ac:dyDescent="0.15"/>
    <row r="39001" s="69" customFormat="1" x14ac:dyDescent="0.15"/>
    <row r="39002" s="69" customFormat="1" x14ac:dyDescent="0.15"/>
    <row r="39003" s="69" customFormat="1" x14ac:dyDescent="0.15"/>
    <row r="39004" s="69" customFormat="1" x14ac:dyDescent="0.15"/>
    <row r="39005" s="69" customFormat="1" x14ac:dyDescent="0.15"/>
    <row r="39006" s="69" customFormat="1" x14ac:dyDescent="0.15"/>
    <row r="39007" s="69" customFormat="1" x14ac:dyDescent="0.15"/>
    <row r="39008" s="69" customFormat="1" x14ac:dyDescent="0.15"/>
    <row r="39009" s="69" customFormat="1" x14ac:dyDescent="0.15"/>
    <row r="39010" s="69" customFormat="1" x14ac:dyDescent="0.15"/>
    <row r="39011" s="69" customFormat="1" x14ac:dyDescent="0.15"/>
    <row r="39012" s="69" customFormat="1" x14ac:dyDescent="0.15"/>
    <row r="39013" s="69" customFormat="1" x14ac:dyDescent="0.15"/>
    <row r="39014" s="69" customFormat="1" x14ac:dyDescent="0.15"/>
    <row r="39015" s="69" customFormat="1" x14ac:dyDescent="0.15"/>
    <row r="39016" s="69" customFormat="1" x14ac:dyDescent="0.15"/>
    <row r="39017" s="69" customFormat="1" x14ac:dyDescent="0.15"/>
    <row r="39018" s="69" customFormat="1" x14ac:dyDescent="0.15"/>
    <row r="39019" s="69" customFormat="1" x14ac:dyDescent="0.15"/>
    <row r="39020" s="69" customFormat="1" x14ac:dyDescent="0.15"/>
    <row r="39021" s="69" customFormat="1" x14ac:dyDescent="0.15"/>
    <row r="39022" s="69" customFormat="1" x14ac:dyDescent="0.15"/>
    <row r="39023" s="69" customFormat="1" x14ac:dyDescent="0.15"/>
    <row r="39024" s="69" customFormat="1" x14ac:dyDescent="0.15"/>
    <row r="39025" s="69" customFormat="1" x14ac:dyDescent="0.15"/>
    <row r="39026" s="69" customFormat="1" x14ac:dyDescent="0.15"/>
    <row r="39027" s="69" customFormat="1" x14ac:dyDescent="0.15"/>
    <row r="39028" s="69" customFormat="1" x14ac:dyDescent="0.15"/>
    <row r="39029" s="69" customFormat="1" x14ac:dyDescent="0.15"/>
    <row r="39030" s="69" customFormat="1" x14ac:dyDescent="0.15"/>
    <row r="39031" s="69" customFormat="1" x14ac:dyDescent="0.15"/>
    <row r="39032" s="69" customFormat="1" x14ac:dyDescent="0.15"/>
    <row r="39033" s="69" customFormat="1" x14ac:dyDescent="0.15"/>
    <row r="39034" s="69" customFormat="1" x14ac:dyDescent="0.15"/>
    <row r="39035" s="69" customFormat="1" x14ac:dyDescent="0.15"/>
    <row r="39036" s="69" customFormat="1" x14ac:dyDescent="0.15"/>
    <row r="39037" s="69" customFormat="1" x14ac:dyDescent="0.15"/>
    <row r="39038" s="69" customFormat="1" x14ac:dyDescent="0.15"/>
    <row r="39039" s="69" customFormat="1" x14ac:dyDescent="0.15"/>
    <row r="39040" s="69" customFormat="1" x14ac:dyDescent="0.15"/>
    <row r="39041" s="69" customFormat="1" x14ac:dyDescent="0.15"/>
    <row r="39042" s="69" customFormat="1" x14ac:dyDescent="0.15"/>
    <row r="39043" s="69" customFormat="1" x14ac:dyDescent="0.15"/>
    <row r="39044" s="69" customFormat="1" x14ac:dyDescent="0.15"/>
    <row r="39045" s="69" customFormat="1" x14ac:dyDescent="0.15"/>
    <row r="39046" s="69" customFormat="1" x14ac:dyDescent="0.15"/>
    <row r="39047" s="69" customFormat="1" x14ac:dyDescent="0.15"/>
    <row r="39048" s="69" customFormat="1" x14ac:dyDescent="0.15"/>
    <row r="39049" s="69" customFormat="1" x14ac:dyDescent="0.15"/>
    <row r="39050" s="69" customFormat="1" x14ac:dyDescent="0.15"/>
    <row r="39051" s="69" customFormat="1" x14ac:dyDescent="0.15"/>
    <row r="39052" s="69" customFormat="1" x14ac:dyDescent="0.15"/>
    <row r="39053" s="69" customFormat="1" x14ac:dyDescent="0.15"/>
    <row r="39054" s="69" customFormat="1" x14ac:dyDescent="0.15"/>
    <row r="39055" s="69" customFormat="1" x14ac:dyDescent="0.15"/>
    <row r="39056" s="69" customFormat="1" x14ac:dyDescent="0.15"/>
    <row r="39057" s="69" customFormat="1" x14ac:dyDescent="0.15"/>
    <row r="39058" s="69" customFormat="1" x14ac:dyDescent="0.15"/>
    <row r="39059" s="69" customFormat="1" x14ac:dyDescent="0.15"/>
    <row r="39060" s="69" customFormat="1" x14ac:dyDescent="0.15"/>
    <row r="39061" s="69" customFormat="1" x14ac:dyDescent="0.15"/>
    <row r="39062" s="69" customFormat="1" x14ac:dyDescent="0.15"/>
    <row r="39063" s="69" customFormat="1" x14ac:dyDescent="0.15"/>
    <row r="39064" s="69" customFormat="1" x14ac:dyDescent="0.15"/>
    <row r="39065" s="69" customFormat="1" x14ac:dyDescent="0.15"/>
    <row r="39066" s="69" customFormat="1" x14ac:dyDescent="0.15"/>
    <row r="39067" s="69" customFormat="1" x14ac:dyDescent="0.15"/>
    <row r="39068" s="69" customFormat="1" x14ac:dyDescent="0.15"/>
    <row r="39069" s="69" customFormat="1" x14ac:dyDescent="0.15"/>
    <row r="39070" s="69" customFormat="1" x14ac:dyDescent="0.15"/>
    <row r="39071" s="69" customFormat="1" x14ac:dyDescent="0.15"/>
    <row r="39072" s="69" customFormat="1" x14ac:dyDescent="0.15"/>
    <row r="39073" s="69" customFormat="1" x14ac:dyDescent="0.15"/>
    <row r="39074" s="69" customFormat="1" x14ac:dyDescent="0.15"/>
    <row r="39075" s="69" customFormat="1" x14ac:dyDescent="0.15"/>
    <row r="39076" s="69" customFormat="1" x14ac:dyDescent="0.15"/>
    <row r="39077" s="69" customFormat="1" x14ac:dyDescent="0.15"/>
    <row r="39078" s="69" customFormat="1" x14ac:dyDescent="0.15"/>
    <row r="39079" s="69" customFormat="1" x14ac:dyDescent="0.15"/>
    <row r="39080" s="69" customFormat="1" x14ac:dyDescent="0.15"/>
    <row r="39081" s="69" customFormat="1" x14ac:dyDescent="0.15"/>
    <row r="39082" s="69" customFormat="1" x14ac:dyDescent="0.15"/>
    <row r="39083" s="69" customFormat="1" x14ac:dyDescent="0.15"/>
    <row r="39084" s="69" customFormat="1" x14ac:dyDescent="0.15"/>
    <row r="39085" s="69" customFormat="1" x14ac:dyDescent="0.15"/>
    <row r="39086" s="69" customFormat="1" x14ac:dyDescent="0.15"/>
    <row r="39087" s="69" customFormat="1" x14ac:dyDescent="0.15"/>
    <row r="39088" s="69" customFormat="1" x14ac:dyDescent="0.15"/>
    <row r="39089" s="69" customFormat="1" x14ac:dyDescent="0.15"/>
    <row r="39090" s="69" customFormat="1" x14ac:dyDescent="0.15"/>
    <row r="39091" s="69" customFormat="1" x14ac:dyDescent="0.15"/>
    <row r="39092" s="69" customFormat="1" x14ac:dyDescent="0.15"/>
    <row r="39093" s="69" customFormat="1" x14ac:dyDescent="0.15"/>
    <row r="39094" s="69" customFormat="1" x14ac:dyDescent="0.15"/>
    <row r="39095" s="69" customFormat="1" x14ac:dyDescent="0.15"/>
    <row r="39096" s="69" customFormat="1" x14ac:dyDescent="0.15"/>
    <row r="39097" s="69" customFormat="1" x14ac:dyDescent="0.15"/>
    <row r="39098" s="69" customFormat="1" x14ac:dyDescent="0.15"/>
    <row r="39099" s="69" customFormat="1" x14ac:dyDescent="0.15"/>
    <row r="39100" s="69" customFormat="1" x14ac:dyDescent="0.15"/>
    <row r="39101" s="69" customFormat="1" x14ac:dyDescent="0.15"/>
    <row r="39102" s="69" customFormat="1" x14ac:dyDescent="0.15"/>
    <row r="39103" s="69" customFormat="1" x14ac:dyDescent="0.15"/>
    <row r="39104" s="69" customFormat="1" x14ac:dyDescent="0.15"/>
    <row r="39105" s="69" customFormat="1" x14ac:dyDescent="0.15"/>
    <row r="39106" s="69" customFormat="1" x14ac:dyDescent="0.15"/>
    <row r="39107" s="69" customFormat="1" x14ac:dyDescent="0.15"/>
    <row r="39108" s="69" customFormat="1" x14ac:dyDescent="0.15"/>
    <row r="39109" s="69" customFormat="1" x14ac:dyDescent="0.15"/>
    <row r="39110" s="69" customFormat="1" x14ac:dyDescent="0.15"/>
    <row r="39111" s="69" customFormat="1" x14ac:dyDescent="0.15"/>
    <row r="39112" s="69" customFormat="1" x14ac:dyDescent="0.15"/>
    <row r="39113" s="69" customFormat="1" x14ac:dyDescent="0.15"/>
    <row r="39114" s="69" customFormat="1" x14ac:dyDescent="0.15"/>
    <row r="39115" s="69" customFormat="1" x14ac:dyDescent="0.15"/>
    <row r="39116" s="69" customFormat="1" x14ac:dyDescent="0.15"/>
    <row r="39117" s="69" customFormat="1" x14ac:dyDescent="0.15"/>
    <row r="39118" s="69" customFormat="1" x14ac:dyDescent="0.15"/>
    <row r="39119" s="69" customFormat="1" x14ac:dyDescent="0.15"/>
    <row r="39120" s="69" customFormat="1" x14ac:dyDescent="0.15"/>
    <row r="39121" s="69" customFormat="1" x14ac:dyDescent="0.15"/>
    <row r="39122" s="69" customFormat="1" x14ac:dyDescent="0.15"/>
    <row r="39123" s="69" customFormat="1" x14ac:dyDescent="0.15"/>
    <row r="39124" s="69" customFormat="1" x14ac:dyDescent="0.15"/>
    <row r="39125" s="69" customFormat="1" x14ac:dyDescent="0.15"/>
    <row r="39126" s="69" customFormat="1" x14ac:dyDescent="0.15"/>
    <row r="39127" s="69" customFormat="1" x14ac:dyDescent="0.15"/>
    <row r="39128" s="69" customFormat="1" x14ac:dyDescent="0.15"/>
    <row r="39129" s="69" customFormat="1" x14ac:dyDescent="0.15"/>
    <row r="39130" s="69" customFormat="1" x14ac:dyDescent="0.15"/>
    <row r="39131" s="69" customFormat="1" x14ac:dyDescent="0.15"/>
    <row r="39132" s="69" customFormat="1" x14ac:dyDescent="0.15"/>
    <row r="39133" s="69" customFormat="1" x14ac:dyDescent="0.15"/>
    <row r="39134" s="69" customFormat="1" x14ac:dyDescent="0.15"/>
    <row r="39135" s="69" customFormat="1" x14ac:dyDescent="0.15"/>
    <row r="39136" s="69" customFormat="1" x14ac:dyDescent="0.15"/>
    <row r="39137" s="69" customFormat="1" x14ac:dyDescent="0.15"/>
    <row r="39138" s="69" customFormat="1" x14ac:dyDescent="0.15"/>
    <row r="39139" s="69" customFormat="1" x14ac:dyDescent="0.15"/>
    <row r="39140" s="69" customFormat="1" x14ac:dyDescent="0.15"/>
    <row r="39141" s="69" customFormat="1" x14ac:dyDescent="0.15"/>
    <row r="39142" s="69" customFormat="1" x14ac:dyDescent="0.15"/>
    <row r="39143" s="69" customFormat="1" x14ac:dyDescent="0.15"/>
    <row r="39144" s="69" customFormat="1" x14ac:dyDescent="0.15"/>
    <row r="39145" s="69" customFormat="1" x14ac:dyDescent="0.15"/>
    <row r="39146" s="69" customFormat="1" x14ac:dyDescent="0.15"/>
    <row r="39147" s="69" customFormat="1" x14ac:dyDescent="0.15"/>
    <row r="39148" s="69" customFormat="1" x14ac:dyDescent="0.15"/>
    <row r="39149" s="69" customFormat="1" x14ac:dyDescent="0.15"/>
    <row r="39150" s="69" customFormat="1" x14ac:dyDescent="0.15"/>
    <row r="39151" s="69" customFormat="1" x14ac:dyDescent="0.15"/>
    <row r="39152" s="69" customFormat="1" x14ac:dyDescent="0.15"/>
    <row r="39153" s="69" customFormat="1" x14ac:dyDescent="0.15"/>
    <row r="39154" s="69" customFormat="1" x14ac:dyDescent="0.15"/>
    <row r="39155" s="69" customFormat="1" x14ac:dyDescent="0.15"/>
    <row r="39156" s="69" customFormat="1" x14ac:dyDescent="0.15"/>
    <row r="39157" s="69" customFormat="1" x14ac:dyDescent="0.15"/>
    <row r="39158" s="69" customFormat="1" x14ac:dyDescent="0.15"/>
    <row r="39159" s="69" customFormat="1" x14ac:dyDescent="0.15"/>
    <row r="39160" s="69" customFormat="1" x14ac:dyDescent="0.15"/>
    <row r="39161" s="69" customFormat="1" x14ac:dyDescent="0.15"/>
    <row r="39162" s="69" customFormat="1" x14ac:dyDescent="0.15"/>
    <row r="39163" s="69" customFormat="1" x14ac:dyDescent="0.15"/>
    <row r="39164" s="69" customFormat="1" x14ac:dyDescent="0.15"/>
    <row r="39165" s="69" customFormat="1" x14ac:dyDescent="0.15"/>
    <row r="39166" s="69" customFormat="1" x14ac:dyDescent="0.15"/>
    <row r="39167" s="69" customFormat="1" x14ac:dyDescent="0.15"/>
    <row r="39168" s="69" customFormat="1" x14ac:dyDescent="0.15"/>
    <row r="39169" s="69" customFormat="1" x14ac:dyDescent="0.15"/>
    <row r="39170" s="69" customFormat="1" x14ac:dyDescent="0.15"/>
    <row r="39171" s="69" customFormat="1" x14ac:dyDescent="0.15"/>
    <row r="39172" s="69" customFormat="1" x14ac:dyDescent="0.15"/>
    <row r="39173" s="69" customFormat="1" x14ac:dyDescent="0.15"/>
    <row r="39174" s="69" customFormat="1" x14ac:dyDescent="0.15"/>
    <row r="39175" s="69" customFormat="1" x14ac:dyDescent="0.15"/>
    <row r="39176" s="69" customFormat="1" x14ac:dyDescent="0.15"/>
    <row r="39177" s="69" customFormat="1" x14ac:dyDescent="0.15"/>
    <row r="39178" s="69" customFormat="1" x14ac:dyDescent="0.15"/>
    <row r="39179" s="69" customFormat="1" x14ac:dyDescent="0.15"/>
    <row r="39180" s="69" customFormat="1" x14ac:dyDescent="0.15"/>
    <row r="39181" s="69" customFormat="1" x14ac:dyDescent="0.15"/>
    <row r="39182" s="69" customFormat="1" x14ac:dyDescent="0.15"/>
    <row r="39183" s="69" customFormat="1" x14ac:dyDescent="0.15"/>
    <row r="39184" s="69" customFormat="1" x14ac:dyDescent="0.15"/>
    <row r="39185" s="69" customFormat="1" x14ac:dyDescent="0.15"/>
    <row r="39186" s="69" customFormat="1" x14ac:dyDescent="0.15"/>
    <row r="39187" s="69" customFormat="1" x14ac:dyDescent="0.15"/>
    <row r="39188" s="69" customFormat="1" x14ac:dyDescent="0.15"/>
    <row r="39189" s="69" customFormat="1" x14ac:dyDescent="0.15"/>
    <row r="39190" s="69" customFormat="1" x14ac:dyDescent="0.15"/>
    <row r="39191" s="69" customFormat="1" x14ac:dyDescent="0.15"/>
    <row r="39192" s="69" customFormat="1" x14ac:dyDescent="0.15"/>
    <row r="39193" s="69" customFormat="1" x14ac:dyDescent="0.15"/>
    <row r="39194" s="69" customFormat="1" x14ac:dyDescent="0.15"/>
    <row r="39195" s="69" customFormat="1" x14ac:dyDescent="0.15"/>
    <row r="39196" s="69" customFormat="1" x14ac:dyDescent="0.15"/>
    <row r="39197" s="69" customFormat="1" x14ac:dyDescent="0.15"/>
    <row r="39198" s="69" customFormat="1" x14ac:dyDescent="0.15"/>
    <row r="39199" s="69" customFormat="1" x14ac:dyDescent="0.15"/>
    <row r="39200" s="69" customFormat="1" x14ac:dyDescent="0.15"/>
    <row r="39201" s="69" customFormat="1" x14ac:dyDescent="0.15"/>
    <row r="39202" s="69" customFormat="1" x14ac:dyDescent="0.15"/>
    <row r="39203" s="69" customFormat="1" x14ac:dyDescent="0.15"/>
    <row r="39204" s="69" customFormat="1" x14ac:dyDescent="0.15"/>
    <row r="39205" s="69" customFormat="1" x14ac:dyDescent="0.15"/>
    <row r="39206" s="69" customFormat="1" x14ac:dyDescent="0.15"/>
    <row r="39207" s="69" customFormat="1" x14ac:dyDescent="0.15"/>
    <row r="39208" s="69" customFormat="1" x14ac:dyDescent="0.15"/>
    <row r="39209" s="69" customFormat="1" x14ac:dyDescent="0.15"/>
    <row r="39210" s="69" customFormat="1" x14ac:dyDescent="0.15"/>
    <row r="39211" s="69" customFormat="1" x14ac:dyDescent="0.15"/>
    <row r="39212" s="69" customFormat="1" x14ac:dyDescent="0.15"/>
    <row r="39213" s="69" customFormat="1" x14ac:dyDescent="0.15"/>
    <row r="39214" s="69" customFormat="1" x14ac:dyDescent="0.15"/>
    <row r="39215" s="69" customFormat="1" x14ac:dyDescent="0.15"/>
    <row r="39216" s="69" customFormat="1" x14ac:dyDescent="0.15"/>
    <row r="39217" s="69" customFormat="1" x14ac:dyDescent="0.15"/>
    <row r="39218" s="69" customFormat="1" x14ac:dyDescent="0.15"/>
    <row r="39219" s="69" customFormat="1" x14ac:dyDescent="0.15"/>
    <row r="39220" s="69" customFormat="1" x14ac:dyDescent="0.15"/>
    <row r="39221" s="69" customFormat="1" x14ac:dyDescent="0.15"/>
    <row r="39222" s="69" customFormat="1" x14ac:dyDescent="0.15"/>
    <row r="39223" s="69" customFormat="1" x14ac:dyDescent="0.15"/>
    <row r="39224" s="69" customFormat="1" x14ac:dyDescent="0.15"/>
    <row r="39225" s="69" customFormat="1" x14ac:dyDescent="0.15"/>
    <row r="39226" s="69" customFormat="1" x14ac:dyDescent="0.15"/>
    <row r="39227" s="69" customFormat="1" x14ac:dyDescent="0.15"/>
    <row r="39228" s="69" customFormat="1" x14ac:dyDescent="0.15"/>
    <row r="39229" s="69" customFormat="1" x14ac:dyDescent="0.15"/>
    <row r="39230" s="69" customFormat="1" x14ac:dyDescent="0.15"/>
    <row r="39231" s="69" customFormat="1" x14ac:dyDescent="0.15"/>
    <row r="39232" s="69" customFormat="1" x14ac:dyDescent="0.15"/>
    <row r="39233" s="69" customFormat="1" x14ac:dyDescent="0.15"/>
    <row r="39234" s="69" customFormat="1" x14ac:dyDescent="0.15"/>
    <row r="39235" s="69" customFormat="1" x14ac:dyDescent="0.15"/>
    <row r="39236" s="69" customFormat="1" x14ac:dyDescent="0.15"/>
    <row r="39237" s="69" customFormat="1" x14ac:dyDescent="0.15"/>
    <row r="39238" s="69" customFormat="1" x14ac:dyDescent="0.15"/>
    <row r="39239" s="69" customFormat="1" x14ac:dyDescent="0.15"/>
    <row r="39240" s="69" customFormat="1" x14ac:dyDescent="0.15"/>
    <row r="39241" s="69" customFormat="1" x14ac:dyDescent="0.15"/>
    <row r="39242" s="69" customFormat="1" x14ac:dyDescent="0.15"/>
    <row r="39243" s="69" customFormat="1" x14ac:dyDescent="0.15"/>
    <row r="39244" s="69" customFormat="1" x14ac:dyDescent="0.15"/>
    <row r="39245" s="69" customFormat="1" x14ac:dyDescent="0.15"/>
    <row r="39246" s="69" customFormat="1" x14ac:dyDescent="0.15"/>
    <row r="39247" s="69" customFormat="1" x14ac:dyDescent="0.15"/>
    <row r="39248" s="69" customFormat="1" x14ac:dyDescent="0.15"/>
    <row r="39249" s="69" customFormat="1" x14ac:dyDescent="0.15"/>
    <row r="39250" s="69" customFormat="1" x14ac:dyDescent="0.15"/>
    <row r="39251" s="69" customFormat="1" x14ac:dyDescent="0.15"/>
    <row r="39252" s="69" customFormat="1" x14ac:dyDescent="0.15"/>
    <row r="39253" s="69" customFormat="1" x14ac:dyDescent="0.15"/>
    <row r="39254" s="69" customFormat="1" x14ac:dyDescent="0.15"/>
    <row r="39255" s="69" customFormat="1" x14ac:dyDescent="0.15"/>
    <row r="39256" s="69" customFormat="1" x14ac:dyDescent="0.15"/>
    <row r="39257" s="69" customFormat="1" x14ac:dyDescent="0.15"/>
    <row r="39258" s="69" customFormat="1" x14ac:dyDescent="0.15"/>
    <row r="39259" s="69" customFormat="1" x14ac:dyDescent="0.15"/>
    <row r="39260" s="69" customFormat="1" x14ac:dyDescent="0.15"/>
    <row r="39261" s="69" customFormat="1" x14ac:dyDescent="0.15"/>
    <row r="39262" s="69" customFormat="1" x14ac:dyDescent="0.15"/>
    <row r="39263" s="69" customFormat="1" x14ac:dyDescent="0.15"/>
    <row r="39264" s="69" customFormat="1" x14ac:dyDescent="0.15"/>
    <row r="39265" s="69" customFormat="1" x14ac:dyDescent="0.15"/>
    <row r="39266" s="69" customFormat="1" x14ac:dyDescent="0.15"/>
    <row r="39267" s="69" customFormat="1" x14ac:dyDescent="0.15"/>
    <row r="39268" s="69" customFormat="1" x14ac:dyDescent="0.15"/>
    <row r="39269" s="69" customFormat="1" x14ac:dyDescent="0.15"/>
    <row r="39270" s="69" customFormat="1" x14ac:dyDescent="0.15"/>
    <row r="39271" s="69" customFormat="1" x14ac:dyDescent="0.15"/>
    <row r="39272" s="69" customFormat="1" x14ac:dyDescent="0.15"/>
    <row r="39273" s="69" customFormat="1" x14ac:dyDescent="0.15"/>
    <row r="39274" s="69" customFormat="1" x14ac:dyDescent="0.15"/>
    <row r="39275" s="69" customFormat="1" x14ac:dyDescent="0.15"/>
    <row r="39276" s="69" customFormat="1" x14ac:dyDescent="0.15"/>
    <row r="39277" s="69" customFormat="1" x14ac:dyDescent="0.15"/>
    <row r="39278" s="69" customFormat="1" x14ac:dyDescent="0.15"/>
    <row r="39279" s="69" customFormat="1" x14ac:dyDescent="0.15"/>
    <row r="39280" s="69" customFormat="1" x14ac:dyDescent="0.15"/>
    <row r="39281" s="69" customFormat="1" x14ac:dyDescent="0.15"/>
    <row r="39282" s="69" customFormat="1" x14ac:dyDescent="0.15"/>
    <row r="39283" s="69" customFormat="1" x14ac:dyDescent="0.15"/>
    <row r="39284" s="69" customFormat="1" x14ac:dyDescent="0.15"/>
    <row r="39285" s="69" customFormat="1" x14ac:dyDescent="0.15"/>
    <row r="39286" s="69" customFormat="1" x14ac:dyDescent="0.15"/>
    <row r="39287" s="69" customFormat="1" x14ac:dyDescent="0.15"/>
    <row r="39288" s="69" customFormat="1" x14ac:dyDescent="0.15"/>
    <row r="39289" s="69" customFormat="1" x14ac:dyDescent="0.15"/>
    <row r="39290" s="69" customFormat="1" x14ac:dyDescent="0.15"/>
    <row r="39291" s="69" customFormat="1" x14ac:dyDescent="0.15"/>
    <row r="39292" s="69" customFormat="1" x14ac:dyDescent="0.15"/>
    <row r="39293" s="69" customFormat="1" x14ac:dyDescent="0.15"/>
    <row r="39294" s="69" customFormat="1" x14ac:dyDescent="0.15"/>
    <row r="39295" s="69" customFormat="1" x14ac:dyDescent="0.15"/>
    <row r="39296" s="69" customFormat="1" x14ac:dyDescent="0.15"/>
    <row r="39297" s="69" customFormat="1" x14ac:dyDescent="0.15"/>
    <row r="39298" s="69" customFormat="1" x14ac:dyDescent="0.15"/>
    <row r="39299" s="69" customFormat="1" x14ac:dyDescent="0.15"/>
    <row r="39300" s="69" customFormat="1" x14ac:dyDescent="0.15"/>
    <row r="39301" s="69" customFormat="1" x14ac:dyDescent="0.15"/>
    <row r="39302" s="69" customFormat="1" x14ac:dyDescent="0.15"/>
    <row r="39303" s="69" customFormat="1" x14ac:dyDescent="0.15"/>
    <row r="39304" s="69" customFormat="1" x14ac:dyDescent="0.15"/>
    <row r="39305" s="69" customFormat="1" x14ac:dyDescent="0.15"/>
    <row r="39306" s="69" customFormat="1" x14ac:dyDescent="0.15"/>
    <row r="39307" s="69" customFormat="1" x14ac:dyDescent="0.15"/>
    <row r="39308" s="69" customFormat="1" x14ac:dyDescent="0.15"/>
    <row r="39309" s="69" customFormat="1" x14ac:dyDescent="0.15"/>
    <row r="39310" s="69" customFormat="1" x14ac:dyDescent="0.15"/>
    <row r="39311" s="69" customFormat="1" x14ac:dyDescent="0.15"/>
    <row r="39312" s="69" customFormat="1" x14ac:dyDescent="0.15"/>
    <row r="39313" s="69" customFormat="1" x14ac:dyDescent="0.15"/>
    <row r="39314" s="69" customFormat="1" x14ac:dyDescent="0.15"/>
    <row r="39315" s="69" customFormat="1" x14ac:dyDescent="0.15"/>
    <row r="39316" s="69" customFormat="1" x14ac:dyDescent="0.15"/>
    <row r="39317" s="69" customFormat="1" x14ac:dyDescent="0.15"/>
    <row r="39318" s="69" customFormat="1" x14ac:dyDescent="0.15"/>
    <row r="39319" s="69" customFormat="1" x14ac:dyDescent="0.15"/>
    <row r="39320" s="69" customFormat="1" x14ac:dyDescent="0.15"/>
    <row r="39321" s="69" customFormat="1" x14ac:dyDescent="0.15"/>
    <row r="39322" s="69" customFormat="1" x14ac:dyDescent="0.15"/>
    <row r="39323" s="69" customFormat="1" x14ac:dyDescent="0.15"/>
    <row r="39324" s="69" customFormat="1" x14ac:dyDescent="0.15"/>
    <row r="39325" s="69" customFormat="1" x14ac:dyDescent="0.15"/>
    <row r="39326" s="69" customFormat="1" x14ac:dyDescent="0.15"/>
    <row r="39327" s="69" customFormat="1" x14ac:dyDescent="0.15"/>
    <row r="39328" s="69" customFormat="1" x14ac:dyDescent="0.15"/>
    <row r="39329" s="69" customFormat="1" x14ac:dyDescent="0.15"/>
    <row r="39330" s="69" customFormat="1" x14ac:dyDescent="0.15"/>
    <row r="39331" s="69" customFormat="1" x14ac:dyDescent="0.15"/>
    <row r="39332" s="69" customFormat="1" x14ac:dyDescent="0.15"/>
    <row r="39333" s="69" customFormat="1" x14ac:dyDescent="0.15"/>
    <row r="39334" s="69" customFormat="1" x14ac:dyDescent="0.15"/>
    <row r="39335" s="69" customFormat="1" x14ac:dyDescent="0.15"/>
    <row r="39336" s="69" customFormat="1" x14ac:dyDescent="0.15"/>
    <row r="39337" s="69" customFormat="1" x14ac:dyDescent="0.15"/>
    <row r="39338" s="69" customFormat="1" x14ac:dyDescent="0.15"/>
    <row r="39339" s="69" customFormat="1" x14ac:dyDescent="0.15"/>
    <row r="39340" s="69" customFormat="1" x14ac:dyDescent="0.15"/>
    <row r="39341" s="69" customFormat="1" x14ac:dyDescent="0.15"/>
    <row r="39342" s="69" customFormat="1" x14ac:dyDescent="0.15"/>
    <row r="39343" s="69" customFormat="1" x14ac:dyDescent="0.15"/>
    <row r="39344" s="69" customFormat="1" x14ac:dyDescent="0.15"/>
    <row r="39345" s="69" customFormat="1" x14ac:dyDescent="0.15"/>
    <row r="39346" s="69" customFormat="1" x14ac:dyDescent="0.15"/>
    <row r="39347" s="69" customFormat="1" x14ac:dyDescent="0.15"/>
    <row r="39348" s="69" customFormat="1" x14ac:dyDescent="0.15"/>
    <row r="39349" s="69" customFormat="1" x14ac:dyDescent="0.15"/>
    <row r="39350" s="69" customFormat="1" x14ac:dyDescent="0.15"/>
    <row r="39351" s="69" customFormat="1" x14ac:dyDescent="0.15"/>
    <row r="39352" s="69" customFormat="1" x14ac:dyDescent="0.15"/>
    <row r="39353" s="69" customFormat="1" x14ac:dyDescent="0.15"/>
    <row r="39354" s="69" customFormat="1" x14ac:dyDescent="0.15"/>
    <row r="39355" s="69" customFormat="1" x14ac:dyDescent="0.15"/>
    <row r="39356" s="69" customFormat="1" x14ac:dyDescent="0.15"/>
    <row r="39357" s="69" customFormat="1" x14ac:dyDescent="0.15"/>
    <row r="39358" s="69" customFormat="1" x14ac:dyDescent="0.15"/>
    <row r="39359" s="69" customFormat="1" x14ac:dyDescent="0.15"/>
    <row r="39360" s="69" customFormat="1" x14ac:dyDescent="0.15"/>
    <row r="39361" s="69" customFormat="1" x14ac:dyDescent="0.15"/>
    <row r="39362" s="69" customFormat="1" x14ac:dyDescent="0.15"/>
    <row r="39363" s="69" customFormat="1" x14ac:dyDescent="0.15"/>
    <row r="39364" s="69" customFormat="1" x14ac:dyDescent="0.15"/>
    <row r="39365" s="69" customFormat="1" x14ac:dyDescent="0.15"/>
    <row r="39366" s="69" customFormat="1" x14ac:dyDescent="0.15"/>
    <row r="39367" s="69" customFormat="1" x14ac:dyDescent="0.15"/>
    <row r="39368" s="69" customFormat="1" x14ac:dyDescent="0.15"/>
    <row r="39369" s="69" customFormat="1" x14ac:dyDescent="0.15"/>
    <row r="39370" s="69" customFormat="1" x14ac:dyDescent="0.15"/>
    <row r="39371" s="69" customFormat="1" x14ac:dyDescent="0.15"/>
    <row r="39372" s="69" customFormat="1" x14ac:dyDescent="0.15"/>
    <row r="39373" s="69" customFormat="1" x14ac:dyDescent="0.15"/>
    <row r="39374" s="69" customFormat="1" x14ac:dyDescent="0.15"/>
    <row r="39375" s="69" customFormat="1" x14ac:dyDescent="0.15"/>
    <row r="39376" s="69" customFormat="1" x14ac:dyDescent="0.15"/>
    <row r="39377" s="69" customFormat="1" x14ac:dyDescent="0.15"/>
    <row r="39378" s="69" customFormat="1" x14ac:dyDescent="0.15"/>
    <row r="39379" s="69" customFormat="1" x14ac:dyDescent="0.15"/>
    <row r="39380" s="69" customFormat="1" x14ac:dyDescent="0.15"/>
    <row r="39381" s="69" customFormat="1" x14ac:dyDescent="0.15"/>
    <row r="39382" s="69" customFormat="1" x14ac:dyDescent="0.15"/>
    <row r="39383" s="69" customFormat="1" x14ac:dyDescent="0.15"/>
    <row r="39384" s="69" customFormat="1" x14ac:dyDescent="0.15"/>
    <row r="39385" s="69" customFormat="1" x14ac:dyDescent="0.15"/>
    <row r="39386" s="69" customFormat="1" x14ac:dyDescent="0.15"/>
    <row r="39387" s="69" customFormat="1" x14ac:dyDescent="0.15"/>
    <row r="39388" s="69" customFormat="1" x14ac:dyDescent="0.15"/>
    <row r="39389" s="69" customFormat="1" x14ac:dyDescent="0.15"/>
    <row r="39390" s="69" customFormat="1" x14ac:dyDescent="0.15"/>
    <row r="39391" s="69" customFormat="1" x14ac:dyDescent="0.15"/>
    <row r="39392" s="69" customFormat="1" x14ac:dyDescent="0.15"/>
    <row r="39393" s="69" customFormat="1" x14ac:dyDescent="0.15"/>
    <row r="39394" s="69" customFormat="1" x14ac:dyDescent="0.15"/>
    <row r="39395" s="69" customFormat="1" x14ac:dyDescent="0.15"/>
    <row r="39396" s="69" customFormat="1" x14ac:dyDescent="0.15"/>
    <row r="39397" s="69" customFormat="1" x14ac:dyDescent="0.15"/>
    <row r="39398" s="69" customFormat="1" x14ac:dyDescent="0.15"/>
    <row r="39399" s="69" customFormat="1" x14ac:dyDescent="0.15"/>
    <row r="39400" s="69" customFormat="1" x14ac:dyDescent="0.15"/>
    <row r="39401" s="69" customFormat="1" x14ac:dyDescent="0.15"/>
    <row r="39402" s="69" customFormat="1" x14ac:dyDescent="0.15"/>
    <row r="39403" s="69" customFormat="1" x14ac:dyDescent="0.15"/>
    <row r="39404" s="69" customFormat="1" x14ac:dyDescent="0.15"/>
    <row r="39405" s="69" customFormat="1" x14ac:dyDescent="0.15"/>
    <row r="39406" s="69" customFormat="1" x14ac:dyDescent="0.15"/>
    <row r="39407" s="69" customFormat="1" x14ac:dyDescent="0.15"/>
    <row r="39408" s="69" customFormat="1" x14ac:dyDescent="0.15"/>
    <row r="39409" s="69" customFormat="1" x14ac:dyDescent="0.15"/>
    <row r="39410" s="69" customFormat="1" x14ac:dyDescent="0.15"/>
    <row r="39411" s="69" customFormat="1" x14ac:dyDescent="0.15"/>
    <row r="39412" s="69" customFormat="1" x14ac:dyDescent="0.15"/>
    <row r="39413" s="69" customFormat="1" x14ac:dyDescent="0.15"/>
    <row r="39414" s="69" customFormat="1" x14ac:dyDescent="0.15"/>
    <row r="39415" s="69" customFormat="1" x14ac:dyDescent="0.15"/>
    <row r="39416" s="69" customFormat="1" x14ac:dyDescent="0.15"/>
    <row r="39417" s="69" customFormat="1" x14ac:dyDescent="0.15"/>
    <row r="39418" s="69" customFormat="1" x14ac:dyDescent="0.15"/>
    <row r="39419" s="69" customFormat="1" x14ac:dyDescent="0.15"/>
    <row r="39420" s="69" customFormat="1" x14ac:dyDescent="0.15"/>
    <row r="39421" s="69" customFormat="1" x14ac:dyDescent="0.15"/>
    <row r="39422" s="69" customFormat="1" x14ac:dyDescent="0.15"/>
    <row r="39423" s="69" customFormat="1" x14ac:dyDescent="0.15"/>
    <row r="39424" s="69" customFormat="1" x14ac:dyDescent="0.15"/>
    <row r="39425" s="69" customFormat="1" x14ac:dyDescent="0.15"/>
    <row r="39426" s="69" customFormat="1" x14ac:dyDescent="0.15"/>
    <row r="39427" s="69" customFormat="1" x14ac:dyDescent="0.15"/>
    <row r="39428" s="69" customFormat="1" x14ac:dyDescent="0.15"/>
    <row r="39429" s="69" customFormat="1" x14ac:dyDescent="0.15"/>
    <row r="39430" s="69" customFormat="1" x14ac:dyDescent="0.15"/>
    <row r="39431" s="69" customFormat="1" x14ac:dyDescent="0.15"/>
    <row r="39432" s="69" customFormat="1" x14ac:dyDescent="0.15"/>
    <row r="39433" s="69" customFormat="1" x14ac:dyDescent="0.15"/>
    <row r="39434" s="69" customFormat="1" x14ac:dyDescent="0.15"/>
    <row r="39435" s="69" customFormat="1" x14ac:dyDescent="0.15"/>
    <row r="39436" s="69" customFormat="1" x14ac:dyDescent="0.15"/>
    <row r="39437" s="69" customFormat="1" x14ac:dyDescent="0.15"/>
    <row r="39438" s="69" customFormat="1" x14ac:dyDescent="0.15"/>
    <row r="39439" s="69" customFormat="1" x14ac:dyDescent="0.15"/>
    <row r="39440" s="69" customFormat="1" x14ac:dyDescent="0.15"/>
    <row r="39441" s="69" customFormat="1" x14ac:dyDescent="0.15"/>
    <row r="39442" s="69" customFormat="1" x14ac:dyDescent="0.15"/>
    <row r="39443" s="69" customFormat="1" x14ac:dyDescent="0.15"/>
    <row r="39444" s="69" customFormat="1" x14ac:dyDescent="0.15"/>
    <row r="39445" s="69" customFormat="1" x14ac:dyDescent="0.15"/>
    <row r="39446" s="69" customFormat="1" x14ac:dyDescent="0.15"/>
    <row r="39447" s="69" customFormat="1" x14ac:dyDescent="0.15"/>
    <row r="39448" s="69" customFormat="1" x14ac:dyDescent="0.15"/>
    <row r="39449" s="69" customFormat="1" x14ac:dyDescent="0.15"/>
    <row r="39450" s="69" customFormat="1" x14ac:dyDescent="0.15"/>
    <row r="39451" s="69" customFormat="1" x14ac:dyDescent="0.15"/>
    <row r="39452" s="69" customFormat="1" x14ac:dyDescent="0.15"/>
    <row r="39453" s="69" customFormat="1" x14ac:dyDescent="0.15"/>
    <row r="39454" s="69" customFormat="1" x14ac:dyDescent="0.15"/>
    <row r="39455" s="69" customFormat="1" x14ac:dyDescent="0.15"/>
    <row r="39456" s="69" customFormat="1" x14ac:dyDescent="0.15"/>
    <row r="39457" s="69" customFormat="1" x14ac:dyDescent="0.15"/>
    <row r="39458" s="69" customFormat="1" x14ac:dyDescent="0.15"/>
    <row r="39459" s="69" customFormat="1" x14ac:dyDescent="0.15"/>
    <row r="39460" s="69" customFormat="1" x14ac:dyDescent="0.15"/>
    <row r="39461" s="69" customFormat="1" x14ac:dyDescent="0.15"/>
    <row r="39462" s="69" customFormat="1" x14ac:dyDescent="0.15"/>
    <row r="39463" s="69" customFormat="1" x14ac:dyDescent="0.15"/>
    <row r="39464" s="69" customFormat="1" x14ac:dyDescent="0.15"/>
    <row r="39465" s="69" customFormat="1" x14ac:dyDescent="0.15"/>
    <row r="39466" s="69" customFormat="1" x14ac:dyDescent="0.15"/>
    <row r="39467" s="69" customFormat="1" x14ac:dyDescent="0.15"/>
    <row r="39468" s="69" customFormat="1" x14ac:dyDescent="0.15"/>
    <row r="39469" s="69" customFormat="1" x14ac:dyDescent="0.15"/>
    <row r="39470" s="69" customFormat="1" x14ac:dyDescent="0.15"/>
    <row r="39471" s="69" customFormat="1" x14ac:dyDescent="0.15"/>
    <row r="39472" s="69" customFormat="1" x14ac:dyDescent="0.15"/>
    <row r="39473" s="69" customFormat="1" x14ac:dyDescent="0.15"/>
    <row r="39474" s="69" customFormat="1" x14ac:dyDescent="0.15"/>
    <row r="39475" s="69" customFormat="1" x14ac:dyDescent="0.15"/>
    <row r="39476" s="69" customFormat="1" x14ac:dyDescent="0.15"/>
    <row r="39477" s="69" customFormat="1" x14ac:dyDescent="0.15"/>
    <row r="39478" s="69" customFormat="1" x14ac:dyDescent="0.15"/>
    <row r="39479" s="69" customFormat="1" x14ac:dyDescent="0.15"/>
    <row r="39480" s="69" customFormat="1" x14ac:dyDescent="0.15"/>
    <row r="39481" s="69" customFormat="1" x14ac:dyDescent="0.15"/>
    <row r="39482" s="69" customFormat="1" x14ac:dyDescent="0.15"/>
    <row r="39483" s="69" customFormat="1" x14ac:dyDescent="0.15"/>
    <row r="39484" s="69" customFormat="1" x14ac:dyDescent="0.15"/>
    <row r="39485" s="69" customFormat="1" x14ac:dyDescent="0.15"/>
    <row r="39486" s="69" customFormat="1" x14ac:dyDescent="0.15"/>
    <row r="39487" s="69" customFormat="1" x14ac:dyDescent="0.15"/>
    <row r="39488" s="69" customFormat="1" x14ac:dyDescent="0.15"/>
    <row r="39489" s="69" customFormat="1" x14ac:dyDescent="0.15"/>
    <row r="39490" s="69" customFormat="1" x14ac:dyDescent="0.15"/>
    <row r="39491" s="69" customFormat="1" x14ac:dyDescent="0.15"/>
    <row r="39492" s="69" customFormat="1" x14ac:dyDescent="0.15"/>
    <row r="39493" s="69" customFormat="1" x14ac:dyDescent="0.15"/>
    <row r="39494" s="69" customFormat="1" x14ac:dyDescent="0.15"/>
    <row r="39495" s="69" customFormat="1" x14ac:dyDescent="0.15"/>
    <row r="39496" s="69" customFormat="1" x14ac:dyDescent="0.15"/>
    <row r="39497" s="69" customFormat="1" x14ac:dyDescent="0.15"/>
    <row r="39498" s="69" customFormat="1" x14ac:dyDescent="0.15"/>
    <row r="39499" s="69" customFormat="1" x14ac:dyDescent="0.15"/>
    <row r="39500" s="69" customFormat="1" x14ac:dyDescent="0.15"/>
    <row r="39501" s="69" customFormat="1" x14ac:dyDescent="0.15"/>
    <row r="39502" s="69" customFormat="1" x14ac:dyDescent="0.15"/>
    <row r="39503" s="69" customFormat="1" x14ac:dyDescent="0.15"/>
    <row r="39504" s="69" customFormat="1" x14ac:dyDescent="0.15"/>
    <row r="39505" s="69" customFormat="1" x14ac:dyDescent="0.15"/>
    <row r="39506" s="69" customFormat="1" x14ac:dyDescent="0.15"/>
    <row r="39507" s="69" customFormat="1" x14ac:dyDescent="0.15"/>
    <row r="39508" s="69" customFormat="1" x14ac:dyDescent="0.15"/>
    <row r="39509" s="69" customFormat="1" x14ac:dyDescent="0.15"/>
    <row r="39510" s="69" customFormat="1" x14ac:dyDescent="0.15"/>
    <row r="39511" s="69" customFormat="1" x14ac:dyDescent="0.15"/>
    <row r="39512" s="69" customFormat="1" x14ac:dyDescent="0.15"/>
    <row r="39513" s="69" customFormat="1" x14ac:dyDescent="0.15"/>
    <row r="39514" s="69" customFormat="1" x14ac:dyDescent="0.15"/>
    <row r="39515" s="69" customFormat="1" x14ac:dyDescent="0.15"/>
    <row r="39516" s="69" customFormat="1" x14ac:dyDescent="0.15"/>
    <row r="39517" s="69" customFormat="1" x14ac:dyDescent="0.15"/>
    <row r="39518" s="69" customFormat="1" x14ac:dyDescent="0.15"/>
    <row r="39519" s="69" customFormat="1" x14ac:dyDescent="0.15"/>
    <row r="39520" s="69" customFormat="1" x14ac:dyDescent="0.15"/>
    <row r="39521" s="69" customFormat="1" x14ac:dyDescent="0.15"/>
    <row r="39522" s="69" customFormat="1" x14ac:dyDescent="0.15"/>
    <row r="39523" s="69" customFormat="1" x14ac:dyDescent="0.15"/>
    <row r="39524" s="69" customFormat="1" x14ac:dyDescent="0.15"/>
    <row r="39525" s="69" customFormat="1" x14ac:dyDescent="0.15"/>
    <row r="39526" s="69" customFormat="1" x14ac:dyDescent="0.15"/>
    <row r="39527" s="69" customFormat="1" x14ac:dyDescent="0.15"/>
    <row r="39528" s="69" customFormat="1" x14ac:dyDescent="0.15"/>
    <row r="39529" s="69" customFormat="1" x14ac:dyDescent="0.15"/>
    <row r="39530" s="69" customFormat="1" x14ac:dyDescent="0.15"/>
    <row r="39531" s="69" customFormat="1" x14ac:dyDescent="0.15"/>
    <row r="39532" s="69" customFormat="1" x14ac:dyDescent="0.15"/>
    <row r="39533" s="69" customFormat="1" x14ac:dyDescent="0.15"/>
    <row r="39534" s="69" customFormat="1" x14ac:dyDescent="0.15"/>
    <row r="39535" s="69" customFormat="1" x14ac:dyDescent="0.15"/>
    <row r="39536" s="69" customFormat="1" x14ac:dyDescent="0.15"/>
    <row r="39537" s="69" customFormat="1" x14ac:dyDescent="0.15"/>
    <row r="39538" s="69" customFormat="1" x14ac:dyDescent="0.15"/>
    <row r="39539" s="69" customFormat="1" x14ac:dyDescent="0.15"/>
    <row r="39540" s="69" customFormat="1" x14ac:dyDescent="0.15"/>
    <row r="39541" s="69" customFormat="1" x14ac:dyDescent="0.15"/>
    <row r="39542" s="69" customFormat="1" x14ac:dyDescent="0.15"/>
    <row r="39543" s="69" customFormat="1" x14ac:dyDescent="0.15"/>
    <row r="39544" s="69" customFormat="1" x14ac:dyDescent="0.15"/>
    <row r="39545" s="69" customFormat="1" x14ac:dyDescent="0.15"/>
    <row r="39546" s="69" customFormat="1" x14ac:dyDescent="0.15"/>
    <row r="39547" s="69" customFormat="1" x14ac:dyDescent="0.15"/>
    <row r="39548" s="69" customFormat="1" x14ac:dyDescent="0.15"/>
    <row r="39549" s="69" customFormat="1" x14ac:dyDescent="0.15"/>
    <row r="39550" s="69" customFormat="1" x14ac:dyDescent="0.15"/>
    <row r="39551" s="69" customFormat="1" x14ac:dyDescent="0.15"/>
    <row r="39552" s="69" customFormat="1" x14ac:dyDescent="0.15"/>
    <row r="39553" s="69" customFormat="1" x14ac:dyDescent="0.15"/>
    <row r="39554" s="69" customFormat="1" x14ac:dyDescent="0.15"/>
    <row r="39555" s="69" customFormat="1" x14ac:dyDescent="0.15"/>
    <row r="39556" s="69" customFormat="1" x14ac:dyDescent="0.15"/>
    <row r="39557" s="69" customFormat="1" x14ac:dyDescent="0.15"/>
    <row r="39558" s="69" customFormat="1" x14ac:dyDescent="0.15"/>
    <row r="39559" s="69" customFormat="1" x14ac:dyDescent="0.15"/>
    <row r="39560" s="69" customFormat="1" x14ac:dyDescent="0.15"/>
    <row r="39561" s="69" customFormat="1" x14ac:dyDescent="0.15"/>
    <row r="39562" s="69" customFormat="1" x14ac:dyDescent="0.15"/>
    <row r="39563" s="69" customFormat="1" x14ac:dyDescent="0.15"/>
    <row r="39564" s="69" customFormat="1" x14ac:dyDescent="0.15"/>
    <row r="39565" s="69" customFormat="1" x14ac:dyDescent="0.15"/>
    <row r="39566" s="69" customFormat="1" x14ac:dyDescent="0.15"/>
    <row r="39567" s="69" customFormat="1" x14ac:dyDescent="0.15"/>
    <row r="39568" s="69" customFormat="1" x14ac:dyDescent="0.15"/>
    <row r="39569" s="69" customFormat="1" x14ac:dyDescent="0.15"/>
    <row r="39570" s="69" customFormat="1" x14ac:dyDescent="0.15"/>
    <row r="39571" s="69" customFormat="1" x14ac:dyDescent="0.15"/>
    <row r="39572" s="69" customFormat="1" x14ac:dyDescent="0.15"/>
    <row r="39573" s="69" customFormat="1" x14ac:dyDescent="0.15"/>
    <row r="39574" s="69" customFormat="1" x14ac:dyDescent="0.15"/>
    <row r="39575" s="69" customFormat="1" x14ac:dyDescent="0.15"/>
    <row r="39576" s="69" customFormat="1" x14ac:dyDescent="0.15"/>
    <row r="39577" s="69" customFormat="1" x14ac:dyDescent="0.15"/>
    <row r="39578" s="69" customFormat="1" x14ac:dyDescent="0.15"/>
    <row r="39579" s="69" customFormat="1" x14ac:dyDescent="0.15"/>
    <row r="39580" s="69" customFormat="1" x14ac:dyDescent="0.15"/>
    <row r="39581" s="69" customFormat="1" x14ac:dyDescent="0.15"/>
    <row r="39582" s="69" customFormat="1" x14ac:dyDescent="0.15"/>
    <row r="39583" s="69" customFormat="1" x14ac:dyDescent="0.15"/>
    <row r="39584" s="69" customFormat="1" x14ac:dyDescent="0.15"/>
    <row r="39585" s="69" customFormat="1" x14ac:dyDescent="0.15"/>
    <row r="39586" s="69" customFormat="1" x14ac:dyDescent="0.15"/>
    <row r="39587" s="69" customFormat="1" x14ac:dyDescent="0.15"/>
    <row r="39588" s="69" customFormat="1" x14ac:dyDescent="0.15"/>
    <row r="39589" s="69" customFormat="1" x14ac:dyDescent="0.15"/>
    <row r="39590" s="69" customFormat="1" x14ac:dyDescent="0.15"/>
    <row r="39591" s="69" customFormat="1" x14ac:dyDescent="0.15"/>
    <row r="39592" s="69" customFormat="1" x14ac:dyDescent="0.15"/>
    <row r="39593" s="69" customFormat="1" x14ac:dyDescent="0.15"/>
    <row r="39594" s="69" customFormat="1" x14ac:dyDescent="0.15"/>
    <row r="39595" s="69" customFormat="1" x14ac:dyDescent="0.15"/>
    <row r="39596" s="69" customFormat="1" x14ac:dyDescent="0.15"/>
    <row r="39597" s="69" customFormat="1" x14ac:dyDescent="0.15"/>
    <row r="39598" s="69" customFormat="1" x14ac:dyDescent="0.15"/>
    <row r="39599" s="69" customFormat="1" x14ac:dyDescent="0.15"/>
    <row r="39600" s="69" customFormat="1" x14ac:dyDescent="0.15"/>
    <row r="39601" s="69" customFormat="1" x14ac:dyDescent="0.15"/>
    <row r="39602" s="69" customFormat="1" x14ac:dyDescent="0.15"/>
    <row r="39603" s="69" customFormat="1" x14ac:dyDescent="0.15"/>
    <row r="39604" s="69" customFormat="1" x14ac:dyDescent="0.15"/>
    <row r="39605" s="69" customFormat="1" x14ac:dyDescent="0.15"/>
    <row r="39606" s="69" customFormat="1" x14ac:dyDescent="0.15"/>
    <row r="39607" s="69" customFormat="1" x14ac:dyDescent="0.15"/>
    <row r="39608" s="69" customFormat="1" x14ac:dyDescent="0.15"/>
    <row r="39609" s="69" customFormat="1" x14ac:dyDescent="0.15"/>
    <row r="39610" s="69" customFormat="1" x14ac:dyDescent="0.15"/>
    <row r="39611" s="69" customFormat="1" x14ac:dyDescent="0.15"/>
    <row r="39612" s="69" customFormat="1" x14ac:dyDescent="0.15"/>
    <row r="39613" s="69" customFormat="1" x14ac:dyDescent="0.15"/>
    <row r="39614" s="69" customFormat="1" x14ac:dyDescent="0.15"/>
    <row r="39615" s="69" customFormat="1" x14ac:dyDescent="0.15"/>
    <row r="39616" s="69" customFormat="1" x14ac:dyDescent="0.15"/>
    <row r="39617" s="69" customFormat="1" x14ac:dyDescent="0.15"/>
    <row r="39618" s="69" customFormat="1" x14ac:dyDescent="0.15"/>
    <row r="39619" s="69" customFormat="1" x14ac:dyDescent="0.15"/>
    <row r="39620" s="69" customFormat="1" x14ac:dyDescent="0.15"/>
    <row r="39621" s="69" customFormat="1" x14ac:dyDescent="0.15"/>
    <row r="39622" s="69" customFormat="1" x14ac:dyDescent="0.15"/>
    <row r="39623" s="69" customFormat="1" x14ac:dyDescent="0.15"/>
    <row r="39624" s="69" customFormat="1" x14ac:dyDescent="0.15"/>
    <row r="39625" s="69" customFormat="1" x14ac:dyDescent="0.15"/>
    <row r="39626" s="69" customFormat="1" x14ac:dyDescent="0.15"/>
    <row r="39627" s="69" customFormat="1" x14ac:dyDescent="0.15"/>
    <row r="39628" s="69" customFormat="1" x14ac:dyDescent="0.15"/>
    <row r="39629" s="69" customFormat="1" x14ac:dyDescent="0.15"/>
    <row r="39630" s="69" customFormat="1" x14ac:dyDescent="0.15"/>
    <row r="39631" s="69" customFormat="1" x14ac:dyDescent="0.15"/>
    <row r="39632" s="69" customFormat="1" x14ac:dyDescent="0.15"/>
    <row r="39633" s="69" customFormat="1" x14ac:dyDescent="0.15"/>
    <row r="39634" s="69" customFormat="1" x14ac:dyDescent="0.15"/>
    <row r="39635" s="69" customFormat="1" x14ac:dyDescent="0.15"/>
    <row r="39636" s="69" customFormat="1" x14ac:dyDescent="0.15"/>
    <row r="39637" s="69" customFormat="1" x14ac:dyDescent="0.15"/>
    <row r="39638" s="69" customFormat="1" x14ac:dyDescent="0.15"/>
    <row r="39639" s="69" customFormat="1" x14ac:dyDescent="0.15"/>
    <row r="39640" s="69" customFormat="1" x14ac:dyDescent="0.15"/>
    <row r="39641" s="69" customFormat="1" x14ac:dyDescent="0.15"/>
    <row r="39642" s="69" customFormat="1" x14ac:dyDescent="0.15"/>
    <row r="39643" s="69" customFormat="1" x14ac:dyDescent="0.15"/>
    <row r="39644" s="69" customFormat="1" x14ac:dyDescent="0.15"/>
    <row r="39645" s="69" customFormat="1" x14ac:dyDescent="0.15"/>
    <row r="39646" s="69" customFormat="1" x14ac:dyDescent="0.15"/>
    <row r="39647" s="69" customFormat="1" x14ac:dyDescent="0.15"/>
    <row r="39648" s="69" customFormat="1" x14ac:dyDescent="0.15"/>
    <row r="39649" s="69" customFormat="1" x14ac:dyDescent="0.15"/>
    <row r="39650" s="69" customFormat="1" x14ac:dyDescent="0.15"/>
    <row r="39651" s="69" customFormat="1" x14ac:dyDescent="0.15"/>
    <row r="39652" s="69" customFormat="1" x14ac:dyDescent="0.15"/>
    <row r="39653" s="69" customFormat="1" x14ac:dyDescent="0.15"/>
    <row r="39654" s="69" customFormat="1" x14ac:dyDescent="0.15"/>
    <row r="39655" s="69" customFormat="1" x14ac:dyDescent="0.15"/>
    <row r="39656" s="69" customFormat="1" x14ac:dyDescent="0.15"/>
    <row r="39657" s="69" customFormat="1" x14ac:dyDescent="0.15"/>
    <row r="39658" s="69" customFormat="1" x14ac:dyDescent="0.15"/>
    <row r="39659" s="69" customFormat="1" x14ac:dyDescent="0.15"/>
    <row r="39660" s="69" customFormat="1" x14ac:dyDescent="0.15"/>
    <row r="39661" s="69" customFormat="1" x14ac:dyDescent="0.15"/>
    <row r="39662" s="69" customFormat="1" x14ac:dyDescent="0.15"/>
    <row r="39663" s="69" customFormat="1" x14ac:dyDescent="0.15"/>
    <row r="39664" s="69" customFormat="1" x14ac:dyDescent="0.15"/>
    <row r="39665" s="69" customFormat="1" x14ac:dyDescent="0.15"/>
    <row r="39666" s="69" customFormat="1" x14ac:dyDescent="0.15"/>
    <row r="39667" s="69" customFormat="1" x14ac:dyDescent="0.15"/>
    <row r="39668" s="69" customFormat="1" x14ac:dyDescent="0.15"/>
    <row r="39669" s="69" customFormat="1" x14ac:dyDescent="0.15"/>
    <row r="39670" s="69" customFormat="1" x14ac:dyDescent="0.15"/>
    <row r="39671" s="69" customFormat="1" x14ac:dyDescent="0.15"/>
    <row r="39672" s="69" customFormat="1" x14ac:dyDescent="0.15"/>
    <row r="39673" s="69" customFormat="1" x14ac:dyDescent="0.15"/>
    <row r="39674" s="69" customFormat="1" x14ac:dyDescent="0.15"/>
    <row r="39675" s="69" customFormat="1" x14ac:dyDescent="0.15"/>
    <row r="39676" s="69" customFormat="1" x14ac:dyDescent="0.15"/>
    <row r="39677" s="69" customFormat="1" x14ac:dyDescent="0.15"/>
    <row r="39678" s="69" customFormat="1" x14ac:dyDescent="0.15"/>
    <row r="39679" s="69" customFormat="1" x14ac:dyDescent="0.15"/>
    <row r="39680" s="69" customFormat="1" x14ac:dyDescent="0.15"/>
    <row r="39681" s="69" customFormat="1" x14ac:dyDescent="0.15"/>
    <row r="39682" s="69" customFormat="1" x14ac:dyDescent="0.15"/>
    <row r="39683" s="69" customFormat="1" x14ac:dyDescent="0.15"/>
    <row r="39684" s="69" customFormat="1" x14ac:dyDescent="0.15"/>
    <row r="39685" s="69" customFormat="1" x14ac:dyDescent="0.15"/>
    <row r="39686" s="69" customFormat="1" x14ac:dyDescent="0.15"/>
    <row r="39687" s="69" customFormat="1" x14ac:dyDescent="0.15"/>
    <row r="39688" s="69" customFormat="1" x14ac:dyDescent="0.15"/>
    <row r="39689" s="69" customFormat="1" x14ac:dyDescent="0.15"/>
    <row r="39690" s="69" customFormat="1" x14ac:dyDescent="0.15"/>
    <row r="39691" s="69" customFormat="1" x14ac:dyDescent="0.15"/>
    <row r="39692" s="69" customFormat="1" x14ac:dyDescent="0.15"/>
    <row r="39693" s="69" customFormat="1" x14ac:dyDescent="0.15"/>
    <row r="39694" s="69" customFormat="1" x14ac:dyDescent="0.15"/>
    <row r="39695" s="69" customFormat="1" x14ac:dyDescent="0.15"/>
    <row r="39696" s="69" customFormat="1" x14ac:dyDescent="0.15"/>
    <row r="39697" s="69" customFormat="1" x14ac:dyDescent="0.15"/>
    <row r="39698" s="69" customFormat="1" x14ac:dyDescent="0.15"/>
    <row r="39699" s="69" customFormat="1" x14ac:dyDescent="0.15"/>
    <row r="39700" s="69" customFormat="1" x14ac:dyDescent="0.15"/>
    <row r="39701" s="69" customFormat="1" x14ac:dyDescent="0.15"/>
    <row r="39702" s="69" customFormat="1" x14ac:dyDescent="0.15"/>
    <row r="39703" s="69" customFormat="1" x14ac:dyDescent="0.15"/>
    <row r="39704" s="69" customFormat="1" x14ac:dyDescent="0.15"/>
    <row r="39705" s="69" customFormat="1" x14ac:dyDescent="0.15"/>
    <row r="39706" s="69" customFormat="1" x14ac:dyDescent="0.15"/>
    <row r="39707" s="69" customFormat="1" x14ac:dyDescent="0.15"/>
    <row r="39708" s="69" customFormat="1" x14ac:dyDescent="0.15"/>
    <row r="39709" s="69" customFormat="1" x14ac:dyDescent="0.15"/>
    <row r="39710" s="69" customFormat="1" x14ac:dyDescent="0.15"/>
    <row r="39711" s="69" customFormat="1" x14ac:dyDescent="0.15"/>
    <row r="39712" s="69" customFormat="1" x14ac:dyDescent="0.15"/>
    <row r="39713" s="69" customFormat="1" x14ac:dyDescent="0.15"/>
    <row r="39714" s="69" customFormat="1" x14ac:dyDescent="0.15"/>
    <row r="39715" s="69" customFormat="1" x14ac:dyDescent="0.15"/>
    <row r="39716" s="69" customFormat="1" x14ac:dyDescent="0.15"/>
    <row r="39717" s="69" customFormat="1" x14ac:dyDescent="0.15"/>
    <row r="39718" s="69" customFormat="1" x14ac:dyDescent="0.15"/>
    <row r="39719" s="69" customFormat="1" x14ac:dyDescent="0.15"/>
    <row r="39720" s="69" customFormat="1" x14ac:dyDescent="0.15"/>
    <row r="39721" s="69" customFormat="1" x14ac:dyDescent="0.15"/>
    <row r="39722" s="69" customFormat="1" x14ac:dyDescent="0.15"/>
    <row r="39723" s="69" customFormat="1" x14ac:dyDescent="0.15"/>
    <row r="39724" s="69" customFormat="1" x14ac:dyDescent="0.15"/>
    <row r="39725" s="69" customFormat="1" x14ac:dyDescent="0.15"/>
    <row r="39726" s="69" customFormat="1" x14ac:dyDescent="0.15"/>
    <row r="39727" s="69" customFormat="1" x14ac:dyDescent="0.15"/>
    <row r="39728" s="69" customFormat="1" x14ac:dyDescent="0.15"/>
    <row r="39729" s="69" customFormat="1" x14ac:dyDescent="0.15"/>
    <row r="39730" s="69" customFormat="1" x14ac:dyDescent="0.15"/>
    <row r="39731" s="69" customFormat="1" x14ac:dyDescent="0.15"/>
    <row r="39732" s="69" customFormat="1" x14ac:dyDescent="0.15"/>
    <row r="39733" s="69" customFormat="1" x14ac:dyDescent="0.15"/>
    <row r="39734" s="69" customFormat="1" x14ac:dyDescent="0.15"/>
    <row r="39735" s="69" customFormat="1" x14ac:dyDescent="0.15"/>
    <row r="39736" s="69" customFormat="1" x14ac:dyDescent="0.15"/>
    <row r="39737" s="69" customFormat="1" x14ac:dyDescent="0.15"/>
    <row r="39738" s="69" customFormat="1" x14ac:dyDescent="0.15"/>
    <row r="39739" s="69" customFormat="1" x14ac:dyDescent="0.15"/>
    <row r="39740" s="69" customFormat="1" x14ac:dyDescent="0.15"/>
    <row r="39741" s="69" customFormat="1" x14ac:dyDescent="0.15"/>
    <row r="39742" s="69" customFormat="1" x14ac:dyDescent="0.15"/>
    <row r="39743" s="69" customFormat="1" x14ac:dyDescent="0.15"/>
    <row r="39744" s="69" customFormat="1" x14ac:dyDescent="0.15"/>
    <row r="39745" s="69" customFormat="1" x14ac:dyDescent="0.15"/>
    <row r="39746" s="69" customFormat="1" x14ac:dyDescent="0.15"/>
    <row r="39747" s="69" customFormat="1" x14ac:dyDescent="0.15"/>
    <row r="39748" s="69" customFormat="1" x14ac:dyDescent="0.15"/>
    <row r="39749" s="69" customFormat="1" x14ac:dyDescent="0.15"/>
    <row r="39750" s="69" customFormat="1" x14ac:dyDescent="0.15"/>
    <row r="39751" s="69" customFormat="1" x14ac:dyDescent="0.15"/>
    <row r="39752" s="69" customFormat="1" x14ac:dyDescent="0.15"/>
    <row r="39753" s="69" customFormat="1" x14ac:dyDescent="0.15"/>
    <row r="39754" s="69" customFormat="1" x14ac:dyDescent="0.15"/>
    <row r="39755" s="69" customFormat="1" x14ac:dyDescent="0.15"/>
    <row r="39756" s="69" customFormat="1" x14ac:dyDescent="0.15"/>
    <row r="39757" s="69" customFormat="1" x14ac:dyDescent="0.15"/>
    <row r="39758" s="69" customFormat="1" x14ac:dyDescent="0.15"/>
    <row r="39759" s="69" customFormat="1" x14ac:dyDescent="0.15"/>
    <row r="39760" s="69" customFormat="1" x14ac:dyDescent="0.15"/>
    <row r="39761" s="69" customFormat="1" x14ac:dyDescent="0.15"/>
    <row r="39762" s="69" customFormat="1" x14ac:dyDescent="0.15"/>
    <row r="39763" s="69" customFormat="1" x14ac:dyDescent="0.15"/>
    <row r="39764" s="69" customFormat="1" x14ac:dyDescent="0.15"/>
    <row r="39765" s="69" customFormat="1" x14ac:dyDescent="0.15"/>
    <row r="39766" s="69" customFormat="1" x14ac:dyDescent="0.15"/>
    <row r="39767" s="69" customFormat="1" x14ac:dyDescent="0.15"/>
    <row r="39768" s="69" customFormat="1" x14ac:dyDescent="0.15"/>
    <row r="39769" s="69" customFormat="1" x14ac:dyDescent="0.15"/>
    <row r="39770" s="69" customFormat="1" x14ac:dyDescent="0.15"/>
    <row r="39771" s="69" customFormat="1" x14ac:dyDescent="0.15"/>
    <row r="39772" s="69" customFormat="1" x14ac:dyDescent="0.15"/>
    <row r="39773" s="69" customFormat="1" x14ac:dyDescent="0.15"/>
    <row r="39774" s="69" customFormat="1" x14ac:dyDescent="0.15"/>
    <row r="39775" s="69" customFormat="1" x14ac:dyDescent="0.15"/>
    <row r="39776" s="69" customFormat="1" x14ac:dyDescent="0.15"/>
    <row r="39777" s="69" customFormat="1" x14ac:dyDescent="0.15"/>
    <row r="39778" s="69" customFormat="1" x14ac:dyDescent="0.15"/>
    <row r="39779" s="69" customFormat="1" x14ac:dyDescent="0.15"/>
    <row r="39780" s="69" customFormat="1" x14ac:dyDescent="0.15"/>
    <row r="39781" s="69" customFormat="1" x14ac:dyDescent="0.15"/>
    <row r="39782" s="69" customFormat="1" x14ac:dyDescent="0.15"/>
    <row r="39783" s="69" customFormat="1" x14ac:dyDescent="0.15"/>
    <row r="39784" s="69" customFormat="1" x14ac:dyDescent="0.15"/>
    <row r="39785" s="69" customFormat="1" x14ac:dyDescent="0.15"/>
    <row r="39786" s="69" customFormat="1" x14ac:dyDescent="0.15"/>
    <row r="39787" s="69" customFormat="1" x14ac:dyDescent="0.15"/>
    <row r="39788" s="69" customFormat="1" x14ac:dyDescent="0.15"/>
    <row r="39789" s="69" customFormat="1" x14ac:dyDescent="0.15"/>
    <row r="39790" s="69" customFormat="1" x14ac:dyDescent="0.15"/>
    <row r="39791" s="69" customFormat="1" x14ac:dyDescent="0.15"/>
    <row r="39792" s="69" customFormat="1" x14ac:dyDescent="0.15"/>
    <row r="39793" s="69" customFormat="1" x14ac:dyDescent="0.15"/>
    <row r="39794" s="69" customFormat="1" x14ac:dyDescent="0.15"/>
    <row r="39795" s="69" customFormat="1" x14ac:dyDescent="0.15"/>
    <row r="39796" s="69" customFormat="1" x14ac:dyDescent="0.15"/>
    <row r="39797" s="69" customFormat="1" x14ac:dyDescent="0.15"/>
    <row r="39798" s="69" customFormat="1" x14ac:dyDescent="0.15"/>
    <row r="39799" s="69" customFormat="1" x14ac:dyDescent="0.15"/>
    <row r="39800" s="69" customFormat="1" x14ac:dyDescent="0.15"/>
    <row r="39801" s="69" customFormat="1" x14ac:dyDescent="0.15"/>
    <row r="39802" s="69" customFormat="1" x14ac:dyDescent="0.15"/>
    <row r="39803" s="69" customFormat="1" x14ac:dyDescent="0.15"/>
    <row r="39804" s="69" customFormat="1" x14ac:dyDescent="0.15"/>
    <row r="39805" s="69" customFormat="1" x14ac:dyDescent="0.15"/>
    <row r="39806" s="69" customFormat="1" x14ac:dyDescent="0.15"/>
    <row r="39807" s="69" customFormat="1" x14ac:dyDescent="0.15"/>
    <row r="39808" s="69" customFormat="1" x14ac:dyDescent="0.15"/>
    <row r="39809" s="69" customFormat="1" x14ac:dyDescent="0.15"/>
    <row r="39810" s="69" customFormat="1" x14ac:dyDescent="0.15"/>
    <row r="39811" s="69" customFormat="1" x14ac:dyDescent="0.15"/>
    <row r="39812" s="69" customFormat="1" x14ac:dyDescent="0.15"/>
    <row r="39813" s="69" customFormat="1" x14ac:dyDescent="0.15"/>
    <row r="39814" s="69" customFormat="1" x14ac:dyDescent="0.15"/>
    <row r="39815" s="69" customFormat="1" x14ac:dyDescent="0.15"/>
    <row r="39816" s="69" customFormat="1" x14ac:dyDescent="0.15"/>
    <row r="39817" s="69" customFormat="1" x14ac:dyDescent="0.15"/>
    <row r="39818" s="69" customFormat="1" x14ac:dyDescent="0.15"/>
    <row r="39819" s="69" customFormat="1" x14ac:dyDescent="0.15"/>
    <row r="39820" s="69" customFormat="1" x14ac:dyDescent="0.15"/>
    <row r="39821" s="69" customFormat="1" x14ac:dyDescent="0.15"/>
    <row r="39822" s="69" customFormat="1" x14ac:dyDescent="0.15"/>
    <row r="39823" s="69" customFormat="1" x14ac:dyDescent="0.15"/>
    <row r="39824" s="69" customFormat="1" x14ac:dyDescent="0.15"/>
    <row r="39825" s="69" customFormat="1" x14ac:dyDescent="0.15"/>
    <row r="39826" s="69" customFormat="1" x14ac:dyDescent="0.15"/>
    <row r="39827" s="69" customFormat="1" x14ac:dyDescent="0.15"/>
    <row r="39828" s="69" customFormat="1" x14ac:dyDescent="0.15"/>
    <row r="39829" s="69" customFormat="1" x14ac:dyDescent="0.15"/>
    <row r="39830" s="69" customFormat="1" x14ac:dyDescent="0.15"/>
    <row r="39831" s="69" customFormat="1" x14ac:dyDescent="0.15"/>
    <row r="39832" s="69" customFormat="1" x14ac:dyDescent="0.15"/>
    <row r="39833" s="69" customFormat="1" x14ac:dyDescent="0.15"/>
    <row r="39834" s="69" customFormat="1" x14ac:dyDescent="0.15"/>
    <row r="39835" s="69" customFormat="1" x14ac:dyDescent="0.15"/>
    <row r="39836" s="69" customFormat="1" x14ac:dyDescent="0.15"/>
    <row r="39837" s="69" customFormat="1" x14ac:dyDescent="0.15"/>
    <row r="39838" s="69" customFormat="1" x14ac:dyDescent="0.15"/>
    <row r="39839" s="69" customFormat="1" x14ac:dyDescent="0.15"/>
    <row r="39840" s="69" customFormat="1" x14ac:dyDescent="0.15"/>
    <row r="39841" s="69" customFormat="1" x14ac:dyDescent="0.15"/>
    <row r="39842" s="69" customFormat="1" x14ac:dyDescent="0.15"/>
    <row r="39843" s="69" customFormat="1" x14ac:dyDescent="0.15"/>
    <row r="39844" s="69" customFormat="1" x14ac:dyDescent="0.15"/>
    <row r="39845" s="69" customFormat="1" x14ac:dyDescent="0.15"/>
    <row r="39846" s="69" customFormat="1" x14ac:dyDescent="0.15"/>
    <row r="39847" s="69" customFormat="1" x14ac:dyDescent="0.15"/>
    <row r="39848" s="69" customFormat="1" x14ac:dyDescent="0.15"/>
    <row r="39849" s="69" customFormat="1" x14ac:dyDescent="0.15"/>
    <row r="39850" s="69" customFormat="1" x14ac:dyDescent="0.15"/>
    <row r="39851" s="69" customFormat="1" x14ac:dyDescent="0.15"/>
    <row r="39852" s="69" customFormat="1" x14ac:dyDescent="0.15"/>
    <row r="39853" s="69" customFormat="1" x14ac:dyDescent="0.15"/>
    <row r="39854" s="69" customFormat="1" x14ac:dyDescent="0.15"/>
    <row r="39855" s="69" customFormat="1" x14ac:dyDescent="0.15"/>
    <row r="39856" s="69" customFormat="1" x14ac:dyDescent="0.15"/>
    <row r="39857" s="69" customFormat="1" x14ac:dyDescent="0.15"/>
    <row r="39858" s="69" customFormat="1" x14ac:dyDescent="0.15"/>
    <row r="39859" s="69" customFormat="1" x14ac:dyDescent="0.15"/>
    <row r="39860" s="69" customFormat="1" x14ac:dyDescent="0.15"/>
    <row r="39861" s="69" customFormat="1" x14ac:dyDescent="0.15"/>
    <row r="39862" s="69" customFormat="1" x14ac:dyDescent="0.15"/>
    <row r="39863" s="69" customFormat="1" x14ac:dyDescent="0.15"/>
    <row r="39864" s="69" customFormat="1" x14ac:dyDescent="0.15"/>
    <row r="39865" s="69" customFormat="1" x14ac:dyDescent="0.15"/>
    <row r="39866" s="69" customFormat="1" x14ac:dyDescent="0.15"/>
    <row r="39867" s="69" customFormat="1" x14ac:dyDescent="0.15"/>
    <row r="39868" s="69" customFormat="1" x14ac:dyDescent="0.15"/>
    <row r="39869" s="69" customFormat="1" x14ac:dyDescent="0.15"/>
    <row r="39870" s="69" customFormat="1" x14ac:dyDescent="0.15"/>
    <row r="39871" s="69" customFormat="1" x14ac:dyDescent="0.15"/>
    <row r="39872" s="69" customFormat="1" x14ac:dyDescent="0.15"/>
    <row r="39873" s="69" customFormat="1" x14ac:dyDescent="0.15"/>
    <row r="39874" s="69" customFormat="1" x14ac:dyDescent="0.15"/>
    <row r="39875" s="69" customFormat="1" x14ac:dyDescent="0.15"/>
    <row r="39876" s="69" customFormat="1" x14ac:dyDescent="0.15"/>
    <row r="39877" s="69" customFormat="1" x14ac:dyDescent="0.15"/>
    <row r="39878" s="69" customFormat="1" x14ac:dyDescent="0.15"/>
    <row r="39879" s="69" customFormat="1" x14ac:dyDescent="0.15"/>
    <row r="39880" s="69" customFormat="1" x14ac:dyDescent="0.15"/>
    <row r="39881" s="69" customFormat="1" x14ac:dyDescent="0.15"/>
    <row r="39882" s="69" customFormat="1" x14ac:dyDescent="0.15"/>
    <row r="39883" s="69" customFormat="1" x14ac:dyDescent="0.15"/>
    <row r="39884" s="69" customFormat="1" x14ac:dyDescent="0.15"/>
    <row r="39885" s="69" customFormat="1" x14ac:dyDescent="0.15"/>
    <row r="39886" s="69" customFormat="1" x14ac:dyDescent="0.15"/>
    <row r="39887" s="69" customFormat="1" x14ac:dyDescent="0.15"/>
    <row r="39888" s="69" customFormat="1" x14ac:dyDescent="0.15"/>
    <row r="39889" s="69" customFormat="1" x14ac:dyDescent="0.15"/>
    <row r="39890" s="69" customFormat="1" x14ac:dyDescent="0.15"/>
    <row r="39891" s="69" customFormat="1" x14ac:dyDescent="0.15"/>
    <row r="39892" s="69" customFormat="1" x14ac:dyDescent="0.15"/>
    <row r="39893" s="69" customFormat="1" x14ac:dyDescent="0.15"/>
    <row r="39894" s="69" customFormat="1" x14ac:dyDescent="0.15"/>
    <row r="39895" s="69" customFormat="1" x14ac:dyDescent="0.15"/>
    <row r="39896" s="69" customFormat="1" x14ac:dyDescent="0.15"/>
    <row r="39897" s="69" customFormat="1" x14ac:dyDescent="0.15"/>
    <row r="39898" s="69" customFormat="1" x14ac:dyDescent="0.15"/>
    <row r="39899" s="69" customFormat="1" x14ac:dyDescent="0.15"/>
    <row r="39900" s="69" customFormat="1" x14ac:dyDescent="0.15"/>
    <row r="39901" s="69" customFormat="1" x14ac:dyDescent="0.15"/>
    <row r="39902" s="69" customFormat="1" x14ac:dyDescent="0.15"/>
    <row r="39903" s="69" customFormat="1" x14ac:dyDescent="0.15"/>
    <row r="39904" s="69" customFormat="1" x14ac:dyDescent="0.15"/>
    <row r="39905" s="69" customFormat="1" x14ac:dyDescent="0.15"/>
    <row r="39906" s="69" customFormat="1" x14ac:dyDescent="0.15"/>
    <row r="39907" s="69" customFormat="1" x14ac:dyDescent="0.15"/>
    <row r="39908" s="69" customFormat="1" x14ac:dyDescent="0.15"/>
    <row r="39909" s="69" customFormat="1" x14ac:dyDescent="0.15"/>
    <row r="39910" s="69" customFormat="1" x14ac:dyDescent="0.15"/>
    <row r="39911" s="69" customFormat="1" x14ac:dyDescent="0.15"/>
    <row r="39912" s="69" customFormat="1" x14ac:dyDescent="0.15"/>
    <row r="39913" s="69" customFormat="1" x14ac:dyDescent="0.15"/>
    <row r="39914" s="69" customFormat="1" x14ac:dyDescent="0.15"/>
    <row r="39915" s="69" customFormat="1" x14ac:dyDescent="0.15"/>
    <row r="39916" s="69" customFormat="1" x14ac:dyDescent="0.15"/>
    <row r="39917" s="69" customFormat="1" x14ac:dyDescent="0.15"/>
    <row r="39918" s="69" customFormat="1" x14ac:dyDescent="0.15"/>
    <row r="39919" s="69" customFormat="1" x14ac:dyDescent="0.15"/>
    <row r="39920" s="69" customFormat="1" x14ac:dyDescent="0.15"/>
    <row r="39921" s="69" customFormat="1" x14ac:dyDescent="0.15"/>
    <row r="39922" s="69" customFormat="1" x14ac:dyDescent="0.15"/>
    <row r="39923" s="69" customFormat="1" x14ac:dyDescent="0.15"/>
    <row r="39924" s="69" customFormat="1" x14ac:dyDescent="0.15"/>
    <row r="39925" s="69" customFormat="1" x14ac:dyDescent="0.15"/>
    <row r="39926" s="69" customFormat="1" x14ac:dyDescent="0.15"/>
    <row r="39927" s="69" customFormat="1" x14ac:dyDescent="0.15"/>
    <row r="39928" s="69" customFormat="1" x14ac:dyDescent="0.15"/>
    <row r="39929" s="69" customFormat="1" x14ac:dyDescent="0.15"/>
    <row r="39930" s="69" customFormat="1" x14ac:dyDescent="0.15"/>
    <row r="39931" s="69" customFormat="1" x14ac:dyDescent="0.15"/>
    <row r="39932" s="69" customFormat="1" x14ac:dyDescent="0.15"/>
    <row r="39933" s="69" customFormat="1" x14ac:dyDescent="0.15"/>
    <row r="39934" s="69" customFormat="1" x14ac:dyDescent="0.15"/>
    <row r="39935" s="69" customFormat="1" x14ac:dyDescent="0.15"/>
    <row r="39936" s="69" customFormat="1" x14ac:dyDescent="0.15"/>
    <row r="39937" s="69" customFormat="1" x14ac:dyDescent="0.15"/>
    <row r="39938" s="69" customFormat="1" x14ac:dyDescent="0.15"/>
    <row r="39939" s="69" customFormat="1" x14ac:dyDescent="0.15"/>
    <row r="39940" s="69" customFormat="1" x14ac:dyDescent="0.15"/>
    <row r="39941" s="69" customFormat="1" x14ac:dyDescent="0.15"/>
    <row r="39942" s="69" customFormat="1" x14ac:dyDescent="0.15"/>
    <row r="39943" s="69" customFormat="1" x14ac:dyDescent="0.15"/>
    <row r="39944" s="69" customFormat="1" x14ac:dyDescent="0.15"/>
    <row r="39945" s="69" customFormat="1" x14ac:dyDescent="0.15"/>
    <row r="39946" s="69" customFormat="1" x14ac:dyDescent="0.15"/>
    <row r="39947" s="69" customFormat="1" x14ac:dyDescent="0.15"/>
    <row r="39948" s="69" customFormat="1" x14ac:dyDescent="0.15"/>
    <row r="39949" s="69" customFormat="1" x14ac:dyDescent="0.15"/>
    <row r="39950" s="69" customFormat="1" x14ac:dyDescent="0.15"/>
    <row r="39951" s="69" customFormat="1" x14ac:dyDescent="0.15"/>
    <row r="39952" s="69" customFormat="1" x14ac:dyDescent="0.15"/>
    <row r="39953" s="69" customFormat="1" x14ac:dyDescent="0.15"/>
    <row r="39954" s="69" customFormat="1" x14ac:dyDescent="0.15"/>
    <row r="39955" s="69" customFormat="1" x14ac:dyDescent="0.15"/>
    <row r="39956" s="69" customFormat="1" x14ac:dyDescent="0.15"/>
    <row r="39957" s="69" customFormat="1" x14ac:dyDescent="0.15"/>
    <row r="39958" s="69" customFormat="1" x14ac:dyDescent="0.15"/>
    <row r="39959" s="69" customFormat="1" x14ac:dyDescent="0.15"/>
    <row r="39960" s="69" customFormat="1" x14ac:dyDescent="0.15"/>
    <row r="39961" s="69" customFormat="1" x14ac:dyDescent="0.15"/>
    <row r="39962" s="69" customFormat="1" x14ac:dyDescent="0.15"/>
    <row r="39963" s="69" customFormat="1" x14ac:dyDescent="0.15"/>
    <row r="39964" s="69" customFormat="1" x14ac:dyDescent="0.15"/>
    <row r="39965" s="69" customFormat="1" x14ac:dyDescent="0.15"/>
    <row r="39966" s="69" customFormat="1" x14ac:dyDescent="0.15"/>
    <row r="39967" s="69" customFormat="1" x14ac:dyDescent="0.15"/>
    <row r="39968" s="69" customFormat="1" x14ac:dyDescent="0.15"/>
    <row r="39969" s="69" customFormat="1" x14ac:dyDescent="0.15"/>
    <row r="39970" s="69" customFormat="1" x14ac:dyDescent="0.15"/>
    <row r="39971" s="69" customFormat="1" x14ac:dyDescent="0.15"/>
    <row r="39972" s="69" customFormat="1" x14ac:dyDescent="0.15"/>
    <row r="39973" s="69" customFormat="1" x14ac:dyDescent="0.15"/>
    <row r="39974" s="69" customFormat="1" x14ac:dyDescent="0.15"/>
    <row r="39975" s="69" customFormat="1" x14ac:dyDescent="0.15"/>
    <row r="39976" s="69" customFormat="1" x14ac:dyDescent="0.15"/>
    <row r="39977" s="69" customFormat="1" x14ac:dyDescent="0.15"/>
    <row r="39978" s="69" customFormat="1" x14ac:dyDescent="0.15"/>
    <row r="39979" s="69" customFormat="1" x14ac:dyDescent="0.15"/>
    <row r="39980" s="69" customFormat="1" x14ac:dyDescent="0.15"/>
    <row r="39981" s="69" customFormat="1" x14ac:dyDescent="0.15"/>
    <row r="39982" s="69" customFormat="1" x14ac:dyDescent="0.15"/>
    <row r="39983" s="69" customFormat="1" x14ac:dyDescent="0.15"/>
    <row r="39984" s="69" customFormat="1" x14ac:dyDescent="0.15"/>
    <row r="39985" s="69" customFormat="1" x14ac:dyDescent="0.15"/>
    <row r="39986" s="69" customFormat="1" x14ac:dyDescent="0.15"/>
    <row r="39987" s="69" customFormat="1" x14ac:dyDescent="0.15"/>
    <row r="39988" s="69" customFormat="1" x14ac:dyDescent="0.15"/>
    <row r="39989" s="69" customFormat="1" x14ac:dyDescent="0.15"/>
    <row r="39990" s="69" customFormat="1" x14ac:dyDescent="0.15"/>
    <row r="39991" s="69" customFormat="1" x14ac:dyDescent="0.15"/>
    <row r="39992" s="69" customFormat="1" x14ac:dyDescent="0.15"/>
    <row r="39993" s="69" customFormat="1" x14ac:dyDescent="0.15"/>
    <row r="39994" s="69" customFormat="1" x14ac:dyDescent="0.15"/>
    <row r="39995" s="69" customFormat="1" x14ac:dyDescent="0.15"/>
    <row r="39996" s="69" customFormat="1" x14ac:dyDescent="0.15"/>
    <row r="39997" s="69" customFormat="1" x14ac:dyDescent="0.15"/>
    <row r="39998" s="69" customFormat="1" x14ac:dyDescent="0.15"/>
    <row r="39999" s="69" customFormat="1" x14ac:dyDescent="0.15"/>
    <row r="40000" s="69" customFormat="1" x14ac:dyDescent="0.15"/>
    <row r="40001" s="69" customFormat="1" x14ac:dyDescent="0.15"/>
    <row r="40002" s="69" customFormat="1" x14ac:dyDescent="0.15"/>
    <row r="40003" s="69" customFormat="1" x14ac:dyDescent="0.15"/>
    <row r="40004" s="69" customFormat="1" x14ac:dyDescent="0.15"/>
    <row r="40005" s="69" customFormat="1" x14ac:dyDescent="0.15"/>
    <row r="40006" s="69" customFormat="1" x14ac:dyDescent="0.15"/>
    <row r="40007" s="69" customFormat="1" x14ac:dyDescent="0.15"/>
    <row r="40008" s="69" customFormat="1" x14ac:dyDescent="0.15"/>
    <row r="40009" s="69" customFormat="1" x14ac:dyDescent="0.15"/>
    <row r="40010" s="69" customFormat="1" x14ac:dyDescent="0.15"/>
    <row r="40011" s="69" customFormat="1" x14ac:dyDescent="0.15"/>
    <row r="40012" s="69" customFormat="1" x14ac:dyDescent="0.15"/>
    <row r="40013" s="69" customFormat="1" x14ac:dyDescent="0.15"/>
    <row r="40014" s="69" customFormat="1" x14ac:dyDescent="0.15"/>
    <row r="40015" s="69" customFormat="1" x14ac:dyDescent="0.15"/>
    <row r="40016" s="69" customFormat="1" x14ac:dyDescent="0.15"/>
    <row r="40017" s="69" customFormat="1" x14ac:dyDescent="0.15"/>
    <row r="40018" s="69" customFormat="1" x14ac:dyDescent="0.15"/>
    <row r="40019" s="69" customFormat="1" x14ac:dyDescent="0.15"/>
    <row r="40020" s="69" customFormat="1" x14ac:dyDescent="0.15"/>
    <row r="40021" s="69" customFormat="1" x14ac:dyDescent="0.15"/>
    <row r="40022" s="69" customFormat="1" x14ac:dyDescent="0.15"/>
    <row r="40023" s="69" customFormat="1" x14ac:dyDescent="0.15"/>
    <row r="40024" s="69" customFormat="1" x14ac:dyDescent="0.15"/>
    <row r="40025" s="69" customFormat="1" x14ac:dyDescent="0.15"/>
    <row r="40026" s="69" customFormat="1" x14ac:dyDescent="0.15"/>
    <row r="40027" s="69" customFormat="1" x14ac:dyDescent="0.15"/>
    <row r="40028" s="69" customFormat="1" x14ac:dyDescent="0.15"/>
    <row r="40029" s="69" customFormat="1" x14ac:dyDescent="0.15"/>
    <row r="40030" s="69" customFormat="1" x14ac:dyDescent="0.15"/>
    <row r="40031" s="69" customFormat="1" x14ac:dyDescent="0.15"/>
    <row r="40032" s="69" customFormat="1" x14ac:dyDescent="0.15"/>
    <row r="40033" s="69" customFormat="1" x14ac:dyDescent="0.15"/>
    <row r="40034" s="69" customFormat="1" x14ac:dyDescent="0.15"/>
    <row r="40035" s="69" customFormat="1" x14ac:dyDescent="0.15"/>
    <row r="40036" s="69" customFormat="1" x14ac:dyDescent="0.15"/>
    <row r="40037" s="69" customFormat="1" x14ac:dyDescent="0.15"/>
    <row r="40038" s="69" customFormat="1" x14ac:dyDescent="0.15"/>
    <row r="40039" s="69" customFormat="1" x14ac:dyDescent="0.15"/>
    <row r="40040" s="69" customFormat="1" x14ac:dyDescent="0.15"/>
    <row r="40041" s="69" customFormat="1" x14ac:dyDescent="0.15"/>
    <row r="40042" s="69" customFormat="1" x14ac:dyDescent="0.15"/>
    <row r="40043" s="69" customFormat="1" x14ac:dyDescent="0.15"/>
    <row r="40044" s="69" customFormat="1" x14ac:dyDescent="0.15"/>
    <row r="40045" s="69" customFormat="1" x14ac:dyDescent="0.15"/>
    <row r="40046" s="69" customFormat="1" x14ac:dyDescent="0.15"/>
    <row r="40047" s="69" customFormat="1" x14ac:dyDescent="0.15"/>
    <row r="40048" s="69" customFormat="1" x14ac:dyDescent="0.15"/>
    <row r="40049" s="69" customFormat="1" x14ac:dyDescent="0.15"/>
    <row r="40050" s="69" customFormat="1" x14ac:dyDescent="0.15"/>
    <row r="40051" s="69" customFormat="1" x14ac:dyDescent="0.15"/>
    <row r="40052" s="69" customFormat="1" x14ac:dyDescent="0.15"/>
    <row r="40053" s="69" customFormat="1" x14ac:dyDescent="0.15"/>
    <row r="40054" s="69" customFormat="1" x14ac:dyDescent="0.15"/>
    <row r="40055" s="69" customFormat="1" x14ac:dyDescent="0.15"/>
    <row r="40056" s="69" customFormat="1" x14ac:dyDescent="0.15"/>
    <row r="40057" s="69" customFormat="1" x14ac:dyDescent="0.15"/>
    <row r="40058" s="69" customFormat="1" x14ac:dyDescent="0.15"/>
    <row r="40059" s="69" customFormat="1" x14ac:dyDescent="0.15"/>
    <row r="40060" s="69" customFormat="1" x14ac:dyDescent="0.15"/>
    <row r="40061" s="69" customFormat="1" x14ac:dyDescent="0.15"/>
    <row r="40062" s="69" customFormat="1" x14ac:dyDescent="0.15"/>
    <row r="40063" s="69" customFormat="1" x14ac:dyDescent="0.15"/>
    <row r="40064" s="69" customFormat="1" x14ac:dyDescent="0.15"/>
    <row r="40065" s="69" customFormat="1" x14ac:dyDescent="0.15"/>
    <row r="40066" s="69" customFormat="1" x14ac:dyDescent="0.15"/>
    <row r="40067" s="69" customFormat="1" x14ac:dyDescent="0.15"/>
    <row r="40068" s="69" customFormat="1" x14ac:dyDescent="0.15"/>
    <row r="40069" s="69" customFormat="1" x14ac:dyDescent="0.15"/>
    <row r="40070" s="69" customFormat="1" x14ac:dyDescent="0.15"/>
    <row r="40071" s="69" customFormat="1" x14ac:dyDescent="0.15"/>
    <row r="40072" s="69" customFormat="1" x14ac:dyDescent="0.15"/>
    <row r="40073" s="69" customFormat="1" x14ac:dyDescent="0.15"/>
    <row r="40074" s="69" customFormat="1" x14ac:dyDescent="0.15"/>
    <row r="40075" s="69" customFormat="1" x14ac:dyDescent="0.15"/>
    <row r="40076" s="69" customFormat="1" x14ac:dyDescent="0.15"/>
    <row r="40077" s="69" customFormat="1" x14ac:dyDescent="0.15"/>
    <row r="40078" s="69" customFormat="1" x14ac:dyDescent="0.15"/>
    <row r="40079" s="69" customFormat="1" x14ac:dyDescent="0.15"/>
    <row r="40080" s="69" customFormat="1" x14ac:dyDescent="0.15"/>
    <row r="40081" s="69" customFormat="1" x14ac:dyDescent="0.15"/>
    <row r="40082" s="69" customFormat="1" x14ac:dyDescent="0.15"/>
    <row r="40083" s="69" customFormat="1" x14ac:dyDescent="0.15"/>
    <row r="40084" s="69" customFormat="1" x14ac:dyDescent="0.15"/>
    <row r="40085" s="69" customFormat="1" x14ac:dyDescent="0.15"/>
    <row r="40086" s="69" customFormat="1" x14ac:dyDescent="0.15"/>
    <row r="40087" s="69" customFormat="1" x14ac:dyDescent="0.15"/>
    <row r="40088" s="69" customFormat="1" x14ac:dyDescent="0.15"/>
    <row r="40089" s="69" customFormat="1" x14ac:dyDescent="0.15"/>
    <row r="40090" s="69" customFormat="1" x14ac:dyDescent="0.15"/>
    <row r="40091" s="69" customFormat="1" x14ac:dyDescent="0.15"/>
    <row r="40092" s="69" customFormat="1" x14ac:dyDescent="0.15"/>
    <row r="40093" s="69" customFormat="1" x14ac:dyDescent="0.15"/>
    <row r="40094" s="69" customFormat="1" x14ac:dyDescent="0.15"/>
    <row r="40095" s="69" customFormat="1" x14ac:dyDescent="0.15"/>
    <row r="40096" s="69" customFormat="1" x14ac:dyDescent="0.15"/>
    <row r="40097" s="69" customFormat="1" x14ac:dyDescent="0.15"/>
    <row r="40098" s="69" customFormat="1" x14ac:dyDescent="0.15"/>
    <row r="40099" s="69" customFormat="1" x14ac:dyDescent="0.15"/>
    <row r="40100" s="69" customFormat="1" x14ac:dyDescent="0.15"/>
    <row r="40101" s="69" customFormat="1" x14ac:dyDescent="0.15"/>
    <row r="40102" s="69" customFormat="1" x14ac:dyDescent="0.15"/>
    <row r="40103" s="69" customFormat="1" x14ac:dyDescent="0.15"/>
    <row r="40104" s="69" customFormat="1" x14ac:dyDescent="0.15"/>
    <row r="40105" s="69" customFormat="1" x14ac:dyDescent="0.15"/>
    <row r="40106" s="69" customFormat="1" x14ac:dyDescent="0.15"/>
    <row r="40107" s="69" customFormat="1" x14ac:dyDescent="0.15"/>
    <row r="40108" s="69" customFormat="1" x14ac:dyDescent="0.15"/>
    <row r="40109" s="69" customFormat="1" x14ac:dyDescent="0.15"/>
    <row r="40110" s="69" customFormat="1" x14ac:dyDescent="0.15"/>
    <row r="40111" s="69" customFormat="1" x14ac:dyDescent="0.15"/>
    <row r="40112" s="69" customFormat="1" x14ac:dyDescent="0.15"/>
    <row r="40113" s="69" customFormat="1" x14ac:dyDescent="0.15"/>
    <row r="40114" s="69" customFormat="1" x14ac:dyDescent="0.15"/>
    <row r="40115" s="69" customFormat="1" x14ac:dyDescent="0.15"/>
    <row r="40116" s="69" customFormat="1" x14ac:dyDescent="0.15"/>
    <row r="40117" s="69" customFormat="1" x14ac:dyDescent="0.15"/>
    <row r="40118" s="69" customFormat="1" x14ac:dyDescent="0.15"/>
    <row r="40119" s="69" customFormat="1" x14ac:dyDescent="0.15"/>
    <row r="40120" s="69" customFormat="1" x14ac:dyDescent="0.15"/>
    <row r="40121" s="69" customFormat="1" x14ac:dyDescent="0.15"/>
    <row r="40122" s="69" customFormat="1" x14ac:dyDescent="0.15"/>
    <row r="40123" s="69" customFormat="1" x14ac:dyDescent="0.15"/>
    <row r="40124" s="69" customFormat="1" x14ac:dyDescent="0.15"/>
    <row r="40125" s="69" customFormat="1" x14ac:dyDescent="0.15"/>
    <row r="40126" s="69" customFormat="1" x14ac:dyDescent="0.15"/>
    <row r="40127" s="69" customFormat="1" x14ac:dyDescent="0.15"/>
    <row r="40128" s="69" customFormat="1" x14ac:dyDescent="0.15"/>
    <row r="40129" s="69" customFormat="1" x14ac:dyDescent="0.15"/>
    <row r="40130" s="69" customFormat="1" x14ac:dyDescent="0.15"/>
    <row r="40131" s="69" customFormat="1" x14ac:dyDescent="0.15"/>
    <row r="40132" s="69" customFormat="1" x14ac:dyDescent="0.15"/>
    <row r="40133" s="69" customFormat="1" x14ac:dyDescent="0.15"/>
    <row r="40134" s="69" customFormat="1" x14ac:dyDescent="0.15"/>
    <row r="40135" s="69" customFormat="1" x14ac:dyDescent="0.15"/>
    <row r="40136" s="69" customFormat="1" x14ac:dyDescent="0.15"/>
    <row r="40137" s="69" customFormat="1" x14ac:dyDescent="0.15"/>
    <row r="40138" s="69" customFormat="1" x14ac:dyDescent="0.15"/>
    <row r="40139" s="69" customFormat="1" x14ac:dyDescent="0.15"/>
    <row r="40140" s="69" customFormat="1" x14ac:dyDescent="0.15"/>
    <row r="40141" s="69" customFormat="1" x14ac:dyDescent="0.15"/>
    <row r="40142" s="69" customFormat="1" x14ac:dyDescent="0.15"/>
    <row r="40143" s="69" customFormat="1" x14ac:dyDescent="0.15"/>
    <row r="40144" s="69" customFormat="1" x14ac:dyDescent="0.15"/>
    <row r="40145" s="69" customFormat="1" x14ac:dyDescent="0.15"/>
    <row r="40146" s="69" customFormat="1" x14ac:dyDescent="0.15"/>
    <row r="40147" s="69" customFormat="1" x14ac:dyDescent="0.15"/>
    <row r="40148" s="69" customFormat="1" x14ac:dyDescent="0.15"/>
    <row r="40149" s="69" customFormat="1" x14ac:dyDescent="0.15"/>
    <row r="40150" s="69" customFormat="1" x14ac:dyDescent="0.15"/>
    <row r="40151" s="69" customFormat="1" x14ac:dyDescent="0.15"/>
    <row r="40152" s="69" customFormat="1" x14ac:dyDescent="0.15"/>
    <row r="40153" s="69" customFormat="1" x14ac:dyDescent="0.15"/>
    <row r="40154" s="69" customFormat="1" x14ac:dyDescent="0.15"/>
    <row r="40155" s="69" customFormat="1" x14ac:dyDescent="0.15"/>
    <row r="40156" s="69" customFormat="1" x14ac:dyDescent="0.15"/>
    <row r="40157" s="69" customFormat="1" x14ac:dyDescent="0.15"/>
    <row r="40158" s="69" customFormat="1" x14ac:dyDescent="0.15"/>
    <row r="40159" s="69" customFormat="1" x14ac:dyDescent="0.15"/>
    <row r="40160" s="69" customFormat="1" x14ac:dyDescent="0.15"/>
    <row r="40161" s="69" customFormat="1" x14ac:dyDescent="0.15"/>
    <row r="40162" s="69" customFormat="1" x14ac:dyDescent="0.15"/>
    <row r="40163" s="69" customFormat="1" x14ac:dyDescent="0.15"/>
    <row r="40164" s="69" customFormat="1" x14ac:dyDescent="0.15"/>
    <row r="40165" s="69" customFormat="1" x14ac:dyDescent="0.15"/>
    <row r="40166" s="69" customFormat="1" x14ac:dyDescent="0.15"/>
    <row r="40167" s="69" customFormat="1" x14ac:dyDescent="0.15"/>
    <row r="40168" s="69" customFormat="1" x14ac:dyDescent="0.15"/>
    <row r="40169" s="69" customFormat="1" x14ac:dyDescent="0.15"/>
    <row r="40170" s="69" customFormat="1" x14ac:dyDescent="0.15"/>
    <row r="40171" s="69" customFormat="1" x14ac:dyDescent="0.15"/>
    <row r="40172" s="69" customFormat="1" x14ac:dyDescent="0.15"/>
    <row r="40173" s="69" customFormat="1" x14ac:dyDescent="0.15"/>
    <row r="40174" s="69" customFormat="1" x14ac:dyDescent="0.15"/>
    <row r="40175" s="69" customFormat="1" x14ac:dyDescent="0.15"/>
    <row r="40176" s="69" customFormat="1" x14ac:dyDescent="0.15"/>
    <row r="40177" s="69" customFormat="1" x14ac:dyDescent="0.15"/>
    <row r="40178" s="69" customFormat="1" x14ac:dyDescent="0.15"/>
    <row r="40179" s="69" customFormat="1" x14ac:dyDescent="0.15"/>
    <row r="40180" s="69" customFormat="1" x14ac:dyDescent="0.15"/>
    <row r="40181" s="69" customFormat="1" x14ac:dyDescent="0.15"/>
    <row r="40182" s="69" customFormat="1" x14ac:dyDescent="0.15"/>
    <row r="40183" s="69" customFormat="1" x14ac:dyDescent="0.15"/>
    <row r="40184" s="69" customFormat="1" x14ac:dyDescent="0.15"/>
    <row r="40185" s="69" customFormat="1" x14ac:dyDescent="0.15"/>
    <row r="40186" s="69" customFormat="1" x14ac:dyDescent="0.15"/>
    <row r="40187" s="69" customFormat="1" x14ac:dyDescent="0.15"/>
    <row r="40188" s="69" customFormat="1" x14ac:dyDescent="0.15"/>
    <row r="40189" s="69" customFormat="1" x14ac:dyDescent="0.15"/>
    <row r="40190" s="69" customFormat="1" x14ac:dyDescent="0.15"/>
    <row r="40191" s="69" customFormat="1" x14ac:dyDescent="0.15"/>
    <row r="40192" s="69" customFormat="1" x14ac:dyDescent="0.15"/>
    <row r="40193" s="69" customFormat="1" x14ac:dyDescent="0.15"/>
    <row r="40194" s="69" customFormat="1" x14ac:dyDescent="0.15"/>
    <row r="40195" s="69" customFormat="1" x14ac:dyDescent="0.15"/>
    <row r="40196" s="69" customFormat="1" x14ac:dyDescent="0.15"/>
    <row r="40197" s="69" customFormat="1" x14ac:dyDescent="0.15"/>
    <row r="40198" s="69" customFormat="1" x14ac:dyDescent="0.15"/>
    <row r="40199" s="69" customFormat="1" x14ac:dyDescent="0.15"/>
    <row r="40200" s="69" customFormat="1" x14ac:dyDescent="0.15"/>
    <row r="40201" s="69" customFormat="1" x14ac:dyDescent="0.15"/>
    <row r="40202" s="69" customFormat="1" x14ac:dyDescent="0.15"/>
    <row r="40203" s="69" customFormat="1" x14ac:dyDescent="0.15"/>
    <row r="40204" s="69" customFormat="1" x14ac:dyDescent="0.15"/>
    <row r="40205" s="69" customFormat="1" x14ac:dyDescent="0.15"/>
    <row r="40206" s="69" customFormat="1" x14ac:dyDescent="0.15"/>
    <row r="40207" s="69" customFormat="1" x14ac:dyDescent="0.15"/>
    <row r="40208" s="69" customFormat="1" x14ac:dyDescent="0.15"/>
    <row r="40209" s="69" customFormat="1" x14ac:dyDescent="0.15"/>
    <row r="40210" s="69" customFormat="1" x14ac:dyDescent="0.15"/>
    <row r="40211" s="69" customFormat="1" x14ac:dyDescent="0.15"/>
    <row r="40212" s="69" customFormat="1" x14ac:dyDescent="0.15"/>
    <row r="40213" s="69" customFormat="1" x14ac:dyDescent="0.15"/>
    <row r="40214" s="69" customFormat="1" x14ac:dyDescent="0.15"/>
    <row r="40215" s="69" customFormat="1" x14ac:dyDescent="0.15"/>
    <row r="40216" s="69" customFormat="1" x14ac:dyDescent="0.15"/>
    <row r="40217" s="69" customFormat="1" x14ac:dyDescent="0.15"/>
    <row r="40218" s="69" customFormat="1" x14ac:dyDescent="0.15"/>
    <row r="40219" s="69" customFormat="1" x14ac:dyDescent="0.15"/>
    <row r="40220" s="69" customFormat="1" x14ac:dyDescent="0.15"/>
    <row r="40221" s="69" customFormat="1" x14ac:dyDescent="0.15"/>
    <row r="40222" s="69" customFormat="1" x14ac:dyDescent="0.15"/>
    <row r="40223" s="69" customFormat="1" x14ac:dyDescent="0.15"/>
    <row r="40224" s="69" customFormat="1" x14ac:dyDescent="0.15"/>
    <row r="40225" s="69" customFormat="1" x14ac:dyDescent="0.15"/>
    <row r="40226" s="69" customFormat="1" x14ac:dyDescent="0.15"/>
    <row r="40227" s="69" customFormat="1" x14ac:dyDescent="0.15"/>
    <row r="40228" s="69" customFormat="1" x14ac:dyDescent="0.15"/>
    <row r="40229" s="69" customFormat="1" x14ac:dyDescent="0.15"/>
    <row r="40230" s="69" customFormat="1" x14ac:dyDescent="0.15"/>
    <row r="40231" s="69" customFormat="1" x14ac:dyDescent="0.15"/>
    <row r="40232" s="69" customFormat="1" x14ac:dyDescent="0.15"/>
    <row r="40233" s="69" customFormat="1" x14ac:dyDescent="0.15"/>
    <row r="40234" s="69" customFormat="1" x14ac:dyDescent="0.15"/>
    <row r="40235" s="69" customFormat="1" x14ac:dyDescent="0.15"/>
    <row r="40236" s="69" customFormat="1" x14ac:dyDescent="0.15"/>
    <row r="40237" s="69" customFormat="1" x14ac:dyDescent="0.15"/>
    <row r="40238" s="69" customFormat="1" x14ac:dyDescent="0.15"/>
    <row r="40239" s="69" customFormat="1" x14ac:dyDescent="0.15"/>
    <row r="40240" s="69" customFormat="1" x14ac:dyDescent="0.15"/>
    <row r="40241" s="69" customFormat="1" x14ac:dyDescent="0.15"/>
    <row r="40242" s="69" customFormat="1" x14ac:dyDescent="0.15"/>
    <row r="40243" s="69" customFormat="1" x14ac:dyDescent="0.15"/>
    <row r="40244" s="69" customFormat="1" x14ac:dyDescent="0.15"/>
    <row r="40245" s="69" customFormat="1" x14ac:dyDescent="0.15"/>
    <row r="40246" s="69" customFormat="1" x14ac:dyDescent="0.15"/>
    <row r="40247" s="69" customFormat="1" x14ac:dyDescent="0.15"/>
    <row r="40248" s="69" customFormat="1" x14ac:dyDescent="0.15"/>
    <row r="40249" s="69" customFormat="1" x14ac:dyDescent="0.15"/>
    <row r="40250" s="69" customFormat="1" x14ac:dyDescent="0.15"/>
    <row r="40251" s="69" customFormat="1" x14ac:dyDescent="0.15"/>
    <row r="40252" s="69" customFormat="1" x14ac:dyDescent="0.15"/>
    <row r="40253" s="69" customFormat="1" x14ac:dyDescent="0.15"/>
    <row r="40254" s="69" customFormat="1" x14ac:dyDescent="0.15"/>
    <row r="40255" s="69" customFormat="1" x14ac:dyDescent="0.15"/>
    <row r="40256" s="69" customFormat="1" x14ac:dyDescent="0.15"/>
    <row r="40257" s="69" customFormat="1" x14ac:dyDescent="0.15"/>
    <row r="40258" s="69" customFormat="1" x14ac:dyDescent="0.15"/>
    <row r="40259" s="69" customFormat="1" x14ac:dyDescent="0.15"/>
    <row r="40260" s="69" customFormat="1" x14ac:dyDescent="0.15"/>
    <row r="40261" s="69" customFormat="1" x14ac:dyDescent="0.15"/>
    <row r="40262" s="69" customFormat="1" x14ac:dyDescent="0.15"/>
    <row r="40263" s="69" customFormat="1" x14ac:dyDescent="0.15"/>
    <row r="40264" s="69" customFormat="1" x14ac:dyDescent="0.15"/>
    <row r="40265" s="69" customFormat="1" x14ac:dyDescent="0.15"/>
    <row r="40266" s="69" customFormat="1" x14ac:dyDescent="0.15"/>
    <row r="40267" s="69" customFormat="1" x14ac:dyDescent="0.15"/>
    <row r="40268" s="69" customFormat="1" x14ac:dyDescent="0.15"/>
    <row r="40269" s="69" customFormat="1" x14ac:dyDescent="0.15"/>
    <row r="40270" s="69" customFormat="1" x14ac:dyDescent="0.15"/>
    <row r="40271" s="69" customFormat="1" x14ac:dyDescent="0.15"/>
    <row r="40272" s="69" customFormat="1" x14ac:dyDescent="0.15"/>
    <row r="40273" s="69" customFormat="1" x14ac:dyDescent="0.15"/>
    <row r="40274" s="69" customFormat="1" x14ac:dyDescent="0.15"/>
    <row r="40275" s="69" customFormat="1" x14ac:dyDescent="0.15"/>
    <row r="40276" s="69" customFormat="1" x14ac:dyDescent="0.15"/>
    <row r="40277" s="69" customFormat="1" x14ac:dyDescent="0.15"/>
    <row r="40278" s="69" customFormat="1" x14ac:dyDescent="0.15"/>
    <row r="40279" s="69" customFormat="1" x14ac:dyDescent="0.15"/>
    <row r="40280" s="69" customFormat="1" x14ac:dyDescent="0.15"/>
    <row r="40281" s="69" customFormat="1" x14ac:dyDescent="0.15"/>
    <row r="40282" s="69" customFormat="1" x14ac:dyDescent="0.15"/>
    <row r="40283" s="69" customFormat="1" x14ac:dyDescent="0.15"/>
    <row r="40284" s="69" customFormat="1" x14ac:dyDescent="0.15"/>
    <row r="40285" s="69" customFormat="1" x14ac:dyDescent="0.15"/>
    <row r="40286" s="69" customFormat="1" x14ac:dyDescent="0.15"/>
    <row r="40287" s="69" customFormat="1" x14ac:dyDescent="0.15"/>
    <row r="40288" s="69" customFormat="1" x14ac:dyDescent="0.15"/>
    <row r="40289" s="69" customFormat="1" x14ac:dyDescent="0.15"/>
    <row r="40290" s="69" customFormat="1" x14ac:dyDescent="0.15"/>
    <row r="40291" s="69" customFormat="1" x14ac:dyDescent="0.15"/>
    <row r="40292" s="69" customFormat="1" x14ac:dyDescent="0.15"/>
    <row r="40293" s="69" customFormat="1" x14ac:dyDescent="0.15"/>
    <row r="40294" s="69" customFormat="1" x14ac:dyDescent="0.15"/>
    <row r="40295" s="69" customFormat="1" x14ac:dyDescent="0.15"/>
    <row r="40296" s="69" customFormat="1" x14ac:dyDescent="0.15"/>
    <row r="40297" s="69" customFormat="1" x14ac:dyDescent="0.15"/>
    <row r="40298" s="69" customFormat="1" x14ac:dyDescent="0.15"/>
    <row r="40299" s="69" customFormat="1" x14ac:dyDescent="0.15"/>
    <row r="40300" s="69" customFormat="1" x14ac:dyDescent="0.15"/>
    <row r="40301" s="69" customFormat="1" x14ac:dyDescent="0.15"/>
    <row r="40302" s="69" customFormat="1" x14ac:dyDescent="0.15"/>
    <row r="40303" s="69" customFormat="1" x14ac:dyDescent="0.15"/>
    <row r="40304" s="69" customFormat="1" x14ac:dyDescent="0.15"/>
    <row r="40305" s="69" customFormat="1" x14ac:dyDescent="0.15"/>
    <row r="40306" s="69" customFormat="1" x14ac:dyDescent="0.15"/>
    <row r="40307" s="69" customFormat="1" x14ac:dyDescent="0.15"/>
    <row r="40308" s="69" customFormat="1" x14ac:dyDescent="0.15"/>
    <row r="40309" s="69" customFormat="1" x14ac:dyDescent="0.15"/>
    <row r="40310" s="69" customFormat="1" x14ac:dyDescent="0.15"/>
    <row r="40311" s="69" customFormat="1" x14ac:dyDescent="0.15"/>
    <row r="40312" s="69" customFormat="1" x14ac:dyDescent="0.15"/>
    <row r="40313" s="69" customFormat="1" x14ac:dyDescent="0.15"/>
    <row r="40314" s="69" customFormat="1" x14ac:dyDescent="0.15"/>
    <row r="40315" s="69" customFormat="1" x14ac:dyDescent="0.15"/>
    <row r="40316" s="69" customFormat="1" x14ac:dyDescent="0.15"/>
    <row r="40317" s="69" customFormat="1" x14ac:dyDescent="0.15"/>
    <row r="40318" s="69" customFormat="1" x14ac:dyDescent="0.15"/>
    <row r="40319" s="69" customFormat="1" x14ac:dyDescent="0.15"/>
    <row r="40320" s="69" customFormat="1" x14ac:dyDescent="0.15"/>
    <row r="40321" s="69" customFormat="1" x14ac:dyDescent="0.15"/>
    <row r="40322" s="69" customFormat="1" x14ac:dyDescent="0.15"/>
    <row r="40323" s="69" customFormat="1" x14ac:dyDescent="0.15"/>
    <row r="40324" s="69" customFormat="1" x14ac:dyDescent="0.15"/>
    <row r="40325" s="69" customFormat="1" x14ac:dyDescent="0.15"/>
    <row r="40326" s="69" customFormat="1" x14ac:dyDescent="0.15"/>
    <row r="40327" s="69" customFormat="1" x14ac:dyDescent="0.15"/>
    <row r="40328" s="69" customFormat="1" x14ac:dyDescent="0.15"/>
    <row r="40329" s="69" customFormat="1" x14ac:dyDescent="0.15"/>
    <row r="40330" s="69" customFormat="1" x14ac:dyDescent="0.15"/>
    <row r="40331" s="69" customFormat="1" x14ac:dyDescent="0.15"/>
    <row r="40332" s="69" customFormat="1" x14ac:dyDescent="0.15"/>
    <row r="40333" s="69" customFormat="1" x14ac:dyDescent="0.15"/>
    <row r="40334" s="69" customFormat="1" x14ac:dyDescent="0.15"/>
    <row r="40335" s="69" customFormat="1" x14ac:dyDescent="0.15"/>
    <row r="40336" s="69" customFormat="1" x14ac:dyDescent="0.15"/>
    <row r="40337" s="69" customFormat="1" x14ac:dyDescent="0.15"/>
    <row r="40338" s="69" customFormat="1" x14ac:dyDescent="0.15"/>
    <row r="40339" s="69" customFormat="1" x14ac:dyDescent="0.15"/>
    <row r="40340" s="69" customFormat="1" x14ac:dyDescent="0.15"/>
    <row r="40341" s="69" customFormat="1" x14ac:dyDescent="0.15"/>
    <row r="40342" s="69" customFormat="1" x14ac:dyDescent="0.15"/>
    <row r="40343" s="69" customFormat="1" x14ac:dyDescent="0.15"/>
    <row r="40344" s="69" customFormat="1" x14ac:dyDescent="0.15"/>
    <row r="40345" s="69" customFormat="1" x14ac:dyDescent="0.15"/>
    <row r="40346" s="69" customFormat="1" x14ac:dyDescent="0.15"/>
    <row r="40347" s="69" customFormat="1" x14ac:dyDescent="0.15"/>
    <row r="40348" s="69" customFormat="1" x14ac:dyDescent="0.15"/>
    <row r="40349" s="69" customFormat="1" x14ac:dyDescent="0.15"/>
    <row r="40350" s="69" customFormat="1" x14ac:dyDescent="0.15"/>
    <row r="40351" s="69" customFormat="1" x14ac:dyDescent="0.15"/>
    <row r="40352" s="69" customFormat="1" x14ac:dyDescent="0.15"/>
    <row r="40353" s="69" customFormat="1" x14ac:dyDescent="0.15"/>
    <row r="40354" s="69" customFormat="1" x14ac:dyDescent="0.15"/>
    <row r="40355" s="69" customFormat="1" x14ac:dyDescent="0.15"/>
    <row r="40356" s="69" customFormat="1" x14ac:dyDescent="0.15"/>
    <row r="40357" s="69" customFormat="1" x14ac:dyDescent="0.15"/>
    <row r="40358" s="69" customFormat="1" x14ac:dyDescent="0.15"/>
    <row r="40359" s="69" customFormat="1" x14ac:dyDescent="0.15"/>
    <row r="40360" s="69" customFormat="1" x14ac:dyDescent="0.15"/>
    <row r="40361" s="69" customFormat="1" x14ac:dyDescent="0.15"/>
    <row r="40362" s="69" customFormat="1" x14ac:dyDescent="0.15"/>
    <row r="40363" s="69" customFormat="1" x14ac:dyDescent="0.15"/>
    <row r="40364" s="69" customFormat="1" x14ac:dyDescent="0.15"/>
    <row r="40365" s="69" customFormat="1" x14ac:dyDescent="0.15"/>
    <row r="40366" s="69" customFormat="1" x14ac:dyDescent="0.15"/>
    <row r="40367" s="69" customFormat="1" x14ac:dyDescent="0.15"/>
    <row r="40368" s="69" customFormat="1" x14ac:dyDescent="0.15"/>
    <row r="40369" s="69" customFormat="1" x14ac:dyDescent="0.15"/>
    <row r="40370" s="69" customFormat="1" x14ac:dyDescent="0.15"/>
    <row r="40371" s="69" customFormat="1" x14ac:dyDescent="0.15"/>
    <row r="40372" s="69" customFormat="1" x14ac:dyDescent="0.15"/>
    <row r="40373" s="69" customFormat="1" x14ac:dyDescent="0.15"/>
    <row r="40374" s="69" customFormat="1" x14ac:dyDescent="0.15"/>
    <row r="40375" s="69" customFormat="1" x14ac:dyDescent="0.15"/>
    <row r="40376" s="69" customFormat="1" x14ac:dyDescent="0.15"/>
    <row r="40377" s="69" customFormat="1" x14ac:dyDescent="0.15"/>
    <row r="40378" s="69" customFormat="1" x14ac:dyDescent="0.15"/>
    <row r="40379" s="69" customFormat="1" x14ac:dyDescent="0.15"/>
    <row r="40380" s="69" customFormat="1" x14ac:dyDescent="0.15"/>
    <row r="40381" s="69" customFormat="1" x14ac:dyDescent="0.15"/>
    <row r="40382" s="69" customFormat="1" x14ac:dyDescent="0.15"/>
    <row r="40383" s="69" customFormat="1" x14ac:dyDescent="0.15"/>
    <row r="40384" s="69" customFormat="1" x14ac:dyDescent="0.15"/>
    <row r="40385" s="69" customFormat="1" x14ac:dyDescent="0.15"/>
    <row r="40386" s="69" customFormat="1" x14ac:dyDescent="0.15"/>
    <row r="40387" s="69" customFormat="1" x14ac:dyDescent="0.15"/>
    <row r="40388" s="69" customFormat="1" x14ac:dyDescent="0.15"/>
    <row r="40389" s="69" customFormat="1" x14ac:dyDescent="0.15"/>
    <row r="40390" s="69" customFormat="1" x14ac:dyDescent="0.15"/>
    <row r="40391" s="69" customFormat="1" x14ac:dyDescent="0.15"/>
    <row r="40392" s="69" customFormat="1" x14ac:dyDescent="0.15"/>
    <row r="40393" s="69" customFormat="1" x14ac:dyDescent="0.15"/>
    <row r="40394" s="69" customFormat="1" x14ac:dyDescent="0.15"/>
    <row r="40395" s="69" customFormat="1" x14ac:dyDescent="0.15"/>
    <row r="40396" s="69" customFormat="1" x14ac:dyDescent="0.15"/>
    <row r="40397" s="69" customFormat="1" x14ac:dyDescent="0.15"/>
    <row r="40398" s="69" customFormat="1" x14ac:dyDescent="0.15"/>
    <row r="40399" s="69" customFormat="1" x14ac:dyDescent="0.15"/>
    <row r="40400" s="69" customFormat="1" x14ac:dyDescent="0.15"/>
    <row r="40401" s="69" customFormat="1" x14ac:dyDescent="0.15"/>
    <row r="40402" s="69" customFormat="1" x14ac:dyDescent="0.15"/>
    <row r="40403" s="69" customFormat="1" x14ac:dyDescent="0.15"/>
    <row r="40404" s="69" customFormat="1" x14ac:dyDescent="0.15"/>
    <row r="40405" s="69" customFormat="1" x14ac:dyDescent="0.15"/>
    <row r="40406" s="69" customFormat="1" x14ac:dyDescent="0.15"/>
    <row r="40407" s="69" customFormat="1" x14ac:dyDescent="0.15"/>
    <row r="40408" s="69" customFormat="1" x14ac:dyDescent="0.15"/>
    <row r="40409" s="69" customFormat="1" x14ac:dyDescent="0.15"/>
    <row r="40410" s="69" customFormat="1" x14ac:dyDescent="0.15"/>
    <row r="40411" s="69" customFormat="1" x14ac:dyDescent="0.15"/>
    <row r="40412" s="69" customFormat="1" x14ac:dyDescent="0.15"/>
    <row r="40413" s="69" customFormat="1" x14ac:dyDescent="0.15"/>
    <row r="40414" s="69" customFormat="1" x14ac:dyDescent="0.15"/>
    <row r="40415" s="69" customFormat="1" x14ac:dyDescent="0.15"/>
    <row r="40416" s="69" customFormat="1" x14ac:dyDescent="0.15"/>
    <row r="40417" s="69" customFormat="1" x14ac:dyDescent="0.15"/>
    <row r="40418" s="69" customFormat="1" x14ac:dyDescent="0.15"/>
    <row r="40419" s="69" customFormat="1" x14ac:dyDescent="0.15"/>
    <row r="40420" s="69" customFormat="1" x14ac:dyDescent="0.15"/>
    <row r="40421" s="69" customFormat="1" x14ac:dyDescent="0.15"/>
    <row r="40422" s="69" customFormat="1" x14ac:dyDescent="0.15"/>
    <row r="40423" s="69" customFormat="1" x14ac:dyDescent="0.15"/>
    <row r="40424" s="69" customFormat="1" x14ac:dyDescent="0.15"/>
    <row r="40425" s="69" customFormat="1" x14ac:dyDescent="0.15"/>
    <row r="40426" s="69" customFormat="1" x14ac:dyDescent="0.15"/>
    <row r="40427" s="69" customFormat="1" x14ac:dyDescent="0.15"/>
    <row r="40428" s="69" customFormat="1" x14ac:dyDescent="0.15"/>
    <row r="40429" s="69" customFormat="1" x14ac:dyDescent="0.15"/>
    <row r="40430" s="69" customFormat="1" x14ac:dyDescent="0.15"/>
    <row r="40431" s="69" customFormat="1" x14ac:dyDescent="0.15"/>
    <row r="40432" s="69" customFormat="1" x14ac:dyDescent="0.15"/>
    <row r="40433" s="69" customFormat="1" x14ac:dyDescent="0.15"/>
    <row r="40434" s="69" customFormat="1" x14ac:dyDescent="0.15"/>
    <row r="40435" s="69" customFormat="1" x14ac:dyDescent="0.15"/>
    <row r="40436" s="69" customFormat="1" x14ac:dyDescent="0.15"/>
    <row r="40437" s="69" customFormat="1" x14ac:dyDescent="0.15"/>
    <row r="40438" s="69" customFormat="1" x14ac:dyDescent="0.15"/>
    <row r="40439" s="69" customFormat="1" x14ac:dyDescent="0.15"/>
    <row r="40440" s="69" customFormat="1" x14ac:dyDescent="0.15"/>
    <row r="40441" s="69" customFormat="1" x14ac:dyDescent="0.15"/>
    <row r="40442" s="69" customFormat="1" x14ac:dyDescent="0.15"/>
    <row r="40443" s="69" customFormat="1" x14ac:dyDescent="0.15"/>
    <row r="40444" s="69" customFormat="1" x14ac:dyDescent="0.15"/>
    <row r="40445" s="69" customFormat="1" x14ac:dyDescent="0.15"/>
    <row r="40446" s="69" customFormat="1" x14ac:dyDescent="0.15"/>
    <row r="40447" s="69" customFormat="1" x14ac:dyDescent="0.15"/>
    <row r="40448" s="69" customFormat="1" x14ac:dyDescent="0.15"/>
    <row r="40449" s="69" customFormat="1" x14ac:dyDescent="0.15"/>
    <row r="40450" s="69" customFormat="1" x14ac:dyDescent="0.15"/>
    <row r="40451" s="69" customFormat="1" x14ac:dyDescent="0.15"/>
    <row r="40452" s="69" customFormat="1" x14ac:dyDescent="0.15"/>
    <row r="40453" s="69" customFormat="1" x14ac:dyDescent="0.15"/>
    <row r="40454" s="69" customFormat="1" x14ac:dyDescent="0.15"/>
    <row r="40455" s="69" customFormat="1" x14ac:dyDescent="0.15"/>
    <row r="40456" s="69" customFormat="1" x14ac:dyDescent="0.15"/>
    <row r="40457" s="69" customFormat="1" x14ac:dyDescent="0.15"/>
    <row r="40458" s="69" customFormat="1" x14ac:dyDescent="0.15"/>
    <row r="40459" s="69" customFormat="1" x14ac:dyDescent="0.15"/>
    <row r="40460" s="69" customFormat="1" x14ac:dyDescent="0.15"/>
    <row r="40461" s="69" customFormat="1" x14ac:dyDescent="0.15"/>
    <row r="40462" s="69" customFormat="1" x14ac:dyDescent="0.15"/>
    <row r="40463" s="69" customFormat="1" x14ac:dyDescent="0.15"/>
    <row r="40464" s="69" customFormat="1" x14ac:dyDescent="0.15"/>
    <row r="40465" s="69" customFormat="1" x14ac:dyDescent="0.15"/>
    <row r="40466" s="69" customFormat="1" x14ac:dyDescent="0.15"/>
    <row r="40467" s="69" customFormat="1" x14ac:dyDescent="0.15"/>
    <row r="40468" s="69" customFormat="1" x14ac:dyDescent="0.15"/>
    <row r="40469" s="69" customFormat="1" x14ac:dyDescent="0.15"/>
    <row r="40470" s="69" customFormat="1" x14ac:dyDescent="0.15"/>
    <row r="40471" s="69" customFormat="1" x14ac:dyDescent="0.15"/>
    <row r="40472" s="69" customFormat="1" x14ac:dyDescent="0.15"/>
    <row r="40473" s="69" customFormat="1" x14ac:dyDescent="0.15"/>
    <row r="40474" s="69" customFormat="1" x14ac:dyDescent="0.15"/>
    <row r="40475" s="69" customFormat="1" x14ac:dyDescent="0.15"/>
    <row r="40476" s="69" customFormat="1" x14ac:dyDescent="0.15"/>
    <row r="40477" s="69" customFormat="1" x14ac:dyDescent="0.15"/>
    <row r="40478" s="69" customFormat="1" x14ac:dyDescent="0.15"/>
    <row r="40479" s="69" customFormat="1" x14ac:dyDescent="0.15"/>
    <row r="40480" s="69" customFormat="1" x14ac:dyDescent="0.15"/>
    <row r="40481" s="69" customFormat="1" x14ac:dyDescent="0.15"/>
    <row r="40482" s="69" customFormat="1" x14ac:dyDescent="0.15"/>
    <row r="40483" s="69" customFormat="1" x14ac:dyDescent="0.15"/>
    <row r="40484" s="69" customFormat="1" x14ac:dyDescent="0.15"/>
    <row r="40485" s="69" customFormat="1" x14ac:dyDescent="0.15"/>
    <row r="40486" s="69" customFormat="1" x14ac:dyDescent="0.15"/>
    <row r="40487" s="69" customFormat="1" x14ac:dyDescent="0.15"/>
    <row r="40488" s="69" customFormat="1" x14ac:dyDescent="0.15"/>
    <row r="40489" s="69" customFormat="1" x14ac:dyDescent="0.15"/>
    <row r="40490" s="69" customFormat="1" x14ac:dyDescent="0.15"/>
    <row r="40491" s="69" customFormat="1" x14ac:dyDescent="0.15"/>
    <row r="40492" s="69" customFormat="1" x14ac:dyDescent="0.15"/>
    <row r="40493" s="69" customFormat="1" x14ac:dyDescent="0.15"/>
    <row r="40494" s="69" customFormat="1" x14ac:dyDescent="0.15"/>
    <row r="40495" s="69" customFormat="1" x14ac:dyDescent="0.15"/>
    <row r="40496" s="69" customFormat="1" x14ac:dyDescent="0.15"/>
    <row r="40497" s="69" customFormat="1" x14ac:dyDescent="0.15"/>
    <row r="40498" s="69" customFormat="1" x14ac:dyDescent="0.15"/>
    <row r="40499" s="69" customFormat="1" x14ac:dyDescent="0.15"/>
    <row r="40500" s="69" customFormat="1" x14ac:dyDescent="0.15"/>
    <row r="40501" s="69" customFormat="1" x14ac:dyDescent="0.15"/>
    <row r="40502" s="69" customFormat="1" x14ac:dyDescent="0.15"/>
    <row r="40503" s="69" customFormat="1" x14ac:dyDescent="0.15"/>
    <row r="40504" s="69" customFormat="1" x14ac:dyDescent="0.15"/>
    <row r="40505" s="69" customFormat="1" x14ac:dyDescent="0.15"/>
    <row r="40506" s="69" customFormat="1" x14ac:dyDescent="0.15"/>
    <row r="40507" s="69" customFormat="1" x14ac:dyDescent="0.15"/>
    <row r="40508" s="69" customFormat="1" x14ac:dyDescent="0.15"/>
    <row r="40509" s="69" customFormat="1" x14ac:dyDescent="0.15"/>
    <row r="40510" s="69" customFormat="1" x14ac:dyDescent="0.15"/>
    <row r="40511" s="69" customFormat="1" x14ac:dyDescent="0.15"/>
    <row r="40512" s="69" customFormat="1" x14ac:dyDescent="0.15"/>
    <row r="40513" s="69" customFormat="1" x14ac:dyDescent="0.15"/>
    <row r="40514" s="69" customFormat="1" x14ac:dyDescent="0.15"/>
    <row r="40515" s="69" customFormat="1" x14ac:dyDescent="0.15"/>
    <row r="40516" s="69" customFormat="1" x14ac:dyDescent="0.15"/>
    <row r="40517" s="69" customFormat="1" x14ac:dyDescent="0.15"/>
    <row r="40518" s="69" customFormat="1" x14ac:dyDescent="0.15"/>
    <row r="40519" s="69" customFormat="1" x14ac:dyDescent="0.15"/>
    <row r="40520" s="69" customFormat="1" x14ac:dyDescent="0.15"/>
    <row r="40521" s="69" customFormat="1" x14ac:dyDescent="0.15"/>
    <row r="40522" s="69" customFormat="1" x14ac:dyDescent="0.15"/>
    <row r="40523" s="69" customFormat="1" x14ac:dyDescent="0.15"/>
    <row r="40524" s="69" customFormat="1" x14ac:dyDescent="0.15"/>
    <row r="40525" s="69" customFormat="1" x14ac:dyDescent="0.15"/>
    <row r="40526" s="69" customFormat="1" x14ac:dyDescent="0.15"/>
    <row r="40527" s="69" customFormat="1" x14ac:dyDescent="0.15"/>
    <row r="40528" s="69" customFormat="1" x14ac:dyDescent="0.15"/>
    <row r="40529" s="69" customFormat="1" x14ac:dyDescent="0.15"/>
    <row r="40530" s="69" customFormat="1" x14ac:dyDescent="0.15"/>
    <row r="40531" s="69" customFormat="1" x14ac:dyDescent="0.15"/>
    <row r="40532" s="69" customFormat="1" x14ac:dyDescent="0.15"/>
    <row r="40533" s="69" customFormat="1" x14ac:dyDescent="0.15"/>
    <row r="40534" s="69" customFormat="1" x14ac:dyDescent="0.15"/>
    <row r="40535" s="69" customFormat="1" x14ac:dyDescent="0.15"/>
    <row r="40536" s="69" customFormat="1" x14ac:dyDescent="0.15"/>
    <row r="40537" s="69" customFormat="1" x14ac:dyDescent="0.15"/>
    <row r="40538" s="69" customFormat="1" x14ac:dyDescent="0.15"/>
    <row r="40539" s="69" customFormat="1" x14ac:dyDescent="0.15"/>
    <row r="40540" s="69" customFormat="1" x14ac:dyDescent="0.15"/>
    <row r="40541" s="69" customFormat="1" x14ac:dyDescent="0.15"/>
    <row r="40542" s="69" customFormat="1" x14ac:dyDescent="0.15"/>
    <row r="40543" s="69" customFormat="1" x14ac:dyDescent="0.15"/>
    <row r="40544" s="69" customFormat="1" x14ac:dyDescent="0.15"/>
    <row r="40545" s="69" customFormat="1" x14ac:dyDescent="0.15"/>
    <row r="40546" s="69" customFormat="1" x14ac:dyDescent="0.15"/>
    <row r="40547" s="69" customFormat="1" x14ac:dyDescent="0.15"/>
    <row r="40548" s="69" customFormat="1" x14ac:dyDescent="0.15"/>
    <row r="40549" s="69" customFormat="1" x14ac:dyDescent="0.15"/>
    <row r="40550" s="69" customFormat="1" x14ac:dyDescent="0.15"/>
    <row r="40551" s="69" customFormat="1" x14ac:dyDescent="0.15"/>
    <row r="40552" s="69" customFormat="1" x14ac:dyDescent="0.15"/>
    <row r="40553" s="69" customFormat="1" x14ac:dyDescent="0.15"/>
    <row r="40554" s="69" customFormat="1" x14ac:dyDescent="0.15"/>
    <row r="40555" s="69" customFormat="1" x14ac:dyDescent="0.15"/>
    <row r="40556" s="69" customFormat="1" x14ac:dyDescent="0.15"/>
    <row r="40557" s="69" customFormat="1" x14ac:dyDescent="0.15"/>
    <row r="40558" s="69" customFormat="1" x14ac:dyDescent="0.15"/>
    <row r="40559" s="69" customFormat="1" x14ac:dyDescent="0.15"/>
    <row r="40560" s="69" customFormat="1" x14ac:dyDescent="0.15"/>
    <row r="40561" s="69" customFormat="1" x14ac:dyDescent="0.15"/>
    <row r="40562" s="69" customFormat="1" x14ac:dyDescent="0.15"/>
    <row r="40563" s="69" customFormat="1" x14ac:dyDescent="0.15"/>
    <row r="40564" s="69" customFormat="1" x14ac:dyDescent="0.15"/>
    <row r="40565" s="69" customFormat="1" x14ac:dyDescent="0.15"/>
    <row r="40566" s="69" customFormat="1" x14ac:dyDescent="0.15"/>
    <row r="40567" s="69" customFormat="1" x14ac:dyDescent="0.15"/>
    <row r="40568" s="69" customFormat="1" x14ac:dyDescent="0.15"/>
    <row r="40569" s="69" customFormat="1" x14ac:dyDescent="0.15"/>
    <row r="40570" s="69" customFormat="1" x14ac:dyDescent="0.15"/>
    <row r="40571" s="69" customFormat="1" x14ac:dyDescent="0.15"/>
    <row r="40572" s="69" customFormat="1" x14ac:dyDescent="0.15"/>
    <row r="40573" s="69" customFormat="1" x14ac:dyDescent="0.15"/>
    <row r="40574" s="69" customFormat="1" x14ac:dyDescent="0.15"/>
    <row r="40575" s="69" customFormat="1" x14ac:dyDescent="0.15"/>
    <row r="40576" s="69" customFormat="1" x14ac:dyDescent="0.15"/>
    <row r="40577" s="69" customFormat="1" x14ac:dyDescent="0.15"/>
    <row r="40578" s="69" customFormat="1" x14ac:dyDescent="0.15"/>
    <row r="40579" s="69" customFormat="1" x14ac:dyDescent="0.15"/>
    <row r="40580" s="69" customFormat="1" x14ac:dyDescent="0.15"/>
    <row r="40581" s="69" customFormat="1" x14ac:dyDescent="0.15"/>
    <row r="40582" s="69" customFormat="1" x14ac:dyDescent="0.15"/>
    <row r="40583" s="69" customFormat="1" x14ac:dyDescent="0.15"/>
    <row r="40584" s="69" customFormat="1" x14ac:dyDescent="0.15"/>
    <row r="40585" s="69" customFormat="1" x14ac:dyDescent="0.15"/>
    <row r="40586" s="69" customFormat="1" x14ac:dyDescent="0.15"/>
    <row r="40587" s="69" customFormat="1" x14ac:dyDescent="0.15"/>
    <row r="40588" s="69" customFormat="1" x14ac:dyDescent="0.15"/>
    <row r="40589" s="69" customFormat="1" x14ac:dyDescent="0.15"/>
    <row r="40590" s="69" customFormat="1" x14ac:dyDescent="0.15"/>
    <row r="40591" s="69" customFormat="1" x14ac:dyDescent="0.15"/>
    <row r="40592" s="69" customFormat="1" x14ac:dyDescent="0.15"/>
    <row r="40593" s="69" customFormat="1" x14ac:dyDescent="0.15"/>
    <row r="40594" s="69" customFormat="1" x14ac:dyDescent="0.15"/>
    <row r="40595" s="69" customFormat="1" x14ac:dyDescent="0.15"/>
    <row r="40596" s="69" customFormat="1" x14ac:dyDescent="0.15"/>
    <row r="40597" s="69" customFormat="1" x14ac:dyDescent="0.15"/>
    <row r="40598" s="69" customFormat="1" x14ac:dyDescent="0.15"/>
    <row r="40599" s="69" customFormat="1" x14ac:dyDescent="0.15"/>
    <row r="40600" s="69" customFormat="1" x14ac:dyDescent="0.15"/>
    <row r="40601" s="69" customFormat="1" x14ac:dyDescent="0.15"/>
    <row r="40602" s="69" customFormat="1" x14ac:dyDescent="0.15"/>
    <row r="40603" s="69" customFormat="1" x14ac:dyDescent="0.15"/>
    <row r="40604" s="69" customFormat="1" x14ac:dyDescent="0.15"/>
    <row r="40605" s="69" customFormat="1" x14ac:dyDescent="0.15"/>
    <row r="40606" s="69" customFormat="1" x14ac:dyDescent="0.15"/>
    <row r="40607" s="69" customFormat="1" x14ac:dyDescent="0.15"/>
    <row r="40608" s="69" customFormat="1" x14ac:dyDescent="0.15"/>
    <row r="40609" s="69" customFormat="1" x14ac:dyDescent="0.15"/>
    <row r="40610" s="69" customFormat="1" x14ac:dyDescent="0.15"/>
    <row r="40611" s="69" customFormat="1" x14ac:dyDescent="0.15"/>
    <row r="40612" s="69" customFormat="1" x14ac:dyDescent="0.15"/>
    <row r="40613" s="69" customFormat="1" x14ac:dyDescent="0.15"/>
    <row r="40614" s="69" customFormat="1" x14ac:dyDescent="0.15"/>
    <row r="40615" s="69" customFormat="1" x14ac:dyDescent="0.15"/>
    <row r="40616" s="69" customFormat="1" x14ac:dyDescent="0.15"/>
    <row r="40617" s="69" customFormat="1" x14ac:dyDescent="0.15"/>
    <row r="40618" s="69" customFormat="1" x14ac:dyDescent="0.15"/>
    <row r="40619" s="69" customFormat="1" x14ac:dyDescent="0.15"/>
    <row r="40620" s="69" customFormat="1" x14ac:dyDescent="0.15"/>
    <row r="40621" s="69" customFormat="1" x14ac:dyDescent="0.15"/>
    <row r="40622" s="69" customFormat="1" x14ac:dyDescent="0.15"/>
    <row r="40623" s="69" customFormat="1" x14ac:dyDescent="0.15"/>
    <row r="40624" s="69" customFormat="1" x14ac:dyDescent="0.15"/>
    <row r="40625" s="69" customFormat="1" x14ac:dyDescent="0.15"/>
    <row r="40626" s="69" customFormat="1" x14ac:dyDescent="0.15"/>
    <row r="40627" s="69" customFormat="1" x14ac:dyDescent="0.15"/>
    <row r="40628" s="69" customFormat="1" x14ac:dyDescent="0.15"/>
    <row r="40629" s="69" customFormat="1" x14ac:dyDescent="0.15"/>
    <row r="40630" s="69" customFormat="1" x14ac:dyDescent="0.15"/>
    <row r="40631" s="69" customFormat="1" x14ac:dyDescent="0.15"/>
    <row r="40632" s="69" customFormat="1" x14ac:dyDescent="0.15"/>
    <row r="40633" s="69" customFormat="1" x14ac:dyDescent="0.15"/>
    <row r="40634" s="69" customFormat="1" x14ac:dyDescent="0.15"/>
    <row r="40635" s="69" customFormat="1" x14ac:dyDescent="0.15"/>
    <row r="40636" s="69" customFormat="1" x14ac:dyDescent="0.15"/>
    <row r="40637" s="69" customFormat="1" x14ac:dyDescent="0.15"/>
    <row r="40638" s="69" customFormat="1" x14ac:dyDescent="0.15"/>
    <row r="40639" s="69" customFormat="1" x14ac:dyDescent="0.15"/>
    <row r="40640" s="69" customFormat="1" x14ac:dyDescent="0.15"/>
    <row r="40641" s="69" customFormat="1" x14ac:dyDescent="0.15"/>
    <row r="40642" s="69" customFormat="1" x14ac:dyDescent="0.15"/>
    <row r="40643" s="69" customFormat="1" x14ac:dyDescent="0.15"/>
    <row r="40644" s="69" customFormat="1" x14ac:dyDescent="0.15"/>
    <row r="40645" s="69" customFormat="1" x14ac:dyDescent="0.15"/>
    <row r="40646" s="69" customFormat="1" x14ac:dyDescent="0.15"/>
    <row r="40647" s="69" customFormat="1" x14ac:dyDescent="0.15"/>
    <row r="40648" s="69" customFormat="1" x14ac:dyDescent="0.15"/>
    <row r="40649" s="69" customFormat="1" x14ac:dyDescent="0.15"/>
    <row r="40650" s="69" customFormat="1" x14ac:dyDescent="0.15"/>
    <row r="40651" s="69" customFormat="1" x14ac:dyDescent="0.15"/>
    <row r="40652" s="69" customFormat="1" x14ac:dyDescent="0.15"/>
    <row r="40653" s="69" customFormat="1" x14ac:dyDescent="0.15"/>
    <row r="40654" s="69" customFormat="1" x14ac:dyDescent="0.15"/>
    <row r="40655" s="69" customFormat="1" x14ac:dyDescent="0.15"/>
    <row r="40656" s="69" customFormat="1" x14ac:dyDescent="0.15"/>
    <row r="40657" s="69" customFormat="1" x14ac:dyDescent="0.15"/>
    <row r="40658" s="69" customFormat="1" x14ac:dyDescent="0.15"/>
    <row r="40659" s="69" customFormat="1" x14ac:dyDescent="0.15"/>
    <row r="40660" s="69" customFormat="1" x14ac:dyDescent="0.15"/>
    <row r="40661" s="69" customFormat="1" x14ac:dyDescent="0.15"/>
    <row r="40662" s="69" customFormat="1" x14ac:dyDescent="0.15"/>
    <row r="40663" s="69" customFormat="1" x14ac:dyDescent="0.15"/>
    <row r="40664" s="69" customFormat="1" x14ac:dyDescent="0.15"/>
    <row r="40665" s="69" customFormat="1" x14ac:dyDescent="0.15"/>
    <row r="40666" s="69" customFormat="1" x14ac:dyDescent="0.15"/>
    <row r="40667" s="69" customFormat="1" x14ac:dyDescent="0.15"/>
    <row r="40668" s="69" customFormat="1" x14ac:dyDescent="0.15"/>
    <row r="40669" s="69" customFormat="1" x14ac:dyDescent="0.15"/>
    <row r="40670" s="69" customFormat="1" x14ac:dyDescent="0.15"/>
    <row r="40671" s="69" customFormat="1" x14ac:dyDescent="0.15"/>
    <row r="40672" s="69" customFormat="1" x14ac:dyDescent="0.15"/>
    <row r="40673" s="69" customFormat="1" x14ac:dyDescent="0.15"/>
    <row r="40674" s="69" customFormat="1" x14ac:dyDescent="0.15"/>
    <row r="40675" s="69" customFormat="1" x14ac:dyDescent="0.15"/>
    <row r="40676" s="69" customFormat="1" x14ac:dyDescent="0.15"/>
    <row r="40677" s="69" customFormat="1" x14ac:dyDescent="0.15"/>
    <row r="40678" s="69" customFormat="1" x14ac:dyDescent="0.15"/>
    <row r="40679" s="69" customFormat="1" x14ac:dyDescent="0.15"/>
    <row r="40680" s="69" customFormat="1" x14ac:dyDescent="0.15"/>
    <row r="40681" s="69" customFormat="1" x14ac:dyDescent="0.15"/>
    <row r="40682" s="69" customFormat="1" x14ac:dyDescent="0.15"/>
    <row r="40683" s="69" customFormat="1" x14ac:dyDescent="0.15"/>
    <row r="40684" s="69" customFormat="1" x14ac:dyDescent="0.15"/>
    <row r="40685" s="69" customFormat="1" x14ac:dyDescent="0.15"/>
    <row r="40686" s="69" customFormat="1" x14ac:dyDescent="0.15"/>
    <row r="40687" s="69" customFormat="1" x14ac:dyDescent="0.15"/>
    <row r="40688" s="69" customFormat="1" x14ac:dyDescent="0.15"/>
    <row r="40689" s="69" customFormat="1" x14ac:dyDescent="0.15"/>
    <row r="40690" s="69" customFormat="1" x14ac:dyDescent="0.15"/>
    <row r="40691" s="69" customFormat="1" x14ac:dyDescent="0.15"/>
    <row r="40692" s="69" customFormat="1" x14ac:dyDescent="0.15"/>
    <row r="40693" s="69" customFormat="1" x14ac:dyDescent="0.15"/>
    <row r="40694" s="69" customFormat="1" x14ac:dyDescent="0.15"/>
    <row r="40695" s="69" customFormat="1" x14ac:dyDescent="0.15"/>
    <row r="40696" s="69" customFormat="1" x14ac:dyDescent="0.15"/>
    <row r="40697" s="69" customFormat="1" x14ac:dyDescent="0.15"/>
    <row r="40698" s="69" customFormat="1" x14ac:dyDescent="0.15"/>
    <row r="40699" s="69" customFormat="1" x14ac:dyDescent="0.15"/>
    <row r="40700" s="69" customFormat="1" x14ac:dyDescent="0.15"/>
    <row r="40701" s="69" customFormat="1" x14ac:dyDescent="0.15"/>
    <row r="40702" s="69" customFormat="1" x14ac:dyDescent="0.15"/>
    <row r="40703" s="69" customFormat="1" x14ac:dyDescent="0.15"/>
    <row r="40704" s="69" customFormat="1" x14ac:dyDescent="0.15"/>
    <row r="40705" s="69" customFormat="1" x14ac:dyDescent="0.15"/>
    <row r="40706" s="69" customFormat="1" x14ac:dyDescent="0.15"/>
    <row r="40707" s="69" customFormat="1" x14ac:dyDescent="0.15"/>
    <row r="40708" s="69" customFormat="1" x14ac:dyDescent="0.15"/>
    <row r="40709" s="69" customFormat="1" x14ac:dyDescent="0.15"/>
    <row r="40710" s="69" customFormat="1" x14ac:dyDescent="0.15"/>
    <row r="40711" s="69" customFormat="1" x14ac:dyDescent="0.15"/>
    <row r="40712" s="69" customFormat="1" x14ac:dyDescent="0.15"/>
    <row r="40713" s="69" customFormat="1" x14ac:dyDescent="0.15"/>
    <row r="40714" s="69" customFormat="1" x14ac:dyDescent="0.15"/>
    <row r="40715" s="69" customFormat="1" x14ac:dyDescent="0.15"/>
    <row r="40716" s="69" customFormat="1" x14ac:dyDescent="0.15"/>
    <row r="40717" s="69" customFormat="1" x14ac:dyDescent="0.15"/>
    <row r="40718" s="69" customFormat="1" x14ac:dyDescent="0.15"/>
    <row r="40719" s="69" customFormat="1" x14ac:dyDescent="0.15"/>
    <row r="40720" s="69" customFormat="1" x14ac:dyDescent="0.15"/>
    <row r="40721" s="69" customFormat="1" x14ac:dyDescent="0.15"/>
    <row r="40722" s="69" customFormat="1" x14ac:dyDescent="0.15"/>
    <row r="40723" s="69" customFormat="1" x14ac:dyDescent="0.15"/>
    <row r="40724" s="69" customFormat="1" x14ac:dyDescent="0.15"/>
    <row r="40725" s="69" customFormat="1" x14ac:dyDescent="0.15"/>
    <row r="40726" s="69" customFormat="1" x14ac:dyDescent="0.15"/>
    <row r="40727" s="69" customFormat="1" x14ac:dyDescent="0.15"/>
    <row r="40728" s="69" customFormat="1" x14ac:dyDescent="0.15"/>
    <row r="40729" s="69" customFormat="1" x14ac:dyDescent="0.15"/>
    <row r="40730" s="69" customFormat="1" x14ac:dyDescent="0.15"/>
    <row r="40731" s="69" customFormat="1" x14ac:dyDescent="0.15"/>
    <row r="40732" s="69" customFormat="1" x14ac:dyDescent="0.15"/>
    <row r="40733" s="69" customFormat="1" x14ac:dyDescent="0.15"/>
    <row r="40734" s="69" customFormat="1" x14ac:dyDescent="0.15"/>
    <row r="40735" s="69" customFormat="1" x14ac:dyDescent="0.15"/>
    <row r="40736" s="69" customFormat="1" x14ac:dyDescent="0.15"/>
    <row r="40737" s="69" customFormat="1" x14ac:dyDescent="0.15"/>
    <row r="40738" s="69" customFormat="1" x14ac:dyDescent="0.15"/>
    <row r="40739" s="69" customFormat="1" x14ac:dyDescent="0.15"/>
    <row r="40740" s="69" customFormat="1" x14ac:dyDescent="0.15"/>
    <row r="40741" s="69" customFormat="1" x14ac:dyDescent="0.15"/>
    <row r="40742" s="69" customFormat="1" x14ac:dyDescent="0.15"/>
    <row r="40743" s="69" customFormat="1" x14ac:dyDescent="0.15"/>
    <row r="40744" s="69" customFormat="1" x14ac:dyDescent="0.15"/>
    <row r="40745" s="69" customFormat="1" x14ac:dyDescent="0.15"/>
    <row r="40746" s="69" customFormat="1" x14ac:dyDescent="0.15"/>
    <row r="40747" s="69" customFormat="1" x14ac:dyDescent="0.15"/>
    <row r="40748" s="69" customFormat="1" x14ac:dyDescent="0.15"/>
    <row r="40749" s="69" customFormat="1" x14ac:dyDescent="0.15"/>
    <row r="40750" s="69" customFormat="1" x14ac:dyDescent="0.15"/>
    <row r="40751" s="69" customFormat="1" x14ac:dyDescent="0.15"/>
    <row r="40752" s="69" customFormat="1" x14ac:dyDescent="0.15"/>
    <row r="40753" s="69" customFormat="1" x14ac:dyDescent="0.15"/>
    <row r="40754" s="69" customFormat="1" x14ac:dyDescent="0.15"/>
    <row r="40755" s="69" customFormat="1" x14ac:dyDescent="0.15"/>
    <row r="40756" s="69" customFormat="1" x14ac:dyDescent="0.15"/>
    <row r="40757" s="69" customFormat="1" x14ac:dyDescent="0.15"/>
    <row r="40758" s="69" customFormat="1" x14ac:dyDescent="0.15"/>
    <row r="40759" s="69" customFormat="1" x14ac:dyDescent="0.15"/>
    <row r="40760" s="69" customFormat="1" x14ac:dyDescent="0.15"/>
    <row r="40761" s="69" customFormat="1" x14ac:dyDescent="0.15"/>
    <row r="40762" s="69" customFormat="1" x14ac:dyDescent="0.15"/>
    <row r="40763" s="69" customFormat="1" x14ac:dyDescent="0.15"/>
    <row r="40764" s="69" customFormat="1" x14ac:dyDescent="0.15"/>
    <row r="40765" s="69" customFormat="1" x14ac:dyDescent="0.15"/>
    <row r="40766" s="69" customFormat="1" x14ac:dyDescent="0.15"/>
    <row r="40767" s="69" customFormat="1" x14ac:dyDescent="0.15"/>
    <row r="40768" s="69" customFormat="1" x14ac:dyDescent="0.15"/>
    <row r="40769" s="69" customFormat="1" x14ac:dyDescent="0.15"/>
    <row r="40770" s="69" customFormat="1" x14ac:dyDescent="0.15"/>
    <row r="40771" s="69" customFormat="1" x14ac:dyDescent="0.15"/>
    <row r="40772" s="69" customFormat="1" x14ac:dyDescent="0.15"/>
    <row r="40773" s="69" customFormat="1" x14ac:dyDescent="0.15"/>
    <row r="40774" s="69" customFormat="1" x14ac:dyDescent="0.15"/>
    <row r="40775" s="69" customFormat="1" x14ac:dyDescent="0.15"/>
    <row r="40776" s="69" customFormat="1" x14ac:dyDescent="0.15"/>
    <row r="40777" s="69" customFormat="1" x14ac:dyDescent="0.15"/>
    <row r="40778" s="69" customFormat="1" x14ac:dyDescent="0.15"/>
    <row r="40779" s="69" customFormat="1" x14ac:dyDescent="0.15"/>
    <row r="40780" s="69" customFormat="1" x14ac:dyDescent="0.15"/>
    <row r="40781" s="69" customFormat="1" x14ac:dyDescent="0.15"/>
    <row r="40782" s="69" customFormat="1" x14ac:dyDescent="0.15"/>
    <row r="40783" s="69" customFormat="1" x14ac:dyDescent="0.15"/>
    <row r="40784" s="69" customFormat="1" x14ac:dyDescent="0.15"/>
    <row r="40785" s="69" customFormat="1" x14ac:dyDescent="0.15"/>
    <row r="40786" s="69" customFormat="1" x14ac:dyDescent="0.15"/>
    <row r="40787" s="69" customFormat="1" x14ac:dyDescent="0.15"/>
    <row r="40788" s="69" customFormat="1" x14ac:dyDescent="0.15"/>
    <row r="40789" s="69" customFormat="1" x14ac:dyDescent="0.15"/>
    <row r="40790" s="69" customFormat="1" x14ac:dyDescent="0.15"/>
    <row r="40791" s="69" customFormat="1" x14ac:dyDescent="0.15"/>
    <row r="40792" s="69" customFormat="1" x14ac:dyDescent="0.15"/>
    <row r="40793" s="69" customFormat="1" x14ac:dyDescent="0.15"/>
    <row r="40794" s="69" customFormat="1" x14ac:dyDescent="0.15"/>
    <row r="40795" s="69" customFormat="1" x14ac:dyDescent="0.15"/>
    <row r="40796" s="69" customFormat="1" x14ac:dyDescent="0.15"/>
    <row r="40797" s="69" customFormat="1" x14ac:dyDescent="0.15"/>
    <row r="40798" s="69" customFormat="1" x14ac:dyDescent="0.15"/>
    <row r="40799" s="69" customFormat="1" x14ac:dyDescent="0.15"/>
    <row r="40800" s="69" customFormat="1" x14ac:dyDescent="0.15"/>
    <row r="40801" s="69" customFormat="1" x14ac:dyDescent="0.15"/>
    <row r="40802" s="69" customFormat="1" x14ac:dyDescent="0.15"/>
    <row r="40803" s="69" customFormat="1" x14ac:dyDescent="0.15"/>
    <row r="40804" s="69" customFormat="1" x14ac:dyDescent="0.15"/>
    <row r="40805" s="69" customFormat="1" x14ac:dyDescent="0.15"/>
    <row r="40806" s="69" customFormat="1" x14ac:dyDescent="0.15"/>
    <row r="40807" s="69" customFormat="1" x14ac:dyDescent="0.15"/>
    <row r="40808" s="69" customFormat="1" x14ac:dyDescent="0.15"/>
    <row r="40809" s="69" customFormat="1" x14ac:dyDescent="0.15"/>
    <row r="40810" s="69" customFormat="1" x14ac:dyDescent="0.15"/>
    <row r="40811" s="69" customFormat="1" x14ac:dyDescent="0.15"/>
    <row r="40812" s="69" customFormat="1" x14ac:dyDescent="0.15"/>
    <row r="40813" s="69" customFormat="1" x14ac:dyDescent="0.15"/>
    <row r="40814" s="69" customFormat="1" x14ac:dyDescent="0.15"/>
    <row r="40815" s="69" customFormat="1" x14ac:dyDescent="0.15"/>
    <row r="40816" s="69" customFormat="1" x14ac:dyDescent="0.15"/>
    <row r="40817" s="69" customFormat="1" x14ac:dyDescent="0.15"/>
    <row r="40818" s="69" customFormat="1" x14ac:dyDescent="0.15"/>
    <row r="40819" s="69" customFormat="1" x14ac:dyDescent="0.15"/>
    <row r="40820" s="69" customFormat="1" x14ac:dyDescent="0.15"/>
    <row r="40821" s="69" customFormat="1" x14ac:dyDescent="0.15"/>
    <row r="40822" s="69" customFormat="1" x14ac:dyDescent="0.15"/>
    <row r="40823" s="69" customFormat="1" x14ac:dyDescent="0.15"/>
    <row r="40824" s="69" customFormat="1" x14ac:dyDescent="0.15"/>
    <row r="40825" s="69" customFormat="1" x14ac:dyDescent="0.15"/>
    <row r="40826" s="69" customFormat="1" x14ac:dyDescent="0.15"/>
    <row r="40827" s="69" customFormat="1" x14ac:dyDescent="0.15"/>
    <row r="40828" s="69" customFormat="1" x14ac:dyDescent="0.15"/>
    <row r="40829" s="69" customFormat="1" x14ac:dyDescent="0.15"/>
    <row r="40830" s="69" customFormat="1" x14ac:dyDescent="0.15"/>
    <row r="40831" s="69" customFormat="1" x14ac:dyDescent="0.15"/>
    <row r="40832" s="69" customFormat="1" x14ac:dyDescent="0.15"/>
    <row r="40833" s="69" customFormat="1" x14ac:dyDescent="0.15"/>
    <row r="40834" s="69" customFormat="1" x14ac:dyDescent="0.15"/>
    <row r="40835" s="69" customFormat="1" x14ac:dyDescent="0.15"/>
    <row r="40836" s="69" customFormat="1" x14ac:dyDescent="0.15"/>
    <row r="40837" s="69" customFormat="1" x14ac:dyDescent="0.15"/>
    <row r="40838" s="69" customFormat="1" x14ac:dyDescent="0.15"/>
    <row r="40839" s="69" customFormat="1" x14ac:dyDescent="0.15"/>
    <row r="40840" s="69" customFormat="1" x14ac:dyDescent="0.15"/>
    <row r="40841" s="69" customFormat="1" x14ac:dyDescent="0.15"/>
    <row r="40842" s="69" customFormat="1" x14ac:dyDescent="0.15"/>
    <row r="40843" s="69" customFormat="1" x14ac:dyDescent="0.15"/>
    <row r="40844" s="69" customFormat="1" x14ac:dyDescent="0.15"/>
    <row r="40845" s="69" customFormat="1" x14ac:dyDescent="0.15"/>
    <row r="40846" s="69" customFormat="1" x14ac:dyDescent="0.15"/>
    <row r="40847" s="69" customFormat="1" x14ac:dyDescent="0.15"/>
    <row r="40848" s="69" customFormat="1" x14ac:dyDescent="0.15"/>
    <row r="40849" s="69" customFormat="1" x14ac:dyDescent="0.15"/>
    <row r="40850" s="69" customFormat="1" x14ac:dyDescent="0.15"/>
    <row r="40851" s="69" customFormat="1" x14ac:dyDescent="0.15"/>
    <row r="40852" s="69" customFormat="1" x14ac:dyDescent="0.15"/>
    <row r="40853" s="69" customFormat="1" x14ac:dyDescent="0.15"/>
    <row r="40854" s="69" customFormat="1" x14ac:dyDescent="0.15"/>
    <row r="40855" s="69" customFormat="1" x14ac:dyDescent="0.15"/>
    <row r="40856" s="69" customFormat="1" x14ac:dyDescent="0.15"/>
    <row r="40857" s="69" customFormat="1" x14ac:dyDescent="0.15"/>
    <row r="40858" s="69" customFormat="1" x14ac:dyDescent="0.15"/>
    <row r="40859" s="69" customFormat="1" x14ac:dyDescent="0.15"/>
    <row r="40860" s="69" customFormat="1" x14ac:dyDescent="0.15"/>
    <row r="40861" s="69" customFormat="1" x14ac:dyDescent="0.15"/>
    <row r="40862" s="69" customFormat="1" x14ac:dyDescent="0.15"/>
    <row r="40863" s="69" customFormat="1" x14ac:dyDescent="0.15"/>
    <row r="40864" s="69" customFormat="1" x14ac:dyDescent="0.15"/>
    <row r="40865" s="69" customFormat="1" x14ac:dyDescent="0.15"/>
    <row r="40866" s="69" customFormat="1" x14ac:dyDescent="0.15"/>
    <row r="40867" s="69" customFormat="1" x14ac:dyDescent="0.15"/>
    <row r="40868" s="69" customFormat="1" x14ac:dyDescent="0.15"/>
    <row r="40869" s="69" customFormat="1" x14ac:dyDescent="0.15"/>
    <row r="40870" s="69" customFormat="1" x14ac:dyDescent="0.15"/>
    <row r="40871" s="69" customFormat="1" x14ac:dyDescent="0.15"/>
    <row r="40872" s="69" customFormat="1" x14ac:dyDescent="0.15"/>
    <row r="40873" s="69" customFormat="1" x14ac:dyDescent="0.15"/>
    <row r="40874" s="69" customFormat="1" x14ac:dyDescent="0.15"/>
    <row r="40875" s="69" customFormat="1" x14ac:dyDescent="0.15"/>
    <row r="40876" s="69" customFormat="1" x14ac:dyDescent="0.15"/>
    <row r="40877" s="69" customFormat="1" x14ac:dyDescent="0.15"/>
    <row r="40878" s="69" customFormat="1" x14ac:dyDescent="0.15"/>
    <row r="40879" s="69" customFormat="1" x14ac:dyDescent="0.15"/>
    <row r="40880" s="69" customFormat="1" x14ac:dyDescent="0.15"/>
    <row r="40881" s="69" customFormat="1" x14ac:dyDescent="0.15"/>
    <row r="40882" s="69" customFormat="1" x14ac:dyDescent="0.15"/>
    <row r="40883" s="69" customFormat="1" x14ac:dyDescent="0.15"/>
    <row r="40884" s="69" customFormat="1" x14ac:dyDescent="0.15"/>
    <row r="40885" s="69" customFormat="1" x14ac:dyDescent="0.15"/>
    <row r="40886" s="69" customFormat="1" x14ac:dyDescent="0.15"/>
    <row r="40887" s="69" customFormat="1" x14ac:dyDescent="0.15"/>
    <row r="40888" s="69" customFormat="1" x14ac:dyDescent="0.15"/>
    <row r="40889" s="69" customFormat="1" x14ac:dyDescent="0.15"/>
    <row r="40890" s="69" customFormat="1" x14ac:dyDescent="0.15"/>
    <row r="40891" s="69" customFormat="1" x14ac:dyDescent="0.15"/>
    <row r="40892" s="69" customFormat="1" x14ac:dyDescent="0.15"/>
    <row r="40893" s="69" customFormat="1" x14ac:dyDescent="0.15"/>
    <row r="40894" s="69" customFormat="1" x14ac:dyDescent="0.15"/>
    <row r="40895" s="69" customFormat="1" x14ac:dyDescent="0.15"/>
    <row r="40896" s="69" customFormat="1" x14ac:dyDescent="0.15"/>
    <row r="40897" s="69" customFormat="1" x14ac:dyDescent="0.15"/>
    <row r="40898" s="69" customFormat="1" x14ac:dyDescent="0.15"/>
    <row r="40899" s="69" customFormat="1" x14ac:dyDescent="0.15"/>
    <row r="40900" s="69" customFormat="1" x14ac:dyDescent="0.15"/>
    <row r="40901" s="69" customFormat="1" x14ac:dyDescent="0.15"/>
    <row r="40902" s="69" customFormat="1" x14ac:dyDescent="0.15"/>
    <row r="40903" s="69" customFormat="1" x14ac:dyDescent="0.15"/>
    <row r="40904" s="69" customFormat="1" x14ac:dyDescent="0.15"/>
    <row r="40905" s="69" customFormat="1" x14ac:dyDescent="0.15"/>
    <row r="40906" s="69" customFormat="1" x14ac:dyDescent="0.15"/>
    <row r="40907" s="69" customFormat="1" x14ac:dyDescent="0.15"/>
    <row r="40908" s="69" customFormat="1" x14ac:dyDescent="0.15"/>
    <row r="40909" s="69" customFormat="1" x14ac:dyDescent="0.15"/>
    <row r="40910" s="69" customFormat="1" x14ac:dyDescent="0.15"/>
    <row r="40911" s="69" customFormat="1" x14ac:dyDescent="0.15"/>
    <row r="40912" s="69" customFormat="1" x14ac:dyDescent="0.15"/>
    <row r="40913" s="69" customFormat="1" x14ac:dyDescent="0.15"/>
    <row r="40914" s="69" customFormat="1" x14ac:dyDescent="0.15"/>
    <row r="40915" s="69" customFormat="1" x14ac:dyDescent="0.15"/>
    <row r="40916" s="69" customFormat="1" x14ac:dyDescent="0.15"/>
    <row r="40917" s="69" customFormat="1" x14ac:dyDescent="0.15"/>
    <row r="40918" s="69" customFormat="1" x14ac:dyDescent="0.15"/>
    <row r="40919" s="69" customFormat="1" x14ac:dyDescent="0.15"/>
    <row r="40920" s="69" customFormat="1" x14ac:dyDescent="0.15"/>
    <row r="40921" s="69" customFormat="1" x14ac:dyDescent="0.15"/>
    <row r="40922" s="69" customFormat="1" x14ac:dyDescent="0.15"/>
    <row r="40923" s="69" customFormat="1" x14ac:dyDescent="0.15"/>
    <row r="40924" s="69" customFormat="1" x14ac:dyDescent="0.15"/>
    <row r="40925" s="69" customFormat="1" x14ac:dyDescent="0.15"/>
    <row r="40926" s="69" customFormat="1" x14ac:dyDescent="0.15"/>
    <row r="40927" s="69" customFormat="1" x14ac:dyDescent="0.15"/>
    <row r="40928" s="69" customFormat="1" x14ac:dyDescent="0.15"/>
    <row r="40929" s="69" customFormat="1" x14ac:dyDescent="0.15"/>
    <row r="40930" s="69" customFormat="1" x14ac:dyDescent="0.15"/>
    <row r="40931" s="69" customFormat="1" x14ac:dyDescent="0.15"/>
    <row r="40932" s="69" customFormat="1" x14ac:dyDescent="0.15"/>
    <row r="40933" s="69" customFormat="1" x14ac:dyDescent="0.15"/>
    <row r="40934" s="69" customFormat="1" x14ac:dyDescent="0.15"/>
    <row r="40935" s="69" customFormat="1" x14ac:dyDescent="0.15"/>
    <row r="40936" s="69" customFormat="1" x14ac:dyDescent="0.15"/>
    <row r="40937" s="69" customFormat="1" x14ac:dyDescent="0.15"/>
    <row r="40938" s="69" customFormat="1" x14ac:dyDescent="0.15"/>
    <row r="40939" s="69" customFormat="1" x14ac:dyDescent="0.15"/>
    <row r="40940" s="69" customFormat="1" x14ac:dyDescent="0.15"/>
    <row r="40941" s="69" customFormat="1" x14ac:dyDescent="0.15"/>
    <row r="40942" s="69" customFormat="1" x14ac:dyDescent="0.15"/>
    <row r="40943" s="69" customFormat="1" x14ac:dyDescent="0.15"/>
    <row r="40944" s="69" customFormat="1" x14ac:dyDescent="0.15"/>
    <row r="40945" s="69" customFormat="1" x14ac:dyDescent="0.15"/>
    <row r="40946" s="69" customFormat="1" x14ac:dyDescent="0.15"/>
    <row r="40947" s="69" customFormat="1" x14ac:dyDescent="0.15"/>
    <row r="40948" s="69" customFormat="1" x14ac:dyDescent="0.15"/>
    <row r="40949" s="69" customFormat="1" x14ac:dyDescent="0.15"/>
    <row r="40950" s="69" customFormat="1" x14ac:dyDescent="0.15"/>
    <row r="40951" s="69" customFormat="1" x14ac:dyDescent="0.15"/>
    <row r="40952" s="69" customFormat="1" x14ac:dyDescent="0.15"/>
    <row r="40953" s="69" customFormat="1" x14ac:dyDescent="0.15"/>
    <row r="40954" s="69" customFormat="1" x14ac:dyDescent="0.15"/>
    <row r="40955" s="69" customFormat="1" x14ac:dyDescent="0.15"/>
    <row r="40956" s="69" customFormat="1" x14ac:dyDescent="0.15"/>
    <row r="40957" s="69" customFormat="1" x14ac:dyDescent="0.15"/>
    <row r="40958" s="69" customFormat="1" x14ac:dyDescent="0.15"/>
    <row r="40959" s="69" customFormat="1" x14ac:dyDescent="0.15"/>
    <row r="40960" s="69" customFormat="1" x14ac:dyDescent="0.15"/>
    <row r="40961" s="69" customFormat="1" x14ac:dyDescent="0.15"/>
    <row r="40962" s="69" customFormat="1" x14ac:dyDescent="0.15"/>
    <row r="40963" s="69" customFormat="1" x14ac:dyDescent="0.15"/>
    <row r="40964" s="69" customFormat="1" x14ac:dyDescent="0.15"/>
    <row r="40965" s="69" customFormat="1" x14ac:dyDescent="0.15"/>
    <row r="40966" s="69" customFormat="1" x14ac:dyDescent="0.15"/>
    <row r="40967" s="69" customFormat="1" x14ac:dyDescent="0.15"/>
    <row r="40968" s="69" customFormat="1" x14ac:dyDescent="0.15"/>
    <row r="40969" s="69" customFormat="1" x14ac:dyDescent="0.15"/>
    <row r="40970" s="69" customFormat="1" x14ac:dyDescent="0.15"/>
    <row r="40971" s="69" customFormat="1" x14ac:dyDescent="0.15"/>
    <row r="40972" s="69" customFormat="1" x14ac:dyDescent="0.15"/>
    <row r="40973" s="69" customFormat="1" x14ac:dyDescent="0.15"/>
    <row r="40974" s="69" customFormat="1" x14ac:dyDescent="0.15"/>
    <row r="40975" s="69" customFormat="1" x14ac:dyDescent="0.15"/>
    <row r="40976" s="69" customFormat="1" x14ac:dyDescent="0.15"/>
    <row r="40977" s="69" customFormat="1" x14ac:dyDescent="0.15"/>
    <row r="40978" s="69" customFormat="1" x14ac:dyDescent="0.15"/>
    <row r="40979" s="69" customFormat="1" x14ac:dyDescent="0.15"/>
    <row r="40980" s="69" customFormat="1" x14ac:dyDescent="0.15"/>
    <row r="40981" s="69" customFormat="1" x14ac:dyDescent="0.15"/>
    <row r="40982" s="69" customFormat="1" x14ac:dyDescent="0.15"/>
    <row r="40983" s="69" customFormat="1" x14ac:dyDescent="0.15"/>
    <row r="40984" s="69" customFormat="1" x14ac:dyDescent="0.15"/>
    <row r="40985" s="69" customFormat="1" x14ac:dyDescent="0.15"/>
    <row r="40986" s="69" customFormat="1" x14ac:dyDescent="0.15"/>
    <row r="40987" s="69" customFormat="1" x14ac:dyDescent="0.15"/>
    <row r="40988" s="69" customFormat="1" x14ac:dyDescent="0.15"/>
    <row r="40989" s="69" customFormat="1" x14ac:dyDescent="0.15"/>
    <row r="40990" s="69" customFormat="1" x14ac:dyDescent="0.15"/>
    <row r="40991" s="69" customFormat="1" x14ac:dyDescent="0.15"/>
    <row r="40992" s="69" customFormat="1" x14ac:dyDescent="0.15"/>
    <row r="40993" s="69" customFormat="1" x14ac:dyDescent="0.15"/>
    <row r="40994" s="69" customFormat="1" x14ac:dyDescent="0.15"/>
    <row r="40995" s="69" customFormat="1" x14ac:dyDescent="0.15"/>
    <row r="40996" s="69" customFormat="1" x14ac:dyDescent="0.15"/>
    <row r="40997" s="69" customFormat="1" x14ac:dyDescent="0.15"/>
    <row r="40998" s="69" customFormat="1" x14ac:dyDescent="0.15"/>
    <row r="40999" s="69" customFormat="1" x14ac:dyDescent="0.15"/>
    <row r="41000" s="69" customFormat="1" x14ac:dyDescent="0.15"/>
    <row r="41001" s="69" customFormat="1" x14ac:dyDescent="0.15"/>
    <row r="41002" s="69" customFormat="1" x14ac:dyDescent="0.15"/>
    <row r="41003" s="69" customFormat="1" x14ac:dyDescent="0.15"/>
    <row r="41004" s="69" customFormat="1" x14ac:dyDescent="0.15"/>
    <row r="41005" s="69" customFormat="1" x14ac:dyDescent="0.15"/>
    <row r="41006" s="69" customFormat="1" x14ac:dyDescent="0.15"/>
    <row r="41007" s="69" customFormat="1" x14ac:dyDescent="0.15"/>
    <row r="41008" s="69" customFormat="1" x14ac:dyDescent="0.15"/>
    <row r="41009" s="69" customFormat="1" x14ac:dyDescent="0.15"/>
    <row r="41010" s="69" customFormat="1" x14ac:dyDescent="0.15"/>
    <row r="41011" s="69" customFormat="1" x14ac:dyDescent="0.15"/>
    <row r="41012" s="69" customFormat="1" x14ac:dyDescent="0.15"/>
    <row r="41013" s="69" customFormat="1" x14ac:dyDescent="0.15"/>
    <row r="41014" s="69" customFormat="1" x14ac:dyDescent="0.15"/>
    <row r="41015" s="69" customFormat="1" x14ac:dyDescent="0.15"/>
    <row r="41016" s="69" customFormat="1" x14ac:dyDescent="0.15"/>
    <row r="41017" s="69" customFormat="1" x14ac:dyDescent="0.15"/>
    <row r="41018" s="69" customFormat="1" x14ac:dyDescent="0.15"/>
    <row r="41019" s="69" customFormat="1" x14ac:dyDescent="0.15"/>
    <row r="41020" s="69" customFormat="1" x14ac:dyDescent="0.15"/>
    <row r="41021" s="69" customFormat="1" x14ac:dyDescent="0.15"/>
    <row r="41022" s="69" customFormat="1" x14ac:dyDescent="0.15"/>
    <row r="41023" s="69" customFormat="1" x14ac:dyDescent="0.15"/>
    <row r="41024" s="69" customFormat="1" x14ac:dyDescent="0.15"/>
    <row r="41025" s="69" customFormat="1" x14ac:dyDescent="0.15"/>
    <row r="41026" s="69" customFormat="1" x14ac:dyDescent="0.15"/>
    <row r="41027" s="69" customFormat="1" x14ac:dyDescent="0.15"/>
    <row r="41028" s="69" customFormat="1" x14ac:dyDescent="0.15"/>
    <row r="41029" s="69" customFormat="1" x14ac:dyDescent="0.15"/>
    <row r="41030" s="69" customFormat="1" x14ac:dyDescent="0.15"/>
    <row r="41031" s="69" customFormat="1" x14ac:dyDescent="0.15"/>
    <row r="41032" s="69" customFormat="1" x14ac:dyDescent="0.15"/>
    <row r="41033" s="69" customFormat="1" x14ac:dyDescent="0.15"/>
    <row r="41034" s="69" customFormat="1" x14ac:dyDescent="0.15"/>
    <row r="41035" s="69" customFormat="1" x14ac:dyDescent="0.15"/>
    <row r="41036" s="69" customFormat="1" x14ac:dyDescent="0.15"/>
    <row r="41037" s="69" customFormat="1" x14ac:dyDescent="0.15"/>
    <row r="41038" s="69" customFormat="1" x14ac:dyDescent="0.15"/>
    <row r="41039" s="69" customFormat="1" x14ac:dyDescent="0.15"/>
    <row r="41040" s="69" customFormat="1" x14ac:dyDescent="0.15"/>
    <row r="41041" s="69" customFormat="1" x14ac:dyDescent="0.15"/>
    <row r="41042" s="69" customFormat="1" x14ac:dyDescent="0.15"/>
    <row r="41043" s="69" customFormat="1" x14ac:dyDescent="0.15"/>
    <row r="41044" s="69" customFormat="1" x14ac:dyDescent="0.15"/>
    <row r="41045" s="69" customFormat="1" x14ac:dyDescent="0.15"/>
    <row r="41046" s="69" customFormat="1" x14ac:dyDescent="0.15"/>
    <row r="41047" s="69" customFormat="1" x14ac:dyDescent="0.15"/>
    <row r="41048" s="69" customFormat="1" x14ac:dyDescent="0.15"/>
    <row r="41049" s="69" customFormat="1" x14ac:dyDescent="0.15"/>
    <row r="41050" s="69" customFormat="1" x14ac:dyDescent="0.15"/>
    <row r="41051" s="69" customFormat="1" x14ac:dyDescent="0.15"/>
    <row r="41052" s="69" customFormat="1" x14ac:dyDescent="0.15"/>
    <row r="41053" s="69" customFormat="1" x14ac:dyDescent="0.15"/>
    <row r="41054" s="69" customFormat="1" x14ac:dyDescent="0.15"/>
    <row r="41055" s="69" customFormat="1" x14ac:dyDescent="0.15"/>
    <row r="41056" s="69" customFormat="1" x14ac:dyDescent="0.15"/>
    <row r="41057" s="69" customFormat="1" x14ac:dyDescent="0.15"/>
    <row r="41058" s="69" customFormat="1" x14ac:dyDescent="0.15"/>
    <row r="41059" s="69" customFormat="1" x14ac:dyDescent="0.15"/>
    <row r="41060" s="69" customFormat="1" x14ac:dyDescent="0.15"/>
    <row r="41061" s="69" customFormat="1" x14ac:dyDescent="0.15"/>
    <row r="41062" s="69" customFormat="1" x14ac:dyDescent="0.15"/>
    <row r="41063" s="69" customFormat="1" x14ac:dyDescent="0.15"/>
    <row r="41064" s="69" customFormat="1" x14ac:dyDescent="0.15"/>
    <row r="41065" s="69" customFormat="1" x14ac:dyDescent="0.15"/>
    <row r="41066" s="69" customFormat="1" x14ac:dyDescent="0.15"/>
    <row r="41067" s="69" customFormat="1" x14ac:dyDescent="0.15"/>
    <row r="41068" s="69" customFormat="1" x14ac:dyDescent="0.15"/>
    <row r="41069" s="69" customFormat="1" x14ac:dyDescent="0.15"/>
    <row r="41070" s="69" customFormat="1" x14ac:dyDescent="0.15"/>
    <row r="41071" s="69" customFormat="1" x14ac:dyDescent="0.15"/>
    <row r="41072" s="69" customFormat="1" x14ac:dyDescent="0.15"/>
    <row r="41073" s="69" customFormat="1" x14ac:dyDescent="0.15"/>
    <row r="41074" s="69" customFormat="1" x14ac:dyDescent="0.15"/>
    <row r="41075" s="69" customFormat="1" x14ac:dyDescent="0.15"/>
    <row r="41076" s="69" customFormat="1" x14ac:dyDescent="0.15"/>
    <row r="41077" s="69" customFormat="1" x14ac:dyDescent="0.15"/>
    <row r="41078" s="69" customFormat="1" x14ac:dyDescent="0.15"/>
    <row r="41079" s="69" customFormat="1" x14ac:dyDescent="0.15"/>
    <row r="41080" s="69" customFormat="1" x14ac:dyDescent="0.15"/>
    <row r="41081" s="69" customFormat="1" x14ac:dyDescent="0.15"/>
    <row r="41082" s="69" customFormat="1" x14ac:dyDescent="0.15"/>
    <row r="41083" s="69" customFormat="1" x14ac:dyDescent="0.15"/>
    <row r="41084" s="69" customFormat="1" x14ac:dyDescent="0.15"/>
    <row r="41085" s="69" customFormat="1" x14ac:dyDescent="0.15"/>
    <row r="41086" s="69" customFormat="1" x14ac:dyDescent="0.15"/>
    <row r="41087" s="69" customFormat="1" x14ac:dyDescent="0.15"/>
    <row r="41088" s="69" customFormat="1" x14ac:dyDescent="0.15"/>
    <row r="41089" s="69" customFormat="1" x14ac:dyDescent="0.15"/>
    <row r="41090" s="69" customFormat="1" x14ac:dyDescent="0.15"/>
    <row r="41091" s="69" customFormat="1" x14ac:dyDescent="0.15"/>
    <row r="41092" s="69" customFormat="1" x14ac:dyDescent="0.15"/>
    <row r="41093" s="69" customFormat="1" x14ac:dyDescent="0.15"/>
    <row r="41094" s="69" customFormat="1" x14ac:dyDescent="0.15"/>
    <row r="41095" s="69" customFormat="1" x14ac:dyDescent="0.15"/>
    <row r="41096" s="69" customFormat="1" x14ac:dyDescent="0.15"/>
    <row r="41097" s="69" customFormat="1" x14ac:dyDescent="0.15"/>
    <row r="41098" s="69" customFormat="1" x14ac:dyDescent="0.15"/>
    <row r="41099" s="69" customFormat="1" x14ac:dyDescent="0.15"/>
    <row r="41100" s="69" customFormat="1" x14ac:dyDescent="0.15"/>
    <row r="41101" s="69" customFormat="1" x14ac:dyDescent="0.15"/>
    <row r="41102" s="69" customFormat="1" x14ac:dyDescent="0.15"/>
    <row r="41103" s="69" customFormat="1" x14ac:dyDescent="0.15"/>
    <row r="41104" s="69" customFormat="1" x14ac:dyDescent="0.15"/>
    <row r="41105" s="69" customFormat="1" x14ac:dyDescent="0.15"/>
    <row r="41106" s="69" customFormat="1" x14ac:dyDescent="0.15"/>
    <row r="41107" s="69" customFormat="1" x14ac:dyDescent="0.15"/>
    <row r="41108" s="69" customFormat="1" x14ac:dyDescent="0.15"/>
    <row r="41109" s="69" customFormat="1" x14ac:dyDescent="0.15"/>
    <row r="41110" s="69" customFormat="1" x14ac:dyDescent="0.15"/>
    <row r="41111" s="69" customFormat="1" x14ac:dyDescent="0.15"/>
    <row r="41112" s="69" customFormat="1" x14ac:dyDescent="0.15"/>
    <row r="41113" s="69" customFormat="1" x14ac:dyDescent="0.15"/>
    <row r="41114" s="69" customFormat="1" x14ac:dyDescent="0.15"/>
    <row r="41115" s="69" customFormat="1" x14ac:dyDescent="0.15"/>
    <row r="41116" s="69" customFormat="1" x14ac:dyDescent="0.15"/>
    <row r="41117" s="69" customFormat="1" x14ac:dyDescent="0.15"/>
    <row r="41118" s="69" customFormat="1" x14ac:dyDescent="0.15"/>
    <row r="41119" s="69" customFormat="1" x14ac:dyDescent="0.15"/>
    <row r="41120" s="69" customFormat="1" x14ac:dyDescent="0.15"/>
    <row r="41121" s="69" customFormat="1" x14ac:dyDescent="0.15"/>
    <row r="41122" s="69" customFormat="1" x14ac:dyDescent="0.15"/>
    <row r="41123" s="69" customFormat="1" x14ac:dyDescent="0.15"/>
    <row r="41124" s="69" customFormat="1" x14ac:dyDescent="0.15"/>
    <row r="41125" s="69" customFormat="1" x14ac:dyDescent="0.15"/>
    <row r="41126" s="69" customFormat="1" x14ac:dyDescent="0.15"/>
    <row r="41127" s="69" customFormat="1" x14ac:dyDescent="0.15"/>
    <row r="41128" s="69" customFormat="1" x14ac:dyDescent="0.15"/>
    <row r="41129" s="69" customFormat="1" x14ac:dyDescent="0.15"/>
    <row r="41130" s="69" customFormat="1" x14ac:dyDescent="0.15"/>
    <row r="41131" s="69" customFormat="1" x14ac:dyDescent="0.15"/>
    <row r="41132" s="69" customFormat="1" x14ac:dyDescent="0.15"/>
    <row r="41133" s="69" customFormat="1" x14ac:dyDescent="0.15"/>
    <row r="41134" s="69" customFormat="1" x14ac:dyDescent="0.15"/>
    <row r="41135" s="69" customFormat="1" x14ac:dyDescent="0.15"/>
    <row r="41136" s="69" customFormat="1" x14ac:dyDescent="0.15"/>
    <row r="41137" s="69" customFormat="1" x14ac:dyDescent="0.15"/>
    <row r="41138" s="69" customFormat="1" x14ac:dyDescent="0.15"/>
    <row r="41139" s="69" customFormat="1" x14ac:dyDescent="0.15"/>
    <row r="41140" s="69" customFormat="1" x14ac:dyDescent="0.15"/>
    <row r="41141" s="69" customFormat="1" x14ac:dyDescent="0.15"/>
    <row r="41142" s="69" customFormat="1" x14ac:dyDescent="0.15"/>
    <row r="41143" s="69" customFormat="1" x14ac:dyDescent="0.15"/>
    <row r="41144" s="69" customFormat="1" x14ac:dyDescent="0.15"/>
    <row r="41145" s="69" customFormat="1" x14ac:dyDescent="0.15"/>
    <row r="41146" s="69" customFormat="1" x14ac:dyDescent="0.15"/>
    <row r="41147" s="69" customFormat="1" x14ac:dyDescent="0.15"/>
    <row r="41148" s="69" customFormat="1" x14ac:dyDescent="0.15"/>
    <row r="41149" s="69" customFormat="1" x14ac:dyDescent="0.15"/>
    <row r="41150" s="69" customFormat="1" x14ac:dyDescent="0.15"/>
    <row r="41151" s="69" customFormat="1" x14ac:dyDescent="0.15"/>
    <row r="41152" s="69" customFormat="1" x14ac:dyDescent="0.15"/>
    <row r="41153" s="69" customFormat="1" x14ac:dyDescent="0.15"/>
    <row r="41154" s="69" customFormat="1" x14ac:dyDescent="0.15"/>
    <row r="41155" s="69" customFormat="1" x14ac:dyDescent="0.15"/>
    <row r="41156" s="69" customFormat="1" x14ac:dyDescent="0.15"/>
    <row r="41157" s="69" customFormat="1" x14ac:dyDescent="0.15"/>
    <row r="41158" s="69" customFormat="1" x14ac:dyDescent="0.15"/>
    <row r="41159" s="69" customFormat="1" x14ac:dyDescent="0.15"/>
    <row r="41160" s="69" customFormat="1" x14ac:dyDescent="0.15"/>
    <row r="41161" s="69" customFormat="1" x14ac:dyDescent="0.15"/>
    <row r="41162" s="69" customFormat="1" x14ac:dyDescent="0.15"/>
    <row r="41163" s="69" customFormat="1" x14ac:dyDescent="0.15"/>
    <row r="41164" s="69" customFormat="1" x14ac:dyDescent="0.15"/>
    <row r="41165" s="69" customFormat="1" x14ac:dyDescent="0.15"/>
    <row r="41166" s="69" customFormat="1" x14ac:dyDescent="0.15"/>
    <row r="41167" s="69" customFormat="1" x14ac:dyDescent="0.15"/>
    <row r="41168" s="69" customFormat="1" x14ac:dyDescent="0.15"/>
    <row r="41169" s="69" customFormat="1" x14ac:dyDescent="0.15"/>
    <row r="41170" s="69" customFormat="1" x14ac:dyDescent="0.15"/>
    <row r="41171" s="69" customFormat="1" x14ac:dyDescent="0.15"/>
    <row r="41172" s="69" customFormat="1" x14ac:dyDescent="0.15"/>
    <row r="41173" s="69" customFormat="1" x14ac:dyDescent="0.15"/>
    <row r="41174" s="69" customFormat="1" x14ac:dyDescent="0.15"/>
    <row r="41175" s="69" customFormat="1" x14ac:dyDescent="0.15"/>
    <row r="41176" s="69" customFormat="1" x14ac:dyDescent="0.15"/>
    <row r="41177" s="69" customFormat="1" x14ac:dyDescent="0.15"/>
    <row r="41178" s="69" customFormat="1" x14ac:dyDescent="0.15"/>
    <row r="41179" s="69" customFormat="1" x14ac:dyDescent="0.15"/>
    <row r="41180" s="69" customFormat="1" x14ac:dyDescent="0.15"/>
    <row r="41181" s="69" customFormat="1" x14ac:dyDescent="0.15"/>
    <row r="41182" s="69" customFormat="1" x14ac:dyDescent="0.15"/>
    <row r="41183" s="69" customFormat="1" x14ac:dyDescent="0.15"/>
    <row r="41184" s="69" customFormat="1" x14ac:dyDescent="0.15"/>
    <row r="41185" s="69" customFormat="1" x14ac:dyDescent="0.15"/>
    <row r="41186" s="69" customFormat="1" x14ac:dyDescent="0.15"/>
    <row r="41187" s="69" customFormat="1" x14ac:dyDescent="0.15"/>
    <row r="41188" s="69" customFormat="1" x14ac:dyDescent="0.15"/>
    <row r="41189" s="69" customFormat="1" x14ac:dyDescent="0.15"/>
    <row r="41190" s="69" customFormat="1" x14ac:dyDescent="0.15"/>
    <row r="41191" s="69" customFormat="1" x14ac:dyDescent="0.15"/>
    <row r="41192" s="69" customFormat="1" x14ac:dyDescent="0.15"/>
    <row r="41193" s="69" customFormat="1" x14ac:dyDescent="0.15"/>
    <row r="41194" s="69" customFormat="1" x14ac:dyDescent="0.15"/>
    <row r="41195" s="69" customFormat="1" x14ac:dyDescent="0.15"/>
    <row r="41196" s="69" customFormat="1" x14ac:dyDescent="0.15"/>
    <row r="41197" s="69" customFormat="1" x14ac:dyDescent="0.15"/>
    <row r="41198" s="69" customFormat="1" x14ac:dyDescent="0.15"/>
    <row r="41199" s="69" customFormat="1" x14ac:dyDescent="0.15"/>
    <row r="41200" s="69" customFormat="1" x14ac:dyDescent="0.15"/>
    <row r="41201" s="69" customFormat="1" x14ac:dyDescent="0.15"/>
    <row r="41202" s="69" customFormat="1" x14ac:dyDescent="0.15"/>
    <row r="41203" s="69" customFormat="1" x14ac:dyDescent="0.15"/>
    <row r="41204" s="69" customFormat="1" x14ac:dyDescent="0.15"/>
    <row r="41205" s="69" customFormat="1" x14ac:dyDescent="0.15"/>
    <row r="41206" s="69" customFormat="1" x14ac:dyDescent="0.15"/>
    <row r="41207" s="69" customFormat="1" x14ac:dyDescent="0.15"/>
    <row r="41208" s="69" customFormat="1" x14ac:dyDescent="0.15"/>
    <row r="41209" s="69" customFormat="1" x14ac:dyDescent="0.15"/>
    <row r="41210" s="69" customFormat="1" x14ac:dyDescent="0.15"/>
    <row r="41211" s="69" customFormat="1" x14ac:dyDescent="0.15"/>
    <row r="41212" s="69" customFormat="1" x14ac:dyDescent="0.15"/>
    <row r="41213" s="69" customFormat="1" x14ac:dyDescent="0.15"/>
    <row r="41214" s="69" customFormat="1" x14ac:dyDescent="0.15"/>
    <row r="41215" s="69" customFormat="1" x14ac:dyDescent="0.15"/>
    <row r="41216" s="69" customFormat="1" x14ac:dyDescent="0.15"/>
    <row r="41217" s="69" customFormat="1" x14ac:dyDescent="0.15"/>
    <row r="41218" s="69" customFormat="1" x14ac:dyDescent="0.15"/>
    <row r="41219" s="69" customFormat="1" x14ac:dyDescent="0.15"/>
    <row r="41220" s="69" customFormat="1" x14ac:dyDescent="0.15"/>
    <row r="41221" s="69" customFormat="1" x14ac:dyDescent="0.15"/>
    <row r="41222" s="69" customFormat="1" x14ac:dyDescent="0.15"/>
    <row r="41223" s="69" customFormat="1" x14ac:dyDescent="0.15"/>
    <row r="41224" s="69" customFormat="1" x14ac:dyDescent="0.15"/>
    <row r="41225" s="69" customFormat="1" x14ac:dyDescent="0.15"/>
    <row r="41226" s="69" customFormat="1" x14ac:dyDescent="0.15"/>
    <row r="41227" s="69" customFormat="1" x14ac:dyDescent="0.15"/>
    <row r="41228" s="69" customFormat="1" x14ac:dyDescent="0.15"/>
    <row r="41229" s="69" customFormat="1" x14ac:dyDescent="0.15"/>
    <row r="41230" s="69" customFormat="1" x14ac:dyDescent="0.15"/>
    <row r="41231" s="69" customFormat="1" x14ac:dyDescent="0.15"/>
    <row r="41232" s="69" customFormat="1" x14ac:dyDescent="0.15"/>
    <row r="41233" s="69" customFormat="1" x14ac:dyDescent="0.15"/>
    <row r="41234" s="69" customFormat="1" x14ac:dyDescent="0.15"/>
    <row r="41235" s="69" customFormat="1" x14ac:dyDescent="0.15"/>
    <row r="41236" s="69" customFormat="1" x14ac:dyDescent="0.15"/>
    <row r="41237" s="69" customFormat="1" x14ac:dyDescent="0.15"/>
    <row r="41238" s="69" customFormat="1" x14ac:dyDescent="0.15"/>
    <row r="41239" s="69" customFormat="1" x14ac:dyDescent="0.15"/>
    <row r="41240" s="69" customFormat="1" x14ac:dyDescent="0.15"/>
    <row r="41241" s="69" customFormat="1" x14ac:dyDescent="0.15"/>
    <row r="41242" s="69" customFormat="1" x14ac:dyDescent="0.15"/>
    <row r="41243" s="69" customFormat="1" x14ac:dyDescent="0.15"/>
    <row r="41244" s="69" customFormat="1" x14ac:dyDescent="0.15"/>
    <row r="41245" s="69" customFormat="1" x14ac:dyDescent="0.15"/>
    <row r="41246" s="69" customFormat="1" x14ac:dyDescent="0.15"/>
    <row r="41247" s="69" customFormat="1" x14ac:dyDescent="0.15"/>
    <row r="41248" s="69" customFormat="1" x14ac:dyDescent="0.15"/>
    <row r="41249" s="69" customFormat="1" x14ac:dyDescent="0.15"/>
    <row r="41250" s="69" customFormat="1" x14ac:dyDescent="0.15"/>
    <row r="41251" s="69" customFormat="1" x14ac:dyDescent="0.15"/>
    <row r="41252" s="69" customFormat="1" x14ac:dyDescent="0.15"/>
    <row r="41253" s="69" customFormat="1" x14ac:dyDescent="0.15"/>
    <row r="41254" s="69" customFormat="1" x14ac:dyDescent="0.15"/>
    <row r="41255" s="69" customFormat="1" x14ac:dyDescent="0.15"/>
    <row r="41256" s="69" customFormat="1" x14ac:dyDescent="0.15"/>
    <row r="41257" s="69" customFormat="1" x14ac:dyDescent="0.15"/>
    <row r="41258" s="69" customFormat="1" x14ac:dyDescent="0.15"/>
    <row r="41259" s="69" customFormat="1" x14ac:dyDescent="0.15"/>
    <row r="41260" s="69" customFormat="1" x14ac:dyDescent="0.15"/>
    <row r="41261" s="69" customFormat="1" x14ac:dyDescent="0.15"/>
    <row r="41262" s="69" customFormat="1" x14ac:dyDescent="0.15"/>
    <row r="41263" s="69" customFormat="1" x14ac:dyDescent="0.15"/>
    <row r="41264" s="69" customFormat="1" x14ac:dyDescent="0.15"/>
    <row r="41265" s="69" customFormat="1" x14ac:dyDescent="0.15"/>
    <row r="41266" s="69" customFormat="1" x14ac:dyDescent="0.15"/>
    <row r="41267" s="69" customFormat="1" x14ac:dyDescent="0.15"/>
    <row r="41268" s="69" customFormat="1" x14ac:dyDescent="0.15"/>
    <row r="41269" s="69" customFormat="1" x14ac:dyDescent="0.15"/>
    <row r="41270" s="69" customFormat="1" x14ac:dyDescent="0.15"/>
    <row r="41271" s="69" customFormat="1" x14ac:dyDescent="0.15"/>
    <row r="41272" s="69" customFormat="1" x14ac:dyDescent="0.15"/>
    <row r="41273" s="69" customFormat="1" x14ac:dyDescent="0.15"/>
    <row r="41274" s="69" customFormat="1" x14ac:dyDescent="0.15"/>
    <row r="41275" s="69" customFormat="1" x14ac:dyDescent="0.15"/>
    <row r="41276" s="69" customFormat="1" x14ac:dyDescent="0.15"/>
    <row r="41277" s="69" customFormat="1" x14ac:dyDescent="0.15"/>
    <row r="41278" s="69" customFormat="1" x14ac:dyDescent="0.15"/>
    <row r="41279" s="69" customFormat="1" x14ac:dyDescent="0.15"/>
    <row r="41280" s="69" customFormat="1" x14ac:dyDescent="0.15"/>
    <row r="41281" s="69" customFormat="1" x14ac:dyDescent="0.15"/>
    <row r="41282" s="69" customFormat="1" x14ac:dyDescent="0.15"/>
    <row r="41283" s="69" customFormat="1" x14ac:dyDescent="0.15"/>
    <row r="41284" s="69" customFormat="1" x14ac:dyDescent="0.15"/>
    <row r="41285" s="69" customFormat="1" x14ac:dyDescent="0.15"/>
    <row r="41286" s="69" customFormat="1" x14ac:dyDescent="0.15"/>
    <row r="41287" s="69" customFormat="1" x14ac:dyDescent="0.15"/>
    <row r="41288" s="69" customFormat="1" x14ac:dyDescent="0.15"/>
    <row r="41289" s="69" customFormat="1" x14ac:dyDescent="0.15"/>
    <row r="41290" s="69" customFormat="1" x14ac:dyDescent="0.15"/>
    <row r="41291" s="69" customFormat="1" x14ac:dyDescent="0.15"/>
    <row r="41292" s="69" customFormat="1" x14ac:dyDescent="0.15"/>
    <row r="41293" s="69" customFormat="1" x14ac:dyDescent="0.15"/>
    <row r="41294" s="69" customFormat="1" x14ac:dyDescent="0.15"/>
    <row r="41295" s="69" customFormat="1" x14ac:dyDescent="0.15"/>
    <row r="41296" s="69" customFormat="1" x14ac:dyDescent="0.15"/>
    <row r="41297" s="69" customFormat="1" x14ac:dyDescent="0.15"/>
    <row r="41298" s="69" customFormat="1" x14ac:dyDescent="0.15"/>
    <row r="41299" s="69" customFormat="1" x14ac:dyDescent="0.15"/>
    <row r="41300" s="69" customFormat="1" x14ac:dyDescent="0.15"/>
    <row r="41301" s="69" customFormat="1" x14ac:dyDescent="0.15"/>
    <row r="41302" s="69" customFormat="1" x14ac:dyDescent="0.15"/>
    <row r="41303" s="69" customFormat="1" x14ac:dyDescent="0.15"/>
    <row r="41304" s="69" customFormat="1" x14ac:dyDescent="0.15"/>
    <row r="41305" s="69" customFormat="1" x14ac:dyDescent="0.15"/>
    <row r="41306" s="69" customFormat="1" x14ac:dyDescent="0.15"/>
    <row r="41307" s="69" customFormat="1" x14ac:dyDescent="0.15"/>
    <row r="41308" s="69" customFormat="1" x14ac:dyDescent="0.15"/>
    <row r="41309" s="69" customFormat="1" x14ac:dyDescent="0.15"/>
    <row r="41310" s="69" customFormat="1" x14ac:dyDescent="0.15"/>
    <row r="41311" s="69" customFormat="1" x14ac:dyDescent="0.15"/>
    <row r="41312" s="69" customFormat="1" x14ac:dyDescent="0.15"/>
    <row r="41313" s="69" customFormat="1" x14ac:dyDescent="0.15"/>
    <row r="41314" s="69" customFormat="1" x14ac:dyDescent="0.15"/>
    <row r="41315" s="69" customFormat="1" x14ac:dyDescent="0.15"/>
    <row r="41316" s="69" customFormat="1" x14ac:dyDescent="0.15"/>
    <row r="41317" s="69" customFormat="1" x14ac:dyDescent="0.15"/>
    <row r="41318" s="69" customFormat="1" x14ac:dyDescent="0.15"/>
    <row r="41319" s="69" customFormat="1" x14ac:dyDescent="0.15"/>
    <row r="41320" s="69" customFormat="1" x14ac:dyDescent="0.15"/>
    <row r="41321" s="69" customFormat="1" x14ac:dyDescent="0.15"/>
    <row r="41322" s="69" customFormat="1" x14ac:dyDescent="0.15"/>
    <row r="41323" s="69" customFormat="1" x14ac:dyDescent="0.15"/>
    <row r="41324" s="69" customFormat="1" x14ac:dyDescent="0.15"/>
    <row r="41325" s="69" customFormat="1" x14ac:dyDescent="0.15"/>
    <row r="41326" s="69" customFormat="1" x14ac:dyDescent="0.15"/>
    <row r="41327" s="69" customFormat="1" x14ac:dyDescent="0.15"/>
    <row r="41328" s="69" customFormat="1" x14ac:dyDescent="0.15"/>
    <row r="41329" s="69" customFormat="1" x14ac:dyDescent="0.15"/>
    <row r="41330" s="69" customFormat="1" x14ac:dyDescent="0.15"/>
    <row r="41331" s="69" customFormat="1" x14ac:dyDescent="0.15"/>
    <row r="41332" s="69" customFormat="1" x14ac:dyDescent="0.15"/>
    <row r="41333" s="69" customFormat="1" x14ac:dyDescent="0.15"/>
    <row r="41334" s="69" customFormat="1" x14ac:dyDescent="0.15"/>
    <row r="41335" s="69" customFormat="1" x14ac:dyDescent="0.15"/>
    <row r="41336" s="69" customFormat="1" x14ac:dyDescent="0.15"/>
    <row r="41337" s="69" customFormat="1" x14ac:dyDescent="0.15"/>
    <row r="41338" s="69" customFormat="1" x14ac:dyDescent="0.15"/>
    <row r="41339" s="69" customFormat="1" x14ac:dyDescent="0.15"/>
    <row r="41340" s="69" customFormat="1" x14ac:dyDescent="0.15"/>
    <row r="41341" s="69" customFormat="1" x14ac:dyDescent="0.15"/>
    <row r="41342" s="69" customFormat="1" x14ac:dyDescent="0.15"/>
    <row r="41343" s="69" customFormat="1" x14ac:dyDescent="0.15"/>
    <row r="41344" s="69" customFormat="1" x14ac:dyDescent="0.15"/>
    <row r="41345" s="69" customFormat="1" x14ac:dyDescent="0.15"/>
    <row r="41346" s="69" customFormat="1" x14ac:dyDescent="0.15"/>
    <row r="41347" s="69" customFormat="1" x14ac:dyDescent="0.15"/>
    <row r="41348" s="69" customFormat="1" x14ac:dyDescent="0.15"/>
    <row r="41349" s="69" customFormat="1" x14ac:dyDescent="0.15"/>
    <row r="41350" s="69" customFormat="1" x14ac:dyDescent="0.15"/>
    <row r="41351" s="69" customFormat="1" x14ac:dyDescent="0.15"/>
    <row r="41352" s="69" customFormat="1" x14ac:dyDescent="0.15"/>
    <row r="41353" s="69" customFormat="1" x14ac:dyDescent="0.15"/>
    <row r="41354" s="69" customFormat="1" x14ac:dyDescent="0.15"/>
    <row r="41355" s="69" customFormat="1" x14ac:dyDescent="0.15"/>
    <row r="41356" s="69" customFormat="1" x14ac:dyDescent="0.15"/>
    <row r="41357" s="69" customFormat="1" x14ac:dyDescent="0.15"/>
    <row r="41358" s="69" customFormat="1" x14ac:dyDescent="0.15"/>
    <row r="41359" s="69" customFormat="1" x14ac:dyDescent="0.15"/>
    <row r="41360" s="69" customFormat="1" x14ac:dyDescent="0.15"/>
    <row r="41361" s="69" customFormat="1" x14ac:dyDescent="0.15"/>
    <row r="41362" s="69" customFormat="1" x14ac:dyDescent="0.15"/>
    <row r="41363" s="69" customFormat="1" x14ac:dyDescent="0.15"/>
    <row r="41364" s="69" customFormat="1" x14ac:dyDescent="0.15"/>
    <row r="41365" s="69" customFormat="1" x14ac:dyDescent="0.15"/>
    <row r="41366" s="69" customFormat="1" x14ac:dyDescent="0.15"/>
    <row r="41367" s="69" customFormat="1" x14ac:dyDescent="0.15"/>
    <row r="41368" s="69" customFormat="1" x14ac:dyDescent="0.15"/>
    <row r="41369" s="69" customFormat="1" x14ac:dyDescent="0.15"/>
    <row r="41370" s="69" customFormat="1" x14ac:dyDescent="0.15"/>
    <row r="41371" s="69" customFormat="1" x14ac:dyDescent="0.15"/>
    <row r="41372" s="69" customFormat="1" x14ac:dyDescent="0.15"/>
    <row r="41373" s="69" customFormat="1" x14ac:dyDescent="0.15"/>
    <row r="41374" s="69" customFormat="1" x14ac:dyDescent="0.15"/>
    <row r="41375" s="69" customFormat="1" x14ac:dyDescent="0.15"/>
    <row r="41376" s="69" customFormat="1" x14ac:dyDescent="0.15"/>
    <row r="41377" s="69" customFormat="1" x14ac:dyDescent="0.15"/>
    <row r="41378" s="69" customFormat="1" x14ac:dyDescent="0.15"/>
    <row r="41379" s="69" customFormat="1" x14ac:dyDescent="0.15"/>
    <row r="41380" s="69" customFormat="1" x14ac:dyDescent="0.15"/>
    <row r="41381" s="69" customFormat="1" x14ac:dyDescent="0.15"/>
    <row r="41382" s="69" customFormat="1" x14ac:dyDescent="0.15"/>
    <row r="41383" s="69" customFormat="1" x14ac:dyDescent="0.15"/>
    <row r="41384" s="69" customFormat="1" x14ac:dyDescent="0.15"/>
    <row r="41385" s="69" customFormat="1" x14ac:dyDescent="0.15"/>
    <row r="41386" s="69" customFormat="1" x14ac:dyDescent="0.15"/>
    <row r="41387" s="69" customFormat="1" x14ac:dyDescent="0.15"/>
    <row r="41388" s="69" customFormat="1" x14ac:dyDescent="0.15"/>
    <row r="41389" s="69" customFormat="1" x14ac:dyDescent="0.15"/>
    <row r="41390" s="69" customFormat="1" x14ac:dyDescent="0.15"/>
    <row r="41391" s="69" customFormat="1" x14ac:dyDescent="0.15"/>
    <row r="41392" s="69" customFormat="1" x14ac:dyDescent="0.15"/>
    <row r="41393" s="69" customFormat="1" x14ac:dyDescent="0.15"/>
    <row r="41394" s="69" customFormat="1" x14ac:dyDescent="0.15"/>
    <row r="41395" s="69" customFormat="1" x14ac:dyDescent="0.15"/>
    <row r="41396" s="69" customFormat="1" x14ac:dyDescent="0.15"/>
    <row r="41397" s="69" customFormat="1" x14ac:dyDescent="0.15"/>
    <row r="41398" s="69" customFormat="1" x14ac:dyDescent="0.15"/>
    <row r="41399" s="69" customFormat="1" x14ac:dyDescent="0.15"/>
    <row r="41400" s="69" customFormat="1" x14ac:dyDescent="0.15"/>
    <row r="41401" s="69" customFormat="1" x14ac:dyDescent="0.15"/>
    <row r="41402" s="69" customFormat="1" x14ac:dyDescent="0.15"/>
    <row r="41403" s="69" customFormat="1" x14ac:dyDescent="0.15"/>
    <row r="41404" s="69" customFormat="1" x14ac:dyDescent="0.15"/>
    <row r="41405" s="69" customFormat="1" x14ac:dyDescent="0.15"/>
    <row r="41406" s="69" customFormat="1" x14ac:dyDescent="0.15"/>
    <row r="41407" s="69" customFormat="1" x14ac:dyDescent="0.15"/>
    <row r="41408" s="69" customFormat="1" x14ac:dyDescent="0.15"/>
    <row r="41409" s="69" customFormat="1" x14ac:dyDescent="0.15"/>
    <row r="41410" s="69" customFormat="1" x14ac:dyDescent="0.15"/>
    <row r="41411" s="69" customFormat="1" x14ac:dyDescent="0.15"/>
    <row r="41412" s="69" customFormat="1" x14ac:dyDescent="0.15"/>
    <row r="41413" s="69" customFormat="1" x14ac:dyDescent="0.15"/>
    <row r="41414" s="69" customFormat="1" x14ac:dyDescent="0.15"/>
    <row r="41415" s="69" customFormat="1" x14ac:dyDescent="0.15"/>
    <row r="41416" s="69" customFormat="1" x14ac:dyDescent="0.15"/>
    <row r="41417" s="69" customFormat="1" x14ac:dyDescent="0.15"/>
    <row r="41418" s="69" customFormat="1" x14ac:dyDescent="0.15"/>
    <row r="41419" s="69" customFormat="1" x14ac:dyDescent="0.15"/>
    <row r="41420" s="69" customFormat="1" x14ac:dyDescent="0.15"/>
    <row r="41421" s="69" customFormat="1" x14ac:dyDescent="0.15"/>
    <row r="41422" s="69" customFormat="1" x14ac:dyDescent="0.15"/>
    <row r="41423" s="69" customFormat="1" x14ac:dyDescent="0.15"/>
    <row r="41424" s="69" customFormat="1" x14ac:dyDescent="0.15"/>
    <row r="41425" s="69" customFormat="1" x14ac:dyDescent="0.15"/>
    <row r="41426" s="69" customFormat="1" x14ac:dyDescent="0.15"/>
    <row r="41427" s="69" customFormat="1" x14ac:dyDescent="0.15"/>
    <row r="41428" s="69" customFormat="1" x14ac:dyDescent="0.15"/>
    <row r="41429" s="69" customFormat="1" x14ac:dyDescent="0.15"/>
    <row r="41430" s="69" customFormat="1" x14ac:dyDescent="0.15"/>
    <row r="41431" s="69" customFormat="1" x14ac:dyDescent="0.15"/>
    <row r="41432" s="69" customFormat="1" x14ac:dyDescent="0.15"/>
    <row r="41433" s="69" customFormat="1" x14ac:dyDescent="0.15"/>
    <row r="41434" s="69" customFormat="1" x14ac:dyDescent="0.15"/>
    <row r="41435" s="69" customFormat="1" x14ac:dyDescent="0.15"/>
    <row r="41436" s="69" customFormat="1" x14ac:dyDescent="0.15"/>
    <row r="41437" s="69" customFormat="1" x14ac:dyDescent="0.15"/>
    <row r="41438" s="69" customFormat="1" x14ac:dyDescent="0.15"/>
    <row r="41439" s="69" customFormat="1" x14ac:dyDescent="0.15"/>
    <row r="41440" s="69" customFormat="1" x14ac:dyDescent="0.15"/>
    <row r="41441" s="69" customFormat="1" x14ac:dyDescent="0.15"/>
    <row r="41442" s="69" customFormat="1" x14ac:dyDescent="0.15"/>
    <row r="41443" s="69" customFormat="1" x14ac:dyDescent="0.15"/>
    <row r="41444" s="69" customFormat="1" x14ac:dyDescent="0.15"/>
    <row r="41445" s="69" customFormat="1" x14ac:dyDescent="0.15"/>
    <row r="41446" s="69" customFormat="1" x14ac:dyDescent="0.15"/>
    <row r="41447" s="69" customFormat="1" x14ac:dyDescent="0.15"/>
    <row r="41448" s="69" customFormat="1" x14ac:dyDescent="0.15"/>
    <row r="41449" s="69" customFormat="1" x14ac:dyDescent="0.15"/>
    <row r="41450" s="69" customFormat="1" x14ac:dyDescent="0.15"/>
    <row r="41451" s="69" customFormat="1" x14ac:dyDescent="0.15"/>
    <row r="41452" s="69" customFormat="1" x14ac:dyDescent="0.15"/>
    <row r="41453" s="69" customFormat="1" x14ac:dyDescent="0.15"/>
    <row r="41454" s="69" customFormat="1" x14ac:dyDescent="0.15"/>
    <row r="41455" s="69" customFormat="1" x14ac:dyDescent="0.15"/>
    <row r="41456" s="69" customFormat="1" x14ac:dyDescent="0.15"/>
    <row r="41457" s="69" customFormat="1" x14ac:dyDescent="0.15"/>
    <row r="41458" s="69" customFormat="1" x14ac:dyDescent="0.15"/>
    <row r="41459" s="69" customFormat="1" x14ac:dyDescent="0.15"/>
    <row r="41460" s="69" customFormat="1" x14ac:dyDescent="0.15"/>
    <row r="41461" s="69" customFormat="1" x14ac:dyDescent="0.15"/>
    <row r="41462" s="69" customFormat="1" x14ac:dyDescent="0.15"/>
    <row r="41463" s="69" customFormat="1" x14ac:dyDescent="0.15"/>
    <row r="41464" s="69" customFormat="1" x14ac:dyDescent="0.15"/>
    <row r="41465" s="69" customFormat="1" x14ac:dyDescent="0.15"/>
    <row r="41466" s="69" customFormat="1" x14ac:dyDescent="0.15"/>
    <row r="41467" s="69" customFormat="1" x14ac:dyDescent="0.15"/>
    <row r="41468" s="69" customFormat="1" x14ac:dyDescent="0.15"/>
    <row r="41469" s="69" customFormat="1" x14ac:dyDescent="0.15"/>
    <row r="41470" s="69" customFormat="1" x14ac:dyDescent="0.15"/>
    <row r="41471" s="69" customFormat="1" x14ac:dyDescent="0.15"/>
    <row r="41472" s="69" customFormat="1" x14ac:dyDescent="0.15"/>
    <row r="41473" s="69" customFormat="1" x14ac:dyDescent="0.15"/>
    <row r="41474" s="69" customFormat="1" x14ac:dyDescent="0.15"/>
    <row r="41475" s="69" customFormat="1" x14ac:dyDescent="0.15"/>
    <row r="41476" s="69" customFormat="1" x14ac:dyDescent="0.15"/>
    <row r="41477" s="69" customFormat="1" x14ac:dyDescent="0.15"/>
    <row r="41478" s="69" customFormat="1" x14ac:dyDescent="0.15"/>
    <row r="41479" s="69" customFormat="1" x14ac:dyDescent="0.15"/>
    <row r="41480" s="69" customFormat="1" x14ac:dyDescent="0.15"/>
    <row r="41481" s="69" customFormat="1" x14ac:dyDescent="0.15"/>
    <row r="41482" s="69" customFormat="1" x14ac:dyDescent="0.15"/>
    <row r="41483" s="69" customFormat="1" x14ac:dyDescent="0.15"/>
    <row r="41484" s="69" customFormat="1" x14ac:dyDescent="0.15"/>
    <row r="41485" s="69" customFormat="1" x14ac:dyDescent="0.15"/>
    <row r="41486" s="69" customFormat="1" x14ac:dyDescent="0.15"/>
    <row r="41487" s="69" customFormat="1" x14ac:dyDescent="0.15"/>
    <row r="41488" s="69" customFormat="1" x14ac:dyDescent="0.15"/>
    <row r="41489" s="69" customFormat="1" x14ac:dyDescent="0.15"/>
    <row r="41490" s="69" customFormat="1" x14ac:dyDescent="0.15"/>
    <row r="41491" s="69" customFormat="1" x14ac:dyDescent="0.15"/>
    <row r="41492" s="69" customFormat="1" x14ac:dyDescent="0.15"/>
    <row r="41493" s="69" customFormat="1" x14ac:dyDescent="0.15"/>
    <row r="41494" s="69" customFormat="1" x14ac:dyDescent="0.15"/>
    <row r="41495" s="69" customFormat="1" x14ac:dyDescent="0.15"/>
    <row r="41496" s="69" customFormat="1" x14ac:dyDescent="0.15"/>
    <row r="41497" s="69" customFormat="1" x14ac:dyDescent="0.15"/>
    <row r="41498" s="69" customFormat="1" x14ac:dyDescent="0.15"/>
    <row r="41499" s="69" customFormat="1" x14ac:dyDescent="0.15"/>
    <row r="41500" s="69" customFormat="1" x14ac:dyDescent="0.15"/>
    <row r="41501" s="69" customFormat="1" x14ac:dyDescent="0.15"/>
    <row r="41502" s="69" customFormat="1" x14ac:dyDescent="0.15"/>
    <row r="41503" s="69" customFormat="1" x14ac:dyDescent="0.15"/>
    <row r="41504" s="69" customFormat="1" x14ac:dyDescent="0.15"/>
    <row r="41505" s="69" customFormat="1" x14ac:dyDescent="0.15"/>
    <row r="41506" s="69" customFormat="1" x14ac:dyDescent="0.15"/>
    <row r="41507" s="69" customFormat="1" x14ac:dyDescent="0.15"/>
    <row r="41508" s="69" customFormat="1" x14ac:dyDescent="0.15"/>
    <row r="41509" s="69" customFormat="1" x14ac:dyDescent="0.15"/>
    <row r="41510" s="69" customFormat="1" x14ac:dyDescent="0.15"/>
    <row r="41511" s="69" customFormat="1" x14ac:dyDescent="0.15"/>
    <row r="41512" s="69" customFormat="1" x14ac:dyDescent="0.15"/>
    <row r="41513" s="69" customFormat="1" x14ac:dyDescent="0.15"/>
    <row r="41514" s="69" customFormat="1" x14ac:dyDescent="0.15"/>
    <row r="41515" s="69" customFormat="1" x14ac:dyDescent="0.15"/>
    <row r="41516" s="69" customFormat="1" x14ac:dyDescent="0.15"/>
    <row r="41517" s="69" customFormat="1" x14ac:dyDescent="0.15"/>
    <row r="41518" s="69" customFormat="1" x14ac:dyDescent="0.15"/>
    <row r="41519" s="69" customFormat="1" x14ac:dyDescent="0.15"/>
    <row r="41520" s="69" customFormat="1" x14ac:dyDescent="0.15"/>
    <row r="41521" s="69" customFormat="1" x14ac:dyDescent="0.15"/>
    <row r="41522" s="69" customFormat="1" x14ac:dyDescent="0.15"/>
    <row r="41523" s="69" customFormat="1" x14ac:dyDescent="0.15"/>
    <row r="41524" s="69" customFormat="1" x14ac:dyDescent="0.15"/>
    <row r="41525" s="69" customFormat="1" x14ac:dyDescent="0.15"/>
    <row r="41526" s="69" customFormat="1" x14ac:dyDescent="0.15"/>
    <row r="41527" s="69" customFormat="1" x14ac:dyDescent="0.15"/>
    <row r="41528" s="69" customFormat="1" x14ac:dyDescent="0.15"/>
    <row r="41529" s="69" customFormat="1" x14ac:dyDescent="0.15"/>
    <row r="41530" s="69" customFormat="1" x14ac:dyDescent="0.15"/>
    <row r="41531" s="69" customFormat="1" x14ac:dyDescent="0.15"/>
    <row r="41532" s="69" customFormat="1" x14ac:dyDescent="0.15"/>
    <row r="41533" s="69" customFormat="1" x14ac:dyDescent="0.15"/>
    <row r="41534" s="69" customFormat="1" x14ac:dyDescent="0.15"/>
    <row r="41535" s="69" customFormat="1" x14ac:dyDescent="0.15"/>
    <row r="41536" s="69" customFormat="1" x14ac:dyDescent="0.15"/>
    <row r="41537" s="69" customFormat="1" x14ac:dyDescent="0.15"/>
    <row r="41538" s="69" customFormat="1" x14ac:dyDescent="0.15"/>
    <row r="41539" s="69" customFormat="1" x14ac:dyDescent="0.15"/>
    <row r="41540" s="69" customFormat="1" x14ac:dyDescent="0.15"/>
    <row r="41541" s="69" customFormat="1" x14ac:dyDescent="0.15"/>
    <row r="41542" s="69" customFormat="1" x14ac:dyDescent="0.15"/>
    <row r="41543" s="69" customFormat="1" x14ac:dyDescent="0.15"/>
    <row r="41544" s="69" customFormat="1" x14ac:dyDescent="0.15"/>
    <row r="41545" s="69" customFormat="1" x14ac:dyDescent="0.15"/>
    <row r="41546" s="69" customFormat="1" x14ac:dyDescent="0.15"/>
    <row r="41547" s="69" customFormat="1" x14ac:dyDescent="0.15"/>
    <row r="41548" s="69" customFormat="1" x14ac:dyDescent="0.15"/>
    <row r="41549" s="69" customFormat="1" x14ac:dyDescent="0.15"/>
    <row r="41550" s="69" customFormat="1" x14ac:dyDescent="0.15"/>
    <row r="41551" s="69" customFormat="1" x14ac:dyDescent="0.15"/>
    <row r="41552" s="69" customFormat="1" x14ac:dyDescent="0.15"/>
    <row r="41553" s="69" customFormat="1" x14ac:dyDescent="0.15"/>
    <row r="41554" s="69" customFormat="1" x14ac:dyDescent="0.15"/>
    <row r="41555" s="69" customFormat="1" x14ac:dyDescent="0.15"/>
    <row r="41556" s="69" customFormat="1" x14ac:dyDescent="0.15"/>
    <row r="41557" s="69" customFormat="1" x14ac:dyDescent="0.15"/>
    <row r="41558" s="69" customFormat="1" x14ac:dyDescent="0.15"/>
    <row r="41559" s="69" customFormat="1" x14ac:dyDescent="0.15"/>
    <row r="41560" s="69" customFormat="1" x14ac:dyDescent="0.15"/>
    <row r="41561" s="69" customFormat="1" x14ac:dyDescent="0.15"/>
    <row r="41562" s="69" customFormat="1" x14ac:dyDescent="0.15"/>
    <row r="41563" s="69" customFormat="1" x14ac:dyDescent="0.15"/>
    <row r="41564" s="69" customFormat="1" x14ac:dyDescent="0.15"/>
    <row r="41565" s="69" customFormat="1" x14ac:dyDescent="0.15"/>
    <row r="41566" s="69" customFormat="1" x14ac:dyDescent="0.15"/>
    <row r="41567" s="69" customFormat="1" x14ac:dyDescent="0.15"/>
    <row r="41568" s="69" customFormat="1" x14ac:dyDescent="0.15"/>
    <row r="41569" s="69" customFormat="1" x14ac:dyDescent="0.15"/>
    <row r="41570" s="69" customFormat="1" x14ac:dyDescent="0.15"/>
    <row r="41571" s="69" customFormat="1" x14ac:dyDescent="0.15"/>
    <row r="41572" s="69" customFormat="1" x14ac:dyDescent="0.15"/>
    <row r="41573" s="69" customFormat="1" x14ac:dyDescent="0.15"/>
    <row r="41574" s="69" customFormat="1" x14ac:dyDescent="0.15"/>
    <row r="41575" s="69" customFormat="1" x14ac:dyDescent="0.15"/>
    <row r="41576" s="69" customFormat="1" x14ac:dyDescent="0.15"/>
    <row r="41577" s="69" customFormat="1" x14ac:dyDescent="0.15"/>
    <row r="41578" s="69" customFormat="1" x14ac:dyDescent="0.15"/>
    <row r="41579" s="69" customFormat="1" x14ac:dyDescent="0.15"/>
    <row r="41580" s="69" customFormat="1" x14ac:dyDescent="0.15"/>
    <row r="41581" s="69" customFormat="1" x14ac:dyDescent="0.15"/>
    <row r="41582" s="69" customFormat="1" x14ac:dyDescent="0.15"/>
    <row r="41583" s="69" customFormat="1" x14ac:dyDescent="0.15"/>
    <row r="41584" s="69" customFormat="1" x14ac:dyDescent="0.15"/>
    <row r="41585" s="69" customFormat="1" x14ac:dyDescent="0.15"/>
    <row r="41586" s="69" customFormat="1" x14ac:dyDescent="0.15"/>
    <row r="41587" s="69" customFormat="1" x14ac:dyDescent="0.15"/>
    <row r="41588" s="69" customFormat="1" x14ac:dyDescent="0.15"/>
    <row r="41589" s="69" customFormat="1" x14ac:dyDescent="0.15"/>
    <row r="41590" s="69" customFormat="1" x14ac:dyDescent="0.15"/>
    <row r="41591" s="69" customFormat="1" x14ac:dyDescent="0.15"/>
    <row r="41592" s="69" customFormat="1" x14ac:dyDescent="0.15"/>
    <row r="41593" s="69" customFormat="1" x14ac:dyDescent="0.15"/>
    <row r="41594" s="69" customFormat="1" x14ac:dyDescent="0.15"/>
    <row r="41595" s="69" customFormat="1" x14ac:dyDescent="0.15"/>
    <row r="41596" s="69" customFormat="1" x14ac:dyDescent="0.15"/>
    <row r="41597" s="69" customFormat="1" x14ac:dyDescent="0.15"/>
    <row r="41598" s="69" customFormat="1" x14ac:dyDescent="0.15"/>
    <row r="41599" s="69" customFormat="1" x14ac:dyDescent="0.15"/>
    <row r="41600" s="69" customFormat="1" x14ac:dyDescent="0.15"/>
    <row r="41601" s="69" customFormat="1" x14ac:dyDescent="0.15"/>
    <row r="41602" s="69" customFormat="1" x14ac:dyDescent="0.15"/>
    <row r="41603" s="69" customFormat="1" x14ac:dyDescent="0.15"/>
    <row r="41604" s="69" customFormat="1" x14ac:dyDescent="0.15"/>
    <row r="41605" s="69" customFormat="1" x14ac:dyDescent="0.15"/>
    <row r="41606" s="69" customFormat="1" x14ac:dyDescent="0.15"/>
    <row r="41607" s="69" customFormat="1" x14ac:dyDescent="0.15"/>
    <row r="41608" s="69" customFormat="1" x14ac:dyDescent="0.15"/>
    <row r="41609" s="69" customFormat="1" x14ac:dyDescent="0.15"/>
    <row r="41610" s="69" customFormat="1" x14ac:dyDescent="0.15"/>
    <row r="41611" s="69" customFormat="1" x14ac:dyDescent="0.15"/>
    <row r="41612" s="69" customFormat="1" x14ac:dyDescent="0.15"/>
    <row r="41613" s="69" customFormat="1" x14ac:dyDescent="0.15"/>
    <row r="41614" s="69" customFormat="1" x14ac:dyDescent="0.15"/>
    <row r="41615" s="69" customFormat="1" x14ac:dyDescent="0.15"/>
    <row r="41616" s="69" customFormat="1" x14ac:dyDescent="0.15"/>
    <row r="41617" s="69" customFormat="1" x14ac:dyDescent="0.15"/>
    <row r="41618" s="69" customFormat="1" x14ac:dyDescent="0.15"/>
    <row r="41619" s="69" customFormat="1" x14ac:dyDescent="0.15"/>
    <row r="41620" s="69" customFormat="1" x14ac:dyDescent="0.15"/>
    <row r="41621" s="69" customFormat="1" x14ac:dyDescent="0.15"/>
    <row r="41622" s="69" customFormat="1" x14ac:dyDescent="0.15"/>
    <row r="41623" s="69" customFormat="1" x14ac:dyDescent="0.15"/>
    <row r="41624" s="69" customFormat="1" x14ac:dyDescent="0.15"/>
    <row r="41625" s="69" customFormat="1" x14ac:dyDescent="0.15"/>
    <row r="41626" s="69" customFormat="1" x14ac:dyDescent="0.15"/>
    <row r="41627" s="69" customFormat="1" x14ac:dyDescent="0.15"/>
    <row r="41628" s="69" customFormat="1" x14ac:dyDescent="0.15"/>
    <row r="41629" s="69" customFormat="1" x14ac:dyDescent="0.15"/>
    <row r="41630" s="69" customFormat="1" x14ac:dyDescent="0.15"/>
    <row r="41631" s="69" customFormat="1" x14ac:dyDescent="0.15"/>
    <row r="41632" s="69" customFormat="1" x14ac:dyDescent="0.15"/>
    <row r="41633" s="69" customFormat="1" x14ac:dyDescent="0.15"/>
    <row r="41634" s="69" customFormat="1" x14ac:dyDescent="0.15"/>
    <row r="41635" s="69" customFormat="1" x14ac:dyDescent="0.15"/>
    <row r="41636" s="69" customFormat="1" x14ac:dyDescent="0.15"/>
    <row r="41637" s="69" customFormat="1" x14ac:dyDescent="0.15"/>
    <row r="41638" s="69" customFormat="1" x14ac:dyDescent="0.15"/>
    <row r="41639" s="69" customFormat="1" x14ac:dyDescent="0.15"/>
    <row r="41640" s="69" customFormat="1" x14ac:dyDescent="0.15"/>
    <row r="41641" s="69" customFormat="1" x14ac:dyDescent="0.15"/>
    <row r="41642" s="69" customFormat="1" x14ac:dyDescent="0.15"/>
    <row r="41643" s="69" customFormat="1" x14ac:dyDescent="0.15"/>
    <row r="41644" s="69" customFormat="1" x14ac:dyDescent="0.15"/>
    <row r="41645" s="69" customFormat="1" x14ac:dyDescent="0.15"/>
    <row r="41646" s="69" customFormat="1" x14ac:dyDescent="0.15"/>
    <row r="41647" s="69" customFormat="1" x14ac:dyDescent="0.15"/>
    <row r="41648" s="69" customFormat="1" x14ac:dyDescent="0.15"/>
    <row r="41649" s="69" customFormat="1" x14ac:dyDescent="0.15"/>
    <row r="41650" s="69" customFormat="1" x14ac:dyDescent="0.15"/>
    <row r="41651" s="69" customFormat="1" x14ac:dyDescent="0.15"/>
    <row r="41652" s="69" customFormat="1" x14ac:dyDescent="0.15"/>
    <row r="41653" s="69" customFormat="1" x14ac:dyDescent="0.15"/>
    <row r="41654" s="69" customFormat="1" x14ac:dyDescent="0.15"/>
    <row r="41655" s="69" customFormat="1" x14ac:dyDescent="0.15"/>
    <row r="41656" s="69" customFormat="1" x14ac:dyDescent="0.15"/>
    <row r="41657" s="69" customFormat="1" x14ac:dyDescent="0.15"/>
    <row r="41658" s="69" customFormat="1" x14ac:dyDescent="0.15"/>
    <row r="41659" s="69" customFormat="1" x14ac:dyDescent="0.15"/>
    <row r="41660" s="69" customFormat="1" x14ac:dyDescent="0.15"/>
    <row r="41661" s="69" customFormat="1" x14ac:dyDescent="0.15"/>
    <row r="41662" s="69" customFormat="1" x14ac:dyDescent="0.15"/>
    <row r="41663" s="69" customFormat="1" x14ac:dyDescent="0.15"/>
    <row r="41664" s="69" customFormat="1" x14ac:dyDescent="0.15"/>
    <row r="41665" s="69" customFormat="1" x14ac:dyDescent="0.15"/>
    <row r="41666" s="69" customFormat="1" x14ac:dyDescent="0.15"/>
    <row r="41667" s="69" customFormat="1" x14ac:dyDescent="0.15"/>
    <row r="41668" s="69" customFormat="1" x14ac:dyDescent="0.15"/>
    <row r="41669" s="69" customFormat="1" x14ac:dyDescent="0.15"/>
    <row r="41670" s="69" customFormat="1" x14ac:dyDescent="0.15"/>
    <row r="41671" s="69" customFormat="1" x14ac:dyDescent="0.15"/>
    <row r="41672" s="69" customFormat="1" x14ac:dyDescent="0.15"/>
    <row r="41673" s="69" customFormat="1" x14ac:dyDescent="0.15"/>
    <row r="41674" s="69" customFormat="1" x14ac:dyDescent="0.15"/>
    <row r="41675" s="69" customFormat="1" x14ac:dyDescent="0.15"/>
    <row r="41676" s="69" customFormat="1" x14ac:dyDescent="0.15"/>
    <row r="41677" s="69" customFormat="1" x14ac:dyDescent="0.15"/>
    <row r="41678" s="69" customFormat="1" x14ac:dyDescent="0.15"/>
    <row r="41679" s="69" customFormat="1" x14ac:dyDescent="0.15"/>
    <row r="41680" s="69" customFormat="1" x14ac:dyDescent="0.15"/>
    <row r="41681" s="69" customFormat="1" x14ac:dyDescent="0.15"/>
    <row r="41682" s="69" customFormat="1" x14ac:dyDescent="0.15"/>
    <row r="41683" s="69" customFormat="1" x14ac:dyDescent="0.15"/>
    <row r="41684" s="69" customFormat="1" x14ac:dyDescent="0.15"/>
    <row r="41685" s="69" customFormat="1" x14ac:dyDescent="0.15"/>
    <row r="41686" s="69" customFormat="1" x14ac:dyDescent="0.15"/>
    <row r="41687" s="69" customFormat="1" x14ac:dyDescent="0.15"/>
    <row r="41688" s="69" customFormat="1" x14ac:dyDescent="0.15"/>
    <row r="41689" s="69" customFormat="1" x14ac:dyDescent="0.15"/>
    <row r="41690" s="69" customFormat="1" x14ac:dyDescent="0.15"/>
    <row r="41691" s="69" customFormat="1" x14ac:dyDescent="0.15"/>
    <row r="41692" s="69" customFormat="1" x14ac:dyDescent="0.15"/>
    <row r="41693" s="69" customFormat="1" x14ac:dyDescent="0.15"/>
    <row r="41694" s="69" customFormat="1" x14ac:dyDescent="0.15"/>
    <row r="41695" s="69" customFormat="1" x14ac:dyDescent="0.15"/>
    <row r="41696" s="69" customFormat="1" x14ac:dyDescent="0.15"/>
    <row r="41697" s="69" customFormat="1" x14ac:dyDescent="0.15"/>
    <row r="41698" s="69" customFormat="1" x14ac:dyDescent="0.15"/>
    <row r="41699" s="69" customFormat="1" x14ac:dyDescent="0.15"/>
    <row r="41700" s="69" customFormat="1" x14ac:dyDescent="0.15"/>
    <row r="41701" s="69" customFormat="1" x14ac:dyDescent="0.15"/>
    <row r="41702" s="69" customFormat="1" x14ac:dyDescent="0.15"/>
    <row r="41703" s="69" customFormat="1" x14ac:dyDescent="0.15"/>
    <row r="41704" s="69" customFormat="1" x14ac:dyDescent="0.15"/>
    <row r="41705" s="69" customFormat="1" x14ac:dyDescent="0.15"/>
    <row r="41706" s="69" customFormat="1" x14ac:dyDescent="0.15"/>
    <row r="41707" s="69" customFormat="1" x14ac:dyDescent="0.15"/>
    <row r="41708" s="69" customFormat="1" x14ac:dyDescent="0.15"/>
    <row r="41709" s="69" customFormat="1" x14ac:dyDescent="0.15"/>
    <row r="41710" s="69" customFormat="1" x14ac:dyDescent="0.15"/>
    <row r="41711" s="69" customFormat="1" x14ac:dyDescent="0.15"/>
    <row r="41712" s="69" customFormat="1" x14ac:dyDescent="0.15"/>
    <row r="41713" s="69" customFormat="1" x14ac:dyDescent="0.15"/>
    <row r="41714" s="69" customFormat="1" x14ac:dyDescent="0.15"/>
    <row r="41715" s="69" customFormat="1" x14ac:dyDescent="0.15"/>
    <row r="41716" s="69" customFormat="1" x14ac:dyDescent="0.15"/>
    <row r="41717" s="69" customFormat="1" x14ac:dyDescent="0.15"/>
    <row r="41718" s="69" customFormat="1" x14ac:dyDescent="0.15"/>
    <row r="41719" s="69" customFormat="1" x14ac:dyDescent="0.15"/>
    <row r="41720" s="69" customFormat="1" x14ac:dyDescent="0.15"/>
    <row r="41721" s="69" customFormat="1" x14ac:dyDescent="0.15"/>
    <row r="41722" s="69" customFormat="1" x14ac:dyDescent="0.15"/>
    <row r="41723" s="69" customFormat="1" x14ac:dyDescent="0.15"/>
    <row r="41724" s="69" customFormat="1" x14ac:dyDescent="0.15"/>
    <row r="41725" s="69" customFormat="1" x14ac:dyDescent="0.15"/>
    <row r="41726" s="69" customFormat="1" x14ac:dyDescent="0.15"/>
    <row r="41727" s="69" customFormat="1" x14ac:dyDescent="0.15"/>
    <row r="41728" s="69" customFormat="1" x14ac:dyDescent="0.15"/>
    <row r="41729" s="69" customFormat="1" x14ac:dyDescent="0.15"/>
    <row r="41730" s="69" customFormat="1" x14ac:dyDescent="0.15"/>
    <row r="41731" s="69" customFormat="1" x14ac:dyDescent="0.15"/>
    <row r="41732" s="69" customFormat="1" x14ac:dyDescent="0.15"/>
    <row r="41733" s="69" customFormat="1" x14ac:dyDescent="0.15"/>
    <row r="41734" s="69" customFormat="1" x14ac:dyDescent="0.15"/>
    <row r="41735" s="69" customFormat="1" x14ac:dyDescent="0.15"/>
    <row r="41736" s="69" customFormat="1" x14ac:dyDescent="0.15"/>
    <row r="41737" s="69" customFormat="1" x14ac:dyDescent="0.15"/>
    <row r="41738" s="69" customFormat="1" x14ac:dyDescent="0.15"/>
    <row r="41739" s="69" customFormat="1" x14ac:dyDescent="0.15"/>
    <row r="41740" s="69" customFormat="1" x14ac:dyDescent="0.15"/>
    <row r="41741" s="69" customFormat="1" x14ac:dyDescent="0.15"/>
    <row r="41742" s="69" customFormat="1" x14ac:dyDescent="0.15"/>
    <row r="41743" s="69" customFormat="1" x14ac:dyDescent="0.15"/>
    <row r="41744" s="69" customFormat="1" x14ac:dyDescent="0.15"/>
    <row r="41745" s="69" customFormat="1" x14ac:dyDescent="0.15"/>
    <row r="41746" s="69" customFormat="1" x14ac:dyDescent="0.15"/>
    <row r="41747" s="69" customFormat="1" x14ac:dyDescent="0.15"/>
    <row r="41748" s="69" customFormat="1" x14ac:dyDescent="0.15"/>
    <row r="41749" s="69" customFormat="1" x14ac:dyDescent="0.15"/>
    <row r="41750" s="69" customFormat="1" x14ac:dyDescent="0.15"/>
    <row r="41751" s="69" customFormat="1" x14ac:dyDescent="0.15"/>
    <row r="41752" s="69" customFormat="1" x14ac:dyDescent="0.15"/>
    <row r="41753" s="69" customFormat="1" x14ac:dyDescent="0.15"/>
    <row r="41754" s="69" customFormat="1" x14ac:dyDescent="0.15"/>
    <row r="41755" s="69" customFormat="1" x14ac:dyDescent="0.15"/>
    <row r="41756" s="69" customFormat="1" x14ac:dyDescent="0.15"/>
    <row r="41757" s="69" customFormat="1" x14ac:dyDescent="0.15"/>
    <row r="41758" s="69" customFormat="1" x14ac:dyDescent="0.15"/>
    <row r="41759" s="69" customFormat="1" x14ac:dyDescent="0.15"/>
    <row r="41760" s="69" customFormat="1" x14ac:dyDescent="0.15"/>
    <row r="41761" s="69" customFormat="1" x14ac:dyDescent="0.15"/>
    <row r="41762" s="69" customFormat="1" x14ac:dyDescent="0.15"/>
    <row r="41763" s="69" customFormat="1" x14ac:dyDescent="0.15"/>
    <row r="41764" s="69" customFormat="1" x14ac:dyDescent="0.15"/>
    <row r="41765" s="69" customFormat="1" x14ac:dyDescent="0.15"/>
    <row r="41766" s="69" customFormat="1" x14ac:dyDescent="0.15"/>
    <row r="41767" s="69" customFormat="1" x14ac:dyDescent="0.15"/>
    <row r="41768" s="69" customFormat="1" x14ac:dyDescent="0.15"/>
    <row r="41769" s="69" customFormat="1" x14ac:dyDescent="0.15"/>
    <row r="41770" s="69" customFormat="1" x14ac:dyDescent="0.15"/>
    <row r="41771" s="69" customFormat="1" x14ac:dyDescent="0.15"/>
    <row r="41772" s="69" customFormat="1" x14ac:dyDescent="0.15"/>
    <row r="41773" s="69" customFormat="1" x14ac:dyDescent="0.15"/>
    <row r="41774" s="69" customFormat="1" x14ac:dyDescent="0.15"/>
    <row r="41775" s="69" customFormat="1" x14ac:dyDescent="0.15"/>
    <row r="41776" s="69" customFormat="1" x14ac:dyDescent="0.15"/>
    <row r="41777" s="69" customFormat="1" x14ac:dyDescent="0.15"/>
    <row r="41778" s="69" customFormat="1" x14ac:dyDescent="0.15"/>
    <row r="41779" s="69" customFormat="1" x14ac:dyDescent="0.15"/>
    <row r="41780" s="69" customFormat="1" x14ac:dyDescent="0.15"/>
    <row r="41781" s="69" customFormat="1" x14ac:dyDescent="0.15"/>
    <row r="41782" s="69" customFormat="1" x14ac:dyDescent="0.15"/>
    <row r="41783" s="69" customFormat="1" x14ac:dyDescent="0.15"/>
    <row r="41784" s="69" customFormat="1" x14ac:dyDescent="0.15"/>
    <row r="41785" s="69" customFormat="1" x14ac:dyDescent="0.15"/>
    <row r="41786" s="69" customFormat="1" x14ac:dyDescent="0.15"/>
    <row r="41787" s="69" customFormat="1" x14ac:dyDescent="0.15"/>
    <row r="41788" s="69" customFormat="1" x14ac:dyDescent="0.15"/>
    <row r="41789" s="69" customFormat="1" x14ac:dyDescent="0.15"/>
    <row r="41790" s="69" customFormat="1" x14ac:dyDescent="0.15"/>
    <row r="41791" s="69" customFormat="1" x14ac:dyDescent="0.15"/>
    <row r="41792" s="69" customFormat="1" x14ac:dyDescent="0.15"/>
    <row r="41793" s="69" customFormat="1" x14ac:dyDescent="0.15"/>
    <row r="41794" s="69" customFormat="1" x14ac:dyDescent="0.15"/>
    <row r="41795" s="69" customFormat="1" x14ac:dyDescent="0.15"/>
    <row r="41796" s="69" customFormat="1" x14ac:dyDescent="0.15"/>
    <row r="41797" s="69" customFormat="1" x14ac:dyDescent="0.15"/>
    <row r="41798" s="69" customFormat="1" x14ac:dyDescent="0.15"/>
    <row r="41799" s="69" customFormat="1" x14ac:dyDescent="0.15"/>
    <row r="41800" s="69" customFormat="1" x14ac:dyDescent="0.15"/>
    <row r="41801" s="69" customFormat="1" x14ac:dyDescent="0.15"/>
    <row r="41802" s="69" customFormat="1" x14ac:dyDescent="0.15"/>
    <row r="41803" s="69" customFormat="1" x14ac:dyDescent="0.15"/>
    <row r="41804" s="69" customFormat="1" x14ac:dyDescent="0.15"/>
    <row r="41805" s="69" customFormat="1" x14ac:dyDescent="0.15"/>
    <row r="41806" s="69" customFormat="1" x14ac:dyDescent="0.15"/>
    <row r="41807" s="69" customFormat="1" x14ac:dyDescent="0.15"/>
    <row r="41808" s="69" customFormat="1" x14ac:dyDescent="0.15"/>
    <row r="41809" s="69" customFormat="1" x14ac:dyDescent="0.15"/>
    <row r="41810" s="69" customFormat="1" x14ac:dyDescent="0.15"/>
    <row r="41811" s="69" customFormat="1" x14ac:dyDescent="0.15"/>
    <row r="41812" s="69" customFormat="1" x14ac:dyDescent="0.15"/>
    <row r="41813" s="69" customFormat="1" x14ac:dyDescent="0.15"/>
    <row r="41814" s="69" customFormat="1" x14ac:dyDescent="0.15"/>
    <row r="41815" s="69" customFormat="1" x14ac:dyDescent="0.15"/>
    <row r="41816" s="69" customFormat="1" x14ac:dyDescent="0.15"/>
    <row r="41817" s="69" customFormat="1" x14ac:dyDescent="0.15"/>
    <row r="41818" s="69" customFormat="1" x14ac:dyDescent="0.15"/>
    <row r="41819" s="69" customFormat="1" x14ac:dyDescent="0.15"/>
    <row r="41820" s="69" customFormat="1" x14ac:dyDescent="0.15"/>
    <row r="41821" s="69" customFormat="1" x14ac:dyDescent="0.15"/>
    <row r="41822" s="69" customFormat="1" x14ac:dyDescent="0.15"/>
    <row r="41823" s="69" customFormat="1" x14ac:dyDescent="0.15"/>
    <row r="41824" s="69" customFormat="1" x14ac:dyDescent="0.15"/>
    <row r="41825" s="69" customFormat="1" x14ac:dyDescent="0.15"/>
    <row r="41826" s="69" customFormat="1" x14ac:dyDescent="0.15"/>
    <row r="41827" s="69" customFormat="1" x14ac:dyDescent="0.15"/>
    <row r="41828" s="69" customFormat="1" x14ac:dyDescent="0.15"/>
    <row r="41829" s="69" customFormat="1" x14ac:dyDescent="0.15"/>
    <row r="41830" s="69" customFormat="1" x14ac:dyDescent="0.15"/>
    <row r="41831" s="69" customFormat="1" x14ac:dyDescent="0.15"/>
    <row r="41832" s="69" customFormat="1" x14ac:dyDescent="0.15"/>
    <row r="41833" s="69" customFormat="1" x14ac:dyDescent="0.15"/>
    <row r="41834" s="69" customFormat="1" x14ac:dyDescent="0.15"/>
    <row r="41835" s="69" customFormat="1" x14ac:dyDescent="0.15"/>
    <row r="41836" s="69" customFormat="1" x14ac:dyDescent="0.15"/>
    <row r="41837" s="69" customFormat="1" x14ac:dyDescent="0.15"/>
    <row r="41838" s="69" customFormat="1" x14ac:dyDescent="0.15"/>
    <row r="41839" s="69" customFormat="1" x14ac:dyDescent="0.15"/>
    <row r="41840" s="69" customFormat="1" x14ac:dyDescent="0.15"/>
    <row r="41841" s="69" customFormat="1" x14ac:dyDescent="0.15"/>
    <row r="41842" s="69" customFormat="1" x14ac:dyDescent="0.15"/>
    <row r="41843" s="69" customFormat="1" x14ac:dyDescent="0.15"/>
    <row r="41844" s="69" customFormat="1" x14ac:dyDescent="0.15"/>
    <row r="41845" s="69" customFormat="1" x14ac:dyDescent="0.15"/>
    <row r="41846" s="69" customFormat="1" x14ac:dyDescent="0.15"/>
    <row r="41847" s="69" customFormat="1" x14ac:dyDescent="0.15"/>
    <row r="41848" s="69" customFormat="1" x14ac:dyDescent="0.15"/>
    <row r="41849" s="69" customFormat="1" x14ac:dyDescent="0.15"/>
    <row r="41850" s="69" customFormat="1" x14ac:dyDescent="0.15"/>
    <row r="41851" s="69" customFormat="1" x14ac:dyDescent="0.15"/>
    <row r="41852" s="69" customFormat="1" x14ac:dyDescent="0.15"/>
    <row r="41853" s="69" customFormat="1" x14ac:dyDescent="0.15"/>
    <row r="41854" s="69" customFormat="1" x14ac:dyDescent="0.15"/>
    <row r="41855" s="69" customFormat="1" x14ac:dyDescent="0.15"/>
    <row r="41856" s="69" customFormat="1" x14ac:dyDescent="0.15"/>
    <row r="41857" s="69" customFormat="1" x14ac:dyDescent="0.15"/>
    <row r="41858" s="69" customFormat="1" x14ac:dyDescent="0.15"/>
    <row r="41859" s="69" customFormat="1" x14ac:dyDescent="0.15"/>
    <row r="41860" s="69" customFormat="1" x14ac:dyDescent="0.15"/>
    <row r="41861" s="69" customFormat="1" x14ac:dyDescent="0.15"/>
    <row r="41862" s="69" customFormat="1" x14ac:dyDescent="0.15"/>
    <row r="41863" s="69" customFormat="1" x14ac:dyDescent="0.15"/>
    <row r="41864" s="69" customFormat="1" x14ac:dyDescent="0.15"/>
    <row r="41865" s="69" customFormat="1" x14ac:dyDescent="0.15"/>
    <row r="41866" s="69" customFormat="1" x14ac:dyDescent="0.15"/>
    <row r="41867" s="69" customFormat="1" x14ac:dyDescent="0.15"/>
    <row r="41868" s="69" customFormat="1" x14ac:dyDescent="0.15"/>
    <row r="41869" s="69" customFormat="1" x14ac:dyDescent="0.15"/>
    <row r="41870" s="69" customFormat="1" x14ac:dyDescent="0.15"/>
    <row r="41871" s="69" customFormat="1" x14ac:dyDescent="0.15"/>
    <row r="41872" s="69" customFormat="1" x14ac:dyDescent="0.15"/>
    <row r="41873" s="69" customFormat="1" x14ac:dyDescent="0.15"/>
    <row r="41874" s="69" customFormat="1" x14ac:dyDescent="0.15"/>
    <row r="41875" s="69" customFormat="1" x14ac:dyDescent="0.15"/>
    <row r="41876" s="69" customFormat="1" x14ac:dyDescent="0.15"/>
    <row r="41877" s="69" customFormat="1" x14ac:dyDescent="0.15"/>
    <row r="41878" s="69" customFormat="1" x14ac:dyDescent="0.15"/>
    <row r="41879" s="69" customFormat="1" x14ac:dyDescent="0.15"/>
    <row r="41880" s="69" customFormat="1" x14ac:dyDescent="0.15"/>
    <row r="41881" s="69" customFormat="1" x14ac:dyDescent="0.15"/>
    <row r="41882" s="69" customFormat="1" x14ac:dyDescent="0.15"/>
    <row r="41883" s="69" customFormat="1" x14ac:dyDescent="0.15"/>
    <row r="41884" s="69" customFormat="1" x14ac:dyDescent="0.15"/>
    <row r="41885" s="69" customFormat="1" x14ac:dyDescent="0.15"/>
    <row r="41886" s="69" customFormat="1" x14ac:dyDescent="0.15"/>
    <row r="41887" s="69" customFormat="1" x14ac:dyDescent="0.15"/>
    <row r="41888" s="69" customFormat="1" x14ac:dyDescent="0.15"/>
    <row r="41889" s="69" customFormat="1" x14ac:dyDescent="0.15"/>
    <row r="41890" s="69" customFormat="1" x14ac:dyDescent="0.15"/>
    <row r="41891" s="69" customFormat="1" x14ac:dyDescent="0.15"/>
    <row r="41892" s="69" customFormat="1" x14ac:dyDescent="0.15"/>
    <row r="41893" s="69" customFormat="1" x14ac:dyDescent="0.15"/>
    <row r="41894" s="69" customFormat="1" x14ac:dyDescent="0.15"/>
    <row r="41895" s="69" customFormat="1" x14ac:dyDescent="0.15"/>
    <row r="41896" s="69" customFormat="1" x14ac:dyDescent="0.15"/>
    <row r="41897" s="69" customFormat="1" x14ac:dyDescent="0.15"/>
    <row r="41898" s="69" customFormat="1" x14ac:dyDescent="0.15"/>
    <row r="41899" s="69" customFormat="1" x14ac:dyDescent="0.15"/>
    <row r="41900" s="69" customFormat="1" x14ac:dyDescent="0.15"/>
    <row r="41901" s="69" customFormat="1" x14ac:dyDescent="0.15"/>
    <row r="41902" s="69" customFormat="1" x14ac:dyDescent="0.15"/>
    <row r="41903" s="69" customFormat="1" x14ac:dyDescent="0.15"/>
    <row r="41904" s="69" customFormat="1" x14ac:dyDescent="0.15"/>
    <row r="41905" s="69" customFormat="1" x14ac:dyDescent="0.15"/>
    <row r="41906" s="69" customFormat="1" x14ac:dyDescent="0.15"/>
    <row r="41907" s="69" customFormat="1" x14ac:dyDescent="0.15"/>
    <row r="41908" s="69" customFormat="1" x14ac:dyDescent="0.15"/>
    <row r="41909" s="69" customFormat="1" x14ac:dyDescent="0.15"/>
    <row r="41910" s="69" customFormat="1" x14ac:dyDescent="0.15"/>
    <row r="41911" s="69" customFormat="1" x14ac:dyDescent="0.15"/>
    <row r="41912" s="69" customFormat="1" x14ac:dyDescent="0.15"/>
    <row r="41913" s="69" customFormat="1" x14ac:dyDescent="0.15"/>
    <row r="41914" s="69" customFormat="1" x14ac:dyDescent="0.15"/>
    <row r="41915" s="69" customFormat="1" x14ac:dyDescent="0.15"/>
    <row r="41916" s="69" customFormat="1" x14ac:dyDescent="0.15"/>
    <row r="41917" s="69" customFormat="1" x14ac:dyDescent="0.15"/>
    <row r="41918" s="69" customFormat="1" x14ac:dyDescent="0.15"/>
    <row r="41919" s="69" customFormat="1" x14ac:dyDescent="0.15"/>
    <row r="41920" s="69" customFormat="1" x14ac:dyDescent="0.15"/>
    <row r="41921" s="69" customFormat="1" x14ac:dyDescent="0.15"/>
    <row r="41922" s="69" customFormat="1" x14ac:dyDescent="0.15"/>
    <row r="41923" s="69" customFormat="1" x14ac:dyDescent="0.15"/>
    <row r="41924" s="69" customFormat="1" x14ac:dyDescent="0.15"/>
    <row r="41925" s="69" customFormat="1" x14ac:dyDescent="0.15"/>
    <row r="41926" s="69" customFormat="1" x14ac:dyDescent="0.15"/>
    <row r="41927" s="69" customFormat="1" x14ac:dyDescent="0.15"/>
    <row r="41928" s="69" customFormat="1" x14ac:dyDescent="0.15"/>
    <row r="41929" s="69" customFormat="1" x14ac:dyDescent="0.15"/>
    <row r="41930" s="69" customFormat="1" x14ac:dyDescent="0.15"/>
    <row r="41931" s="69" customFormat="1" x14ac:dyDescent="0.15"/>
    <row r="41932" s="69" customFormat="1" x14ac:dyDescent="0.15"/>
    <row r="41933" s="69" customFormat="1" x14ac:dyDescent="0.15"/>
    <row r="41934" s="69" customFormat="1" x14ac:dyDescent="0.15"/>
    <row r="41935" s="69" customFormat="1" x14ac:dyDescent="0.15"/>
    <row r="41936" s="69" customFormat="1" x14ac:dyDescent="0.15"/>
    <row r="41937" s="69" customFormat="1" x14ac:dyDescent="0.15"/>
    <row r="41938" s="69" customFormat="1" x14ac:dyDescent="0.15"/>
    <row r="41939" s="69" customFormat="1" x14ac:dyDescent="0.15"/>
    <row r="41940" s="69" customFormat="1" x14ac:dyDescent="0.15"/>
    <row r="41941" s="69" customFormat="1" x14ac:dyDescent="0.15"/>
    <row r="41942" s="69" customFormat="1" x14ac:dyDescent="0.15"/>
    <row r="41943" s="69" customFormat="1" x14ac:dyDescent="0.15"/>
    <row r="41944" s="69" customFormat="1" x14ac:dyDescent="0.15"/>
    <row r="41945" s="69" customFormat="1" x14ac:dyDescent="0.15"/>
    <row r="41946" s="69" customFormat="1" x14ac:dyDescent="0.15"/>
    <row r="41947" s="69" customFormat="1" x14ac:dyDescent="0.15"/>
    <row r="41948" s="69" customFormat="1" x14ac:dyDescent="0.15"/>
    <row r="41949" s="69" customFormat="1" x14ac:dyDescent="0.15"/>
    <row r="41950" s="69" customFormat="1" x14ac:dyDescent="0.15"/>
    <row r="41951" s="69" customFormat="1" x14ac:dyDescent="0.15"/>
    <row r="41952" s="69" customFormat="1" x14ac:dyDescent="0.15"/>
    <row r="41953" s="69" customFormat="1" x14ac:dyDescent="0.15"/>
    <row r="41954" s="69" customFormat="1" x14ac:dyDescent="0.15"/>
    <row r="41955" s="69" customFormat="1" x14ac:dyDescent="0.15"/>
    <row r="41956" s="69" customFormat="1" x14ac:dyDescent="0.15"/>
    <row r="41957" s="69" customFormat="1" x14ac:dyDescent="0.15"/>
    <row r="41958" s="69" customFormat="1" x14ac:dyDescent="0.15"/>
    <row r="41959" s="69" customFormat="1" x14ac:dyDescent="0.15"/>
    <row r="41960" s="69" customFormat="1" x14ac:dyDescent="0.15"/>
    <row r="41961" s="69" customFormat="1" x14ac:dyDescent="0.15"/>
    <row r="41962" s="69" customFormat="1" x14ac:dyDescent="0.15"/>
    <row r="41963" s="69" customFormat="1" x14ac:dyDescent="0.15"/>
    <row r="41964" s="69" customFormat="1" x14ac:dyDescent="0.15"/>
    <row r="41965" s="69" customFormat="1" x14ac:dyDescent="0.15"/>
    <row r="41966" s="69" customFormat="1" x14ac:dyDescent="0.15"/>
    <row r="41967" s="69" customFormat="1" x14ac:dyDescent="0.15"/>
    <row r="41968" s="69" customFormat="1" x14ac:dyDescent="0.15"/>
    <row r="41969" s="69" customFormat="1" x14ac:dyDescent="0.15"/>
    <row r="41970" s="69" customFormat="1" x14ac:dyDescent="0.15"/>
    <row r="41971" s="69" customFormat="1" x14ac:dyDescent="0.15"/>
    <row r="41972" s="69" customFormat="1" x14ac:dyDescent="0.15"/>
    <row r="41973" s="69" customFormat="1" x14ac:dyDescent="0.15"/>
    <row r="41974" s="69" customFormat="1" x14ac:dyDescent="0.15"/>
    <row r="41975" s="69" customFormat="1" x14ac:dyDescent="0.15"/>
    <row r="41976" s="69" customFormat="1" x14ac:dyDescent="0.15"/>
    <row r="41977" s="69" customFormat="1" x14ac:dyDescent="0.15"/>
    <row r="41978" s="69" customFormat="1" x14ac:dyDescent="0.15"/>
    <row r="41979" s="69" customFormat="1" x14ac:dyDescent="0.15"/>
    <row r="41980" s="69" customFormat="1" x14ac:dyDescent="0.15"/>
    <row r="41981" s="69" customFormat="1" x14ac:dyDescent="0.15"/>
    <row r="41982" s="69" customFormat="1" x14ac:dyDescent="0.15"/>
    <row r="41983" s="69" customFormat="1" x14ac:dyDescent="0.15"/>
    <row r="41984" s="69" customFormat="1" x14ac:dyDescent="0.15"/>
    <row r="41985" s="69" customFormat="1" x14ac:dyDescent="0.15"/>
    <row r="41986" s="69" customFormat="1" x14ac:dyDescent="0.15"/>
    <row r="41987" s="69" customFormat="1" x14ac:dyDescent="0.15"/>
    <row r="41988" s="69" customFormat="1" x14ac:dyDescent="0.15"/>
    <row r="41989" s="69" customFormat="1" x14ac:dyDescent="0.15"/>
    <row r="41990" s="69" customFormat="1" x14ac:dyDescent="0.15"/>
    <row r="41991" s="69" customFormat="1" x14ac:dyDescent="0.15"/>
    <row r="41992" s="69" customFormat="1" x14ac:dyDescent="0.15"/>
    <row r="41993" s="69" customFormat="1" x14ac:dyDescent="0.15"/>
    <row r="41994" s="69" customFormat="1" x14ac:dyDescent="0.15"/>
    <row r="41995" s="69" customFormat="1" x14ac:dyDescent="0.15"/>
    <row r="41996" s="69" customFormat="1" x14ac:dyDescent="0.15"/>
    <row r="41997" s="69" customFormat="1" x14ac:dyDescent="0.15"/>
    <row r="41998" s="69" customFormat="1" x14ac:dyDescent="0.15"/>
    <row r="41999" s="69" customFormat="1" x14ac:dyDescent="0.15"/>
    <row r="42000" s="69" customFormat="1" x14ac:dyDescent="0.15"/>
    <row r="42001" s="69" customFormat="1" x14ac:dyDescent="0.15"/>
    <row r="42002" s="69" customFormat="1" x14ac:dyDescent="0.15"/>
    <row r="42003" s="69" customFormat="1" x14ac:dyDescent="0.15"/>
    <row r="42004" s="69" customFormat="1" x14ac:dyDescent="0.15"/>
    <row r="42005" s="69" customFormat="1" x14ac:dyDescent="0.15"/>
    <row r="42006" s="69" customFormat="1" x14ac:dyDescent="0.15"/>
    <row r="42007" s="69" customFormat="1" x14ac:dyDescent="0.15"/>
    <row r="42008" s="69" customFormat="1" x14ac:dyDescent="0.15"/>
    <row r="42009" s="69" customFormat="1" x14ac:dyDescent="0.15"/>
    <row r="42010" s="69" customFormat="1" x14ac:dyDescent="0.15"/>
    <row r="42011" s="69" customFormat="1" x14ac:dyDescent="0.15"/>
    <row r="42012" s="69" customFormat="1" x14ac:dyDescent="0.15"/>
    <row r="42013" s="69" customFormat="1" x14ac:dyDescent="0.15"/>
    <row r="42014" s="69" customFormat="1" x14ac:dyDescent="0.15"/>
    <row r="42015" s="69" customFormat="1" x14ac:dyDescent="0.15"/>
    <row r="42016" s="69" customFormat="1" x14ac:dyDescent="0.15"/>
    <row r="42017" s="69" customFormat="1" x14ac:dyDescent="0.15"/>
    <row r="42018" s="69" customFormat="1" x14ac:dyDescent="0.15"/>
    <row r="42019" s="69" customFormat="1" x14ac:dyDescent="0.15"/>
    <row r="42020" s="69" customFormat="1" x14ac:dyDescent="0.15"/>
    <row r="42021" s="69" customFormat="1" x14ac:dyDescent="0.15"/>
    <row r="42022" s="69" customFormat="1" x14ac:dyDescent="0.15"/>
    <row r="42023" s="69" customFormat="1" x14ac:dyDescent="0.15"/>
    <row r="42024" s="69" customFormat="1" x14ac:dyDescent="0.15"/>
    <row r="42025" s="69" customFormat="1" x14ac:dyDescent="0.15"/>
    <row r="42026" s="69" customFormat="1" x14ac:dyDescent="0.15"/>
    <row r="42027" s="69" customFormat="1" x14ac:dyDescent="0.15"/>
    <row r="42028" s="69" customFormat="1" x14ac:dyDescent="0.15"/>
    <row r="42029" s="69" customFormat="1" x14ac:dyDescent="0.15"/>
    <row r="42030" s="69" customFormat="1" x14ac:dyDescent="0.15"/>
    <row r="42031" s="69" customFormat="1" x14ac:dyDescent="0.15"/>
    <row r="42032" s="69" customFormat="1" x14ac:dyDescent="0.15"/>
    <row r="42033" s="69" customFormat="1" x14ac:dyDescent="0.15"/>
    <row r="42034" s="69" customFormat="1" x14ac:dyDescent="0.15"/>
    <row r="42035" s="69" customFormat="1" x14ac:dyDescent="0.15"/>
    <row r="42036" s="69" customFormat="1" x14ac:dyDescent="0.15"/>
    <row r="42037" s="69" customFormat="1" x14ac:dyDescent="0.15"/>
    <row r="42038" s="69" customFormat="1" x14ac:dyDescent="0.15"/>
    <row r="42039" s="69" customFormat="1" x14ac:dyDescent="0.15"/>
    <row r="42040" s="69" customFormat="1" x14ac:dyDescent="0.15"/>
    <row r="42041" s="69" customFormat="1" x14ac:dyDescent="0.15"/>
    <row r="42042" s="69" customFormat="1" x14ac:dyDescent="0.15"/>
    <row r="42043" s="69" customFormat="1" x14ac:dyDescent="0.15"/>
    <row r="42044" s="69" customFormat="1" x14ac:dyDescent="0.15"/>
    <row r="42045" s="69" customFormat="1" x14ac:dyDescent="0.15"/>
    <row r="42046" s="69" customFormat="1" x14ac:dyDescent="0.15"/>
    <row r="42047" s="69" customFormat="1" x14ac:dyDescent="0.15"/>
    <row r="42048" s="69" customFormat="1" x14ac:dyDescent="0.15"/>
    <row r="42049" s="69" customFormat="1" x14ac:dyDescent="0.15"/>
    <row r="42050" s="69" customFormat="1" x14ac:dyDescent="0.15"/>
    <row r="42051" s="69" customFormat="1" x14ac:dyDescent="0.15"/>
    <row r="42052" s="69" customFormat="1" x14ac:dyDescent="0.15"/>
    <row r="42053" s="69" customFormat="1" x14ac:dyDescent="0.15"/>
    <row r="42054" s="69" customFormat="1" x14ac:dyDescent="0.15"/>
    <row r="42055" s="69" customFormat="1" x14ac:dyDescent="0.15"/>
    <row r="42056" s="69" customFormat="1" x14ac:dyDescent="0.15"/>
    <row r="42057" s="69" customFormat="1" x14ac:dyDescent="0.15"/>
    <row r="42058" s="69" customFormat="1" x14ac:dyDescent="0.15"/>
    <row r="42059" s="69" customFormat="1" x14ac:dyDescent="0.15"/>
    <row r="42060" s="69" customFormat="1" x14ac:dyDescent="0.15"/>
    <row r="42061" s="69" customFormat="1" x14ac:dyDescent="0.15"/>
    <row r="42062" s="69" customFormat="1" x14ac:dyDescent="0.15"/>
    <row r="42063" s="69" customFormat="1" x14ac:dyDescent="0.15"/>
    <row r="42064" s="69" customFormat="1" x14ac:dyDescent="0.15"/>
    <row r="42065" s="69" customFormat="1" x14ac:dyDescent="0.15"/>
    <row r="42066" s="69" customFormat="1" x14ac:dyDescent="0.15"/>
    <row r="42067" s="69" customFormat="1" x14ac:dyDescent="0.15"/>
    <row r="42068" s="69" customFormat="1" x14ac:dyDescent="0.15"/>
    <row r="42069" s="69" customFormat="1" x14ac:dyDescent="0.15"/>
    <row r="42070" s="69" customFormat="1" x14ac:dyDescent="0.15"/>
    <row r="42071" s="69" customFormat="1" x14ac:dyDescent="0.15"/>
    <row r="42072" s="69" customFormat="1" x14ac:dyDescent="0.15"/>
    <row r="42073" s="69" customFormat="1" x14ac:dyDescent="0.15"/>
    <row r="42074" s="69" customFormat="1" x14ac:dyDescent="0.15"/>
    <row r="42075" s="69" customFormat="1" x14ac:dyDescent="0.15"/>
    <row r="42076" s="69" customFormat="1" x14ac:dyDescent="0.15"/>
    <row r="42077" s="69" customFormat="1" x14ac:dyDescent="0.15"/>
    <row r="42078" s="69" customFormat="1" x14ac:dyDescent="0.15"/>
    <row r="42079" s="69" customFormat="1" x14ac:dyDescent="0.15"/>
    <row r="42080" s="69" customFormat="1" x14ac:dyDescent="0.15"/>
    <row r="42081" s="69" customFormat="1" x14ac:dyDescent="0.15"/>
    <row r="42082" s="69" customFormat="1" x14ac:dyDescent="0.15"/>
    <row r="42083" s="69" customFormat="1" x14ac:dyDescent="0.15"/>
    <row r="42084" s="69" customFormat="1" x14ac:dyDescent="0.15"/>
    <row r="42085" s="69" customFormat="1" x14ac:dyDescent="0.15"/>
    <row r="42086" s="69" customFormat="1" x14ac:dyDescent="0.15"/>
    <row r="42087" s="69" customFormat="1" x14ac:dyDescent="0.15"/>
    <row r="42088" s="69" customFormat="1" x14ac:dyDescent="0.15"/>
    <row r="42089" s="69" customFormat="1" x14ac:dyDescent="0.15"/>
    <row r="42090" s="69" customFormat="1" x14ac:dyDescent="0.15"/>
    <row r="42091" s="69" customFormat="1" x14ac:dyDescent="0.15"/>
    <row r="42092" s="69" customFormat="1" x14ac:dyDescent="0.15"/>
    <row r="42093" s="69" customFormat="1" x14ac:dyDescent="0.15"/>
    <row r="42094" s="69" customFormat="1" x14ac:dyDescent="0.15"/>
    <row r="42095" s="69" customFormat="1" x14ac:dyDescent="0.15"/>
    <row r="42096" s="69" customFormat="1" x14ac:dyDescent="0.15"/>
    <row r="42097" s="69" customFormat="1" x14ac:dyDescent="0.15"/>
    <row r="42098" s="69" customFormat="1" x14ac:dyDescent="0.15"/>
    <row r="42099" s="69" customFormat="1" x14ac:dyDescent="0.15"/>
    <row r="42100" s="69" customFormat="1" x14ac:dyDescent="0.15"/>
    <row r="42101" s="69" customFormat="1" x14ac:dyDescent="0.15"/>
    <row r="42102" s="69" customFormat="1" x14ac:dyDescent="0.15"/>
    <row r="42103" s="69" customFormat="1" x14ac:dyDescent="0.15"/>
    <row r="42104" s="69" customFormat="1" x14ac:dyDescent="0.15"/>
    <row r="42105" s="69" customFormat="1" x14ac:dyDescent="0.15"/>
    <row r="42106" s="69" customFormat="1" x14ac:dyDescent="0.15"/>
    <row r="42107" s="69" customFormat="1" x14ac:dyDescent="0.15"/>
    <row r="42108" s="69" customFormat="1" x14ac:dyDescent="0.15"/>
    <row r="42109" s="69" customFormat="1" x14ac:dyDescent="0.15"/>
    <row r="42110" s="69" customFormat="1" x14ac:dyDescent="0.15"/>
    <row r="42111" s="69" customFormat="1" x14ac:dyDescent="0.15"/>
    <row r="42112" s="69" customFormat="1" x14ac:dyDescent="0.15"/>
    <row r="42113" s="69" customFormat="1" x14ac:dyDescent="0.15"/>
    <row r="42114" s="69" customFormat="1" x14ac:dyDescent="0.15"/>
    <row r="42115" s="69" customFormat="1" x14ac:dyDescent="0.15"/>
    <row r="42116" s="69" customFormat="1" x14ac:dyDescent="0.15"/>
    <row r="42117" s="69" customFormat="1" x14ac:dyDescent="0.15"/>
    <row r="42118" s="69" customFormat="1" x14ac:dyDescent="0.15"/>
    <row r="42119" s="69" customFormat="1" x14ac:dyDescent="0.15"/>
    <row r="42120" s="69" customFormat="1" x14ac:dyDescent="0.15"/>
    <row r="42121" s="69" customFormat="1" x14ac:dyDescent="0.15"/>
    <row r="42122" s="69" customFormat="1" x14ac:dyDescent="0.15"/>
    <row r="42123" s="69" customFormat="1" x14ac:dyDescent="0.15"/>
    <row r="42124" s="69" customFormat="1" x14ac:dyDescent="0.15"/>
    <row r="42125" s="69" customFormat="1" x14ac:dyDescent="0.15"/>
    <row r="42126" s="69" customFormat="1" x14ac:dyDescent="0.15"/>
    <row r="42127" s="69" customFormat="1" x14ac:dyDescent="0.15"/>
    <row r="42128" s="69" customFormat="1" x14ac:dyDescent="0.15"/>
    <row r="42129" s="69" customFormat="1" x14ac:dyDescent="0.15"/>
    <row r="42130" s="69" customFormat="1" x14ac:dyDescent="0.15"/>
    <row r="42131" s="69" customFormat="1" x14ac:dyDescent="0.15"/>
    <row r="42132" s="69" customFormat="1" x14ac:dyDescent="0.15"/>
    <row r="42133" s="69" customFormat="1" x14ac:dyDescent="0.15"/>
    <row r="42134" s="69" customFormat="1" x14ac:dyDescent="0.15"/>
    <row r="42135" s="69" customFormat="1" x14ac:dyDescent="0.15"/>
    <row r="42136" s="69" customFormat="1" x14ac:dyDescent="0.15"/>
    <row r="42137" s="69" customFormat="1" x14ac:dyDescent="0.15"/>
    <row r="42138" s="69" customFormat="1" x14ac:dyDescent="0.15"/>
    <row r="42139" s="69" customFormat="1" x14ac:dyDescent="0.15"/>
    <row r="42140" s="69" customFormat="1" x14ac:dyDescent="0.15"/>
    <row r="42141" s="69" customFormat="1" x14ac:dyDescent="0.15"/>
    <row r="42142" s="69" customFormat="1" x14ac:dyDescent="0.15"/>
    <row r="42143" s="69" customFormat="1" x14ac:dyDescent="0.15"/>
    <row r="42144" s="69" customFormat="1" x14ac:dyDescent="0.15"/>
    <row r="42145" s="69" customFormat="1" x14ac:dyDescent="0.15"/>
    <row r="42146" s="69" customFormat="1" x14ac:dyDescent="0.15"/>
    <row r="42147" s="69" customFormat="1" x14ac:dyDescent="0.15"/>
    <row r="42148" s="69" customFormat="1" x14ac:dyDescent="0.15"/>
    <row r="42149" s="69" customFormat="1" x14ac:dyDescent="0.15"/>
    <row r="42150" s="69" customFormat="1" x14ac:dyDescent="0.15"/>
    <row r="42151" s="69" customFormat="1" x14ac:dyDescent="0.15"/>
    <row r="42152" s="69" customFormat="1" x14ac:dyDescent="0.15"/>
    <row r="42153" s="69" customFormat="1" x14ac:dyDescent="0.15"/>
    <row r="42154" s="69" customFormat="1" x14ac:dyDescent="0.15"/>
    <row r="42155" s="69" customFormat="1" x14ac:dyDescent="0.15"/>
    <row r="42156" s="69" customFormat="1" x14ac:dyDescent="0.15"/>
    <row r="42157" s="69" customFormat="1" x14ac:dyDescent="0.15"/>
    <row r="42158" s="69" customFormat="1" x14ac:dyDescent="0.15"/>
    <row r="42159" s="69" customFormat="1" x14ac:dyDescent="0.15"/>
    <row r="42160" s="69" customFormat="1" x14ac:dyDescent="0.15"/>
    <row r="42161" s="69" customFormat="1" x14ac:dyDescent="0.15"/>
    <row r="42162" s="69" customFormat="1" x14ac:dyDescent="0.15"/>
    <row r="42163" s="69" customFormat="1" x14ac:dyDescent="0.15"/>
    <row r="42164" s="69" customFormat="1" x14ac:dyDescent="0.15"/>
    <row r="42165" s="69" customFormat="1" x14ac:dyDescent="0.15"/>
    <row r="42166" s="69" customFormat="1" x14ac:dyDescent="0.15"/>
    <row r="42167" s="69" customFormat="1" x14ac:dyDescent="0.15"/>
    <row r="42168" s="69" customFormat="1" x14ac:dyDescent="0.15"/>
    <row r="42169" s="69" customFormat="1" x14ac:dyDescent="0.15"/>
    <row r="42170" s="69" customFormat="1" x14ac:dyDescent="0.15"/>
    <row r="42171" s="69" customFormat="1" x14ac:dyDescent="0.15"/>
    <row r="42172" s="69" customFormat="1" x14ac:dyDescent="0.15"/>
    <row r="42173" s="69" customFormat="1" x14ac:dyDescent="0.15"/>
    <row r="42174" s="69" customFormat="1" x14ac:dyDescent="0.15"/>
    <row r="42175" s="69" customFormat="1" x14ac:dyDescent="0.15"/>
    <row r="42176" s="69" customFormat="1" x14ac:dyDescent="0.15"/>
    <row r="42177" s="69" customFormat="1" x14ac:dyDescent="0.15"/>
    <row r="42178" s="69" customFormat="1" x14ac:dyDescent="0.15"/>
    <row r="42179" s="69" customFormat="1" x14ac:dyDescent="0.15"/>
    <row r="42180" s="69" customFormat="1" x14ac:dyDescent="0.15"/>
    <row r="42181" s="69" customFormat="1" x14ac:dyDescent="0.15"/>
    <row r="42182" s="69" customFormat="1" x14ac:dyDescent="0.15"/>
    <row r="42183" s="69" customFormat="1" x14ac:dyDescent="0.15"/>
    <row r="42184" s="69" customFormat="1" x14ac:dyDescent="0.15"/>
    <row r="42185" s="69" customFormat="1" x14ac:dyDescent="0.15"/>
    <row r="42186" s="69" customFormat="1" x14ac:dyDescent="0.15"/>
    <row r="42187" s="69" customFormat="1" x14ac:dyDescent="0.15"/>
    <row r="42188" s="69" customFormat="1" x14ac:dyDescent="0.15"/>
    <row r="42189" s="69" customFormat="1" x14ac:dyDescent="0.15"/>
    <row r="42190" s="69" customFormat="1" x14ac:dyDescent="0.15"/>
    <row r="42191" s="69" customFormat="1" x14ac:dyDescent="0.15"/>
    <row r="42192" s="69" customFormat="1" x14ac:dyDescent="0.15"/>
    <row r="42193" s="69" customFormat="1" x14ac:dyDescent="0.15"/>
    <row r="42194" s="69" customFormat="1" x14ac:dyDescent="0.15"/>
    <row r="42195" s="69" customFormat="1" x14ac:dyDescent="0.15"/>
    <row r="42196" s="69" customFormat="1" x14ac:dyDescent="0.15"/>
    <row r="42197" s="69" customFormat="1" x14ac:dyDescent="0.15"/>
    <row r="42198" s="69" customFormat="1" x14ac:dyDescent="0.15"/>
    <row r="42199" s="69" customFormat="1" x14ac:dyDescent="0.15"/>
    <row r="42200" s="69" customFormat="1" x14ac:dyDescent="0.15"/>
    <row r="42201" s="69" customFormat="1" x14ac:dyDescent="0.15"/>
    <row r="42202" s="69" customFormat="1" x14ac:dyDescent="0.15"/>
    <row r="42203" s="69" customFormat="1" x14ac:dyDescent="0.15"/>
    <row r="42204" s="69" customFormat="1" x14ac:dyDescent="0.15"/>
    <row r="42205" s="69" customFormat="1" x14ac:dyDescent="0.15"/>
    <row r="42206" s="69" customFormat="1" x14ac:dyDescent="0.15"/>
    <row r="42207" s="69" customFormat="1" x14ac:dyDescent="0.15"/>
    <row r="42208" s="69" customFormat="1" x14ac:dyDescent="0.15"/>
    <row r="42209" s="69" customFormat="1" x14ac:dyDescent="0.15"/>
    <row r="42210" s="69" customFormat="1" x14ac:dyDescent="0.15"/>
    <row r="42211" s="69" customFormat="1" x14ac:dyDescent="0.15"/>
    <row r="42212" s="69" customFormat="1" x14ac:dyDescent="0.15"/>
    <row r="42213" s="69" customFormat="1" x14ac:dyDescent="0.15"/>
    <row r="42214" s="69" customFormat="1" x14ac:dyDescent="0.15"/>
    <row r="42215" s="69" customFormat="1" x14ac:dyDescent="0.15"/>
    <row r="42216" s="69" customFormat="1" x14ac:dyDescent="0.15"/>
    <row r="42217" s="69" customFormat="1" x14ac:dyDescent="0.15"/>
    <row r="42218" s="69" customFormat="1" x14ac:dyDescent="0.15"/>
    <row r="42219" s="69" customFormat="1" x14ac:dyDescent="0.15"/>
    <row r="42220" s="69" customFormat="1" x14ac:dyDescent="0.15"/>
    <row r="42221" s="69" customFormat="1" x14ac:dyDescent="0.15"/>
    <row r="42222" s="69" customFormat="1" x14ac:dyDescent="0.15"/>
    <row r="42223" s="69" customFormat="1" x14ac:dyDescent="0.15"/>
    <row r="42224" s="69" customFormat="1" x14ac:dyDescent="0.15"/>
    <row r="42225" s="69" customFormat="1" x14ac:dyDescent="0.15"/>
    <row r="42226" s="69" customFormat="1" x14ac:dyDescent="0.15"/>
    <row r="42227" s="69" customFormat="1" x14ac:dyDescent="0.15"/>
    <row r="42228" s="69" customFormat="1" x14ac:dyDescent="0.15"/>
    <row r="42229" s="69" customFormat="1" x14ac:dyDescent="0.15"/>
    <row r="42230" s="69" customFormat="1" x14ac:dyDescent="0.15"/>
    <row r="42231" s="69" customFormat="1" x14ac:dyDescent="0.15"/>
    <row r="42232" s="69" customFormat="1" x14ac:dyDescent="0.15"/>
    <row r="42233" s="69" customFormat="1" x14ac:dyDescent="0.15"/>
    <row r="42234" s="69" customFormat="1" x14ac:dyDescent="0.15"/>
    <row r="42235" s="69" customFormat="1" x14ac:dyDescent="0.15"/>
    <row r="42236" s="69" customFormat="1" x14ac:dyDescent="0.15"/>
    <row r="42237" s="69" customFormat="1" x14ac:dyDescent="0.15"/>
    <row r="42238" s="69" customFormat="1" x14ac:dyDescent="0.15"/>
    <row r="42239" s="69" customFormat="1" x14ac:dyDescent="0.15"/>
    <row r="42240" s="69" customFormat="1" x14ac:dyDescent="0.15"/>
    <row r="42241" s="69" customFormat="1" x14ac:dyDescent="0.15"/>
    <row r="42242" s="69" customFormat="1" x14ac:dyDescent="0.15"/>
    <row r="42243" s="69" customFormat="1" x14ac:dyDescent="0.15"/>
    <row r="42244" s="69" customFormat="1" x14ac:dyDescent="0.15"/>
    <row r="42245" s="69" customFormat="1" x14ac:dyDescent="0.15"/>
    <row r="42246" s="69" customFormat="1" x14ac:dyDescent="0.15"/>
    <row r="42247" s="69" customFormat="1" x14ac:dyDescent="0.15"/>
    <row r="42248" s="69" customFormat="1" x14ac:dyDescent="0.15"/>
    <row r="42249" s="69" customFormat="1" x14ac:dyDescent="0.15"/>
    <row r="42250" s="69" customFormat="1" x14ac:dyDescent="0.15"/>
    <row r="42251" s="69" customFormat="1" x14ac:dyDescent="0.15"/>
    <row r="42252" s="69" customFormat="1" x14ac:dyDescent="0.15"/>
    <row r="42253" s="69" customFormat="1" x14ac:dyDescent="0.15"/>
    <row r="42254" s="69" customFormat="1" x14ac:dyDescent="0.15"/>
    <row r="42255" s="69" customFormat="1" x14ac:dyDescent="0.15"/>
    <row r="42256" s="69" customFormat="1" x14ac:dyDescent="0.15"/>
    <row r="42257" s="69" customFormat="1" x14ac:dyDescent="0.15"/>
    <row r="42258" s="69" customFormat="1" x14ac:dyDescent="0.15"/>
    <row r="42259" s="69" customFormat="1" x14ac:dyDescent="0.15"/>
    <row r="42260" s="69" customFormat="1" x14ac:dyDescent="0.15"/>
    <row r="42261" s="69" customFormat="1" x14ac:dyDescent="0.15"/>
    <row r="42262" s="69" customFormat="1" x14ac:dyDescent="0.15"/>
    <row r="42263" s="69" customFormat="1" x14ac:dyDescent="0.15"/>
    <row r="42264" s="69" customFormat="1" x14ac:dyDescent="0.15"/>
    <row r="42265" s="69" customFormat="1" x14ac:dyDescent="0.15"/>
    <row r="42266" s="69" customFormat="1" x14ac:dyDescent="0.15"/>
    <row r="42267" s="69" customFormat="1" x14ac:dyDescent="0.15"/>
    <row r="42268" s="69" customFormat="1" x14ac:dyDescent="0.15"/>
    <row r="42269" s="69" customFormat="1" x14ac:dyDescent="0.15"/>
    <row r="42270" s="69" customFormat="1" x14ac:dyDescent="0.15"/>
    <row r="42271" s="69" customFormat="1" x14ac:dyDescent="0.15"/>
    <row r="42272" s="69" customFormat="1" x14ac:dyDescent="0.15"/>
    <row r="42273" s="69" customFormat="1" x14ac:dyDescent="0.15"/>
    <row r="42274" s="69" customFormat="1" x14ac:dyDescent="0.15"/>
    <row r="42275" s="69" customFormat="1" x14ac:dyDescent="0.15"/>
    <row r="42276" s="69" customFormat="1" x14ac:dyDescent="0.15"/>
    <row r="42277" s="69" customFormat="1" x14ac:dyDescent="0.15"/>
    <row r="42278" s="69" customFormat="1" x14ac:dyDescent="0.15"/>
    <row r="42279" s="69" customFormat="1" x14ac:dyDescent="0.15"/>
    <row r="42280" s="69" customFormat="1" x14ac:dyDescent="0.15"/>
    <row r="42281" s="69" customFormat="1" x14ac:dyDescent="0.15"/>
    <row r="42282" s="69" customFormat="1" x14ac:dyDescent="0.15"/>
    <row r="42283" s="69" customFormat="1" x14ac:dyDescent="0.15"/>
    <row r="42284" s="69" customFormat="1" x14ac:dyDescent="0.15"/>
    <row r="42285" s="69" customFormat="1" x14ac:dyDescent="0.15"/>
    <row r="42286" s="69" customFormat="1" x14ac:dyDescent="0.15"/>
    <row r="42287" s="69" customFormat="1" x14ac:dyDescent="0.15"/>
    <row r="42288" s="69" customFormat="1" x14ac:dyDescent="0.15"/>
    <row r="42289" s="69" customFormat="1" x14ac:dyDescent="0.15"/>
    <row r="42290" s="69" customFormat="1" x14ac:dyDescent="0.15"/>
    <row r="42291" s="69" customFormat="1" x14ac:dyDescent="0.15"/>
    <row r="42292" s="69" customFormat="1" x14ac:dyDescent="0.15"/>
    <row r="42293" s="69" customFormat="1" x14ac:dyDescent="0.15"/>
    <row r="42294" s="69" customFormat="1" x14ac:dyDescent="0.15"/>
    <row r="42295" s="69" customFormat="1" x14ac:dyDescent="0.15"/>
    <row r="42296" s="69" customFormat="1" x14ac:dyDescent="0.15"/>
    <row r="42297" s="69" customFormat="1" x14ac:dyDescent="0.15"/>
    <row r="42298" s="69" customFormat="1" x14ac:dyDescent="0.15"/>
    <row r="42299" s="69" customFormat="1" x14ac:dyDescent="0.15"/>
    <row r="42300" s="69" customFormat="1" x14ac:dyDescent="0.15"/>
    <row r="42301" s="69" customFormat="1" x14ac:dyDescent="0.15"/>
    <row r="42302" s="69" customFormat="1" x14ac:dyDescent="0.15"/>
    <row r="42303" s="69" customFormat="1" x14ac:dyDescent="0.15"/>
    <row r="42304" s="69" customFormat="1" x14ac:dyDescent="0.15"/>
    <row r="42305" s="69" customFormat="1" x14ac:dyDescent="0.15"/>
    <row r="42306" s="69" customFormat="1" x14ac:dyDescent="0.15"/>
    <row r="42307" s="69" customFormat="1" x14ac:dyDescent="0.15"/>
    <row r="42308" s="69" customFormat="1" x14ac:dyDescent="0.15"/>
    <row r="42309" s="69" customFormat="1" x14ac:dyDescent="0.15"/>
    <row r="42310" s="69" customFormat="1" x14ac:dyDescent="0.15"/>
    <row r="42311" s="69" customFormat="1" x14ac:dyDescent="0.15"/>
    <row r="42312" s="69" customFormat="1" x14ac:dyDescent="0.15"/>
    <row r="42313" s="69" customFormat="1" x14ac:dyDescent="0.15"/>
    <row r="42314" s="69" customFormat="1" x14ac:dyDescent="0.15"/>
    <row r="42315" s="69" customFormat="1" x14ac:dyDescent="0.15"/>
    <row r="42316" s="69" customFormat="1" x14ac:dyDescent="0.15"/>
    <row r="42317" s="69" customFormat="1" x14ac:dyDescent="0.15"/>
    <row r="42318" s="69" customFormat="1" x14ac:dyDescent="0.15"/>
    <row r="42319" s="69" customFormat="1" x14ac:dyDescent="0.15"/>
    <row r="42320" s="69" customFormat="1" x14ac:dyDescent="0.15"/>
    <row r="42321" s="69" customFormat="1" x14ac:dyDescent="0.15"/>
    <row r="42322" s="69" customFormat="1" x14ac:dyDescent="0.15"/>
    <row r="42323" s="69" customFormat="1" x14ac:dyDescent="0.15"/>
    <row r="42324" s="69" customFormat="1" x14ac:dyDescent="0.15"/>
    <row r="42325" s="69" customFormat="1" x14ac:dyDescent="0.15"/>
    <row r="42326" s="69" customFormat="1" x14ac:dyDescent="0.15"/>
    <row r="42327" s="69" customFormat="1" x14ac:dyDescent="0.15"/>
    <row r="42328" s="69" customFormat="1" x14ac:dyDescent="0.15"/>
    <row r="42329" s="69" customFormat="1" x14ac:dyDescent="0.15"/>
    <row r="42330" s="69" customFormat="1" x14ac:dyDescent="0.15"/>
    <row r="42331" s="69" customFormat="1" x14ac:dyDescent="0.15"/>
    <row r="42332" s="69" customFormat="1" x14ac:dyDescent="0.15"/>
    <row r="42333" s="69" customFormat="1" x14ac:dyDescent="0.15"/>
    <row r="42334" s="69" customFormat="1" x14ac:dyDescent="0.15"/>
    <row r="42335" s="69" customFormat="1" x14ac:dyDescent="0.15"/>
    <row r="42336" s="69" customFormat="1" x14ac:dyDescent="0.15"/>
    <row r="42337" s="69" customFormat="1" x14ac:dyDescent="0.15"/>
    <row r="42338" s="69" customFormat="1" x14ac:dyDescent="0.15"/>
    <row r="42339" s="69" customFormat="1" x14ac:dyDescent="0.15"/>
    <row r="42340" s="69" customFormat="1" x14ac:dyDescent="0.15"/>
    <row r="42341" s="69" customFormat="1" x14ac:dyDescent="0.15"/>
    <row r="42342" s="69" customFormat="1" x14ac:dyDescent="0.15"/>
    <row r="42343" s="69" customFormat="1" x14ac:dyDescent="0.15"/>
    <row r="42344" s="69" customFormat="1" x14ac:dyDescent="0.15"/>
    <row r="42345" s="69" customFormat="1" x14ac:dyDescent="0.15"/>
    <row r="42346" s="69" customFormat="1" x14ac:dyDescent="0.15"/>
    <row r="42347" s="69" customFormat="1" x14ac:dyDescent="0.15"/>
    <row r="42348" s="69" customFormat="1" x14ac:dyDescent="0.15"/>
    <row r="42349" s="69" customFormat="1" x14ac:dyDescent="0.15"/>
    <row r="42350" s="69" customFormat="1" x14ac:dyDescent="0.15"/>
    <row r="42351" s="69" customFormat="1" x14ac:dyDescent="0.15"/>
    <row r="42352" s="69" customFormat="1" x14ac:dyDescent="0.15"/>
    <row r="42353" s="69" customFormat="1" x14ac:dyDescent="0.15"/>
    <row r="42354" s="69" customFormat="1" x14ac:dyDescent="0.15"/>
    <row r="42355" s="69" customFormat="1" x14ac:dyDescent="0.15"/>
    <row r="42356" s="69" customFormat="1" x14ac:dyDescent="0.15"/>
    <row r="42357" s="69" customFormat="1" x14ac:dyDescent="0.15"/>
    <row r="42358" s="69" customFormat="1" x14ac:dyDescent="0.15"/>
    <row r="42359" s="69" customFormat="1" x14ac:dyDescent="0.15"/>
    <row r="42360" s="69" customFormat="1" x14ac:dyDescent="0.15"/>
    <row r="42361" s="69" customFormat="1" x14ac:dyDescent="0.15"/>
    <row r="42362" s="69" customFormat="1" x14ac:dyDescent="0.15"/>
    <row r="42363" s="69" customFormat="1" x14ac:dyDescent="0.15"/>
    <row r="42364" s="69" customFormat="1" x14ac:dyDescent="0.15"/>
    <row r="42365" s="69" customFormat="1" x14ac:dyDescent="0.15"/>
    <row r="42366" s="69" customFormat="1" x14ac:dyDescent="0.15"/>
    <row r="42367" s="69" customFormat="1" x14ac:dyDescent="0.15"/>
    <row r="42368" s="69" customFormat="1" x14ac:dyDescent="0.15"/>
    <row r="42369" s="69" customFormat="1" x14ac:dyDescent="0.15"/>
    <row r="42370" s="69" customFormat="1" x14ac:dyDescent="0.15"/>
    <row r="42371" s="69" customFormat="1" x14ac:dyDescent="0.15"/>
    <row r="42372" s="69" customFormat="1" x14ac:dyDescent="0.15"/>
    <row r="42373" s="69" customFormat="1" x14ac:dyDescent="0.15"/>
    <row r="42374" s="69" customFormat="1" x14ac:dyDescent="0.15"/>
    <row r="42375" s="69" customFormat="1" x14ac:dyDescent="0.15"/>
    <row r="42376" s="69" customFormat="1" x14ac:dyDescent="0.15"/>
    <row r="42377" s="69" customFormat="1" x14ac:dyDescent="0.15"/>
    <row r="42378" s="69" customFormat="1" x14ac:dyDescent="0.15"/>
    <row r="42379" s="69" customFormat="1" x14ac:dyDescent="0.15"/>
    <row r="42380" s="69" customFormat="1" x14ac:dyDescent="0.15"/>
    <row r="42381" s="69" customFormat="1" x14ac:dyDescent="0.15"/>
    <row r="42382" s="69" customFormat="1" x14ac:dyDescent="0.15"/>
    <row r="42383" s="69" customFormat="1" x14ac:dyDescent="0.15"/>
    <row r="42384" s="69" customFormat="1" x14ac:dyDescent="0.15"/>
    <row r="42385" s="69" customFormat="1" x14ac:dyDescent="0.15"/>
    <row r="42386" s="69" customFormat="1" x14ac:dyDescent="0.15"/>
    <row r="42387" s="69" customFormat="1" x14ac:dyDescent="0.15"/>
    <row r="42388" s="69" customFormat="1" x14ac:dyDescent="0.15"/>
    <row r="42389" s="69" customFormat="1" x14ac:dyDescent="0.15"/>
    <row r="42390" s="69" customFormat="1" x14ac:dyDescent="0.15"/>
    <row r="42391" s="69" customFormat="1" x14ac:dyDescent="0.15"/>
    <row r="42392" s="69" customFormat="1" x14ac:dyDescent="0.15"/>
    <row r="42393" s="69" customFormat="1" x14ac:dyDescent="0.15"/>
    <row r="42394" s="69" customFormat="1" x14ac:dyDescent="0.15"/>
    <row r="42395" s="69" customFormat="1" x14ac:dyDescent="0.15"/>
    <row r="42396" s="69" customFormat="1" x14ac:dyDescent="0.15"/>
    <row r="42397" s="69" customFormat="1" x14ac:dyDescent="0.15"/>
    <row r="42398" s="69" customFormat="1" x14ac:dyDescent="0.15"/>
    <row r="42399" s="69" customFormat="1" x14ac:dyDescent="0.15"/>
    <row r="42400" s="69" customFormat="1" x14ac:dyDescent="0.15"/>
    <row r="42401" s="69" customFormat="1" x14ac:dyDescent="0.15"/>
    <row r="42402" s="69" customFormat="1" x14ac:dyDescent="0.15"/>
    <row r="42403" s="69" customFormat="1" x14ac:dyDescent="0.15"/>
    <row r="42404" s="69" customFormat="1" x14ac:dyDescent="0.15"/>
    <row r="42405" s="69" customFormat="1" x14ac:dyDescent="0.15"/>
    <row r="42406" s="69" customFormat="1" x14ac:dyDescent="0.15"/>
    <row r="42407" s="69" customFormat="1" x14ac:dyDescent="0.15"/>
    <row r="42408" s="69" customFormat="1" x14ac:dyDescent="0.15"/>
    <row r="42409" s="69" customFormat="1" x14ac:dyDescent="0.15"/>
    <row r="42410" s="69" customFormat="1" x14ac:dyDescent="0.15"/>
    <row r="42411" s="69" customFormat="1" x14ac:dyDescent="0.15"/>
    <row r="42412" s="69" customFormat="1" x14ac:dyDescent="0.15"/>
    <row r="42413" s="69" customFormat="1" x14ac:dyDescent="0.15"/>
    <row r="42414" s="69" customFormat="1" x14ac:dyDescent="0.15"/>
    <row r="42415" s="69" customFormat="1" x14ac:dyDescent="0.15"/>
    <row r="42416" s="69" customFormat="1" x14ac:dyDescent="0.15"/>
    <row r="42417" s="69" customFormat="1" x14ac:dyDescent="0.15"/>
    <row r="42418" s="69" customFormat="1" x14ac:dyDescent="0.15"/>
    <row r="42419" s="69" customFormat="1" x14ac:dyDescent="0.15"/>
    <row r="42420" s="69" customFormat="1" x14ac:dyDescent="0.15"/>
    <row r="42421" s="69" customFormat="1" x14ac:dyDescent="0.15"/>
    <row r="42422" s="69" customFormat="1" x14ac:dyDescent="0.15"/>
    <row r="42423" s="69" customFormat="1" x14ac:dyDescent="0.15"/>
    <row r="42424" s="69" customFormat="1" x14ac:dyDescent="0.15"/>
    <row r="42425" s="69" customFormat="1" x14ac:dyDescent="0.15"/>
    <row r="42426" s="69" customFormat="1" x14ac:dyDescent="0.15"/>
    <row r="42427" s="69" customFormat="1" x14ac:dyDescent="0.15"/>
    <row r="42428" s="69" customFormat="1" x14ac:dyDescent="0.15"/>
    <row r="42429" s="69" customFormat="1" x14ac:dyDescent="0.15"/>
    <row r="42430" s="69" customFormat="1" x14ac:dyDescent="0.15"/>
    <row r="42431" s="69" customFormat="1" x14ac:dyDescent="0.15"/>
    <row r="42432" s="69" customFormat="1" x14ac:dyDescent="0.15"/>
    <row r="42433" s="69" customFormat="1" x14ac:dyDescent="0.15"/>
    <row r="42434" s="69" customFormat="1" x14ac:dyDescent="0.15"/>
    <row r="42435" s="69" customFormat="1" x14ac:dyDescent="0.15"/>
    <row r="42436" s="69" customFormat="1" x14ac:dyDescent="0.15"/>
    <row r="42437" s="69" customFormat="1" x14ac:dyDescent="0.15"/>
    <row r="42438" s="69" customFormat="1" x14ac:dyDescent="0.15"/>
    <row r="42439" s="69" customFormat="1" x14ac:dyDescent="0.15"/>
    <row r="42440" s="69" customFormat="1" x14ac:dyDescent="0.15"/>
    <row r="42441" s="69" customFormat="1" x14ac:dyDescent="0.15"/>
    <row r="42442" s="69" customFormat="1" x14ac:dyDescent="0.15"/>
    <row r="42443" s="69" customFormat="1" x14ac:dyDescent="0.15"/>
    <row r="42444" s="69" customFormat="1" x14ac:dyDescent="0.15"/>
    <row r="42445" s="69" customFormat="1" x14ac:dyDescent="0.15"/>
    <row r="42446" s="69" customFormat="1" x14ac:dyDescent="0.15"/>
    <row r="42447" s="69" customFormat="1" x14ac:dyDescent="0.15"/>
    <row r="42448" s="69" customFormat="1" x14ac:dyDescent="0.15"/>
    <row r="42449" s="69" customFormat="1" x14ac:dyDescent="0.15"/>
    <row r="42450" s="69" customFormat="1" x14ac:dyDescent="0.15"/>
    <row r="42451" s="69" customFormat="1" x14ac:dyDescent="0.15"/>
    <row r="42452" s="69" customFormat="1" x14ac:dyDescent="0.15"/>
    <row r="42453" s="69" customFormat="1" x14ac:dyDescent="0.15"/>
    <row r="42454" s="69" customFormat="1" x14ac:dyDescent="0.15"/>
    <row r="42455" s="69" customFormat="1" x14ac:dyDescent="0.15"/>
    <row r="42456" s="69" customFormat="1" x14ac:dyDescent="0.15"/>
    <row r="42457" s="69" customFormat="1" x14ac:dyDescent="0.15"/>
    <row r="42458" s="69" customFormat="1" x14ac:dyDescent="0.15"/>
    <row r="42459" s="69" customFormat="1" x14ac:dyDescent="0.15"/>
    <row r="42460" s="69" customFormat="1" x14ac:dyDescent="0.15"/>
    <row r="42461" s="69" customFormat="1" x14ac:dyDescent="0.15"/>
    <row r="42462" s="69" customFormat="1" x14ac:dyDescent="0.15"/>
    <row r="42463" s="69" customFormat="1" x14ac:dyDescent="0.15"/>
    <row r="42464" s="69" customFormat="1" x14ac:dyDescent="0.15"/>
    <row r="42465" s="69" customFormat="1" x14ac:dyDescent="0.15"/>
    <row r="42466" s="69" customFormat="1" x14ac:dyDescent="0.15"/>
    <row r="42467" s="69" customFormat="1" x14ac:dyDescent="0.15"/>
    <row r="42468" s="69" customFormat="1" x14ac:dyDescent="0.15"/>
    <row r="42469" s="69" customFormat="1" x14ac:dyDescent="0.15"/>
    <row r="42470" s="69" customFormat="1" x14ac:dyDescent="0.15"/>
    <row r="42471" s="69" customFormat="1" x14ac:dyDescent="0.15"/>
    <row r="42472" s="69" customFormat="1" x14ac:dyDescent="0.15"/>
    <row r="42473" s="69" customFormat="1" x14ac:dyDescent="0.15"/>
    <row r="42474" s="69" customFormat="1" x14ac:dyDescent="0.15"/>
    <row r="42475" s="69" customFormat="1" x14ac:dyDescent="0.15"/>
    <row r="42476" s="69" customFormat="1" x14ac:dyDescent="0.15"/>
    <row r="42477" s="69" customFormat="1" x14ac:dyDescent="0.15"/>
    <row r="42478" s="69" customFormat="1" x14ac:dyDescent="0.15"/>
    <row r="42479" s="69" customFormat="1" x14ac:dyDescent="0.15"/>
    <row r="42480" s="69" customFormat="1" x14ac:dyDescent="0.15"/>
    <row r="42481" s="69" customFormat="1" x14ac:dyDescent="0.15"/>
    <row r="42482" s="69" customFormat="1" x14ac:dyDescent="0.15"/>
    <row r="42483" s="69" customFormat="1" x14ac:dyDescent="0.15"/>
    <row r="42484" s="69" customFormat="1" x14ac:dyDescent="0.15"/>
    <row r="42485" s="69" customFormat="1" x14ac:dyDescent="0.15"/>
    <row r="42486" s="69" customFormat="1" x14ac:dyDescent="0.15"/>
    <row r="42487" s="69" customFormat="1" x14ac:dyDescent="0.15"/>
    <row r="42488" s="69" customFormat="1" x14ac:dyDescent="0.15"/>
    <row r="42489" s="69" customFormat="1" x14ac:dyDescent="0.15"/>
    <row r="42490" s="69" customFormat="1" x14ac:dyDescent="0.15"/>
    <row r="42491" s="69" customFormat="1" x14ac:dyDescent="0.15"/>
    <row r="42492" s="69" customFormat="1" x14ac:dyDescent="0.15"/>
    <row r="42493" s="69" customFormat="1" x14ac:dyDescent="0.15"/>
    <row r="42494" s="69" customFormat="1" x14ac:dyDescent="0.15"/>
    <row r="42495" s="69" customFormat="1" x14ac:dyDescent="0.15"/>
    <row r="42496" s="69" customFormat="1" x14ac:dyDescent="0.15"/>
    <row r="42497" s="69" customFormat="1" x14ac:dyDescent="0.15"/>
    <row r="42498" s="69" customFormat="1" x14ac:dyDescent="0.15"/>
    <row r="42499" s="69" customFormat="1" x14ac:dyDescent="0.15"/>
    <row r="42500" s="69" customFormat="1" x14ac:dyDescent="0.15"/>
    <row r="42501" s="69" customFormat="1" x14ac:dyDescent="0.15"/>
    <row r="42502" s="69" customFormat="1" x14ac:dyDescent="0.15"/>
    <row r="42503" s="69" customFormat="1" x14ac:dyDescent="0.15"/>
    <row r="42504" s="69" customFormat="1" x14ac:dyDescent="0.15"/>
    <row r="42505" s="69" customFormat="1" x14ac:dyDescent="0.15"/>
    <row r="42506" s="69" customFormat="1" x14ac:dyDescent="0.15"/>
    <row r="42507" s="69" customFormat="1" x14ac:dyDescent="0.15"/>
    <row r="42508" s="69" customFormat="1" x14ac:dyDescent="0.15"/>
    <row r="42509" s="69" customFormat="1" x14ac:dyDescent="0.15"/>
    <row r="42510" s="69" customFormat="1" x14ac:dyDescent="0.15"/>
    <row r="42511" s="69" customFormat="1" x14ac:dyDescent="0.15"/>
    <row r="42512" s="69" customFormat="1" x14ac:dyDescent="0.15"/>
    <row r="42513" s="69" customFormat="1" x14ac:dyDescent="0.15"/>
    <row r="42514" s="69" customFormat="1" x14ac:dyDescent="0.15"/>
    <row r="42515" s="69" customFormat="1" x14ac:dyDescent="0.15"/>
    <row r="42516" s="69" customFormat="1" x14ac:dyDescent="0.15"/>
    <row r="42517" s="69" customFormat="1" x14ac:dyDescent="0.15"/>
    <row r="42518" s="69" customFormat="1" x14ac:dyDescent="0.15"/>
    <row r="42519" s="69" customFormat="1" x14ac:dyDescent="0.15"/>
    <row r="42520" s="69" customFormat="1" x14ac:dyDescent="0.15"/>
    <row r="42521" s="69" customFormat="1" x14ac:dyDescent="0.15"/>
    <row r="42522" s="69" customFormat="1" x14ac:dyDescent="0.15"/>
    <row r="42523" s="69" customFormat="1" x14ac:dyDescent="0.15"/>
    <row r="42524" s="69" customFormat="1" x14ac:dyDescent="0.15"/>
    <row r="42525" s="69" customFormat="1" x14ac:dyDescent="0.15"/>
    <row r="42526" s="69" customFormat="1" x14ac:dyDescent="0.15"/>
    <row r="42527" s="69" customFormat="1" x14ac:dyDescent="0.15"/>
    <row r="42528" s="69" customFormat="1" x14ac:dyDescent="0.15"/>
    <row r="42529" s="69" customFormat="1" x14ac:dyDescent="0.15"/>
    <row r="42530" s="69" customFormat="1" x14ac:dyDescent="0.15"/>
    <row r="42531" s="69" customFormat="1" x14ac:dyDescent="0.15"/>
    <row r="42532" s="69" customFormat="1" x14ac:dyDescent="0.15"/>
    <row r="42533" s="69" customFormat="1" x14ac:dyDescent="0.15"/>
    <row r="42534" s="69" customFormat="1" x14ac:dyDescent="0.15"/>
    <row r="42535" s="69" customFormat="1" x14ac:dyDescent="0.15"/>
    <row r="42536" s="69" customFormat="1" x14ac:dyDescent="0.15"/>
    <row r="42537" s="69" customFormat="1" x14ac:dyDescent="0.15"/>
    <row r="42538" s="69" customFormat="1" x14ac:dyDescent="0.15"/>
    <row r="42539" s="69" customFormat="1" x14ac:dyDescent="0.15"/>
    <row r="42540" s="69" customFormat="1" x14ac:dyDescent="0.15"/>
    <row r="42541" s="69" customFormat="1" x14ac:dyDescent="0.15"/>
    <row r="42542" s="69" customFormat="1" x14ac:dyDescent="0.15"/>
    <row r="42543" s="69" customFormat="1" x14ac:dyDescent="0.15"/>
    <row r="42544" s="69" customFormat="1" x14ac:dyDescent="0.15"/>
    <row r="42545" s="69" customFormat="1" x14ac:dyDescent="0.15"/>
    <row r="42546" s="69" customFormat="1" x14ac:dyDescent="0.15"/>
    <row r="42547" s="69" customFormat="1" x14ac:dyDescent="0.15"/>
    <row r="42548" s="69" customFormat="1" x14ac:dyDescent="0.15"/>
    <row r="42549" s="69" customFormat="1" x14ac:dyDescent="0.15"/>
    <row r="42550" s="69" customFormat="1" x14ac:dyDescent="0.15"/>
    <row r="42551" s="69" customFormat="1" x14ac:dyDescent="0.15"/>
    <row r="42552" s="69" customFormat="1" x14ac:dyDescent="0.15"/>
    <row r="42553" s="69" customFormat="1" x14ac:dyDescent="0.15"/>
    <row r="42554" s="69" customFormat="1" x14ac:dyDescent="0.15"/>
    <row r="42555" s="69" customFormat="1" x14ac:dyDescent="0.15"/>
    <row r="42556" s="69" customFormat="1" x14ac:dyDescent="0.15"/>
    <row r="42557" s="69" customFormat="1" x14ac:dyDescent="0.15"/>
    <row r="42558" s="69" customFormat="1" x14ac:dyDescent="0.15"/>
    <row r="42559" s="69" customFormat="1" x14ac:dyDescent="0.15"/>
    <row r="42560" s="69" customFormat="1" x14ac:dyDescent="0.15"/>
    <row r="42561" s="69" customFormat="1" x14ac:dyDescent="0.15"/>
    <row r="42562" s="69" customFormat="1" x14ac:dyDescent="0.15"/>
    <row r="42563" s="69" customFormat="1" x14ac:dyDescent="0.15"/>
    <row r="42564" s="69" customFormat="1" x14ac:dyDescent="0.15"/>
    <row r="42565" s="69" customFormat="1" x14ac:dyDescent="0.15"/>
    <row r="42566" s="69" customFormat="1" x14ac:dyDescent="0.15"/>
    <row r="42567" s="69" customFormat="1" x14ac:dyDescent="0.15"/>
    <row r="42568" s="69" customFormat="1" x14ac:dyDescent="0.15"/>
    <row r="42569" s="69" customFormat="1" x14ac:dyDescent="0.15"/>
    <row r="42570" s="69" customFormat="1" x14ac:dyDescent="0.15"/>
    <row r="42571" s="69" customFormat="1" x14ac:dyDescent="0.15"/>
    <row r="42572" s="69" customFormat="1" x14ac:dyDescent="0.15"/>
    <row r="42573" s="69" customFormat="1" x14ac:dyDescent="0.15"/>
    <row r="42574" s="69" customFormat="1" x14ac:dyDescent="0.15"/>
    <row r="42575" s="69" customFormat="1" x14ac:dyDescent="0.15"/>
    <row r="42576" s="69" customFormat="1" x14ac:dyDescent="0.15"/>
    <row r="42577" s="69" customFormat="1" x14ac:dyDescent="0.15"/>
    <row r="42578" s="69" customFormat="1" x14ac:dyDescent="0.15"/>
    <row r="42579" s="69" customFormat="1" x14ac:dyDescent="0.15"/>
    <row r="42580" s="69" customFormat="1" x14ac:dyDescent="0.15"/>
    <row r="42581" s="69" customFormat="1" x14ac:dyDescent="0.15"/>
    <row r="42582" s="69" customFormat="1" x14ac:dyDescent="0.15"/>
    <row r="42583" s="69" customFormat="1" x14ac:dyDescent="0.15"/>
    <row r="42584" s="69" customFormat="1" x14ac:dyDescent="0.15"/>
    <row r="42585" s="69" customFormat="1" x14ac:dyDescent="0.15"/>
    <row r="42586" s="69" customFormat="1" x14ac:dyDescent="0.15"/>
    <row r="42587" s="69" customFormat="1" x14ac:dyDescent="0.15"/>
    <row r="42588" s="69" customFormat="1" x14ac:dyDescent="0.15"/>
    <row r="42589" s="69" customFormat="1" x14ac:dyDescent="0.15"/>
    <row r="42590" s="69" customFormat="1" x14ac:dyDescent="0.15"/>
    <row r="42591" s="69" customFormat="1" x14ac:dyDescent="0.15"/>
    <row r="42592" s="69" customFormat="1" x14ac:dyDescent="0.15"/>
    <row r="42593" s="69" customFormat="1" x14ac:dyDescent="0.15"/>
    <row r="42594" s="69" customFormat="1" x14ac:dyDescent="0.15"/>
    <row r="42595" s="69" customFormat="1" x14ac:dyDescent="0.15"/>
    <row r="42596" s="69" customFormat="1" x14ac:dyDescent="0.15"/>
    <row r="42597" s="69" customFormat="1" x14ac:dyDescent="0.15"/>
    <row r="42598" s="69" customFormat="1" x14ac:dyDescent="0.15"/>
    <row r="42599" s="69" customFormat="1" x14ac:dyDescent="0.15"/>
    <row r="42600" s="69" customFormat="1" x14ac:dyDescent="0.15"/>
    <row r="42601" s="69" customFormat="1" x14ac:dyDescent="0.15"/>
    <row r="42602" s="69" customFormat="1" x14ac:dyDescent="0.15"/>
    <row r="42603" s="69" customFormat="1" x14ac:dyDescent="0.15"/>
    <row r="42604" s="69" customFormat="1" x14ac:dyDescent="0.15"/>
    <row r="42605" s="69" customFormat="1" x14ac:dyDescent="0.15"/>
    <row r="42606" s="69" customFormat="1" x14ac:dyDescent="0.15"/>
    <row r="42607" s="69" customFormat="1" x14ac:dyDescent="0.15"/>
    <row r="42608" s="69" customFormat="1" x14ac:dyDescent="0.15"/>
    <row r="42609" s="69" customFormat="1" x14ac:dyDescent="0.15"/>
    <row r="42610" s="69" customFormat="1" x14ac:dyDescent="0.15"/>
    <row r="42611" s="69" customFormat="1" x14ac:dyDescent="0.15"/>
    <row r="42612" s="69" customFormat="1" x14ac:dyDescent="0.15"/>
    <row r="42613" s="69" customFormat="1" x14ac:dyDescent="0.15"/>
    <row r="42614" s="69" customFormat="1" x14ac:dyDescent="0.15"/>
    <row r="42615" s="69" customFormat="1" x14ac:dyDescent="0.15"/>
    <row r="42616" s="69" customFormat="1" x14ac:dyDescent="0.15"/>
    <row r="42617" s="69" customFormat="1" x14ac:dyDescent="0.15"/>
    <row r="42618" s="69" customFormat="1" x14ac:dyDescent="0.15"/>
    <row r="42619" s="69" customFormat="1" x14ac:dyDescent="0.15"/>
    <row r="42620" s="69" customFormat="1" x14ac:dyDescent="0.15"/>
    <row r="42621" s="69" customFormat="1" x14ac:dyDescent="0.15"/>
    <row r="42622" s="69" customFormat="1" x14ac:dyDescent="0.15"/>
    <row r="42623" s="69" customFormat="1" x14ac:dyDescent="0.15"/>
    <row r="42624" s="69" customFormat="1" x14ac:dyDescent="0.15"/>
    <row r="42625" s="69" customFormat="1" x14ac:dyDescent="0.15"/>
    <row r="42626" s="69" customFormat="1" x14ac:dyDescent="0.15"/>
    <row r="42627" s="69" customFormat="1" x14ac:dyDescent="0.15"/>
    <row r="42628" s="69" customFormat="1" x14ac:dyDescent="0.15"/>
    <row r="42629" s="69" customFormat="1" x14ac:dyDescent="0.15"/>
    <row r="42630" s="69" customFormat="1" x14ac:dyDescent="0.15"/>
    <row r="42631" s="69" customFormat="1" x14ac:dyDescent="0.15"/>
    <row r="42632" s="69" customFormat="1" x14ac:dyDescent="0.15"/>
    <row r="42633" s="69" customFormat="1" x14ac:dyDescent="0.15"/>
    <row r="42634" s="69" customFormat="1" x14ac:dyDescent="0.15"/>
    <row r="42635" s="69" customFormat="1" x14ac:dyDescent="0.15"/>
    <row r="42636" s="69" customFormat="1" x14ac:dyDescent="0.15"/>
    <row r="42637" s="69" customFormat="1" x14ac:dyDescent="0.15"/>
    <row r="42638" s="69" customFormat="1" x14ac:dyDescent="0.15"/>
    <row r="42639" s="69" customFormat="1" x14ac:dyDescent="0.15"/>
    <row r="42640" s="69" customFormat="1" x14ac:dyDescent="0.15"/>
    <row r="42641" s="69" customFormat="1" x14ac:dyDescent="0.15"/>
    <row r="42642" s="69" customFormat="1" x14ac:dyDescent="0.15"/>
    <row r="42643" s="69" customFormat="1" x14ac:dyDescent="0.15"/>
    <row r="42644" s="69" customFormat="1" x14ac:dyDescent="0.15"/>
    <row r="42645" s="69" customFormat="1" x14ac:dyDescent="0.15"/>
    <row r="42646" s="69" customFormat="1" x14ac:dyDescent="0.15"/>
    <row r="42647" s="69" customFormat="1" x14ac:dyDescent="0.15"/>
    <row r="42648" s="69" customFormat="1" x14ac:dyDescent="0.15"/>
    <row r="42649" s="69" customFormat="1" x14ac:dyDescent="0.15"/>
    <row r="42650" s="69" customFormat="1" x14ac:dyDescent="0.15"/>
    <row r="42651" s="69" customFormat="1" x14ac:dyDescent="0.15"/>
    <row r="42652" s="69" customFormat="1" x14ac:dyDescent="0.15"/>
    <row r="42653" s="69" customFormat="1" x14ac:dyDescent="0.15"/>
    <row r="42654" s="69" customFormat="1" x14ac:dyDescent="0.15"/>
    <row r="42655" s="69" customFormat="1" x14ac:dyDescent="0.15"/>
    <row r="42656" s="69" customFormat="1" x14ac:dyDescent="0.15"/>
    <row r="42657" s="69" customFormat="1" x14ac:dyDescent="0.15"/>
    <row r="42658" s="69" customFormat="1" x14ac:dyDescent="0.15"/>
    <row r="42659" s="69" customFormat="1" x14ac:dyDescent="0.15"/>
    <row r="42660" s="69" customFormat="1" x14ac:dyDescent="0.15"/>
    <row r="42661" s="69" customFormat="1" x14ac:dyDescent="0.15"/>
    <row r="42662" s="69" customFormat="1" x14ac:dyDescent="0.15"/>
    <row r="42663" s="69" customFormat="1" x14ac:dyDescent="0.15"/>
    <row r="42664" s="69" customFormat="1" x14ac:dyDescent="0.15"/>
    <row r="42665" s="69" customFormat="1" x14ac:dyDescent="0.15"/>
    <row r="42666" s="69" customFormat="1" x14ac:dyDescent="0.15"/>
    <row r="42667" s="69" customFormat="1" x14ac:dyDescent="0.15"/>
    <row r="42668" s="69" customFormat="1" x14ac:dyDescent="0.15"/>
    <row r="42669" s="69" customFormat="1" x14ac:dyDescent="0.15"/>
    <row r="42670" s="69" customFormat="1" x14ac:dyDescent="0.15"/>
    <row r="42671" s="69" customFormat="1" x14ac:dyDescent="0.15"/>
    <row r="42672" s="69" customFormat="1" x14ac:dyDescent="0.15"/>
    <row r="42673" s="69" customFormat="1" x14ac:dyDescent="0.15"/>
    <row r="42674" s="69" customFormat="1" x14ac:dyDescent="0.15"/>
    <row r="42675" s="69" customFormat="1" x14ac:dyDescent="0.15"/>
    <row r="42676" s="69" customFormat="1" x14ac:dyDescent="0.15"/>
    <row r="42677" s="69" customFormat="1" x14ac:dyDescent="0.15"/>
    <row r="42678" s="69" customFormat="1" x14ac:dyDescent="0.15"/>
    <row r="42679" s="69" customFormat="1" x14ac:dyDescent="0.15"/>
    <row r="42680" s="69" customFormat="1" x14ac:dyDescent="0.15"/>
    <row r="42681" s="69" customFormat="1" x14ac:dyDescent="0.15"/>
    <row r="42682" s="69" customFormat="1" x14ac:dyDescent="0.15"/>
    <row r="42683" s="69" customFormat="1" x14ac:dyDescent="0.15"/>
    <row r="42684" s="69" customFormat="1" x14ac:dyDescent="0.15"/>
    <row r="42685" s="69" customFormat="1" x14ac:dyDescent="0.15"/>
    <row r="42686" s="69" customFormat="1" x14ac:dyDescent="0.15"/>
    <row r="42687" s="69" customFormat="1" x14ac:dyDescent="0.15"/>
    <row r="42688" s="69" customFormat="1" x14ac:dyDescent="0.15"/>
    <row r="42689" s="69" customFormat="1" x14ac:dyDescent="0.15"/>
    <row r="42690" s="69" customFormat="1" x14ac:dyDescent="0.15"/>
    <row r="42691" s="69" customFormat="1" x14ac:dyDescent="0.15"/>
    <row r="42692" s="69" customFormat="1" x14ac:dyDescent="0.15"/>
    <row r="42693" s="69" customFormat="1" x14ac:dyDescent="0.15"/>
    <row r="42694" s="69" customFormat="1" x14ac:dyDescent="0.15"/>
    <row r="42695" s="69" customFormat="1" x14ac:dyDescent="0.15"/>
    <row r="42696" s="69" customFormat="1" x14ac:dyDescent="0.15"/>
    <row r="42697" s="69" customFormat="1" x14ac:dyDescent="0.15"/>
    <row r="42698" s="69" customFormat="1" x14ac:dyDescent="0.15"/>
    <row r="42699" s="69" customFormat="1" x14ac:dyDescent="0.15"/>
    <row r="42700" s="69" customFormat="1" x14ac:dyDescent="0.15"/>
    <row r="42701" s="69" customFormat="1" x14ac:dyDescent="0.15"/>
    <row r="42702" s="69" customFormat="1" x14ac:dyDescent="0.15"/>
    <row r="42703" s="69" customFormat="1" x14ac:dyDescent="0.15"/>
    <row r="42704" s="69" customFormat="1" x14ac:dyDescent="0.15"/>
    <row r="42705" s="69" customFormat="1" x14ac:dyDescent="0.15"/>
    <row r="42706" s="69" customFormat="1" x14ac:dyDescent="0.15"/>
    <row r="42707" s="69" customFormat="1" x14ac:dyDescent="0.15"/>
    <row r="42708" s="69" customFormat="1" x14ac:dyDescent="0.15"/>
    <row r="42709" s="69" customFormat="1" x14ac:dyDescent="0.15"/>
    <row r="42710" s="69" customFormat="1" x14ac:dyDescent="0.15"/>
    <row r="42711" s="69" customFormat="1" x14ac:dyDescent="0.15"/>
    <row r="42712" s="69" customFormat="1" x14ac:dyDescent="0.15"/>
    <row r="42713" s="69" customFormat="1" x14ac:dyDescent="0.15"/>
    <row r="42714" s="69" customFormat="1" x14ac:dyDescent="0.15"/>
    <row r="42715" s="69" customFormat="1" x14ac:dyDescent="0.15"/>
    <row r="42716" s="69" customFormat="1" x14ac:dyDescent="0.15"/>
    <row r="42717" s="69" customFormat="1" x14ac:dyDescent="0.15"/>
    <row r="42718" s="69" customFormat="1" x14ac:dyDescent="0.15"/>
    <row r="42719" s="69" customFormat="1" x14ac:dyDescent="0.15"/>
    <row r="42720" s="69" customFormat="1" x14ac:dyDescent="0.15"/>
    <row r="42721" s="69" customFormat="1" x14ac:dyDescent="0.15"/>
    <row r="42722" s="69" customFormat="1" x14ac:dyDescent="0.15"/>
    <row r="42723" s="69" customFormat="1" x14ac:dyDescent="0.15"/>
    <row r="42724" s="69" customFormat="1" x14ac:dyDescent="0.15"/>
    <row r="42725" s="69" customFormat="1" x14ac:dyDescent="0.15"/>
    <row r="42726" s="69" customFormat="1" x14ac:dyDescent="0.15"/>
    <row r="42727" s="69" customFormat="1" x14ac:dyDescent="0.15"/>
    <row r="42728" s="69" customFormat="1" x14ac:dyDescent="0.15"/>
    <row r="42729" s="69" customFormat="1" x14ac:dyDescent="0.15"/>
    <row r="42730" s="69" customFormat="1" x14ac:dyDescent="0.15"/>
    <row r="42731" s="69" customFormat="1" x14ac:dyDescent="0.15"/>
    <row r="42732" s="69" customFormat="1" x14ac:dyDescent="0.15"/>
    <row r="42733" s="69" customFormat="1" x14ac:dyDescent="0.15"/>
    <row r="42734" s="69" customFormat="1" x14ac:dyDescent="0.15"/>
    <row r="42735" s="69" customFormat="1" x14ac:dyDescent="0.15"/>
    <row r="42736" s="69" customFormat="1" x14ac:dyDescent="0.15"/>
    <row r="42737" s="69" customFormat="1" x14ac:dyDescent="0.15"/>
    <row r="42738" s="69" customFormat="1" x14ac:dyDescent="0.15"/>
    <row r="42739" s="69" customFormat="1" x14ac:dyDescent="0.15"/>
    <row r="42740" s="69" customFormat="1" x14ac:dyDescent="0.15"/>
    <row r="42741" s="69" customFormat="1" x14ac:dyDescent="0.15"/>
    <row r="42742" s="69" customFormat="1" x14ac:dyDescent="0.15"/>
    <row r="42743" s="69" customFormat="1" x14ac:dyDescent="0.15"/>
    <row r="42744" s="69" customFormat="1" x14ac:dyDescent="0.15"/>
    <row r="42745" s="69" customFormat="1" x14ac:dyDescent="0.15"/>
    <row r="42746" s="69" customFormat="1" x14ac:dyDescent="0.15"/>
    <row r="42747" s="69" customFormat="1" x14ac:dyDescent="0.15"/>
    <row r="42748" s="69" customFormat="1" x14ac:dyDescent="0.15"/>
    <row r="42749" s="69" customFormat="1" x14ac:dyDescent="0.15"/>
    <row r="42750" s="69" customFormat="1" x14ac:dyDescent="0.15"/>
    <row r="42751" s="69" customFormat="1" x14ac:dyDescent="0.15"/>
    <row r="42752" s="69" customFormat="1" x14ac:dyDescent="0.15"/>
    <row r="42753" s="69" customFormat="1" x14ac:dyDescent="0.15"/>
    <row r="42754" s="69" customFormat="1" x14ac:dyDescent="0.15"/>
    <row r="42755" s="69" customFormat="1" x14ac:dyDescent="0.15"/>
    <row r="42756" s="69" customFormat="1" x14ac:dyDescent="0.15"/>
    <row r="42757" s="69" customFormat="1" x14ac:dyDescent="0.15"/>
    <row r="42758" s="69" customFormat="1" x14ac:dyDescent="0.15"/>
    <row r="42759" s="69" customFormat="1" x14ac:dyDescent="0.15"/>
    <row r="42760" s="69" customFormat="1" x14ac:dyDescent="0.15"/>
    <row r="42761" s="69" customFormat="1" x14ac:dyDescent="0.15"/>
    <row r="42762" s="69" customFormat="1" x14ac:dyDescent="0.15"/>
    <row r="42763" s="69" customFormat="1" x14ac:dyDescent="0.15"/>
    <row r="42764" s="69" customFormat="1" x14ac:dyDescent="0.15"/>
    <row r="42765" s="69" customFormat="1" x14ac:dyDescent="0.15"/>
    <row r="42766" s="69" customFormat="1" x14ac:dyDescent="0.15"/>
    <row r="42767" s="69" customFormat="1" x14ac:dyDescent="0.15"/>
    <row r="42768" s="69" customFormat="1" x14ac:dyDescent="0.15"/>
    <row r="42769" s="69" customFormat="1" x14ac:dyDescent="0.15"/>
    <row r="42770" s="69" customFormat="1" x14ac:dyDescent="0.15"/>
    <row r="42771" s="69" customFormat="1" x14ac:dyDescent="0.15"/>
    <row r="42772" s="69" customFormat="1" x14ac:dyDescent="0.15"/>
    <row r="42773" s="69" customFormat="1" x14ac:dyDescent="0.15"/>
    <row r="42774" s="69" customFormat="1" x14ac:dyDescent="0.15"/>
    <row r="42775" s="69" customFormat="1" x14ac:dyDescent="0.15"/>
    <row r="42776" s="69" customFormat="1" x14ac:dyDescent="0.15"/>
    <row r="42777" s="69" customFormat="1" x14ac:dyDescent="0.15"/>
    <row r="42778" s="69" customFormat="1" x14ac:dyDescent="0.15"/>
    <row r="42779" s="69" customFormat="1" x14ac:dyDescent="0.15"/>
    <row r="42780" s="69" customFormat="1" x14ac:dyDescent="0.15"/>
    <row r="42781" s="69" customFormat="1" x14ac:dyDescent="0.15"/>
    <row r="42782" s="69" customFormat="1" x14ac:dyDescent="0.15"/>
    <row r="42783" s="69" customFormat="1" x14ac:dyDescent="0.15"/>
    <row r="42784" s="69" customFormat="1" x14ac:dyDescent="0.15"/>
    <row r="42785" s="69" customFormat="1" x14ac:dyDescent="0.15"/>
    <row r="42786" s="69" customFormat="1" x14ac:dyDescent="0.15"/>
    <row r="42787" s="69" customFormat="1" x14ac:dyDescent="0.15"/>
    <row r="42788" s="69" customFormat="1" x14ac:dyDescent="0.15"/>
    <row r="42789" s="69" customFormat="1" x14ac:dyDescent="0.15"/>
    <row r="42790" s="69" customFormat="1" x14ac:dyDescent="0.15"/>
    <row r="42791" s="69" customFormat="1" x14ac:dyDescent="0.15"/>
    <row r="42792" s="69" customFormat="1" x14ac:dyDescent="0.15"/>
    <row r="42793" s="69" customFormat="1" x14ac:dyDescent="0.15"/>
    <row r="42794" s="69" customFormat="1" x14ac:dyDescent="0.15"/>
    <row r="42795" s="69" customFormat="1" x14ac:dyDescent="0.15"/>
    <row r="42796" s="69" customFormat="1" x14ac:dyDescent="0.15"/>
    <row r="42797" s="69" customFormat="1" x14ac:dyDescent="0.15"/>
    <row r="42798" s="69" customFormat="1" x14ac:dyDescent="0.15"/>
    <row r="42799" s="69" customFormat="1" x14ac:dyDescent="0.15"/>
    <row r="42800" s="69" customFormat="1" x14ac:dyDescent="0.15"/>
    <row r="42801" s="69" customFormat="1" x14ac:dyDescent="0.15"/>
    <row r="42802" s="69" customFormat="1" x14ac:dyDescent="0.15"/>
    <row r="42803" s="69" customFormat="1" x14ac:dyDescent="0.15"/>
    <row r="42804" s="69" customFormat="1" x14ac:dyDescent="0.15"/>
    <row r="42805" s="69" customFormat="1" x14ac:dyDescent="0.15"/>
    <row r="42806" s="69" customFormat="1" x14ac:dyDescent="0.15"/>
    <row r="42807" s="69" customFormat="1" x14ac:dyDescent="0.15"/>
    <row r="42808" s="69" customFormat="1" x14ac:dyDescent="0.15"/>
    <row r="42809" s="69" customFormat="1" x14ac:dyDescent="0.15"/>
    <row r="42810" s="69" customFormat="1" x14ac:dyDescent="0.15"/>
    <row r="42811" s="69" customFormat="1" x14ac:dyDescent="0.15"/>
    <row r="42812" s="69" customFormat="1" x14ac:dyDescent="0.15"/>
    <row r="42813" s="69" customFormat="1" x14ac:dyDescent="0.15"/>
    <row r="42814" s="69" customFormat="1" x14ac:dyDescent="0.15"/>
    <row r="42815" s="69" customFormat="1" x14ac:dyDescent="0.15"/>
    <row r="42816" s="69" customFormat="1" x14ac:dyDescent="0.15"/>
    <row r="42817" s="69" customFormat="1" x14ac:dyDescent="0.15"/>
    <row r="42818" s="69" customFormat="1" x14ac:dyDescent="0.15"/>
    <row r="42819" s="69" customFormat="1" x14ac:dyDescent="0.15"/>
    <row r="42820" s="69" customFormat="1" x14ac:dyDescent="0.15"/>
    <row r="42821" s="69" customFormat="1" x14ac:dyDescent="0.15"/>
    <row r="42822" s="69" customFormat="1" x14ac:dyDescent="0.15"/>
    <row r="42823" s="69" customFormat="1" x14ac:dyDescent="0.15"/>
    <row r="42824" s="69" customFormat="1" x14ac:dyDescent="0.15"/>
    <row r="42825" s="69" customFormat="1" x14ac:dyDescent="0.15"/>
    <row r="42826" s="69" customFormat="1" x14ac:dyDescent="0.15"/>
    <row r="42827" s="69" customFormat="1" x14ac:dyDescent="0.15"/>
    <row r="42828" s="69" customFormat="1" x14ac:dyDescent="0.15"/>
    <row r="42829" s="69" customFormat="1" x14ac:dyDescent="0.15"/>
    <row r="42830" s="69" customFormat="1" x14ac:dyDescent="0.15"/>
    <row r="42831" s="69" customFormat="1" x14ac:dyDescent="0.15"/>
    <row r="42832" s="69" customFormat="1" x14ac:dyDescent="0.15"/>
    <row r="42833" s="69" customFormat="1" x14ac:dyDescent="0.15"/>
    <row r="42834" s="69" customFormat="1" x14ac:dyDescent="0.15"/>
    <row r="42835" s="69" customFormat="1" x14ac:dyDescent="0.15"/>
    <row r="42836" s="69" customFormat="1" x14ac:dyDescent="0.15"/>
    <row r="42837" s="69" customFormat="1" x14ac:dyDescent="0.15"/>
    <row r="42838" s="69" customFormat="1" x14ac:dyDescent="0.15"/>
    <row r="42839" s="69" customFormat="1" x14ac:dyDescent="0.15"/>
    <row r="42840" s="69" customFormat="1" x14ac:dyDescent="0.15"/>
    <row r="42841" s="69" customFormat="1" x14ac:dyDescent="0.15"/>
    <row r="42842" s="69" customFormat="1" x14ac:dyDescent="0.15"/>
    <row r="42843" s="69" customFormat="1" x14ac:dyDescent="0.15"/>
    <row r="42844" s="69" customFormat="1" x14ac:dyDescent="0.15"/>
    <row r="42845" s="69" customFormat="1" x14ac:dyDescent="0.15"/>
    <row r="42846" s="69" customFormat="1" x14ac:dyDescent="0.15"/>
    <row r="42847" s="69" customFormat="1" x14ac:dyDescent="0.15"/>
    <row r="42848" s="69" customFormat="1" x14ac:dyDescent="0.15"/>
    <row r="42849" s="69" customFormat="1" x14ac:dyDescent="0.15"/>
    <row r="42850" s="69" customFormat="1" x14ac:dyDescent="0.15"/>
    <row r="42851" s="69" customFormat="1" x14ac:dyDescent="0.15"/>
    <row r="42852" s="69" customFormat="1" x14ac:dyDescent="0.15"/>
    <row r="42853" s="69" customFormat="1" x14ac:dyDescent="0.15"/>
    <row r="42854" s="69" customFormat="1" x14ac:dyDescent="0.15"/>
    <row r="42855" s="69" customFormat="1" x14ac:dyDescent="0.15"/>
    <row r="42856" s="69" customFormat="1" x14ac:dyDescent="0.15"/>
    <row r="42857" s="69" customFormat="1" x14ac:dyDescent="0.15"/>
    <row r="42858" s="69" customFormat="1" x14ac:dyDescent="0.15"/>
    <row r="42859" s="69" customFormat="1" x14ac:dyDescent="0.15"/>
    <row r="42860" s="69" customFormat="1" x14ac:dyDescent="0.15"/>
    <row r="42861" s="69" customFormat="1" x14ac:dyDescent="0.15"/>
    <row r="42862" s="69" customFormat="1" x14ac:dyDescent="0.15"/>
    <row r="42863" s="69" customFormat="1" x14ac:dyDescent="0.15"/>
    <row r="42864" s="69" customFormat="1" x14ac:dyDescent="0.15"/>
    <row r="42865" s="69" customFormat="1" x14ac:dyDescent="0.15"/>
    <row r="42866" s="69" customFormat="1" x14ac:dyDescent="0.15"/>
    <row r="42867" s="69" customFormat="1" x14ac:dyDescent="0.15"/>
    <row r="42868" s="69" customFormat="1" x14ac:dyDescent="0.15"/>
    <row r="42869" s="69" customFormat="1" x14ac:dyDescent="0.15"/>
    <row r="42870" s="69" customFormat="1" x14ac:dyDescent="0.15"/>
    <row r="42871" s="69" customFormat="1" x14ac:dyDescent="0.15"/>
    <row r="42872" s="69" customFormat="1" x14ac:dyDescent="0.15"/>
    <row r="42873" s="69" customFormat="1" x14ac:dyDescent="0.15"/>
    <row r="42874" s="69" customFormat="1" x14ac:dyDescent="0.15"/>
    <row r="42875" s="69" customFormat="1" x14ac:dyDescent="0.15"/>
    <row r="42876" s="69" customFormat="1" x14ac:dyDescent="0.15"/>
    <row r="42877" s="69" customFormat="1" x14ac:dyDescent="0.15"/>
    <row r="42878" s="69" customFormat="1" x14ac:dyDescent="0.15"/>
    <row r="42879" s="69" customFormat="1" x14ac:dyDescent="0.15"/>
    <row r="42880" s="69" customFormat="1" x14ac:dyDescent="0.15"/>
    <row r="42881" s="69" customFormat="1" x14ac:dyDescent="0.15"/>
    <row r="42882" s="69" customFormat="1" x14ac:dyDescent="0.15"/>
    <row r="42883" s="69" customFormat="1" x14ac:dyDescent="0.15"/>
    <row r="42884" s="69" customFormat="1" x14ac:dyDescent="0.15"/>
    <row r="42885" s="69" customFormat="1" x14ac:dyDescent="0.15"/>
    <row r="42886" s="69" customFormat="1" x14ac:dyDescent="0.15"/>
    <row r="42887" s="69" customFormat="1" x14ac:dyDescent="0.15"/>
    <row r="42888" s="69" customFormat="1" x14ac:dyDescent="0.15"/>
    <row r="42889" s="69" customFormat="1" x14ac:dyDescent="0.15"/>
    <row r="42890" s="69" customFormat="1" x14ac:dyDescent="0.15"/>
    <row r="42891" s="69" customFormat="1" x14ac:dyDescent="0.15"/>
    <row r="42892" s="69" customFormat="1" x14ac:dyDescent="0.15"/>
    <row r="42893" s="69" customFormat="1" x14ac:dyDescent="0.15"/>
    <row r="42894" s="69" customFormat="1" x14ac:dyDescent="0.15"/>
    <row r="42895" s="69" customFormat="1" x14ac:dyDescent="0.15"/>
    <row r="42896" s="69" customFormat="1" x14ac:dyDescent="0.15"/>
    <row r="42897" s="69" customFormat="1" x14ac:dyDescent="0.15"/>
    <row r="42898" s="69" customFormat="1" x14ac:dyDescent="0.15"/>
    <row r="42899" s="69" customFormat="1" x14ac:dyDescent="0.15"/>
    <row r="42900" s="69" customFormat="1" x14ac:dyDescent="0.15"/>
    <row r="42901" s="69" customFormat="1" x14ac:dyDescent="0.15"/>
    <row r="42902" s="69" customFormat="1" x14ac:dyDescent="0.15"/>
    <row r="42903" s="69" customFormat="1" x14ac:dyDescent="0.15"/>
    <row r="42904" s="69" customFormat="1" x14ac:dyDescent="0.15"/>
    <row r="42905" s="69" customFormat="1" x14ac:dyDescent="0.15"/>
    <row r="42906" s="69" customFormat="1" x14ac:dyDescent="0.15"/>
    <row r="42907" s="69" customFormat="1" x14ac:dyDescent="0.15"/>
    <row r="42908" s="69" customFormat="1" x14ac:dyDescent="0.15"/>
    <row r="42909" s="69" customFormat="1" x14ac:dyDescent="0.15"/>
    <row r="42910" s="69" customFormat="1" x14ac:dyDescent="0.15"/>
    <row r="42911" s="69" customFormat="1" x14ac:dyDescent="0.15"/>
    <row r="42912" s="69" customFormat="1" x14ac:dyDescent="0.15"/>
    <row r="42913" s="69" customFormat="1" x14ac:dyDescent="0.15"/>
    <row r="42914" s="69" customFormat="1" x14ac:dyDescent="0.15"/>
    <row r="42915" s="69" customFormat="1" x14ac:dyDescent="0.15"/>
    <row r="42916" s="69" customFormat="1" x14ac:dyDescent="0.15"/>
    <row r="42917" s="69" customFormat="1" x14ac:dyDescent="0.15"/>
    <row r="42918" s="69" customFormat="1" x14ac:dyDescent="0.15"/>
    <row r="42919" s="69" customFormat="1" x14ac:dyDescent="0.15"/>
    <row r="42920" s="69" customFormat="1" x14ac:dyDescent="0.15"/>
    <row r="42921" s="69" customFormat="1" x14ac:dyDescent="0.15"/>
    <row r="42922" s="69" customFormat="1" x14ac:dyDescent="0.15"/>
    <row r="42923" s="69" customFormat="1" x14ac:dyDescent="0.15"/>
    <row r="42924" s="69" customFormat="1" x14ac:dyDescent="0.15"/>
    <row r="42925" s="69" customFormat="1" x14ac:dyDescent="0.15"/>
    <row r="42926" s="69" customFormat="1" x14ac:dyDescent="0.15"/>
    <row r="42927" s="69" customFormat="1" x14ac:dyDescent="0.15"/>
    <row r="42928" s="69" customFormat="1" x14ac:dyDescent="0.15"/>
    <row r="42929" s="69" customFormat="1" x14ac:dyDescent="0.15"/>
    <row r="42930" s="69" customFormat="1" x14ac:dyDescent="0.15"/>
    <row r="42931" s="69" customFormat="1" x14ac:dyDescent="0.15"/>
    <row r="42932" s="69" customFormat="1" x14ac:dyDescent="0.15"/>
    <row r="42933" s="69" customFormat="1" x14ac:dyDescent="0.15"/>
    <row r="42934" s="69" customFormat="1" x14ac:dyDescent="0.15"/>
    <row r="42935" s="69" customFormat="1" x14ac:dyDescent="0.15"/>
    <row r="42936" s="69" customFormat="1" x14ac:dyDescent="0.15"/>
    <row r="42937" s="69" customFormat="1" x14ac:dyDescent="0.15"/>
    <row r="42938" s="69" customFormat="1" x14ac:dyDescent="0.15"/>
    <row r="42939" s="69" customFormat="1" x14ac:dyDescent="0.15"/>
    <row r="42940" s="69" customFormat="1" x14ac:dyDescent="0.15"/>
    <row r="42941" s="69" customFormat="1" x14ac:dyDescent="0.15"/>
    <row r="42942" s="69" customFormat="1" x14ac:dyDescent="0.15"/>
    <row r="42943" s="69" customFormat="1" x14ac:dyDescent="0.15"/>
    <row r="42944" s="69" customFormat="1" x14ac:dyDescent="0.15"/>
    <row r="42945" s="69" customFormat="1" x14ac:dyDescent="0.15"/>
    <row r="42946" s="69" customFormat="1" x14ac:dyDescent="0.15"/>
    <row r="42947" s="69" customFormat="1" x14ac:dyDescent="0.15"/>
    <row r="42948" s="69" customFormat="1" x14ac:dyDescent="0.15"/>
    <row r="42949" s="69" customFormat="1" x14ac:dyDescent="0.15"/>
    <row r="42950" s="69" customFormat="1" x14ac:dyDescent="0.15"/>
    <row r="42951" s="69" customFormat="1" x14ac:dyDescent="0.15"/>
    <row r="42952" s="69" customFormat="1" x14ac:dyDescent="0.15"/>
    <row r="42953" s="69" customFormat="1" x14ac:dyDescent="0.15"/>
    <row r="42954" s="69" customFormat="1" x14ac:dyDescent="0.15"/>
    <row r="42955" s="69" customFormat="1" x14ac:dyDescent="0.15"/>
    <row r="42956" s="69" customFormat="1" x14ac:dyDescent="0.15"/>
    <row r="42957" s="69" customFormat="1" x14ac:dyDescent="0.15"/>
    <row r="42958" s="69" customFormat="1" x14ac:dyDescent="0.15"/>
    <row r="42959" s="69" customFormat="1" x14ac:dyDescent="0.15"/>
    <row r="42960" s="69" customFormat="1" x14ac:dyDescent="0.15"/>
    <row r="42961" s="69" customFormat="1" x14ac:dyDescent="0.15"/>
    <row r="42962" s="69" customFormat="1" x14ac:dyDescent="0.15"/>
    <row r="42963" s="69" customFormat="1" x14ac:dyDescent="0.15"/>
    <row r="42964" s="69" customFormat="1" x14ac:dyDescent="0.15"/>
    <row r="42965" s="69" customFormat="1" x14ac:dyDescent="0.15"/>
    <row r="42966" s="69" customFormat="1" x14ac:dyDescent="0.15"/>
    <row r="42967" s="69" customFormat="1" x14ac:dyDescent="0.15"/>
    <row r="42968" s="69" customFormat="1" x14ac:dyDescent="0.15"/>
    <row r="42969" s="69" customFormat="1" x14ac:dyDescent="0.15"/>
    <row r="42970" s="69" customFormat="1" x14ac:dyDescent="0.15"/>
    <row r="42971" s="69" customFormat="1" x14ac:dyDescent="0.15"/>
    <row r="42972" s="69" customFormat="1" x14ac:dyDescent="0.15"/>
    <row r="42973" s="69" customFormat="1" x14ac:dyDescent="0.15"/>
    <row r="42974" s="69" customFormat="1" x14ac:dyDescent="0.15"/>
    <row r="42975" s="69" customFormat="1" x14ac:dyDescent="0.15"/>
    <row r="42976" s="69" customFormat="1" x14ac:dyDescent="0.15"/>
    <row r="42977" s="69" customFormat="1" x14ac:dyDescent="0.15"/>
    <row r="42978" s="69" customFormat="1" x14ac:dyDescent="0.15"/>
    <row r="42979" s="69" customFormat="1" x14ac:dyDescent="0.15"/>
    <row r="42980" s="69" customFormat="1" x14ac:dyDescent="0.15"/>
    <row r="42981" s="69" customFormat="1" x14ac:dyDescent="0.15"/>
    <row r="42982" s="69" customFormat="1" x14ac:dyDescent="0.15"/>
    <row r="42983" s="69" customFormat="1" x14ac:dyDescent="0.15"/>
    <row r="42984" s="69" customFormat="1" x14ac:dyDescent="0.15"/>
    <row r="42985" s="69" customFormat="1" x14ac:dyDescent="0.15"/>
    <row r="42986" s="69" customFormat="1" x14ac:dyDescent="0.15"/>
    <row r="42987" s="69" customFormat="1" x14ac:dyDescent="0.15"/>
    <row r="42988" s="69" customFormat="1" x14ac:dyDescent="0.15"/>
    <row r="42989" s="69" customFormat="1" x14ac:dyDescent="0.15"/>
    <row r="42990" s="69" customFormat="1" x14ac:dyDescent="0.15"/>
    <row r="42991" s="69" customFormat="1" x14ac:dyDescent="0.15"/>
    <row r="42992" s="69" customFormat="1" x14ac:dyDescent="0.15"/>
    <row r="42993" s="69" customFormat="1" x14ac:dyDescent="0.15"/>
    <row r="42994" s="69" customFormat="1" x14ac:dyDescent="0.15"/>
    <row r="42995" s="69" customFormat="1" x14ac:dyDescent="0.15"/>
    <row r="42996" s="69" customFormat="1" x14ac:dyDescent="0.15"/>
    <row r="42997" s="69" customFormat="1" x14ac:dyDescent="0.15"/>
    <row r="42998" s="69" customFormat="1" x14ac:dyDescent="0.15"/>
    <row r="42999" s="69" customFormat="1" x14ac:dyDescent="0.15"/>
    <row r="43000" s="69" customFormat="1" x14ac:dyDescent="0.15"/>
    <row r="43001" s="69" customFormat="1" x14ac:dyDescent="0.15"/>
    <row r="43002" s="69" customFormat="1" x14ac:dyDescent="0.15"/>
    <row r="43003" s="69" customFormat="1" x14ac:dyDescent="0.15"/>
    <row r="43004" s="69" customFormat="1" x14ac:dyDescent="0.15"/>
    <row r="43005" s="69" customFormat="1" x14ac:dyDescent="0.15"/>
    <row r="43006" s="69" customFormat="1" x14ac:dyDescent="0.15"/>
    <row r="43007" s="69" customFormat="1" x14ac:dyDescent="0.15"/>
    <row r="43008" s="69" customFormat="1" x14ac:dyDescent="0.15"/>
    <row r="43009" s="69" customFormat="1" x14ac:dyDescent="0.15"/>
    <row r="43010" s="69" customFormat="1" x14ac:dyDescent="0.15"/>
    <row r="43011" s="69" customFormat="1" x14ac:dyDescent="0.15"/>
    <row r="43012" s="69" customFormat="1" x14ac:dyDescent="0.15"/>
    <row r="43013" s="69" customFormat="1" x14ac:dyDescent="0.15"/>
    <row r="43014" s="69" customFormat="1" x14ac:dyDescent="0.15"/>
    <row r="43015" s="69" customFormat="1" x14ac:dyDescent="0.15"/>
    <row r="43016" s="69" customFormat="1" x14ac:dyDescent="0.15"/>
    <row r="43017" s="69" customFormat="1" x14ac:dyDescent="0.15"/>
    <row r="43018" s="69" customFormat="1" x14ac:dyDescent="0.15"/>
    <row r="43019" s="69" customFormat="1" x14ac:dyDescent="0.15"/>
    <row r="43020" s="69" customFormat="1" x14ac:dyDescent="0.15"/>
    <row r="43021" s="69" customFormat="1" x14ac:dyDescent="0.15"/>
    <row r="43022" s="69" customFormat="1" x14ac:dyDescent="0.15"/>
    <row r="43023" s="69" customFormat="1" x14ac:dyDescent="0.15"/>
    <row r="43024" s="69" customFormat="1" x14ac:dyDescent="0.15"/>
    <row r="43025" s="69" customFormat="1" x14ac:dyDescent="0.15"/>
    <row r="43026" s="69" customFormat="1" x14ac:dyDescent="0.15"/>
    <row r="43027" s="69" customFormat="1" x14ac:dyDescent="0.15"/>
    <row r="43028" s="69" customFormat="1" x14ac:dyDescent="0.15"/>
    <row r="43029" s="69" customFormat="1" x14ac:dyDescent="0.15"/>
    <row r="43030" s="69" customFormat="1" x14ac:dyDescent="0.15"/>
    <row r="43031" s="69" customFormat="1" x14ac:dyDescent="0.15"/>
    <row r="43032" s="69" customFormat="1" x14ac:dyDescent="0.15"/>
    <row r="43033" s="69" customFormat="1" x14ac:dyDescent="0.15"/>
    <row r="43034" s="69" customFormat="1" x14ac:dyDescent="0.15"/>
    <row r="43035" s="69" customFormat="1" x14ac:dyDescent="0.15"/>
    <row r="43036" s="69" customFormat="1" x14ac:dyDescent="0.15"/>
    <row r="43037" s="69" customFormat="1" x14ac:dyDescent="0.15"/>
    <row r="43038" s="69" customFormat="1" x14ac:dyDescent="0.15"/>
    <row r="43039" s="69" customFormat="1" x14ac:dyDescent="0.15"/>
    <row r="43040" s="69" customFormat="1" x14ac:dyDescent="0.15"/>
    <row r="43041" s="69" customFormat="1" x14ac:dyDescent="0.15"/>
    <row r="43042" s="69" customFormat="1" x14ac:dyDescent="0.15"/>
    <row r="43043" s="69" customFormat="1" x14ac:dyDescent="0.15"/>
    <row r="43044" s="69" customFormat="1" x14ac:dyDescent="0.15"/>
    <row r="43045" s="69" customFormat="1" x14ac:dyDescent="0.15"/>
    <row r="43046" s="69" customFormat="1" x14ac:dyDescent="0.15"/>
    <row r="43047" s="69" customFormat="1" x14ac:dyDescent="0.15"/>
    <row r="43048" s="69" customFormat="1" x14ac:dyDescent="0.15"/>
    <row r="43049" s="69" customFormat="1" x14ac:dyDescent="0.15"/>
    <row r="43050" s="69" customFormat="1" x14ac:dyDescent="0.15"/>
    <row r="43051" s="69" customFormat="1" x14ac:dyDescent="0.15"/>
    <row r="43052" s="69" customFormat="1" x14ac:dyDescent="0.15"/>
    <row r="43053" s="69" customFormat="1" x14ac:dyDescent="0.15"/>
    <row r="43054" s="69" customFormat="1" x14ac:dyDescent="0.15"/>
    <row r="43055" s="69" customFormat="1" x14ac:dyDescent="0.15"/>
    <row r="43056" s="69" customFormat="1" x14ac:dyDescent="0.15"/>
    <row r="43057" s="69" customFormat="1" x14ac:dyDescent="0.15"/>
    <row r="43058" s="69" customFormat="1" x14ac:dyDescent="0.15"/>
    <row r="43059" s="69" customFormat="1" x14ac:dyDescent="0.15"/>
    <row r="43060" s="69" customFormat="1" x14ac:dyDescent="0.15"/>
    <row r="43061" s="69" customFormat="1" x14ac:dyDescent="0.15"/>
    <row r="43062" s="69" customFormat="1" x14ac:dyDescent="0.15"/>
    <row r="43063" s="69" customFormat="1" x14ac:dyDescent="0.15"/>
    <row r="43064" s="69" customFormat="1" x14ac:dyDescent="0.15"/>
    <row r="43065" s="69" customFormat="1" x14ac:dyDescent="0.15"/>
    <row r="43066" s="69" customFormat="1" x14ac:dyDescent="0.15"/>
    <row r="43067" s="69" customFormat="1" x14ac:dyDescent="0.15"/>
    <row r="43068" s="69" customFormat="1" x14ac:dyDescent="0.15"/>
    <row r="43069" s="69" customFormat="1" x14ac:dyDescent="0.15"/>
    <row r="43070" s="69" customFormat="1" x14ac:dyDescent="0.15"/>
    <row r="43071" s="69" customFormat="1" x14ac:dyDescent="0.15"/>
    <row r="43072" s="69" customFormat="1" x14ac:dyDescent="0.15"/>
    <row r="43073" s="69" customFormat="1" x14ac:dyDescent="0.15"/>
    <row r="43074" s="69" customFormat="1" x14ac:dyDescent="0.15"/>
    <row r="43075" s="69" customFormat="1" x14ac:dyDescent="0.15"/>
    <row r="43076" s="69" customFormat="1" x14ac:dyDescent="0.15"/>
    <row r="43077" s="69" customFormat="1" x14ac:dyDescent="0.15"/>
    <row r="43078" s="69" customFormat="1" x14ac:dyDescent="0.15"/>
    <row r="43079" s="69" customFormat="1" x14ac:dyDescent="0.15"/>
    <row r="43080" s="69" customFormat="1" x14ac:dyDescent="0.15"/>
    <row r="43081" s="69" customFormat="1" x14ac:dyDescent="0.15"/>
    <row r="43082" s="69" customFormat="1" x14ac:dyDescent="0.15"/>
    <row r="43083" s="69" customFormat="1" x14ac:dyDescent="0.15"/>
    <row r="43084" s="69" customFormat="1" x14ac:dyDescent="0.15"/>
    <row r="43085" s="69" customFormat="1" x14ac:dyDescent="0.15"/>
    <row r="43086" s="69" customFormat="1" x14ac:dyDescent="0.15"/>
    <row r="43087" s="69" customFormat="1" x14ac:dyDescent="0.15"/>
    <row r="43088" s="69" customFormat="1" x14ac:dyDescent="0.15"/>
    <row r="43089" s="69" customFormat="1" x14ac:dyDescent="0.15"/>
    <row r="43090" s="69" customFormat="1" x14ac:dyDescent="0.15"/>
    <row r="43091" s="69" customFormat="1" x14ac:dyDescent="0.15"/>
    <row r="43092" s="69" customFormat="1" x14ac:dyDescent="0.15"/>
    <row r="43093" s="69" customFormat="1" x14ac:dyDescent="0.15"/>
    <row r="43094" s="69" customFormat="1" x14ac:dyDescent="0.15"/>
    <row r="43095" s="69" customFormat="1" x14ac:dyDescent="0.15"/>
    <row r="43096" s="69" customFormat="1" x14ac:dyDescent="0.15"/>
    <row r="43097" s="69" customFormat="1" x14ac:dyDescent="0.15"/>
    <row r="43098" s="69" customFormat="1" x14ac:dyDescent="0.15"/>
    <row r="43099" s="69" customFormat="1" x14ac:dyDescent="0.15"/>
    <row r="43100" s="69" customFormat="1" x14ac:dyDescent="0.15"/>
    <row r="43101" s="69" customFormat="1" x14ac:dyDescent="0.15"/>
    <row r="43102" s="69" customFormat="1" x14ac:dyDescent="0.15"/>
    <row r="43103" s="69" customFormat="1" x14ac:dyDescent="0.15"/>
    <row r="43104" s="69" customFormat="1" x14ac:dyDescent="0.15"/>
    <row r="43105" s="69" customFormat="1" x14ac:dyDescent="0.15"/>
    <row r="43106" s="69" customFormat="1" x14ac:dyDescent="0.15"/>
    <row r="43107" s="69" customFormat="1" x14ac:dyDescent="0.15"/>
    <row r="43108" s="69" customFormat="1" x14ac:dyDescent="0.15"/>
    <row r="43109" s="69" customFormat="1" x14ac:dyDescent="0.15"/>
    <row r="43110" s="69" customFormat="1" x14ac:dyDescent="0.15"/>
    <row r="43111" s="69" customFormat="1" x14ac:dyDescent="0.15"/>
    <row r="43112" s="69" customFormat="1" x14ac:dyDescent="0.15"/>
    <row r="43113" s="69" customFormat="1" x14ac:dyDescent="0.15"/>
    <row r="43114" s="69" customFormat="1" x14ac:dyDescent="0.15"/>
    <row r="43115" s="69" customFormat="1" x14ac:dyDescent="0.15"/>
    <row r="43116" s="69" customFormat="1" x14ac:dyDescent="0.15"/>
    <row r="43117" s="69" customFormat="1" x14ac:dyDescent="0.15"/>
    <row r="43118" s="69" customFormat="1" x14ac:dyDescent="0.15"/>
    <row r="43119" s="69" customFormat="1" x14ac:dyDescent="0.15"/>
    <row r="43120" s="69" customFormat="1" x14ac:dyDescent="0.15"/>
    <row r="43121" s="69" customFormat="1" x14ac:dyDescent="0.15"/>
    <row r="43122" s="69" customFormat="1" x14ac:dyDescent="0.15"/>
    <row r="43123" s="69" customFormat="1" x14ac:dyDescent="0.15"/>
    <row r="43124" s="69" customFormat="1" x14ac:dyDescent="0.15"/>
    <row r="43125" s="69" customFormat="1" x14ac:dyDescent="0.15"/>
    <row r="43126" s="69" customFormat="1" x14ac:dyDescent="0.15"/>
    <row r="43127" s="69" customFormat="1" x14ac:dyDescent="0.15"/>
    <row r="43128" s="69" customFormat="1" x14ac:dyDescent="0.15"/>
    <row r="43129" s="69" customFormat="1" x14ac:dyDescent="0.15"/>
    <row r="43130" s="69" customFormat="1" x14ac:dyDescent="0.15"/>
    <row r="43131" s="69" customFormat="1" x14ac:dyDescent="0.15"/>
    <row r="43132" s="69" customFormat="1" x14ac:dyDescent="0.15"/>
    <row r="43133" s="69" customFormat="1" x14ac:dyDescent="0.15"/>
    <row r="43134" s="69" customFormat="1" x14ac:dyDescent="0.15"/>
    <row r="43135" s="69" customFormat="1" x14ac:dyDescent="0.15"/>
    <row r="43136" s="69" customFormat="1" x14ac:dyDescent="0.15"/>
    <row r="43137" s="69" customFormat="1" x14ac:dyDescent="0.15"/>
    <row r="43138" s="69" customFormat="1" x14ac:dyDescent="0.15"/>
    <row r="43139" s="69" customFormat="1" x14ac:dyDescent="0.15"/>
    <row r="43140" s="69" customFormat="1" x14ac:dyDescent="0.15"/>
    <row r="43141" s="69" customFormat="1" x14ac:dyDescent="0.15"/>
    <row r="43142" s="69" customFormat="1" x14ac:dyDescent="0.15"/>
    <row r="43143" s="69" customFormat="1" x14ac:dyDescent="0.15"/>
    <row r="43144" s="69" customFormat="1" x14ac:dyDescent="0.15"/>
    <row r="43145" s="69" customFormat="1" x14ac:dyDescent="0.15"/>
    <row r="43146" s="69" customFormat="1" x14ac:dyDescent="0.15"/>
    <row r="43147" s="69" customFormat="1" x14ac:dyDescent="0.15"/>
    <row r="43148" s="69" customFormat="1" x14ac:dyDescent="0.15"/>
    <row r="43149" s="69" customFormat="1" x14ac:dyDescent="0.15"/>
    <row r="43150" s="69" customFormat="1" x14ac:dyDescent="0.15"/>
    <row r="43151" s="69" customFormat="1" x14ac:dyDescent="0.15"/>
    <row r="43152" s="69" customFormat="1" x14ac:dyDescent="0.15"/>
    <row r="43153" s="69" customFormat="1" x14ac:dyDescent="0.15"/>
    <row r="43154" s="69" customFormat="1" x14ac:dyDescent="0.15"/>
    <row r="43155" s="69" customFormat="1" x14ac:dyDescent="0.15"/>
    <row r="43156" s="69" customFormat="1" x14ac:dyDescent="0.15"/>
    <row r="43157" s="69" customFormat="1" x14ac:dyDescent="0.15"/>
    <row r="43158" s="69" customFormat="1" x14ac:dyDescent="0.15"/>
    <row r="43159" s="69" customFormat="1" x14ac:dyDescent="0.15"/>
    <row r="43160" s="69" customFormat="1" x14ac:dyDescent="0.15"/>
    <row r="43161" s="69" customFormat="1" x14ac:dyDescent="0.15"/>
    <row r="43162" s="69" customFormat="1" x14ac:dyDescent="0.15"/>
    <row r="43163" s="69" customFormat="1" x14ac:dyDescent="0.15"/>
    <row r="43164" s="69" customFormat="1" x14ac:dyDescent="0.15"/>
    <row r="43165" s="69" customFormat="1" x14ac:dyDescent="0.15"/>
    <row r="43166" s="69" customFormat="1" x14ac:dyDescent="0.15"/>
    <row r="43167" s="69" customFormat="1" x14ac:dyDescent="0.15"/>
    <row r="43168" s="69" customFormat="1" x14ac:dyDescent="0.15"/>
    <row r="43169" s="69" customFormat="1" x14ac:dyDescent="0.15"/>
    <row r="43170" s="69" customFormat="1" x14ac:dyDescent="0.15"/>
    <row r="43171" s="69" customFormat="1" x14ac:dyDescent="0.15"/>
    <row r="43172" s="69" customFormat="1" x14ac:dyDescent="0.15"/>
    <row r="43173" s="69" customFormat="1" x14ac:dyDescent="0.15"/>
    <row r="43174" s="69" customFormat="1" x14ac:dyDescent="0.15"/>
    <row r="43175" s="69" customFormat="1" x14ac:dyDescent="0.15"/>
    <row r="43176" s="69" customFormat="1" x14ac:dyDescent="0.15"/>
    <row r="43177" s="69" customFormat="1" x14ac:dyDescent="0.15"/>
    <row r="43178" s="69" customFormat="1" x14ac:dyDescent="0.15"/>
    <row r="43179" s="69" customFormat="1" x14ac:dyDescent="0.15"/>
    <row r="43180" s="69" customFormat="1" x14ac:dyDescent="0.15"/>
    <row r="43181" s="69" customFormat="1" x14ac:dyDescent="0.15"/>
    <row r="43182" s="69" customFormat="1" x14ac:dyDescent="0.15"/>
    <row r="43183" s="69" customFormat="1" x14ac:dyDescent="0.15"/>
    <row r="43184" s="69" customFormat="1" x14ac:dyDescent="0.15"/>
    <row r="43185" s="69" customFormat="1" x14ac:dyDescent="0.15"/>
    <row r="43186" s="69" customFormat="1" x14ac:dyDescent="0.15"/>
    <row r="43187" s="69" customFormat="1" x14ac:dyDescent="0.15"/>
    <row r="43188" s="69" customFormat="1" x14ac:dyDescent="0.15"/>
    <row r="43189" s="69" customFormat="1" x14ac:dyDescent="0.15"/>
    <row r="43190" s="69" customFormat="1" x14ac:dyDescent="0.15"/>
    <row r="43191" s="69" customFormat="1" x14ac:dyDescent="0.15"/>
    <row r="43192" s="69" customFormat="1" x14ac:dyDescent="0.15"/>
    <row r="43193" s="69" customFormat="1" x14ac:dyDescent="0.15"/>
    <row r="43194" s="69" customFormat="1" x14ac:dyDescent="0.15"/>
    <row r="43195" s="69" customFormat="1" x14ac:dyDescent="0.15"/>
    <row r="43196" s="69" customFormat="1" x14ac:dyDescent="0.15"/>
    <row r="43197" s="69" customFormat="1" x14ac:dyDescent="0.15"/>
    <row r="43198" s="69" customFormat="1" x14ac:dyDescent="0.15"/>
    <row r="43199" s="69" customFormat="1" x14ac:dyDescent="0.15"/>
    <row r="43200" s="69" customFormat="1" x14ac:dyDescent="0.15"/>
    <row r="43201" s="69" customFormat="1" x14ac:dyDescent="0.15"/>
    <row r="43202" s="69" customFormat="1" x14ac:dyDescent="0.15"/>
    <row r="43203" s="69" customFormat="1" x14ac:dyDescent="0.15"/>
    <row r="43204" s="69" customFormat="1" x14ac:dyDescent="0.15"/>
    <row r="43205" s="69" customFormat="1" x14ac:dyDescent="0.15"/>
    <row r="43206" s="69" customFormat="1" x14ac:dyDescent="0.15"/>
    <row r="43207" s="69" customFormat="1" x14ac:dyDescent="0.15"/>
    <row r="43208" s="69" customFormat="1" x14ac:dyDescent="0.15"/>
    <row r="43209" s="69" customFormat="1" x14ac:dyDescent="0.15"/>
    <row r="43210" s="69" customFormat="1" x14ac:dyDescent="0.15"/>
    <row r="43211" s="69" customFormat="1" x14ac:dyDescent="0.15"/>
    <row r="43212" s="69" customFormat="1" x14ac:dyDescent="0.15"/>
    <row r="43213" s="69" customFormat="1" x14ac:dyDescent="0.15"/>
    <row r="43214" s="69" customFormat="1" x14ac:dyDescent="0.15"/>
    <row r="43215" s="69" customFormat="1" x14ac:dyDescent="0.15"/>
    <row r="43216" s="69" customFormat="1" x14ac:dyDescent="0.15"/>
    <row r="43217" s="69" customFormat="1" x14ac:dyDescent="0.15"/>
    <row r="43218" s="69" customFormat="1" x14ac:dyDescent="0.15"/>
    <row r="43219" s="69" customFormat="1" x14ac:dyDescent="0.15"/>
    <row r="43220" s="69" customFormat="1" x14ac:dyDescent="0.15"/>
    <row r="43221" s="69" customFormat="1" x14ac:dyDescent="0.15"/>
    <row r="43222" s="69" customFormat="1" x14ac:dyDescent="0.15"/>
    <row r="43223" s="69" customFormat="1" x14ac:dyDescent="0.15"/>
    <row r="43224" s="69" customFormat="1" x14ac:dyDescent="0.15"/>
    <row r="43225" s="69" customFormat="1" x14ac:dyDescent="0.15"/>
    <row r="43226" s="69" customFormat="1" x14ac:dyDescent="0.15"/>
    <row r="43227" s="69" customFormat="1" x14ac:dyDescent="0.15"/>
    <row r="43228" s="69" customFormat="1" x14ac:dyDescent="0.15"/>
    <row r="43229" s="69" customFormat="1" x14ac:dyDescent="0.15"/>
    <row r="43230" s="69" customFormat="1" x14ac:dyDescent="0.15"/>
    <row r="43231" s="69" customFormat="1" x14ac:dyDescent="0.15"/>
    <row r="43232" s="69" customFormat="1" x14ac:dyDescent="0.15"/>
    <row r="43233" s="69" customFormat="1" x14ac:dyDescent="0.15"/>
    <row r="43234" s="69" customFormat="1" x14ac:dyDescent="0.15"/>
    <row r="43235" s="69" customFormat="1" x14ac:dyDescent="0.15"/>
    <row r="43236" s="69" customFormat="1" x14ac:dyDescent="0.15"/>
    <row r="43237" s="69" customFormat="1" x14ac:dyDescent="0.15"/>
    <row r="43238" s="69" customFormat="1" x14ac:dyDescent="0.15"/>
    <row r="43239" s="69" customFormat="1" x14ac:dyDescent="0.15"/>
    <row r="43240" s="69" customFormat="1" x14ac:dyDescent="0.15"/>
    <row r="43241" s="69" customFormat="1" x14ac:dyDescent="0.15"/>
    <row r="43242" s="69" customFormat="1" x14ac:dyDescent="0.15"/>
    <row r="43243" s="69" customFormat="1" x14ac:dyDescent="0.15"/>
    <row r="43244" s="69" customFormat="1" x14ac:dyDescent="0.15"/>
    <row r="43245" s="69" customFormat="1" x14ac:dyDescent="0.15"/>
    <row r="43246" s="69" customFormat="1" x14ac:dyDescent="0.15"/>
    <row r="43247" s="69" customFormat="1" x14ac:dyDescent="0.15"/>
    <row r="43248" s="69" customFormat="1" x14ac:dyDescent="0.15"/>
    <row r="43249" s="69" customFormat="1" x14ac:dyDescent="0.15"/>
    <row r="43250" s="69" customFormat="1" x14ac:dyDescent="0.15"/>
    <row r="43251" s="69" customFormat="1" x14ac:dyDescent="0.15"/>
    <row r="43252" s="69" customFormat="1" x14ac:dyDescent="0.15"/>
    <row r="43253" s="69" customFormat="1" x14ac:dyDescent="0.15"/>
    <row r="43254" s="69" customFormat="1" x14ac:dyDescent="0.15"/>
    <row r="43255" s="69" customFormat="1" x14ac:dyDescent="0.15"/>
    <row r="43256" s="69" customFormat="1" x14ac:dyDescent="0.15"/>
    <row r="43257" s="69" customFormat="1" x14ac:dyDescent="0.15"/>
    <row r="43258" s="69" customFormat="1" x14ac:dyDescent="0.15"/>
    <row r="43259" s="69" customFormat="1" x14ac:dyDescent="0.15"/>
    <row r="43260" s="69" customFormat="1" x14ac:dyDescent="0.15"/>
    <row r="43261" s="69" customFormat="1" x14ac:dyDescent="0.15"/>
    <row r="43262" s="69" customFormat="1" x14ac:dyDescent="0.15"/>
    <row r="43263" s="69" customFormat="1" x14ac:dyDescent="0.15"/>
    <row r="43264" s="69" customFormat="1" x14ac:dyDescent="0.15"/>
    <row r="43265" s="69" customFormat="1" x14ac:dyDescent="0.15"/>
    <row r="43266" s="69" customFormat="1" x14ac:dyDescent="0.15"/>
    <row r="43267" s="69" customFormat="1" x14ac:dyDescent="0.15"/>
    <row r="43268" s="69" customFormat="1" x14ac:dyDescent="0.15"/>
    <row r="43269" s="69" customFormat="1" x14ac:dyDescent="0.15"/>
    <row r="43270" s="69" customFormat="1" x14ac:dyDescent="0.15"/>
    <row r="43271" s="69" customFormat="1" x14ac:dyDescent="0.15"/>
    <row r="43272" s="69" customFormat="1" x14ac:dyDescent="0.15"/>
    <row r="43273" s="69" customFormat="1" x14ac:dyDescent="0.15"/>
    <row r="43274" s="69" customFormat="1" x14ac:dyDescent="0.15"/>
    <row r="43275" s="69" customFormat="1" x14ac:dyDescent="0.15"/>
    <row r="43276" s="69" customFormat="1" x14ac:dyDescent="0.15"/>
    <row r="43277" s="69" customFormat="1" x14ac:dyDescent="0.15"/>
    <row r="43278" s="69" customFormat="1" x14ac:dyDescent="0.15"/>
    <row r="43279" s="69" customFormat="1" x14ac:dyDescent="0.15"/>
    <row r="43280" s="69" customFormat="1" x14ac:dyDescent="0.15"/>
    <row r="43281" s="69" customFormat="1" x14ac:dyDescent="0.15"/>
    <row r="43282" s="69" customFormat="1" x14ac:dyDescent="0.15"/>
    <row r="43283" s="69" customFormat="1" x14ac:dyDescent="0.15"/>
    <row r="43284" s="69" customFormat="1" x14ac:dyDescent="0.15"/>
    <row r="43285" s="69" customFormat="1" x14ac:dyDescent="0.15"/>
    <row r="43286" s="69" customFormat="1" x14ac:dyDescent="0.15"/>
    <row r="43287" s="69" customFormat="1" x14ac:dyDescent="0.15"/>
    <row r="43288" s="69" customFormat="1" x14ac:dyDescent="0.15"/>
    <row r="43289" s="69" customFormat="1" x14ac:dyDescent="0.15"/>
    <row r="43290" s="69" customFormat="1" x14ac:dyDescent="0.15"/>
    <row r="43291" s="69" customFormat="1" x14ac:dyDescent="0.15"/>
    <row r="43292" s="69" customFormat="1" x14ac:dyDescent="0.15"/>
    <row r="43293" s="69" customFormat="1" x14ac:dyDescent="0.15"/>
    <row r="43294" s="69" customFormat="1" x14ac:dyDescent="0.15"/>
    <row r="43295" s="69" customFormat="1" x14ac:dyDescent="0.15"/>
    <row r="43296" s="69" customFormat="1" x14ac:dyDescent="0.15"/>
    <row r="43297" s="69" customFormat="1" x14ac:dyDescent="0.15"/>
    <row r="43298" s="69" customFormat="1" x14ac:dyDescent="0.15"/>
    <row r="43299" s="69" customFormat="1" x14ac:dyDescent="0.15"/>
    <row r="43300" s="69" customFormat="1" x14ac:dyDescent="0.15"/>
    <row r="43301" s="69" customFormat="1" x14ac:dyDescent="0.15"/>
    <row r="43302" s="69" customFormat="1" x14ac:dyDescent="0.15"/>
    <row r="43303" s="69" customFormat="1" x14ac:dyDescent="0.15"/>
    <row r="43304" s="69" customFormat="1" x14ac:dyDescent="0.15"/>
    <row r="43305" s="69" customFormat="1" x14ac:dyDescent="0.15"/>
    <row r="43306" s="69" customFormat="1" x14ac:dyDescent="0.15"/>
    <row r="43307" s="69" customFormat="1" x14ac:dyDescent="0.15"/>
    <row r="43308" s="69" customFormat="1" x14ac:dyDescent="0.15"/>
    <row r="43309" s="69" customFormat="1" x14ac:dyDescent="0.15"/>
    <row r="43310" s="69" customFormat="1" x14ac:dyDescent="0.15"/>
    <row r="43311" s="69" customFormat="1" x14ac:dyDescent="0.15"/>
    <row r="43312" s="69" customFormat="1" x14ac:dyDescent="0.15"/>
    <row r="43313" s="69" customFormat="1" x14ac:dyDescent="0.15"/>
    <row r="43314" s="69" customFormat="1" x14ac:dyDescent="0.15"/>
    <row r="43315" s="69" customFormat="1" x14ac:dyDescent="0.15"/>
    <row r="43316" s="69" customFormat="1" x14ac:dyDescent="0.15"/>
    <row r="43317" s="69" customFormat="1" x14ac:dyDescent="0.15"/>
    <row r="43318" s="69" customFormat="1" x14ac:dyDescent="0.15"/>
    <row r="43319" s="69" customFormat="1" x14ac:dyDescent="0.15"/>
    <row r="43320" s="69" customFormat="1" x14ac:dyDescent="0.15"/>
    <row r="43321" s="69" customFormat="1" x14ac:dyDescent="0.15"/>
    <row r="43322" s="69" customFormat="1" x14ac:dyDescent="0.15"/>
    <row r="43323" s="69" customFormat="1" x14ac:dyDescent="0.15"/>
    <row r="43324" s="69" customFormat="1" x14ac:dyDescent="0.15"/>
    <row r="43325" s="69" customFormat="1" x14ac:dyDescent="0.15"/>
    <row r="43326" s="69" customFormat="1" x14ac:dyDescent="0.15"/>
    <row r="43327" s="69" customFormat="1" x14ac:dyDescent="0.15"/>
    <row r="43328" s="69" customFormat="1" x14ac:dyDescent="0.15"/>
    <row r="43329" s="69" customFormat="1" x14ac:dyDescent="0.15"/>
    <row r="43330" s="69" customFormat="1" x14ac:dyDescent="0.15"/>
    <row r="43331" s="69" customFormat="1" x14ac:dyDescent="0.15"/>
    <row r="43332" s="69" customFormat="1" x14ac:dyDescent="0.15"/>
    <row r="43333" s="69" customFormat="1" x14ac:dyDescent="0.15"/>
    <row r="43334" s="69" customFormat="1" x14ac:dyDescent="0.15"/>
    <row r="43335" s="69" customFormat="1" x14ac:dyDescent="0.15"/>
    <row r="43336" s="69" customFormat="1" x14ac:dyDescent="0.15"/>
    <row r="43337" s="69" customFormat="1" x14ac:dyDescent="0.15"/>
    <row r="43338" s="69" customFormat="1" x14ac:dyDescent="0.15"/>
    <row r="43339" s="69" customFormat="1" x14ac:dyDescent="0.15"/>
    <row r="43340" s="69" customFormat="1" x14ac:dyDescent="0.15"/>
    <row r="43341" s="69" customFormat="1" x14ac:dyDescent="0.15"/>
    <row r="43342" s="69" customFormat="1" x14ac:dyDescent="0.15"/>
    <row r="43343" s="69" customFormat="1" x14ac:dyDescent="0.15"/>
    <row r="43344" s="69" customFormat="1" x14ac:dyDescent="0.15"/>
    <row r="43345" s="69" customFormat="1" x14ac:dyDescent="0.15"/>
    <row r="43346" s="69" customFormat="1" x14ac:dyDescent="0.15"/>
    <row r="43347" s="69" customFormat="1" x14ac:dyDescent="0.15"/>
    <row r="43348" s="69" customFormat="1" x14ac:dyDescent="0.15"/>
    <row r="43349" s="69" customFormat="1" x14ac:dyDescent="0.15"/>
    <row r="43350" s="69" customFormat="1" x14ac:dyDescent="0.15"/>
    <row r="43351" s="69" customFormat="1" x14ac:dyDescent="0.15"/>
    <row r="43352" s="69" customFormat="1" x14ac:dyDescent="0.15"/>
    <row r="43353" s="69" customFormat="1" x14ac:dyDescent="0.15"/>
    <row r="43354" s="69" customFormat="1" x14ac:dyDescent="0.15"/>
    <row r="43355" s="69" customFormat="1" x14ac:dyDescent="0.15"/>
    <row r="43356" s="69" customFormat="1" x14ac:dyDescent="0.15"/>
    <row r="43357" s="69" customFormat="1" x14ac:dyDescent="0.15"/>
    <row r="43358" s="69" customFormat="1" x14ac:dyDescent="0.15"/>
    <row r="43359" s="69" customFormat="1" x14ac:dyDescent="0.15"/>
    <row r="43360" s="69" customFormat="1" x14ac:dyDescent="0.15"/>
    <row r="43361" s="69" customFormat="1" x14ac:dyDescent="0.15"/>
    <row r="43362" s="69" customFormat="1" x14ac:dyDescent="0.15"/>
    <row r="43363" s="69" customFormat="1" x14ac:dyDescent="0.15"/>
    <row r="43364" s="69" customFormat="1" x14ac:dyDescent="0.15"/>
    <row r="43365" s="69" customFormat="1" x14ac:dyDescent="0.15"/>
    <row r="43366" s="69" customFormat="1" x14ac:dyDescent="0.15"/>
    <row r="43367" s="69" customFormat="1" x14ac:dyDescent="0.15"/>
    <row r="43368" s="69" customFormat="1" x14ac:dyDescent="0.15"/>
    <row r="43369" s="69" customFormat="1" x14ac:dyDescent="0.15"/>
    <row r="43370" s="69" customFormat="1" x14ac:dyDescent="0.15"/>
    <row r="43371" s="69" customFormat="1" x14ac:dyDescent="0.15"/>
    <row r="43372" s="69" customFormat="1" x14ac:dyDescent="0.15"/>
    <row r="43373" s="69" customFormat="1" x14ac:dyDescent="0.15"/>
    <row r="43374" s="69" customFormat="1" x14ac:dyDescent="0.15"/>
    <row r="43375" s="69" customFormat="1" x14ac:dyDescent="0.15"/>
    <row r="43376" s="69" customFormat="1" x14ac:dyDescent="0.15"/>
    <row r="43377" s="69" customFormat="1" x14ac:dyDescent="0.15"/>
    <row r="43378" s="69" customFormat="1" x14ac:dyDescent="0.15"/>
    <row r="43379" s="69" customFormat="1" x14ac:dyDescent="0.15"/>
    <row r="43380" s="69" customFormat="1" x14ac:dyDescent="0.15"/>
    <row r="43381" s="69" customFormat="1" x14ac:dyDescent="0.15"/>
    <row r="43382" s="69" customFormat="1" x14ac:dyDescent="0.15"/>
    <row r="43383" s="69" customFormat="1" x14ac:dyDescent="0.15"/>
    <row r="43384" s="69" customFormat="1" x14ac:dyDescent="0.15"/>
    <row r="43385" s="69" customFormat="1" x14ac:dyDescent="0.15"/>
    <row r="43386" s="69" customFormat="1" x14ac:dyDescent="0.15"/>
    <row r="43387" s="69" customFormat="1" x14ac:dyDescent="0.15"/>
    <row r="43388" s="69" customFormat="1" x14ac:dyDescent="0.15"/>
    <row r="43389" s="69" customFormat="1" x14ac:dyDescent="0.15"/>
    <row r="43390" s="69" customFormat="1" x14ac:dyDescent="0.15"/>
    <row r="43391" s="69" customFormat="1" x14ac:dyDescent="0.15"/>
    <row r="43392" s="69" customFormat="1" x14ac:dyDescent="0.15"/>
    <row r="43393" s="69" customFormat="1" x14ac:dyDescent="0.15"/>
    <row r="43394" s="69" customFormat="1" x14ac:dyDescent="0.15"/>
    <row r="43395" s="69" customFormat="1" x14ac:dyDescent="0.15"/>
    <row r="43396" s="69" customFormat="1" x14ac:dyDescent="0.15"/>
    <row r="43397" s="69" customFormat="1" x14ac:dyDescent="0.15"/>
    <row r="43398" s="69" customFormat="1" x14ac:dyDescent="0.15"/>
    <row r="43399" s="69" customFormat="1" x14ac:dyDescent="0.15"/>
    <row r="43400" s="69" customFormat="1" x14ac:dyDescent="0.15"/>
    <row r="43401" s="69" customFormat="1" x14ac:dyDescent="0.15"/>
    <row r="43402" s="69" customFormat="1" x14ac:dyDescent="0.15"/>
    <row r="43403" s="69" customFormat="1" x14ac:dyDescent="0.15"/>
    <row r="43404" s="69" customFormat="1" x14ac:dyDescent="0.15"/>
    <row r="43405" s="69" customFormat="1" x14ac:dyDescent="0.15"/>
    <row r="43406" s="69" customFormat="1" x14ac:dyDescent="0.15"/>
    <row r="43407" s="69" customFormat="1" x14ac:dyDescent="0.15"/>
    <row r="43408" s="69" customFormat="1" x14ac:dyDescent="0.15"/>
    <row r="43409" s="69" customFormat="1" x14ac:dyDescent="0.15"/>
    <row r="43410" s="69" customFormat="1" x14ac:dyDescent="0.15"/>
    <row r="43411" s="69" customFormat="1" x14ac:dyDescent="0.15"/>
    <row r="43412" s="69" customFormat="1" x14ac:dyDescent="0.15"/>
    <row r="43413" s="69" customFormat="1" x14ac:dyDescent="0.15"/>
    <row r="43414" s="69" customFormat="1" x14ac:dyDescent="0.15"/>
    <row r="43415" s="69" customFormat="1" x14ac:dyDescent="0.15"/>
    <row r="43416" s="69" customFormat="1" x14ac:dyDescent="0.15"/>
    <row r="43417" s="69" customFormat="1" x14ac:dyDescent="0.15"/>
    <row r="43418" s="69" customFormat="1" x14ac:dyDescent="0.15"/>
    <row r="43419" s="69" customFormat="1" x14ac:dyDescent="0.15"/>
    <row r="43420" s="69" customFormat="1" x14ac:dyDescent="0.15"/>
    <row r="43421" s="69" customFormat="1" x14ac:dyDescent="0.15"/>
    <row r="43422" s="69" customFormat="1" x14ac:dyDescent="0.15"/>
    <row r="43423" s="69" customFormat="1" x14ac:dyDescent="0.15"/>
    <row r="43424" s="69" customFormat="1" x14ac:dyDescent="0.15"/>
    <row r="43425" s="69" customFormat="1" x14ac:dyDescent="0.15"/>
    <row r="43426" s="69" customFormat="1" x14ac:dyDescent="0.15"/>
    <row r="43427" s="69" customFormat="1" x14ac:dyDescent="0.15"/>
    <row r="43428" s="69" customFormat="1" x14ac:dyDescent="0.15"/>
    <row r="43429" s="69" customFormat="1" x14ac:dyDescent="0.15"/>
    <row r="43430" s="69" customFormat="1" x14ac:dyDescent="0.15"/>
    <row r="43431" s="69" customFormat="1" x14ac:dyDescent="0.15"/>
    <row r="43432" s="69" customFormat="1" x14ac:dyDescent="0.15"/>
    <row r="43433" s="69" customFormat="1" x14ac:dyDescent="0.15"/>
    <row r="43434" s="69" customFormat="1" x14ac:dyDescent="0.15"/>
    <row r="43435" s="69" customFormat="1" x14ac:dyDescent="0.15"/>
    <row r="43436" s="69" customFormat="1" x14ac:dyDescent="0.15"/>
    <row r="43437" s="69" customFormat="1" x14ac:dyDescent="0.15"/>
    <row r="43438" s="69" customFormat="1" x14ac:dyDescent="0.15"/>
    <row r="43439" s="69" customFormat="1" x14ac:dyDescent="0.15"/>
    <row r="43440" s="69" customFormat="1" x14ac:dyDescent="0.15"/>
    <row r="43441" s="69" customFormat="1" x14ac:dyDescent="0.15"/>
    <row r="43442" s="69" customFormat="1" x14ac:dyDescent="0.15"/>
    <row r="43443" s="69" customFormat="1" x14ac:dyDescent="0.15"/>
    <row r="43444" s="69" customFormat="1" x14ac:dyDescent="0.15"/>
    <row r="43445" s="69" customFormat="1" x14ac:dyDescent="0.15"/>
    <row r="43446" s="69" customFormat="1" x14ac:dyDescent="0.15"/>
    <row r="43447" s="69" customFormat="1" x14ac:dyDescent="0.15"/>
    <row r="43448" s="69" customFormat="1" x14ac:dyDescent="0.15"/>
    <row r="43449" s="69" customFormat="1" x14ac:dyDescent="0.15"/>
    <row r="43450" s="69" customFormat="1" x14ac:dyDescent="0.15"/>
    <row r="43451" s="69" customFormat="1" x14ac:dyDescent="0.15"/>
    <row r="43452" s="69" customFormat="1" x14ac:dyDescent="0.15"/>
    <row r="43453" s="69" customFormat="1" x14ac:dyDescent="0.15"/>
    <row r="43454" s="69" customFormat="1" x14ac:dyDescent="0.15"/>
    <row r="43455" s="69" customFormat="1" x14ac:dyDescent="0.15"/>
    <row r="43456" s="69" customFormat="1" x14ac:dyDescent="0.15"/>
    <row r="43457" s="69" customFormat="1" x14ac:dyDescent="0.15"/>
    <row r="43458" s="69" customFormat="1" x14ac:dyDescent="0.15"/>
    <row r="43459" s="69" customFormat="1" x14ac:dyDescent="0.15"/>
    <row r="43460" s="69" customFormat="1" x14ac:dyDescent="0.15"/>
    <row r="43461" s="69" customFormat="1" x14ac:dyDescent="0.15"/>
    <row r="43462" s="69" customFormat="1" x14ac:dyDescent="0.15"/>
    <row r="43463" s="69" customFormat="1" x14ac:dyDescent="0.15"/>
    <row r="43464" s="69" customFormat="1" x14ac:dyDescent="0.15"/>
    <row r="43465" s="69" customFormat="1" x14ac:dyDescent="0.15"/>
    <row r="43466" s="69" customFormat="1" x14ac:dyDescent="0.15"/>
    <row r="43467" s="69" customFormat="1" x14ac:dyDescent="0.15"/>
    <row r="43468" s="69" customFormat="1" x14ac:dyDescent="0.15"/>
    <row r="43469" s="69" customFormat="1" x14ac:dyDescent="0.15"/>
    <row r="43470" s="69" customFormat="1" x14ac:dyDescent="0.15"/>
    <row r="43471" s="69" customFormat="1" x14ac:dyDescent="0.15"/>
    <row r="43472" s="69" customFormat="1" x14ac:dyDescent="0.15"/>
    <row r="43473" s="69" customFormat="1" x14ac:dyDescent="0.15"/>
    <row r="43474" s="69" customFormat="1" x14ac:dyDescent="0.15"/>
    <row r="43475" s="69" customFormat="1" x14ac:dyDescent="0.15"/>
    <row r="43476" s="69" customFormat="1" x14ac:dyDescent="0.15"/>
    <row r="43477" s="69" customFormat="1" x14ac:dyDescent="0.15"/>
    <row r="43478" s="69" customFormat="1" x14ac:dyDescent="0.15"/>
    <row r="43479" s="69" customFormat="1" x14ac:dyDescent="0.15"/>
    <row r="43480" s="69" customFormat="1" x14ac:dyDescent="0.15"/>
    <row r="43481" s="69" customFormat="1" x14ac:dyDescent="0.15"/>
    <row r="43482" s="69" customFormat="1" x14ac:dyDescent="0.15"/>
    <row r="43483" s="69" customFormat="1" x14ac:dyDescent="0.15"/>
    <row r="43484" s="69" customFormat="1" x14ac:dyDescent="0.15"/>
    <row r="43485" s="69" customFormat="1" x14ac:dyDescent="0.15"/>
    <row r="43486" s="69" customFormat="1" x14ac:dyDescent="0.15"/>
    <row r="43487" s="69" customFormat="1" x14ac:dyDescent="0.15"/>
    <row r="43488" s="69" customFormat="1" x14ac:dyDescent="0.15"/>
    <row r="43489" s="69" customFormat="1" x14ac:dyDescent="0.15"/>
    <row r="43490" s="69" customFormat="1" x14ac:dyDescent="0.15"/>
    <row r="43491" s="69" customFormat="1" x14ac:dyDescent="0.15"/>
    <row r="43492" s="69" customFormat="1" x14ac:dyDescent="0.15"/>
    <row r="43493" s="69" customFormat="1" x14ac:dyDescent="0.15"/>
    <row r="43494" s="69" customFormat="1" x14ac:dyDescent="0.15"/>
    <row r="43495" s="69" customFormat="1" x14ac:dyDescent="0.15"/>
    <row r="43496" s="69" customFormat="1" x14ac:dyDescent="0.15"/>
    <row r="43497" s="69" customFormat="1" x14ac:dyDescent="0.15"/>
    <row r="43498" s="69" customFormat="1" x14ac:dyDescent="0.15"/>
    <row r="43499" s="69" customFormat="1" x14ac:dyDescent="0.15"/>
    <row r="43500" s="69" customFormat="1" x14ac:dyDescent="0.15"/>
    <row r="43501" s="69" customFormat="1" x14ac:dyDescent="0.15"/>
    <row r="43502" s="69" customFormat="1" x14ac:dyDescent="0.15"/>
    <row r="43503" s="69" customFormat="1" x14ac:dyDescent="0.15"/>
    <row r="43504" s="69" customFormat="1" x14ac:dyDescent="0.15"/>
    <row r="43505" s="69" customFormat="1" x14ac:dyDescent="0.15"/>
    <row r="43506" s="69" customFormat="1" x14ac:dyDescent="0.15"/>
    <row r="43507" s="69" customFormat="1" x14ac:dyDescent="0.15"/>
    <row r="43508" s="69" customFormat="1" x14ac:dyDescent="0.15"/>
    <row r="43509" s="69" customFormat="1" x14ac:dyDescent="0.15"/>
    <row r="43510" s="69" customFormat="1" x14ac:dyDescent="0.15"/>
    <row r="43511" s="69" customFormat="1" x14ac:dyDescent="0.15"/>
    <row r="43512" s="69" customFormat="1" x14ac:dyDescent="0.15"/>
    <row r="43513" s="69" customFormat="1" x14ac:dyDescent="0.15"/>
    <row r="43514" s="69" customFormat="1" x14ac:dyDescent="0.15"/>
    <row r="43515" s="69" customFormat="1" x14ac:dyDescent="0.15"/>
    <row r="43516" s="69" customFormat="1" x14ac:dyDescent="0.15"/>
    <row r="43517" s="69" customFormat="1" x14ac:dyDescent="0.15"/>
    <row r="43518" s="69" customFormat="1" x14ac:dyDescent="0.15"/>
    <row r="43519" s="69" customFormat="1" x14ac:dyDescent="0.15"/>
    <row r="43520" s="69" customFormat="1" x14ac:dyDescent="0.15"/>
    <row r="43521" s="69" customFormat="1" x14ac:dyDescent="0.15"/>
    <row r="43522" s="69" customFormat="1" x14ac:dyDescent="0.15"/>
    <row r="43523" s="69" customFormat="1" x14ac:dyDescent="0.15"/>
    <row r="43524" s="69" customFormat="1" x14ac:dyDescent="0.15"/>
    <row r="43525" s="69" customFormat="1" x14ac:dyDescent="0.15"/>
    <row r="43526" s="69" customFormat="1" x14ac:dyDescent="0.15"/>
    <row r="43527" s="69" customFormat="1" x14ac:dyDescent="0.15"/>
    <row r="43528" s="69" customFormat="1" x14ac:dyDescent="0.15"/>
    <row r="43529" s="69" customFormat="1" x14ac:dyDescent="0.15"/>
    <row r="43530" s="69" customFormat="1" x14ac:dyDescent="0.15"/>
    <row r="43531" s="69" customFormat="1" x14ac:dyDescent="0.15"/>
    <row r="43532" s="69" customFormat="1" x14ac:dyDescent="0.15"/>
    <row r="43533" s="69" customFormat="1" x14ac:dyDescent="0.15"/>
    <row r="43534" s="69" customFormat="1" x14ac:dyDescent="0.15"/>
    <row r="43535" s="69" customFormat="1" x14ac:dyDescent="0.15"/>
    <row r="43536" s="69" customFormat="1" x14ac:dyDescent="0.15"/>
    <row r="43537" s="69" customFormat="1" x14ac:dyDescent="0.15"/>
    <row r="43538" s="69" customFormat="1" x14ac:dyDescent="0.15"/>
    <row r="43539" s="69" customFormat="1" x14ac:dyDescent="0.15"/>
    <row r="43540" s="69" customFormat="1" x14ac:dyDescent="0.15"/>
    <row r="43541" s="69" customFormat="1" x14ac:dyDescent="0.15"/>
    <row r="43542" s="69" customFormat="1" x14ac:dyDescent="0.15"/>
    <row r="43543" s="69" customFormat="1" x14ac:dyDescent="0.15"/>
    <row r="43544" s="69" customFormat="1" x14ac:dyDescent="0.15"/>
    <row r="43545" s="69" customFormat="1" x14ac:dyDescent="0.15"/>
    <row r="43546" s="69" customFormat="1" x14ac:dyDescent="0.15"/>
    <row r="43547" s="69" customFormat="1" x14ac:dyDescent="0.15"/>
    <row r="43548" s="69" customFormat="1" x14ac:dyDescent="0.15"/>
    <row r="43549" s="69" customFormat="1" x14ac:dyDescent="0.15"/>
    <row r="43550" s="69" customFormat="1" x14ac:dyDescent="0.15"/>
    <row r="43551" s="69" customFormat="1" x14ac:dyDescent="0.15"/>
    <row r="43552" s="69" customFormat="1" x14ac:dyDescent="0.15"/>
    <row r="43553" s="69" customFormat="1" x14ac:dyDescent="0.15"/>
    <row r="43554" s="69" customFormat="1" x14ac:dyDescent="0.15"/>
    <row r="43555" s="69" customFormat="1" x14ac:dyDescent="0.15"/>
    <row r="43556" s="69" customFormat="1" x14ac:dyDescent="0.15"/>
    <row r="43557" s="69" customFormat="1" x14ac:dyDescent="0.15"/>
    <row r="43558" s="69" customFormat="1" x14ac:dyDescent="0.15"/>
    <row r="43559" s="69" customFormat="1" x14ac:dyDescent="0.15"/>
    <row r="43560" s="69" customFormat="1" x14ac:dyDescent="0.15"/>
    <row r="43561" s="69" customFormat="1" x14ac:dyDescent="0.15"/>
    <row r="43562" s="69" customFormat="1" x14ac:dyDescent="0.15"/>
    <row r="43563" s="69" customFormat="1" x14ac:dyDescent="0.15"/>
    <row r="43564" s="69" customFormat="1" x14ac:dyDescent="0.15"/>
    <row r="43565" s="69" customFormat="1" x14ac:dyDescent="0.15"/>
    <row r="43566" s="69" customFormat="1" x14ac:dyDescent="0.15"/>
    <row r="43567" s="69" customFormat="1" x14ac:dyDescent="0.15"/>
    <row r="43568" s="69" customFormat="1" x14ac:dyDescent="0.15"/>
    <row r="43569" s="69" customFormat="1" x14ac:dyDescent="0.15"/>
    <row r="43570" s="69" customFormat="1" x14ac:dyDescent="0.15"/>
    <row r="43571" s="69" customFormat="1" x14ac:dyDescent="0.15"/>
    <row r="43572" s="69" customFormat="1" x14ac:dyDescent="0.15"/>
    <row r="43573" s="69" customFormat="1" x14ac:dyDescent="0.15"/>
    <row r="43574" s="69" customFormat="1" x14ac:dyDescent="0.15"/>
    <row r="43575" s="69" customFormat="1" x14ac:dyDescent="0.15"/>
    <row r="43576" s="69" customFormat="1" x14ac:dyDescent="0.15"/>
    <row r="43577" s="69" customFormat="1" x14ac:dyDescent="0.15"/>
    <row r="43578" s="69" customFormat="1" x14ac:dyDescent="0.15"/>
    <row r="43579" s="69" customFormat="1" x14ac:dyDescent="0.15"/>
    <row r="43580" s="69" customFormat="1" x14ac:dyDescent="0.15"/>
    <row r="43581" s="69" customFormat="1" x14ac:dyDescent="0.15"/>
    <row r="43582" s="69" customFormat="1" x14ac:dyDescent="0.15"/>
    <row r="43583" s="69" customFormat="1" x14ac:dyDescent="0.15"/>
    <row r="43584" s="69" customFormat="1" x14ac:dyDescent="0.15"/>
    <row r="43585" s="69" customFormat="1" x14ac:dyDescent="0.15"/>
    <row r="43586" s="69" customFormat="1" x14ac:dyDescent="0.15"/>
    <row r="43587" s="69" customFormat="1" x14ac:dyDescent="0.15"/>
    <row r="43588" s="69" customFormat="1" x14ac:dyDescent="0.15"/>
    <row r="43589" s="69" customFormat="1" x14ac:dyDescent="0.15"/>
    <row r="43590" s="69" customFormat="1" x14ac:dyDescent="0.15"/>
    <row r="43591" s="69" customFormat="1" x14ac:dyDescent="0.15"/>
    <row r="43592" s="69" customFormat="1" x14ac:dyDescent="0.15"/>
    <row r="43593" s="69" customFormat="1" x14ac:dyDescent="0.15"/>
    <row r="43594" s="69" customFormat="1" x14ac:dyDescent="0.15"/>
    <row r="43595" s="69" customFormat="1" x14ac:dyDescent="0.15"/>
    <row r="43596" s="69" customFormat="1" x14ac:dyDescent="0.15"/>
    <row r="43597" s="69" customFormat="1" x14ac:dyDescent="0.15"/>
    <row r="43598" s="69" customFormat="1" x14ac:dyDescent="0.15"/>
    <row r="43599" s="69" customFormat="1" x14ac:dyDescent="0.15"/>
    <row r="43600" s="69" customFormat="1" x14ac:dyDescent="0.15"/>
    <row r="43601" s="69" customFormat="1" x14ac:dyDescent="0.15"/>
    <row r="43602" s="69" customFormat="1" x14ac:dyDescent="0.15"/>
    <row r="43603" s="69" customFormat="1" x14ac:dyDescent="0.15"/>
    <row r="43604" s="69" customFormat="1" x14ac:dyDescent="0.15"/>
    <row r="43605" s="69" customFormat="1" x14ac:dyDescent="0.15"/>
    <row r="43606" s="69" customFormat="1" x14ac:dyDescent="0.15"/>
    <row r="43607" s="69" customFormat="1" x14ac:dyDescent="0.15"/>
    <row r="43608" s="69" customFormat="1" x14ac:dyDescent="0.15"/>
    <row r="43609" s="69" customFormat="1" x14ac:dyDescent="0.15"/>
    <row r="43610" s="69" customFormat="1" x14ac:dyDescent="0.15"/>
    <row r="43611" s="69" customFormat="1" x14ac:dyDescent="0.15"/>
    <row r="43612" s="69" customFormat="1" x14ac:dyDescent="0.15"/>
    <row r="43613" s="69" customFormat="1" x14ac:dyDescent="0.15"/>
    <row r="43614" s="69" customFormat="1" x14ac:dyDescent="0.15"/>
    <row r="43615" s="69" customFormat="1" x14ac:dyDescent="0.15"/>
    <row r="43616" s="69" customFormat="1" x14ac:dyDescent="0.15"/>
    <row r="43617" s="69" customFormat="1" x14ac:dyDescent="0.15"/>
    <row r="43618" s="69" customFormat="1" x14ac:dyDescent="0.15"/>
    <row r="43619" s="69" customFormat="1" x14ac:dyDescent="0.15"/>
    <row r="43620" s="69" customFormat="1" x14ac:dyDescent="0.15"/>
    <row r="43621" s="69" customFormat="1" x14ac:dyDescent="0.15"/>
    <row r="43622" s="69" customFormat="1" x14ac:dyDescent="0.15"/>
    <row r="43623" s="69" customFormat="1" x14ac:dyDescent="0.15"/>
    <row r="43624" s="69" customFormat="1" x14ac:dyDescent="0.15"/>
    <row r="43625" s="69" customFormat="1" x14ac:dyDescent="0.15"/>
    <row r="43626" s="69" customFormat="1" x14ac:dyDescent="0.15"/>
    <row r="43627" s="69" customFormat="1" x14ac:dyDescent="0.15"/>
    <row r="43628" s="69" customFormat="1" x14ac:dyDescent="0.15"/>
    <row r="43629" s="69" customFormat="1" x14ac:dyDescent="0.15"/>
    <row r="43630" s="69" customFormat="1" x14ac:dyDescent="0.15"/>
    <row r="43631" s="69" customFormat="1" x14ac:dyDescent="0.15"/>
    <row r="43632" s="69" customFormat="1" x14ac:dyDescent="0.15"/>
    <row r="43633" s="69" customFormat="1" x14ac:dyDescent="0.15"/>
    <row r="43634" s="69" customFormat="1" x14ac:dyDescent="0.15"/>
    <row r="43635" s="69" customFormat="1" x14ac:dyDescent="0.15"/>
    <row r="43636" s="69" customFormat="1" x14ac:dyDescent="0.15"/>
    <row r="43637" s="69" customFormat="1" x14ac:dyDescent="0.15"/>
    <row r="43638" s="69" customFormat="1" x14ac:dyDescent="0.15"/>
    <row r="43639" s="69" customFormat="1" x14ac:dyDescent="0.15"/>
    <row r="43640" s="69" customFormat="1" x14ac:dyDescent="0.15"/>
    <row r="43641" s="69" customFormat="1" x14ac:dyDescent="0.15"/>
    <row r="43642" s="69" customFormat="1" x14ac:dyDescent="0.15"/>
    <row r="43643" s="69" customFormat="1" x14ac:dyDescent="0.15"/>
    <row r="43644" s="69" customFormat="1" x14ac:dyDescent="0.15"/>
    <row r="43645" s="69" customFormat="1" x14ac:dyDescent="0.15"/>
    <row r="43646" s="69" customFormat="1" x14ac:dyDescent="0.15"/>
    <row r="43647" s="69" customFormat="1" x14ac:dyDescent="0.15"/>
    <row r="43648" s="69" customFormat="1" x14ac:dyDescent="0.15"/>
    <row r="43649" s="69" customFormat="1" x14ac:dyDescent="0.15"/>
    <row r="43650" s="69" customFormat="1" x14ac:dyDescent="0.15"/>
    <row r="43651" s="69" customFormat="1" x14ac:dyDescent="0.15"/>
    <row r="43652" s="69" customFormat="1" x14ac:dyDescent="0.15"/>
    <row r="43653" s="69" customFormat="1" x14ac:dyDescent="0.15"/>
    <row r="43654" s="69" customFormat="1" x14ac:dyDescent="0.15"/>
    <row r="43655" s="69" customFormat="1" x14ac:dyDescent="0.15"/>
    <row r="43656" s="69" customFormat="1" x14ac:dyDescent="0.15"/>
    <row r="43657" s="69" customFormat="1" x14ac:dyDescent="0.15"/>
    <row r="43658" s="69" customFormat="1" x14ac:dyDescent="0.15"/>
    <row r="43659" s="69" customFormat="1" x14ac:dyDescent="0.15"/>
    <row r="43660" s="69" customFormat="1" x14ac:dyDescent="0.15"/>
    <row r="43661" s="69" customFormat="1" x14ac:dyDescent="0.15"/>
    <row r="43662" s="69" customFormat="1" x14ac:dyDescent="0.15"/>
    <row r="43663" s="69" customFormat="1" x14ac:dyDescent="0.15"/>
    <row r="43664" s="69" customFormat="1" x14ac:dyDescent="0.15"/>
    <row r="43665" s="69" customFormat="1" x14ac:dyDescent="0.15"/>
    <row r="43666" s="69" customFormat="1" x14ac:dyDescent="0.15"/>
    <row r="43667" s="69" customFormat="1" x14ac:dyDescent="0.15"/>
    <row r="43668" s="69" customFormat="1" x14ac:dyDescent="0.15"/>
    <row r="43669" s="69" customFormat="1" x14ac:dyDescent="0.15"/>
    <row r="43670" s="69" customFormat="1" x14ac:dyDescent="0.15"/>
    <row r="43671" s="69" customFormat="1" x14ac:dyDescent="0.15"/>
    <row r="43672" s="69" customFormat="1" x14ac:dyDescent="0.15"/>
    <row r="43673" s="69" customFormat="1" x14ac:dyDescent="0.15"/>
    <row r="43674" s="69" customFormat="1" x14ac:dyDescent="0.15"/>
    <row r="43675" s="69" customFormat="1" x14ac:dyDescent="0.15"/>
    <row r="43676" s="69" customFormat="1" x14ac:dyDescent="0.15"/>
    <row r="43677" s="69" customFormat="1" x14ac:dyDescent="0.15"/>
    <row r="43678" s="69" customFormat="1" x14ac:dyDescent="0.15"/>
    <row r="43679" s="69" customFormat="1" x14ac:dyDescent="0.15"/>
    <row r="43680" s="69" customFormat="1" x14ac:dyDescent="0.15"/>
    <row r="43681" s="69" customFormat="1" x14ac:dyDescent="0.15"/>
    <row r="43682" s="69" customFormat="1" x14ac:dyDescent="0.15"/>
    <row r="43683" s="69" customFormat="1" x14ac:dyDescent="0.15"/>
    <row r="43684" s="69" customFormat="1" x14ac:dyDescent="0.15"/>
    <row r="43685" s="69" customFormat="1" x14ac:dyDescent="0.15"/>
    <row r="43686" s="69" customFormat="1" x14ac:dyDescent="0.15"/>
    <row r="43687" s="69" customFormat="1" x14ac:dyDescent="0.15"/>
    <row r="43688" s="69" customFormat="1" x14ac:dyDescent="0.15"/>
    <row r="43689" s="69" customFormat="1" x14ac:dyDescent="0.15"/>
    <row r="43690" s="69" customFormat="1" x14ac:dyDescent="0.15"/>
    <row r="43691" s="69" customFormat="1" x14ac:dyDescent="0.15"/>
    <row r="43692" s="69" customFormat="1" x14ac:dyDescent="0.15"/>
    <row r="43693" s="69" customFormat="1" x14ac:dyDescent="0.15"/>
    <row r="43694" s="69" customFormat="1" x14ac:dyDescent="0.15"/>
    <row r="43695" s="69" customFormat="1" x14ac:dyDescent="0.15"/>
    <row r="43696" s="69" customFormat="1" x14ac:dyDescent="0.15"/>
    <row r="43697" s="69" customFormat="1" x14ac:dyDescent="0.15"/>
    <row r="43698" s="69" customFormat="1" x14ac:dyDescent="0.15"/>
    <row r="43699" s="69" customFormat="1" x14ac:dyDescent="0.15"/>
    <row r="43700" s="69" customFormat="1" x14ac:dyDescent="0.15"/>
    <row r="43701" s="69" customFormat="1" x14ac:dyDescent="0.15"/>
    <row r="43702" s="69" customFormat="1" x14ac:dyDescent="0.15"/>
    <row r="43703" s="69" customFormat="1" x14ac:dyDescent="0.15"/>
    <row r="43704" s="69" customFormat="1" x14ac:dyDescent="0.15"/>
    <row r="43705" s="69" customFormat="1" x14ac:dyDescent="0.15"/>
    <row r="43706" s="69" customFormat="1" x14ac:dyDescent="0.15"/>
    <row r="43707" s="69" customFormat="1" x14ac:dyDescent="0.15"/>
    <row r="43708" s="69" customFormat="1" x14ac:dyDescent="0.15"/>
    <row r="43709" s="69" customFormat="1" x14ac:dyDescent="0.15"/>
    <row r="43710" s="69" customFormat="1" x14ac:dyDescent="0.15"/>
    <row r="43711" s="69" customFormat="1" x14ac:dyDescent="0.15"/>
    <row r="43712" s="69" customFormat="1" x14ac:dyDescent="0.15"/>
    <row r="43713" s="69" customFormat="1" x14ac:dyDescent="0.15"/>
    <row r="43714" s="69" customFormat="1" x14ac:dyDescent="0.15"/>
    <row r="43715" s="69" customFormat="1" x14ac:dyDescent="0.15"/>
    <row r="43716" s="69" customFormat="1" x14ac:dyDescent="0.15"/>
    <row r="43717" s="69" customFormat="1" x14ac:dyDescent="0.15"/>
    <row r="43718" s="69" customFormat="1" x14ac:dyDescent="0.15"/>
    <row r="43719" s="69" customFormat="1" x14ac:dyDescent="0.15"/>
    <row r="43720" s="69" customFormat="1" x14ac:dyDescent="0.15"/>
    <row r="43721" s="69" customFormat="1" x14ac:dyDescent="0.15"/>
    <row r="43722" s="69" customFormat="1" x14ac:dyDescent="0.15"/>
    <row r="43723" s="69" customFormat="1" x14ac:dyDescent="0.15"/>
    <row r="43724" s="69" customFormat="1" x14ac:dyDescent="0.15"/>
    <row r="43725" s="69" customFormat="1" x14ac:dyDescent="0.15"/>
    <row r="43726" s="69" customFormat="1" x14ac:dyDescent="0.15"/>
    <row r="43727" s="69" customFormat="1" x14ac:dyDescent="0.15"/>
    <row r="43728" s="69" customFormat="1" x14ac:dyDescent="0.15"/>
    <row r="43729" s="69" customFormat="1" x14ac:dyDescent="0.15"/>
    <row r="43730" s="69" customFormat="1" x14ac:dyDescent="0.15"/>
    <row r="43731" s="69" customFormat="1" x14ac:dyDescent="0.15"/>
    <row r="43732" s="69" customFormat="1" x14ac:dyDescent="0.15"/>
    <row r="43733" s="69" customFormat="1" x14ac:dyDescent="0.15"/>
    <row r="43734" s="69" customFormat="1" x14ac:dyDescent="0.15"/>
    <row r="43735" s="69" customFormat="1" x14ac:dyDescent="0.15"/>
    <row r="43736" s="69" customFormat="1" x14ac:dyDescent="0.15"/>
    <row r="43737" s="69" customFormat="1" x14ac:dyDescent="0.15"/>
    <row r="43738" s="69" customFormat="1" x14ac:dyDescent="0.15"/>
    <row r="43739" s="69" customFormat="1" x14ac:dyDescent="0.15"/>
    <row r="43740" s="69" customFormat="1" x14ac:dyDescent="0.15"/>
    <row r="43741" s="69" customFormat="1" x14ac:dyDescent="0.15"/>
    <row r="43742" s="69" customFormat="1" x14ac:dyDescent="0.15"/>
    <row r="43743" s="69" customFormat="1" x14ac:dyDescent="0.15"/>
    <row r="43744" s="69" customFormat="1" x14ac:dyDescent="0.15"/>
    <row r="43745" s="69" customFormat="1" x14ac:dyDescent="0.15"/>
    <row r="43746" s="69" customFormat="1" x14ac:dyDescent="0.15"/>
    <row r="43747" s="69" customFormat="1" x14ac:dyDescent="0.15"/>
    <row r="43748" s="69" customFormat="1" x14ac:dyDescent="0.15"/>
    <row r="43749" s="69" customFormat="1" x14ac:dyDescent="0.15"/>
    <row r="43750" s="69" customFormat="1" x14ac:dyDescent="0.15"/>
    <row r="43751" s="69" customFormat="1" x14ac:dyDescent="0.15"/>
    <row r="43752" s="69" customFormat="1" x14ac:dyDescent="0.15"/>
    <row r="43753" s="69" customFormat="1" x14ac:dyDescent="0.15"/>
    <row r="43754" s="69" customFormat="1" x14ac:dyDescent="0.15"/>
    <row r="43755" s="69" customFormat="1" x14ac:dyDescent="0.15"/>
    <row r="43756" s="69" customFormat="1" x14ac:dyDescent="0.15"/>
    <row r="43757" s="69" customFormat="1" x14ac:dyDescent="0.15"/>
    <row r="43758" s="69" customFormat="1" x14ac:dyDescent="0.15"/>
    <row r="43759" s="69" customFormat="1" x14ac:dyDescent="0.15"/>
    <row r="43760" s="69" customFormat="1" x14ac:dyDescent="0.15"/>
    <row r="43761" s="69" customFormat="1" x14ac:dyDescent="0.15"/>
    <row r="43762" s="69" customFormat="1" x14ac:dyDescent="0.15"/>
    <row r="43763" s="69" customFormat="1" x14ac:dyDescent="0.15"/>
    <row r="43764" s="69" customFormat="1" x14ac:dyDescent="0.15"/>
    <row r="43765" s="69" customFormat="1" x14ac:dyDescent="0.15"/>
    <row r="43766" s="69" customFormat="1" x14ac:dyDescent="0.15"/>
    <row r="43767" s="69" customFormat="1" x14ac:dyDescent="0.15"/>
    <row r="43768" s="69" customFormat="1" x14ac:dyDescent="0.15"/>
    <row r="43769" s="69" customFormat="1" x14ac:dyDescent="0.15"/>
    <row r="43770" s="69" customFormat="1" x14ac:dyDescent="0.15"/>
    <row r="43771" s="69" customFormat="1" x14ac:dyDescent="0.15"/>
    <row r="43772" s="69" customFormat="1" x14ac:dyDescent="0.15"/>
    <row r="43773" s="69" customFormat="1" x14ac:dyDescent="0.15"/>
    <row r="43774" s="69" customFormat="1" x14ac:dyDescent="0.15"/>
    <row r="43775" s="69" customFormat="1" x14ac:dyDescent="0.15"/>
    <row r="43776" s="69" customFormat="1" x14ac:dyDescent="0.15"/>
    <row r="43777" s="69" customFormat="1" x14ac:dyDescent="0.15"/>
    <row r="43778" s="69" customFormat="1" x14ac:dyDescent="0.15"/>
    <row r="43779" s="69" customFormat="1" x14ac:dyDescent="0.15"/>
    <row r="43780" s="69" customFormat="1" x14ac:dyDescent="0.15"/>
    <row r="43781" s="69" customFormat="1" x14ac:dyDescent="0.15"/>
    <row r="43782" s="69" customFormat="1" x14ac:dyDescent="0.15"/>
    <row r="43783" s="69" customFormat="1" x14ac:dyDescent="0.15"/>
    <row r="43784" s="69" customFormat="1" x14ac:dyDescent="0.15"/>
    <row r="43785" s="69" customFormat="1" x14ac:dyDescent="0.15"/>
    <row r="43786" s="69" customFormat="1" x14ac:dyDescent="0.15"/>
    <row r="43787" s="69" customFormat="1" x14ac:dyDescent="0.15"/>
    <row r="43788" s="69" customFormat="1" x14ac:dyDescent="0.15"/>
    <row r="43789" s="69" customFormat="1" x14ac:dyDescent="0.15"/>
    <row r="43790" s="69" customFormat="1" x14ac:dyDescent="0.15"/>
    <row r="43791" s="69" customFormat="1" x14ac:dyDescent="0.15"/>
    <row r="43792" s="69" customFormat="1" x14ac:dyDescent="0.15"/>
    <row r="43793" s="69" customFormat="1" x14ac:dyDescent="0.15"/>
    <row r="43794" s="69" customFormat="1" x14ac:dyDescent="0.15"/>
    <row r="43795" s="69" customFormat="1" x14ac:dyDescent="0.15"/>
    <row r="43796" s="69" customFormat="1" x14ac:dyDescent="0.15"/>
    <row r="43797" s="69" customFormat="1" x14ac:dyDescent="0.15"/>
    <row r="43798" s="69" customFormat="1" x14ac:dyDescent="0.15"/>
    <row r="43799" s="69" customFormat="1" x14ac:dyDescent="0.15"/>
    <row r="43800" s="69" customFormat="1" x14ac:dyDescent="0.15"/>
    <row r="43801" s="69" customFormat="1" x14ac:dyDescent="0.15"/>
    <row r="43802" s="69" customFormat="1" x14ac:dyDescent="0.15"/>
    <row r="43803" s="69" customFormat="1" x14ac:dyDescent="0.15"/>
    <row r="43804" s="69" customFormat="1" x14ac:dyDescent="0.15"/>
    <row r="43805" s="69" customFormat="1" x14ac:dyDescent="0.15"/>
    <row r="43806" s="69" customFormat="1" x14ac:dyDescent="0.15"/>
    <row r="43807" s="69" customFormat="1" x14ac:dyDescent="0.15"/>
    <row r="43808" s="69" customFormat="1" x14ac:dyDescent="0.15"/>
    <row r="43809" s="69" customFormat="1" x14ac:dyDescent="0.15"/>
    <row r="43810" s="69" customFormat="1" x14ac:dyDescent="0.15"/>
    <row r="43811" s="69" customFormat="1" x14ac:dyDescent="0.15"/>
    <row r="43812" s="69" customFormat="1" x14ac:dyDescent="0.15"/>
    <row r="43813" s="69" customFormat="1" x14ac:dyDescent="0.15"/>
    <row r="43814" s="69" customFormat="1" x14ac:dyDescent="0.15"/>
    <row r="43815" s="69" customFormat="1" x14ac:dyDescent="0.15"/>
    <row r="43816" s="69" customFormat="1" x14ac:dyDescent="0.15"/>
    <row r="43817" s="69" customFormat="1" x14ac:dyDescent="0.15"/>
    <row r="43818" s="69" customFormat="1" x14ac:dyDescent="0.15"/>
    <row r="43819" s="69" customFormat="1" x14ac:dyDescent="0.15"/>
    <row r="43820" s="69" customFormat="1" x14ac:dyDescent="0.15"/>
    <row r="43821" s="69" customFormat="1" x14ac:dyDescent="0.15"/>
    <row r="43822" s="69" customFormat="1" x14ac:dyDescent="0.15"/>
    <row r="43823" s="69" customFormat="1" x14ac:dyDescent="0.15"/>
    <row r="43824" s="69" customFormat="1" x14ac:dyDescent="0.15"/>
    <row r="43825" s="69" customFormat="1" x14ac:dyDescent="0.15"/>
    <row r="43826" s="69" customFormat="1" x14ac:dyDescent="0.15"/>
    <row r="43827" s="69" customFormat="1" x14ac:dyDescent="0.15"/>
    <row r="43828" s="69" customFormat="1" x14ac:dyDescent="0.15"/>
    <row r="43829" s="69" customFormat="1" x14ac:dyDescent="0.15"/>
    <row r="43830" s="69" customFormat="1" x14ac:dyDescent="0.15"/>
    <row r="43831" s="69" customFormat="1" x14ac:dyDescent="0.15"/>
    <row r="43832" s="69" customFormat="1" x14ac:dyDescent="0.15"/>
    <row r="43833" s="69" customFormat="1" x14ac:dyDescent="0.15"/>
    <row r="43834" s="69" customFormat="1" x14ac:dyDescent="0.15"/>
    <row r="43835" s="69" customFormat="1" x14ac:dyDescent="0.15"/>
    <row r="43836" s="69" customFormat="1" x14ac:dyDescent="0.15"/>
    <row r="43837" s="69" customFormat="1" x14ac:dyDescent="0.15"/>
    <row r="43838" s="69" customFormat="1" x14ac:dyDescent="0.15"/>
    <row r="43839" s="69" customFormat="1" x14ac:dyDescent="0.15"/>
    <row r="43840" s="69" customFormat="1" x14ac:dyDescent="0.15"/>
    <row r="43841" s="69" customFormat="1" x14ac:dyDescent="0.15"/>
    <row r="43842" s="69" customFormat="1" x14ac:dyDescent="0.15"/>
    <row r="43843" s="69" customFormat="1" x14ac:dyDescent="0.15"/>
    <row r="43844" s="69" customFormat="1" x14ac:dyDescent="0.15"/>
    <row r="43845" s="69" customFormat="1" x14ac:dyDescent="0.15"/>
    <row r="43846" s="69" customFormat="1" x14ac:dyDescent="0.15"/>
    <row r="43847" s="69" customFormat="1" x14ac:dyDescent="0.15"/>
    <row r="43848" s="69" customFormat="1" x14ac:dyDescent="0.15"/>
    <row r="43849" s="69" customFormat="1" x14ac:dyDescent="0.15"/>
    <row r="43850" s="69" customFormat="1" x14ac:dyDescent="0.15"/>
    <row r="43851" s="69" customFormat="1" x14ac:dyDescent="0.15"/>
    <row r="43852" s="69" customFormat="1" x14ac:dyDescent="0.15"/>
    <row r="43853" s="69" customFormat="1" x14ac:dyDescent="0.15"/>
    <row r="43854" s="69" customFormat="1" x14ac:dyDescent="0.15"/>
    <row r="43855" s="69" customFormat="1" x14ac:dyDescent="0.15"/>
    <row r="43856" s="69" customFormat="1" x14ac:dyDescent="0.15"/>
    <row r="43857" s="69" customFormat="1" x14ac:dyDescent="0.15"/>
    <row r="43858" s="69" customFormat="1" x14ac:dyDescent="0.15"/>
    <row r="43859" s="69" customFormat="1" x14ac:dyDescent="0.15"/>
    <row r="43860" s="69" customFormat="1" x14ac:dyDescent="0.15"/>
    <row r="43861" s="69" customFormat="1" x14ac:dyDescent="0.15"/>
    <row r="43862" s="69" customFormat="1" x14ac:dyDescent="0.15"/>
    <row r="43863" s="69" customFormat="1" x14ac:dyDescent="0.15"/>
    <row r="43864" s="69" customFormat="1" x14ac:dyDescent="0.15"/>
    <row r="43865" s="69" customFormat="1" x14ac:dyDescent="0.15"/>
    <row r="43866" s="69" customFormat="1" x14ac:dyDescent="0.15"/>
    <row r="43867" s="69" customFormat="1" x14ac:dyDescent="0.15"/>
    <row r="43868" s="69" customFormat="1" x14ac:dyDescent="0.15"/>
    <row r="43869" s="69" customFormat="1" x14ac:dyDescent="0.15"/>
    <row r="43870" s="69" customFormat="1" x14ac:dyDescent="0.15"/>
    <row r="43871" s="69" customFormat="1" x14ac:dyDescent="0.15"/>
    <row r="43872" s="69" customFormat="1" x14ac:dyDescent="0.15"/>
    <row r="43873" s="69" customFormat="1" x14ac:dyDescent="0.15"/>
    <row r="43874" s="69" customFormat="1" x14ac:dyDescent="0.15"/>
    <row r="43875" s="69" customFormat="1" x14ac:dyDescent="0.15"/>
    <row r="43876" s="69" customFormat="1" x14ac:dyDescent="0.15"/>
    <row r="43877" s="69" customFormat="1" x14ac:dyDescent="0.15"/>
    <row r="43878" s="69" customFormat="1" x14ac:dyDescent="0.15"/>
    <row r="43879" s="69" customFormat="1" x14ac:dyDescent="0.15"/>
    <row r="43880" s="69" customFormat="1" x14ac:dyDescent="0.15"/>
    <row r="43881" s="69" customFormat="1" x14ac:dyDescent="0.15"/>
    <row r="43882" s="69" customFormat="1" x14ac:dyDescent="0.15"/>
    <row r="43883" s="69" customFormat="1" x14ac:dyDescent="0.15"/>
    <row r="43884" s="69" customFormat="1" x14ac:dyDescent="0.15"/>
    <row r="43885" s="69" customFormat="1" x14ac:dyDescent="0.15"/>
    <row r="43886" s="69" customFormat="1" x14ac:dyDescent="0.15"/>
    <row r="43887" s="69" customFormat="1" x14ac:dyDescent="0.15"/>
    <row r="43888" s="69" customFormat="1" x14ac:dyDescent="0.15"/>
    <row r="43889" s="69" customFormat="1" x14ac:dyDescent="0.15"/>
    <row r="43890" s="69" customFormat="1" x14ac:dyDescent="0.15"/>
    <row r="43891" s="69" customFormat="1" x14ac:dyDescent="0.15"/>
    <row r="43892" s="69" customFormat="1" x14ac:dyDescent="0.15"/>
    <row r="43893" s="69" customFormat="1" x14ac:dyDescent="0.15"/>
    <row r="43894" s="69" customFormat="1" x14ac:dyDescent="0.15"/>
    <row r="43895" s="69" customFormat="1" x14ac:dyDescent="0.15"/>
    <row r="43896" s="69" customFormat="1" x14ac:dyDescent="0.15"/>
    <row r="43897" s="69" customFormat="1" x14ac:dyDescent="0.15"/>
    <row r="43898" s="69" customFormat="1" x14ac:dyDescent="0.15"/>
    <row r="43899" s="69" customFormat="1" x14ac:dyDescent="0.15"/>
    <row r="43900" s="69" customFormat="1" x14ac:dyDescent="0.15"/>
    <row r="43901" s="69" customFormat="1" x14ac:dyDescent="0.15"/>
    <row r="43902" s="69" customFormat="1" x14ac:dyDescent="0.15"/>
    <row r="43903" s="69" customFormat="1" x14ac:dyDescent="0.15"/>
    <row r="43904" s="69" customFormat="1" x14ac:dyDescent="0.15"/>
    <row r="43905" s="69" customFormat="1" x14ac:dyDescent="0.15"/>
    <row r="43906" s="69" customFormat="1" x14ac:dyDescent="0.15"/>
    <row r="43907" s="69" customFormat="1" x14ac:dyDescent="0.15"/>
    <row r="43908" s="69" customFormat="1" x14ac:dyDescent="0.15"/>
    <row r="43909" s="69" customFormat="1" x14ac:dyDescent="0.15"/>
    <row r="43910" s="69" customFormat="1" x14ac:dyDescent="0.15"/>
    <row r="43911" s="69" customFormat="1" x14ac:dyDescent="0.15"/>
    <row r="43912" s="69" customFormat="1" x14ac:dyDescent="0.15"/>
    <row r="43913" s="69" customFormat="1" x14ac:dyDescent="0.15"/>
    <row r="43914" s="69" customFormat="1" x14ac:dyDescent="0.15"/>
    <row r="43915" s="69" customFormat="1" x14ac:dyDescent="0.15"/>
    <row r="43916" s="69" customFormat="1" x14ac:dyDescent="0.15"/>
    <row r="43917" s="69" customFormat="1" x14ac:dyDescent="0.15"/>
    <row r="43918" s="69" customFormat="1" x14ac:dyDescent="0.15"/>
    <row r="43919" s="69" customFormat="1" x14ac:dyDescent="0.15"/>
    <row r="43920" s="69" customFormat="1" x14ac:dyDescent="0.15"/>
    <row r="43921" s="69" customFormat="1" x14ac:dyDescent="0.15"/>
    <row r="43922" s="69" customFormat="1" x14ac:dyDescent="0.15"/>
    <row r="43923" s="69" customFormat="1" x14ac:dyDescent="0.15"/>
    <row r="43924" s="69" customFormat="1" x14ac:dyDescent="0.15"/>
    <row r="43925" s="69" customFormat="1" x14ac:dyDescent="0.15"/>
    <row r="43926" s="69" customFormat="1" x14ac:dyDescent="0.15"/>
    <row r="43927" s="69" customFormat="1" x14ac:dyDescent="0.15"/>
    <row r="43928" s="69" customFormat="1" x14ac:dyDescent="0.15"/>
    <row r="43929" s="69" customFormat="1" x14ac:dyDescent="0.15"/>
    <row r="43930" s="69" customFormat="1" x14ac:dyDescent="0.15"/>
    <row r="43931" s="69" customFormat="1" x14ac:dyDescent="0.15"/>
    <row r="43932" s="69" customFormat="1" x14ac:dyDescent="0.15"/>
    <row r="43933" s="69" customFormat="1" x14ac:dyDescent="0.15"/>
    <row r="43934" s="69" customFormat="1" x14ac:dyDescent="0.15"/>
    <row r="43935" s="69" customFormat="1" x14ac:dyDescent="0.15"/>
    <row r="43936" s="69" customFormat="1" x14ac:dyDescent="0.15"/>
    <row r="43937" s="69" customFormat="1" x14ac:dyDescent="0.15"/>
    <row r="43938" s="69" customFormat="1" x14ac:dyDescent="0.15"/>
    <row r="43939" s="69" customFormat="1" x14ac:dyDescent="0.15"/>
    <row r="43940" s="69" customFormat="1" x14ac:dyDescent="0.15"/>
    <row r="43941" s="69" customFormat="1" x14ac:dyDescent="0.15"/>
    <row r="43942" s="69" customFormat="1" x14ac:dyDescent="0.15"/>
    <row r="43943" s="69" customFormat="1" x14ac:dyDescent="0.15"/>
    <row r="43944" s="69" customFormat="1" x14ac:dyDescent="0.15"/>
    <row r="43945" s="69" customFormat="1" x14ac:dyDescent="0.15"/>
    <row r="43946" s="69" customFormat="1" x14ac:dyDescent="0.15"/>
    <row r="43947" s="69" customFormat="1" x14ac:dyDescent="0.15"/>
    <row r="43948" s="69" customFormat="1" x14ac:dyDescent="0.15"/>
    <row r="43949" s="69" customFormat="1" x14ac:dyDescent="0.15"/>
    <row r="43950" s="69" customFormat="1" x14ac:dyDescent="0.15"/>
    <row r="43951" s="69" customFormat="1" x14ac:dyDescent="0.15"/>
    <row r="43952" s="69" customFormat="1" x14ac:dyDescent="0.15"/>
    <row r="43953" s="69" customFormat="1" x14ac:dyDescent="0.15"/>
    <row r="43954" s="69" customFormat="1" x14ac:dyDescent="0.15"/>
    <row r="43955" s="69" customFormat="1" x14ac:dyDescent="0.15"/>
    <row r="43956" s="69" customFormat="1" x14ac:dyDescent="0.15"/>
    <row r="43957" s="69" customFormat="1" x14ac:dyDescent="0.15"/>
    <row r="43958" s="69" customFormat="1" x14ac:dyDescent="0.15"/>
    <row r="43959" s="69" customFormat="1" x14ac:dyDescent="0.15"/>
    <row r="43960" s="69" customFormat="1" x14ac:dyDescent="0.15"/>
    <row r="43961" s="69" customFormat="1" x14ac:dyDescent="0.15"/>
    <row r="43962" s="69" customFormat="1" x14ac:dyDescent="0.15"/>
    <row r="43963" s="69" customFormat="1" x14ac:dyDescent="0.15"/>
    <row r="43964" s="69" customFormat="1" x14ac:dyDescent="0.15"/>
    <row r="43965" s="69" customFormat="1" x14ac:dyDescent="0.15"/>
    <row r="43966" s="69" customFormat="1" x14ac:dyDescent="0.15"/>
    <row r="43967" s="69" customFormat="1" x14ac:dyDescent="0.15"/>
    <row r="43968" s="69" customFormat="1" x14ac:dyDescent="0.15"/>
    <row r="43969" s="69" customFormat="1" x14ac:dyDescent="0.15"/>
    <row r="43970" s="69" customFormat="1" x14ac:dyDescent="0.15"/>
    <row r="43971" s="69" customFormat="1" x14ac:dyDescent="0.15"/>
    <row r="43972" s="69" customFormat="1" x14ac:dyDescent="0.15"/>
    <row r="43973" s="69" customFormat="1" x14ac:dyDescent="0.15"/>
    <row r="43974" s="69" customFormat="1" x14ac:dyDescent="0.15"/>
    <row r="43975" s="69" customFormat="1" x14ac:dyDescent="0.15"/>
    <row r="43976" s="69" customFormat="1" x14ac:dyDescent="0.15"/>
    <row r="43977" s="69" customFormat="1" x14ac:dyDescent="0.15"/>
    <row r="43978" s="69" customFormat="1" x14ac:dyDescent="0.15"/>
    <row r="43979" s="69" customFormat="1" x14ac:dyDescent="0.15"/>
    <row r="43980" s="69" customFormat="1" x14ac:dyDescent="0.15"/>
    <row r="43981" s="69" customFormat="1" x14ac:dyDescent="0.15"/>
    <row r="43982" s="69" customFormat="1" x14ac:dyDescent="0.15"/>
    <row r="43983" s="69" customFormat="1" x14ac:dyDescent="0.15"/>
    <row r="43984" s="69" customFormat="1" x14ac:dyDescent="0.15"/>
    <row r="43985" s="69" customFormat="1" x14ac:dyDescent="0.15"/>
    <row r="43986" s="69" customFormat="1" x14ac:dyDescent="0.15"/>
    <row r="43987" s="69" customFormat="1" x14ac:dyDescent="0.15"/>
    <row r="43988" s="69" customFormat="1" x14ac:dyDescent="0.15"/>
    <row r="43989" s="69" customFormat="1" x14ac:dyDescent="0.15"/>
    <row r="43990" s="69" customFormat="1" x14ac:dyDescent="0.15"/>
    <row r="43991" s="69" customFormat="1" x14ac:dyDescent="0.15"/>
    <row r="43992" s="69" customFormat="1" x14ac:dyDescent="0.15"/>
    <row r="43993" s="69" customFormat="1" x14ac:dyDescent="0.15"/>
    <row r="43994" s="69" customFormat="1" x14ac:dyDescent="0.15"/>
    <row r="43995" s="69" customFormat="1" x14ac:dyDescent="0.15"/>
    <row r="43996" s="69" customFormat="1" x14ac:dyDescent="0.15"/>
    <row r="43997" s="69" customFormat="1" x14ac:dyDescent="0.15"/>
    <row r="43998" s="69" customFormat="1" x14ac:dyDescent="0.15"/>
    <row r="43999" s="69" customFormat="1" x14ac:dyDescent="0.15"/>
    <row r="44000" s="69" customFormat="1" x14ac:dyDescent="0.15"/>
    <row r="44001" s="69" customFormat="1" x14ac:dyDescent="0.15"/>
    <row r="44002" s="69" customFormat="1" x14ac:dyDescent="0.15"/>
    <row r="44003" s="69" customFormat="1" x14ac:dyDescent="0.15"/>
    <row r="44004" s="69" customFormat="1" x14ac:dyDescent="0.15"/>
    <row r="44005" s="69" customFormat="1" x14ac:dyDescent="0.15"/>
    <row r="44006" s="69" customFormat="1" x14ac:dyDescent="0.15"/>
    <row r="44007" s="69" customFormat="1" x14ac:dyDescent="0.15"/>
    <row r="44008" s="69" customFormat="1" x14ac:dyDescent="0.15"/>
    <row r="44009" s="69" customFormat="1" x14ac:dyDescent="0.15"/>
    <row r="44010" s="69" customFormat="1" x14ac:dyDescent="0.15"/>
    <row r="44011" s="69" customFormat="1" x14ac:dyDescent="0.15"/>
    <row r="44012" s="69" customFormat="1" x14ac:dyDescent="0.15"/>
    <row r="44013" s="69" customFormat="1" x14ac:dyDescent="0.15"/>
    <row r="44014" s="69" customFormat="1" x14ac:dyDescent="0.15"/>
    <row r="44015" s="69" customFormat="1" x14ac:dyDescent="0.15"/>
    <row r="44016" s="69" customFormat="1" x14ac:dyDescent="0.15"/>
    <row r="44017" s="69" customFormat="1" x14ac:dyDescent="0.15"/>
    <row r="44018" s="69" customFormat="1" x14ac:dyDescent="0.15"/>
    <row r="44019" s="69" customFormat="1" x14ac:dyDescent="0.15"/>
    <row r="44020" s="69" customFormat="1" x14ac:dyDescent="0.15"/>
    <row r="44021" s="69" customFormat="1" x14ac:dyDescent="0.15"/>
    <row r="44022" s="69" customFormat="1" x14ac:dyDescent="0.15"/>
    <row r="44023" s="69" customFormat="1" x14ac:dyDescent="0.15"/>
    <row r="44024" s="69" customFormat="1" x14ac:dyDescent="0.15"/>
    <row r="44025" s="69" customFormat="1" x14ac:dyDescent="0.15"/>
    <row r="44026" s="69" customFormat="1" x14ac:dyDescent="0.15"/>
    <row r="44027" s="69" customFormat="1" x14ac:dyDescent="0.15"/>
    <row r="44028" s="69" customFormat="1" x14ac:dyDescent="0.15"/>
    <row r="44029" s="69" customFormat="1" x14ac:dyDescent="0.15"/>
    <row r="44030" s="69" customFormat="1" x14ac:dyDescent="0.15"/>
    <row r="44031" s="69" customFormat="1" x14ac:dyDescent="0.15"/>
    <row r="44032" s="69" customFormat="1" x14ac:dyDescent="0.15"/>
    <row r="44033" s="69" customFormat="1" x14ac:dyDescent="0.15"/>
    <row r="44034" s="69" customFormat="1" x14ac:dyDescent="0.15"/>
    <row r="44035" s="69" customFormat="1" x14ac:dyDescent="0.15"/>
    <row r="44036" s="69" customFormat="1" x14ac:dyDescent="0.15"/>
    <row r="44037" s="69" customFormat="1" x14ac:dyDescent="0.15"/>
    <row r="44038" s="69" customFormat="1" x14ac:dyDescent="0.15"/>
    <row r="44039" s="69" customFormat="1" x14ac:dyDescent="0.15"/>
    <row r="44040" s="69" customFormat="1" x14ac:dyDescent="0.15"/>
    <row r="44041" s="69" customFormat="1" x14ac:dyDescent="0.15"/>
    <row r="44042" s="69" customFormat="1" x14ac:dyDescent="0.15"/>
    <row r="44043" s="69" customFormat="1" x14ac:dyDescent="0.15"/>
    <row r="44044" s="69" customFormat="1" x14ac:dyDescent="0.15"/>
    <row r="44045" s="69" customFormat="1" x14ac:dyDescent="0.15"/>
    <row r="44046" s="69" customFormat="1" x14ac:dyDescent="0.15"/>
    <row r="44047" s="69" customFormat="1" x14ac:dyDescent="0.15"/>
    <row r="44048" s="69" customFormat="1" x14ac:dyDescent="0.15"/>
    <row r="44049" s="69" customFormat="1" x14ac:dyDescent="0.15"/>
    <row r="44050" s="69" customFormat="1" x14ac:dyDescent="0.15"/>
    <row r="44051" s="69" customFormat="1" x14ac:dyDescent="0.15"/>
    <row r="44052" s="69" customFormat="1" x14ac:dyDescent="0.15"/>
    <row r="44053" s="69" customFormat="1" x14ac:dyDescent="0.15"/>
    <row r="44054" s="69" customFormat="1" x14ac:dyDescent="0.15"/>
    <row r="44055" s="69" customFormat="1" x14ac:dyDescent="0.15"/>
    <row r="44056" s="69" customFormat="1" x14ac:dyDescent="0.15"/>
    <row r="44057" s="69" customFormat="1" x14ac:dyDescent="0.15"/>
    <row r="44058" s="69" customFormat="1" x14ac:dyDescent="0.15"/>
    <row r="44059" s="69" customFormat="1" x14ac:dyDescent="0.15"/>
    <row r="44060" s="69" customFormat="1" x14ac:dyDescent="0.15"/>
    <row r="44061" s="69" customFormat="1" x14ac:dyDescent="0.15"/>
    <row r="44062" s="69" customFormat="1" x14ac:dyDescent="0.15"/>
    <row r="44063" s="69" customFormat="1" x14ac:dyDescent="0.15"/>
    <row r="44064" s="69" customFormat="1" x14ac:dyDescent="0.15"/>
    <row r="44065" s="69" customFormat="1" x14ac:dyDescent="0.15"/>
    <row r="44066" s="69" customFormat="1" x14ac:dyDescent="0.15"/>
    <row r="44067" s="69" customFormat="1" x14ac:dyDescent="0.15"/>
    <row r="44068" s="69" customFormat="1" x14ac:dyDescent="0.15"/>
    <row r="44069" s="69" customFormat="1" x14ac:dyDescent="0.15"/>
    <row r="44070" s="69" customFormat="1" x14ac:dyDescent="0.15"/>
    <row r="44071" s="69" customFormat="1" x14ac:dyDescent="0.15"/>
    <row r="44072" s="69" customFormat="1" x14ac:dyDescent="0.15"/>
    <row r="44073" s="69" customFormat="1" x14ac:dyDescent="0.15"/>
    <row r="44074" s="69" customFormat="1" x14ac:dyDescent="0.15"/>
    <row r="44075" s="69" customFormat="1" x14ac:dyDescent="0.15"/>
    <row r="44076" s="69" customFormat="1" x14ac:dyDescent="0.15"/>
    <row r="44077" s="69" customFormat="1" x14ac:dyDescent="0.15"/>
    <row r="44078" s="69" customFormat="1" x14ac:dyDescent="0.15"/>
    <row r="44079" s="69" customFormat="1" x14ac:dyDescent="0.15"/>
    <row r="44080" s="69" customFormat="1" x14ac:dyDescent="0.15"/>
    <row r="44081" s="69" customFormat="1" x14ac:dyDescent="0.15"/>
    <row r="44082" s="69" customFormat="1" x14ac:dyDescent="0.15"/>
    <row r="44083" s="69" customFormat="1" x14ac:dyDescent="0.15"/>
    <row r="44084" s="69" customFormat="1" x14ac:dyDescent="0.15"/>
    <row r="44085" s="69" customFormat="1" x14ac:dyDescent="0.15"/>
    <row r="44086" s="69" customFormat="1" x14ac:dyDescent="0.15"/>
    <row r="44087" s="69" customFormat="1" x14ac:dyDescent="0.15"/>
    <row r="44088" s="69" customFormat="1" x14ac:dyDescent="0.15"/>
    <row r="44089" s="69" customFormat="1" x14ac:dyDescent="0.15"/>
    <row r="44090" s="69" customFormat="1" x14ac:dyDescent="0.15"/>
    <row r="44091" s="69" customFormat="1" x14ac:dyDescent="0.15"/>
    <row r="44092" s="69" customFormat="1" x14ac:dyDescent="0.15"/>
    <row r="44093" s="69" customFormat="1" x14ac:dyDescent="0.15"/>
    <row r="44094" s="69" customFormat="1" x14ac:dyDescent="0.15"/>
    <row r="44095" s="69" customFormat="1" x14ac:dyDescent="0.15"/>
    <row r="44096" s="69" customFormat="1" x14ac:dyDescent="0.15"/>
    <row r="44097" s="69" customFormat="1" x14ac:dyDescent="0.15"/>
    <row r="44098" s="69" customFormat="1" x14ac:dyDescent="0.15"/>
    <row r="44099" s="69" customFormat="1" x14ac:dyDescent="0.15"/>
    <row r="44100" s="69" customFormat="1" x14ac:dyDescent="0.15"/>
    <row r="44101" s="69" customFormat="1" x14ac:dyDescent="0.15"/>
    <row r="44102" s="69" customFormat="1" x14ac:dyDescent="0.15"/>
    <row r="44103" s="69" customFormat="1" x14ac:dyDescent="0.15"/>
    <row r="44104" s="69" customFormat="1" x14ac:dyDescent="0.15"/>
    <row r="44105" s="69" customFormat="1" x14ac:dyDescent="0.15"/>
    <row r="44106" s="69" customFormat="1" x14ac:dyDescent="0.15"/>
    <row r="44107" s="69" customFormat="1" x14ac:dyDescent="0.15"/>
    <row r="44108" s="69" customFormat="1" x14ac:dyDescent="0.15"/>
    <row r="44109" s="69" customFormat="1" x14ac:dyDescent="0.15"/>
    <row r="44110" s="69" customFormat="1" x14ac:dyDescent="0.15"/>
    <row r="44111" s="69" customFormat="1" x14ac:dyDescent="0.15"/>
    <row r="44112" s="69" customFormat="1" x14ac:dyDescent="0.15"/>
    <row r="44113" s="69" customFormat="1" x14ac:dyDescent="0.15"/>
    <row r="44114" s="69" customFormat="1" x14ac:dyDescent="0.15"/>
    <row r="44115" s="69" customFormat="1" x14ac:dyDescent="0.15"/>
    <row r="44116" s="69" customFormat="1" x14ac:dyDescent="0.15"/>
    <row r="44117" s="69" customFormat="1" x14ac:dyDescent="0.15"/>
    <row r="44118" s="69" customFormat="1" x14ac:dyDescent="0.15"/>
    <row r="44119" s="69" customFormat="1" x14ac:dyDescent="0.15"/>
    <row r="44120" s="69" customFormat="1" x14ac:dyDescent="0.15"/>
    <row r="44121" s="69" customFormat="1" x14ac:dyDescent="0.15"/>
    <row r="44122" s="69" customFormat="1" x14ac:dyDescent="0.15"/>
    <row r="44123" s="69" customFormat="1" x14ac:dyDescent="0.15"/>
    <row r="44124" s="69" customFormat="1" x14ac:dyDescent="0.15"/>
    <row r="44125" s="69" customFormat="1" x14ac:dyDescent="0.15"/>
    <row r="44126" s="69" customFormat="1" x14ac:dyDescent="0.15"/>
    <row r="44127" s="69" customFormat="1" x14ac:dyDescent="0.15"/>
    <row r="44128" s="69" customFormat="1" x14ac:dyDescent="0.15"/>
    <row r="44129" s="69" customFormat="1" x14ac:dyDescent="0.15"/>
    <row r="44130" s="69" customFormat="1" x14ac:dyDescent="0.15"/>
    <row r="44131" s="69" customFormat="1" x14ac:dyDescent="0.15"/>
    <row r="44132" s="69" customFormat="1" x14ac:dyDescent="0.15"/>
    <row r="44133" s="69" customFormat="1" x14ac:dyDescent="0.15"/>
    <row r="44134" s="69" customFormat="1" x14ac:dyDescent="0.15"/>
    <row r="44135" s="69" customFormat="1" x14ac:dyDescent="0.15"/>
    <row r="44136" s="69" customFormat="1" x14ac:dyDescent="0.15"/>
    <row r="44137" s="69" customFormat="1" x14ac:dyDescent="0.15"/>
    <row r="44138" s="69" customFormat="1" x14ac:dyDescent="0.15"/>
    <row r="44139" s="69" customFormat="1" x14ac:dyDescent="0.15"/>
    <row r="44140" s="69" customFormat="1" x14ac:dyDescent="0.15"/>
    <row r="44141" s="69" customFormat="1" x14ac:dyDescent="0.15"/>
    <row r="44142" s="69" customFormat="1" x14ac:dyDescent="0.15"/>
    <row r="44143" s="69" customFormat="1" x14ac:dyDescent="0.15"/>
    <row r="44144" s="69" customFormat="1" x14ac:dyDescent="0.15"/>
    <row r="44145" s="69" customFormat="1" x14ac:dyDescent="0.15"/>
    <row r="44146" s="69" customFormat="1" x14ac:dyDescent="0.15"/>
    <row r="44147" s="69" customFormat="1" x14ac:dyDescent="0.15"/>
    <row r="44148" s="69" customFormat="1" x14ac:dyDescent="0.15"/>
    <row r="44149" s="69" customFormat="1" x14ac:dyDescent="0.15"/>
    <row r="44150" s="69" customFormat="1" x14ac:dyDescent="0.15"/>
    <row r="44151" s="69" customFormat="1" x14ac:dyDescent="0.15"/>
    <row r="44152" s="69" customFormat="1" x14ac:dyDescent="0.15"/>
    <row r="44153" s="69" customFormat="1" x14ac:dyDescent="0.15"/>
    <row r="44154" s="69" customFormat="1" x14ac:dyDescent="0.15"/>
    <row r="44155" s="69" customFormat="1" x14ac:dyDescent="0.15"/>
    <row r="44156" s="69" customFormat="1" x14ac:dyDescent="0.15"/>
    <row r="44157" s="69" customFormat="1" x14ac:dyDescent="0.15"/>
    <row r="44158" s="69" customFormat="1" x14ac:dyDescent="0.15"/>
    <row r="44159" s="69" customFormat="1" x14ac:dyDescent="0.15"/>
    <row r="44160" s="69" customFormat="1" x14ac:dyDescent="0.15"/>
    <row r="44161" s="69" customFormat="1" x14ac:dyDescent="0.15"/>
    <row r="44162" s="69" customFormat="1" x14ac:dyDescent="0.15"/>
    <row r="44163" s="69" customFormat="1" x14ac:dyDescent="0.15"/>
    <row r="44164" s="69" customFormat="1" x14ac:dyDescent="0.15"/>
    <row r="44165" s="69" customFormat="1" x14ac:dyDescent="0.15"/>
    <row r="44166" s="69" customFormat="1" x14ac:dyDescent="0.15"/>
    <row r="44167" s="69" customFormat="1" x14ac:dyDescent="0.15"/>
    <row r="44168" s="69" customFormat="1" x14ac:dyDescent="0.15"/>
    <row r="44169" s="69" customFormat="1" x14ac:dyDescent="0.15"/>
    <row r="44170" s="69" customFormat="1" x14ac:dyDescent="0.15"/>
    <row r="44171" s="69" customFormat="1" x14ac:dyDescent="0.15"/>
    <row r="44172" s="69" customFormat="1" x14ac:dyDescent="0.15"/>
    <row r="44173" s="69" customFormat="1" x14ac:dyDescent="0.15"/>
    <row r="44174" s="69" customFormat="1" x14ac:dyDescent="0.15"/>
    <row r="44175" s="69" customFormat="1" x14ac:dyDescent="0.15"/>
    <row r="44176" s="69" customFormat="1" x14ac:dyDescent="0.15"/>
    <row r="44177" s="69" customFormat="1" x14ac:dyDescent="0.15"/>
    <row r="44178" s="69" customFormat="1" x14ac:dyDescent="0.15"/>
    <row r="44179" s="69" customFormat="1" x14ac:dyDescent="0.15"/>
    <row r="44180" s="69" customFormat="1" x14ac:dyDescent="0.15"/>
    <row r="44181" s="69" customFormat="1" x14ac:dyDescent="0.15"/>
    <row r="44182" s="69" customFormat="1" x14ac:dyDescent="0.15"/>
    <row r="44183" s="69" customFormat="1" x14ac:dyDescent="0.15"/>
    <row r="44184" s="69" customFormat="1" x14ac:dyDescent="0.15"/>
    <row r="44185" s="69" customFormat="1" x14ac:dyDescent="0.15"/>
    <row r="44186" s="69" customFormat="1" x14ac:dyDescent="0.15"/>
    <row r="44187" s="69" customFormat="1" x14ac:dyDescent="0.15"/>
    <row r="44188" s="69" customFormat="1" x14ac:dyDescent="0.15"/>
    <row r="44189" s="69" customFormat="1" x14ac:dyDescent="0.15"/>
    <row r="44190" s="69" customFormat="1" x14ac:dyDescent="0.15"/>
    <row r="44191" s="69" customFormat="1" x14ac:dyDescent="0.15"/>
    <row r="44192" s="69" customFormat="1" x14ac:dyDescent="0.15"/>
    <row r="44193" s="69" customFormat="1" x14ac:dyDescent="0.15"/>
    <row r="44194" s="69" customFormat="1" x14ac:dyDescent="0.15"/>
    <row r="44195" s="69" customFormat="1" x14ac:dyDescent="0.15"/>
    <row r="44196" s="69" customFormat="1" x14ac:dyDescent="0.15"/>
    <row r="44197" s="69" customFormat="1" x14ac:dyDescent="0.15"/>
    <row r="44198" s="69" customFormat="1" x14ac:dyDescent="0.15"/>
    <row r="44199" s="69" customFormat="1" x14ac:dyDescent="0.15"/>
    <row r="44200" s="69" customFormat="1" x14ac:dyDescent="0.15"/>
    <row r="44201" s="69" customFormat="1" x14ac:dyDescent="0.15"/>
    <row r="44202" s="69" customFormat="1" x14ac:dyDescent="0.15"/>
    <row r="44203" s="69" customFormat="1" x14ac:dyDescent="0.15"/>
    <row r="44204" s="69" customFormat="1" x14ac:dyDescent="0.15"/>
    <row r="44205" s="69" customFormat="1" x14ac:dyDescent="0.15"/>
    <row r="44206" s="69" customFormat="1" x14ac:dyDescent="0.15"/>
    <row r="44207" s="69" customFormat="1" x14ac:dyDescent="0.15"/>
    <row r="44208" s="69" customFormat="1" x14ac:dyDescent="0.15"/>
    <row r="44209" s="69" customFormat="1" x14ac:dyDescent="0.15"/>
    <row r="44210" s="69" customFormat="1" x14ac:dyDescent="0.15"/>
    <row r="44211" s="69" customFormat="1" x14ac:dyDescent="0.15"/>
    <row r="44212" s="69" customFormat="1" x14ac:dyDescent="0.15"/>
    <row r="44213" s="69" customFormat="1" x14ac:dyDescent="0.15"/>
    <row r="44214" s="69" customFormat="1" x14ac:dyDescent="0.15"/>
    <row r="44215" s="69" customFormat="1" x14ac:dyDescent="0.15"/>
    <row r="44216" s="69" customFormat="1" x14ac:dyDescent="0.15"/>
    <row r="44217" s="69" customFormat="1" x14ac:dyDescent="0.15"/>
    <row r="44218" s="69" customFormat="1" x14ac:dyDescent="0.15"/>
    <row r="44219" s="69" customFormat="1" x14ac:dyDescent="0.15"/>
    <row r="44220" s="69" customFormat="1" x14ac:dyDescent="0.15"/>
    <row r="44221" s="69" customFormat="1" x14ac:dyDescent="0.15"/>
    <row r="44222" s="69" customFormat="1" x14ac:dyDescent="0.15"/>
    <row r="44223" s="69" customFormat="1" x14ac:dyDescent="0.15"/>
    <row r="44224" s="69" customFormat="1" x14ac:dyDescent="0.15"/>
    <row r="44225" s="69" customFormat="1" x14ac:dyDescent="0.15"/>
    <row r="44226" s="69" customFormat="1" x14ac:dyDescent="0.15"/>
    <row r="44227" s="69" customFormat="1" x14ac:dyDescent="0.15"/>
    <row r="44228" s="69" customFormat="1" x14ac:dyDescent="0.15"/>
    <row r="44229" s="69" customFormat="1" x14ac:dyDescent="0.15"/>
    <row r="44230" s="69" customFormat="1" x14ac:dyDescent="0.15"/>
    <row r="44231" s="69" customFormat="1" x14ac:dyDescent="0.15"/>
    <row r="44232" s="69" customFormat="1" x14ac:dyDescent="0.15"/>
    <row r="44233" s="69" customFormat="1" x14ac:dyDescent="0.15"/>
    <row r="44234" s="69" customFormat="1" x14ac:dyDescent="0.15"/>
    <row r="44235" s="69" customFormat="1" x14ac:dyDescent="0.15"/>
    <row r="44236" s="69" customFormat="1" x14ac:dyDescent="0.15"/>
    <row r="44237" s="69" customFormat="1" x14ac:dyDescent="0.15"/>
    <row r="44238" s="69" customFormat="1" x14ac:dyDescent="0.15"/>
    <row r="44239" s="69" customFormat="1" x14ac:dyDescent="0.15"/>
    <row r="44240" s="69" customFormat="1" x14ac:dyDescent="0.15"/>
    <row r="44241" s="69" customFormat="1" x14ac:dyDescent="0.15"/>
    <row r="44242" s="69" customFormat="1" x14ac:dyDescent="0.15"/>
    <row r="44243" s="69" customFormat="1" x14ac:dyDescent="0.15"/>
    <row r="44244" s="69" customFormat="1" x14ac:dyDescent="0.15"/>
    <row r="44245" s="69" customFormat="1" x14ac:dyDescent="0.15"/>
    <row r="44246" s="69" customFormat="1" x14ac:dyDescent="0.15"/>
    <row r="44247" s="69" customFormat="1" x14ac:dyDescent="0.15"/>
    <row r="44248" s="69" customFormat="1" x14ac:dyDescent="0.15"/>
    <row r="44249" s="69" customFormat="1" x14ac:dyDescent="0.15"/>
    <row r="44250" s="69" customFormat="1" x14ac:dyDescent="0.15"/>
    <row r="44251" s="69" customFormat="1" x14ac:dyDescent="0.15"/>
    <row r="44252" s="69" customFormat="1" x14ac:dyDescent="0.15"/>
    <row r="44253" s="69" customFormat="1" x14ac:dyDescent="0.15"/>
    <row r="44254" s="69" customFormat="1" x14ac:dyDescent="0.15"/>
    <row r="44255" s="69" customFormat="1" x14ac:dyDescent="0.15"/>
    <row r="44256" s="69" customFormat="1" x14ac:dyDescent="0.15"/>
    <row r="44257" s="69" customFormat="1" x14ac:dyDescent="0.15"/>
    <row r="44258" s="69" customFormat="1" x14ac:dyDescent="0.15"/>
    <row r="44259" s="69" customFormat="1" x14ac:dyDescent="0.15"/>
    <row r="44260" s="69" customFormat="1" x14ac:dyDescent="0.15"/>
    <row r="44261" s="69" customFormat="1" x14ac:dyDescent="0.15"/>
    <row r="44262" s="69" customFormat="1" x14ac:dyDescent="0.15"/>
    <row r="44263" s="69" customFormat="1" x14ac:dyDescent="0.15"/>
    <row r="44264" s="69" customFormat="1" x14ac:dyDescent="0.15"/>
    <row r="44265" s="69" customFormat="1" x14ac:dyDescent="0.15"/>
    <row r="44266" s="69" customFormat="1" x14ac:dyDescent="0.15"/>
    <row r="44267" s="69" customFormat="1" x14ac:dyDescent="0.15"/>
    <row r="44268" s="69" customFormat="1" x14ac:dyDescent="0.15"/>
    <row r="44269" s="69" customFormat="1" x14ac:dyDescent="0.15"/>
    <row r="44270" s="69" customFormat="1" x14ac:dyDescent="0.15"/>
    <row r="44271" s="69" customFormat="1" x14ac:dyDescent="0.15"/>
    <row r="44272" s="69" customFormat="1" x14ac:dyDescent="0.15"/>
    <row r="44273" s="69" customFormat="1" x14ac:dyDescent="0.15"/>
    <row r="44274" s="69" customFormat="1" x14ac:dyDescent="0.15"/>
    <row r="44275" s="69" customFormat="1" x14ac:dyDescent="0.15"/>
    <row r="44276" s="69" customFormat="1" x14ac:dyDescent="0.15"/>
    <row r="44277" s="69" customFormat="1" x14ac:dyDescent="0.15"/>
    <row r="44278" s="69" customFormat="1" x14ac:dyDescent="0.15"/>
    <row r="44279" s="69" customFormat="1" x14ac:dyDescent="0.15"/>
    <row r="44280" s="69" customFormat="1" x14ac:dyDescent="0.15"/>
    <row r="44281" s="69" customFormat="1" x14ac:dyDescent="0.15"/>
    <row r="44282" s="69" customFormat="1" x14ac:dyDescent="0.15"/>
    <row r="44283" s="69" customFormat="1" x14ac:dyDescent="0.15"/>
    <row r="44284" s="69" customFormat="1" x14ac:dyDescent="0.15"/>
    <row r="44285" s="69" customFormat="1" x14ac:dyDescent="0.15"/>
    <row r="44286" s="69" customFormat="1" x14ac:dyDescent="0.15"/>
    <row r="44287" s="69" customFormat="1" x14ac:dyDescent="0.15"/>
    <row r="44288" s="69" customFormat="1" x14ac:dyDescent="0.15"/>
    <row r="44289" s="69" customFormat="1" x14ac:dyDescent="0.15"/>
    <row r="44290" s="69" customFormat="1" x14ac:dyDescent="0.15"/>
    <row r="44291" s="69" customFormat="1" x14ac:dyDescent="0.15"/>
    <row r="44292" s="69" customFormat="1" x14ac:dyDescent="0.15"/>
    <row r="44293" s="69" customFormat="1" x14ac:dyDescent="0.15"/>
    <row r="44294" s="69" customFormat="1" x14ac:dyDescent="0.15"/>
    <row r="44295" s="69" customFormat="1" x14ac:dyDescent="0.15"/>
    <row r="44296" s="69" customFormat="1" x14ac:dyDescent="0.15"/>
    <row r="44297" s="69" customFormat="1" x14ac:dyDescent="0.15"/>
    <row r="44298" s="69" customFormat="1" x14ac:dyDescent="0.15"/>
    <row r="44299" s="69" customFormat="1" x14ac:dyDescent="0.15"/>
    <row r="44300" s="69" customFormat="1" x14ac:dyDescent="0.15"/>
    <row r="44301" s="69" customFormat="1" x14ac:dyDescent="0.15"/>
    <row r="44302" s="69" customFormat="1" x14ac:dyDescent="0.15"/>
    <row r="44303" s="69" customFormat="1" x14ac:dyDescent="0.15"/>
    <row r="44304" s="69" customFormat="1" x14ac:dyDescent="0.15"/>
    <row r="44305" s="69" customFormat="1" x14ac:dyDescent="0.15"/>
    <row r="44306" s="69" customFormat="1" x14ac:dyDescent="0.15"/>
    <row r="44307" s="69" customFormat="1" x14ac:dyDescent="0.15"/>
    <row r="44308" s="69" customFormat="1" x14ac:dyDescent="0.15"/>
    <row r="44309" s="69" customFormat="1" x14ac:dyDescent="0.15"/>
    <row r="44310" s="69" customFormat="1" x14ac:dyDescent="0.15"/>
    <row r="44311" s="69" customFormat="1" x14ac:dyDescent="0.15"/>
    <row r="44312" s="69" customFormat="1" x14ac:dyDescent="0.15"/>
    <row r="44313" s="69" customFormat="1" x14ac:dyDescent="0.15"/>
    <row r="44314" s="69" customFormat="1" x14ac:dyDescent="0.15"/>
    <row r="44315" s="69" customFormat="1" x14ac:dyDescent="0.15"/>
    <row r="44316" s="69" customFormat="1" x14ac:dyDescent="0.15"/>
    <row r="44317" s="69" customFormat="1" x14ac:dyDescent="0.15"/>
    <row r="44318" s="69" customFormat="1" x14ac:dyDescent="0.15"/>
    <row r="44319" s="69" customFormat="1" x14ac:dyDescent="0.15"/>
    <row r="44320" s="69" customFormat="1" x14ac:dyDescent="0.15"/>
    <row r="44321" s="69" customFormat="1" x14ac:dyDescent="0.15"/>
    <row r="44322" s="69" customFormat="1" x14ac:dyDescent="0.15"/>
    <row r="44323" s="69" customFormat="1" x14ac:dyDescent="0.15"/>
    <row r="44324" s="69" customFormat="1" x14ac:dyDescent="0.15"/>
    <row r="44325" s="69" customFormat="1" x14ac:dyDescent="0.15"/>
    <row r="44326" s="69" customFormat="1" x14ac:dyDescent="0.15"/>
    <row r="44327" s="69" customFormat="1" x14ac:dyDescent="0.15"/>
    <row r="44328" s="69" customFormat="1" x14ac:dyDescent="0.15"/>
    <row r="44329" s="69" customFormat="1" x14ac:dyDescent="0.15"/>
    <row r="44330" s="69" customFormat="1" x14ac:dyDescent="0.15"/>
    <row r="44331" s="69" customFormat="1" x14ac:dyDescent="0.15"/>
    <row r="44332" s="69" customFormat="1" x14ac:dyDescent="0.15"/>
    <row r="44333" s="69" customFormat="1" x14ac:dyDescent="0.15"/>
    <row r="44334" s="69" customFormat="1" x14ac:dyDescent="0.15"/>
    <row r="44335" s="69" customFormat="1" x14ac:dyDescent="0.15"/>
    <row r="44336" s="69" customFormat="1" x14ac:dyDescent="0.15"/>
    <row r="44337" s="69" customFormat="1" x14ac:dyDescent="0.15"/>
    <row r="44338" s="69" customFormat="1" x14ac:dyDescent="0.15"/>
    <row r="44339" s="69" customFormat="1" x14ac:dyDescent="0.15"/>
    <row r="44340" s="69" customFormat="1" x14ac:dyDescent="0.15"/>
    <row r="44341" s="69" customFormat="1" x14ac:dyDescent="0.15"/>
    <row r="44342" s="69" customFormat="1" x14ac:dyDescent="0.15"/>
    <row r="44343" s="69" customFormat="1" x14ac:dyDescent="0.15"/>
    <row r="44344" s="69" customFormat="1" x14ac:dyDescent="0.15"/>
    <row r="44345" s="69" customFormat="1" x14ac:dyDescent="0.15"/>
    <row r="44346" s="69" customFormat="1" x14ac:dyDescent="0.15"/>
    <row r="44347" s="69" customFormat="1" x14ac:dyDescent="0.15"/>
    <row r="44348" s="69" customFormat="1" x14ac:dyDescent="0.15"/>
    <row r="44349" s="69" customFormat="1" x14ac:dyDescent="0.15"/>
    <row r="44350" s="69" customFormat="1" x14ac:dyDescent="0.15"/>
    <row r="44351" s="69" customFormat="1" x14ac:dyDescent="0.15"/>
    <row r="44352" s="69" customFormat="1" x14ac:dyDescent="0.15"/>
    <row r="44353" s="69" customFormat="1" x14ac:dyDescent="0.15"/>
    <row r="44354" s="69" customFormat="1" x14ac:dyDescent="0.15"/>
    <row r="44355" s="69" customFormat="1" x14ac:dyDescent="0.15"/>
    <row r="44356" s="69" customFormat="1" x14ac:dyDescent="0.15"/>
    <row r="44357" s="69" customFormat="1" x14ac:dyDescent="0.15"/>
    <row r="44358" s="69" customFormat="1" x14ac:dyDescent="0.15"/>
    <row r="44359" s="69" customFormat="1" x14ac:dyDescent="0.15"/>
    <row r="44360" s="69" customFormat="1" x14ac:dyDescent="0.15"/>
    <row r="44361" s="69" customFormat="1" x14ac:dyDescent="0.15"/>
    <row r="44362" s="69" customFormat="1" x14ac:dyDescent="0.15"/>
    <row r="44363" s="69" customFormat="1" x14ac:dyDescent="0.15"/>
    <row r="44364" s="69" customFormat="1" x14ac:dyDescent="0.15"/>
    <row r="44365" s="69" customFormat="1" x14ac:dyDescent="0.15"/>
    <row r="44366" s="69" customFormat="1" x14ac:dyDescent="0.15"/>
    <row r="44367" s="69" customFormat="1" x14ac:dyDescent="0.15"/>
    <row r="44368" s="69" customFormat="1" x14ac:dyDescent="0.15"/>
    <row r="44369" s="69" customFormat="1" x14ac:dyDescent="0.15"/>
    <row r="44370" s="69" customFormat="1" x14ac:dyDescent="0.15"/>
    <row r="44371" s="69" customFormat="1" x14ac:dyDescent="0.15"/>
    <row r="44372" s="69" customFormat="1" x14ac:dyDescent="0.15"/>
    <row r="44373" s="69" customFormat="1" x14ac:dyDescent="0.15"/>
    <row r="44374" s="69" customFormat="1" x14ac:dyDescent="0.15"/>
    <row r="44375" s="69" customFormat="1" x14ac:dyDescent="0.15"/>
    <row r="44376" s="69" customFormat="1" x14ac:dyDescent="0.15"/>
    <row r="44377" s="69" customFormat="1" x14ac:dyDescent="0.15"/>
    <row r="44378" s="69" customFormat="1" x14ac:dyDescent="0.15"/>
    <row r="44379" s="69" customFormat="1" x14ac:dyDescent="0.15"/>
    <row r="44380" s="69" customFormat="1" x14ac:dyDescent="0.15"/>
    <row r="44381" s="69" customFormat="1" x14ac:dyDescent="0.15"/>
    <row r="44382" s="69" customFormat="1" x14ac:dyDescent="0.15"/>
    <row r="44383" s="69" customFormat="1" x14ac:dyDescent="0.15"/>
    <row r="44384" s="69" customFormat="1" x14ac:dyDescent="0.15"/>
    <row r="44385" s="69" customFormat="1" x14ac:dyDescent="0.15"/>
    <row r="44386" s="69" customFormat="1" x14ac:dyDescent="0.15"/>
    <row r="44387" s="69" customFormat="1" x14ac:dyDescent="0.15"/>
    <row r="44388" s="69" customFormat="1" x14ac:dyDescent="0.15"/>
    <row r="44389" s="69" customFormat="1" x14ac:dyDescent="0.15"/>
    <row r="44390" s="69" customFormat="1" x14ac:dyDescent="0.15"/>
    <row r="44391" s="69" customFormat="1" x14ac:dyDescent="0.15"/>
    <row r="44392" s="69" customFormat="1" x14ac:dyDescent="0.15"/>
    <row r="44393" s="69" customFormat="1" x14ac:dyDescent="0.15"/>
    <row r="44394" s="69" customFormat="1" x14ac:dyDescent="0.15"/>
    <row r="44395" s="69" customFormat="1" x14ac:dyDescent="0.15"/>
    <row r="44396" s="69" customFormat="1" x14ac:dyDescent="0.15"/>
    <row r="44397" s="69" customFormat="1" x14ac:dyDescent="0.15"/>
    <row r="44398" s="69" customFormat="1" x14ac:dyDescent="0.15"/>
    <row r="44399" s="69" customFormat="1" x14ac:dyDescent="0.15"/>
    <row r="44400" s="69" customFormat="1" x14ac:dyDescent="0.15"/>
    <row r="44401" s="69" customFormat="1" x14ac:dyDescent="0.15"/>
    <row r="44402" s="69" customFormat="1" x14ac:dyDescent="0.15"/>
    <row r="44403" s="69" customFormat="1" x14ac:dyDescent="0.15"/>
    <row r="44404" s="69" customFormat="1" x14ac:dyDescent="0.15"/>
    <row r="44405" s="69" customFormat="1" x14ac:dyDescent="0.15"/>
    <row r="44406" s="69" customFormat="1" x14ac:dyDescent="0.15"/>
    <row r="44407" s="69" customFormat="1" x14ac:dyDescent="0.15"/>
    <row r="44408" s="69" customFormat="1" x14ac:dyDescent="0.15"/>
    <row r="44409" s="69" customFormat="1" x14ac:dyDescent="0.15"/>
    <row r="44410" s="69" customFormat="1" x14ac:dyDescent="0.15"/>
    <row r="44411" s="69" customFormat="1" x14ac:dyDescent="0.15"/>
    <row r="44412" s="69" customFormat="1" x14ac:dyDescent="0.15"/>
    <row r="44413" s="69" customFormat="1" x14ac:dyDescent="0.15"/>
    <row r="44414" s="69" customFormat="1" x14ac:dyDescent="0.15"/>
    <row r="44415" s="69" customFormat="1" x14ac:dyDescent="0.15"/>
    <row r="44416" s="69" customFormat="1" x14ac:dyDescent="0.15"/>
    <row r="44417" s="69" customFormat="1" x14ac:dyDescent="0.15"/>
    <row r="44418" s="69" customFormat="1" x14ac:dyDescent="0.15"/>
    <row r="44419" s="69" customFormat="1" x14ac:dyDescent="0.15"/>
    <row r="44420" s="69" customFormat="1" x14ac:dyDescent="0.15"/>
    <row r="44421" s="69" customFormat="1" x14ac:dyDescent="0.15"/>
    <row r="44422" s="69" customFormat="1" x14ac:dyDescent="0.15"/>
    <row r="44423" s="69" customFormat="1" x14ac:dyDescent="0.15"/>
    <row r="44424" s="69" customFormat="1" x14ac:dyDescent="0.15"/>
    <row r="44425" s="69" customFormat="1" x14ac:dyDescent="0.15"/>
    <row r="44426" s="69" customFormat="1" x14ac:dyDescent="0.15"/>
    <row r="44427" s="69" customFormat="1" x14ac:dyDescent="0.15"/>
    <row r="44428" s="69" customFormat="1" x14ac:dyDescent="0.15"/>
    <row r="44429" s="69" customFormat="1" x14ac:dyDescent="0.15"/>
    <row r="44430" s="69" customFormat="1" x14ac:dyDescent="0.15"/>
    <row r="44431" s="69" customFormat="1" x14ac:dyDescent="0.15"/>
    <row r="44432" s="69" customFormat="1" x14ac:dyDescent="0.15"/>
    <row r="44433" s="69" customFormat="1" x14ac:dyDescent="0.15"/>
    <row r="44434" s="69" customFormat="1" x14ac:dyDescent="0.15"/>
    <row r="44435" s="69" customFormat="1" x14ac:dyDescent="0.15"/>
    <row r="44436" s="69" customFormat="1" x14ac:dyDescent="0.15"/>
    <row r="44437" s="69" customFormat="1" x14ac:dyDescent="0.15"/>
    <row r="44438" s="69" customFormat="1" x14ac:dyDescent="0.15"/>
    <row r="44439" s="69" customFormat="1" x14ac:dyDescent="0.15"/>
    <row r="44440" s="69" customFormat="1" x14ac:dyDescent="0.15"/>
    <row r="44441" s="69" customFormat="1" x14ac:dyDescent="0.15"/>
    <row r="44442" s="69" customFormat="1" x14ac:dyDescent="0.15"/>
    <row r="44443" s="69" customFormat="1" x14ac:dyDescent="0.15"/>
    <row r="44444" s="69" customFormat="1" x14ac:dyDescent="0.15"/>
    <row r="44445" s="69" customFormat="1" x14ac:dyDescent="0.15"/>
    <row r="44446" s="69" customFormat="1" x14ac:dyDescent="0.15"/>
    <row r="44447" s="69" customFormat="1" x14ac:dyDescent="0.15"/>
    <row r="44448" s="69" customFormat="1" x14ac:dyDescent="0.15"/>
    <row r="44449" s="69" customFormat="1" x14ac:dyDescent="0.15"/>
    <row r="44450" s="69" customFormat="1" x14ac:dyDescent="0.15"/>
    <row r="44451" s="69" customFormat="1" x14ac:dyDescent="0.15"/>
    <row r="44452" s="69" customFormat="1" x14ac:dyDescent="0.15"/>
    <row r="44453" s="69" customFormat="1" x14ac:dyDescent="0.15"/>
    <row r="44454" s="69" customFormat="1" x14ac:dyDescent="0.15"/>
    <row r="44455" s="69" customFormat="1" x14ac:dyDescent="0.15"/>
    <row r="44456" s="69" customFormat="1" x14ac:dyDescent="0.15"/>
    <row r="44457" s="69" customFormat="1" x14ac:dyDescent="0.15"/>
    <row r="44458" s="69" customFormat="1" x14ac:dyDescent="0.15"/>
    <row r="44459" s="69" customFormat="1" x14ac:dyDescent="0.15"/>
    <row r="44460" s="69" customFormat="1" x14ac:dyDescent="0.15"/>
    <row r="44461" s="69" customFormat="1" x14ac:dyDescent="0.15"/>
    <row r="44462" s="69" customFormat="1" x14ac:dyDescent="0.15"/>
    <row r="44463" s="69" customFormat="1" x14ac:dyDescent="0.15"/>
    <row r="44464" s="69" customFormat="1" x14ac:dyDescent="0.15"/>
    <row r="44465" s="69" customFormat="1" x14ac:dyDescent="0.15"/>
    <row r="44466" s="69" customFormat="1" x14ac:dyDescent="0.15"/>
    <row r="44467" s="69" customFormat="1" x14ac:dyDescent="0.15"/>
    <row r="44468" s="69" customFormat="1" x14ac:dyDescent="0.15"/>
    <row r="44469" s="69" customFormat="1" x14ac:dyDescent="0.15"/>
    <row r="44470" s="69" customFormat="1" x14ac:dyDescent="0.15"/>
    <row r="44471" s="69" customFormat="1" x14ac:dyDescent="0.15"/>
    <row r="44472" s="69" customFormat="1" x14ac:dyDescent="0.15"/>
    <row r="44473" s="69" customFormat="1" x14ac:dyDescent="0.15"/>
    <row r="44474" s="69" customFormat="1" x14ac:dyDescent="0.15"/>
    <row r="44475" s="69" customFormat="1" x14ac:dyDescent="0.15"/>
    <row r="44476" s="69" customFormat="1" x14ac:dyDescent="0.15"/>
    <row r="44477" s="69" customFormat="1" x14ac:dyDescent="0.15"/>
    <row r="44478" s="69" customFormat="1" x14ac:dyDescent="0.15"/>
    <row r="44479" s="69" customFormat="1" x14ac:dyDescent="0.15"/>
    <row r="44480" s="69" customFormat="1" x14ac:dyDescent="0.15"/>
    <row r="44481" s="69" customFormat="1" x14ac:dyDescent="0.15"/>
    <row r="44482" s="69" customFormat="1" x14ac:dyDescent="0.15"/>
    <row r="44483" s="69" customFormat="1" x14ac:dyDescent="0.15"/>
    <row r="44484" s="69" customFormat="1" x14ac:dyDescent="0.15"/>
    <row r="44485" s="69" customFormat="1" x14ac:dyDescent="0.15"/>
    <row r="44486" s="69" customFormat="1" x14ac:dyDescent="0.15"/>
    <row r="44487" s="69" customFormat="1" x14ac:dyDescent="0.15"/>
    <row r="44488" s="69" customFormat="1" x14ac:dyDescent="0.15"/>
    <row r="44489" s="69" customFormat="1" x14ac:dyDescent="0.15"/>
    <row r="44490" s="69" customFormat="1" x14ac:dyDescent="0.15"/>
    <row r="44491" s="69" customFormat="1" x14ac:dyDescent="0.15"/>
    <row r="44492" s="69" customFormat="1" x14ac:dyDescent="0.15"/>
    <row r="44493" s="69" customFormat="1" x14ac:dyDescent="0.15"/>
    <row r="44494" s="69" customFormat="1" x14ac:dyDescent="0.15"/>
    <row r="44495" s="69" customFormat="1" x14ac:dyDescent="0.15"/>
    <row r="44496" s="69" customFormat="1" x14ac:dyDescent="0.15"/>
    <row r="44497" s="69" customFormat="1" x14ac:dyDescent="0.15"/>
    <row r="44498" s="69" customFormat="1" x14ac:dyDescent="0.15"/>
    <row r="44499" s="69" customFormat="1" x14ac:dyDescent="0.15"/>
    <row r="44500" s="69" customFormat="1" x14ac:dyDescent="0.15"/>
    <row r="44501" s="69" customFormat="1" x14ac:dyDescent="0.15"/>
    <row r="44502" s="69" customFormat="1" x14ac:dyDescent="0.15"/>
    <row r="44503" s="69" customFormat="1" x14ac:dyDescent="0.15"/>
    <row r="44504" s="69" customFormat="1" x14ac:dyDescent="0.15"/>
    <row r="44505" s="69" customFormat="1" x14ac:dyDescent="0.15"/>
    <row r="44506" s="69" customFormat="1" x14ac:dyDescent="0.15"/>
    <row r="44507" s="69" customFormat="1" x14ac:dyDescent="0.15"/>
    <row r="44508" s="69" customFormat="1" x14ac:dyDescent="0.15"/>
    <row r="44509" s="69" customFormat="1" x14ac:dyDescent="0.15"/>
    <row r="44510" s="69" customFormat="1" x14ac:dyDescent="0.15"/>
    <row r="44511" s="69" customFormat="1" x14ac:dyDescent="0.15"/>
    <row r="44512" s="69" customFormat="1" x14ac:dyDescent="0.15"/>
    <row r="44513" s="69" customFormat="1" x14ac:dyDescent="0.15"/>
    <row r="44514" s="69" customFormat="1" x14ac:dyDescent="0.15"/>
    <row r="44515" s="69" customFormat="1" x14ac:dyDescent="0.15"/>
    <row r="44516" s="69" customFormat="1" x14ac:dyDescent="0.15"/>
    <row r="44517" s="69" customFormat="1" x14ac:dyDescent="0.15"/>
    <row r="44518" s="69" customFormat="1" x14ac:dyDescent="0.15"/>
    <row r="44519" s="69" customFormat="1" x14ac:dyDescent="0.15"/>
    <row r="44520" s="69" customFormat="1" x14ac:dyDescent="0.15"/>
    <row r="44521" s="69" customFormat="1" x14ac:dyDescent="0.15"/>
    <row r="44522" s="69" customFormat="1" x14ac:dyDescent="0.15"/>
    <row r="44523" s="69" customFormat="1" x14ac:dyDescent="0.15"/>
    <row r="44524" s="69" customFormat="1" x14ac:dyDescent="0.15"/>
    <row r="44525" s="69" customFormat="1" x14ac:dyDescent="0.15"/>
    <row r="44526" s="69" customFormat="1" x14ac:dyDescent="0.15"/>
    <row r="44527" s="69" customFormat="1" x14ac:dyDescent="0.15"/>
    <row r="44528" s="69" customFormat="1" x14ac:dyDescent="0.15"/>
    <row r="44529" s="69" customFormat="1" x14ac:dyDescent="0.15"/>
    <row r="44530" s="69" customFormat="1" x14ac:dyDescent="0.15"/>
    <row r="44531" s="69" customFormat="1" x14ac:dyDescent="0.15"/>
    <row r="44532" s="69" customFormat="1" x14ac:dyDescent="0.15"/>
    <row r="44533" s="69" customFormat="1" x14ac:dyDescent="0.15"/>
    <row r="44534" s="69" customFormat="1" x14ac:dyDescent="0.15"/>
    <row r="44535" s="69" customFormat="1" x14ac:dyDescent="0.15"/>
    <row r="44536" s="69" customFormat="1" x14ac:dyDescent="0.15"/>
    <row r="44537" s="69" customFormat="1" x14ac:dyDescent="0.15"/>
    <row r="44538" s="69" customFormat="1" x14ac:dyDescent="0.15"/>
    <row r="44539" s="69" customFormat="1" x14ac:dyDescent="0.15"/>
    <row r="44540" s="69" customFormat="1" x14ac:dyDescent="0.15"/>
    <row r="44541" s="69" customFormat="1" x14ac:dyDescent="0.15"/>
    <row r="44542" s="69" customFormat="1" x14ac:dyDescent="0.15"/>
    <row r="44543" s="69" customFormat="1" x14ac:dyDescent="0.15"/>
    <row r="44544" s="69" customFormat="1" x14ac:dyDescent="0.15"/>
    <row r="44545" s="69" customFormat="1" x14ac:dyDescent="0.15"/>
    <row r="44546" s="69" customFormat="1" x14ac:dyDescent="0.15"/>
    <row r="44547" s="69" customFormat="1" x14ac:dyDescent="0.15"/>
    <row r="44548" s="69" customFormat="1" x14ac:dyDescent="0.15"/>
    <row r="44549" s="69" customFormat="1" x14ac:dyDescent="0.15"/>
    <row r="44550" s="69" customFormat="1" x14ac:dyDescent="0.15"/>
    <row r="44551" s="69" customFormat="1" x14ac:dyDescent="0.15"/>
    <row r="44552" s="69" customFormat="1" x14ac:dyDescent="0.15"/>
    <row r="44553" s="69" customFormat="1" x14ac:dyDescent="0.15"/>
    <row r="44554" s="69" customFormat="1" x14ac:dyDescent="0.15"/>
    <row r="44555" s="69" customFormat="1" x14ac:dyDescent="0.15"/>
    <row r="44556" s="69" customFormat="1" x14ac:dyDescent="0.15"/>
    <row r="44557" s="69" customFormat="1" x14ac:dyDescent="0.15"/>
    <row r="44558" s="69" customFormat="1" x14ac:dyDescent="0.15"/>
    <row r="44559" s="69" customFormat="1" x14ac:dyDescent="0.15"/>
    <row r="44560" s="69" customFormat="1" x14ac:dyDescent="0.15"/>
    <row r="44561" s="69" customFormat="1" x14ac:dyDescent="0.15"/>
    <row r="44562" s="69" customFormat="1" x14ac:dyDescent="0.15"/>
    <row r="44563" s="69" customFormat="1" x14ac:dyDescent="0.15"/>
    <row r="44564" s="69" customFormat="1" x14ac:dyDescent="0.15"/>
    <row r="44565" s="69" customFormat="1" x14ac:dyDescent="0.15"/>
    <row r="44566" s="69" customFormat="1" x14ac:dyDescent="0.15"/>
    <row r="44567" s="69" customFormat="1" x14ac:dyDescent="0.15"/>
    <row r="44568" s="69" customFormat="1" x14ac:dyDescent="0.15"/>
    <row r="44569" s="69" customFormat="1" x14ac:dyDescent="0.15"/>
    <row r="44570" s="69" customFormat="1" x14ac:dyDescent="0.15"/>
    <row r="44571" s="69" customFormat="1" x14ac:dyDescent="0.15"/>
    <row r="44572" s="69" customFormat="1" x14ac:dyDescent="0.15"/>
    <row r="44573" s="69" customFormat="1" x14ac:dyDescent="0.15"/>
    <row r="44574" s="69" customFormat="1" x14ac:dyDescent="0.15"/>
    <row r="44575" s="69" customFormat="1" x14ac:dyDescent="0.15"/>
    <row r="44576" s="69" customFormat="1" x14ac:dyDescent="0.15"/>
    <row r="44577" s="69" customFormat="1" x14ac:dyDescent="0.15"/>
    <row r="44578" s="69" customFormat="1" x14ac:dyDescent="0.15"/>
    <row r="44579" s="69" customFormat="1" x14ac:dyDescent="0.15"/>
    <row r="44580" s="69" customFormat="1" x14ac:dyDescent="0.15"/>
    <row r="44581" s="69" customFormat="1" x14ac:dyDescent="0.15"/>
    <row r="44582" s="69" customFormat="1" x14ac:dyDescent="0.15"/>
    <row r="44583" s="69" customFormat="1" x14ac:dyDescent="0.15"/>
    <row r="44584" s="69" customFormat="1" x14ac:dyDescent="0.15"/>
    <row r="44585" s="69" customFormat="1" x14ac:dyDescent="0.15"/>
    <row r="44586" s="69" customFormat="1" x14ac:dyDescent="0.15"/>
    <row r="44587" s="69" customFormat="1" x14ac:dyDescent="0.15"/>
    <row r="44588" s="69" customFormat="1" x14ac:dyDescent="0.15"/>
    <row r="44589" s="69" customFormat="1" x14ac:dyDescent="0.15"/>
    <row r="44590" s="69" customFormat="1" x14ac:dyDescent="0.15"/>
    <row r="44591" s="69" customFormat="1" x14ac:dyDescent="0.15"/>
    <row r="44592" s="69" customFormat="1" x14ac:dyDescent="0.15"/>
    <row r="44593" s="69" customFormat="1" x14ac:dyDescent="0.15"/>
    <row r="44594" s="69" customFormat="1" x14ac:dyDescent="0.15"/>
    <row r="44595" s="69" customFormat="1" x14ac:dyDescent="0.15"/>
    <row r="44596" s="69" customFormat="1" x14ac:dyDescent="0.15"/>
    <row r="44597" s="69" customFormat="1" x14ac:dyDescent="0.15"/>
    <row r="44598" s="69" customFormat="1" x14ac:dyDescent="0.15"/>
    <row r="44599" s="69" customFormat="1" x14ac:dyDescent="0.15"/>
    <row r="44600" s="69" customFormat="1" x14ac:dyDescent="0.15"/>
    <row r="44601" s="69" customFormat="1" x14ac:dyDescent="0.15"/>
    <row r="44602" s="69" customFormat="1" x14ac:dyDescent="0.15"/>
    <row r="44603" s="69" customFormat="1" x14ac:dyDescent="0.15"/>
    <row r="44604" s="69" customFormat="1" x14ac:dyDescent="0.15"/>
    <row r="44605" s="69" customFormat="1" x14ac:dyDescent="0.15"/>
    <row r="44606" s="69" customFormat="1" x14ac:dyDescent="0.15"/>
    <row r="44607" s="69" customFormat="1" x14ac:dyDescent="0.15"/>
    <row r="44608" s="69" customFormat="1" x14ac:dyDescent="0.15"/>
    <row r="44609" s="69" customFormat="1" x14ac:dyDescent="0.15"/>
    <row r="44610" s="69" customFormat="1" x14ac:dyDescent="0.15"/>
    <row r="44611" s="69" customFormat="1" x14ac:dyDescent="0.15"/>
    <row r="44612" s="69" customFormat="1" x14ac:dyDescent="0.15"/>
    <row r="44613" s="69" customFormat="1" x14ac:dyDescent="0.15"/>
    <row r="44614" s="69" customFormat="1" x14ac:dyDescent="0.15"/>
    <row r="44615" s="69" customFormat="1" x14ac:dyDescent="0.15"/>
    <row r="44616" s="69" customFormat="1" x14ac:dyDescent="0.15"/>
    <row r="44617" s="69" customFormat="1" x14ac:dyDescent="0.15"/>
    <row r="44618" s="69" customFormat="1" x14ac:dyDescent="0.15"/>
    <row r="44619" s="69" customFormat="1" x14ac:dyDescent="0.15"/>
    <row r="44620" s="69" customFormat="1" x14ac:dyDescent="0.15"/>
    <row r="44621" s="69" customFormat="1" x14ac:dyDescent="0.15"/>
    <row r="44622" s="69" customFormat="1" x14ac:dyDescent="0.15"/>
    <row r="44623" s="69" customFormat="1" x14ac:dyDescent="0.15"/>
    <row r="44624" s="69" customFormat="1" x14ac:dyDescent="0.15"/>
    <row r="44625" s="69" customFormat="1" x14ac:dyDescent="0.15"/>
    <row r="44626" s="69" customFormat="1" x14ac:dyDescent="0.15"/>
    <row r="44627" s="69" customFormat="1" x14ac:dyDescent="0.15"/>
    <row r="44628" s="69" customFormat="1" x14ac:dyDescent="0.15"/>
    <row r="44629" s="69" customFormat="1" x14ac:dyDescent="0.15"/>
    <row r="44630" s="69" customFormat="1" x14ac:dyDescent="0.15"/>
    <row r="44631" s="69" customFormat="1" x14ac:dyDescent="0.15"/>
    <row r="44632" s="69" customFormat="1" x14ac:dyDescent="0.15"/>
    <row r="44633" s="69" customFormat="1" x14ac:dyDescent="0.15"/>
    <row r="44634" s="69" customFormat="1" x14ac:dyDescent="0.15"/>
    <row r="44635" s="69" customFormat="1" x14ac:dyDescent="0.15"/>
    <row r="44636" s="69" customFormat="1" x14ac:dyDescent="0.15"/>
    <row r="44637" s="69" customFormat="1" x14ac:dyDescent="0.15"/>
    <row r="44638" s="69" customFormat="1" x14ac:dyDescent="0.15"/>
    <row r="44639" s="69" customFormat="1" x14ac:dyDescent="0.15"/>
    <row r="44640" s="69" customFormat="1" x14ac:dyDescent="0.15"/>
    <row r="44641" s="69" customFormat="1" x14ac:dyDescent="0.15"/>
    <row r="44642" s="69" customFormat="1" x14ac:dyDescent="0.15"/>
    <row r="44643" s="69" customFormat="1" x14ac:dyDescent="0.15"/>
    <row r="44644" s="69" customFormat="1" x14ac:dyDescent="0.15"/>
    <row r="44645" s="69" customFormat="1" x14ac:dyDescent="0.15"/>
    <row r="44646" s="69" customFormat="1" x14ac:dyDescent="0.15"/>
    <row r="44647" s="69" customFormat="1" x14ac:dyDescent="0.15"/>
    <row r="44648" s="69" customFormat="1" x14ac:dyDescent="0.15"/>
    <row r="44649" s="69" customFormat="1" x14ac:dyDescent="0.15"/>
    <row r="44650" s="69" customFormat="1" x14ac:dyDescent="0.15"/>
    <row r="44651" s="69" customFormat="1" x14ac:dyDescent="0.15"/>
    <row r="44652" s="69" customFormat="1" x14ac:dyDescent="0.15"/>
    <row r="44653" s="69" customFormat="1" x14ac:dyDescent="0.15"/>
    <row r="44654" s="69" customFormat="1" x14ac:dyDescent="0.15"/>
    <row r="44655" s="69" customFormat="1" x14ac:dyDescent="0.15"/>
    <row r="44656" s="69" customFormat="1" x14ac:dyDescent="0.15"/>
    <row r="44657" s="69" customFormat="1" x14ac:dyDescent="0.15"/>
    <row r="44658" s="69" customFormat="1" x14ac:dyDescent="0.15"/>
    <row r="44659" s="69" customFormat="1" x14ac:dyDescent="0.15"/>
    <row r="44660" s="69" customFormat="1" x14ac:dyDescent="0.15"/>
    <row r="44661" s="69" customFormat="1" x14ac:dyDescent="0.15"/>
    <row r="44662" s="69" customFormat="1" x14ac:dyDescent="0.15"/>
    <row r="44663" s="69" customFormat="1" x14ac:dyDescent="0.15"/>
    <row r="44664" s="69" customFormat="1" x14ac:dyDescent="0.15"/>
    <row r="44665" s="69" customFormat="1" x14ac:dyDescent="0.15"/>
    <row r="44666" s="69" customFormat="1" x14ac:dyDescent="0.15"/>
    <row r="44667" s="69" customFormat="1" x14ac:dyDescent="0.15"/>
    <row r="44668" s="69" customFormat="1" x14ac:dyDescent="0.15"/>
    <row r="44669" s="69" customFormat="1" x14ac:dyDescent="0.15"/>
    <row r="44670" s="69" customFormat="1" x14ac:dyDescent="0.15"/>
    <row r="44671" s="69" customFormat="1" x14ac:dyDescent="0.15"/>
    <row r="44672" s="69" customFormat="1" x14ac:dyDescent="0.15"/>
    <row r="44673" s="69" customFormat="1" x14ac:dyDescent="0.15"/>
    <row r="44674" s="69" customFormat="1" x14ac:dyDescent="0.15"/>
    <row r="44675" s="69" customFormat="1" x14ac:dyDescent="0.15"/>
    <row r="44676" s="69" customFormat="1" x14ac:dyDescent="0.15"/>
    <row r="44677" s="69" customFormat="1" x14ac:dyDescent="0.15"/>
    <row r="44678" s="69" customFormat="1" x14ac:dyDescent="0.15"/>
    <row r="44679" s="69" customFormat="1" x14ac:dyDescent="0.15"/>
    <row r="44680" s="69" customFormat="1" x14ac:dyDescent="0.15"/>
    <row r="44681" s="69" customFormat="1" x14ac:dyDescent="0.15"/>
    <row r="44682" s="69" customFormat="1" x14ac:dyDescent="0.15"/>
    <row r="44683" s="69" customFormat="1" x14ac:dyDescent="0.15"/>
    <row r="44684" s="69" customFormat="1" x14ac:dyDescent="0.15"/>
    <row r="44685" s="69" customFormat="1" x14ac:dyDescent="0.15"/>
    <row r="44686" s="69" customFormat="1" x14ac:dyDescent="0.15"/>
    <row r="44687" s="69" customFormat="1" x14ac:dyDescent="0.15"/>
    <row r="44688" s="69" customFormat="1" x14ac:dyDescent="0.15"/>
    <row r="44689" s="69" customFormat="1" x14ac:dyDescent="0.15"/>
    <row r="44690" s="69" customFormat="1" x14ac:dyDescent="0.15"/>
    <row r="44691" s="69" customFormat="1" x14ac:dyDescent="0.15"/>
    <row r="44692" s="69" customFormat="1" x14ac:dyDescent="0.15"/>
    <row r="44693" s="69" customFormat="1" x14ac:dyDescent="0.15"/>
    <row r="44694" s="69" customFormat="1" x14ac:dyDescent="0.15"/>
    <row r="44695" s="69" customFormat="1" x14ac:dyDescent="0.15"/>
    <row r="44696" s="69" customFormat="1" x14ac:dyDescent="0.15"/>
    <row r="44697" s="69" customFormat="1" x14ac:dyDescent="0.15"/>
    <row r="44698" s="69" customFormat="1" x14ac:dyDescent="0.15"/>
    <row r="44699" s="69" customFormat="1" x14ac:dyDescent="0.15"/>
    <row r="44700" s="69" customFormat="1" x14ac:dyDescent="0.15"/>
    <row r="44701" s="69" customFormat="1" x14ac:dyDescent="0.15"/>
    <row r="44702" s="69" customFormat="1" x14ac:dyDescent="0.15"/>
    <row r="44703" s="69" customFormat="1" x14ac:dyDescent="0.15"/>
    <row r="44704" s="69" customFormat="1" x14ac:dyDescent="0.15"/>
    <row r="44705" s="69" customFormat="1" x14ac:dyDescent="0.15"/>
    <row r="44706" s="69" customFormat="1" x14ac:dyDescent="0.15"/>
    <row r="44707" s="69" customFormat="1" x14ac:dyDescent="0.15"/>
    <row r="44708" s="69" customFormat="1" x14ac:dyDescent="0.15"/>
    <row r="44709" s="69" customFormat="1" x14ac:dyDescent="0.15"/>
    <row r="44710" s="69" customFormat="1" x14ac:dyDescent="0.15"/>
    <row r="44711" s="69" customFormat="1" x14ac:dyDescent="0.15"/>
    <row r="44712" s="69" customFormat="1" x14ac:dyDescent="0.15"/>
    <row r="44713" s="69" customFormat="1" x14ac:dyDescent="0.15"/>
    <row r="44714" s="69" customFormat="1" x14ac:dyDescent="0.15"/>
    <row r="44715" s="69" customFormat="1" x14ac:dyDescent="0.15"/>
    <row r="44716" s="69" customFormat="1" x14ac:dyDescent="0.15"/>
    <row r="44717" s="69" customFormat="1" x14ac:dyDescent="0.15"/>
    <row r="44718" s="69" customFormat="1" x14ac:dyDescent="0.15"/>
    <row r="44719" s="69" customFormat="1" x14ac:dyDescent="0.15"/>
    <row r="44720" s="69" customFormat="1" x14ac:dyDescent="0.15"/>
    <row r="44721" s="69" customFormat="1" x14ac:dyDescent="0.15"/>
    <row r="44722" s="69" customFormat="1" x14ac:dyDescent="0.15"/>
    <row r="44723" s="69" customFormat="1" x14ac:dyDescent="0.15"/>
    <row r="44724" s="69" customFormat="1" x14ac:dyDescent="0.15"/>
    <row r="44725" s="69" customFormat="1" x14ac:dyDescent="0.15"/>
    <row r="44726" s="69" customFormat="1" x14ac:dyDescent="0.15"/>
    <row r="44727" s="69" customFormat="1" x14ac:dyDescent="0.15"/>
    <row r="44728" s="69" customFormat="1" x14ac:dyDescent="0.15"/>
    <row r="44729" s="69" customFormat="1" x14ac:dyDescent="0.15"/>
    <row r="44730" s="69" customFormat="1" x14ac:dyDescent="0.15"/>
    <row r="44731" s="69" customFormat="1" x14ac:dyDescent="0.15"/>
    <row r="44732" s="69" customFormat="1" x14ac:dyDescent="0.15"/>
    <row r="44733" s="69" customFormat="1" x14ac:dyDescent="0.15"/>
    <row r="44734" s="69" customFormat="1" x14ac:dyDescent="0.15"/>
    <row r="44735" s="69" customFormat="1" x14ac:dyDescent="0.15"/>
    <row r="44736" s="69" customFormat="1" x14ac:dyDescent="0.15"/>
    <row r="44737" s="69" customFormat="1" x14ac:dyDescent="0.15"/>
    <row r="44738" s="69" customFormat="1" x14ac:dyDescent="0.15"/>
    <row r="44739" s="69" customFormat="1" x14ac:dyDescent="0.15"/>
    <row r="44740" s="69" customFormat="1" x14ac:dyDescent="0.15"/>
    <row r="44741" s="69" customFormat="1" x14ac:dyDescent="0.15"/>
    <row r="44742" s="69" customFormat="1" x14ac:dyDescent="0.15"/>
    <row r="44743" s="69" customFormat="1" x14ac:dyDescent="0.15"/>
    <row r="44744" s="69" customFormat="1" x14ac:dyDescent="0.15"/>
    <row r="44745" s="69" customFormat="1" x14ac:dyDescent="0.15"/>
    <row r="44746" s="69" customFormat="1" x14ac:dyDescent="0.15"/>
    <row r="44747" s="69" customFormat="1" x14ac:dyDescent="0.15"/>
    <row r="44748" s="69" customFormat="1" x14ac:dyDescent="0.15"/>
    <row r="44749" s="69" customFormat="1" x14ac:dyDescent="0.15"/>
    <row r="44750" s="69" customFormat="1" x14ac:dyDescent="0.15"/>
    <row r="44751" s="69" customFormat="1" x14ac:dyDescent="0.15"/>
    <row r="44752" s="69" customFormat="1" x14ac:dyDescent="0.15"/>
    <row r="44753" s="69" customFormat="1" x14ac:dyDescent="0.15"/>
    <row r="44754" s="69" customFormat="1" x14ac:dyDescent="0.15"/>
    <row r="44755" s="69" customFormat="1" x14ac:dyDescent="0.15"/>
    <row r="44756" s="69" customFormat="1" x14ac:dyDescent="0.15"/>
    <row r="44757" s="69" customFormat="1" x14ac:dyDescent="0.15"/>
    <row r="44758" s="69" customFormat="1" x14ac:dyDescent="0.15"/>
    <row r="44759" s="69" customFormat="1" x14ac:dyDescent="0.15"/>
    <row r="44760" s="69" customFormat="1" x14ac:dyDescent="0.15"/>
    <row r="44761" s="69" customFormat="1" x14ac:dyDescent="0.15"/>
    <row r="44762" s="69" customFormat="1" x14ac:dyDescent="0.15"/>
    <row r="44763" s="69" customFormat="1" x14ac:dyDescent="0.15"/>
    <row r="44764" s="69" customFormat="1" x14ac:dyDescent="0.15"/>
    <row r="44765" s="69" customFormat="1" x14ac:dyDescent="0.15"/>
    <row r="44766" s="69" customFormat="1" x14ac:dyDescent="0.15"/>
    <row r="44767" s="69" customFormat="1" x14ac:dyDescent="0.15"/>
    <row r="44768" s="69" customFormat="1" x14ac:dyDescent="0.15"/>
    <row r="44769" s="69" customFormat="1" x14ac:dyDescent="0.15"/>
    <row r="44770" s="69" customFormat="1" x14ac:dyDescent="0.15"/>
    <row r="44771" s="69" customFormat="1" x14ac:dyDescent="0.15"/>
    <row r="44772" s="69" customFormat="1" x14ac:dyDescent="0.15"/>
    <row r="44773" s="69" customFormat="1" x14ac:dyDescent="0.15"/>
    <row r="44774" s="69" customFormat="1" x14ac:dyDescent="0.15"/>
    <row r="44775" s="69" customFormat="1" x14ac:dyDescent="0.15"/>
    <row r="44776" s="69" customFormat="1" x14ac:dyDescent="0.15"/>
    <row r="44777" s="69" customFormat="1" x14ac:dyDescent="0.15"/>
    <row r="44778" s="69" customFormat="1" x14ac:dyDescent="0.15"/>
    <row r="44779" s="69" customFormat="1" x14ac:dyDescent="0.15"/>
    <row r="44780" s="69" customFormat="1" x14ac:dyDescent="0.15"/>
    <row r="44781" s="69" customFormat="1" x14ac:dyDescent="0.15"/>
    <row r="44782" s="69" customFormat="1" x14ac:dyDescent="0.15"/>
    <row r="44783" s="69" customFormat="1" x14ac:dyDescent="0.15"/>
    <row r="44784" s="69" customFormat="1" x14ac:dyDescent="0.15"/>
    <row r="44785" s="69" customFormat="1" x14ac:dyDescent="0.15"/>
    <row r="44786" s="69" customFormat="1" x14ac:dyDescent="0.15"/>
    <row r="44787" s="69" customFormat="1" x14ac:dyDescent="0.15"/>
    <row r="44788" s="69" customFormat="1" x14ac:dyDescent="0.15"/>
    <row r="44789" s="69" customFormat="1" x14ac:dyDescent="0.15"/>
    <row r="44790" s="69" customFormat="1" x14ac:dyDescent="0.15"/>
    <row r="44791" s="69" customFormat="1" x14ac:dyDescent="0.15"/>
    <row r="44792" s="69" customFormat="1" x14ac:dyDescent="0.15"/>
    <row r="44793" s="69" customFormat="1" x14ac:dyDescent="0.15"/>
    <row r="44794" s="69" customFormat="1" x14ac:dyDescent="0.15"/>
    <row r="44795" s="69" customFormat="1" x14ac:dyDescent="0.15"/>
    <row r="44796" s="69" customFormat="1" x14ac:dyDescent="0.15"/>
    <row r="44797" s="69" customFormat="1" x14ac:dyDescent="0.15"/>
    <row r="44798" s="69" customFormat="1" x14ac:dyDescent="0.15"/>
    <row r="44799" s="69" customFormat="1" x14ac:dyDescent="0.15"/>
    <row r="44800" s="69" customFormat="1" x14ac:dyDescent="0.15"/>
    <row r="44801" s="69" customFormat="1" x14ac:dyDescent="0.15"/>
    <row r="44802" s="69" customFormat="1" x14ac:dyDescent="0.15"/>
    <row r="44803" s="69" customFormat="1" x14ac:dyDescent="0.15"/>
    <row r="44804" s="69" customFormat="1" x14ac:dyDescent="0.15"/>
    <row r="44805" s="69" customFormat="1" x14ac:dyDescent="0.15"/>
    <row r="44806" s="69" customFormat="1" x14ac:dyDescent="0.15"/>
    <row r="44807" s="69" customFormat="1" x14ac:dyDescent="0.15"/>
    <row r="44808" s="69" customFormat="1" x14ac:dyDescent="0.15"/>
    <row r="44809" s="69" customFormat="1" x14ac:dyDescent="0.15"/>
    <row r="44810" s="69" customFormat="1" x14ac:dyDescent="0.15"/>
    <row r="44811" s="69" customFormat="1" x14ac:dyDescent="0.15"/>
    <row r="44812" s="69" customFormat="1" x14ac:dyDescent="0.15"/>
    <row r="44813" s="69" customFormat="1" x14ac:dyDescent="0.15"/>
    <row r="44814" s="69" customFormat="1" x14ac:dyDescent="0.15"/>
    <row r="44815" s="69" customFormat="1" x14ac:dyDescent="0.15"/>
    <row r="44816" s="69" customFormat="1" x14ac:dyDescent="0.15"/>
    <row r="44817" s="69" customFormat="1" x14ac:dyDescent="0.15"/>
    <row r="44818" s="69" customFormat="1" x14ac:dyDescent="0.15"/>
    <row r="44819" s="69" customFormat="1" x14ac:dyDescent="0.15"/>
    <row r="44820" s="69" customFormat="1" x14ac:dyDescent="0.15"/>
    <row r="44821" s="69" customFormat="1" x14ac:dyDescent="0.15"/>
    <row r="44822" s="69" customFormat="1" x14ac:dyDescent="0.15"/>
    <row r="44823" s="69" customFormat="1" x14ac:dyDescent="0.15"/>
    <row r="44824" s="69" customFormat="1" x14ac:dyDescent="0.15"/>
    <row r="44825" s="69" customFormat="1" x14ac:dyDescent="0.15"/>
    <row r="44826" s="69" customFormat="1" x14ac:dyDescent="0.15"/>
    <row r="44827" s="69" customFormat="1" x14ac:dyDescent="0.15"/>
    <row r="44828" s="69" customFormat="1" x14ac:dyDescent="0.15"/>
    <row r="44829" s="69" customFormat="1" x14ac:dyDescent="0.15"/>
    <row r="44830" s="69" customFormat="1" x14ac:dyDescent="0.15"/>
    <row r="44831" s="69" customFormat="1" x14ac:dyDescent="0.15"/>
    <row r="44832" s="69" customFormat="1" x14ac:dyDescent="0.15"/>
    <row r="44833" s="69" customFormat="1" x14ac:dyDescent="0.15"/>
    <row r="44834" s="69" customFormat="1" x14ac:dyDescent="0.15"/>
    <row r="44835" s="69" customFormat="1" x14ac:dyDescent="0.15"/>
    <row r="44836" s="69" customFormat="1" x14ac:dyDescent="0.15"/>
    <row r="44837" s="69" customFormat="1" x14ac:dyDescent="0.15"/>
    <row r="44838" s="69" customFormat="1" x14ac:dyDescent="0.15"/>
    <row r="44839" s="69" customFormat="1" x14ac:dyDescent="0.15"/>
    <row r="44840" s="69" customFormat="1" x14ac:dyDescent="0.15"/>
    <row r="44841" s="69" customFormat="1" x14ac:dyDescent="0.15"/>
    <row r="44842" s="69" customFormat="1" x14ac:dyDescent="0.15"/>
    <row r="44843" s="69" customFormat="1" x14ac:dyDescent="0.15"/>
    <row r="44844" s="69" customFormat="1" x14ac:dyDescent="0.15"/>
    <row r="44845" s="69" customFormat="1" x14ac:dyDescent="0.15"/>
    <row r="44846" s="69" customFormat="1" x14ac:dyDescent="0.15"/>
    <row r="44847" s="69" customFormat="1" x14ac:dyDescent="0.15"/>
    <row r="44848" s="69" customFormat="1" x14ac:dyDescent="0.15"/>
    <row r="44849" s="69" customFormat="1" x14ac:dyDescent="0.15"/>
    <row r="44850" s="69" customFormat="1" x14ac:dyDescent="0.15"/>
    <row r="44851" s="69" customFormat="1" x14ac:dyDescent="0.15"/>
    <row r="44852" s="69" customFormat="1" x14ac:dyDescent="0.15"/>
    <row r="44853" s="69" customFormat="1" x14ac:dyDescent="0.15"/>
    <row r="44854" s="69" customFormat="1" x14ac:dyDescent="0.15"/>
    <row r="44855" s="69" customFormat="1" x14ac:dyDescent="0.15"/>
    <row r="44856" s="69" customFormat="1" x14ac:dyDescent="0.15"/>
    <row r="44857" s="69" customFormat="1" x14ac:dyDescent="0.15"/>
    <row r="44858" s="69" customFormat="1" x14ac:dyDescent="0.15"/>
    <row r="44859" s="69" customFormat="1" x14ac:dyDescent="0.15"/>
    <row r="44860" s="69" customFormat="1" x14ac:dyDescent="0.15"/>
    <row r="44861" s="69" customFormat="1" x14ac:dyDescent="0.15"/>
    <row r="44862" s="69" customFormat="1" x14ac:dyDescent="0.15"/>
    <row r="44863" s="69" customFormat="1" x14ac:dyDescent="0.15"/>
    <row r="44864" s="69" customFormat="1" x14ac:dyDescent="0.15"/>
    <row r="44865" s="69" customFormat="1" x14ac:dyDescent="0.15"/>
    <row r="44866" s="69" customFormat="1" x14ac:dyDescent="0.15"/>
    <row r="44867" s="69" customFormat="1" x14ac:dyDescent="0.15"/>
    <row r="44868" s="69" customFormat="1" x14ac:dyDescent="0.15"/>
    <row r="44869" s="69" customFormat="1" x14ac:dyDescent="0.15"/>
    <row r="44870" s="69" customFormat="1" x14ac:dyDescent="0.15"/>
    <row r="44871" s="69" customFormat="1" x14ac:dyDescent="0.15"/>
    <row r="44872" s="69" customFormat="1" x14ac:dyDescent="0.15"/>
    <row r="44873" s="69" customFormat="1" x14ac:dyDescent="0.15"/>
    <row r="44874" s="69" customFormat="1" x14ac:dyDescent="0.15"/>
    <row r="44875" s="69" customFormat="1" x14ac:dyDescent="0.15"/>
    <row r="44876" s="69" customFormat="1" x14ac:dyDescent="0.15"/>
    <row r="44877" s="69" customFormat="1" x14ac:dyDescent="0.15"/>
    <row r="44878" s="69" customFormat="1" x14ac:dyDescent="0.15"/>
    <row r="44879" s="69" customFormat="1" x14ac:dyDescent="0.15"/>
    <row r="44880" s="69" customFormat="1" x14ac:dyDescent="0.15"/>
    <row r="44881" s="69" customFormat="1" x14ac:dyDescent="0.15"/>
    <row r="44882" s="69" customFormat="1" x14ac:dyDescent="0.15"/>
    <row r="44883" s="69" customFormat="1" x14ac:dyDescent="0.15"/>
    <row r="44884" s="69" customFormat="1" x14ac:dyDescent="0.15"/>
    <row r="44885" s="69" customFormat="1" x14ac:dyDescent="0.15"/>
    <row r="44886" s="69" customFormat="1" x14ac:dyDescent="0.15"/>
    <row r="44887" s="69" customFormat="1" x14ac:dyDescent="0.15"/>
    <row r="44888" s="69" customFormat="1" x14ac:dyDescent="0.15"/>
    <row r="44889" s="69" customFormat="1" x14ac:dyDescent="0.15"/>
    <row r="44890" s="69" customFormat="1" x14ac:dyDescent="0.15"/>
    <row r="44891" s="69" customFormat="1" x14ac:dyDescent="0.15"/>
    <row r="44892" s="69" customFormat="1" x14ac:dyDescent="0.15"/>
    <row r="44893" s="69" customFormat="1" x14ac:dyDescent="0.15"/>
    <row r="44894" s="69" customFormat="1" x14ac:dyDescent="0.15"/>
    <row r="44895" s="69" customFormat="1" x14ac:dyDescent="0.15"/>
    <row r="44896" s="69" customFormat="1" x14ac:dyDescent="0.15"/>
    <row r="44897" s="69" customFormat="1" x14ac:dyDescent="0.15"/>
    <row r="44898" s="69" customFormat="1" x14ac:dyDescent="0.15"/>
    <row r="44899" s="69" customFormat="1" x14ac:dyDescent="0.15"/>
    <row r="44900" s="69" customFormat="1" x14ac:dyDescent="0.15"/>
    <row r="44901" s="69" customFormat="1" x14ac:dyDescent="0.15"/>
    <row r="44902" s="69" customFormat="1" x14ac:dyDescent="0.15"/>
    <row r="44903" s="69" customFormat="1" x14ac:dyDescent="0.15"/>
    <row r="44904" s="69" customFormat="1" x14ac:dyDescent="0.15"/>
    <row r="44905" s="69" customFormat="1" x14ac:dyDescent="0.15"/>
    <row r="44906" s="69" customFormat="1" x14ac:dyDescent="0.15"/>
    <row r="44907" s="69" customFormat="1" x14ac:dyDescent="0.15"/>
    <row r="44908" s="69" customFormat="1" x14ac:dyDescent="0.15"/>
    <row r="44909" s="69" customFormat="1" x14ac:dyDescent="0.15"/>
    <row r="44910" s="69" customFormat="1" x14ac:dyDescent="0.15"/>
    <row r="44911" s="69" customFormat="1" x14ac:dyDescent="0.15"/>
    <row r="44912" s="69" customFormat="1" x14ac:dyDescent="0.15"/>
    <row r="44913" s="69" customFormat="1" x14ac:dyDescent="0.15"/>
    <row r="44914" s="69" customFormat="1" x14ac:dyDescent="0.15"/>
    <row r="44915" s="69" customFormat="1" x14ac:dyDescent="0.15"/>
    <row r="44916" s="69" customFormat="1" x14ac:dyDescent="0.15"/>
    <row r="44917" s="69" customFormat="1" x14ac:dyDescent="0.15"/>
    <row r="44918" s="69" customFormat="1" x14ac:dyDescent="0.15"/>
    <row r="44919" s="69" customFormat="1" x14ac:dyDescent="0.15"/>
    <row r="44920" s="69" customFormat="1" x14ac:dyDescent="0.15"/>
    <row r="44921" s="69" customFormat="1" x14ac:dyDescent="0.15"/>
    <row r="44922" s="69" customFormat="1" x14ac:dyDescent="0.15"/>
    <row r="44923" s="69" customFormat="1" x14ac:dyDescent="0.15"/>
    <row r="44924" s="69" customFormat="1" x14ac:dyDescent="0.15"/>
    <row r="44925" s="69" customFormat="1" x14ac:dyDescent="0.15"/>
    <row r="44926" s="69" customFormat="1" x14ac:dyDescent="0.15"/>
    <row r="44927" s="69" customFormat="1" x14ac:dyDescent="0.15"/>
    <row r="44928" s="69" customFormat="1" x14ac:dyDescent="0.15"/>
    <row r="44929" s="69" customFormat="1" x14ac:dyDescent="0.15"/>
    <row r="44930" s="69" customFormat="1" x14ac:dyDescent="0.15"/>
    <row r="44931" s="69" customFormat="1" x14ac:dyDescent="0.15"/>
    <row r="44932" s="69" customFormat="1" x14ac:dyDescent="0.15"/>
    <row r="44933" s="69" customFormat="1" x14ac:dyDescent="0.15"/>
    <row r="44934" s="69" customFormat="1" x14ac:dyDescent="0.15"/>
    <row r="44935" s="69" customFormat="1" x14ac:dyDescent="0.15"/>
    <row r="44936" s="69" customFormat="1" x14ac:dyDescent="0.15"/>
    <row r="44937" s="69" customFormat="1" x14ac:dyDescent="0.15"/>
    <row r="44938" s="69" customFormat="1" x14ac:dyDescent="0.15"/>
    <row r="44939" s="69" customFormat="1" x14ac:dyDescent="0.15"/>
    <row r="44940" s="69" customFormat="1" x14ac:dyDescent="0.15"/>
    <row r="44941" s="69" customFormat="1" x14ac:dyDescent="0.15"/>
    <row r="44942" s="69" customFormat="1" x14ac:dyDescent="0.15"/>
    <row r="44943" s="69" customFormat="1" x14ac:dyDescent="0.15"/>
    <row r="44944" s="69" customFormat="1" x14ac:dyDescent="0.15"/>
    <row r="44945" s="69" customFormat="1" x14ac:dyDescent="0.15"/>
    <row r="44946" s="69" customFormat="1" x14ac:dyDescent="0.15"/>
    <row r="44947" s="69" customFormat="1" x14ac:dyDescent="0.15"/>
    <row r="44948" s="69" customFormat="1" x14ac:dyDescent="0.15"/>
    <row r="44949" s="69" customFormat="1" x14ac:dyDescent="0.15"/>
    <row r="44950" s="69" customFormat="1" x14ac:dyDescent="0.15"/>
    <row r="44951" s="69" customFormat="1" x14ac:dyDescent="0.15"/>
    <row r="44952" s="69" customFormat="1" x14ac:dyDescent="0.15"/>
    <row r="44953" s="69" customFormat="1" x14ac:dyDescent="0.15"/>
    <row r="44954" s="69" customFormat="1" x14ac:dyDescent="0.15"/>
    <row r="44955" s="69" customFormat="1" x14ac:dyDescent="0.15"/>
    <row r="44956" s="69" customFormat="1" x14ac:dyDescent="0.15"/>
    <row r="44957" s="69" customFormat="1" x14ac:dyDescent="0.15"/>
    <row r="44958" s="69" customFormat="1" x14ac:dyDescent="0.15"/>
    <row r="44959" s="69" customFormat="1" x14ac:dyDescent="0.15"/>
    <row r="44960" s="69" customFormat="1" x14ac:dyDescent="0.15"/>
    <row r="44961" s="69" customFormat="1" x14ac:dyDescent="0.15"/>
    <row r="44962" s="69" customFormat="1" x14ac:dyDescent="0.15"/>
    <row r="44963" s="69" customFormat="1" x14ac:dyDescent="0.15"/>
    <row r="44964" s="69" customFormat="1" x14ac:dyDescent="0.15"/>
    <row r="44965" s="69" customFormat="1" x14ac:dyDescent="0.15"/>
    <row r="44966" s="69" customFormat="1" x14ac:dyDescent="0.15"/>
    <row r="44967" s="69" customFormat="1" x14ac:dyDescent="0.15"/>
    <row r="44968" s="69" customFormat="1" x14ac:dyDescent="0.15"/>
    <row r="44969" s="69" customFormat="1" x14ac:dyDescent="0.15"/>
    <row r="44970" s="69" customFormat="1" x14ac:dyDescent="0.15"/>
    <row r="44971" s="69" customFormat="1" x14ac:dyDescent="0.15"/>
    <row r="44972" s="69" customFormat="1" x14ac:dyDescent="0.15"/>
    <row r="44973" s="69" customFormat="1" x14ac:dyDescent="0.15"/>
    <row r="44974" s="69" customFormat="1" x14ac:dyDescent="0.15"/>
    <row r="44975" s="69" customFormat="1" x14ac:dyDescent="0.15"/>
    <row r="44976" s="69" customFormat="1" x14ac:dyDescent="0.15"/>
    <row r="44977" s="69" customFormat="1" x14ac:dyDescent="0.15"/>
    <row r="44978" s="69" customFormat="1" x14ac:dyDescent="0.15"/>
    <row r="44979" s="69" customFormat="1" x14ac:dyDescent="0.15"/>
    <row r="44980" s="69" customFormat="1" x14ac:dyDescent="0.15"/>
    <row r="44981" s="69" customFormat="1" x14ac:dyDescent="0.15"/>
    <row r="44982" s="69" customFormat="1" x14ac:dyDescent="0.15"/>
    <row r="44983" s="69" customFormat="1" x14ac:dyDescent="0.15"/>
    <row r="44984" s="69" customFormat="1" x14ac:dyDescent="0.15"/>
    <row r="44985" s="69" customFormat="1" x14ac:dyDescent="0.15"/>
    <row r="44986" s="69" customFormat="1" x14ac:dyDescent="0.15"/>
    <row r="44987" s="69" customFormat="1" x14ac:dyDescent="0.15"/>
    <row r="44988" s="69" customFormat="1" x14ac:dyDescent="0.15"/>
    <row r="44989" s="69" customFormat="1" x14ac:dyDescent="0.15"/>
    <row r="44990" s="69" customFormat="1" x14ac:dyDescent="0.15"/>
    <row r="44991" s="69" customFormat="1" x14ac:dyDescent="0.15"/>
    <row r="44992" s="69" customFormat="1" x14ac:dyDescent="0.15"/>
    <row r="44993" s="69" customFormat="1" x14ac:dyDescent="0.15"/>
    <row r="44994" s="69" customFormat="1" x14ac:dyDescent="0.15"/>
    <row r="44995" s="69" customFormat="1" x14ac:dyDescent="0.15"/>
    <row r="44996" s="69" customFormat="1" x14ac:dyDescent="0.15"/>
    <row r="44997" s="69" customFormat="1" x14ac:dyDescent="0.15"/>
    <row r="44998" s="69" customFormat="1" x14ac:dyDescent="0.15"/>
    <row r="44999" s="69" customFormat="1" x14ac:dyDescent="0.15"/>
    <row r="45000" s="69" customFormat="1" x14ac:dyDescent="0.15"/>
    <row r="45001" s="69" customFormat="1" x14ac:dyDescent="0.15"/>
    <row r="45002" s="69" customFormat="1" x14ac:dyDescent="0.15"/>
    <row r="45003" s="69" customFormat="1" x14ac:dyDescent="0.15"/>
    <row r="45004" s="69" customFormat="1" x14ac:dyDescent="0.15"/>
    <row r="45005" s="69" customFormat="1" x14ac:dyDescent="0.15"/>
    <row r="45006" s="69" customFormat="1" x14ac:dyDescent="0.15"/>
    <row r="45007" s="69" customFormat="1" x14ac:dyDescent="0.15"/>
    <row r="45008" s="69" customFormat="1" x14ac:dyDescent="0.15"/>
    <row r="45009" s="69" customFormat="1" x14ac:dyDescent="0.15"/>
    <row r="45010" s="69" customFormat="1" x14ac:dyDescent="0.15"/>
    <row r="45011" s="69" customFormat="1" x14ac:dyDescent="0.15"/>
    <row r="45012" s="69" customFormat="1" x14ac:dyDescent="0.15"/>
    <row r="45013" s="69" customFormat="1" x14ac:dyDescent="0.15"/>
    <row r="45014" s="69" customFormat="1" x14ac:dyDescent="0.15"/>
    <row r="45015" s="69" customFormat="1" x14ac:dyDescent="0.15"/>
    <row r="45016" s="69" customFormat="1" x14ac:dyDescent="0.15"/>
    <row r="45017" s="69" customFormat="1" x14ac:dyDescent="0.15"/>
    <row r="45018" s="69" customFormat="1" x14ac:dyDescent="0.15"/>
    <row r="45019" s="69" customFormat="1" x14ac:dyDescent="0.15"/>
    <row r="45020" s="69" customFormat="1" x14ac:dyDescent="0.15"/>
    <row r="45021" s="69" customFormat="1" x14ac:dyDescent="0.15"/>
    <row r="45022" s="69" customFormat="1" x14ac:dyDescent="0.15"/>
    <row r="45023" s="69" customFormat="1" x14ac:dyDescent="0.15"/>
    <row r="45024" s="69" customFormat="1" x14ac:dyDescent="0.15"/>
    <row r="45025" s="69" customFormat="1" x14ac:dyDescent="0.15"/>
    <row r="45026" s="69" customFormat="1" x14ac:dyDescent="0.15"/>
    <row r="45027" s="69" customFormat="1" x14ac:dyDescent="0.15"/>
    <row r="45028" s="69" customFormat="1" x14ac:dyDescent="0.15"/>
    <row r="45029" s="69" customFormat="1" x14ac:dyDescent="0.15"/>
    <row r="45030" s="69" customFormat="1" x14ac:dyDescent="0.15"/>
    <row r="45031" s="69" customFormat="1" x14ac:dyDescent="0.15"/>
    <row r="45032" s="69" customFormat="1" x14ac:dyDescent="0.15"/>
    <row r="45033" s="69" customFormat="1" x14ac:dyDescent="0.15"/>
    <row r="45034" s="69" customFormat="1" x14ac:dyDescent="0.15"/>
    <row r="45035" s="69" customFormat="1" x14ac:dyDescent="0.15"/>
    <row r="45036" s="69" customFormat="1" x14ac:dyDescent="0.15"/>
    <row r="45037" s="69" customFormat="1" x14ac:dyDescent="0.15"/>
    <row r="45038" s="69" customFormat="1" x14ac:dyDescent="0.15"/>
    <row r="45039" s="69" customFormat="1" x14ac:dyDescent="0.15"/>
    <row r="45040" s="69" customFormat="1" x14ac:dyDescent="0.15"/>
    <row r="45041" s="69" customFormat="1" x14ac:dyDescent="0.15"/>
    <row r="45042" s="69" customFormat="1" x14ac:dyDescent="0.15"/>
    <row r="45043" s="69" customFormat="1" x14ac:dyDescent="0.15"/>
    <row r="45044" s="69" customFormat="1" x14ac:dyDescent="0.15"/>
    <row r="45045" s="69" customFormat="1" x14ac:dyDescent="0.15"/>
    <row r="45046" s="69" customFormat="1" x14ac:dyDescent="0.15"/>
    <row r="45047" s="69" customFormat="1" x14ac:dyDescent="0.15"/>
    <row r="45048" s="69" customFormat="1" x14ac:dyDescent="0.15"/>
    <row r="45049" s="69" customFormat="1" x14ac:dyDescent="0.15"/>
    <row r="45050" s="69" customFormat="1" x14ac:dyDescent="0.15"/>
    <row r="45051" s="69" customFormat="1" x14ac:dyDescent="0.15"/>
    <row r="45052" s="69" customFormat="1" x14ac:dyDescent="0.15"/>
    <row r="45053" s="69" customFormat="1" x14ac:dyDescent="0.15"/>
    <row r="45054" s="69" customFormat="1" x14ac:dyDescent="0.15"/>
    <row r="45055" s="69" customFormat="1" x14ac:dyDescent="0.15"/>
    <row r="45056" s="69" customFormat="1" x14ac:dyDescent="0.15"/>
    <row r="45057" s="69" customFormat="1" x14ac:dyDescent="0.15"/>
    <row r="45058" s="69" customFormat="1" x14ac:dyDescent="0.15"/>
    <row r="45059" s="69" customFormat="1" x14ac:dyDescent="0.15"/>
    <row r="45060" s="69" customFormat="1" x14ac:dyDescent="0.15"/>
    <row r="45061" s="69" customFormat="1" x14ac:dyDescent="0.15"/>
    <row r="45062" s="69" customFormat="1" x14ac:dyDescent="0.15"/>
    <row r="45063" s="69" customFormat="1" x14ac:dyDescent="0.15"/>
    <row r="45064" s="69" customFormat="1" x14ac:dyDescent="0.15"/>
    <row r="45065" s="69" customFormat="1" x14ac:dyDescent="0.15"/>
    <row r="45066" s="69" customFormat="1" x14ac:dyDescent="0.15"/>
    <row r="45067" s="69" customFormat="1" x14ac:dyDescent="0.15"/>
    <row r="45068" s="69" customFormat="1" x14ac:dyDescent="0.15"/>
    <row r="45069" s="69" customFormat="1" x14ac:dyDescent="0.15"/>
    <row r="45070" s="69" customFormat="1" x14ac:dyDescent="0.15"/>
    <row r="45071" s="69" customFormat="1" x14ac:dyDescent="0.15"/>
    <row r="45072" s="69" customFormat="1" x14ac:dyDescent="0.15"/>
    <row r="45073" s="69" customFormat="1" x14ac:dyDescent="0.15"/>
    <row r="45074" s="69" customFormat="1" x14ac:dyDescent="0.15"/>
    <row r="45075" s="69" customFormat="1" x14ac:dyDescent="0.15"/>
    <row r="45076" s="69" customFormat="1" x14ac:dyDescent="0.15"/>
    <row r="45077" s="69" customFormat="1" x14ac:dyDescent="0.15"/>
    <row r="45078" s="69" customFormat="1" x14ac:dyDescent="0.15"/>
    <row r="45079" s="69" customFormat="1" x14ac:dyDescent="0.15"/>
    <row r="45080" s="69" customFormat="1" x14ac:dyDescent="0.15"/>
    <row r="45081" s="69" customFormat="1" x14ac:dyDescent="0.15"/>
    <row r="45082" s="69" customFormat="1" x14ac:dyDescent="0.15"/>
    <row r="45083" s="69" customFormat="1" x14ac:dyDescent="0.15"/>
    <row r="45084" s="69" customFormat="1" x14ac:dyDescent="0.15"/>
    <row r="45085" s="69" customFormat="1" x14ac:dyDescent="0.15"/>
    <row r="45086" s="69" customFormat="1" x14ac:dyDescent="0.15"/>
    <row r="45087" s="69" customFormat="1" x14ac:dyDescent="0.15"/>
    <row r="45088" s="69" customFormat="1" x14ac:dyDescent="0.15"/>
    <row r="45089" s="69" customFormat="1" x14ac:dyDescent="0.15"/>
    <row r="45090" s="69" customFormat="1" x14ac:dyDescent="0.15"/>
    <row r="45091" s="69" customFormat="1" x14ac:dyDescent="0.15"/>
    <row r="45092" s="69" customFormat="1" x14ac:dyDescent="0.15"/>
    <row r="45093" s="69" customFormat="1" x14ac:dyDescent="0.15"/>
    <row r="45094" s="69" customFormat="1" x14ac:dyDescent="0.15"/>
    <row r="45095" s="69" customFormat="1" x14ac:dyDescent="0.15"/>
    <row r="45096" s="69" customFormat="1" x14ac:dyDescent="0.15"/>
    <row r="45097" s="69" customFormat="1" x14ac:dyDescent="0.15"/>
    <row r="45098" s="69" customFormat="1" x14ac:dyDescent="0.15"/>
    <row r="45099" s="69" customFormat="1" x14ac:dyDescent="0.15"/>
    <row r="45100" s="69" customFormat="1" x14ac:dyDescent="0.15"/>
    <row r="45101" s="69" customFormat="1" x14ac:dyDescent="0.15"/>
    <row r="45102" s="69" customFormat="1" x14ac:dyDescent="0.15"/>
    <row r="45103" s="69" customFormat="1" x14ac:dyDescent="0.15"/>
    <row r="45104" s="69" customFormat="1" x14ac:dyDescent="0.15"/>
    <row r="45105" s="69" customFormat="1" x14ac:dyDescent="0.15"/>
    <row r="45106" s="69" customFormat="1" x14ac:dyDescent="0.15"/>
    <row r="45107" s="69" customFormat="1" x14ac:dyDescent="0.15"/>
    <row r="45108" s="69" customFormat="1" x14ac:dyDescent="0.15"/>
    <row r="45109" s="69" customFormat="1" x14ac:dyDescent="0.15"/>
    <row r="45110" s="69" customFormat="1" x14ac:dyDescent="0.15"/>
    <row r="45111" s="69" customFormat="1" x14ac:dyDescent="0.15"/>
    <row r="45112" s="69" customFormat="1" x14ac:dyDescent="0.15"/>
    <row r="45113" s="69" customFormat="1" x14ac:dyDescent="0.15"/>
    <row r="45114" s="69" customFormat="1" x14ac:dyDescent="0.15"/>
    <row r="45115" s="69" customFormat="1" x14ac:dyDescent="0.15"/>
    <row r="45116" s="69" customFormat="1" x14ac:dyDescent="0.15"/>
    <row r="45117" s="69" customFormat="1" x14ac:dyDescent="0.15"/>
    <row r="45118" s="69" customFormat="1" x14ac:dyDescent="0.15"/>
    <row r="45119" s="69" customFormat="1" x14ac:dyDescent="0.15"/>
    <row r="45120" s="69" customFormat="1" x14ac:dyDescent="0.15"/>
    <row r="45121" s="69" customFormat="1" x14ac:dyDescent="0.15"/>
    <row r="45122" s="69" customFormat="1" x14ac:dyDescent="0.15"/>
    <row r="45123" s="69" customFormat="1" x14ac:dyDescent="0.15"/>
    <row r="45124" s="69" customFormat="1" x14ac:dyDescent="0.15"/>
    <row r="45125" s="69" customFormat="1" x14ac:dyDescent="0.15"/>
    <row r="45126" s="69" customFormat="1" x14ac:dyDescent="0.15"/>
    <row r="45127" s="69" customFormat="1" x14ac:dyDescent="0.15"/>
    <row r="45128" s="69" customFormat="1" x14ac:dyDescent="0.15"/>
    <row r="45129" s="69" customFormat="1" x14ac:dyDescent="0.15"/>
    <row r="45130" s="69" customFormat="1" x14ac:dyDescent="0.15"/>
    <row r="45131" s="69" customFormat="1" x14ac:dyDescent="0.15"/>
    <row r="45132" s="69" customFormat="1" x14ac:dyDescent="0.15"/>
    <row r="45133" s="69" customFormat="1" x14ac:dyDescent="0.15"/>
    <row r="45134" s="69" customFormat="1" x14ac:dyDescent="0.15"/>
    <row r="45135" s="69" customFormat="1" x14ac:dyDescent="0.15"/>
    <row r="45136" s="69" customFormat="1" x14ac:dyDescent="0.15"/>
    <row r="45137" s="69" customFormat="1" x14ac:dyDescent="0.15"/>
    <row r="45138" s="69" customFormat="1" x14ac:dyDescent="0.15"/>
    <row r="45139" s="69" customFormat="1" x14ac:dyDescent="0.15"/>
    <row r="45140" s="69" customFormat="1" x14ac:dyDescent="0.15"/>
    <row r="45141" s="69" customFormat="1" x14ac:dyDescent="0.15"/>
    <row r="45142" s="69" customFormat="1" x14ac:dyDescent="0.15"/>
    <row r="45143" s="69" customFormat="1" x14ac:dyDescent="0.15"/>
    <row r="45144" s="69" customFormat="1" x14ac:dyDescent="0.15"/>
    <row r="45145" s="69" customFormat="1" x14ac:dyDescent="0.15"/>
    <row r="45146" s="69" customFormat="1" x14ac:dyDescent="0.15"/>
    <row r="45147" s="69" customFormat="1" x14ac:dyDescent="0.15"/>
    <row r="45148" s="69" customFormat="1" x14ac:dyDescent="0.15"/>
    <row r="45149" s="69" customFormat="1" x14ac:dyDescent="0.15"/>
    <row r="45150" s="69" customFormat="1" x14ac:dyDescent="0.15"/>
    <row r="45151" s="69" customFormat="1" x14ac:dyDescent="0.15"/>
    <row r="45152" s="69" customFormat="1" x14ac:dyDescent="0.15"/>
    <row r="45153" s="69" customFormat="1" x14ac:dyDescent="0.15"/>
    <row r="45154" s="69" customFormat="1" x14ac:dyDescent="0.15"/>
    <row r="45155" s="69" customFormat="1" x14ac:dyDescent="0.15"/>
    <row r="45156" s="69" customFormat="1" x14ac:dyDescent="0.15"/>
    <row r="45157" s="69" customFormat="1" x14ac:dyDescent="0.15"/>
    <row r="45158" s="69" customFormat="1" x14ac:dyDescent="0.15"/>
    <row r="45159" s="69" customFormat="1" x14ac:dyDescent="0.15"/>
    <row r="45160" s="69" customFormat="1" x14ac:dyDescent="0.15"/>
    <row r="45161" s="69" customFormat="1" x14ac:dyDescent="0.15"/>
    <row r="45162" s="69" customFormat="1" x14ac:dyDescent="0.15"/>
    <row r="45163" s="69" customFormat="1" x14ac:dyDescent="0.15"/>
    <row r="45164" s="69" customFormat="1" x14ac:dyDescent="0.15"/>
    <row r="45165" s="69" customFormat="1" x14ac:dyDescent="0.15"/>
    <row r="45166" s="69" customFormat="1" x14ac:dyDescent="0.15"/>
    <row r="45167" s="69" customFormat="1" x14ac:dyDescent="0.15"/>
    <row r="45168" s="69" customFormat="1" x14ac:dyDescent="0.15"/>
    <row r="45169" s="69" customFormat="1" x14ac:dyDescent="0.15"/>
    <row r="45170" s="69" customFormat="1" x14ac:dyDescent="0.15"/>
    <row r="45171" s="69" customFormat="1" x14ac:dyDescent="0.15"/>
    <row r="45172" s="69" customFormat="1" x14ac:dyDescent="0.15"/>
    <row r="45173" s="69" customFormat="1" x14ac:dyDescent="0.15"/>
    <row r="45174" s="69" customFormat="1" x14ac:dyDescent="0.15"/>
    <row r="45175" s="69" customFormat="1" x14ac:dyDescent="0.15"/>
    <row r="45176" s="69" customFormat="1" x14ac:dyDescent="0.15"/>
    <row r="45177" s="69" customFormat="1" x14ac:dyDescent="0.15"/>
    <row r="45178" s="69" customFormat="1" x14ac:dyDescent="0.15"/>
    <row r="45179" s="69" customFormat="1" x14ac:dyDescent="0.15"/>
    <row r="45180" s="69" customFormat="1" x14ac:dyDescent="0.15"/>
    <row r="45181" s="69" customFormat="1" x14ac:dyDescent="0.15"/>
    <row r="45182" s="69" customFormat="1" x14ac:dyDescent="0.15"/>
    <row r="45183" s="69" customFormat="1" x14ac:dyDescent="0.15"/>
    <row r="45184" s="69" customFormat="1" x14ac:dyDescent="0.15"/>
    <row r="45185" s="69" customFormat="1" x14ac:dyDescent="0.15"/>
    <row r="45186" s="69" customFormat="1" x14ac:dyDescent="0.15"/>
    <row r="45187" s="69" customFormat="1" x14ac:dyDescent="0.15"/>
    <row r="45188" s="69" customFormat="1" x14ac:dyDescent="0.15"/>
    <row r="45189" s="69" customFormat="1" x14ac:dyDescent="0.15"/>
    <row r="45190" s="69" customFormat="1" x14ac:dyDescent="0.15"/>
    <row r="45191" s="69" customFormat="1" x14ac:dyDescent="0.15"/>
    <row r="45192" s="69" customFormat="1" x14ac:dyDescent="0.15"/>
    <row r="45193" s="69" customFormat="1" x14ac:dyDescent="0.15"/>
    <row r="45194" s="69" customFormat="1" x14ac:dyDescent="0.15"/>
    <row r="45195" s="69" customFormat="1" x14ac:dyDescent="0.15"/>
    <row r="45196" s="69" customFormat="1" x14ac:dyDescent="0.15"/>
    <row r="45197" s="69" customFormat="1" x14ac:dyDescent="0.15"/>
    <row r="45198" s="69" customFormat="1" x14ac:dyDescent="0.15"/>
    <row r="45199" s="69" customFormat="1" x14ac:dyDescent="0.15"/>
    <row r="45200" s="69" customFormat="1" x14ac:dyDescent="0.15"/>
    <row r="45201" s="69" customFormat="1" x14ac:dyDescent="0.15"/>
    <row r="45202" s="69" customFormat="1" x14ac:dyDescent="0.15"/>
    <row r="45203" s="69" customFormat="1" x14ac:dyDescent="0.15"/>
    <row r="45204" s="69" customFormat="1" x14ac:dyDescent="0.15"/>
    <row r="45205" s="69" customFormat="1" x14ac:dyDescent="0.15"/>
    <row r="45206" s="69" customFormat="1" x14ac:dyDescent="0.15"/>
    <row r="45207" s="69" customFormat="1" x14ac:dyDescent="0.15"/>
    <row r="45208" s="69" customFormat="1" x14ac:dyDescent="0.15"/>
    <row r="45209" s="69" customFormat="1" x14ac:dyDescent="0.15"/>
    <row r="45210" s="69" customFormat="1" x14ac:dyDescent="0.15"/>
    <row r="45211" s="69" customFormat="1" x14ac:dyDescent="0.15"/>
    <row r="45212" s="69" customFormat="1" x14ac:dyDescent="0.15"/>
    <row r="45213" s="69" customFormat="1" x14ac:dyDescent="0.15"/>
    <row r="45214" s="69" customFormat="1" x14ac:dyDescent="0.15"/>
    <row r="45215" s="69" customFormat="1" x14ac:dyDescent="0.15"/>
    <row r="45216" s="69" customFormat="1" x14ac:dyDescent="0.15"/>
    <row r="45217" s="69" customFormat="1" x14ac:dyDescent="0.15"/>
    <row r="45218" s="69" customFormat="1" x14ac:dyDescent="0.15"/>
    <row r="45219" s="69" customFormat="1" x14ac:dyDescent="0.15"/>
    <row r="45220" s="69" customFormat="1" x14ac:dyDescent="0.15"/>
    <row r="45221" s="69" customFormat="1" x14ac:dyDescent="0.15"/>
    <row r="45222" s="69" customFormat="1" x14ac:dyDescent="0.15"/>
    <row r="45223" s="69" customFormat="1" x14ac:dyDescent="0.15"/>
    <row r="45224" s="69" customFormat="1" x14ac:dyDescent="0.15"/>
    <row r="45225" s="69" customFormat="1" x14ac:dyDescent="0.15"/>
    <row r="45226" s="69" customFormat="1" x14ac:dyDescent="0.15"/>
    <row r="45227" s="69" customFormat="1" x14ac:dyDescent="0.15"/>
    <row r="45228" s="69" customFormat="1" x14ac:dyDescent="0.15"/>
    <row r="45229" s="69" customFormat="1" x14ac:dyDescent="0.15"/>
    <row r="45230" s="69" customFormat="1" x14ac:dyDescent="0.15"/>
    <row r="45231" s="69" customFormat="1" x14ac:dyDescent="0.15"/>
    <row r="45232" s="69" customFormat="1" x14ac:dyDescent="0.15"/>
    <row r="45233" s="69" customFormat="1" x14ac:dyDescent="0.15"/>
    <row r="45234" s="69" customFormat="1" x14ac:dyDescent="0.15"/>
    <row r="45235" s="69" customFormat="1" x14ac:dyDescent="0.15"/>
    <row r="45236" s="69" customFormat="1" x14ac:dyDescent="0.15"/>
    <row r="45237" s="69" customFormat="1" x14ac:dyDescent="0.15"/>
    <row r="45238" s="69" customFormat="1" x14ac:dyDescent="0.15"/>
    <row r="45239" s="69" customFormat="1" x14ac:dyDescent="0.15"/>
    <row r="45240" s="69" customFormat="1" x14ac:dyDescent="0.15"/>
    <row r="45241" s="69" customFormat="1" x14ac:dyDescent="0.15"/>
    <row r="45242" s="69" customFormat="1" x14ac:dyDescent="0.15"/>
    <row r="45243" s="69" customFormat="1" x14ac:dyDescent="0.15"/>
    <row r="45244" s="69" customFormat="1" x14ac:dyDescent="0.15"/>
    <row r="45245" s="69" customFormat="1" x14ac:dyDescent="0.15"/>
    <row r="45246" s="69" customFormat="1" x14ac:dyDescent="0.15"/>
    <row r="45247" s="69" customFormat="1" x14ac:dyDescent="0.15"/>
    <row r="45248" s="69" customFormat="1" x14ac:dyDescent="0.15"/>
    <row r="45249" s="69" customFormat="1" x14ac:dyDescent="0.15"/>
    <row r="45250" s="69" customFormat="1" x14ac:dyDescent="0.15"/>
    <row r="45251" s="69" customFormat="1" x14ac:dyDescent="0.15"/>
    <row r="45252" s="69" customFormat="1" x14ac:dyDescent="0.15"/>
    <row r="45253" s="69" customFormat="1" x14ac:dyDescent="0.15"/>
    <row r="45254" s="69" customFormat="1" x14ac:dyDescent="0.15"/>
    <row r="45255" s="69" customFormat="1" x14ac:dyDescent="0.15"/>
    <row r="45256" s="69" customFormat="1" x14ac:dyDescent="0.15"/>
    <row r="45257" s="69" customFormat="1" x14ac:dyDescent="0.15"/>
    <row r="45258" s="69" customFormat="1" x14ac:dyDescent="0.15"/>
    <row r="45259" s="69" customFormat="1" x14ac:dyDescent="0.15"/>
    <row r="45260" s="69" customFormat="1" x14ac:dyDescent="0.15"/>
    <row r="45261" s="69" customFormat="1" x14ac:dyDescent="0.15"/>
    <row r="45262" s="69" customFormat="1" x14ac:dyDescent="0.15"/>
    <row r="45263" s="69" customFormat="1" x14ac:dyDescent="0.15"/>
    <row r="45264" s="69" customFormat="1" x14ac:dyDescent="0.15"/>
    <row r="45265" s="69" customFormat="1" x14ac:dyDescent="0.15"/>
    <row r="45266" s="69" customFormat="1" x14ac:dyDescent="0.15"/>
    <row r="45267" s="69" customFormat="1" x14ac:dyDescent="0.15"/>
    <row r="45268" s="69" customFormat="1" x14ac:dyDescent="0.15"/>
    <row r="45269" s="69" customFormat="1" x14ac:dyDescent="0.15"/>
    <row r="45270" s="69" customFormat="1" x14ac:dyDescent="0.15"/>
    <row r="45271" s="69" customFormat="1" x14ac:dyDescent="0.15"/>
    <row r="45272" s="69" customFormat="1" x14ac:dyDescent="0.15"/>
    <row r="45273" s="69" customFormat="1" x14ac:dyDescent="0.15"/>
    <row r="45274" s="69" customFormat="1" x14ac:dyDescent="0.15"/>
    <row r="45275" s="69" customFormat="1" x14ac:dyDescent="0.15"/>
    <row r="45276" s="69" customFormat="1" x14ac:dyDescent="0.15"/>
    <row r="45277" s="69" customFormat="1" x14ac:dyDescent="0.15"/>
    <row r="45278" s="69" customFormat="1" x14ac:dyDescent="0.15"/>
    <row r="45279" s="69" customFormat="1" x14ac:dyDescent="0.15"/>
    <row r="45280" s="69" customFormat="1" x14ac:dyDescent="0.15"/>
    <row r="45281" s="69" customFormat="1" x14ac:dyDescent="0.15"/>
    <row r="45282" s="69" customFormat="1" x14ac:dyDescent="0.15"/>
    <row r="45283" s="69" customFormat="1" x14ac:dyDescent="0.15"/>
    <row r="45284" s="69" customFormat="1" x14ac:dyDescent="0.15"/>
    <row r="45285" s="69" customFormat="1" x14ac:dyDescent="0.15"/>
    <row r="45286" s="69" customFormat="1" x14ac:dyDescent="0.15"/>
    <row r="45287" s="69" customFormat="1" x14ac:dyDescent="0.15"/>
    <row r="45288" s="69" customFormat="1" x14ac:dyDescent="0.15"/>
    <row r="45289" s="69" customFormat="1" x14ac:dyDescent="0.15"/>
    <row r="45290" s="69" customFormat="1" x14ac:dyDescent="0.15"/>
    <row r="45291" s="69" customFormat="1" x14ac:dyDescent="0.15"/>
    <row r="45292" s="69" customFormat="1" x14ac:dyDescent="0.15"/>
    <row r="45293" s="69" customFormat="1" x14ac:dyDescent="0.15"/>
    <row r="45294" s="69" customFormat="1" x14ac:dyDescent="0.15"/>
    <row r="45295" s="69" customFormat="1" x14ac:dyDescent="0.15"/>
    <row r="45296" s="69" customFormat="1" x14ac:dyDescent="0.15"/>
    <row r="45297" s="69" customFormat="1" x14ac:dyDescent="0.15"/>
    <row r="45298" s="69" customFormat="1" x14ac:dyDescent="0.15"/>
    <row r="45299" s="69" customFormat="1" x14ac:dyDescent="0.15"/>
    <row r="45300" s="69" customFormat="1" x14ac:dyDescent="0.15"/>
    <row r="45301" s="69" customFormat="1" x14ac:dyDescent="0.15"/>
    <row r="45302" s="69" customFormat="1" x14ac:dyDescent="0.15"/>
    <row r="45303" s="69" customFormat="1" x14ac:dyDescent="0.15"/>
    <row r="45304" s="69" customFormat="1" x14ac:dyDescent="0.15"/>
    <row r="45305" s="69" customFormat="1" x14ac:dyDescent="0.15"/>
    <row r="45306" s="69" customFormat="1" x14ac:dyDescent="0.15"/>
    <row r="45307" s="69" customFormat="1" x14ac:dyDescent="0.15"/>
    <row r="45308" s="69" customFormat="1" x14ac:dyDescent="0.15"/>
    <row r="45309" s="69" customFormat="1" x14ac:dyDescent="0.15"/>
    <row r="45310" s="69" customFormat="1" x14ac:dyDescent="0.15"/>
    <row r="45311" s="69" customFormat="1" x14ac:dyDescent="0.15"/>
    <row r="45312" s="69" customFormat="1" x14ac:dyDescent="0.15"/>
    <row r="45313" s="69" customFormat="1" x14ac:dyDescent="0.15"/>
    <row r="45314" s="69" customFormat="1" x14ac:dyDescent="0.15"/>
    <row r="45315" s="69" customFormat="1" x14ac:dyDescent="0.15"/>
    <row r="45316" s="69" customFormat="1" x14ac:dyDescent="0.15"/>
    <row r="45317" s="69" customFormat="1" x14ac:dyDescent="0.15"/>
    <row r="45318" s="69" customFormat="1" x14ac:dyDescent="0.15"/>
    <row r="45319" s="69" customFormat="1" x14ac:dyDescent="0.15"/>
    <row r="45320" s="69" customFormat="1" x14ac:dyDescent="0.15"/>
    <row r="45321" s="69" customFormat="1" x14ac:dyDescent="0.15"/>
    <row r="45322" s="69" customFormat="1" x14ac:dyDescent="0.15"/>
    <row r="45323" s="69" customFormat="1" x14ac:dyDescent="0.15"/>
    <row r="45324" s="69" customFormat="1" x14ac:dyDescent="0.15"/>
    <row r="45325" s="69" customFormat="1" x14ac:dyDescent="0.15"/>
    <row r="45326" s="69" customFormat="1" x14ac:dyDescent="0.15"/>
    <row r="45327" s="69" customFormat="1" x14ac:dyDescent="0.15"/>
    <row r="45328" s="69" customFormat="1" x14ac:dyDescent="0.15"/>
    <row r="45329" s="69" customFormat="1" x14ac:dyDescent="0.15"/>
    <row r="45330" s="69" customFormat="1" x14ac:dyDescent="0.15"/>
    <row r="45331" s="69" customFormat="1" x14ac:dyDescent="0.15"/>
    <row r="45332" s="69" customFormat="1" x14ac:dyDescent="0.15"/>
    <row r="45333" s="69" customFormat="1" x14ac:dyDescent="0.15"/>
    <row r="45334" s="69" customFormat="1" x14ac:dyDescent="0.15"/>
    <row r="45335" s="69" customFormat="1" x14ac:dyDescent="0.15"/>
    <row r="45336" s="69" customFormat="1" x14ac:dyDescent="0.15"/>
    <row r="45337" s="69" customFormat="1" x14ac:dyDescent="0.15"/>
    <row r="45338" s="69" customFormat="1" x14ac:dyDescent="0.15"/>
    <row r="45339" s="69" customFormat="1" x14ac:dyDescent="0.15"/>
    <row r="45340" s="69" customFormat="1" x14ac:dyDescent="0.15"/>
    <row r="45341" s="69" customFormat="1" x14ac:dyDescent="0.15"/>
    <row r="45342" s="69" customFormat="1" x14ac:dyDescent="0.15"/>
    <row r="45343" s="69" customFormat="1" x14ac:dyDescent="0.15"/>
    <row r="45344" s="69" customFormat="1" x14ac:dyDescent="0.15"/>
    <row r="45345" s="69" customFormat="1" x14ac:dyDescent="0.15"/>
    <row r="45346" s="69" customFormat="1" x14ac:dyDescent="0.15"/>
    <row r="45347" s="69" customFormat="1" x14ac:dyDescent="0.15"/>
    <row r="45348" s="69" customFormat="1" x14ac:dyDescent="0.15"/>
    <row r="45349" s="69" customFormat="1" x14ac:dyDescent="0.15"/>
    <row r="45350" s="69" customFormat="1" x14ac:dyDescent="0.15"/>
    <row r="45351" s="69" customFormat="1" x14ac:dyDescent="0.15"/>
    <row r="45352" s="69" customFormat="1" x14ac:dyDescent="0.15"/>
    <row r="45353" s="69" customFormat="1" x14ac:dyDescent="0.15"/>
    <row r="45354" s="69" customFormat="1" x14ac:dyDescent="0.15"/>
    <row r="45355" s="69" customFormat="1" x14ac:dyDescent="0.15"/>
    <row r="45356" s="69" customFormat="1" x14ac:dyDescent="0.15"/>
    <row r="45357" s="69" customFormat="1" x14ac:dyDescent="0.15"/>
    <row r="45358" s="69" customFormat="1" x14ac:dyDescent="0.15"/>
    <row r="45359" s="69" customFormat="1" x14ac:dyDescent="0.15"/>
    <row r="45360" s="69" customFormat="1" x14ac:dyDescent="0.15"/>
    <row r="45361" s="69" customFormat="1" x14ac:dyDescent="0.15"/>
    <row r="45362" s="69" customFormat="1" x14ac:dyDescent="0.15"/>
    <row r="45363" s="69" customFormat="1" x14ac:dyDescent="0.15"/>
    <row r="45364" s="69" customFormat="1" x14ac:dyDescent="0.15"/>
    <row r="45365" s="69" customFormat="1" x14ac:dyDescent="0.15"/>
    <row r="45366" s="69" customFormat="1" x14ac:dyDescent="0.15"/>
    <row r="45367" s="69" customFormat="1" x14ac:dyDescent="0.15"/>
    <row r="45368" s="69" customFormat="1" x14ac:dyDescent="0.15"/>
    <row r="45369" s="69" customFormat="1" x14ac:dyDescent="0.15"/>
    <row r="45370" s="69" customFormat="1" x14ac:dyDescent="0.15"/>
    <row r="45371" s="69" customFormat="1" x14ac:dyDescent="0.15"/>
    <row r="45372" s="69" customFormat="1" x14ac:dyDescent="0.15"/>
    <row r="45373" s="69" customFormat="1" x14ac:dyDescent="0.15"/>
    <row r="45374" s="69" customFormat="1" x14ac:dyDescent="0.15"/>
    <row r="45375" s="69" customFormat="1" x14ac:dyDescent="0.15"/>
    <row r="45376" s="69" customFormat="1" x14ac:dyDescent="0.15"/>
    <row r="45377" s="69" customFormat="1" x14ac:dyDescent="0.15"/>
    <row r="45378" s="69" customFormat="1" x14ac:dyDescent="0.15"/>
    <row r="45379" s="69" customFormat="1" x14ac:dyDescent="0.15"/>
    <row r="45380" s="69" customFormat="1" x14ac:dyDescent="0.15"/>
    <row r="45381" s="69" customFormat="1" x14ac:dyDescent="0.15"/>
    <row r="45382" s="69" customFormat="1" x14ac:dyDescent="0.15"/>
    <row r="45383" s="69" customFormat="1" x14ac:dyDescent="0.15"/>
    <row r="45384" s="69" customFormat="1" x14ac:dyDescent="0.15"/>
    <row r="45385" s="69" customFormat="1" x14ac:dyDescent="0.15"/>
    <row r="45386" s="69" customFormat="1" x14ac:dyDescent="0.15"/>
    <row r="45387" s="69" customFormat="1" x14ac:dyDescent="0.15"/>
    <row r="45388" s="69" customFormat="1" x14ac:dyDescent="0.15"/>
    <row r="45389" s="69" customFormat="1" x14ac:dyDescent="0.15"/>
    <row r="45390" s="69" customFormat="1" x14ac:dyDescent="0.15"/>
    <row r="45391" s="69" customFormat="1" x14ac:dyDescent="0.15"/>
    <row r="45392" s="69" customFormat="1" x14ac:dyDescent="0.15"/>
    <row r="45393" s="69" customFormat="1" x14ac:dyDescent="0.15"/>
    <row r="45394" s="69" customFormat="1" x14ac:dyDescent="0.15"/>
    <row r="45395" s="69" customFormat="1" x14ac:dyDescent="0.15"/>
    <row r="45396" s="69" customFormat="1" x14ac:dyDescent="0.15"/>
    <row r="45397" s="69" customFormat="1" x14ac:dyDescent="0.15"/>
    <row r="45398" s="69" customFormat="1" x14ac:dyDescent="0.15"/>
    <row r="45399" s="69" customFormat="1" x14ac:dyDescent="0.15"/>
    <row r="45400" s="69" customFormat="1" x14ac:dyDescent="0.15"/>
    <row r="45401" s="69" customFormat="1" x14ac:dyDescent="0.15"/>
    <row r="45402" s="69" customFormat="1" x14ac:dyDescent="0.15"/>
    <row r="45403" s="69" customFormat="1" x14ac:dyDescent="0.15"/>
    <row r="45404" s="69" customFormat="1" x14ac:dyDescent="0.15"/>
    <row r="45405" s="69" customFormat="1" x14ac:dyDescent="0.15"/>
    <row r="45406" s="69" customFormat="1" x14ac:dyDescent="0.15"/>
    <row r="45407" s="69" customFormat="1" x14ac:dyDescent="0.15"/>
    <row r="45408" s="69" customFormat="1" x14ac:dyDescent="0.15"/>
    <row r="45409" s="69" customFormat="1" x14ac:dyDescent="0.15"/>
    <row r="45410" s="69" customFormat="1" x14ac:dyDescent="0.15"/>
    <row r="45411" s="69" customFormat="1" x14ac:dyDescent="0.15"/>
    <row r="45412" s="69" customFormat="1" x14ac:dyDescent="0.15"/>
    <row r="45413" s="69" customFormat="1" x14ac:dyDescent="0.15"/>
    <row r="45414" s="69" customFormat="1" x14ac:dyDescent="0.15"/>
    <row r="45415" s="69" customFormat="1" x14ac:dyDescent="0.15"/>
    <row r="45416" s="69" customFormat="1" x14ac:dyDescent="0.15"/>
    <row r="45417" s="69" customFormat="1" x14ac:dyDescent="0.15"/>
    <row r="45418" s="69" customFormat="1" x14ac:dyDescent="0.15"/>
    <row r="45419" s="69" customFormat="1" x14ac:dyDescent="0.15"/>
    <row r="45420" s="69" customFormat="1" x14ac:dyDescent="0.15"/>
    <row r="45421" s="69" customFormat="1" x14ac:dyDescent="0.15"/>
    <row r="45422" s="69" customFormat="1" x14ac:dyDescent="0.15"/>
    <row r="45423" s="69" customFormat="1" x14ac:dyDescent="0.15"/>
    <row r="45424" s="69" customFormat="1" x14ac:dyDescent="0.15"/>
    <row r="45425" s="69" customFormat="1" x14ac:dyDescent="0.15"/>
    <row r="45426" s="69" customFormat="1" x14ac:dyDescent="0.15"/>
    <row r="45427" s="69" customFormat="1" x14ac:dyDescent="0.15"/>
    <row r="45428" s="69" customFormat="1" x14ac:dyDescent="0.15"/>
    <row r="45429" s="69" customFormat="1" x14ac:dyDescent="0.15"/>
    <row r="45430" s="69" customFormat="1" x14ac:dyDescent="0.15"/>
    <row r="45431" s="69" customFormat="1" x14ac:dyDescent="0.15"/>
    <row r="45432" s="69" customFormat="1" x14ac:dyDescent="0.15"/>
    <row r="45433" s="69" customFormat="1" x14ac:dyDescent="0.15"/>
    <row r="45434" s="69" customFormat="1" x14ac:dyDescent="0.15"/>
    <row r="45435" s="69" customFormat="1" x14ac:dyDescent="0.15"/>
    <row r="45436" s="69" customFormat="1" x14ac:dyDescent="0.15"/>
    <row r="45437" s="69" customFormat="1" x14ac:dyDescent="0.15"/>
    <row r="45438" s="69" customFormat="1" x14ac:dyDescent="0.15"/>
    <row r="45439" s="69" customFormat="1" x14ac:dyDescent="0.15"/>
    <row r="45440" s="69" customFormat="1" x14ac:dyDescent="0.15"/>
    <row r="45441" s="69" customFormat="1" x14ac:dyDescent="0.15"/>
    <row r="45442" s="69" customFormat="1" x14ac:dyDescent="0.15"/>
    <row r="45443" s="69" customFormat="1" x14ac:dyDescent="0.15"/>
    <row r="45444" s="69" customFormat="1" x14ac:dyDescent="0.15"/>
    <row r="45445" s="69" customFormat="1" x14ac:dyDescent="0.15"/>
    <row r="45446" s="69" customFormat="1" x14ac:dyDescent="0.15"/>
    <row r="45447" s="69" customFormat="1" x14ac:dyDescent="0.15"/>
    <row r="45448" s="69" customFormat="1" x14ac:dyDescent="0.15"/>
    <row r="45449" s="69" customFormat="1" x14ac:dyDescent="0.15"/>
    <row r="45450" s="69" customFormat="1" x14ac:dyDescent="0.15"/>
    <row r="45451" s="69" customFormat="1" x14ac:dyDescent="0.15"/>
    <row r="45452" s="69" customFormat="1" x14ac:dyDescent="0.15"/>
    <row r="45453" s="69" customFormat="1" x14ac:dyDescent="0.15"/>
    <row r="45454" s="69" customFormat="1" x14ac:dyDescent="0.15"/>
    <row r="45455" s="69" customFormat="1" x14ac:dyDescent="0.15"/>
    <row r="45456" s="69" customFormat="1" x14ac:dyDescent="0.15"/>
    <row r="45457" s="69" customFormat="1" x14ac:dyDescent="0.15"/>
    <row r="45458" s="69" customFormat="1" x14ac:dyDescent="0.15"/>
    <row r="45459" s="69" customFormat="1" x14ac:dyDescent="0.15"/>
    <row r="45460" s="69" customFormat="1" x14ac:dyDescent="0.15"/>
    <row r="45461" s="69" customFormat="1" x14ac:dyDescent="0.15"/>
    <row r="45462" s="69" customFormat="1" x14ac:dyDescent="0.15"/>
    <row r="45463" s="69" customFormat="1" x14ac:dyDescent="0.15"/>
    <row r="45464" s="69" customFormat="1" x14ac:dyDescent="0.15"/>
    <row r="45465" s="69" customFormat="1" x14ac:dyDescent="0.15"/>
    <row r="45466" s="69" customFormat="1" x14ac:dyDescent="0.15"/>
    <row r="45467" s="69" customFormat="1" x14ac:dyDescent="0.15"/>
    <row r="45468" s="69" customFormat="1" x14ac:dyDescent="0.15"/>
    <row r="45469" s="69" customFormat="1" x14ac:dyDescent="0.15"/>
    <row r="45470" s="69" customFormat="1" x14ac:dyDescent="0.15"/>
    <row r="45471" s="69" customFormat="1" x14ac:dyDescent="0.15"/>
    <row r="45472" s="69" customFormat="1" x14ac:dyDescent="0.15"/>
    <row r="45473" s="69" customFormat="1" x14ac:dyDescent="0.15"/>
    <row r="45474" s="69" customFormat="1" x14ac:dyDescent="0.15"/>
    <row r="45475" s="69" customFormat="1" x14ac:dyDescent="0.15"/>
    <row r="45476" s="69" customFormat="1" x14ac:dyDescent="0.15"/>
    <row r="45477" s="69" customFormat="1" x14ac:dyDescent="0.15"/>
    <row r="45478" s="69" customFormat="1" x14ac:dyDescent="0.15"/>
    <row r="45479" s="69" customFormat="1" x14ac:dyDescent="0.15"/>
    <row r="45480" s="69" customFormat="1" x14ac:dyDescent="0.15"/>
    <row r="45481" s="69" customFormat="1" x14ac:dyDescent="0.15"/>
    <row r="45482" s="69" customFormat="1" x14ac:dyDescent="0.15"/>
    <row r="45483" s="69" customFormat="1" x14ac:dyDescent="0.15"/>
    <row r="45484" s="69" customFormat="1" x14ac:dyDescent="0.15"/>
    <row r="45485" s="69" customFormat="1" x14ac:dyDescent="0.15"/>
    <row r="45486" s="69" customFormat="1" x14ac:dyDescent="0.15"/>
    <row r="45487" s="69" customFormat="1" x14ac:dyDescent="0.15"/>
    <row r="45488" s="69" customFormat="1" x14ac:dyDescent="0.15"/>
    <row r="45489" s="69" customFormat="1" x14ac:dyDescent="0.15"/>
    <row r="45490" s="69" customFormat="1" x14ac:dyDescent="0.15"/>
    <row r="45491" s="69" customFormat="1" x14ac:dyDescent="0.15"/>
    <row r="45492" s="69" customFormat="1" x14ac:dyDescent="0.15"/>
    <row r="45493" s="69" customFormat="1" x14ac:dyDescent="0.15"/>
    <row r="45494" s="69" customFormat="1" x14ac:dyDescent="0.15"/>
    <row r="45495" s="69" customFormat="1" x14ac:dyDescent="0.15"/>
    <row r="45496" s="69" customFormat="1" x14ac:dyDescent="0.15"/>
    <row r="45497" s="69" customFormat="1" x14ac:dyDescent="0.15"/>
    <row r="45498" s="69" customFormat="1" x14ac:dyDescent="0.15"/>
    <row r="45499" s="69" customFormat="1" x14ac:dyDescent="0.15"/>
    <row r="45500" s="69" customFormat="1" x14ac:dyDescent="0.15"/>
    <row r="45501" s="69" customFormat="1" x14ac:dyDescent="0.15"/>
    <row r="45502" s="69" customFormat="1" x14ac:dyDescent="0.15"/>
    <row r="45503" s="69" customFormat="1" x14ac:dyDescent="0.15"/>
    <row r="45504" s="69" customFormat="1" x14ac:dyDescent="0.15"/>
    <row r="45505" s="69" customFormat="1" x14ac:dyDescent="0.15"/>
    <row r="45506" s="69" customFormat="1" x14ac:dyDescent="0.15"/>
    <row r="45507" s="69" customFormat="1" x14ac:dyDescent="0.15"/>
    <row r="45508" s="69" customFormat="1" x14ac:dyDescent="0.15"/>
    <row r="45509" s="69" customFormat="1" x14ac:dyDescent="0.15"/>
    <row r="45510" s="69" customFormat="1" x14ac:dyDescent="0.15"/>
    <row r="45511" s="69" customFormat="1" x14ac:dyDescent="0.15"/>
    <row r="45512" s="69" customFormat="1" x14ac:dyDescent="0.15"/>
    <row r="45513" s="69" customFormat="1" x14ac:dyDescent="0.15"/>
    <row r="45514" s="69" customFormat="1" x14ac:dyDescent="0.15"/>
    <row r="45515" s="69" customFormat="1" x14ac:dyDescent="0.15"/>
    <row r="45516" s="69" customFormat="1" x14ac:dyDescent="0.15"/>
    <row r="45517" s="69" customFormat="1" x14ac:dyDescent="0.15"/>
    <row r="45518" s="69" customFormat="1" x14ac:dyDescent="0.15"/>
    <row r="45519" s="69" customFormat="1" x14ac:dyDescent="0.15"/>
    <row r="45520" s="69" customFormat="1" x14ac:dyDescent="0.15"/>
    <row r="45521" s="69" customFormat="1" x14ac:dyDescent="0.15"/>
    <row r="45522" s="69" customFormat="1" x14ac:dyDescent="0.15"/>
    <row r="45523" s="69" customFormat="1" x14ac:dyDescent="0.15"/>
    <row r="45524" s="69" customFormat="1" x14ac:dyDescent="0.15"/>
    <row r="45525" s="69" customFormat="1" x14ac:dyDescent="0.15"/>
    <row r="45526" s="69" customFormat="1" x14ac:dyDescent="0.15"/>
    <row r="45527" s="69" customFormat="1" x14ac:dyDescent="0.15"/>
    <row r="45528" s="69" customFormat="1" x14ac:dyDescent="0.15"/>
    <row r="45529" s="69" customFormat="1" x14ac:dyDescent="0.15"/>
    <row r="45530" s="69" customFormat="1" x14ac:dyDescent="0.15"/>
    <row r="45531" s="69" customFormat="1" x14ac:dyDescent="0.15"/>
    <row r="45532" s="69" customFormat="1" x14ac:dyDescent="0.15"/>
    <row r="45533" s="69" customFormat="1" x14ac:dyDescent="0.15"/>
    <row r="45534" s="69" customFormat="1" x14ac:dyDescent="0.15"/>
    <row r="45535" s="69" customFormat="1" x14ac:dyDescent="0.15"/>
    <row r="45536" s="69" customFormat="1" x14ac:dyDescent="0.15"/>
    <row r="45537" s="69" customFormat="1" x14ac:dyDescent="0.15"/>
    <row r="45538" s="69" customFormat="1" x14ac:dyDescent="0.15"/>
    <row r="45539" s="69" customFormat="1" x14ac:dyDescent="0.15"/>
    <row r="45540" s="69" customFormat="1" x14ac:dyDescent="0.15"/>
    <row r="45541" s="69" customFormat="1" x14ac:dyDescent="0.15"/>
    <row r="45542" s="69" customFormat="1" x14ac:dyDescent="0.15"/>
    <row r="45543" s="69" customFormat="1" x14ac:dyDescent="0.15"/>
    <row r="45544" s="69" customFormat="1" x14ac:dyDescent="0.15"/>
    <row r="45545" s="69" customFormat="1" x14ac:dyDescent="0.15"/>
    <row r="45546" s="69" customFormat="1" x14ac:dyDescent="0.15"/>
    <row r="45547" s="69" customFormat="1" x14ac:dyDescent="0.15"/>
    <row r="45548" s="69" customFormat="1" x14ac:dyDescent="0.15"/>
    <row r="45549" s="69" customFormat="1" x14ac:dyDescent="0.15"/>
    <row r="45550" s="69" customFormat="1" x14ac:dyDescent="0.15"/>
    <row r="45551" s="69" customFormat="1" x14ac:dyDescent="0.15"/>
    <row r="45552" s="69" customFormat="1" x14ac:dyDescent="0.15"/>
    <row r="45553" s="69" customFormat="1" x14ac:dyDescent="0.15"/>
    <row r="45554" s="69" customFormat="1" x14ac:dyDescent="0.15"/>
    <row r="45555" s="69" customFormat="1" x14ac:dyDescent="0.15"/>
    <row r="45556" s="69" customFormat="1" x14ac:dyDescent="0.15"/>
    <row r="45557" s="69" customFormat="1" x14ac:dyDescent="0.15"/>
    <row r="45558" s="69" customFormat="1" x14ac:dyDescent="0.15"/>
    <row r="45559" s="69" customFormat="1" x14ac:dyDescent="0.15"/>
    <row r="45560" s="69" customFormat="1" x14ac:dyDescent="0.15"/>
    <row r="45561" s="69" customFormat="1" x14ac:dyDescent="0.15"/>
    <row r="45562" s="69" customFormat="1" x14ac:dyDescent="0.15"/>
    <row r="45563" s="69" customFormat="1" x14ac:dyDescent="0.15"/>
    <row r="45564" s="69" customFormat="1" x14ac:dyDescent="0.15"/>
    <row r="45565" s="69" customFormat="1" x14ac:dyDescent="0.15"/>
    <row r="45566" s="69" customFormat="1" x14ac:dyDescent="0.15"/>
    <row r="45567" s="69" customFormat="1" x14ac:dyDescent="0.15"/>
    <row r="45568" s="69" customFormat="1" x14ac:dyDescent="0.15"/>
    <row r="45569" s="69" customFormat="1" x14ac:dyDescent="0.15"/>
    <row r="45570" s="69" customFormat="1" x14ac:dyDescent="0.15"/>
    <row r="45571" s="69" customFormat="1" x14ac:dyDescent="0.15"/>
    <row r="45572" s="69" customFormat="1" x14ac:dyDescent="0.15"/>
    <row r="45573" s="69" customFormat="1" x14ac:dyDescent="0.15"/>
    <row r="45574" s="69" customFormat="1" x14ac:dyDescent="0.15"/>
    <row r="45575" s="69" customFormat="1" x14ac:dyDescent="0.15"/>
    <row r="45576" s="69" customFormat="1" x14ac:dyDescent="0.15"/>
    <row r="45577" s="69" customFormat="1" x14ac:dyDescent="0.15"/>
    <row r="45578" s="69" customFormat="1" x14ac:dyDescent="0.15"/>
    <row r="45579" s="69" customFormat="1" x14ac:dyDescent="0.15"/>
    <row r="45580" s="69" customFormat="1" x14ac:dyDescent="0.15"/>
    <row r="45581" s="69" customFormat="1" x14ac:dyDescent="0.15"/>
    <row r="45582" s="69" customFormat="1" x14ac:dyDescent="0.15"/>
    <row r="45583" s="69" customFormat="1" x14ac:dyDescent="0.15"/>
    <row r="45584" s="69" customFormat="1" x14ac:dyDescent="0.15"/>
    <row r="45585" s="69" customFormat="1" x14ac:dyDescent="0.15"/>
    <row r="45586" s="69" customFormat="1" x14ac:dyDescent="0.15"/>
    <row r="45587" s="69" customFormat="1" x14ac:dyDescent="0.15"/>
    <row r="45588" s="69" customFormat="1" x14ac:dyDescent="0.15"/>
    <row r="45589" s="69" customFormat="1" x14ac:dyDescent="0.15"/>
    <row r="45590" s="69" customFormat="1" x14ac:dyDescent="0.15"/>
    <row r="45591" s="69" customFormat="1" x14ac:dyDescent="0.15"/>
    <row r="45592" s="69" customFormat="1" x14ac:dyDescent="0.15"/>
    <row r="45593" s="69" customFormat="1" x14ac:dyDescent="0.15"/>
    <row r="45594" s="69" customFormat="1" x14ac:dyDescent="0.15"/>
    <row r="45595" s="69" customFormat="1" x14ac:dyDescent="0.15"/>
    <row r="45596" s="69" customFormat="1" x14ac:dyDescent="0.15"/>
    <row r="45597" s="69" customFormat="1" x14ac:dyDescent="0.15"/>
    <row r="45598" s="69" customFormat="1" x14ac:dyDescent="0.15"/>
    <row r="45599" s="69" customFormat="1" x14ac:dyDescent="0.15"/>
    <row r="45600" s="69" customFormat="1" x14ac:dyDescent="0.15"/>
    <row r="45601" s="69" customFormat="1" x14ac:dyDescent="0.15"/>
    <row r="45602" s="69" customFormat="1" x14ac:dyDescent="0.15"/>
    <row r="45603" s="69" customFormat="1" x14ac:dyDescent="0.15"/>
    <row r="45604" s="69" customFormat="1" x14ac:dyDescent="0.15"/>
    <row r="45605" s="69" customFormat="1" x14ac:dyDescent="0.15"/>
    <row r="45606" s="69" customFormat="1" x14ac:dyDescent="0.15"/>
    <row r="45607" s="69" customFormat="1" x14ac:dyDescent="0.15"/>
    <row r="45608" s="69" customFormat="1" x14ac:dyDescent="0.15"/>
    <row r="45609" s="69" customFormat="1" x14ac:dyDescent="0.15"/>
    <row r="45610" s="69" customFormat="1" x14ac:dyDescent="0.15"/>
    <row r="45611" s="69" customFormat="1" x14ac:dyDescent="0.15"/>
    <row r="45612" s="69" customFormat="1" x14ac:dyDescent="0.15"/>
    <row r="45613" s="69" customFormat="1" x14ac:dyDescent="0.15"/>
    <row r="45614" s="69" customFormat="1" x14ac:dyDescent="0.15"/>
    <row r="45615" s="69" customFormat="1" x14ac:dyDescent="0.15"/>
    <row r="45616" s="69" customFormat="1" x14ac:dyDescent="0.15"/>
    <row r="45617" s="69" customFormat="1" x14ac:dyDescent="0.15"/>
    <row r="45618" s="69" customFormat="1" x14ac:dyDescent="0.15"/>
    <row r="45619" s="69" customFormat="1" x14ac:dyDescent="0.15"/>
    <row r="45620" s="69" customFormat="1" x14ac:dyDescent="0.15"/>
    <row r="45621" s="69" customFormat="1" x14ac:dyDescent="0.15"/>
    <row r="45622" s="69" customFormat="1" x14ac:dyDescent="0.15"/>
    <row r="45623" s="69" customFormat="1" x14ac:dyDescent="0.15"/>
    <row r="45624" s="69" customFormat="1" x14ac:dyDescent="0.15"/>
    <row r="45625" s="69" customFormat="1" x14ac:dyDescent="0.15"/>
    <row r="45626" s="69" customFormat="1" x14ac:dyDescent="0.15"/>
    <row r="45627" s="69" customFormat="1" x14ac:dyDescent="0.15"/>
    <row r="45628" s="69" customFormat="1" x14ac:dyDescent="0.15"/>
    <row r="45629" s="69" customFormat="1" x14ac:dyDescent="0.15"/>
    <row r="45630" s="69" customFormat="1" x14ac:dyDescent="0.15"/>
    <row r="45631" s="69" customFormat="1" x14ac:dyDescent="0.15"/>
    <row r="45632" s="69" customFormat="1" x14ac:dyDescent="0.15"/>
    <row r="45633" s="69" customFormat="1" x14ac:dyDescent="0.15"/>
    <row r="45634" s="69" customFormat="1" x14ac:dyDescent="0.15"/>
    <row r="45635" s="69" customFormat="1" x14ac:dyDescent="0.15"/>
    <row r="45636" s="69" customFormat="1" x14ac:dyDescent="0.15"/>
    <row r="45637" s="69" customFormat="1" x14ac:dyDescent="0.15"/>
    <row r="45638" s="69" customFormat="1" x14ac:dyDescent="0.15"/>
    <row r="45639" s="69" customFormat="1" x14ac:dyDescent="0.15"/>
    <row r="45640" s="69" customFormat="1" x14ac:dyDescent="0.15"/>
    <row r="45641" s="69" customFormat="1" x14ac:dyDescent="0.15"/>
    <row r="45642" s="69" customFormat="1" x14ac:dyDescent="0.15"/>
    <row r="45643" s="69" customFormat="1" x14ac:dyDescent="0.15"/>
    <row r="45644" s="69" customFormat="1" x14ac:dyDescent="0.15"/>
    <row r="45645" s="69" customFormat="1" x14ac:dyDescent="0.15"/>
    <row r="45646" s="69" customFormat="1" x14ac:dyDescent="0.15"/>
    <row r="45647" s="69" customFormat="1" x14ac:dyDescent="0.15"/>
    <row r="45648" s="69" customFormat="1" x14ac:dyDescent="0.15"/>
    <row r="45649" s="69" customFormat="1" x14ac:dyDescent="0.15"/>
    <row r="45650" s="69" customFormat="1" x14ac:dyDescent="0.15"/>
    <row r="45651" s="69" customFormat="1" x14ac:dyDescent="0.15"/>
    <row r="45652" s="69" customFormat="1" x14ac:dyDescent="0.15"/>
    <row r="45653" s="69" customFormat="1" x14ac:dyDescent="0.15"/>
    <row r="45654" s="69" customFormat="1" x14ac:dyDescent="0.15"/>
    <row r="45655" s="69" customFormat="1" x14ac:dyDescent="0.15"/>
    <row r="45656" s="69" customFormat="1" x14ac:dyDescent="0.15"/>
    <row r="45657" s="69" customFormat="1" x14ac:dyDescent="0.15"/>
    <row r="45658" s="69" customFormat="1" x14ac:dyDescent="0.15"/>
    <row r="45659" s="69" customFormat="1" x14ac:dyDescent="0.15"/>
    <row r="45660" s="69" customFormat="1" x14ac:dyDescent="0.15"/>
    <row r="45661" s="69" customFormat="1" x14ac:dyDescent="0.15"/>
    <row r="45662" s="69" customFormat="1" x14ac:dyDescent="0.15"/>
    <row r="45663" s="69" customFormat="1" x14ac:dyDescent="0.15"/>
    <row r="45664" s="69" customFormat="1" x14ac:dyDescent="0.15"/>
    <row r="45665" s="69" customFormat="1" x14ac:dyDescent="0.15"/>
    <row r="45666" s="69" customFormat="1" x14ac:dyDescent="0.15"/>
    <row r="45667" s="69" customFormat="1" x14ac:dyDescent="0.15"/>
    <row r="45668" s="69" customFormat="1" x14ac:dyDescent="0.15"/>
    <row r="45669" s="69" customFormat="1" x14ac:dyDescent="0.15"/>
    <row r="45670" s="69" customFormat="1" x14ac:dyDescent="0.15"/>
    <row r="45671" s="69" customFormat="1" x14ac:dyDescent="0.15"/>
    <row r="45672" s="69" customFormat="1" x14ac:dyDescent="0.15"/>
    <row r="45673" s="69" customFormat="1" x14ac:dyDescent="0.15"/>
    <row r="45674" s="69" customFormat="1" x14ac:dyDescent="0.15"/>
    <row r="45675" s="69" customFormat="1" x14ac:dyDescent="0.15"/>
    <row r="45676" s="69" customFormat="1" x14ac:dyDescent="0.15"/>
    <row r="45677" s="69" customFormat="1" x14ac:dyDescent="0.15"/>
    <row r="45678" s="69" customFormat="1" x14ac:dyDescent="0.15"/>
    <row r="45679" s="69" customFormat="1" x14ac:dyDescent="0.15"/>
    <row r="45680" s="69" customFormat="1" x14ac:dyDescent="0.15"/>
    <row r="45681" s="69" customFormat="1" x14ac:dyDescent="0.15"/>
    <row r="45682" s="69" customFormat="1" x14ac:dyDescent="0.15"/>
    <row r="45683" s="69" customFormat="1" x14ac:dyDescent="0.15"/>
    <row r="45684" s="69" customFormat="1" x14ac:dyDescent="0.15"/>
    <row r="45685" s="69" customFormat="1" x14ac:dyDescent="0.15"/>
    <row r="45686" s="69" customFormat="1" x14ac:dyDescent="0.15"/>
    <row r="45687" s="69" customFormat="1" x14ac:dyDescent="0.15"/>
    <row r="45688" s="69" customFormat="1" x14ac:dyDescent="0.15"/>
    <row r="45689" s="69" customFormat="1" x14ac:dyDescent="0.15"/>
    <row r="45690" s="69" customFormat="1" x14ac:dyDescent="0.15"/>
    <row r="45691" s="69" customFormat="1" x14ac:dyDescent="0.15"/>
    <row r="45692" s="69" customFormat="1" x14ac:dyDescent="0.15"/>
    <row r="45693" s="69" customFormat="1" x14ac:dyDescent="0.15"/>
    <row r="45694" s="69" customFormat="1" x14ac:dyDescent="0.15"/>
    <row r="45695" s="69" customFormat="1" x14ac:dyDescent="0.15"/>
    <row r="45696" s="69" customFormat="1" x14ac:dyDescent="0.15"/>
    <row r="45697" s="69" customFormat="1" x14ac:dyDescent="0.15"/>
    <row r="45698" s="69" customFormat="1" x14ac:dyDescent="0.15"/>
    <row r="45699" s="69" customFormat="1" x14ac:dyDescent="0.15"/>
    <row r="45700" s="69" customFormat="1" x14ac:dyDescent="0.15"/>
    <row r="45701" s="69" customFormat="1" x14ac:dyDescent="0.15"/>
    <row r="45702" s="69" customFormat="1" x14ac:dyDescent="0.15"/>
    <row r="45703" s="69" customFormat="1" x14ac:dyDescent="0.15"/>
    <row r="45704" s="69" customFormat="1" x14ac:dyDescent="0.15"/>
    <row r="45705" s="69" customFormat="1" x14ac:dyDescent="0.15"/>
    <row r="45706" s="69" customFormat="1" x14ac:dyDescent="0.15"/>
    <row r="45707" s="69" customFormat="1" x14ac:dyDescent="0.15"/>
    <row r="45708" s="69" customFormat="1" x14ac:dyDescent="0.15"/>
    <row r="45709" s="69" customFormat="1" x14ac:dyDescent="0.15"/>
    <row r="45710" s="69" customFormat="1" x14ac:dyDescent="0.15"/>
    <row r="45711" s="69" customFormat="1" x14ac:dyDescent="0.15"/>
    <row r="45712" s="69" customFormat="1" x14ac:dyDescent="0.15"/>
    <row r="45713" s="69" customFormat="1" x14ac:dyDescent="0.15"/>
    <row r="45714" s="69" customFormat="1" x14ac:dyDescent="0.15"/>
    <row r="45715" s="69" customFormat="1" x14ac:dyDescent="0.15"/>
    <row r="45716" s="69" customFormat="1" x14ac:dyDescent="0.15"/>
    <row r="45717" s="69" customFormat="1" x14ac:dyDescent="0.15"/>
    <row r="45718" s="69" customFormat="1" x14ac:dyDescent="0.15"/>
    <row r="45719" s="69" customFormat="1" x14ac:dyDescent="0.15"/>
    <row r="45720" s="69" customFormat="1" x14ac:dyDescent="0.15"/>
    <row r="45721" s="69" customFormat="1" x14ac:dyDescent="0.15"/>
    <row r="45722" s="69" customFormat="1" x14ac:dyDescent="0.15"/>
    <row r="45723" s="69" customFormat="1" x14ac:dyDescent="0.15"/>
    <row r="45724" s="69" customFormat="1" x14ac:dyDescent="0.15"/>
    <row r="45725" s="69" customFormat="1" x14ac:dyDescent="0.15"/>
    <row r="45726" s="69" customFormat="1" x14ac:dyDescent="0.15"/>
    <row r="45727" s="69" customFormat="1" x14ac:dyDescent="0.15"/>
    <row r="45728" s="69" customFormat="1" x14ac:dyDescent="0.15"/>
    <row r="45729" s="69" customFormat="1" x14ac:dyDescent="0.15"/>
    <row r="45730" s="69" customFormat="1" x14ac:dyDescent="0.15"/>
    <row r="45731" s="69" customFormat="1" x14ac:dyDescent="0.15"/>
    <row r="45732" s="69" customFormat="1" x14ac:dyDescent="0.15"/>
    <row r="45733" s="69" customFormat="1" x14ac:dyDescent="0.15"/>
    <row r="45734" s="69" customFormat="1" x14ac:dyDescent="0.15"/>
    <row r="45735" s="69" customFormat="1" x14ac:dyDescent="0.15"/>
    <row r="45736" s="69" customFormat="1" x14ac:dyDescent="0.15"/>
    <row r="45737" s="69" customFormat="1" x14ac:dyDescent="0.15"/>
    <row r="45738" s="69" customFormat="1" x14ac:dyDescent="0.15"/>
    <row r="45739" s="69" customFormat="1" x14ac:dyDescent="0.15"/>
    <row r="45740" s="69" customFormat="1" x14ac:dyDescent="0.15"/>
    <row r="45741" s="69" customFormat="1" x14ac:dyDescent="0.15"/>
    <row r="45742" s="69" customFormat="1" x14ac:dyDescent="0.15"/>
    <row r="45743" s="69" customFormat="1" x14ac:dyDescent="0.15"/>
    <row r="45744" s="69" customFormat="1" x14ac:dyDescent="0.15"/>
    <row r="45745" s="69" customFormat="1" x14ac:dyDescent="0.15"/>
    <row r="45746" s="69" customFormat="1" x14ac:dyDescent="0.15"/>
    <row r="45747" s="69" customFormat="1" x14ac:dyDescent="0.15"/>
    <row r="45748" s="69" customFormat="1" x14ac:dyDescent="0.15"/>
    <row r="45749" s="69" customFormat="1" x14ac:dyDescent="0.15"/>
    <row r="45750" s="69" customFormat="1" x14ac:dyDescent="0.15"/>
    <row r="45751" s="69" customFormat="1" x14ac:dyDescent="0.15"/>
    <row r="45752" s="69" customFormat="1" x14ac:dyDescent="0.15"/>
    <row r="45753" s="69" customFormat="1" x14ac:dyDescent="0.15"/>
    <row r="45754" s="69" customFormat="1" x14ac:dyDescent="0.15"/>
    <row r="45755" s="69" customFormat="1" x14ac:dyDescent="0.15"/>
    <row r="45756" s="69" customFormat="1" x14ac:dyDescent="0.15"/>
    <row r="45757" s="69" customFormat="1" x14ac:dyDescent="0.15"/>
    <row r="45758" s="69" customFormat="1" x14ac:dyDescent="0.15"/>
    <row r="45759" s="69" customFormat="1" x14ac:dyDescent="0.15"/>
    <row r="45760" s="69" customFormat="1" x14ac:dyDescent="0.15"/>
    <row r="45761" s="69" customFormat="1" x14ac:dyDescent="0.15"/>
    <row r="45762" s="69" customFormat="1" x14ac:dyDescent="0.15"/>
    <row r="45763" s="69" customFormat="1" x14ac:dyDescent="0.15"/>
    <row r="45764" s="69" customFormat="1" x14ac:dyDescent="0.15"/>
    <row r="45765" s="69" customFormat="1" x14ac:dyDescent="0.15"/>
    <row r="45766" s="69" customFormat="1" x14ac:dyDescent="0.15"/>
    <row r="45767" s="69" customFormat="1" x14ac:dyDescent="0.15"/>
    <row r="45768" s="69" customFormat="1" x14ac:dyDescent="0.15"/>
    <row r="45769" s="69" customFormat="1" x14ac:dyDescent="0.15"/>
    <row r="45770" s="69" customFormat="1" x14ac:dyDescent="0.15"/>
    <row r="45771" s="69" customFormat="1" x14ac:dyDescent="0.15"/>
    <row r="45772" s="69" customFormat="1" x14ac:dyDescent="0.15"/>
    <row r="45773" s="69" customFormat="1" x14ac:dyDescent="0.15"/>
    <row r="45774" s="69" customFormat="1" x14ac:dyDescent="0.15"/>
    <row r="45775" s="69" customFormat="1" x14ac:dyDescent="0.15"/>
    <row r="45776" s="69" customFormat="1" x14ac:dyDescent="0.15"/>
    <row r="45777" s="69" customFormat="1" x14ac:dyDescent="0.15"/>
    <row r="45778" s="69" customFormat="1" x14ac:dyDescent="0.15"/>
    <row r="45779" s="69" customFormat="1" x14ac:dyDescent="0.15"/>
    <row r="45780" s="69" customFormat="1" x14ac:dyDescent="0.15"/>
    <row r="45781" s="69" customFormat="1" x14ac:dyDescent="0.15"/>
    <row r="45782" s="69" customFormat="1" x14ac:dyDescent="0.15"/>
    <row r="45783" s="69" customFormat="1" x14ac:dyDescent="0.15"/>
    <row r="45784" s="69" customFormat="1" x14ac:dyDescent="0.15"/>
    <row r="45785" s="69" customFormat="1" x14ac:dyDescent="0.15"/>
    <row r="45786" s="69" customFormat="1" x14ac:dyDescent="0.15"/>
    <row r="45787" s="69" customFormat="1" x14ac:dyDescent="0.15"/>
    <row r="45788" s="69" customFormat="1" x14ac:dyDescent="0.15"/>
    <row r="45789" s="69" customFormat="1" x14ac:dyDescent="0.15"/>
    <row r="45790" s="69" customFormat="1" x14ac:dyDescent="0.15"/>
    <row r="45791" s="69" customFormat="1" x14ac:dyDescent="0.15"/>
    <row r="45792" s="69" customFormat="1" x14ac:dyDescent="0.15"/>
    <row r="45793" s="69" customFormat="1" x14ac:dyDescent="0.15"/>
    <row r="45794" s="69" customFormat="1" x14ac:dyDescent="0.15"/>
    <row r="45795" s="69" customFormat="1" x14ac:dyDescent="0.15"/>
    <row r="45796" s="69" customFormat="1" x14ac:dyDescent="0.15"/>
    <row r="45797" s="69" customFormat="1" x14ac:dyDescent="0.15"/>
    <row r="45798" s="69" customFormat="1" x14ac:dyDescent="0.15"/>
    <row r="45799" s="69" customFormat="1" x14ac:dyDescent="0.15"/>
    <row r="45800" s="69" customFormat="1" x14ac:dyDescent="0.15"/>
    <row r="45801" s="69" customFormat="1" x14ac:dyDescent="0.15"/>
    <row r="45802" s="69" customFormat="1" x14ac:dyDescent="0.15"/>
    <row r="45803" s="69" customFormat="1" x14ac:dyDescent="0.15"/>
    <row r="45804" s="69" customFormat="1" x14ac:dyDescent="0.15"/>
    <row r="45805" s="69" customFormat="1" x14ac:dyDescent="0.15"/>
    <row r="45806" s="69" customFormat="1" x14ac:dyDescent="0.15"/>
    <row r="45807" s="69" customFormat="1" x14ac:dyDescent="0.15"/>
    <row r="45808" s="69" customFormat="1" x14ac:dyDescent="0.15"/>
    <row r="45809" s="69" customFormat="1" x14ac:dyDescent="0.15"/>
    <row r="45810" s="69" customFormat="1" x14ac:dyDescent="0.15"/>
    <row r="45811" s="69" customFormat="1" x14ac:dyDescent="0.15"/>
    <row r="45812" s="69" customFormat="1" x14ac:dyDescent="0.15"/>
    <row r="45813" s="69" customFormat="1" x14ac:dyDescent="0.15"/>
    <row r="45814" s="69" customFormat="1" x14ac:dyDescent="0.15"/>
    <row r="45815" s="69" customFormat="1" x14ac:dyDescent="0.15"/>
    <row r="45816" s="69" customFormat="1" x14ac:dyDescent="0.15"/>
    <row r="45817" s="69" customFormat="1" x14ac:dyDescent="0.15"/>
    <row r="45818" s="69" customFormat="1" x14ac:dyDescent="0.15"/>
    <row r="45819" s="69" customFormat="1" x14ac:dyDescent="0.15"/>
    <row r="45820" s="69" customFormat="1" x14ac:dyDescent="0.15"/>
    <row r="45821" s="69" customFormat="1" x14ac:dyDescent="0.15"/>
    <row r="45822" s="69" customFormat="1" x14ac:dyDescent="0.15"/>
    <row r="45823" s="69" customFormat="1" x14ac:dyDescent="0.15"/>
    <row r="45824" s="69" customFormat="1" x14ac:dyDescent="0.15"/>
    <row r="45825" s="69" customFormat="1" x14ac:dyDescent="0.15"/>
    <row r="45826" s="69" customFormat="1" x14ac:dyDescent="0.15"/>
    <row r="45827" s="69" customFormat="1" x14ac:dyDescent="0.15"/>
    <row r="45828" s="69" customFormat="1" x14ac:dyDescent="0.15"/>
    <row r="45829" s="69" customFormat="1" x14ac:dyDescent="0.15"/>
    <row r="45830" s="69" customFormat="1" x14ac:dyDescent="0.15"/>
    <row r="45831" s="69" customFormat="1" x14ac:dyDescent="0.15"/>
    <row r="45832" s="69" customFormat="1" x14ac:dyDescent="0.15"/>
    <row r="45833" s="69" customFormat="1" x14ac:dyDescent="0.15"/>
    <row r="45834" s="69" customFormat="1" x14ac:dyDescent="0.15"/>
    <row r="45835" s="69" customFormat="1" x14ac:dyDescent="0.15"/>
    <row r="45836" s="69" customFormat="1" x14ac:dyDescent="0.15"/>
    <row r="45837" s="69" customFormat="1" x14ac:dyDescent="0.15"/>
    <row r="45838" s="69" customFormat="1" x14ac:dyDescent="0.15"/>
    <row r="45839" s="69" customFormat="1" x14ac:dyDescent="0.15"/>
    <row r="45840" s="69" customFormat="1" x14ac:dyDescent="0.15"/>
    <row r="45841" s="69" customFormat="1" x14ac:dyDescent="0.15"/>
    <row r="45842" s="69" customFormat="1" x14ac:dyDescent="0.15"/>
    <row r="45843" s="69" customFormat="1" x14ac:dyDescent="0.15"/>
    <row r="45844" s="69" customFormat="1" x14ac:dyDescent="0.15"/>
    <row r="45845" s="69" customFormat="1" x14ac:dyDescent="0.15"/>
    <row r="45846" s="69" customFormat="1" x14ac:dyDescent="0.15"/>
    <row r="45847" s="69" customFormat="1" x14ac:dyDescent="0.15"/>
    <row r="45848" s="69" customFormat="1" x14ac:dyDescent="0.15"/>
    <row r="45849" s="69" customFormat="1" x14ac:dyDescent="0.15"/>
    <row r="45850" s="69" customFormat="1" x14ac:dyDescent="0.15"/>
    <row r="45851" s="69" customFormat="1" x14ac:dyDescent="0.15"/>
    <row r="45852" s="69" customFormat="1" x14ac:dyDescent="0.15"/>
    <row r="45853" s="69" customFormat="1" x14ac:dyDescent="0.15"/>
    <row r="45854" s="69" customFormat="1" x14ac:dyDescent="0.15"/>
    <row r="45855" s="69" customFormat="1" x14ac:dyDescent="0.15"/>
    <row r="45856" s="69" customFormat="1" x14ac:dyDescent="0.15"/>
    <row r="45857" s="69" customFormat="1" x14ac:dyDescent="0.15"/>
    <row r="45858" s="69" customFormat="1" x14ac:dyDescent="0.15"/>
    <row r="45859" s="69" customFormat="1" x14ac:dyDescent="0.15"/>
    <row r="45860" s="69" customFormat="1" x14ac:dyDescent="0.15"/>
    <row r="45861" s="69" customFormat="1" x14ac:dyDescent="0.15"/>
    <row r="45862" s="69" customFormat="1" x14ac:dyDescent="0.15"/>
    <row r="45863" s="69" customFormat="1" x14ac:dyDescent="0.15"/>
    <row r="45864" s="69" customFormat="1" x14ac:dyDescent="0.15"/>
    <row r="45865" s="69" customFormat="1" x14ac:dyDescent="0.15"/>
    <row r="45866" s="69" customFormat="1" x14ac:dyDescent="0.15"/>
    <row r="45867" s="69" customFormat="1" x14ac:dyDescent="0.15"/>
    <row r="45868" s="69" customFormat="1" x14ac:dyDescent="0.15"/>
    <row r="45869" s="69" customFormat="1" x14ac:dyDescent="0.15"/>
    <row r="45870" s="69" customFormat="1" x14ac:dyDescent="0.15"/>
    <row r="45871" s="69" customFormat="1" x14ac:dyDescent="0.15"/>
    <row r="45872" s="69" customFormat="1" x14ac:dyDescent="0.15"/>
    <row r="45873" s="69" customFormat="1" x14ac:dyDescent="0.15"/>
    <row r="45874" s="69" customFormat="1" x14ac:dyDescent="0.15"/>
    <row r="45875" s="69" customFormat="1" x14ac:dyDescent="0.15"/>
    <row r="45876" s="69" customFormat="1" x14ac:dyDescent="0.15"/>
    <row r="45877" s="69" customFormat="1" x14ac:dyDescent="0.15"/>
    <row r="45878" s="69" customFormat="1" x14ac:dyDescent="0.15"/>
    <row r="45879" s="69" customFormat="1" x14ac:dyDescent="0.15"/>
    <row r="45880" s="69" customFormat="1" x14ac:dyDescent="0.15"/>
    <row r="45881" s="69" customFormat="1" x14ac:dyDescent="0.15"/>
    <row r="45882" s="69" customFormat="1" x14ac:dyDescent="0.15"/>
    <row r="45883" s="69" customFormat="1" x14ac:dyDescent="0.15"/>
    <row r="45884" s="69" customFormat="1" x14ac:dyDescent="0.15"/>
    <row r="45885" s="69" customFormat="1" x14ac:dyDescent="0.15"/>
    <row r="45886" s="69" customFormat="1" x14ac:dyDescent="0.15"/>
    <row r="45887" s="69" customFormat="1" x14ac:dyDescent="0.15"/>
    <row r="45888" s="69" customFormat="1" x14ac:dyDescent="0.15"/>
    <row r="45889" s="69" customFormat="1" x14ac:dyDescent="0.15"/>
    <row r="45890" s="69" customFormat="1" x14ac:dyDescent="0.15"/>
    <row r="45891" s="69" customFormat="1" x14ac:dyDescent="0.15"/>
    <row r="45892" s="69" customFormat="1" x14ac:dyDescent="0.15"/>
    <row r="45893" s="69" customFormat="1" x14ac:dyDescent="0.15"/>
    <row r="45894" s="69" customFormat="1" x14ac:dyDescent="0.15"/>
    <row r="45895" s="69" customFormat="1" x14ac:dyDescent="0.15"/>
    <row r="45896" s="69" customFormat="1" x14ac:dyDescent="0.15"/>
    <row r="45897" s="69" customFormat="1" x14ac:dyDescent="0.15"/>
    <row r="45898" s="69" customFormat="1" x14ac:dyDescent="0.15"/>
    <row r="45899" s="69" customFormat="1" x14ac:dyDescent="0.15"/>
    <row r="45900" s="69" customFormat="1" x14ac:dyDescent="0.15"/>
    <row r="45901" s="69" customFormat="1" x14ac:dyDescent="0.15"/>
    <row r="45902" s="69" customFormat="1" x14ac:dyDescent="0.15"/>
    <row r="45903" s="69" customFormat="1" x14ac:dyDescent="0.15"/>
    <row r="45904" s="69" customFormat="1" x14ac:dyDescent="0.15"/>
    <row r="45905" s="69" customFormat="1" x14ac:dyDescent="0.15"/>
    <row r="45906" s="69" customFormat="1" x14ac:dyDescent="0.15"/>
    <row r="45907" s="69" customFormat="1" x14ac:dyDescent="0.15"/>
    <row r="45908" s="69" customFormat="1" x14ac:dyDescent="0.15"/>
    <row r="45909" s="69" customFormat="1" x14ac:dyDescent="0.15"/>
    <row r="45910" s="69" customFormat="1" x14ac:dyDescent="0.15"/>
    <row r="45911" s="69" customFormat="1" x14ac:dyDescent="0.15"/>
    <row r="45912" s="69" customFormat="1" x14ac:dyDescent="0.15"/>
    <row r="45913" s="69" customFormat="1" x14ac:dyDescent="0.15"/>
    <row r="45914" s="69" customFormat="1" x14ac:dyDescent="0.15"/>
    <row r="45915" s="69" customFormat="1" x14ac:dyDescent="0.15"/>
    <row r="45916" s="69" customFormat="1" x14ac:dyDescent="0.15"/>
    <row r="45917" s="69" customFormat="1" x14ac:dyDescent="0.15"/>
    <row r="45918" s="69" customFormat="1" x14ac:dyDescent="0.15"/>
    <row r="45919" s="69" customFormat="1" x14ac:dyDescent="0.15"/>
    <row r="45920" s="69" customFormat="1" x14ac:dyDescent="0.15"/>
    <row r="45921" s="69" customFormat="1" x14ac:dyDescent="0.15"/>
    <row r="45922" s="69" customFormat="1" x14ac:dyDescent="0.15"/>
    <row r="45923" s="69" customFormat="1" x14ac:dyDescent="0.15"/>
    <row r="45924" s="69" customFormat="1" x14ac:dyDescent="0.15"/>
    <row r="45925" s="69" customFormat="1" x14ac:dyDescent="0.15"/>
    <row r="45926" s="69" customFormat="1" x14ac:dyDescent="0.15"/>
    <row r="45927" s="69" customFormat="1" x14ac:dyDescent="0.15"/>
    <row r="45928" s="69" customFormat="1" x14ac:dyDescent="0.15"/>
    <row r="45929" s="69" customFormat="1" x14ac:dyDescent="0.15"/>
    <row r="45930" s="69" customFormat="1" x14ac:dyDescent="0.15"/>
    <row r="45931" s="69" customFormat="1" x14ac:dyDescent="0.15"/>
    <row r="45932" s="69" customFormat="1" x14ac:dyDescent="0.15"/>
    <row r="45933" s="69" customFormat="1" x14ac:dyDescent="0.15"/>
    <row r="45934" s="69" customFormat="1" x14ac:dyDescent="0.15"/>
    <row r="45935" s="69" customFormat="1" x14ac:dyDescent="0.15"/>
    <row r="45936" s="69" customFormat="1" x14ac:dyDescent="0.15"/>
    <row r="45937" s="69" customFormat="1" x14ac:dyDescent="0.15"/>
    <row r="45938" s="69" customFormat="1" x14ac:dyDescent="0.15"/>
    <row r="45939" s="69" customFormat="1" x14ac:dyDescent="0.15"/>
    <row r="45940" s="69" customFormat="1" x14ac:dyDescent="0.15"/>
    <row r="45941" s="69" customFormat="1" x14ac:dyDescent="0.15"/>
    <row r="45942" s="69" customFormat="1" x14ac:dyDescent="0.15"/>
    <row r="45943" s="69" customFormat="1" x14ac:dyDescent="0.15"/>
    <row r="45944" s="69" customFormat="1" x14ac:dyDescent="0.15"/>
    <row r="45945" s="69" customFormat="1" x14ac:dyDescent="0.15"/>
    <row r="45946" s="69" customFormat="1" x14ac:dyDescent="0.15"/>
    <row r="45947" s="69" customFormat="1" x14ac:dyDescent="0.15"/>
    <row r="45948" s="69" customFormat="1" x14ac:dyDescent="0.15"/>
    <row r="45949" s="69" customFormat="1" x14ac:dyDescent="0.15"/>
    <row r="45950" s="69" customFormat="1" x14ac:dyDescent="0.15"/>
    <row r="45951" s="69" customFormat="1" x14ac:dyDescent="0.15"/>
    <row r="45952" s="69" customFormat="1" x14ac:dyDescent="0.15"/>
    <row r="45953" s="69" customFormat="1" x14ac:dyDescent="0.15"/>
    <row r="45954" s="69" customFormat="1" x14ac:dyDescent="0.15"/>
    <row r="45955" s="69" customFormat="1" x14ac:dyDescent="0.15"/>
    <row r="45956" s="69" customFormat="1" x14ac:dyDescent="0.15"/>
    <row r="45957" s="69" customFormat="1" x14ac:dyDescent="0.15"/>
    <row r="45958" s="69" customFormat="1" x14ac:dyDescent="0.15"/>
    <row r="45959" s="69" customFormat="1" x14ac:dyDescent="0.15"/>
    <row r="45960" s="69" customFormat="1" x14ac:dyDescent="0.15"/>
    <row r="45961" s="69" customFormat="1" x14ac:dyDescent="0.15"/>
    <row r="45962" s="69" customFormat="1" x14ac:dyDescent="0.15"/>
    <row r="45963" s="69" customFormat="1" x14ac:dyDescent="0.15"/>
    <row r="45964" s="69" customFormat="1" x14ac:dyDescent="0.15"/>
    <row r="45965" s="69" customFormat="1" x14ac:dyDescent="0.15"/>
    <row r="45966" s="69" customFormat="1" x14ac:dyDescent="0.15"/>
    <row r="45967" s="69" customFormat="1" x14ac:dyDescent="0.15"/>
    <row r="45968" s="69" customFormat="1" x14ac:dyDescent="0.15"/>
    <row r="45969" s="69" customFormat="1" x14ac:dyDescent="0.15"/>
    <row r="45970" s="69" customFormat="1" x14ac:dyDescent="0.15"/>
    <row r="45971" s="69" customFormat="1" x14ac:dyDescent="0.15"/>
    <row r="45972" s="69" customFormat="1" x14ac:dyDescent="0.15"/>
    <row r="45973" s="69" customFormat="1" x14ac:dyDescent="0.15"/>
    <row r="45974" s="69" customFormat="1" x14ac:dyDescent="0.15"/>
    <row r="45975" s="69" customFormat="1" x14ac:dyDescent="0.15"/>
    <row r="45976" s="69" customFormat="1" x14ac:dyDescent="0.15"/>
    <row r="45977" s="69" customFormat="1" x14ac:dyDescent="0.15"/>
    <row r="45978" s="69" customFormat="1" x14ac:dyDescent="0.15"/>
    <row r="45979" s="69" customFormat="1" x14ac:dyDescent="0.15"/>
    <row r="45980" s="69" customFormat="1" x14ac:dyDescent="0.15"/>
    <row r="45981" s="69" customFormat="1" x14ac:dyDescent="0.15"/>
    <row r="45982" s="69" customFormat="1" x14ac:dyDescent="0.15"/>
    <row r="45983" s="69" customFormat="1" x14ac:dyDescent="0.15"/>
    <row r="45984" s="69" customFormat="1" x14ac:dyDescent="0.15"/>
    <row r="45985" s="69" customFormat="1" x14ac:dyDescent="0.15"/>
    <row r="45986" s="69" customFormat="1" x14ac:dyDescent="0.15"/>
    <row r="45987" s="69" customFormat="1" x14ac:dyDescent="0.15"/>
    <row r="45988" s="69" customFormat="1" x14ac:dyDescent="0.15"/>
    <row r="45989" s="69" customFormat="1" x14ac:dyDescent="0.15"/>
    <row r="45990" s="69" customFormat="1" x14ac:dyDescent="0.15"/>
    <row r="45991" s="69" customFormat="1" x14ac:dyDescent="0.15"/>
    <row r="45992" s="69" customFormat="1" x14ac:dyDescent="0.15"/>
    <row r="45993" s="69" customFormat="1" x14ac:dyDescent="0.15"/>
    <row r="45994" s="69" customFormat="1" x14ac:dyDescent="0.15"/>
    <row r="45995" s="69" customFormat="1" x14ac:dyDescent="0.15"/>
    <row r="45996" s="69" customFormat="1" x14ac:dyDescent="0.15"/>
    <row r="45997" s="69" customFormat="1" x14ac:dyDescent="0.15"/>
    <row r="45998" s="69" customFormat="1" x14ac:dyDescent="0.15"/>
    <row r="45999" s="69" customFormat="1" x14ac:dyDescent="0.15"/>
    <row r="46000" s="69" customFormat="1" x14ac:dyDescent="0.15"/>
    <row r="46001" s="69" customFormat="1" x14ac:dyDescent="0.15"/>
    <row r="46002" s="69" customFormat="1" x14ac:dyDescent="0.15"/>
    <row r="46003" s="69" customFormat="1" x14ac:dyDescent="0.15"/>
    <row r="46004" s="69" customFormat="1" x14ac:dyDescent="0.15"/>
    <row r="46005" s="69" customFormat="1" x14ac:dyDescent="0.15"/>
    <row r="46006" s="69" customFormat="1" x14ac:dyDescent="0.15"/>
    <row r="46007" s="69" customFormat="1" x14ac:dyDescent="0.15"/>
    <row r="46008" s="69" customFormat="1" x14ac:dyDescent="0.15"/>
    <row r="46009" s="69" customFormat="1" x14ac:dyDescent="0.15"/>
    <row r="46010" s="69" customFormat="1" x14ac:dyDescent="0.15"/>
    <row r="46011" s="69" customFormat="1" x14ac:dyDescent="0.15"/>
    <row r="46012" s="69" customFormat="1" x14ac:dyDescent="0.15"/>
    <row r="46013" s="69" customFormat="1" x14ac:dyDescent="0.15"/>
    <row r="46014" s="69" customFormat="1" x14ac:dyDescent="0.15"/>
    <row r="46015" s="69" customFormat="1" x14ac:dyDescent="0.15"/>
    <row r="46016" s="69" customFormat="1" x14ac:dyDescent="0.15"/>
    <row r="46017" s="69" customFormat="1" x14ac:dyDescent="0.15"/>
    <row r="46018" s="69" customFormat="1" x14ac:dyDescent="0.15"/>
    <row r="46019" s="69" customFormat="1" x14ac:dyDescent="0.15"/>
    <row r="46020" s="69" customFormat="1" x14ac:dyDescent="0.15"/>
    <row r="46021" s="69" customFormat="1" x14ac:dyDescent="0.15"/>
    <row r="46022" s="69" customFormat="1" x14ac:dyDescent="0.15"/>
    <row r="46023" s="69" customFormat="1" x14ac:dyDescent="0.15"/>
    <row r="46024" s="69" customFormat="1" x14ac:dyDescent="0.15"/>
    <row r="46025" s="69" customFormat="1" x14ac:dyDescent="0.15"/>
    <row r="46026" s="69" customFormat="1" x14ac:dyDescent="0.15"/>
    <row r="46027" s="69" customFormat="1" x14ac:dyDescent="0.15"/>
    <row r="46028" s="69" customFormat="1" x14ac:dyDescent="0.15"/>
    <row r="46029" s="69" customFormat="1" x14ac:dyDescent="0.15"/>
    <row r="46030" s="69" customFormat="1" x14ac:dyDescent="0.15"/>
    <row r="46031" s="69" customFormat="1" x14ac:dyDescent="0.15"/>
    <row r="46032" s="69" customFormat="1" x14ac:dyDescent="0.15"/>
    <row r="46033" s="69" customFormat="1" x14ac:dyDescent="0.15"/>
    <row r="46034" s="69" customFormat="1" x14ac:dyDescent="0.15"/>
    <row r="46035" s="69" customFormat="1" x14ac:dyDescent="0.15"/>
    <row r="46036" s="69" customFormat="1" x14ac:dyDescent="0.15"/>
    <row r="46037" s="69" customFormat="1" x14ac:dyDescent="0.15"/>
    <row r="46038" s="69" customFormat="1" x14ac:dyDescent="0.15"/>
    <row r="46039" s="69" customFormat="1" x14ac:dyDescent="0.15"/>
    <row r="46040" s="69" customFormat="1" x14ac:dyDescent="0.15"/>
    <row r="46041" s="69" customFormat="1" x14ac:dyDescent="0.15"/>
    <row r="46042" s="69" customFormat="1" x14ac:dyDescent="0.15"/>
    <row r="46043" s="69" customFormat="1" x14ac:dyDescent="0.15"/>
    <row r="46044" s="69" customFormat="1" x14ac:dyDescent="0.15"/>
    <row r="46045" s="69" customFormat="1" x14ac:dyDescent="0.15"/>
    <row r="46046" s="69" customFormat="1" x14ac:dyDescent="0.15"/>
    <row r="46047" s="69" customFormat="1" x14ac:dyDescent="0.15"/>
    <row r="46048" s="69" customFormat="1" x14ac:dyDescent="0.15"/>
    <row r="46049" s="69" customFormat="1" x14ac:dyDescent="0.15"/>
    <row r="46050" s="69" customFormat="1" x14ac:dyDescent="0.15"/>
    <row r="46051" s="69" customFormat="1" x14ac:dyDescent="0.15"/>
    <row r="46052" s="69" customFormat="1" x14ac:dyDescent="0.15"/>
    <row r="46053" s="69" customFormat="1" x14ac:dyDescent="0.15"/>
    <row r="46054" s="69" customFormat="1" x14ac:dyDescent="0.15"/>
    <row r="46055" s="69" customFormat="1" x14ac:dyDescent="0.15"/>
    <row r="46056" s="69" customFormat="1" x14ac:dyDescent="0.15"/>
    <row r="46057" s="69" customFormat="1" x14ac:dyDescent="0.15"/>
    <row r="46058" s="69" customFormat="1" x14ac:dyDescent="0.15"/>
    <row r="46059" s="69" customFormat="1" x14ac:dyDescent="0.15"/>
    <row r="46060" s="69" customFormat="1" x14ac:dyDescent="0.15"/>
    <row r="46061" s="69" customFormat="1" x14ac:dyDescent="0.15"/>
    <row r="46062" s="69" customFormat="1" x14ac:dyDescent="0.15"/>
    <row r="46063" s="69" customFormat="1" x14ac:dyDescent="0.15"/>
    <row r="46064" s="69" customFormat="1" x14ac:dyDescent="0.15"/>
    <row r="46065" s="69" customFormat="1" x14ac:dyDescent="0.15"/>
    <row r="46066" s="69" customFormat="1" x14ac:dyDescent="0.15"/>
    <row r="46067" s="69" customFormat="1" x14ac:dyDescent="0.15"/>
    <row r="46068" s="69" customFormat="1" x14ac:dyDescent="0.15"/>
    <row r="46069" s="69" customFormat="1" x14ac:dyDescent="0.15"/>
    <row r="46070" s="69" customFormat="1" x14ac:dyDescent="0.15"/>
    <row r="46071" s="69" customFormat="1" x14ac:dyDescent="0.15"/>
    <row r="46072" s="69" customFormat="1" x14ac:dyDescent="0.15"/>
    <row r="46073" s="69" customFormat="1" x14ac:dyDescent="0.15"/>
    <row r="46074" s="69" customFormat="1" x14ac:dyDescent="0.15"/>
    <row r="46075" s="69" customFormat="1" x14ac:dyDescent="0.15"/>
    <row r="46076" s="69" customFormat="1" x14ac:dyDescent="0.15"/>
    <row r="46077" s="69" customFormat="1" x14ac:dyDescent="0.15"/>
    <row r="46078" s="69" customFormat="1" x14ac:dyDescent="0.15"/>
    <row r="46079" s="69" customFormat="1" x14ac:dyDescent="0.15"/>
    <row r="46080" s="69" customFormat="1" x14ac:dyDescent="0.15"/>
    <row r="46081" s="69" customFormat="1" x14ac:dyDescent="0.15"/>
    <row r="46082" s="69" customFormat="1" x14ac:dyDescent="0.15"/>
    <row r="46083" s="69" customFormat="1" x14ac:dyDescent="0.15"/>
    <row r="46084" s="69" customFormat="1" x14ac:dyDescent="0.15"/>
    <row r="46085" s="69" customFormat="1" x14ac:dyDescent="0.15"/>
    <row r="46086" s="69" customFormat="1" x14ac:dyDescent="0.15"/>
    <row r="46087" s="69" customFormat="1" x14ac:dyDescent="0.15"/>
    <row r="46088" s="69" customFormat="1" x14ac:dyDescent="0.15"/>
    <row r="46089" s="69" customFormat="1" x14ac:dyDescent="0.15"/>
    <row r="46090" s="69" customFormat="1" x14ac:dyDescent="0.15"/>
    <row r="46091" s="69" customFormat="1" x14ac:dyDescent="0.15"/>
    <row r="46092" s="69" customFormat="1" x14ac:dyDescent="0.15"/>
    <row r="46093" s="69" customFormat="1" x14ac:dyDescent="0.15"/>
    <row r="46094" s="69" customFormat="1" x14ac:dyDescent="0.15"/>
    <row r="46095" s="69" customFormat="1" x14ac:dyDescent="0.15"/>
    <row r="46096" s="69" customFormat="1" x14ac:dyDescent="0.15"/>
    <row r="46097" s="69" customFormat="1" x14ac:dyDescent="0.15"/>
    <row r="46098" s="69" customFormat="1" x14ac:dyDescent="0.15"/>
    <row r="46099" s="69" customFormat="1" x14ac:dyDescent="0.15"/>
    <row r="46100" s="69" customFormat="1" x14ac:dyDescent="0.15"/>
    <row r="46101" s="69" customFormat="1" x14ac:dyDescent="0.15"/>
    <row r="46102" s="69" customFormat="1" x14ac:dyDescent="0.15"/>
    <row r="46103" s="69" customFormat="1" x14ac:dyDescent="0.15"/>
    <row r="46104" s="69" customFormat="1" x14ac:dyDescent="0.15"/>
    <row r="46105" s="69" customFormat="1" x14ac:dyDescent="0.15"/>
    <row r="46106" s="69" customFormat="1" x14ac:dyDescent="0.15"/>
    <row r="46107" s="69" customFormat="1" x14ac:dyDescent="0.15"/>
    <row r="46108" s="69" customFormat="1" x14ac:dyDescent="0.15"/>
    <row r="46109" s="69" customFormat="1" x14ac:dyDescent="0.15"/>
    <row r="46110" s="69" customFormat="1" x14ac:dyDescent="0.15"/>
    <row r="46111" s="69" customFormat="1" x14ac:dyDescent="0.15"/>
    <row r="46112" s="69" customFormat="1" x14ac:dyDescent="0.15"/>
    <row r="46113" s="69" customFormat="1" x14ac:dyDescent="0.15"/>
    <row r="46114" s="69" customFormat="1" x14ac:dyDescent="0.15"/>
    <row r="46115" s="69" customFormat="1" x14ac:dyDescent="0.15"/>
    <row r="46116" s="69" customFormat="1" x14ac:dyDescent="0.15"/>
    <row r="46117" s="69" customFormat="1" x14ac:dyDescent="0.15"/>
    <row r="46118" s="69" customFormat="1" x14ac:dyDescent="0.15"/>
    <row r="46119" s="69" customFormat="1" x14ac:dyDescent="0.15"/>
    <row r="46120" s="69" customFormat="1" x14ac:dyDescent="0.15"/>
    <row r="46121" s="69" customFormat="1" x14ac:dyDescent="0.15"/>
    <row r="46122" s="69" customFormat="1" x14ac:dyDescent="0.15"/>
    <row r="46123" s="69" customFormat="1" x14ac:dyDescent="0.15"/>
    <row r="46124" s="69" customFormat="1" x14ac:dyDescent="0.15"/>
    <row r="46125" s="69" customFormat="1" x14ac:dyDescent="0.15"/>
    <row r="46126" s="69" customFormat="1" x14ac:dyDescent="0.15"/>
    <row r="46127" s="69" customFormat="1" x14ac:dyDescent="0.15"/>
    <row r="46128" s="69" customFormat="1" x14ac:dyDescent="0.15"/>
    <row r="46129" s="69" customFormat="1" x14ac:dyDescent="0.15"/>
    <row r="46130" s="69" customFormat="1" x14ac:dyDescent="0.15"/>
    <row r="46131" s="69" customFormat="1" x14ac:dyDescent="0.15"/>
    <row r="46132" s="69" customFormat="1" x14ac:dyDescent="0.15"/>
    <row r="46133" s="69" customFormat="1" x14ac:dyDescent="0.15"/>
    <row r="46134" s="69" customFormat="1" x14ac:dyDescent="0.15"/>
    <row r="46135" s="69" customFormat="1" x14ac:dyDescent="0.15"/>
    <row r="46136" s="69" customFormat="1" x14ac:dyDescent="0.15"/>
    <row r="46137" s="69" customFormat="1" x14ac:dyDescent="0.15"/>
    <row r="46138" s="69" customFormat="1" x14ac:dyDescent="0.15"/>
    <row r="46139" s="69" customFormat="1" x14ac:dyDescent="0.15"/>
    <row r="46140" s="69" customFormat="1" x14ac:dyDescent="0.15"/>
    <row r="46141" s="69" customFormat="1" x14ac:dyDescent="0.15"/>
    <row r="46142" s="69" customFormat="1" x14ac:dyDescent="0.15"/>
    <row r="46143" s="69" customFormat="1" x14ac:dyDescent="0.15"/>
    <row r="46144" s="69" customFormat="1" x14ac:dyDescent="0.15"/>
    <row r="46145" s="69" customFormat="1" x14ac:dyDescent="0.15"/>
    <row r="46146" s="69" customFormat="1" x14ac:dyDescent="0.15"/>
    <row r="46147" s="69" customFormat="1" x14ac:dyDescent="0.15"/>
    <row r="46148" s="69" customFormat="1" x14ac:dyDescent="0.15"/>
    <row r="46149" s="69" customFormat="1" x14ac:dyDescent="0.15"/>
    <row r="46150" s="69" customFormat="1" x14ac:dyDescent="0.15"/>
    <row r="46151" s="69" customFormat="1" x14ac:dyDescent="0.15"/>
    <row r="46152" s="69" customFormat="1" x14ac:dyDescent="0.15"/>
    <row r="46153" s="69" customFormat="1" x14ac:dyDescent="0.15"/>
    <row r="46154" s="69" customFormat="1" x14ac:dyDescent="0.15"/>
    <row r="46155" s="69" customFormat="1" x14ac:dyDescent="0.15"/>
    <row r="46156" s="69" customFormat="1" x14ac:dyDescent="0.15"/>
    <row r="46157" s="69" customFormat="1" x14ac:dyDescent="0.15"/>
    <row r="46158" s="69" customFormat="1" x14ac:dyDescent="0.15"/>
    <row r="46159" s="69" customFormat="1" x14ac:dyDescent="0.15"/>
    <row r="46160" s="69" customFormat="1" x14ac:dyDescent="0.15"/>
    <row r="46161" s="69" customFormat="1" x14ac:dyDescent="0.15"/>
    <row r="46162" s="69" customFormat="1" x14ac:dyDescent="0.15"/>
    <row r="46163" s="69" customFormat="1" x14ac:dyDescent="0.15"/>
    <row r="46164" s="69" customFormat="1" x14ac:dyDescent="0.15"/>
    <row r="46165" s="69" customFormat="1" x14ac:dyDescent="0.15"/>
    <row r="46166" s="69" customFormat="1" x14ac:dyDescent="0.15"/>
    <row r="46167" s="69" customFormat="1" x14ac:dyDescent="0.15"/>
    <row r="46168" s="69" customFormat="1" x14ac:dyDescent="0.15"/>
    <row r="46169" s="69" customFormat="1" x14ac:dyDescent="0.15"/>
    <row r="46170" s="69" customFormat="1" x14ac:dyDescent="0.15"/>
    <row r="46171" s="69" customFormat="1" x14ac:dyDescent="0.15"/>
    <row r="46172" s="69" customFormat="1" x14ac:dyDescent="0.15"/>
    <row r="46173" s="69" customFormat="1" x14ac:dyDescent="0.15"/>
    <row r="46174" s="69" customFormat="1" x14ac:dyDescent="0.15"/>
    <row r="46175" s="69" customFormat="1" x14ac:dyDescent="0.15"/>
    <row r="46176" s="69" customFormat="1" x14ac:dyDescent="0.15"/>
    <row r="46177" s="69" customFormat="1" x14ac:dyDescent="0.15"/>
    <row r="46178" s="69" customFormat="1" x14ac:dyDescent="0.15"/>
    <row r="46179" s="69" customFormat="1" x14ac:dyDescent="0.15"/>
    <row r="46180" s="69" customFormat="1" x14ac:dyDescent="0.15"/>
    <row r="46181" s="69" customFormat="1" x14ac:dyDescent="0.15"/>
    <row r="46182" s="69" customFormat="1" x14ac:dyDescent="0.15"/>
    <row r="46183" s="69" customFormat="1" x14ac:dyDescent="0.15"/>
    <row r="46184" s="69" customFormat="1" x14ac:dyDescent="0.15"/>
    <row r="46185" s="69" customFormat="1" x14ac:dyDescent="0.15"/>
    <row r="46186" s="69" customFormat="1" x14ac:dyDescent="0.15"/>
    <row r="46187" s="69" customFormat="1" x14ac:dyDescent="0.15"/>
    <row r="46188" s="69" customFormat="1" x14ac:dyDescent="0.15"/>
    <row r="46189" s="69" customFormat="1" x14ac:dyDescent="0.15"/>
    <row r="46190" s="69" customFormat="1" x14ac:dyDescent="0.15"/>
    <row r="46191" s="69" customFormat="1" x14ac:dyDescent="0.15"/>
    <row r="46192" s="69" customFormat="1" x14ac:dyDescent="0.15"/>
    <row r="46193" s="69" customFormat="1" x14ac:dyDescent="0.15"/>
    <row r="46194" s="69" customFormat="1" x14ac:dyDescent="0.15"/>
    <row r="46195" s="69" customFormat="1" x14ac:dyDescent="0.15"/>
    <row r="46196" s="69" customFormat="1" x14ac:dyDescent="0.15"/>
    <row r="46197" s="69" customFormat="1" x14ac:dyDescent="0.15"/>
    <row r="46198" s="69" customFormat="1" x14ac:dyDescent="0.15"/>
    <row r="46199" s="69" customFormat="1" x14ac:dyDescent="0.15"/>
    <row r="46200" s="69" customFormat="1" x14ac:dyDescent="0.15"/>
    <row r="46201" s="69" customFormat="1" x14ac:dyDescent="0.15"/>
    <row r="46202" s="69" customFormat="1" x14ac:dyDescent="0.15"/>
    <row r="46203" s="69" customFormat="1" x14ac:dyDescent="0.15"/>
    <row r="46204" s="69" customFormat="1" x14ac:dyDescent="0.15"/>
    <row r="46205" s="69" customFormat="1" x14ac:dyDescent="0.15"/>
    <row r="46206" s="69" customFormat="1" x14ac:dyDescent="0.15"/>
    <row r="46207" s="69" customFormat="1" x14ac:dyDescent="0.15"/>
    <row r="46208" s="69" customFormat="1" x14ac:dyDescent="0.15"/>
    <row r="46209" s="69" customFormat="1" x14ac:dyDescent="0.15"/>
    <row r="46210" s="69" customFormat="1" x14ac:dyDescent="0.15"/>
    <row r="46211" s="69" customFormat="1" x14ac:dyDescent="0.15"/>
    <row r="46212" s="69" customFormat="1" x14ac:dyDescent="0.15"/>
    <row r="46213" s="69" customFormat="1" x14ac:dyDescent="0.15"/>
    <row r="46214" s="69" customFormat="1" x14ac:dyDescent="0.15"/>
    <row r="46215" s="69" customFormat="1" x14ac:dyDescent="0.15"/>
    <row r="46216" s="69" customFormat="1" x14ac:dyDescent="0.15"/>
    <row r="46217" s="69" customFormat="1" x14ac:dyDescent="0.15"/>
    <row r="46218" s="69" customFormat="1" x14ac:dyDescent="0.15"/>
    <row r="46219" s="69" customFormat="1" x14ac:dyDescent="0.15"/>
    <row r="46220" s="69" customFormat="1" x14ac:dyDescent="0.15"/>
    <row r="46221" s="69" customFormat="1" x14ac:dyDescent="0.15"/>
    <row r="46222" s="69" customFormat="1" x14ac:dyDescent="0.15"/>
    <row r="46223" s="69" customFormat="1" x14ac:dyDescent="0.15"/>
    <row r="46224" s="69" customFormat="1" x14ac:dyDescent="0.15"/>
    <row r="46225" s="69" customFormat="1" x14ac:dyDescent="0.15"/>
    <row r="46226" s="69" customFormat="1" x14ac:dyDescent="0.15"/>
    <row r="46227" s="69" customFormat="1" x14ac:dyDescent="0.15"/>
    <row r="46228" s="69" customFormat="1" x14ac:dyDescent="0.15"/>
    <row r="46229" s="69" customFormat="1" x14ac:dyDescent="0.15"/>
    <row r="46230" s="69" customFormat="1" x14ac:dyDescent="0.15"/>
    <row r="46231" s="69" customFormat="1" x14ac:dyDescent="0.15"/>
    <row r="46232" s="69" customFormat="1" x14ac:dyDescent="0.15"/>
    <row r="46233" s="69" customFormat="1" x14ac:dyDescent="0.15"/>
    <row r="46234" s="69" customFormat="1" x14ac:dyDescent="0.15"/>
    <row r="46235" s="69" customFormat="1" x14ac:dyDescent="0.15"/>
    <row r="46236" s="69" customFormat="1" x14ac:dyDescent="0.15"/>
    <row r="46237" s="69" customFormat="1" x14ac:dyDescent="0.15"/>
    <row r="46238" s="69" customFormat="1" x14ac:dyDescent="0.15"/>
    <row r="46239" s="69" customFormat="1" x14ac:dyDescent="0.15"/>
    <row r="46240" s="69" customFormat="1" x14ac:dyDescent="0.15"/>
    <row r="46241" s="69" customFormat="1" x14ac:dyDescent="0.15"/>
    <row r="46242" s="69" customFormat="1" x14ac:dyDescent="0.15"/>
    <row r="46243" s="69" customFormat="1" x14ac:dyDescent="0.15"/>
    <row r="46244" s="69" customFormat="1" x14ac:dyDescent="0.15"/>
    <row r="46245" s="69" customFormat="1" x14ac:dyDescent="0.15"/>
    <row r="46246" s="69" customFormat="1" x14ac:dyDescent="0.15"/>
    <row r="46247" s="69" customFormat="1" x14ac:dyDescent="0.15"/>
    <row r="46248" s="69" customFormat="1" x14ac:dyDescent="0.15"/>
    <row r="46249" s="69" customFormat="1" x14ac:dyDescent="0.15"/>
    <row r="46250" s="69" customFormat="1" x14ac:dyDescent="0.15"/>
    <row r="46251" s="69" customFormat="1" x14ac:dyDescent="0.15"/>
    <row r="46252" s="69" customFormat="1" x14ac:dyDescent="0.15"/>
    <row r="46253" s="69" customFormat="1" x14ac:dyDescent="0.15"/>
    <row r="46254" s="69" customFormat="1" x14ac:dyDescent="0.15"/>
    <row r="46255" s="69" customFormat="1" x14ac:dyDescent="0.15"/>
    <row r="46256" s="69" customFormat="1" x14ac:dyDescent="0.15"/>
    <row r="46257" s="69" customFormat="1" x14ac:dyDescent="0.15"/>
    <row r="46258" s="69" customFormat="1" x14ac:dyDescent="0.15"/>
    <row r="46259" s="69" customFormat="1" x14ac:dyDescent="0.15"/>
    <row r="46260" s="69" customFormat="1" x14ac:dyDescent="0.15"/>
    <row r="46261" s="69" customFormat="1" x14ac:dyDescent="0.15"/>
    <row r="46262" s="69" customFormat="1" x14ac:dyDescent="0.15"/>
    <row r="46263" s="69" customFormat="1" x14ac:dyDescent="0.15"/>
    <row r="46264" s="69" customFormat="1" x14ac:dyDescent="0.15"/>
    <row r="46265" s="69" customFormat="1" x14ac:dyDescent="0.15"/>
    <row r="46266" s="69" customFormat="1" x14ac:dyDescent="0.15"/>
    <row r="46267" s="69" customFormat="1" x14ac:dyDescent="0.15"/>
    <row r="46268" s="69" customFormat="1" x14ac:dyDescent="0.15"/>
    <row r="46269" s="69" customFormat="1" x14ac:dyDescent="0.15"/>
    <row r="46270" s="69" customFormat="1" x14ac:dyDescent="0.15"/>
    <row r="46271" s="69" customFormat="1" x14ac:dyDescent="0.15"/>
    <row r="46272" s="69" customFormat="1" x14ac:dyDescent="0.15"/>
    <row r="46273" s="69" customFormat="1" x14ac:dyDescent="0.15"/>
    <row r="46274" s="69" customFormat="1" x14ac:dyDescent="0.15"/>
    <row r="46275" s="69" customFormat="1" x14ac:dyDescent="0.15"/>
    <row r="46276" s="69" customFormat="1" x14ac:dyDescent="0.15"/>
    <row r="46277" s="69" customFormat="1" x14ac:dyDescent="0.15"/>
    <row r="46278" s="69" customFormat="1" x14ac:dyDescent="0.15"/>
    <row r="46279" s="69" customFormat="1" x14ac:dyDescent="0.15"/>
    <row r="46280" s="69" customFormat="1" x14ac:dyDescent="0.15"/>
    <row r="46281" s="69" customFormat="1" x14ac:dyDescent="0.15"/>
    <row r="46282" s="69" customFormat="1" x14ac:dyDescent="0.15"/>
    <row r="46283" s="69" customFormat="1" x14ac:dyDescent="0.15"/>
    <row r="46284" s="69" customFormat="1" x14ac:dyDescent="0.15"/>
    <row r="46285" s="69" customFormat="1" x14ac:dyDescent="0.15"/>
    <row r="46286" s="69" customFormat="1" x14ac:dyDescent="0.15"/>
    <row r="46287" s="69" customFormat="1" x14ac:dyDescent="0.15"/>
    <row r="46288" s="69" customFormat="1" x14ac:dyDescent="0.15"/>
    <row r="46289" s="69" customFormat="1" x14ac:dyDescent="0.15"/>
    <row r="46290" s="69" customFormat="1" x14ac:dyDescent="0.15"/>
    <row r="46291" s="69" customFormat="1" x14ac:dyDescent="0.15"/>
    <row r="46292" s="69" customFormat="1" x14ac:dyDescent="0.15"/>
    <row r="46293" s="69" customFormat="1" x14ac:dyDescent="0.15"/>
    <row r="46294" s="69" customFormat="1" x14ac:dyDescent="0.15"/>
    <row r="46295" s="69" customFormat="1" x14ac:dyDescent="0.15"/>
    <row r="46296" s="69" customFormat="1" x14ac:dyDescent="0.15"/>
    <row r="46297" s="69" customFormat="1" x14ac:dyDescent="0.15"/>
    <row r="46298" s="69" customFormat="1" x14ac:dyDescent="0.15"/>
    <row r="46299" s="69" customFormat="1" x14ac:dyDescent="0.15"/>
    <row r="46300" s="69" customFormat="1" x14ac:dyDescent="0.15"/>
    <row r="46301" s="69" customFormat="1" x14ac:dyDescent="0.15"/>
    <row r="46302" s="69" customFormat="1" x14ac:dyDescent="0.15"/>
    <row r="46303" s="69" customFormat="1" x14ac:dyDescent="0.15"/>
    <row r="46304" s="69" customFormat="1" x14ac:dyDescent="0.15"/>
    <row r="46305" s="69" customFormat="1" x14ac:dyDescent="0.15"/>
    <row r="46306" s="69" customFormat="1" x14ac:dyDescent="0.15"/>
    <row r="46307" s="69" customFormat="1" x14ac:dyDescent="0.15"/>
    <row r="46308" s="69" customFormat="1" x14ac:dyDescent="0.15"/>
    <row r="46309" s="69" customFormat="1" x14ac:dyDescent="0.15"/>
    <row r="46310" s="69" customFormat="1" x14ac:dyDescent="0.15"/>
    <row r="46311" s="69" customFormat="1" x14ac:dyDescent="0.15"/>
    <row r="46312" s="69" customFormat="1" x14ac:dyDescent="0.15"/>
    <row r="46313" s="69" customFormat="1" x14ac:dyDescent="0.15"/>
    <row r="46314" s="69" customFormat="1" x14ac:dyDescent="0.15"/>
    <row r="46315" s="69" customFormat="1" x14ac:dyDescent="0.15"/>
    <row r="46316" s="69" customFormat="1" x14ac:dyDescent="0.15"/>
    <row r="46317" s="69" customFormat="1" x14ac:dyDescent="0.15"/>
    <row r="46318" s="69" customFormat="1" x14ac:dyDescent="0.15"/>
    <row r="46319" s="69" customFormat="1" x14ac:dyDescent="0.15"/>
    <row r="46320" s="69" customFormat="1" x14ac:dyDescent="0.15"/>
    <row r="46321" s="69" customFormat="1" x14ac:dyDescent="0.15"/>
    <row r="46322" s="69" customFormat="1" x14ac:dyDescent="0.15"/>
    <row r="46323" s="69" customFormat="1" x14ac:dyDescent="0.15"/>
    <row r="46324" s="69" customFormat="1" x14ac:dyDescent="0.15"/>
    <row r="46325" s="69" customFormat="1" x14ac:dyDescent="0.15"/>
    <row r="46326" s="69" customFormat="1" x14ac:dyDescent="0.15"/>
    <row r="46327" s="69" customFormat="1" x14ac:dyDescent="0.15"/>
    <row r="46328" s="69" customFormat="1" x14ac:dyDescent="0.15"/>
    <row r="46329" s="69" customFormat="1" x14ac:dyDescent="0.15"/>
    <row r="46330" s="69" customFormat="1" x14ac:dyDescent="0.15"/>
    <row r="46331" s="69" customFormat="1" x14ac:dyDescent="0.15"/>
    <row r="46332" s="69" customFormat="1" x14ac:dyDescent="0.15"/>
    <row r="46333" s="69" customFormat="1" x14ac:dyDescent="0.15"/>
    <row r="46334" s="69" customFormat="1" x14ac:dyDescent="0.15"/>
    <row r="46335" s="69" customFormat="1" x14ac:dyDescent="0.15"/>
    <row r="46336" s="69" customFormat="1" x14ac:dyDescent="0.15"/>
    <row r="46337" s="69" customFormat="1" x14ac:dyDescent="0.15"/>
    <row r="46338" s="69" customFormat="1" x14ac:dyDescent="0.15"/>
    <row r="46339" s="69" customFormat="1" x14ac:dyDescent="0.15"/>
    <row r="46340" s="69" customFormat="1" x14ac:dyDescent="0.15"/>
    <row r="46341" s="69" customFormat="1" x14ac:dyDescent="0.15"/>
    <row r="46342" s="69" customFormat="1" x14ac:dyDescent="0.15"/>
    <row r="46343" s="69" customFormat="1" x14ac:dyDescent="0.15"/>
    <row r="46344" s="69" customFormat="1" x14ac:dyDescent="0.15"/>
    <row r="46345" s="69" customFormat="1" x14ac:dyDescent="0.15"/>
    <row r="46346" s="69" customFormat="1" x14ac:dyDescent="0.15"/>
    <row r="46347" s="69" customFormat="1" x14ac:dyDescent="0.15"/>
    <row r="46348" s="69" customFormat="1" x14ac:dyDescent="0.15"/>
    <row r="46349" s="69" customFormat="1" x14ac:dyDescent="0.15"/>
    <row r="46350" s="69" customFormat="1" x14ac:dyDescent="0.15"/>
    <row r="46351" s="69" customFormat="1" x14ac:dyDescent="0.15"/>
    <row r="46352" s="69" customFormat="1" x14ac:dyDescent="0.15"/>
    <row r="46353" s="69" customFormat="1" x14ac:dyDescent="0.15"/>
    <row r="46354" s="69" customFormat="1" x14ac:dyDescent="0.15"/>
    <row r="46355" s="69" customFormat="1" x14ac:dyDescent="0.15"/>
    <row r="46356" s="69" customFormat="1" x14ac:dyDescent="0.15"/>
    <row r="46357" s="69" customFormat="1" x14ac:dyDescent="0.15"/>
    <row r="46358" s="69" customFormat="1" x14ac:dyDescent="0.15"/>
    <row r="46359" s="69" customFormat="1" x14ac:dyDescent="0.15"/>
    <row r="46360" s="69" customFormat="1" x14ac:dyDescent="0.15"/>
    <row r="46361" s="69" customFormat="1" x14ac:dyDescent="0.15"/>
    <row r="46362" s="69" customFormat="1" x14ac:dyDescent="0.15"/>
    <row r="46363" s="69" customFormat="1" x14ac:dyDescent="0.15"/>
    <row r="46364" s="69" customFormat="1" x14ac:dyDescent="0.15"/>
    <row r="46365" s="69" customFormat="1" x14ac:dyDescent="0.15"/>
    <row r="46366" s="69" customFormat="1" x14ac:dyDescent="0.15"/>
    <row r="46367" s="69" customFormat="1" x14ac:dyDescent="0.15"/>
    <row r="46368" s="69" customFormat="1" x14ac:dyDescent="0.15"/>
    <row r="46369" s="69" customFormat="1" x14ac:dyDescent="0.15"/>
    <row r="46370" s="69" customFormat="1" x14ac:dyDescent="0.15"/>
    <row r="46371" s="69" customFormat="1" x14ac:dyDescent="0.15"/>
    <row r="46372" s="69" customFormat="1" x14ac:dyDescent="0.15"/>
    <row r="46373" s="69" customFormat="1" x14ac:dyDescent="0.15"/>
    <row r="46374" s="69" customFormat="1" x14ac:dyDescent="0.15"/>
    <row r="46375" s="69" customFormat="1" x14ac:dyDescent="0.15"/>
    <row r="46376" s="69" customFormat="1" x14ac:dyDescent="0.15"/>
    <row r="46377" s="69" customFormat="1" x14ac:dyDescent="0.15"/>
    <row r="46378" s="69" customFormat="1" x14ac:dyDescent="0.15"/>
    <row r="46379" s="69" customFormat="1" x14ac:dyDescent="0.15"/>
    <row r="46380" s="69" customFormat="1" x14ac:dyDescent="0.15"/>
    <row r="46381" s="69" customFormat="1" x14ac:dyDescent="0.15"/>
    <row r="46382" s="69" customFormat="1" x14ac:dyDescent="0.15"/>
    <row r="46383" s="69" customFormat="1" x14ac:dyDescent="0.15"/>
    <row r="46384" s="69" customFormat="1" x14ac:dyDescent="0.15"/>
    <row r="46385" s="69" customFormat="1" x14ac:dyDescent="0.15"/>
    <row r="46386" s="69" customFormat="1" x14ac:dyDescent="0.15"/>
    <row r="46387" s="69" customFormat="1" x14ac:dyDescent="0.15"/>
    <row r="46388" s="69" customFormat="1" x14ac:dyDescent="0.15"/>
    <row r="46389" s="69" customFormat="1" x14ac:dyDescent="0.15"/>
    <row r="46390" s="69" customFormat="1" x14ac:dyDescent="0.15"/>
    <row r="46391" s="69" customFormat="1" x14ac:dyDescent="0.15"/>
    <row r="46392" s="69" customFormat="1" x14ac:dyDescent="0.15"/>
    <row r="46393" s="69" customFormat="1" x14ac:dyDescent="0.15"/>
    <row r="46394" s="69" customFormat="1" x14ac:dyDescent="0.15"/>
    <row r="46395" s="69" customFormat="1" x14ac:dyDescent="0.15"/>
    <row r="46396" s="69" customFormat="1" x14ac:dyDescent="0.15"/>
    <row r="46397" s="69" customFormat="1" x14ac:dyDescent="0.15"/>
    <row r="46398" s="69" customFormat="1" x14ac:dyDescent="0.15"/>
    <row r="46399" s="69" customFormat="1" x14ac:dyDescent="0.15"/>
    <row r="46400" s="69" customFormat="1" x14ac:dyDescent="0.15"/>
    <row r="46401" s="69" customFormat="1" x14ac:dyDescent="0.15"/>
    <row r="46402" s="69" customFormat="1" x14ac:dyDescent="0.15"/>
    <row r="46403" s="69" customFormat="1" x14ac:dyDescent="0.15"/>
    <row r="46404" s="69" customFormat="1" x14ac:dyDescent="0.15"/>
    <row r="46405" s="69" customFormat="1" x14ac:dyDescent="0.15"/>
    <row r="46406" s="69" customFormat="1" x14ac:dyDescent="0.15"/>
    <row r="46407" s="69" customFormat="1" x14ac:dyDescent="0.15"/>
    <row r="46408" s="69" customFormat="1" x14ac:dyDescent="0.15"/>
    <row r="46409" s="69" customFormat="1" x14ac:dyDescent="0.15"/>
    <row r="46410" s="69" customFormat="1" x14ac:dyDescent="0.15"/>
    <row r="46411" s="69" customFormat="1" x14ac:dyDescent="0.15"/>
    <row r="46412" s="69" customFormat="1" x14ac:dyDescent="0.15"/>
    <row r="46413" s="69" customFormat="1" x14ac:dyDescent="0.15"/>
    <row r="46414" s="69" customFormat="1" x14ac:dyDescent="0.15"/>
    <row r="46415" s="69" customFormat="1" x14ac:dyDescent="0.15"/>
    <row r="46416" s="69" customFormat="1" x14ac:dyDescent="0.15"/>
    <row r="46417" s="69" customFormat="1" x14ac:dyDescent="0.15"/>
    <row r="46418" s="69" customFormat="1" x14ac:dyDescent="0.15"/>
    <row r="46419" s="69" customFormat="1" x14ac:dyDescent="0.15"/>
    <row r="46420" s="69" customFormat="1" x14ac:dyDescent="0.15"/>
    <row r="46421" s="69" customFormat="1" x14ac:dyDescent="0.15"/>
    <row r="46422" s="69" customFormat="1" x14ac:dyDescent="0.15"/>
    <row r="46423" s="69" customFormat="1" x14ac:dyDescent="0.15"/>
    <row r="46424" s="69" customFormat="1" x14ac:dyDescent="0.15"/>
    <row r="46425" s="69" customFormat="1" x14ac:dyDescent="0.15"/>
    <row r="46426" s="69" customFormat="1" x14ac:dyDescent="0.15"/>
    <row r="46427" s="69" customFormat="1" x14ac:dyDescent="0.15"/>
    <row r="46428" s="69" customFormat="1" x14ac:dyDescent="0.15"/>
    <row r="46429" s="69" customFormat="1" x14ac:dyDescent="0.15"/>
    <row r="46430" s="69" customFormat="1" x14ac:dyDescent="0.15"/>
    <row r="46431" s="69" customFormat="1" x14ac:dyDescent="0.15"/>
    <row r="46432" s="69" customFormat="1" x14ac:dyDescent="0.15"/>
    <row r="46433" s="69" customFormat="1" x14ac:dyDescent="0.15"/>
    <row r="46434" s="69" customFormat="1" x14ac:dyDescent="0.15"/>
    <row r="46435" s="69" customFormat="1" x14ac:dyDescent="0.15"/>
    <row r="46436" s="69" customFormat="1" x14ac:dyDescent="0.15"/>
    <row r="46437" s="69" customFormat="1" x14ac:dyDescent="0.15"/>
    <row r="46438" s="69" customFormat="1" x14ac:dyDescent="0.15"/>
    <row r="46439" s="69" customFormat="1" x14ac:dyDescent="0.15"/>
    <row r="46440" s="69" customFormat="1" x14ac:dyDescent="0.15"/>
    <row r="46441" s="69" customFormat="1" x14ac:dyDescent="0.15"/>
    <row r="46442" s="69" customFormat="1" x14ac:dyDescent="0.15"/>
    <row r="46443" s="69" customFormat="1" x14ac:dyDescent="0.15"/>
    <row r="46444" s="69" customFormat="1" x14ac:dyDescent="0.15"/>
    <row r="46445" s="69" customFormat="1" x14ac:dyDescent="0.15"/>
    <row r="46446" s="69" customFormat="1" x14ac:dyDescent="0.15"/>
    <row r="46447" s="69" customFormat="1" x14ac:dyDescent="0.15"/>
    <row r="46448" s="69" customFormat="1" x14ac:dyDescent="0.15"/>
    <row r="46449" s="69" customFormat="1" x14ac:dyDescent="0.15"/>
    <row r="46450" s="69" customFormat="1" x14ac:dyDescent="0.15"/>
    <row r="46451" s="69" customFormat="1" x14ac:dyDescent="0.15"/>
    <row r="46452" s="69" customFormat="1" x14ac:dyDescent="0.15"/>
    <row r="46453" s="69" customFormat="1" x14ac:dyDescent="0.15"/>
    <row r="46454" s="69" customFormat="1" x14ac:dyDescent="0.15"/>
    <row r="46455" s="69" customFormat="1" x14ac:dyDescent="0.15"/>
    <row r="46456" s="69" customFormat="1" x14ac:dyDescent="0.15"/>
    <row r="46457" s="69" customFormat="1" x14ac:dyDescent="0.15"/>
    <row r="46458" s="69" customFormat="1" x14ac:dyDescent="0.15"/>
    <row r="46459" s="69" customFormat="1" x14ac:dyDescent="0.15"/>
    <row r="46460" s="69" customFormat="1" x14ac:dyDescent="0.15"/>
    <row r="46461" s="69" customFormat="1" x14ac:dyDescent="0.15"/>
    <row r="46462" s="69" customFormat="1" x14ac:dyDescent="0.15"/>
    <row r="46463" s="69" customFormat="1" x14ac:dyDescent="0.15"/>
    <row r="46464" s="69" customFormat="1" x14ac:dyDescent="0.15"/>
    <row r="46465" s="69" customFormat="1" x14ac:dyDescent="0.15"/>
    <row r="46466" s="69" customFormat="1" x14ac:dyDescent="0.15"/>
    <row r="46467" s="69" customFormat="1" x14ac:dyDescent="0.15"/>
    <row r="46468" s="69" customFormat="1" x14ac:dyDescent="0.15"/>
    <row r="46469" s="69" customFormat="1" x14ac:dyDescent="0.15"/>
    <row r="46470" s="69" customFormat="1" x14ac:dyDescent="0.15"/>
    <row r="46471" s="69" customFormat="1" x14ac:dyDescent="0.15"/>
    <row r="46472" s="69" customFormat="1" x14ac:dyDescent="0.15"/>
    <row r="46473" s="69" customFormat="1" x14ac:dyDescent="0.15"/>
    <row r="46474" s="69" customFormat="1" x14ac:dyDescent="0.15"/>
    <row r="46475" s="69" customFormat="1" x14ac:dyDescent="0.15"/>
    <row r="46476" s="69" customFormat="1" x14ac:dyDescent="0.15"/>
    <row r="46477" s="69" customFormat="1" x14ac:dyDescent="0.15"/>
    <row r="46478" s="69" customFormat="1" x14ac:dyDescent="0.15"/>
    <row r="46479" s="69" customFormat="1" x14ac:dyDescent="0.15"/>
    <row r="46480" s="69" customFormat="1" x14ac:dyDescent="0.15"/>
    <row r="46481" s="69" customFormat="1" x14ac:dyDescent="0.15"/>
    <row r="46482" s="69" customFormat="1" x14ac:dyDescent="0.15"/>
    <row r="46483" s="69" customFormat="1" x14ac:dyDescent="0.15"/>
    <row r="46484" s="69" customFormat="1" x14ac:dyDescent="0.15"/>
    <row r="46485" s="69" customFormat="1" x14ac:dyDescent="0.15"/>
    <row r="46486" s="69" customFormat="1" x14ac:dyDescent="0.15"/>
    <row r="46487" s="69" customFormat="1" x14ac:dyDescent="0.15"/>
    <row r="46488" s="69" customFormat="1" x14ac:dyDescent="0.15"/>
    <row r="46489" s="69" customFormat="1" x14ac:dyDescent="0.15"/>
    <row r="46490" s="69" customFormat="1" x14ac:dyDescent="0.15"/>
    <row r="46491" s="69" customFormat="1" x14ac:dyDescent="0.15"/>
    <row r="46492" s="69" customFormat="1" x14ac:dyDescent="0.15"/>
    <row r="46493" s="69" customFormat="1" x14ac:dyDescent="0.15"/>
    <row r="46494" s="69" customFormat="1" x14ac:dyDescent="0.15"/>
    <row r="46495" s="69" customFormat="1" x14ac:dyDescent="0.15"/>
    <row r="46496" s="69" customFormat="1" x14ac:dyDescent="0.15"/>
    <row r="46497" s="69" customFormat="1" x14ac:dyDescent="0.15"/>
    <row r="46498" s="69" customFormat="1" x14ac:dyDescent="0.15"/>
    <row r="46499" s="69" customFormat="1" x14ac:dyDescent="0.15"/>
    <row r="46500" s="69" customFormat="1" x14ac:dyDescent="0.15"/>
    <row r="46501" s="69" customFormat="1" x14ac:dyDescent="0.15"/>
    <row r="46502" s="69" customFormat="1" x14ac:dyDescent="0.15"/>
    <row r="46503" s="69" customFormat="1" x14ac:dyDescent="0.15"/>
    <row r="46504" s="69" customFormat="1" x14ac:dyDescent="0.15"/>
    <row r="46505" s="69" customFormat="1" x14ac:dyDescent="0.15"/>
    <row r="46506" s="69" customFormat="1" x14ac:dyDescent="0.15"/>
    <row r="46507" s="69" customFormat="1" x14ac:dyDescent="0.15"/>
    <row r="46508" s="69" customFormat="1" x14ac:dyDescent="0.15"/>
    <row r="46509" s="69" customFormat="1" x14ac:dyDescent="0.15"/>
    <row r="46510" s="69" customFormat="1" x14ac:dyDescent="0.15"/>
    <row r="46511" s="69" customFormat="1" x14ac:dyDescent="0.15"/>
    <row r="46512" s="69" customFormat="1" x14ac:dyDescent="0.15"/>
    <row r="46513" s="69" customFormat="1" x14ac:dyDescent="0.15"/>
    <row r="46514" s="69" customFormat="1" x14ac:dyDescent="0.15"/>
    <row r="46515" s="69" customFormat="1" x14ac:dyDescent="0.15"/>
    <row r="46516" s="69" customFormat="1" x14ac:dyDescent="0.15"/>
    <row r="46517" s="69" customFormat="1" x14ac:dyDescent="0.15"/>
    <row r="46518" s="69" customFormat="1" x14ac:dyDescent="0.15"/>
    <row r="46519" s="69" customFormat="1" x14ac:dyDescent="0.15"/>
    <row r="46520" s="69" customFormat="1" x14ac:dyDescent="0.15"/>
    <row r="46521" s="69" customFormat="1" x14ac:dyDescent="0.15"/>
    <row r="46522" s="69" customFormat="1" x14ac:dyDescent="0.15"/>
    <row r="46523" s="69" customFormat="1" x14ac:dyDescent="0.15"/>
    <row r="46524" s="69" customFormat="1" x14ac:dyDescent="0.15"/>
    <row r="46525" s="69" customFormat="1" x14ac:dyDescent="0.15"/>
    <row r="46526" s="69" customFormat="1" x14ac:dyDescent="0.15"/>
    <row r="46527" s="69" customFormat="1" x14ac:dyDescent="0.15"/>
    <row r="46528" s="69" customFormat="1" x14ac:dyDescent="0.15"/>
    <row r="46529" s="69" customFormat="1" x14ac:dyDescent="0.15"/>
    <row r="46530" s="69" customFormat="1" x14ac:dyDescent="0.15"/>
    <row r="46531" s="69" customFormat="1" x14ac:dyDescent="0.15"/>
    <row r="46532" s="69" customFormat="1" x14ac:dyDescent="0.15"/>
    <row r="46533" s="69" customFormat="1" x14ac:dyDescent="0.15"/>
    <row r="46534" s="69" customFormat="1" x14ac:dyDescent="0.15"/>
    <row r="46535" s="69" customFormat="1" x14ac:dyDescent="0.15"/>
    <row r="46536" s="69" customFormat="1" x14ac:dyDescent="0.15"/>
    <row r="46537" s="69" customFormat="1" x14ac:dyDescent="0.15"/>
    <row r="46538" s="69" customFormat="1" x14ac:dyDescent="0.15"/>
    <row r="46539" s="69" customFormat="1" x14ac:dyDescent="0.15"/>
    <row r="46540" s="69" customFormat="1" x14ac:dyDescent="0.15"/>
    <row r="46541" s="69" customFormat="1" x14ac:dyDescent="0.15"/>
    <row r="46542" s="69" customFormat="1" x14ac:dyDescent="0.15"/>
    <row r="46543" s="69" customFormat="1" x14ac:dyDescent="0.15"/>
    <row r="46544" s="69" customFormat="1" x14ac:dyDescent="0.15"/>
    <row r="46545" s="69" customFormat="1" x14ac:dyDescent="0.15"/>
    <row r="46546" s="69" customFormat="1" x14ac:dyDescent="0.15"/>
    <row r="46547" s="69" customFormat="1" x14ac:dyDescent="0.15"/>
    <row r="46548" s="69" customFormat="1" x14ac:dyDescent="0.15"/>
    <row r="46549" s="69" customFormat="1" x14ac:dyDescent="0.15"/>
    <row r="46550" s="69" customFormat="1" x14ac:dyDescent="0.15"/>
    <row r="46551" s="69" customFormat="1" x14ac:dyDescent="0.15"/>
    <row r="46552" s="69" customFormat="1" x14ac:dyDescent="0.15"/>
    <row r="46553" s="69" customFormat="1" x14ac:dyDescent="0.15"/>
    <row r="46554" s="69" customFormat="1" x14ac:dyDescent="0.15"/>
    <row r="46555" s="69" customFormat="1" x14ac:dyDescent="0.15"/>
    <row r="46556" s="69" customFormat="1" x14ac:dyDescent="0.15"/>
    <row r="46557" s="69" customFormat="1" x14ac:dyDescent="0.15"/>
    <row r="46558" s="69" customFormat="1" x14ac:dyDescent="0.15"/>
    <row r="46559" s="69" customFormat="1" x14ac:dyDescent="0.15"/>
    <row r="46560" s="69" customFormat="1" x14ac:dyDescent="0.15"/>
    <row r="46561" s="69" customFormat="1" x14ac:dyDescent="0.15"/>
    <row r="46562" s="69" customFormat="1" x14ac:dyDescent="0.15"/>
    <row r="46563" s="69" customFormat="1" x14ac:dyDescent="0.15"/>
    <row r="46564" s="69" customFormat="1" x14ac:dyDescent="0.15"/>
    <row r="46565" s="69" customFormat="1" x14ac:dyDescent="0.15"/>
    <row r="46566" s="69" customFormat="1" x14ac:dyDescent="0.15"/>
    <row r="46567" s="69" customFormat="1" x14ac:dyDescent="0.15"/>
    <row r="46568" s="69" customFormat="1" x14ac:dyDescent="0.15"/>
    <row r="46569" s="69" customFormat="1" x14ac:dyDescent="0.15"/>
    <row r="46570" s="69" customFormat="1" x14ac:dyDescent="0.15"/>
    <row r="46571" s="69" customFormat="1" x14ac:dyDescent="0.15"/>
    <row r="46572" s="69" customFormat="1" x14ac:dyDescent="0.15"/>
    <row r="46573" s="69" customFormat="1" x14ac:dyDescent="0.15"/>
    <row r="46574" s="69" customFormat="1" x14ac:dyDescent="0.15"/>
    <row r="46575" s="69" customFormat="1" x14ac:dyDescent="0.15"/>
    <row r="46576" s="69" customFormat="1" x14ac:dyDescent="0.15"/>
    <row r="46577" s="69" customFormat="1" x14ac:dyDescent="0.15"/>
    <row r="46578" s="69" customFormat="1" x14ac:dyDescent="0.15"/>
    <row r="46579" s="69" customFormat="1" x14ac:dyDescent="0.15"/>
    <row r="46580" s="69" customFormat="1" x14ac:dyDescent="0.15"/>
    <row r="46581" s="69" customFormat="1" x14ac:dyDescent="0.15"/>
    <row r="46582" s="69" customFormat="1" x14ac:dyDescent="0.15"/>
    <row r="46583" s="69" customFormat="1" x14ac:dyDescent="0.15"/>
    <row r="46584" s="69" customFormat="1" x14ac:dyDescent="0.15"/>
    <row r="46585" s="69" customFormat="1" x14ac:dyDescent="0.15"/>
    <row r="46586" s="69" customFormat="1" x14ac:dyDescent="0.15"/>
    <row r="46587" s="69" customFormat="1" x14ac:dyDescent="0.15"/>
    <row r="46588" s="69" customFormat="1" x14ac:dyDescent="0.15"/>
    <row r="46589" s="69" customFormat="1" x14ac:dyDescent="0.15"/>
    <row r="46590" s="69" customFormat="1" x14ac:dyDescent="0.15"/>
    <row r="46591" s="69" customFormat="1" x14ac:dyDescent="0.15"/>
    <row r="46592" s="69" customFormat="1" x14ac:dyDescent="0.15"/>
    <row r="46593" s="69" customFormat="1" x14ac:dyDescent="0.15"/>
    <row r="46594" s="69" customFormat="1" x14ac:dyDescent="0.15"/>
    <row r="46595" s="69" customFormat="1" x14ac:dyDescent="0.15"/>
    <row r="46596" s="69" customFormat="1" x14ac:dyDescent="0.15"/>
    <row r="46597" s="69" customFormat="1" x14ac:dyDescent="0.15"/>
    <row r="46598" s="69" customFormat="1" x14ac:dyDescent="0.15"/>
    <row r="46599" s="69" customFormat="1" x14ac:dyDescent="0.15"/>
    <row r="46600" s="69" customFormat="1" x14ac:dyDescent="0.15"/>
    <row r="46601" s="69" customFormat="1" x14ac:dyDescent="0.15"/>
    <row r="46602" s="69" customFormat="1" x14ac:dyDescent="0.15"/>
    <row r="46603" s="69" customFormat="1" x14ac:dyDescent="0.15"/>
    <row r="46604" s="69" customFormat="1" x14ac:dyDescent="0.15"/>
    <row r="46605" s="69" customFormat="1" x14ac:dyDescent="0.15"/>
    <row r="46606" s="69" customFormat="1" x14ac:dyDescent="0.15"/>
    <row r="46607" s="69" customFormat="1" x14ac:dyDescent="0.15"/>
    <row r="46608" s="69" customFormat="1" x14ac:dyDescent="0.15"/>
    <row r="46609" s="69" customFormat="1" x14ac:dyDescent="0.15"/>
    <row r="46610" s="69" customFormat="1" x14ac:dyDescent="0.15"/>
    <row r="46611" s="69" customFormat="1" x14ac:dyDescent="0.15"/>
    <row r="46612" s="69" customFormat="1" x14ac:dyDescent="0.15"/>
    <row r="46613" s="69" customFormat="1" x14ac:dyDescent="0.15"/>
    <row r="46614" s="69" customFormat="1" x14ac:dyDescent="0.15"/>
    <row r="46615" s="69" customFormat="1" x14ac:dyDescent="0.15"/>
    <row r="46616" s="69" customFormat="1" x14ac:dyDescent="0.15"/>
    <row r="46617" s="69" customFormat="1" x14ac:dyDescent="0.15"/>
    <row r="46618" s="69" customFormat="1" x14ac:dyDescent="0.15"/>
    <row r="46619" s="69" customFormat="1" x14ac:dyDescent="0.15"/>
    <row r="46620" s="69" customFormat="1" x14ac:dyDescent="0.15"/>
    <row r="46621" s="69" customFormat="1" x14ac:dyDescent="0.15"/>
    <row r="46622" s="69" customFormat="1" x14ac:dyDescent="0.15"/>
    <row r="46623" s="69" customFormat="1" x14ac:dyDescent="0.15"/>
    <row r="46624" s="69" customFormat="1" x14ac:dyDescent="0.15"/>
    <row r="46625" s="69" customFormat="1" x14ac:dyDescent="0.15"/>
    <row r="46626" s="69" customFormat="1" x14ac:dyDescent="0.15"/>
    <row r="46627" s="69" customFormat="1" x14ac:dyDescent="0.15"/>
    <row r="46628" s="69" customFormat="1" x14ac:dyDescent="0.15"/>
    <row r="46629" s="69" customFormat="1" x14ac:dyDescent="0.15"/>
    <row r="46630" s="69" customFormat="1" x14ac:dyDescent="0.15"/>
    <row r="46631" s="69" customFormat="1" x14ac:dyDescent="0.15"/>
    <row r="46632" s="69" customFormat="1" x14ac:dyDescent="0.15"/>
    <row r="46633" s="69" customFormat="1" x14ac:dyDescent="0.15"/>
    <row r="46634" s="69" customFormat="1" x14ac:dyDescent="0.15"/>
    <row r="46635" s="69" customFormat="1" x14ac:dyDescent="0.15"/>
    <row r="46636" s="69" customFormat="1" x14ac:dyDescent="0.15"/>
    <row r="46637" s="69" customFormat="1" x14ac:dyDescent="0.15"/>
    <row r="46638" s="69" customFormat="1" x14ac:dyDescent="0.15"/>
    <row r="46639" s="69" customFormat="1" x14ac:dyDescent="0.15"/>
    <row r="46640" s="69" customFormat="1" x14ac:dyDescent="0.15"/>
    <row r="46641" s="69" customFormat="1" x14ac:dyDescent="0.15"/>
    <row r="46642" s="69" customFormat="1" x14ac:dyDescent="0.15"/>
    <row r="46643" s="69" customFormat="1" x14ac:dyDescent="0.15"/>
    <row r="46644" s="69" customFormat="1" x14ac:dyDescent="0.15"/>
    <row r="46645" s="69" customFormat="1" x14ac:dyDescent="0.15"/>
    <row r="46646" s="69" customFormat="1" x14ac:dyDescent="0.15"/>
    <row r="46647" s="69" customFormat="1" x14ac:dyDescent="0.15"/>
    <row r="46648" s="69" customFormat="1" x14ac:dyDescent="0.15"/>
    <row r="46649" s="69" customFormat="1" x14ac:dyDescent="0.15"/>
    <row r="46650" s="69" customFormat="1" x14ac:dyDescent="0.15"/>
    <row r="46651" s="69" customFormat="1" x14ac:dyDescent="0.15"/>
    <row r="46652" s="69" customFormat="1" x14ac:dyDescent="0.15"/>
    <row r="46653" s="69" customFormat="1" x14ac:dyDescent="0.15"/>
    <row r="46654" s="69" customFormat="1" x14ac:dyDescent="0.15"/>
    <row r="46655" s="69" customFormat="1" x14ac:dyDescent="0.15"/>
    <row r="46656" s="69" customFormat="1" x14ac:dyDescent="0.15"/>
    <row r="46657" s="69" customFormat="1" x14ac:dyDescent="0.15"/>
    <row r="46658" s="69" customFormat="1" x14ac:dyDescent="0.15"/>
    <row r="46659" s="69" customFormat="1" x14ac:dyDescent="0.15"/>
    <row r="46660" s="69" customFormat="1" x14ac:dyDescent="0.15"/>
    <row r="46661" s="69" customFormat="1" x14ac:dyDescent="0.15"/>
    <row r="46662" s="69" customFormat="1" x14ac:dyDescent="0.15"/>
    <row r="46663" s="69" customFormat="1" x14ac:dyDescent="0.15"/>
    <row r="46664" s="69" customFormat="1" x14ac:dyDescent="0.15"/>
    <row r="46665" s="69" customFormat="1" x14ac:dyDescent="0.15"/>
    <row r="46666" s="69" customFormat="1" x14ac:dyDescent="0.15"/>
    <row r="46667" s="69" customFormat="1" x14ac:dyDescent="0.15"/>
    <row r="46668" s="69" customFormat="1" x14ac:dyDescent="0.15"/>
    <row r="46669" s="69" customFormat="1" x14ac:dyDescent="0.15"/>
    <row r="46670" s="69" customFormat="1" x14ac:dyDescent="0.15"/>
    <row r="46671" s="69" customFormat="1" x14ac:dyDescent="0.15"/>
    <row r="46672" s="69" customFormat="1" x14ac:dyDescent="0.15"/>
    <row r="46673" s="69" customFormat="1" x14ac:dyDescent="0.15"/>
    <row r="46674" s="69" customFormat="1" x14ac:dyDescent="0.15"/>
    <row r="46675" s="69" customFormat="1" x14ac:dyDescent="0.15"/>
    <row r="46676" s="69" customFormat="1" x14ac:dyDescent="0.15"/>
    <row r="46677" s="69" customFormat="1" x14ac:dyDescent="0.15"/>
    <row r="46678" s="69" customFormat="1" x14ac:dyDescent="0.15"/>
    <row r="46679" s="69" customFormat="1" x14ac:dyDescent="0.15"/>
    <row r="46680" s="69" customFormat="1" x14ac:dyDescent="0.15"/>
    <row r="46681" s="69" customFormat="1" x14ac:dyDescent="0.15"/>
    <row r="46682" s="69" customFormat="1" x14ac:dyDescent="0.15"/>
    <row r="46683" s="69" customFormat="1" x14ac:dyDescent="0.15"/>
    <row r="46684" s="69" customFormat="1" x14ac:dyDescent="0.15"/>
    <row r="46685" s="69" customFormat="1" x14ac:dyDescent="0.15"/>
    <row r="46686" s="69" customFormat="1" x14ac:dyDescent="0.15"/>
    <row r="46687" s="69" customFormat="1" x14ac:dyDescent="0.15"/>
    <row r="46688" s="69" customFormat="1" x14ac:dyDescent="0.15"/>
    <row r="46689" s="69" customFormat="1" x14ac:dyDescent="0.15"/>
    <row r="46690" s="69" customFormat="1" x14ac:dyDescent="0.15"/>
    <row r="46691" s="69" customFormat="1" x14ac:dyDescent="0.15"/>
    <row r="46692" s="69" customFormat="1" x14ac:dyDescent="0.15"/>
    <row r="46693" s="69" customFormat="1" x14ac:dyDescent="0.15"/>
    <row r="46694" s="69" customFormat="1" x14ac:dyDescent="0.15"/>
    <row r="46695" s="69" customFormat="1" x14ac:dyDescent="0.15"/>
    <row r="46696" s="69" customFormat="1" x14ac:dyDescent="0.15"/>
    <row r="46697" s="69" customFormat="1" x14ac:dyDescent="0.15"/>
    <row r="46698" s="69" customFormat="1" x14ac:dyDescent="0.15"/>
    <row r="46699" s="69" customFormat="1" x14ac:dyDescent="0.15"/>
    <row r="46700" s="69" customFormat="1" x14ac:dyDescent="0.15"/>
    <row r="46701" s="69" customFormat="1" x14ac:dyDescent="0.15"/>
    <row r="46702" s="69" customFormat="1" x14ac:dyDescent="0.15"/>
    <row r="46703" s="69" customFormat="1" x14ac:dyDescent="0.15"/>
    <row r="46704" s="69" customFormat="1" x14ac:dyDescent="0.15"/>
    <row r="46705" s="69" customFormat="1" x14ac:dyDescent="0.15"/>
    <row r="46706" s="69" customFormat="1" x14ac:dyDescent="0.15"/>
    <row r="46707" s="69" customFormat="1" x14ac:dyDescent="0.15"/>
    <row r="46708" s="69" customFormat="1" x14ac:dyDescent="0.15"/>
    <row r="46709" s="69" customFormat="1" x14ac:dyDescent="0.15"/>
    <row r="46710" s="69" customFormat="1" x14ac:dyDescent="0.15"/>
    <row r="46711" s="69" customFormat="1" x14ac:dyDescent="0.15"/>
    <row r="46712" s="69" customFormat="1" x14ac:dyDescent="0.15"/>
    <row r="46713" s="69" customFormat="1" x14ac:dyDescent="0.15"/>
    <row r="46714" s="69" customFormat="1" x14ac:dyDescent="0.15"/>
    <row r="46715" s="69" customFormat="1" x14ac:dyDescent="0.15"/>
    <row r="46716" s="69" customFormat="1" x14ac:dyDescent="0.15"/>
    <row r="46717" s="69" customFormat="1" x14ac:dyDescent="0.15"/>
    <row r="46718" s="69" customFormat="1" x14ac:dyDescent="0.15"/>
    <row r="46719" s="69" customFormat="1" x14ac:dyDescent="0.15"/>
    <row r="46720" s="69" customFormat="1" x14ac:dyDescent="0.15"/>
    <row r="46721" s="69" customFormat="1" x14ac:dyDescent="0.15"/>
    <row r="46722" s="69" customFormat="1" x14ac:dyDescent="0.15"/>
    <row r="46723" s="69" customFormat="1" x14ac:dyDescent="0.15"/>
    <row r="46724" s="69" customFormat="1" x14ac:dyDescent="0.15"/>
    <row r="46725" s="69" customFormat="1" x14ac:dyDescent="0.15"/>
    <row r="46726" s="69" customFormat="1" x14ac:dyDescent="0.15"/>
    <row r="46727" s="69" customFormat="1" x14ac:dyDescent="0.15"/>
    <row r="46728" s="69" customFormat="1" x14ac:dyDescent="0.15"/>
    <row r="46729" s="69" customFormat="1" x14ac:dyDescent="0.15"/>
    <row r="46730" s="69" customFormat="1" x14ac:dyDescent="0.15"/>
    <row r="46731" s="69" customFormat="1" x14ac:dyDescent="0.15"/>
    <row r="46732" s="69" customFormat="1" x14ac:dyDescent="0.15"/>
    <row r="46733" s="69" customFormat="1" x14ac:dyDescent="0.15"/>
    <row r="46734" s="69" customFormat="1" x14ac:dyDescent="0.15"/>
    <row r="46735" s="69" customFormat="1" x14ac:dyDescent="0.15"/>
    <row r="46736" s="69" customFormat="1" x14ac:dyDescent="0.15"/>
    <row r="46737" s="69" customFormat="1" x14ac:dyDescent="0.15"/>
    <row r="46738" s="69" customFormat="1" x14ac:dyDescent="0.15"/>
    <row r="46739" s="69" customFormat="1" x14ac:dyDescent="0.15"/>
    <row r="46740" s="69" customFormat="1" x14ac:dyDescent="0.15"/>
    <row r="46741" s="69" customFormat="1" x14ac:dyDescent="0.15"/>
    <row r="46742" s="69" customFormat="1" x14ac:dyDescent="0.15"/>
    <row r="46743" s="69" customFormat="1" x14ac:dyDescent="0.15"/>
    <row r="46744" s="69" customFormat="1" x14ac:dyDescent="0.15"/>
    <row r="46745" s="69" customFormat="1" x14ac:dyDescent="0.15"/>
    <row r="46746" s="69" customFormat="1" x14ac:dyDescent="0.15"/>
    <row r="46747" s="69" customFormat="1" x14ac:dyDescent="0.15"/>
    <row r="46748" s="69" customFormat="1" x14ac:dyDescent="0.15"/>
    <row r="46749" s="69" customFormat="1" x14ac:dyDescent="0.15"/>
    <row r="46750" s="69" customFormat="1" x14ac:dyDescent="0.15"/>
    <row r="46751" s="69" customFormat="1" x14ac:dyDescent="0.15"/>
    <row r="46752" s="69" customFormat="1" x14ac:dyDescent="0.15"/>
    <row r="46753" s="69" customFormat="1" x14ac:dyDescent="0.15"/>
    <row r="46754" s="69" customFormat="1" x14ac:dyDescent="0.15"/>
    <row r="46755" s="69" customFormat="1" x14ac:dyDescent="0.15"/>
    <row r="46756" s="69" customFormat="1" x14ac:dyDescent="0.15"/>
    <row r="46757" s="69" customFormat="1" x14ac:dyDescent="0.15"/>
    <row r="46758" s="69" customFormat="1" x14ac:dyDescent="0.15"/>
    <row r="46759" s="69" customFormat="1" x14ac:dyDescent="0.15"/>
    <row r="46760" s="69" customFormat="1" x14ac:dyDescent="0.15"/>
    <row r="46761" s="69" customFormat="1" x14ac:dyDescent="0.15"/>
    <row r="46762" s="69" customFormat="1" x14ac:dyDescent="0.15"/>
    <row r="46763" s="69" customFormat="1" x14ac:dyDescent="0.15"/>
    <row r="46764" s="69" customFormat="1" x14ac:dyDescent="0.15"/>
    <row r="46765" s="69" customFormat="1" x14ac:dyDescent="0.15"/>
    <row r="46766" s="69" customFormat="1" x14ac:dyDescent="0.15"/>
    <row r="46767" s="69" customFormat="1" x14ac:dyDescent="0.15"/>
    <row r="46768" s="69" customFormat="1" x14ac:dyDescent="0.15"/>
    <row r="46769" s="69" customFormat="1" x14ac:dyDescent="0.15"/>
    <row r="46770" s="69" customFormat="1" x14ac:dyDescent="0.15"/>
    <row r="46771" s="69" customFormat="1" x14ac:dyDescent="0.15"/>
    <row r="46772" s="69" customFormat="1" x14ac:dyDescent="0.15"/>
    <row r="46773" s="69" customFormat="1" x14ac:dyDescent="0.15"/>
    <row r="46774" s="69" customFormat="1" x14ac:dyDescent="0.15"/>
    <row r="46775" s="69" customFormat="1" x14ac:dyDescent="0.15"/>
    <row r="46776" s="69" customFormat="1" x14ac:dyDescent="0.15"/>
    <row r="46777" s="69" customFormat="1" x14ac:dyDescent="0.15"/>
    <row r="46778" s="69" customFormat="1" x14ac:dyDescent="0.15"/>
    <row r="46779" s="69" customFormat="1" x14ac:dyDescent="0.15"/>
    <row r="46780" s="69" customFormat="1" x14ac:dyDescent="0.15"/>
    <row r="46781" s="69" customFormat="1" x14ac:dyDescent="0.15"/>
    <row r="46782" s="69" customFormat="1" x14ac:dyDescent="0.15"/>
    <row r="46783" s="69" customFormat="1" x14ac:dyDescent="0.15"/>
    <row r="46784" s="69" customFormat="1" x14ac:dyDescent="0.15"/>
    <row r="46785" s="69" customFormat="1" x14ac:dyDescent="0.15"/>
    <row r="46786" s="69" customFormat="1" x14ac:dyDescent="0.15"/>
    <row r="46787" s="69" customFormat="1" x14ac:dyDescent="0.15"/>
    <row r="46788" s="69" customFormat="1" x14ac:dyDescent="0.15"/>
    <row r="46789" s="69" customFormat="1" x14ac:dyDescent="0.15"/>
    <row r="46790" s="69" customFormat="1" x14ac:dyDescent="0.15"/>
    <row r="46791" s="69" customFormat="1" x14ac:dyDescent="0.15"/>
    <row r="46792" s="69" customFormat="1" x14ac:dyDescent="0.15"/>
    <row r="46793" s="69" customFormat="1" x14ac:dyDescent="0.15"/>
    <row r="46794" s="69" customFormat="1" x14ac:dyDescent="0.15"/>
    <row r="46795" s="69" customFormat="1" x14ac:dyDescent="0.15"/>
    <row r="46796" s="69" customFormat="1" x14ac:dyDescent="0.15"/>
    <row r="46797" s="69" customFormat="1" x14ac:dyDescent="0.15"/>
    <row r="46798" s="69" customFormat="1" x14ac:dyDescent="0.15"/>
    <row r="46799" s="69" customFormat="1" x14ac:dyDescent="0.15"/>
    <row r="46800" s="69" customFormat="1" x14ac:dyDescent="0.15"/>
    <row r="46801" s="69" customFormat="1" x14ac:dyDescent="0.15"/>
    <row r="46802" s="69" customFormat="1" x14ac:dyDescent="0.15"/>
    <row r="46803" s="69" customFormat="1" x14ac:dyDescent="0.15"/>
    <row r="46804" s="69" customFormat="1" x14ac:dyDescent="0.15"/>
    <row r="46805" s="69" customFormat="1" x14ac:dyDescent="0.15"/>
    <row r="46806" s="69" customFormat="1" x14ac:dyDescent="0.15"/>
    <row r="46807" s="69" customFormat="1" x14ac:dyDescent="0.15"/>
    <row r="46808" s="69" customFormat="1" x14ac:dyDescent="0.15"/>
    <row r="46809" s="69" customFormat="1" x14ac:dyDescent="0.15"/>
    <row r="46810" s="69" customFormat="1" x14ac:dyDescent="0.15"/>
    <row r="46811" s="69" customFormat="1" x14ac:dyDescent="0.15"/>
    <row r="46812" s="69" customFormat="1" x14ac:dyDescent="0.15"/>
    <row r="46813" s="69" customFormat="1" x14ac:dyDescent="0.15"/>
    <row r="46814" s="69" customFormat="1" x14ac:dyDescent="0.15"/>
    <row r="46815" s="69" customFormat="1" x14ac:dyDescent="0.15"/>
    <row r="46816" s="69" customFormat="1" x14ac:dyDescent="0.15"/>
    <row r="46817" s="69" customFormat="1" x14ac:dyDescent="0.15"/>
    <row r="46818" s="69" customFormat="1" x14ac:dyDescent="0.15"/>
    <row r="46819" s="69" customFormat="1" x14ac:dyDescent="0.15"/>
    <row r="46820" s="69" customFormat="1" x14ac:dyDescent="0.15"/>
    <row r="46821" s="69" customFormat="1" x14ac:dyDescent="0.15"/>
    <row r="46822" s="69" customFormat="1" x14ac:dyDescent="0.15"/>
    <row r="46823" s="69" customFormat="1" x14ac:dyDescent="0.15"/>
    <row r="46824" s="69" customFormat="1" x14ac:dyDescent="0.15"/>
    <row r="46825" s="69" customFormat="1" x14ac:dyDescent="0.15"/>
    <row r="46826" s="69" customFormat="1" x14ac:dyDescent="0.15"/>
    <row r="46827" s="69" customFormat="1" x14ac:dyDescent="0.15"/>
    <row r="46828" s="69" customFormat="1" x14ac:dyDescent="0.15"/>
    <row r="46829" s="69" customFormat="1" x14ac:dyDescent="0.15"/>
    <row r="46830" s="69" customFormat="1" x14ac:dyDescent="0.15"/>
    <row r="46831" s="69" customFormat="1" x14ac:dyDescent="0.15"/>
    <row r="46832" s="69" customFormat="1" x14ac:dyDescent="0.15"/>
    <row r="46833" s="69" customFormat="1" x14ac:dyDescent="0.15"/>
    <row r="46834" s="69" customFormat="1" x14ac:dyDescent="0.15"/>
    <row r="46835" s="69" customFormat="1" x14ac:dyDescent="0.15"/>
    <row r="46836" s="69" customFormat="1" x14ac:dyDescent="0.15"/>
    <row r="46837" s="69" customFormat="1" x14ac:dyDescent="0.15"/>
    <row r="46838" s="69" customFormat="1" x14ac:dyDescent="0.15"/>
    <row r="46839" s="69" customFormat="1" x14ac:dyDescent="0.15"/>
    <row r="46840" s="69" customFormat="1" x14ac:dyDescent="0.15"/>
    <row r="46841" s="69" customFormat="1" x14ac:dyDescent="0.15"/>
    <row r="46842" s="69" customFormat="1" x14ac:dyDescent="0.15"/>
    <row r="46843" s="69" customFormat="1" x14ac:dyDescent="0.15"/>
    <row r="46844" s="69" customFormat="1" x14ac:dyDescent="0.15"/>
    <row r="46845" s="69" customFormat="1" x14ac:dyDescent="0.15"/>
    <row r="46846" s="69" customFormat="1" x14ac:dyDescent="0.15"/>
    <row r="46847" s="69" customFormat="1" x14ac:dyDescent="0.15"/>
    <row r="46848" s="69" customFormat="1" x14ac:dyDescent="0.15"/>
    <row r="46849" s="69" customFormat="1" x14ac:dyDescent="0.15"/>
    <row r="46850" s="69" customFormat="1" x14ac:dyDescent="0.15"/>
    <row r="46851" s="69" customFormat="1" x14ac:dyDescent="0.15"/>
    <row r="46852" s="69" customFormat="1" x14ac:dyDescent="0.15"/>
    <row r="46853" s="69" customFormat="1" x14ac:dyDescent="0.15"/>
    <row r="46854" s="69" customFormat="1" x14ac:dyDescent="0.15"/>
    <row r="46855" s="69" customFormat="1" x14ac:dyDescent="0.15"/>
    <row r="46856" s="69" customFormat="1" x14ac:dyDescent="0.15"/>
    <row r="46857" s="69" customFormat="1" x14ac:dyDescent="0.15"/>
    <row r="46858" s="69" customFormat="1" x14ac:dyDescent="0.15"/>
    <row r="46859" s="69" customFormat="1" x14ac:dyDescent="0.15"/>
    <row r="46860" s="69" customFormat="1" x14ac:dyDescent="0.15"/>
    <row r="46861" s="69" customFormat="1" x14ac:dyDescent="0.15"/>
    <row r="46862" s="69" customFormat="1" x14ac:dyDescent="0.15"/>
    <row r="46863" s="69" customFormat="1" x14ac:dyDescent="0.15"/>
    <row r="46864" s="69" customFormat="1" x14ac:dyDescent="0.15"/>
    <row r="46865" s="69" customFormat="1" x14ac:dyDescent="0.15"/>
    <row r="46866" s="69" customFormat="1" x14ac:dyDescent="0.15"/>
    <row r="46867" s="69" customFormat="1" x14ac:dyDescent="0.15"/>
    <row r="46868" s="69" customFormat="1" x14ac:dyDescent="0.15"/>
    <row r="46869" s="69" customFormat="1" x14ac:dyDescent="0.15"/>
    <row r="46870" s="69" customFormat="1" x14ac:dyDescent="0.15"/>
    <row r="46871" s="69" customFormat="1" x14ac:dyDescent="0.15"/>
    <row r="46872" s="69" customFormat="1" x14ac:dyDescent="0.15"/>
    <row r="46873" s="69" customFormat="1" x14ac:dyDescent="0.15"/>
    <row r="46874" s="69" customFormat="1" x14ac:dyDescent="0.15"/>
    <row r="46875" s="69" customFormat="1" x14ac:dyDescent="0.15"/>
    <row r="46876" s="69" customFormat="1" x14ac:dyDescent="0.15"/>
    <row r="46877" s="69" customFormat="1" x14ac:dyDescent="0.15"/>
    <row r="46878" s="69" customFormat="1" x14ac:dyDescent="0.15"/>
    <row r="46879" s="69" customFormat="1" x14ac:dyDescent="0.15"/>
    <row r="46880" s="69" customFormat="1" x14ac:dyDescent="0.15"/>
    <row r="46881" s="69" customFormat="1" x14ac:dyDescent="0.15"/>
    <row r="46882" s="69" customFormat="1" x14ac:dyDescent="0.15"/>
    <row r="46883" s="69" customFormat="1" x14ac:dyDescent="0.15"/>
    <row r="46884" s="69" customFormat="1" x14ac:dyDescent="0.15"/>
    <row r="46885" s="69" customFormat="1" x14ac:dyDescent="0.15"/>
    <row r="46886" s="69" customFormat="1" x14ac:dyDescent="0.15"/>
    <row r="46887" s="69" customFormat="1" x14ac:dyDescent="0.15"/>
    <row r="46888" s="69" customFormat="1" x14ac:dyDescent="0.15"/>
    <row r="46889" s="69" customFormat="1" x14ac:dyDescent="0.15"/>
    <row r="46890" s="69" customFormat="1" x14ac:dyDescent="0.15"/>
    <row r="46891" s="69" customFormat="1" x14ac:dyDescent="0.15"/>
    <row r="46892" s="69" customFormat="1" x14ac:dyDescent="0.15"/>
    <row r="46893" s="69" customFormat="1" x14ac:dyDescent="0.15"/>
    <row r="46894" s="69" customFormat="1" x14ac:dyDescent="0.15"/>
    <row r="46895" s="69" customFormat="1" x14ac:dyDescent="0.15"/>
    <row r="46896" s="69" customFormat="1" x14ac:dyDescent="0.15"/>
    <row r="46897" s="69" customFormat="1" x14ac:dyDescent="0.15"/>
    <row r="46898" s="69" customFormat="1" x14ac:dyDescent="0.15"/>
    <row r="46899" s="69" customFormat="1" x14ac:dyDescent="0.15"/>
    <row r="46900" s="69" customFormat="1" x14ac:dyDescent="0.15"/>
    <row r="46901" s="69" customFormat="1" x14ac:dyDescent="0.15"/>
    <row r="46902" s="69" customFormat="1" x14ac:dyDescent="0.15"/>
    <row r="46903" s="69" customFormat="1" x14ac:dyDescent="0.15"/>
    <row r="46904" s="69" customFormat="1" x14ac:dyDescent="0.15"/>
    <row r="46905" s="69" customFormat="1" x14ac:dyDescent="0.15"/>
    <row r="46906" s="69" customFormat="1" x14ac:dyDescent="0.15"/>
    <row r="46907" s="69" customFormat="1" x14ac:dyDescent="0.15"/>
    <row r="46908" s="69" customFormat="1" x14ac:dyDescent="0.15"/>
    <row r="46909" s="69" customFormat="1" x14ac:dyDescent="0.15"/>
    <row r="46910" s="69" customFormat="1" x14ac:dyDescent="0.15"/>
    <row r="46911" s="69" customFormat="1" x14ac:dyDescent="0.15"/>
    <row r="46912" s="69" customFormat="1" x14ac:dyDescent="0.15"/>
    <row r="46913" s="69" customFormat="1" x14ac:dyDescent="0.15"/>
    <row r="46914" s="69" customFormat="1" x14ac:dyDescent="0.15"/>
    <row r="46915" s="69" customFormat="1" x14ac:dyDescent="0.15"/>
    <row r="46916" s="69" customFormat="1" x14ac:dyDescent="0.15"/>
    <row r="46917" s="69" customFormat="1" x14ac:dyDescent="0.15"/>
    <row r="46918" s="69" customFormat="1" x14ac:dyDescent="0.15"/>
    <row r="46919" s="69" customFormat="1" x14ac:dyDescent="0.15"/>
    <row r="46920" s="69" customFormat="1" x14ac:dyDescent="0.15"/>
    <row r="46921" s="69" customFormat="1" x14ac:dyDescent="0.15"/>
    <row r="46922" s="69" customFormat="1" x14ac:dyDescent="0.15"/>
    <row r="46923" s="69" customFormat="1" x14ac:dyDescent="0.15"/>
    <row r="46924" s="69" customFormat="1" x14ac:dyDescent="0.15"/>
    <row r="46925" s="69" customFormat="1" x14ac:dyDescent="0.15"/>
    <row r="46926" s="69" customFormat="1" x14ac:dyDescent="0.15"/>
    <row r="46927" s="69" customFormat="1" x14ac:dyDescent="0.15"/>
    <row r="46928" s="69" customFormat="1" x14ac:dyDescent="0.15"/>
    <row r="46929" s="69" customFormat="1" x14ac:dyDescent="0.15"/>
    <row r="46930" s="69" customFormat="1" x14ac:dyDescent="0.15"/>
    <row r="46931" s="69" customFormat="1" x14ac:dyDescent="0.15"/>
    <row r="46932" s="69" customFormat="1" x14ac:dyDescent="0.15"/>
    <row r="46933" s="69" customFormat="1" x14ac:dyDescent="0.15"/>
    <row r="46934" s="69" customFormat="1" x14ac:dyDescent="0.15"/>
    <row r="46935" s="69" customFormat="1" x14ac:dyDescent="0.15"/>
    <row r="46936" s="69" customFormat="1" x14ac:dyDescent="0.15"/>
    <row r="46937" s="69" customFormat="1" x14ac:dyDescent="0.15"/>
    <row r="46938" s="69" customFormat="1" x14ac:dyDescent="0.15"/>
    <row r="46939" s="69" customFormat="1" x14ac:dyDescent="0.15"/>
    <row r="46940" s="69" customFormat="1" x14ac:dyDescent="0.15"/>
    <row r="46941" s="69" customFormat="1" x14ac:dyDescent="0.15"/>
    <row r="46942" s="69" customFormat="1" x14ac:dyDescent="0.15"/>
    <row r="46943" s="69" customFormat="1" x14ac:dyDescent="0.15"/>
    <row r="46944" s="69" customFormat="1" x14ac:dyDescent="0.15"/>
    <row r="46945" s="69" customFormat="1" x14ac:dyDescent="0.15"/>
    <row r="46946" s="69" customFormat="1" x14ac:dyDescent="0.15"/>
    <row r="46947" s="69" customFormat="1" x14ac:dyDescent="0.15"/>
    <row r="46948" s="69" customFormat="1" x14ac:dyDescent="0.15"/>
    <row r="46949" s="69" customFormat="1" x14ac:dyDescent="0.15"/>
    <row r="46950" s="69" customFormat="1" x14ac:dyDescent="0.15"/>
    <row r="46951" s="69" customFormat="1" x14ac:dyDescent="0.15"/>
    <row r="46952" s="69" customFormat="1" x14ac:dyDescent="0.15"/>
    <row r="46953" s="69" customFormat="1" x14ac:dyDescent="0.15"/>
    <row r="46954" s="69" customFormat="1" x14ac:dyDescent="0.15"/>
    <row r="46955" s="69" customFormat="1" x14ac:dyDescent="0.15"/>
    <row r="46956" s="69" customFormat="1" x14ac:dyDescent="0.15"/>
    <row r="46957" s="69" customFormat="1" x14ac:dyDescent="0.15"/>
    <row r="46958" s="69" customFormat="1" x14ac:dyDescent="0.15"/>
    <row r="46959" s="69" customFormat="1" x14ac:dyDescent="0.15"/>
    <row r="46960" s="69" customFormat="1" x14ac:dyDescent="0.15"/>
    <row r="46961" s="69" customFormat="1" x14ac:dyDescent="0.15"/>
    <row r="46962" s="69" customFormat="1" x14ac:dyDescent="0.15"/>
    <row r="46963" s="69" customFormat="1" x14ac:dyDescent="0.15"/>
    <row r="46964" s="69" customFormat="1" x14ac:dyDescent="0.15"/>
    <row r="46965" s="69" customFormat="1" x14ac:dyDescent="0.15"/>
    <row r="46966" s="69" customFormat="1" x14ac:dyDescent="0.15"/>
    <row r="46967" s="69" customFormat="1" x14ac:dyDescent="0.15"/>
    <row r="46968" s="69" customFormat="1" x14ac:dyDescent="0.15"/>
    <row r="46969" s="69" customFormat="1" x14ac:dyDescent="0.15"/>
    <row r="46970" s="69" customFormat="1" x14ac:dyDescent="0.15"/>
    <row r="46971" s="69" customFormat="1" x14ac:dyDescent="0.15"/>
    <row r="46972" s="69" customFormat="1" x14ac:dyDescent="0.15"/>
    <row r="46973" s="69" customFormat="1" x14ac:dyDescent="0.15"/>
    <row r="46974" s="69" customFormat="1" x14ac:dyDescent="0.15"/>
    <row r="46975" s="69" customFormat="1" x14ac:dyDescent="0.15"/>
    <row r="46976" s="69" customFormat="1" x14ac:dyDescent="0.15"/>
    <row r="46977" s="69" customFormat="1" x14ac:dyDescent="0.15"/>
    <row r="46978" s="69" customFormat="1" x14ac:dyDescent="0.15"/>
    <row r="46979" s="69" customFormat="1" x14ac:dyDescent="0.15"/>
    <row r="46980" s="69" customFormat="1" x14ac:dyDescent="0.15"/>
    <row r="46981" s="69" customFormat="1" x14ac:dyDescent="0.15"/>
    <row r="46982" s="69" customFormat="1" x14ac:dyDescent="0.15"/>
    <row r="46983" s="69" customFormat="1" x14ac:dyDescent="0.15"/>
    <row r="46984" s="69" customFormat="1" x14ac:dyDescent="0.15"/>
    <row r="46985" s="69" customFormat="1" x14ac:dyDescent="0.15"/>
    <row r="46986" s="69" customFormat="1" x14ac:dyDescent="0.15"/>
    <row r="46987" s="69" customFormat="1" x14ac:dyDescent="0.15"/>
    <row r="46988" s="69" customFormat="1" x14ac:dyDescent="0.15"/>
    <row r="46989" s="69" customFormat="1" x14ac:dyDescent="0.15"/>
    <row r="46990" s="69" customFormat="1" x14ac:dyDescent="0.15"/>
    <row r="46991" s="69" customFormat="1" x14ac:dyDescent="0.15"/>
    <row r="46992" s="69" customFormat="1" x14ac:dyDescent="0.15"/>
    <row r="46993" s="69" customFormat="1" x14ac:dyDescent="0.15"/>
    <row r="46994" s="69" customFormat="1" x14ac:dyDescent="0.15"/>
    <row r="46995" s="69" customFormat="1" x14ac:dyDescent="0.15"/>
    <row r="46996" s="69" customFormat="1" x14ac:dyDescent="0.15"/>
    <row r="46997" s="69" customFormat="1" x14ac:dyDescent="0.15"/>
    <row r="46998" s="69" customFormat="1" x14ac:dyDescent="0.15"/>
    <row r="46999" s="69" customFormat="1" x14ac:dyDescent="0.15"/>
    <row r="47000" s="69" customFormat="1" x14ac:dyDescent="0.15"/>
    <row r="47001" s="69" customFormat="1" x14ac:dyDescent="0.15"/>
    <row r="47002" s="69" customFormat="1" x14ac:dyDescent="0.15"/>
    <row r="47003" s="69" customFormat="1" x14ac:dyDescent="0.15"/>
    <row r="47004" s="69" customFormat="1" x14ac:dyDescent="0.15"/>
    <row r="47005" s="69" customFormat="1" x14ac:dyDescent="0.15"/>
    <row r="47006" s="69" customFormat="1" x14ac:dyDescent="0.15"/>
    <row r="47007" s="69" customFormat="1" x14ac:dyDescent="0.15"/>
    <row r="47008" s="69" customFormat="1" x14ac:dyDescent="0.15"/>
    <row r="47009" s="69" customFormat="1" x14ac:dyDescent="0.15"/>
    <row r="47010" s="69" customFormat="1" x14ac:dyDescent="0.15"/>
    <row r="47011" s="69" customFormat="1" x14ac:dyDescent="0.15"/>
    <row r="47012" s="69" customFormat="1" x14ac:dyDescent="0.15"/>
    <row r="47013" s="69" customFormat="1" x14ac:dyDescent="0.15"/>
    <row r="47014" s="69" customFormat="1" x14ac:dyDescent="0.15"/>
    <row r="47015" s="69" customFormat="1" x14ac:dyDescent="0.15"/>
    <row r="47016" s="69" customFormat="1" x14ac:dyDescent="0.15"/>
    <row r="47017" s="69" customFormat="1" x14ac:dyDescent="0.15"/>
    <row r="47018" s="69" customFormat="1" x14ac:dyDescent="0.15"/>
    <row r="47019" s="69" customFormat="1" x14ac:dyDescent="0.15"/>
    <row r="47020" s="69" customFormat="1" x14ac:dyDescent="0.15"/>
    <row r="47021" s="69" customFormat="1" x14ac:dyDescent="0.15"/>
    <row r="47022" s="69" customFormat="1" x14ac:dyDescent="0.15"/>
    <row r="47023" s="69" customFormat="1" x14ac:dyDescent="0.15"/>
    <row r="47024" s="69" customFormat="1" x14ac:dyDescent="0.15"/>
    <row r="47025" s="69" customFormat="1" x14ac:dyDescent="0.15"/>
    <row r="47026" s="69" customFormat="1" x14ac:dyDescent="0.15"/>
    <row r="47027" s="69" customFormat="1" x14ac:dyDescent="0.15"/>
    <row r="47028" s="69" customFormat="1" x14ac:dyDescent="0.15"/>
    <row r="47029" s="69" customFormat="1" x14ac:dyDescent="0.15"/>
    <row r="47030" s="69" customFormat="1" x14ac:dyDescent="0.15"/>
    <row r="47031" s="69" customFormat="1" x14ac:dyDescent="0.15"/>
    <row r="47032" s="69" customFormat="1" x14ac:dyDescent="0.15"/>
    <row r="47033" s="69" customFormat="1" x14ac:dyDescent="0.15"/>
    <row r="47034" s="69" customFormat="1" x14ac:dyDescent="0.15"/>
    <row r="47035" s="69" customFormat="1" x14ac:dyDescent="0.15"/>
    <row r="47036" s="69" customFormat="1" x14ac:dyDescent="0.15"/>
    <row r="47037" s="69" customFormat="1" x14ac:dyDescent="0.15"/>
    <row r="47038" s="69" customFormat="1" x14ac:dyDescent="0.15"/>
    <row r="47039" s="69" customFormat="1" x14ac:dyDescent="0.15"/>
    <row r="47040" s="69" customFormat="1" x14ac:dyDescent="0.15"/>
    <row r="47041" s="69" customFormat="1" x14ac:dyDescent="0.15"/>
    <row r="47042" s="69" customFormat="1" x14ac:dyDescent="0.15"/>
    <row r="47043" s="69" customFormat="1" x14ac:dyDescent="0.15"/>
    <row r="47044" s="69" customFormat="1" x14ac:dyDescent="0.15"/>
    <row r="47045" s="69" customFormat="1" x14ac:dyDescent="0.15"/>
    <row r="47046" s="69" customFormat="1" x14ac:dyDescent="0.15"/>
    <row r="47047" s="69" customFormat="1" x14ac:dyDescent="0.15"/>
    <row r="47048" s="69" customFormat="1" x14ac:dyDescent="0.15"/>
    <row r="47049" s="69" customFormat="1" x14ac:dyDescent="0.15"/>
    <row r="47050" s="69" customFormat="1" x14ac:dyDescent="0.15"/>
    <row r="47051" s="69" customFormat="1" x14ac:dyDescent="0.15"/>
    <row r="47052" s="69" customFormat="1" x14ac:dyDescent="0.15"/>
    <row r="47053" s="69" customFormat="1" x14ac:dyDescent="0.15"/>
    <row r="47054" s="69" customFormat="1" x14ac:dyDescent="0.15"/>
    <row r="47055" s="69" customFormat="1" x14ac:dyDescent="0.15"/>
    <row r="47056" s="69" customFormat="1" x14ac:dyDescent="0.15"/>
    <row r="47057" s="69" customFormat="1" x14ac:dyDescent="0.15"/>
    <row r="47058" s="69" customFormat="1" x14ac:dyDescent="0.15"/>
    <row r="47059" s="69" customFormat="1" x14ac:dyDescent="0.15"/>
    <row r="47060" s="69" customFormat="1" x14ac:dyDescent="0.15"/>
    <row r="47061" s="69" customFormat="1" x14ac:dyDescent="0.15"/>
    <row r="47062" s="69" customFormat="1" x14ac:dyDescent="0.15"/>
    <row r="47063" s="69" customFormat="1" x14ac:dyDescent="0.15"/>
    <row r="47064" s="69" customFormat="1" x14ac:dyDescent="0.15"/>
    <row r="47065" s="69" customFormat="1" x14ac:dyDescent="0.15"/>
    <row r="47066" s="69" customFormat="1" x14ac:dyDescent="0.15"/>
    <row r="47067" s="69" customFormat="1" x14ac:dyDescent="0.15"/>
    <row r="47068" s="69" customFormat="1" x14ac:dyDescent="0.15"/>
    <row r="47069" s="69" customFormat="1" x14ac:dyDescent="0.15"/>
    <row r="47070" s="69" customFormat="1" x14ac:dyDescent="0.15"/>
    <row r="47071" s="69" customFormat="1" x14ac:dyDescent="0.15"/>
    <row r="47072" s="69" customFormat="1" x14ac:dyDescent="0.15"/>
    <row r="47073" s="69" customFormat="1" x14ac:dyDescent="0.15"/>
    <row r="47074" s="69" customFormat="1" x14ac:dyDescent="0.15"/>
    <row r="47075" s="69" customFormat="1" x14ac:dyDescent="0.15"/>
    <row r="47076" s="69" customFormat="1" x14ac:dyDescent="0.15"/>
    <row r="47077" s="69" customFormat="1" x14ac:dyDescent="0.15"/>
    <row r="47078" s="69" customFormat="1" x14ac:dyDescent="0.15"/>
    <row r="47079" s="69" customFormat="1" x14ac:dyDescent="0.15"/>
    <row r="47080" s="69" customFormat="1" x14ac:dyDescent="0.15"/>
    <row r="47081" s="69" customFormat="1" x14ac:dyDescent="0.15"/>
    <row r="47082" s="69" customFormat="1" x14ac:dyDescent="0.15"/>
    <row r="47083" s="69" customFormat="1" x14ac:dyDescent="0.15"/>
    <row r="47084" s="69" customFormat="1" x14ac:dyDescent="0.15"/>
    <row r="47085" s="69" customFormat="1" x14ac:dyDescent="0.15"/>
    <row r="47086" s="69" customFormat="1" x14ac:dyDescent="0.15"/>
    <row r="47087" s="69" customFormat="1" x14ac:dyDescent="0.15"/>
    <row r="47088" s="69" customFormat="1" x14ac:dyDescent="0.15"/>
    <row r="47089" s="69" customFormat="1" x14ac:dyDescent="0.15"/>
    <row r="47090" s="69" customFormat="1" x14ac:dyDescent="0.15"/>
    <row r="47091" s="69" customFormat="1" x14ac:dyDescent="0.15"/>
    <row r="47092" s="69" customFormat="1" x14ac:dyDescent="0.15"/>
    <row r="47093" s="69" customFormat="1" x14ac:dyDescent="0.15"/>
    <row r="47094" s="69" customFormat="1" x14ac:dyDescent="0.15"/>
    <row r="47095" s="69" customFormat="1" x14ac:dyDescent="0.15"/>
    <row r="47096" s="69" customFormat="1" x14ac:dyDescent="0.15"/>
    <row r="47097" s="69" customFormat="1" x14ac:dyDescent="0.15"/>
    <row r="47098" s="69" customFormat="1" x14ac:dyDescent="0.15"/>
    <row r="47099" s="69" customFormat="1" x14ac:dyDescent="0.15"/>
    <row r="47100" s="69" customFormat="1" x14ac:dyDescent="0.15"/>
    <row r="47101" s="69" customFormat="1" x14ac:dyDescent="0.15"/>
    <row r="47102" s="69" customFormat="1" x14ac:dyDescent="0.15"/>
    <row r="47103" s="69" customFormat="1" x14ac:dyDescent="0.15"/>
    <row r="47104" s="69" customFormat="1" x14ac:dyDescent="0.15"/>
    <row r="47105" s="69" customFormat="1" x14ac:dyDescent="0.15"/>
    <row r="47106" s="69" customFormat="1" x14ac:dyDescent="0.15"/>
    <row r="47107" s="69" customFormat="1" x14ac:dyDescent="0.15"/>
    <row r="47108" s="69" customFormat="1" x14ac:dyDescent="0.15"/>
    <row r="47109" s="69" customFormat="1" x14ac:dyDescent="0.15"/>
    <row r="47110" s="69" customFormat="1" x14ac:dyDescent="0.15"/>
    <row r="47111" s="69" customFormat="1" x14ac:dyDescent="0.15"/>
    <row r="47112" s="69" customFormat="1" x14ac:dyDescent="0.15"/>
    <row r="47113" s="69" customFormat="1" x14ac:dyDescent="0.15"/>
    <row r="47114" s="69" customFormat="1" x14ac:dyDescent="0.15"/>
    <row r="47115" s="69" customFormat="1" x14ac:dyDescent="0.15"/>
    <row r="47116" s="69" customFormat="1" x14ac:dyDescent="0.15"/>
    <row r="47117" s="69" customFormat="1" x14ac:dyDescent="0.15"/>
    <row r="47118" s="69" customFormat="1" x14ac:dyDescent="0.15"/>
    <row r="47119" s="69" customFormat="1" x14ac:dyDescent="0.15"/>
    <row r="47120" s="69" customFormat="1" x14ac:dyDescent="0.15"/>
    <row r="47121" s="69" customFormat="1" x14ac:dyDescent="0.15"/>
    <row r="47122" s="69" customFormat="1" x14ac:dyDescent="0.15"/>
    <row r="47123" s="69" customFormat="1" x14ac:dyDescent="0.15"/>
    <row r="47124" s="69" customFormat="1" x14ac:dyDescent="0.15"/>
    <row r="47125" s="69" customFormat="1" x14ac:dyDescent="0.15"/>
    <row r="47126" s="69" customFormat="1" x14ac:dyDescent="0.15"/>
    <row r="47127" s="69" customFormat="1" x14ac:dyDescent="0.15"/>
    <row r="47128" s="69" customFormat="1" x14ac:dyDescent="0.15"/>
    <row r="47129" s="69" customFormat="1" x14ac:dyDescent="0.15"/>
    <row r="47130" s="69" customFormat="1" x14ac:dyDescent="0.15"/>
    <row r="47131" s="69" customFormat="1" x14ac:dyDescent="0.15"/>
    <row r="47132" s="69" customFormat="1" x14ac:dyDescent="0.15"/>
    <row r="47133" s="69" customFormat="1" x14ac:dyDescent="0.15"/>
    <row r="47134" s="69" customFormat="1" x14ac:dyDescent="0.15"/>
    <row r="47135" s="69" customFormat="1" x14ac:dyDescent="0.15"/>
    <row r="47136" s="69" customFormat="1" x14ac:dyDescent="0.15"/>
    <row r="47137" s="69" customFormat="1" x14ac:dyDescent="0.15"/>
    <row r="47138" s="69" customFormat="1" x14ac:dyDescent="0.15"/>
    <row r="47139" s="69" customFormat="1" x14ac:dyDescent="0.15"/>
    <row r="47140" s="69" customFormat="1" x14ac:dyDescent="0.15"/>
    <row r="47141" s="69" customFormat="1" x14ac:dyDescent="0.15"/>
    <row r="47142" s="69" customFormat="1" x14ac:dyDescent="0.15"/>
    <row r="47143" s="69" customFormat="1" x14ac:dyDescent="0.15"/>
    <row r="47144" s="69" customFormat="1" x14ac:dyDescent="0.15"/>
    <row r="47145" s="69" customFormat="1" x14ac:dyDescent="0.15"/>
    <row r="47146" s="69" customFormat="1" x14ac:dyDescent="0.15"/>
    <row r="47147" s="69" customFormat="1" x14ac:dyDescent="0.15"/>
    <row r="47148" s="69" customFormat="1" x14ac:dyDescent="0.15"/>
    <row r="47149" s="69" customFormat="1" x14ac:dyDescent="0.15"/>
    <row r="47150" s="69" customFormat="1" x14ac:dyDescent="0.15"/>
    <row r="47151" s="69" customFormat="1" x14ac:dyDescent="0.15"/>
    <row r="47152" s="69" customFormat="1" x14ac:dyDescent="0.15"/>
    <row r="47153" s="69" customFormat="1" x14ac:dyDescent="0.15"/>
    <row r="47154" s="69" customFormat="1" x14ac:dyDescent="0.15"/>
    <row r="47155" s="69" customFormat="1" x14ac:dyDescent="0.15"/>
    <row r="47156" s="69" customFormat="1" x14ac:dyDescent="0.15"/>
    <row r="47157" s="69" customFormat="1" x14ac:dyDescent="0.15"/>
    <row r="47158" s="69" customFormat="1" x14ac:dyDescent="0.15"/>
    <row r="47159" s="69" customFormat="1" x14ac:dyDescent="0.15"/>
    <row r="47160" s="69" customFormat="1" x14ac:dyDescent="0.15"/>
    <row r="47161" s="69" customFormat="1" x14ac:dyDescent="0.15"/>
    <row r="47162" s="69" customFormat="1" x14ac:dyDescent="0.15"/>
    <row r="47163" s="69" customFormat="1" x14ac:dyDescent="0.15"/>
    <row r="47164" s="69" customFormat="1" x14ac:dyDescent="0.15"/>
    <row r="47165" s="69" customFormat="1" x14ac:dyDescent="0.15"/>
    <row r="47166" s="69" customFormat="1" x14ac:dyDescent="0.15"/>
    <row r="47167" s="69" customFormat="1" x14ac:dyDescent="0.15"/>
    <row r="47168" s="69" customFormat="1" x14ac:dyDescent="0.15"/>
    <row r="47169" s="69" customFormat="1" x14ac:dyDescent="0.15"/>
    <row r="47170" s="69" customFormat="1" x14ac:dyDescent="0.15"/>
    <row r="47171" s="69" customFormat="1" x14ac:dyDescent="0.15"/>
    <row r="47172" s="69" customFormat="1" x14ac:dyDescent="0.15"/>
    <row r="47173" s="69" customFormat="1" x14ac:dyDescent="0.15"/>
    <row r="47174" s="69" customFormat="1" x14ac:dyDescent="0.15"/>
    <row r="47175" s="69" customFormat="1" x14ac:dyDescent="0.15"/>
    <row r="47176" s="69" customFormat="1" x14ac:dyDescent="0.15"/>
    <row r="47177" s="69" customFormat="1" x14ac:dyDescent="0.15"/>
    <row r="47178" s="69" customFormat="1" x14ac:dyDescent="0.15"/>
    <row r="47179" s="69" customFormat="1" x14ac:dyDescent="0.15"/>
    <row r="47180" s="69" customFormat="1" x14ac:dyDescent="0.15"/>
    <row r="47181" s="69" customFormat="1" x14ac:dyDescent="0.15"/>
    <row r="47182" s="69" customFormat="1" x14ac:dyDescent="0.15"/>
    <row r="47183" s="69" customFormat="1" x14ac:dyDescent="0.15"/>
    <row r="47184" s="69" customFormat="1" x14ac:dyDescent="0.15"/>
    <row r="47185" s="69" customFormat="1" x14ac:dyDescent="0.15"/>
    <row r="47186" s="69" customFormat="1" x14ac:dyDescent="0.15"/>
    <row r="47187" s="69" customFormat="1" x14ac:dyDescent="0.15"/>
    <row r="47188" s="69" customFormat="1" x14ac:dyDescent="0.15"/>
    <row r="47189" s="69" customFormat="1" x14ac:dyDescent="0.15"/>
    <row r="47190" s="69" customFormat="1" x14ac:dyDescent="0.15"/>
    <row r="47191" s="69" customFormat="1" x14ac:dyDescent="0.15"/>
    <row r="47192" s="69" customFormat="1" x14ac:dyDescent="0.15"/>
    <row r="47193" s="69" customFormat="1" x14ac:dyDescent="0.15"/>
    <row r="47194" s="69" customFormat="1" x14ac:dyDescent="0.15"/>
    <row r="47195" s="69" customFormat="1" x14ac:dyDescent="0.15"/>
    <row r="47196" s="69" customFormat="1" x14ac:dyDescent="0.15"/>
    <row r="47197" s="69" customFormat="1" x14ac:dyDescent="0.15"/>
    <row r="47198" s="69" customFormat="1" x14ac:dyDescent="0.15"/>
    <row r="47199" s="69" customFormat="1" x14ac:dyDescent="0.15"/>
    <row r="47200" s="69" customFormat="1" x14ac:dyDescent="0.15"/>
    <row r="47201" s="69" customFormat="1" x14ac:dyDescent="0.15"/>
    <row r="47202" s="69" customFormat="1" x14ac:dyDescent="0.15"/>
    <row r="47203" s="69" customFormat="1" x14ac:dyDescent="0.15"/>
    <row r="47204" s="69" customFormat="1" x14ac:dyDescent="0.15"/>
    <row r="47205" s="69" customFormat="1" x14ac:dyDescent="0.15"/>
    <row r="47206" s="69" customFormat="1" x14ac:dyDescent="0.15"/>
    <row r="47207" s="69" customFormat="1" x14ac:dyDescent="0.15"/>
    <row r="47208" s="69" customFormat="1" x14ac:dyDescent="0.15"/>
    <row r="47209" s="69" customFormat="1" x14ac:dyDescent="0.15"/>
    <row r="47210" s="69" customFormat="1" x14ac:dyDescent="0.15"/>
    <row r="47211" s="69" customFormat="1" x14ac:dyDescent="0.15"/>
    <row r="47212" s="69" customFormat="1" x14ac:dyDescent="0.15"/>
    <row r="47213" s="69" customFormat="1" x14ac:dyDescent="0.15"/>
    <row r="47214" s="69" customFormat="1" x14ac:dyDescent="0.15"/>
    <row r="47215" s="69" customFormat="1" x14ac:dyDescent="0.15"/>
    <row r="47216" s="69" customFormat="1" x14ac:dyDescent="0.15"/>
    <row r="47217" s="69" customFormat="1" x14ac:dyDescent="0.15"/>
    <row r="47218" s="69" customFormat="1" x14ac:dyDescent="0.15"/>
    <row r="47219" s="69" customFormat="1" x14ac:dyDescent="0.15"/>
    <row r="47220" s="69" customFormat="1" x14ac:dyDescent="0.15"/>
    <row r="47221" s="69" customFormat="1" x14ac:dyDescent="0.15"/>
    <row r="47222" s="69" customFormat="1" x14ac:dyDescent="0.15"/>
    <row r="47223" s="69" customFormat="1" x14ac:dyDescent="0.15"/>
    <row r="47224" s="69" customFormat="1" x14ac:dyDescent="0.15"/>
    <row r="47225" s="69" customFormat="1" x14ac:dyDescent="0.15"/>
    <row r="47226" s="69" customFormat="1" x14ac:dyDescent="0.15"/>
    <row r="47227" s="69" customFormat="1" x14ac:dyDescent="0.15"/>
    <row r="47228" s="69" customFormat="1" x14ac:dyDescent="0.15"/>
    <row r="47229" s="69" customFormat="1" x14ac:dyDescent="0.15"/>
    <row r="47230" s="69" customFormat="1" x14ac:dyDescent="0.15"/>
    <row r="47231" s="69" customFormat="1" x14ac:dyDescent="0.15"/>
    <row r="47232" s="69" customFormat="1" x14ac:dyDescent="0.15"/>
    <row r="47233" s="69" customFormat="1" x14ac:dyDescent="0.15"/>
    <row r="47234" s="69" customFormat="1" x14ac:dyDescent="0.15"/>
    <row r="47235" s="69" customFormat="1" x14ac:dyDescent="0.15"/>
    <row r="47236" s="69" customFormat="1" x14ac:dyDescent="0.15"/>
    <row r="47237" s="69" customFormat="1" x14ac:dyDescent="0.15"/>
    <row r="47238" s="69" customFormat="1" x14ac:dyDescent="0.15"/>
    <row r="47239" s="69" customFormat="1" x14ac:dyDescent="0.15"/>
    <row r="47240" s="69" customFormat="1" x14ac:dyDescent="0.15"/>
    <row r="47241" s="69" customFormat="1" x14ac:dyDescent="0.15"/>
    <row r="47242" s="69" customFormat="1" x14ac:dyDescent="0.15"/>
    <row r="47243" s="69" customFormat="1" x14ac:dyDescent="0.15"/>
    <row r="47244" s="69" customFormat="1" x14ac:dyDescent="0.15"/>
    <row r="47245" s="69" customFormat="1" x14ac:dyDescent="0.15"/>
    <row r="47246" s="69" customFormat="1" x14ac:dyDescent="0.15"/>
    <row r="47247" s="69" customFormat="1" x14ac:dyDescent="0.15"/>
    <row r="47248" s="69" customFormat="1" x14ac:dyDescent="0.15"/>
    <row r="47249" s="69" customFormat="1" x14ac:dyDescent="0.15"/>
    <row r="47250" s="69" customFormat="1" x14ac:dyDescent="0.15"/>
    <row r="47251" s="69" customFormat="1" x14ac:dyDescent="0.15"/>
    <row r="47252" s="69" customFormat="1" x14ac:dyDescent="0.15"/>
    <row r="47253" s="69" customFormat="1" x14ac:dyDescent="0.15"/>
    <row r="47254" s="69" customFormat="1" x14ac:dyDescent="0.15"/>
    <row r="47255" s="69" customFormat="1" x14ac:dyDescent="0.15"/>
    <row r="47256" s="69" customFormat="1" x14ac:dyDescent="0.15"/>
    <row r="47257" s="69" customFormat="1" x14ac:dyDescent="0.15"/>
    <row r="47258" s="69" customFormat="1" x14ac:dyDescent="0.15"/>
    <row r="47259" s="69" customFormat="1" x14ac:dyDescent="0.15"/>
    <row r="47260" s="69" customFormat="1" x14ac:dyDescent="0.15"/>
    <row r="47261" s="69" customFormat="1" x14ac:dyDescent="0.15"/>
    <row r="47262" s="69" customFormat="1" x14ac:dyDescent="0.15"/>
    <row r="47263" s="69" customFormat="1" x14ac:dyDescent="0.15"/>
    <row r="47264" s="69" customFormat="1" x14ac:dyDescent="0.15"/>
    <row r="47265" s="69" customFormat="1" x14ac:dyDescent="0.15"/>
    <row r="47266" s="69" customFormat="1" x14ac:dyDescent="0.15"/>
    <row r="47267" s="69" customFormat="1" x14ac:dyDescent="0.15"/>
    <row r="47268" s="69" customFormat="1" x14ac:dyDescent="0.15"/>
    <row r="47269" s="69" customFormat="1" x14ac:dyDescent="0.15"/>
    <row r="47270" s="69" customFormat="1" x14ac:dyDescent="0.15"/>
    <row r="47271" s="69" customFormat="1" x14ac:dyDescent="0.15"/>
    <row r="47272" s="69" customFormat="1" x14ac:dyDescent="0.15"/>
    <row r="47273" s="69" customFormat="1" x14ac:dyDescent="0.15"/>
    <row r="47274" s="69" customFormat="1" x14ac:dyDescent="0.15"/>
    <row r="47275" s="69" customFormat="1" x14ac:dyDescent="0.15"/>
    <row r="47276" s="69" customFormat="1" x14ac:dyDescent="0.15"/>
    <row r="47277" s="69" customFormat="1" x14ac:dyDescent="0.15"/>
    <row r="47278" s="69" customFormat="1" x14ac:dyDescent="0.15"/>
    <row r="47279" s="69" customFormat="1" x14ac:dyDescent="0.15"/>
    <row r="47280" s="69" customFormat="1" x14ac:dyDescent="0.15"/>
    <row r="47281" s="69" customFormat="1" x14ac:dyDescent="0.15"/>
    <row r="47282" s="69" customFormat="1" x14ac:dyDescent="0.15"/>
    <row r="47283" s="69" customFormat="1" x14ac:dyDescent="0.15"/>
    <row r="47284" s="69" customFormat="1" x14ac:dyDescent="0.15"/>
    <row r="47285" s="69" customFormat="1" x14ac:dyDescent="0.15"/>
    <row r="47286" s="69" customFormat="1" x14ac:dyDescent="0.15"/>
    <row r="47287" s="69" customFormat="1" x14ac:dyDescent="0.15"/>
    <row r="47288" s="69" customFormat="1" x14ac:dyDescent="0.15"/>
    <row r="47289" s="69" customFormat="1" x14ac:dyDescent="0.15"/>
    <row r="47290" s="69" customFormat="1" x14ac:dyDescent="0.15"/>
    <row r="47291" s="69" customFormat="1" x14ac:dyDescent="0.15"/>
    <row r="47292" s="69" customFormat="1" x14ac:dyDescent="0.15"/>
    <row r="47293" s="69" customFormat="1" x14ac:dyDescent="0.15"/>
    <row r="47294" s="69" customFormat="1" x14ac:dyDescent="0.15"/>
    <row r="47295" s="69" customFormat="1" x14ac:dyDescent="0.15"/>
    <row r="47296" s="69" customFormat="1" x14ac:dyDescent="0.15"/>
    <row r="47297" s="69" customFormat="1" x14ac:dyDescent="0.15"/>
    <row r="47298" s="69" customFormat="1" x14ac:dyDescent="0.15"/>
    <row r="47299" s="69" customFormat="1" x14ac:dyDescent="0.15"/>
    <row r="47300" s="69" customFormat="1" x14ac:dyDescent="0.15"/>
    <row r="47301" s="69" customFormat="1" x14ac:dyDescent="0.15"/>
    <row r="47302" s="69" customFormat="1" x14ac:dyDescent="0.15"/>
    <row r="47303" s="69" customFormat="1" x14ac:dyDescent="0.15"/>
    <row r="47304" s="69" customFormat="1" x14ac:dyDescent="0.15"/>
    <row r="47305" s="69" customFormat="1" x14ac:dyDescent="0.15"/>
    <row r="47306" s="69" customFormat="1" x14ac:dyDescent="0.15"/>
    <row r="47307" s="69" customFormat="1" x14ac:dyDescent="0.15"/>
    <row r="47308" s="69" customFormat="1" x14ac:dyDescent="0.15"/>
    <row r="47309" s="69" customFormat="1" x14ac:dyDescent="0.15"/>
    <row r="47310" s="69" customFormat="1" x14ac:dyDescent="0.15"/>
    <row r="47311" s="69" customFormat="1" x14ac:dyDescent="0.15"/>
    <row r="47312" s="69" customFormat="1" x14ac:dyDescent="0.15"/>
    <row r="47313" s="69" customFormat="1" x14ac:dyDescent="0.15"/>
    <row r="47314" s="69" customFormat="1" x14ac:dyDescent="0.15"/>
    <row r="47315" s="69" customFormat="1" x14ac:dyDescent="0.15"/>
    <row r="47316" s="69" customFormat="1" x14ac:dyDescent="0.15"/>
    <row r="47317" s="69" customFormat="1" x14ac:dyDescent="0.15"/>
    <row r="47318" s="69" customFormat="1" x14ac:dyDescent="0.15"/>
    <row r="47319" s="69" customFormat="1" x14ac:dyDescent="0.15"/>
    <row r="47320" s="69" customFormat="1" x14ac:dyDescent="0.15"/>
    <row r="47321" s="69" customFormat="1" x14ac:dyDescent="0.15"/>
    <row r="47322" s="69" customFormat="1" x14ac:dyDescent="0.15"/>
    <row r="47323" s="69" customFormat="1" x14ac:dyDescent="0.15"/>
    <row r="47324" s="69" customFormat="1" x14ac:dyDescent="0.15"/>
    <row r="47325" s="69" customFormat="1" x14ac:dyDescent="0.15"/>
    <row r="47326" s="69" customFormat="1" x14ac:dyDescent="0.15"/>
    <row r="47327" s="69" customFormat="1" x14ac:dyDescent="0.15"/>
    <row r="47328" s="69" customFormat="1" x14ac:dyDescent="0.15"/>
    <row r="47329" s="69" customFormat="1" x14ac:dyDescent="0.15"/>
    <row r="47330" s="69" customFormat="1" x14ac:dyDescent="0.15"/>
    <row r="47331" s="69" customFormat="1" x14ac:dyDescent="0.15"/>
    <row r="47332" s="69" customFormat="1" x14ac:dyDescent="0.15"/>
    <row r="47333" s="69" customFormat="1" x14ac:dyDescent="0.15"/>
    <row r="47334" s="69" customFormat="1" x14ac:dyDescent="0.15"/>
    <row r="47335" s="69" customFormat="1" x14ac:dyDescent="0.15"/>
    <row r="47336" s="69" customFormat="1" x14ac:dyDescent="0.15"/>
    <row r="47337" s="69" customFormat="1" x14ac:dyDescent="0.15"/>
    <row r="47338" s="69" customFormat="1" x14ac:dyDescent="0.15"/>
    <row r="47339" s="69" customFormat="1" x14ac:dyDescent="0.15"/>
    <row r="47340" s="69" customFormat="1" x14ac:dyDescent="0.15"/>
    <row r="47341" s="69" customFormat="1" x14ac:dyDescent="0.15"/>
    <row r="47342" s="69" customFormat="1" x14ac:dyDescent="0.15"/>
    <row r="47343" s="69" customFormat="1" x14ac:dyDescent="0.15"/>
    <row r="47344" s="69" customFormat="1" x14ac:dyDescent="0.15"/>
    <row r="47345" s="69" customFormat="1" x14ac:dyDescent="0.15"/>
    <row r="47346" s="69" customFormat="1" x14ac:dyDescent="0.15"/>
    <row r="47347" s="69" customFormat="1" x14ac:dyDescent="0.15"/>
    <row r="47348" s="69" customFormat="1" x14ac:dyDescent="0.15"/>
    <row r="47349" s="69" customFormat="1" x14ac:dyDescent="0.15"/>
    <row r="47350" s="69" customFormat="1" x14ac:dyDescent="0.15"/>
    <row r="47351" s="69" customFormat="1" x14ac:dyDescent="0.15"/>
    <row r="47352" s="69" customFormat="1" x14ac:dyDescent="0.15"/>
    <row r="47353" s="69" customFormat="1" x14ac:dyDescent="0.15"/>
    <row r="47354" s="69" customFormat="1" x14ac:dyDescent="0.15"/>
    <row r="47355" s="69" customFormat="1" x14ac:dyDescent="0.15"/>
    <row r="47356" s="69" customFormat="1" x14ac:dyDescent="0.15"/>
    <row r="47357" s="69" customFormat="1" x14ac:dyDescent="0.15"/>
    <row r="47358" s="69" customFormat="1" x14ac:dyDescent="0.15"/>
    <row r="47359" s="69" customFormat="1" x14ac:dyDescent="0.15"/>
    <row r="47360" s="69" customFormat="1" x14ac:dyDescent="0.15"/>
    <row r="47361" s="69" customFormat="1" x14ac:dyDescent="0.15"/>
    <row r="47362" s="69" customFormat="1" x14ac:dyDescent="0.15"/>
    <row r="47363" s="69" customFormat="1" x14ac:dyDescent="0.15"/>
    <row r="47364" s="69" customFormat="1" x14ac:dyDescent="0.15"/>
    <row r="47365" s="69" customFormat="1" x14ac:dyDescent="0.15"/>
    <row r="47366" s="69" customFormat="1" x14ac:dyDescent="0.15"/>
    <row r="47367" s="69" customFormat="1" x14ac:dyDescent="0.15"/>
    <row r="47368" s="69" customFormat="1" x14ac:dyDescent="0.15"/>
    <row r="47369" s="69" customFormat="1" x14ac:dyDescent="0.15"/>
    <row r="47370" s="69" customFormat="1" x14ac:dyDescent="0.15"/>
    <row r="47371" s="69" customFormat="1" x14ac:dyDescent="0.15"/>
    <row r="47372" s="69" customFormat="1" x14ac:dyDescent="0.15"/>
    <row r="47373" s="69" customFormat="1" x14ac:dyDescent="0.15"/>
    <row r="47374" s="69" customFormat="1" x14ac:dyDescent="0.15"/>
    <row r="47375" s="69" customFormat="1" x14ac:dyDescent="0.15"/>
    <row r="47376" s="69" customFormat="1" x14ac:dyDescent="0.15"/>
    <row r="47377" s="69" customFormat="1" x14ac:dyDescent="0.15"/>
    <row r="47378" s="69" customFormat="1" x14ac:dyDescent="0.15"/>
    <row r="47379" s="69" customFormat="1" x14ac:dyDescent="0.15"/>
    <row r="47380" s="69" customFormat="1" x14ac:dyDescent="0.15"/>
    <row r="47381" s="69" customFormat="1" x14ac:dyDescent="0.15"/>
    <row r="47382" s="69" customFormat="1" x14ac:dyDescent="0.15"/>
    <row r="47383" s="69" customFormat="1" x14ac:dyDescent="0.15"/>
    <row r="47384" s="69" customFormat="1" x14ac:dyDescent="0.15"/>
    <row r="47385" s="69" customFormat="1" x14ac:dyDescent="0.15"/>
    <row r="47386" s="69" customFormat="1" x14ac:dyDescent="0.15"/>
    <row r="47387" s="69" customFormat="1" x14ac:dyDescent="0.15"/>
    <row r="47388" s="69" customFormat="1" x14ac:dyDescent="0.15"/>
    <row r="47389" s="69" customFormat="1" x14ac:dyDescent="0.15"/>
    <row r="47390" s="69" customFormat="1" x14ac:dyDescent="0.15"/>
    <row r="47391" s="69" customFormat="1" x14ac:dyDescent="0.15"/>
    <row r="47392" s="69" customFormat="1" x14ac:dyDescent="0.15"/>
    <row r="47393" s="69" customFormat="1" x14ac:dyDescent="0.15"/>
    <row r="47394" s="69" customFormat="1" x14ac:dyDescent="0.15"/>
    <row r="47395" s="69" customFormat="1" x14ac:dyDescent="0.15"/>
    <row r="47396" s="69" customFormat="1" x14ac:dyDescent="0.15"/>
    <row r="47397" s="69" customFormat="1" x14ac:dyDescent="0.15"/>
    <row r="47398" s="69" customFormat="1" x14ac:dyDescent="0.15"/>
    <row r="47399" s="69" customFormat="1" x14ac:dyDescent="0.15"/>
    <row r="47400" s="69" customFormat="1" x14ac:dyDescent="0.15"/>
    <row r="47401" s="69" customFormat="1" x14ac:dyDescent="0.15"/>
    <row r="47402" s="69" customFormat="1" x14ac:dyDescent="0.15"/>
    <row r="47403" s="69" customFormat="1" x14ac:dyDescent="0.15"/>
    <row r="47404" s="69" customFormat="1" x14ac:dyDescent="0.15"/>
    <row r="47405" s="69" customFormat="1" x14ac:dyDescent="0.15"/>
    <row r="47406" s="69" customFormat="1" x14ac:dyDescent="0.15"/>
    <row r="47407" s="69" customFormat="1" x14ac:dyDescent="0.15"/>
    <row r="47408" s="69" customFormat="1" x14ac:dyDescent="0.15"/>
    <row r="47409" s="69" customFormat="1" x14ac:dyDescent="0.15"/>
    <row r="47410" s="69" customFormat="1" x14ac:dyDescent="0.15"/>
    <row r="47411" s="69" customFormat="1" x14ac:dyDescent="0.15"/>
    <row r="47412" s="69" customFormat="1" x14ac:dyDescent="0.15"/>
    <row r="47413" s="69" customFormat="1" x14ac:dyDescent="0.15"/>
    <row r="47414" s="69" customFormat="1" x14ac:dyDescent="0.15"/>
    <row r="47415" s="69" customFormat="1" x14ac:dyDescent="0.15"/>
    <row r="47416" s="69" customFormat="1" x14ac:dyDescent="0.15"/>
    <row r="47417" s="69" customFormat="1" x14ac:dyDescent="0.15"/>
    <row r="47418" s="69" customFormat="1" x14ac:dyDescent="0.15"/>
    <row r="47419" s="69" customFormat="1" x14ac:dyDescent="0.15"/>
    <row r="47420" s="69" customFormat="1" x14ac:dyDescent="0.15"/>
    <row r="47421" s="69" customFormat="1" x14ac:dyDescent="0.15"/>
    <row r="47422" s="69" customFormat="1" x14ac:dyDescent="0.15"/>
    <row r="47423" s="69" customFormat="1" x14ac:dyDescent="0.15"/>
    <row r="47424" s="69" customFormat="1" x14ac:dyDescent="0.15"/>
    <row r="47425" s="69" customFormat="1" x14ac:dyDescent="0.15"/>
    <row r="47426" s="69" customFormat="1" x14ac:dyDescent="0.15"/>
    <row r="47427" s="69" customFormat="1" x14ac:dyDescent="0.15"/>
    <row r="47428" s="69" customFormat="1" x14ac:dyDescent="0.15"/>
    <row r="47429" s="69" customFormat="1" x14ac:dyDescent="0.15"/>
    <row r="47430" s="69" customFormat="1" x14ac:dyDescent="0.15"/>
    <row r="47431" s="69" customFormat="1" x14ac:dyDescent="0.15"/>
    <row r="47432" s="69" customFormat="1" x14ac:dyDescent="0.15"/>
    <row r="47433" s="69" customFormat="1" x14ac:dyDescent="0.15"/>
    <row r="47434" s="69" customFormat="1" x14ac:dyDescent="0.15"/>
    <row r="47435" s="69" customFormat="1" x14ac:dyDescent="0.15"/>
    <row r="47436" s="69" customFormat="1" x14ac:dyDescent="0.15"/>
    <row r="47437" s="69" customFormat="1" x14ac:dyDescent="0.15"/>
    <row r="47438" s="69" customFormat="1" x14ac:dyDescent="0.15"/>
    <row r="47439" s="69" customFormat="1" x14ac:dyDescent="0.15"/>
    <row r="47440" s="69" customFormat="1" x14ac:dyDescent="0.15"/>
    <row r="47441" s="69" customFormat="1" x14ac:dyDescent="0.15"/>
    <row r="47442" s="69" customFormat="1" x14ac:dyDescent="0.15"/>
    <row r="47443" s="69" customFormat="1" x14ac:dyDescent="0.15"/>
    <row r="47444" s="69" customFormat="1" x14ac:dyDescent="0.15"/>
    <row r="47445" s="69" customFormat="1" x14ac:dyDescent="0.15"/>
    <row r="47446" s="69" customFormat="1" x14ac:dyDescent="0.15"/>
    <row r="47447" s="69" customFormat="1" x14ac:dyDescent="0.15"/>
    <row r="47448" s="69" customFormat="1" x14ac:dyDescent="0.15"/>
    <row r="47449" s="69" customFormat="1" x14ac:dyDescent="0.15"/>
    <row r="47450" s="69" customFormat="1" x14ac:dyDescent="0.15"/>
    <row r="47451" s="69" customFormat="1" x14ac:dyDescent="0.15"/>
    <row r="47452" s="69" customFormat="1" x14ac:dyDescent="0.15"/>
    <row r="47453" s="69" customFormat="1" x14ac:dyDescent="0.15"/>
    <row r="47454" s="69" customFormat="1" x14ac:dyDescent="0.15"/>
    <row r="47455" s="69" customFormat="1" x14ac:dyDescent="0.15"/>
    <row r="47456" s="69" customFormat="1" x14ac:dyDescent="0.15"/>
    <row r="47457" s="69" customFormat="1" x14ac:dyDescent="0.15"/>
    <row r="47458" s="69" customFormat="1" x14ac:dyDescent="0.15"/>
    <row r="47459" s="69" customFormat="1" x14ac:dyDescent="0.15"/>
    <row r="47460" s="69" customFormat="1" x14ac:dyDescent="0.15"/>
    <row r="47461" s="69" customFormat="1" x14ac:dyDescent="0.15"/>
    <row r="47462" s="69" customFormat="1" x14ac:dyDescent="0.15"/>
    <row r="47463" s="69" customFormat="1" x14ac:dyDescent="0.15"/>
    <row r="47464" s="69" customFormat="1" x14ac:dyDescent="0.15"/>
    <row r="47465" s="69" customFormat="1" x14ac:dyDescent="0.15"/>
    <row r="47466" s="69" customFormat="1" x14ac:dyDescent="0.15"/>
    <row r="47467" s="69" customFormat="1" x14ac:dyDescent="0.15"/>
    <row r="47468" s="69" customFormat="1" x14ac:dyDescent="0.15"/>
    <row r="47469" s="69" customFormat="1" x14ac:dyDescent="0.15"/>
    <row r="47470" s="69" customFormat="1" x14ac:dyDescent="0.15"/>
    <row r="47471" s="69" customFormat="1" x14ac:dyDescent="0.15"/>
    <row r="47472" s="69" customFormat="1" x14ac:dyDescent="0.15"/>
    <row r="47473" s="69" customFormat="1" x14ac:dyDescent="0.15"/>
    <row r="47474" s="69" customFormat="1" x14ac:dyDescent="0.15"/>
    <row r="47475" s="69" customFormat="1" x14ac:dyDescent="0.15"/>
    <row r="47476" s="69" customFormat="1" x14ac:dyDescent="0.15"/>
    <row r="47477" s="69" customFormat="1" x14ac:dyDescent="0.15"/>
    <row r="47478" s="69" customFormat="1" x14ac:dyDescent="0.15"/>
    <row r="47479" s="69" customFormat="1" x14ac:dyDescent="0.15"/>
    <row r="47480" s="69" customFormat="1" x14ac:dyDescent="0.15"/>
    <row r="47481" s="69" customFormat="1" x14ac:dyDescent="0.15"/>
    <row r="47482" s="69" customFormat="1" x14ac:dyDescent="0.15"/>
    <row r="47483" s="69" customFormat="1" x14ac:dyDescent="0.15"/>
    <row r="47484" s="69" customFormat="1" x14ac:dyDescent="0.15"/>
    <row r="47485" s="69" customFormat="1" x14ac:dyDescent="0.15"/>
    <row r="47486" s="69" customFormat="1" x14ac:dyDescent="0.15"/>
    <row r="47487" s="69" customFormat="1" x14ac:dyDescent="0.15"/>
    <row r="47488" s="69" customFormat="1" x14ac:dyDescent="0.15"/>
    <row r="47489" s="69" customFormat="1" x14ac:dyDescent="0.15"/>
    <row r="47490" s="69" customFormat="1" x14ac:dyDescent="0.15"/>
    <row r="47491" s="69" customFormat="1" x14ac:dyDescent="0.15"/>
    <row r="47492" s="69" customFormat="1" x14ac:dyDescent="0.15"/>
    <row r="47493" s="69" customFormat="1" x14ac:dyDescent="0.15"/>
    <row r="47494" s="69" customFormat="1" x14ac:dyDescent="0.15"/>
    <row r="47495" s="69" customFormat="1" x14ac:dyDescent="0.15"/>
    <row r="47496" s="69" customFormat="1" x14ac:dyDescent="0.15"/>
    <row r="47497" s="69" customFormat="1" x14ac:dyDescent="0.15"/>
    <row r="47498" s="69" customFormat="1" x14ac:dyDescent="0.15"/>
    <row r="47499" s="69" customFormat="1" x14ac:dyDescent="0.15"/>
    <row r="47500" s="69" customFormat="1" x14ac:dyDescent="0.15"/>
    <row r="47501" s="69" customFormat="1" x14ac:dyDescent="0.15"/>
    <row r="47502" s="69" customFormat="1" x14ac:dyDescent="0.15"/>
    <row r="47503" s="69" customFormat="1" x14ac:dyDescent="0.15"/>
    <row r="47504" s="69" customFormat="1" x14ac:dyDescent="0.15"/>
    <row r="47505" s="69" customFormat="1" x14ac:dyDescent="0.15"/>
    <row r="47506" s="69" customFormat="1" x14ac:dyDescent="0.15"/>
    <row r="47507" s="69" customFormat="1" x14ac:dyDescent="0.15"/>
    <row r="47508" s="69" customFormat="1" x14ac:dyDescent="0.15"/>
    <row r="47509" s="69" customFormat="1" x14ac:dyDescent="0.15"/>
    <row r="47510" s="69" customFormat="1" x14ac:dyDescent="0.15"/>
    <row r="47511" s="69" customFormat="1" x14ac:dyDescent="0.15"/>
    <row r="47512" s="69" customFormat="1" x14ac:dyDescent="0.15"/>
    <row r="47513" s="69" customFormat="1" x14ac:dyDescent="0.15"/>
    <row r="47514" s="69" customFormat="1" x14ac:dyDescent="0.15"/>
    <row r="47515" s="69" customFormat="1" x14ac:dyDescent="0.15"/>
    <row r="47516" s="69" customFormat="1" x14ac:dyDescent="0.15"/>
    <row r="47517" s="69" customFormat="1" x14ac:dyDescent="0.15"/>
    <row r="47518" s="69" customFormat="1" x14ac:dyDescent="0.15"/>
    <row r="47519" s="69" customFormat="1" x14ac:dyDescent="0.15"/>
    <row r="47520" s="69" customFormat="1" x14ac:dyDescent="0.15"/>
    <row r="47521" s="69" customFormat="1" x14ac:dyDescent="0.15"/>
    <row r="47522" s="69" customFormat="1" x14ac:dyDescent="0.15"/>
    <row r="47523" s="69" customFormat="1" x14ac:dyDescent="0.15"/>
    <row r="47524" s="69" customFormat="1" x14ac:dyDescent="0.15"/>
    <row r="47525" s="69" customFormat="1" x14ac:dyDescent="0.15"/>
    <row r="47526" s="69" customFormat="1" x14ac:dyDescent="0.15"/>
    <row r="47527" s="69" customFormat="1" x14ac:dyDescent="0.15"/>
    <row r="47528" s="69" customFormat="1" x14ac:dyDescent="0.15"/>
    <row r="47529" s="69" customFormat="1" x14ac:dyDescent="0.15"/>
    <row r="47530" s="69" customFormat="1" x14ac:dyDescent="0.15"/>
    <row r="47531" s="69" customFormat="1" x14ac:dyDescent="0.15"/>
    <row r="47532" s="69" customFormat="1" x14ac:dyDescent="0.15"/>
    <row r="47533" s="69" customFormat="1" x14ac:dyDescent="0.15"/>
    <row r="47534" s="69" customFormat="1" x14ac:dyDescent="0.15"/>
    <row r="47535" s="69" customFormat="1" x14ac:dyDescent="0.15"/>
    <row r="47536" s="69" customFormat="1" x14ac:dyDescent="0.15"/>
    <row r="47537" s="69" customFormat="1" x14ac:dyDescent="0.15"/>
    <row r="47538" s="69" customFormat="1" x14ac:dyDescent="0.15"/>
    <row r="47539" s="69" customFormat="1" x14ac:dyDescent="0.15"/>
    <row r="47540" s="69" customFormat="1" x14ac:dyDescent="0.15"/>
    <row r="47541" s="69" customFormat="1" x14ac:dyDescent="0.15"/>
    <row r="47542" s="69" customFormat="1" x14ac:dyDescent="0.15"/>
    <row r="47543" s="69" customFormat="1" x14ac:dyDescent="0.15"/>
    <row r="47544" s="69" customFormat="1" x14ac:dyDescent="0.15"/>
    <row r="47545" s="69" customFormat="1" x14ac:dyDescent="0.15"/>
    <row r="47546" s="69" customFormat="1" x14ac:dyDescent="0.15"/>
    <row r="47547" s="69" customFormat="1" x14ac:dyDescent="0.15"/>
    <row r="47548" s="69" customFormat="1" x14ac:dyDescent="0.15"/>
    <row r="47549" s="69" customFormat="1" x14ac:dyDescent="0.15"/>
    <row r="47550" s="69" customFormat="1" x14ac:dyDescent="0.15"/>
    <row r="47551" s="69" customFormat="1" x14ac:dyDescent="0.15"/>
    <row r="47552" s="69" customFormat="1" x14ac:dyDescent="0.15"/>
    <row r="47553" s="69" customFormat="1" x14ac:dyDescent="0.15"/>
    <row r="47554" s="69" customFormat="1" x14ac:dyDescent="0.15"/>
    <row r="47555" s="69" customFormat="1" x14ac:dyDescent="0.15"/>
    <row r="47556" s="69" customFormat="1" x14ac:dyDescent="0.15"/>
    <row r="47557" s="69" customFormat="1" x14ac:dyDescent="0.15"/>
    <row r="47558" s="69" customFormat="1" x14ac:dyDescent="0.15"/>
    <row r="47559" s="69" customFormat="1" x14ac:dyDescent="0.15"/>
    <row r="47560" s="69" customFormat="1" x14ac:dyDescent="0.15"/>
    <row r="47561" s="69" customFormat="1" x14ac:dyDescent="0.15"/>
    <row r="47562" s="69" customFormat="1" x14ac:dyDescent="0.15"/>
    <row r="47563" s="69" customFormat="1" x14ac:dyDescent="0.15"/>
    <row r="47564" s="69" customFormat="1" x14ac:dyDescent="0.15"/>
    <row r="47565" s="69" customFormat="1" x14ac:dyDescent="0.15"/>
    <row r="47566" s="69" customFormat="1" x14ac:dyDescent="0.15"/>
    <row r="47567" s="69" customFormat="1" x14ac:dyDescent="0.15"/>
    <row r="47568" s="69" customFormat="1" x14ac:dyDescent="0.15"/>
    <row r="47569" s="69" customFormat="1" x14ac:dyDescent="0.15"/>
    <row r="47570" s="69" customFormat="1" x14ac:dyDescent="0.15"/>
    <row r="47571" s="69" customFormat="1" x14ac:dyDescent="0.15"/>
    <row r="47572" s="69" customFormat="1" x14ac:dyDescent="0.15"/>
    <row r="47573" s="69" customFormat="1" x14ac:dyDescent="0.15"/>
    <row r="47574" s="69" customFormat="1" x14ac:dyDescent="0.15"/>
    <row r="47575" s="69" customFormat="1" x14ac:dyDescent="0.15"/>
    <row r="47576" s="69" customFormat="1" x14ac:dyDescent="0.15"/>
    <row r="47577" s="69" customFormat="1" x14ac:dyDescent="0.15"/>
    <row r="47578" s="69" customFormat="1" x14ac:dyDescent="0.15"/>
    <row r="47579" s="69" customFormat="1" x14ac:dyDescent="0.15"/>
    <row r="47580" s="69" customFormat="1" x14ac:dyDescent="0.15"/>
    <row r="47581" s="69" customFormat="1" x14ac:dyDescent="0.15"/>
    <row r="47582" s="69" customFormat="1" x14ac:dyDescent="0.15"/>
    <row r="47583" s="69" customFormat="1" x14ac:dyDescent="0.15"/>
    <row r="47584" s="69" customFormat="1" x14ac:dyDescent="0.15"/>
    <row r="47585" s="69" customFormat="1" x14ac:dyDescent="0.15"/>
    <row r="47586" s="69" customFormat="1" x14ac:dyDescent="0.15"/>
    <row r="47587" s="69" customFormat="1" x14ac:dyDescent="0.15"/>
    <row r="47588" s="69" customFormat="1" x14ac:dyDescent="0.15"/>
    <row r="47589" s="69" customFormat="1" x14ac:dyDescent="0.15"/>
    <row r="47590" s="69" customFormat="1" x14ac:dyDescent="0.15"/>
    <row r="47591" s="69" customFormat="1" x14ac:dyDescent="0.15"/>
    <row r="47592" s="69" customFormat="1" x14ac:dyDescent="0.15"/>
    <row r="47593" s="69" customFormat="1" x14ac:dyDescent="0.15"/>
    <row r="47594" s="69" customFormat="1" x14ac:dyDescent="0.15"/>
    <row r="47595" s="69" customFormat="1" x14ac:dyDescent="0.15"/>
    <row r="47596" s="69" customFormat="1" x14ac:dyDescent="0.15"/>
    <row r="47597" s="69" customFormat="1" x14ac:dyDescent="0.15"/>
    <row r="47598" s="69" customFormat="1" x14ac:dyDescent="0.15"/>
    <row r="47599" s="69" customFormat="1" x14ac:dyDescent="0.15"/>
    <row r="47600" s="69" customFormat="1" x14ac:dyDescent="0.15"/>
    <row r="47601" s="69" customFormat="1" x14ac:dyDescent="0.15"/>
    <row r="47602" s="69" customFormat="1" x14ac:dyDescent="0.15"/>
    <row r="47603" s="69" customFormat="1" x14ac:dyDescent="0.15"/>
    <row r="47604" s="69" customFormat="1" x14ac:dyDescent="0.15"/>
    <row r="47605" s="69" customFormat="1" x14ac:dyDescent="0.15"/>
    <row r="47606" s="69" customFormat="1" x14ac:dyDescent="0.15"/>
    <row r="47607" s="69" customFormat="1" x14ac:dyDescent="0.15"/>
    <row r="47608" s="69" customFormat="1" x14ac:dyDescent="0.15"/>
    <row r="47609" s="69" customFormat="1" x14ac:dyDescent="0.15"/>
    <row r="47610" s="69" customFormat="1" x14ac:dyDescent="0.15"/>
    <row r="47611" s="69" customFormat="1" x14ac:dyDescent="0.15"/>
    <row r="47612" s="69" customFormat="1" x14ac:dyDescent="0.15"/>
    <row r="47613" s="69" customFormat="1" x14ac:dyDescent="0.15"/>
    <row r="47614" s="69" customFormat="1" x14ac:dyDescent="0.15"/>
    <row r="47615" s="69" customFormat="1" x14ac:dyDescent="0.15"/>
    <row r="47616" s="69" customFormat="1" x14ac:dyDescent="0.15"/>
    <row r="47617" s="69" customFormat="1" x14ac:dyDescent="0.15"/>
    <row r="47618" s="69" customFormat="1" x14ac:dyDescent="0.15"/>
    <row r="47619" s="69" customFormat="1" x14ac:dyDescent="0.15"/>
    <row r="47620" s="69" customFormat="1" x14ac:dyDescent="0.15"/>
    <row r="47621" s="69" customFormat="1" x14ac:dyDescent="0.15"/>
    <row r="47622" s="69" customFormat="1" x14ac:dyDescent="0.15"/>
    <row r="47623" s="69" customFormat="1" x14ac:dyDescent="0.15"/>
    <row r="47624" s="69" customFormat="1" x14ac:dyDescent="0.15"/>
    <row r="47625" s="69" customFormat="1" x14ac:dyDescent="0.15"/>
    <row r="47626" s="69" customFormat="1" x14ac:dyDescent="0.15"/>
    <row r="47627" s="69" customFormat="1" x14ac:dyDescent="0.15"/>
    <row r="47628" s="69" customFormat="1" x14ac:dyDescent="0.15"/>
    <row r="47629" s="69" customFormat="1" x14ac:dyDescent="0.15"/>
    <row r="47630" s="69" customFormat="1" x14ac:dyDescent="0.15"/>
    <row r="47631" s="69" customFormat="1" x14ac:dyDescent="0.15"/>
    <row r="47632" s="69" customFormat="1" x14ac:dyDescent="0.15"/>
    <row r="47633" s="69" customFormat="1" x14ac:dyDescent="0.15"/>
    <row r="47634" s="69" customFormat="1" x14ac:dyDescent="0.15"/>
    <row r="47635" s="69" customFormat="1" x14ac:dyDescent="0.15"/>
    <row r="47636" s="69" customFormat="1" x14ac:dyDescent="0.15"/>
    <row r="47637" s="69" customFormat="1" x14ac:dyDescent="0.15"/>
    <row r="47638" s="69" customFormat="1" x14ac:dyDescent="0.15"/>
    <row r="47639" s="69" customFormat="1" x14ac:dyDescent="0.15"/>
    <row r="47640" s="69" customFormat="1" x14ac:dyDescent="0.15"/>
    <row r="47641" s="69" customFormat="1" x14ac:dyDescent="0.15"/>
    <row r="47642" s="69" customFormat="1" x14ac:dyDescent="0.15"/>
    <row r="47643" s="69" customFormat="1" x14ac:dyDescent="0.15"/>
    <row r="47644" s="69" customFormat="1" x14ac:dyDescent="0.15"/>
    <row r="47645" s="69" customFormat="1" x14ac:dyDescent="0.15"/>
    <row r="47646" s="69" customFormat="1" x14ac:dyDescent="0.15"/>
    <row r="47647" s="69" customFormat="1" x14ac:dyDescent="0.15"/>
    <row r="47648" s="69" customFormat="1" x14ac:dyDescent="0.15"/>
    <row r="47649" s="69" customFormat="1" x14ac:dyDescent="0.15"/>
    <row r="47650" s="69" customFormat="1" x14ac:dyDescent="0.15"/>
    <row r="47651" s="69" customFormat="1" x14ac:dyDescent="0.15"/>
    <row r="47652" s="69" customFormat="1" x14ac:dyDescent="0.15"/>
    <row r="47653" s="69" customFormat="1" x14ac:dyDescent="0.15"/>
    <row r="47654" s="69" customFormat="1" x14ac:dyDescent="0.15"/>
    <row r="47655" s="69" customFormat="1" x14ac:dyDescent="0.15"/>
    <row r="47656" s="69" customFormat="1" x14ac:dyDescent="0.15"/>
    <row r="47657" s="69" customFormat="1" x14ac:dyDescent="0.15"/>
    <row r="47658" s="69" customFormat="1" x14ac:dyDescent="0.15"/>
    <row r="47659" s="69" customFormat="1" x14ac:dyDescent="0.15"/>
    <row r="47660" s="69" customFormat="1" x14ac:dyDescent="0.15"/>
    <row r="47661" s="69" customFormat="1" x14ac:dyDescent="0.15"/>
    <row r="47662" s="69" customFormat="1" x14ac:dyDescent="0.15"/>
    <row r="47663" s="69" customFormat="1" x14ac:dyDescent="0.15"/>
    <row r="47664" s="69" customFormat="1" x14ac:dyDescent="0.15"/>
    <row r="47665" s="69" customFormat="1" x14ac:dyDescent="0.15"/>
    <row r="47666" s="69" customFormat="1" x14ac:dyDescent="0.15"/>
    <row r="47667" s="69" customFormat="1" x14ac:dyDescent="0.15"/>
    <row r="47668" s="69" customFormat="1" x14ac:dyDescent="0.15"/>
    <row r="47669" s="69" customFormat="1" x14ac:dyDescent="0.15"/>
    <row r="47670" s="69" customFormat="1" x14ac:dyDescent="0.15"/>
    <row r="47671" s="69" customFormat="1" x14ac:dyDescent="0.15"/>
    <row r="47672" s="69" customFormat="1" x14ac:dyDescent="0.15"/>
    <row r="47673" s="69" customFormat="1" x14ac:dyDescent="0.15"/>
    <row r="47674" s="69" customFormat="1" x14ac:dyDescent="0.15"/>
    <row r="47675" s="69" customFormat="1" x14ac:dyDescent="0.15"/>
    <row r="47676" s="69" customFormat="1" x14ac:dyDescent="0.15"/>
    <row r="47677" s="69" customFormat="1" x14ac:dyDescent="0.15"/>
    <row r="47678" s="69" customFormat="1" x14ac:dyDescent="0.15"/>
    <row r="47679" s="69" customFormat="1" x14ac:dyDescent="0.15"/>
    <row r="47680" s="69" customFormat="1" x14ac:dyDescent="0.15"/>
    <row r="47681" s="69" customFormat="1" x14ac:dyDescent="0.15"/>
    <row r="47682" s="69" customFormat="1" x14ac:dyDescent="0.15"/>
    <row r="47683" s="69" customFormat="1" x14ac:dyDescent="0.15"/>
    <row r="47684" s="69" customFormat="1" x14ac:dyDescent="0.15"/>
    <row r="47685" s="69" customFormat="1" x14ac:dyDescent="0.15"/>
    <row r="47686" s="69" customFormat="1" x14ac:dyDescent="0.15"/>
    <row r="47687" s="69" customFormat="1" x14ac:dyDescent="0.15"/>
    <row r="47688" s="69" customFormat="1" x14ac:dyDescent="0.15"/>
    <row r="47689" s="69" customFormat="1" x14ac:dyDescent="0.15"/>
    <row r="47690" s="69" customFormat="1" x14ac:dyDescent="0.15"/>
    <row r="47691" s="69" customFormat="1" x14ac:dyDescent="0.15"/>
    <row r="47692" s="69" customFormat="1" x14ac:dyDescent="0.15"/>
    <row r="47693" s="69" customFormat="1" x14ac:dyDescent="0.15"/>
    <row r="47694" s="69" customFormat="1" x14ac:dyDescent="0.15"/>
    <row r="47695" s="69" customFormat="1" x14ac:dyDescent="0.15"/>
    <row r="47696" s="69" customFormat="1" x14ac:dyDescent="0.15"/>
    <row r="47697" s="69" customFormat="1" x14ac:dyDescent="0.15"/>
    <row r="47698" s="69" customFormat="1" x14ac:dyDescent="0.15"/>
    <row r="47699" s="69" customFormat="1" x14ac:dyDescent="0.15"/>
    <row r="47700" s="69" customFormat="1" x14ac:dyDescent="0.15"/>
    <row r="47701" s="69" customFormat="1" x14ac:dyDescent="0.15"/>
    <row r="47702" s="69" customFormat="1" x14ac:dyDescent="0.15"/>
    <row r="47703" s="69" customFormat="1" x14ac:dyDescent="0.15"/>
    <row r="47704" s="69" customFormat="1" x14ac:dyDescent="0.15"/>
    <row r="47705" s="69" customFormat="1" x14ac:dyDescent="0.15"/>
    <row r="47706" s="69" customFormat="1" x14ac:dyDescent="0.15"/>
    <row r="47707" s="69" customFormat="1" x14ac:dyDescent="0.15"/>
    <row r="47708" s="69" customFormat="1" x14ac:dyDescent="0.15"/>
    <row r="47709" s="69" customFormat="1" x14ac:dyDescent="0.15"/>
    <row r="47710" s="69" customFormat="1" x14ac:dyDescent="0.15"/>
    <row r="47711" s="69" customFormat="1" x14ac:dyDescent="0.15"/>
    <row r="47712" s="69" customFormat="1" x14ac:dyDescent="0.15"/>
    <row r="47713" s="69" customFormat="1" x14ac:dyDescent="0.15"/>
    <row r="47714" s="69" customFormat="1" x14ac:dyDescent="0.15"/>
    <row r="47715" s="69" customFormat="1" x14ac:dyDescent="0.15"/>
    <row r="47716" s="69" customFormat="1" x14ac:dyDescent="0.15"/>
    <row r="47717" s="69" customFormat="1" x14ac:dyDescent="0.15"/>
    <row r="47718" s="69" customFormat="1" x14ac:dyDescent="0.15"/>
    <row r="47719" s="69" customFormat="1" x14ac:dyDescent="0.15"/>
    <row r="47720" s="69" customFormat="1" x14ac:dyDescent="0.15"/>
    <row r="47721" s="69" customFormat="1" x14ac:dyDescent="0.15"/>
    <row r="47722" s="69" customFormat="1" x14ac:dyDescent="0.15"/>
    <row r="47723" s="69" customFormat="1" x14ac:dyDescent="0.15"/>
    <row r="47724" s="69" customFormat="1" x14ac:dyDescent="0.15"/>
    <row r="47725" s="69" customFormat="1" x14ac:dyDescent="0.15"/>
    <row r="47726" s="69" customFormat="1" x14ac:dyDescent="0.15"/>
    <row r="47727" s="69" customFormat="1" x14ac:dyDescent="0.15"/>
    <row r="47728" s="69" customFormat="1" x14ac:dyDescent="0.15"/>
    <row r="47729" s="69" customFormat="1" x14ac:dyDescent="0.15"/>
    <row r="47730" s="69" customFormat="1" x14ac:dyDescent="0.15"/>
    <row r="47731" s="69" customFormat="1" x14ac:dyDescent="0.15"/>
    <row r="47732" s="69" customFormat="1" x14ac:dyDescent="0.15"/>
    <row r="47733" s="69" customFormat="1" x14ac:dyDescent="0.15"/>
    <row r="47734" s="69" customFormat="1" x14ac:dyDescent="0.15"/>
    <row r="47735" s="69" customFormat="1" x14ac:dyDescent="0.15"/>
    <row r="47736" s="69" customFormat="1" x14ac:dyDescent="0.15"/>
    <row r="47737" s="69" customFormat="1" x14ac:dyDescent="0.15"/>
    <row r="47738" s="69" customFormat="1" x14ac:dyDescent="0.15"/>
    <row r="47739" s="69" customFormat="1" x14ac:dyDescent="0.15"/>
    <row r="47740" s="69" customFormat="1" x14ac:dyDescent="0.15"/>
    <row r="47741" s="69" customFormat="1" x14ac:dyDescent="0.15"/>
    <row r="47742" s="69" customFormat="1" x14ac:dyDescent="0.15"/>
    <row r="47743" s="69" customFormat="1" x14ac:dyDescent="0.15"/>
    <row r="47744" s="69" customFormat="1" x14ac:dyDescent="0.15"/>
    <row r="47745" s="69" customFormat="1" x14ac:dyDescent="0.15"/>
    <row r="47746" s="69" customFormat="1" x14ac:dyDescent="0.15"/>
    <row r="47747" s="69" customFormat="1" x14ac:dyDescent="0.15"/>
    <row r="47748" s="69" customFormat="1" x14ac:dyDescent="0.15"/>
    <row r="47749" s="69" customFormat="1" x14ac:dyDescent="0.15"/>
    <row r="47750" s="69" customFormat="1" x14ac:dyDescent="0.15"/>
    <row r="47751" s="69" customFormat="1" x14ac:dyDescent="0.15"/>
    <row r="47752" s="69" customFormat="1" x14ac:dyDescent="0.15"/>
    <row r="47753" s="69" customFormat="1" x14ac:dyDescent="0.15"/>
    <row r="47754" s="69" customFormat="1" x14ac:dyDescent="0.15"/>
    <row r="47755" s="69" customFormat="1" x14ac:dyDescent="0.15"/>
    <row r="47756" s="69" customFormat="1" x14ac:dyDescent="0.15"/>
    <row r="47757" s="69" customFormat="1" x14ac:dyDescent="0.15"/>
    <row r="47758" s="69" customFormat="1" x14ac:dyDescent="0.15"/>
    <row r="47759" s="69" customFormat="1" x14ac:dyDescent="0.15"/>
    <row r="47760" s="69" customFormat="1" x14ac:dyDescent="0.15"/>
    <row r="47761" s="69" customFormat="1" x14ac:dyDescent="0.15"/>
    <row r="47762" s="69" customFormat="1" x14ac:dyDescent="0.15"/>
    <row r="47763" s="69" customFormat="1" x14ac:dyDescent="0.15"/>
    <row r="47764" s="69" customFormat="1" x14ac:dyDescent="0.15"/>
    <row r="47765" s="69" customFormat="1" x14ac:dyDescent="0.15"/>
    <row r="47766" s="69" customFormat="1" x14ac:dyDescent="0.15"/>
    <row r="47767" s="69" customFormat="1" x14ac:dyDescent="0.15"/>
    <row r="47768" s="69" customFormat="1" x14ac:dyDescent="0.15"/>
    <row r="47769" s="69" customFormat="1" x14ac:dyDescent="0.15"/>
    <row r="47770" s="69" customFormat="1" x14ac:dyDescent="0.15"/>
    <row r="47771" s="69" customFormat="1" x14ac:dyDescent="0.15"/>
    <row r="47772" s="69" customFormat="1" x14ac:dyDescent="0.15"/>
    <row r="47773" s="69" customFormat="1" x14ac:dyDescent="0.15"/>
    <row r="47774" s="69" customFormat="1" x14ac:dyDescent="0.15"/>
    <row r="47775" s="69" customFormat="1" x14ac:dyDescent="0.15"/>
    <row r="47776" s="69" customFormat="1" x14ac:dyDescent="0.15"/>
    <row r="47777" s="69" customFormat="1" x14ac:dyDescent="0.15"/>
    <row r="47778" s="69" customFormat="1" x14ac:dyDescent="0.15"/>
    <row r="47779" s="69" customFormat="1" x14ac:dyDescent="0.15"/>
    <row r="47780" s="69" customFormat="1" x14ac:dyDescent="0.15"/>
    <row r="47781" s="69" customFormat="1" x14ac:dyDescent="0.15"/>
    <row r="47782" s="69" customFormat="1" x14ac:dyDescent="0.15"/>
    <row r="47783" s="69" customFormat="1" x14ac:dyDescent="0.15"/>
    <row r="47784" s="69" customFormat="1" x14ac:dyDescent="0.15"/>
    <row r="47785" s="69" customFormat="1" x14ac:dyDescent="0.15"/>
    <row r="47786" s="69" customFormat="1" x14ac:dyDescent="0.15"/>
    <row r="47787" s="69" customFormat="1" x14ac:dyDescent="0.15"/>
    <row r="47788" s="69" customFormat="1" x14ac:dyDescent="0.15"/>
    <row r="47789" s="69" customFormat="1" x14ac:dyDescent="0.15"/>
    <row r="47790" s="69" customFormat="1" x14ac:dyDescent="0.15"/>
    <row r="47791" s="69" customFormat="1" x14ac:dyDescent="0.15"/>
    <row r="47792" s="69" customFormat="1" x14ac:dyDescent="0.15"/>
    <row r="47793" s="69" customFormat="1" x14ac:dyDescent="0.15"/>
    <row r="47794" s="69" customFormat="1" x14ac:dyDescent="0.15"/>
    <row r="47795" s="69" customFormat="1" x14ac:dyDescent="0.15"/>
    <row r="47796" s="69" customFormat="1" x14ac:dyDescent="0.15"/>
    <row r="47797" s="69" customFormat="1" x14ac:dyDescent="0.15"/>
    <row r="47798" s="69" customFormat="1" x14ac:dyDescent="0.15"/>
    <row r="47799" s="69" customFormat="1" x14ac:dyDescent="0.15"/>
    <row r="47800" s="69" customFormat="1" x14ac:dyDescent="0.15"/>
    <row r="47801" s="69" customFormat="1" x14ac:dyDescent="0.15"/>
    <row r="47802" s="69" customFormat="1" x14ac:dyDescent="0.15"/>
    <row r="47803" s="69" customFormat="1" x14ac:dyDescent="0.15"/>
    <row r="47804" s="69" customFormat="1" x14ac:dyDescent="0.15"/>
    <row r="47805" s="69" customFormat="1" x14ac:dyDescent="0.15"/>
    <row r="47806" s="69" customFormat="1" x14ac:dyDescent="0.15"/>
    <row r="47807" s="69" customFormat="1" x14ac:dyDescent="0.15"/>
    <row r="47808" s="69" customFormat="1" x14ac:dyDescent="0.15"/>
    <row r="47809" s="69" customFormat="1" x14ac:dyDescent="0.15"/>
    <row r="47810" s="69" customFormat="1" x14ac:dyDescent="0.15"/>
    <row r="47811" s="69" customFormat="1" x14ac:dyDescent="0.15"/>
    <row r="47812" s="69" customFormat="1" x14ac:dyDescent="0.15"/>
    <row r="47813" s="69" customFormat="1" x14ac:dyDescent="0.15"/>
    <row r="47814" s="69" customFormat="1" x14ac:dyDescent="0.15"/>
    <row r="47815" s="69" customFormat="1" x14ac:dyDescent="0.15"/>
    <row r="47816" s="69" customFormat="1" x14ac:dyDescent="0.15"/>
    <row r="47817" s="69" customFormat="1" x14ac:dyDescent="0.15"/>
    <row r="47818" s="69" customFormat="1" x14ac:dyDescent="0.15"/>
    <row r="47819" s="69" customFormat="1" x14ac:dyDescent="0.15"/>
    <row r="47820" s="69" customFormat="1" x14ac:dyDescent="0.15"/>
    <row r="47821" s="69" customFormat="1" x14ac:dyDescent="0.15"/>
    <row r="47822" s="69" customFormat="1" x14ac:dyDescent="0.15"/>
    <row r="47823" s="69" customFormat="1" x14ac:dyDescent="0.15"/>
    <row r="47824" s="69" customFormat="1" x14ac:dyDescent="0.15"/>
    <row r="47825" s="69" customFormat="1" x14ac:dyDescent="0.15"/>
    <row r="47826" s="69" customFormat="1" x14ac:dyDescent="0.15"/>
    <row r="47827" s="69" customFormat="1" x14ac:dyDescent="0.15"/>
    <row r="47828" s="69" customFormat="1" x14ac:dyDescent="0.15"/>
    <row r="47829" s="69" customFormat="1" x14ac:dyDescent="0.15"/>
    <row r="47830" s="69" customFormat="1" x14ac:dyDescent="0.15"/>
    <row r="47831" s="69" customFormat="1" x14ac:dyDescent="0.15"/>
    <row r="47832" s="69" customFormat="1" x14ac:dyDescent="0.15"/>
    <row r="47833" s="69" customFormat="1" x14ac:dyDescent="0.15"/>
    <row r="47834" s="69" customFormat="1" x14ac:dyDescent="0.15"/>
    <row r="47835" s="69" customFormat="1" x14ac:dyDescent="0.15"/>
    <row r="47836" s="69" customFormat="1" x14ac:dyDescent="0.15"/>
    <row r="47837" s="69" customFormat="1" x14ac:dyDescent="0.15"/>
    <row r="47838" s="69" customFormat="1" x14ac:dyDescent="0.15"/>
    <row r="47839" s="69" customFormat="1" x14ac:dyDescent="0.15"/>
    <row r="47840" s="69" customFormat="1" x14ac:dyDescent="0.15"/>
    <row r="47841" s="69" customFormat="1" x14ac:dyDescent="0.15"/>
    <row r="47842" s="69" customFormat="1" x14ac:dyDescent="0.15"/>
    <row r="47843" s="69" customFormat="1" x14ac:dyDescent="0.15"/>
    <row r="47844" s="69" customFormat="1" x14ac:dyDescent="0.15"/>
    <row r="47845" s="69" customFormat="1" x14ac:dyDescent="0.15"/>
    <row r="47846" s="69" customFormat="1" x14ac:dyDescent="0.15"/>
    <row r="47847" s="69" customFormat="1" x14ac:dyDescent="0.15"/>
    <row r="47848" s="69" customFormat="1" x14ac:dyDescent="0.15"/>
    <row r="47849" s="69" customFormat="1" x14ac:dyDescent="0.15"/>
    <row r="47850" s="69" customFormat="1" x14ac:dyDescent="0.15"/>
    <row r="47851" s="69" customFormat="1" x14ac:dyDescent="0.15"/>
    <row r="47852" s="69" customFormat="1" x14ac:dyDescent="0.15"/>
    <row r="47853" s="69" customFormat="1" x14ac:dyDescent="0.15"/>
    <row r="47854" s="69" customFormat="1" x14ac:dyDescent="0.15"/>
    <row r="47855" s="69" customFormat="1" x14ac:dyDescent="0.15"/>
    <row r="47856" s="69" customFormat="1" x14ac:dyDescent="0.15"/>
    <row r="47857" s="69" customFormat="1" x14ac:dyDescent="0.15"/>
    <row r="47858" s="69" customFormat="1" x14ac:dyDescent="0.15"/>
    <row r="47859" s="69" customFormat="1" x14ac:dyDescent="0.15"/>
    <row r="47860" s="69" customFormat="1" x14ac:dyDescent="0.15"/>
    <row r="47861" s="69" customFormat="1" x14ac:dyDescent="0.15"/>
    <row r="47862" s="69" customFormat="1" x14ac:dyDescent="0.15"/>
    <row r="47863" s="69" customFormat="1" x14ac:dyDescent="0.15"/>
    <row r="47864" s="69" customFormat="1" x14ac:dyDescent="0.15"/>
    <row r="47865" s="69" customFormat="1" x14ac:dyDescent="0.15"/>
    <row r="47866" s="69" customFormat="1" x14ac:dyDescent="0.15"/>
    <row r="47867" s="69" customFormat="1" x14ac:dyDescent="0.15"/>
    <row r="47868" s="69" customFormat="1" x14ac:dyDescent="0.15"/>
    <row r="47869" s="69" customFormat="1" x14ac:dyDescent="0.15"/>
    <row r="47870" s="69" customFormat="1" x14ac:dyDescent="0.15"/>
    <row r="47871" s="69" customFormat="1" x14ac:dyDescent="0.15"/>
    <row r="47872" s="69" customFormat="1" x14ac:dyDescent="0.15"/>
    <row r="47873" s="69" customFormat="1" x14ac:dyDescent="0.15"/>
    <row r="47874" s="69" customFormat="1" x14ac:dyDescent="0.15"/>
    <row r="47875" s="69" customFormat="1" x14ac:dyDescent="0.15"/>
    <row r="47876" s="69" customFormat="1" x14ac:dyDescent="0.15"/>
    <row r="47877" s="69" customFormat="1" x14ac:dyDescent="0.15"/>
    <row r="47878" s="69" customFormat="1" x14ac:dyDescent="0.15"/>
    <row r="47879" s="69" customFormat="1" x14ac:dyDescent="0.15"/>
    <row r="47880" s="69" customFormat="1" x14ac:dyDescent="0.15"/>
    <row r="47881" s="69" customFormat="1" x14ac:dyDescent="0.15"/>
    <row r="47882" s="69" customFormat="1" x14ac:dyDescent="0.15"/>
    <row r="47883" s="69" customFormat="1" x14ac:dyDescent="0.15"/>
    <row r="47884" s="69" customFormat="1" x14ac:dyDescent="0.15"/>
    <row r="47885" s="69" customFormat="1" x14ac:dyDescent="0.15"/>
    <row r="47886" s="69" customFormat="1" x14ac:dyDescent="0.15"/>
    <row r="47887" s="69" customFormat="1" x14ac:dyDescent="0.15"/>
    <row r="47888" s="69" customFormat="1" x14ac:dyDescent="0.15"/>
    <row r="47889" s="69" customFormat="1" x14ac:dyDescent="0.15"/>
    <row r="47890" s="69" customFormat="1" x14ac:dyDescent="0.15"/>
    <row r="47891" s="69" customFormat="1" x14ac:dyDescent="0.15"/>
    <row r="47892" s="69" customFormat="1" x14ac:dyDescent="0.15"/>
    <row r="47893" s="69" customFormat="1" x14ac:dyDescent="0.15"/>
    <row r="47894" s="69" customFormat="1" x14ac:dyDescent="0.15"/>
    <row r="47895" s="69" customFormat="1" x14ac:dyDescent="0.15"/>
    <row r="47896" s="69" customFormat="1" x14ac:dyDescent="0.15"/>
    <row r="47897" s="69" customFormat="1" x14ac:dyDescent="0.15"/>
    <row r="47898" s="69" customFormat="1" x14ac:dyDescent="0.15"/>
    <row r="47899" s="69" customFormat="1" x14ac:dyDescent="0.15"/>
    <row r="47900" s="69" customFormat="1" x14ac:dyDescent="0.15"/>
    <row r="47901" s="69" customFormat="1" x14ac:dyDescent="0.15"/>
    <row r="47902" s="69" customFormat="1" x14ac:dyDescent="0.15"/>
    <row r="47903" s="69" customFormat="1" x14ac:dyDescent="0.15"/>
    <row r="47904" s="69" customFormat="1" x14ac:dyDescent="0.15"/>
    <row r="47905" s="69" customFormat="1" x14ac:dyDescent="0.15"/>
    <row r="47906" s="69" customFormat="1" x14ac:dyDescent="0.15"/>
    <row r="47907" s="69" customFormat="1" x14ac:dyDescent="0.15"/>
    <row r="47908" s="69" customFormat="1" x14ac:dyDescent="0.15"/>
    <row r="47909" s="69" customFormat="1" x14ac:dyDescent="0.15"/>
    <row r="47910" s="69" customFormat="1" x14ac:dyDescent="0.15"/>
    <row r="47911" s="69" customFormat="1" x14ac:dyDescent="0.15"/>
    <row r="47912" s="69" customFormat="1" x14ac:dyDescent="0.15"/>
    <row r="47913" s="69" customFormat="1" x14ac:dyDescent="0.15"/>
    <row r="47914" s="69" customFormat="1" x14ac:dyDescent="0.15"/>
    <row r="47915" s="69" customFormat="1" x14ac:dyDescent="0.15"/>
    <row r="47916" s="69" customFormat="1" x14ac:dyDescent="0.15"/>
    <row r="47917" s="69" customFormat="1" x14ac:dyDescent="0.15"/>
    <row r="47918" s="69" customFormat="1" x14ac:dyDescent="0.15"/>
    <row r="47919" s="69" customFormat="1" x14ac:dyDescent="0.15"/>
    <row r="47920" s="69" customFormat="1" x14ac:dyDescent="0.15"/>
    <row r="47921" s="69" customFormat="1" x14ac:dyDescent="0.15"/>
    <row r="47922" s="69" customFormat="1" x14ac:dyDescent="0.15"/>
    <row r="47923" s="69" customFormat="1" x14ac:dyDescent="0.15"/>
    <row r="47924" s="69" customFormat="1" x14ac:dyDescent="0.15"/>
    <row r="47925" s="69" customFormat="1" x14ac:dyDescent="0.15"/>
    <row r="47926" s="69" customFormat="1" x14ac:dyDescent="0.15"/>
    <row r="47927" s="69" customFormat="1" x14ac:dyDescent="0.15"/>
    <row r="47928" s="69" customFormat="1" x14ac:dyDescent="0.15"/>
    <row r="47929" s="69" customFormat="1" x14ac:dyDescent="0.15"/>
    <row r="47930" s="69" customFormat="1" x14ac:dyDescent="0.15"/>
    <row r="47931" s="69" customFormat="1" x14ac:dyDescent="0.15"/>
    <row r="47932" s="69" customFormat="1" x14ac:dyDescent="0.15"/>
    <row r="47933" s="69" customFormat="1" x14ac:dyDescent="0.15"/>
    <row r="47934" s="69" customFormat="1" x14ac:dyDescent="0.15"/>
    <row r="47935" s="69" customFormat="1" x14ac:dyDescent="0.15"/>
    <row r="47936" s="69" customFormat="1" x14ac:dyDescent="0.15"/>
    <row r="47937" s="69" customFormat="1" x14ac:dyDescent="0.15"/>
    <row r="47938" s="69" customFormat="1" x14ac:dyDescent="0.15"/>
    <row r="47939" s="69" customFormat="1" x14ac:dyDescent="0.15"/>
    <row r="47940" s="69" customFormat="1" x14ac:dyDescent="0.15"/>
    <row r="47941" s="69" customFormat="1" x14ac:dyDescent="0.15"/>
    <row r="47942" s="69" customFormat="1" x14ac:dyDescent="0.15"/>
    <row r="47943" s="69" customFormat="1" x14ac:dyDescent="0.15"/>
    <row r="47944" s="69" customFormat="1" x14ac:dyDescent="0.15"/>
    <row r="47945" s="69" customFormat="1" x14ac:dyDescent="0.15"/>
    <row r="47946" s="69" customFormat="1" x14ac:dyDescent="0.15"/>
    <row r="47947" s="69" customFormat="1" x14ac:dyDescent="0.15"/>
    <row r="47948" s="69" customFormat="1" x14ac:dyDescent="0.15"/>
    <row r="47949" s="69" customFormat="1" x14ac:dyDescent="0.15"/>
    <row r="47950" s="69" customFormat="1" x14ac:dyDescent="0.15"/>
    <row r="47951" s="69" customFormat="1" x14ac:dyDescent="0.15"/>
    <row r="47952" s="69" customFormat="1" x14ac:dyDescent="0.15"/>
    <row r="47953" s="69" customFormat="1" x14ac:dyDescent="0.15"/>
    <row r="47954" s="69" customFormat="1" x14ac:dyDescent="0.15"/>
    <row r="47955" s="69" customFormat="1" x14ac:dyDescent="0.15"/>
    <row r="47956" s="69" customFormat="1" x14ac:dyDescent="0.15"/>
    <row r="47957" s="69" customFormat="1" x14ac:dyDescent="0.15"/>
    <row r="47958" s="69" customFormat="1" x14ac:dyDescent="0.15"/>
    <row r="47959" s="69" customFormat="1" x14ac:dyDescent="0.15"/>
    <row r="47960" s="69" customFormat="1" x14ac:dyDescent="0.15"/>
    <row r="47961" s="69" customFormat="1" x14ac:dyDescent="0.15"/>
    <row r="47962" s="69" customFormat="1" x14ac:dyDescent="0.15"/>
    <row r="47963" s="69" customFormat="1" x14ac:dyDescent="0.15"/>
    <row r="47964" s="69" customFormat="1" x14ac:dyDescent="0.15"/>
    <row r="47965" s="69" customFormat="1" x14ac:dyDescent="0.15"/>
    <row r="47966" s="69" customFormat="1" x14ac:dyDescent="0.15"/>
    <row r="47967" s="69" customFormat="1" x14ac:dyDescent="0.15"/>
    <row r="47968" s="69" customFormat="1" x14ac:dyDescent="0.15"/>
    <row r="47969" s="69" customFormat="1" x14ac:dyDescent="0.15"/>
    <row r="47970" s="69" customFormat="1" x14ac:dyDescent="0.15"/>
    <row r="47971" s="69" customFormat="1" x14ac:dyDescent="0.15"/>
    <row r="47972" s="69" customFormat="1" x14ac:dyDescent="0.15"/>
    <row r="47973" s="69" customFormat="1" x14ac:dyDescent="0.15"/>
    <row r="47974" s="69" customFormat="1" x14ac:dyDescent="0.15"/>
    <row r="47975" s="69" customFormat="1" x14ac:dyDescent="0.15"/>
    <row r="47976" s="69" customFormat="1" x14ac:dyDescent="0.15"/>
    <row r="47977" s="69" customFormat="1" x14ac:dyDescent="0.15"/>
    <row r="47978" s="69" customFormat="1" x14ac:dyDescent="0.15"/>
    <row r="47979" s="69" customFormat="1" x14ac:dyDescent="0.15"/>
    <row r="47980" s="69" customFormat="1" x14ac:dyDescent="0.15"/>
    <row r="47981" s="69" customFormat="1" x14ac:dyDescent="0.15"/>
    <row r="47982" s="69" customFormat="1" x14ac:dyDescent="0.15"/>
    <row r="47983" s="69" customFormat="1" x14ac:dyDescent="0.15"/>
    <row r="47984" s="69" customFormat="1" x14ac:dyDescent="0.15"/>
    <row r="47985" s="69" customFormat="1" x14ac:dyDescent="0.15"/>
    <row r="47986" s="69" customFormat="1" x14ac:dyDescent="0.15"/>
    <row r="47987" s="69" customFormat="1" x14ac:dyDescent="0.15"/>
    <row r="47988" s="69" customFormat="1" x14ac:dyDescent="0.15"/>
    <row r="47989" s="69" customFormat="1" x14ac:dyDescent="0.15"/>
    <row r="47990" s="69" customFormat="1" x14ac:dyDescent="0.15"/>
    <row r="47991" s="69" customFormat="1" x14ac:dyDescent="0.15"/>
    <row r="47992" s="69" customFormat="1" x14ac:dyDescent="0.15"/>
    <row r="47993" s="69" customFormat="1" x14ac:dyDescent="0.15"/>
    <row r="47994" s="69" customFormat="1" x14ac:dyDescent="0.15"/>
    <row r="47995" s="69" customFormat="1" x14ac:dyDescent="0.15"/>
    <row r="47996" s="69" customFormat="1" x14ac:dyDescent="0.15"/>
    <row r="47997" s="69" customFormat="1" x14ac:dyDescent="0.15"/>
    <row r="47998" s="69" customFormat="1" x14ac:dyDescent="0.15"/>
    <row r="47999" s="69" customFormat="1" x14ac:dyDescent="0.15"/>
    <row r="48000" s="69" customFormat="1" x14ac:dyDescent="0.15"/>
    <row r="48001" s="69" customFormat="1" x14ac:dyDescent="0.15"/>
    <row r="48002" s="69" customFormat="1" x14ac:dyDescent="0.15"/>
    <row r="48003" s="69" customFormat="1" x14ac:dyDescent="0.15"/>
    <row r="48004" s="69" customFormat="1" x14ac:dyDescent="0.15"/>
    <row r="48005" s="69" customFormat="1" x14ac:dyDescent="0.15"/>
    <row r="48006" s="69" customFormat="1" x14ac:dyDescent="0.15"/>
    <row r="48007" s="69" customFormat="1" x14ac:dyDescent="0.15"/>
    <row r="48008" s="69" customFormat="1" x14ac:dyDescent="0.15"/>
    <row r="48009" s="69" customFormat="1" x14ac:dyDescent="0.15"/>
    <row r="48010" s="69" customFormat="1" x14ac:dyDescent="0.15"/>
    <row r="48011" s="69" customFormat="1" x14ac:dyDescent="0.15"/>
    <row r="48012" s="69" customFormat="1" x14ac:dyDescent="0.15"/>
    <row r="48013" s="69" customFormat="1" x14ac:dyDescent="0.15"/>
    <row r="48014" s="69" customFormat="1" x14ac:dyDescent="0.15"/>
    <row r="48015" s="69" customFormat="1" x14ac:dyDescent="0.15"/>
    <row r="48016" s="69" customFormat="1" x14ac:dyDescent="0.15"/>
    <row r="48017" s="69" customFormat="1" x14ac:dyDescent="0.15"/>
    <row r="48018" s="69" customFormat="1" x14ac:dyDescent="0.15"/>
    <row r="48019" s="69" customFormat="1" x14ac:dyDescent="0.15"/>
    <row r="48020" s="69" customFormat="1" x14ac:dyDescent="0.15"/>
    <row r="48021" s="69" customFormat="1" x14ac:dyDescent="0.15"/>
    <row r="48022" s="69" customFormat="1" x14ac:dyDescent="0.15"/>
    <row r="48023" s="69" customFormat="1" x14ac:dyDescent="0.15"/>
    <row r="48024" s="69" customFormat="1" x14ac:dyDescent="0.15"/>
    <row r="48025" s="69" customFormat="1" x14ac:dyDescent="0.15"/>
    <row r="48026" s="69" customFormat="1" x14ac:dyDescent="0.15"/>
    <row r="48027" s="69" customFormat="1" x14ac:dyDescent="0.15"/>
    <row r="48028" s="69" customFormat="1" x14ac:dyDescent="0.15"/>
    <row r="48029" s="69" customFormat="1" x14ac:dyDescent="0.15"/>
    <row r="48030" s="69" customFormat="1" x14ac:dyDescent="0.15"/>
    <row r="48031" s="69" customFormat="1" x14ac:dyDescent="0.15"/>
    <row r="48032" s="69" customFormat="1" x14ac:dyDescent="0.15"/>
    <row r="48033" s="69" customFormat="1" x14ac:dyDescent="0.15"/>
    <row r="48034" s="69" customFormat="1" x14ac:dyDescent="0.15"/>
    <row r="48035" s="69" customFormat="1" x14ac:dyDescent="0.15"/>
    <row r="48036" s="69" customFormat="1" x14ac:dyDescent="0.15"/>
    <row r="48037" s="69" customFormat="1" x14ac:dyDescent="0.15"/>
    <row r="48038" s="69" customFormat="1" x14ac:dyDescent="0.15"/>
    <row r="48039" s="69" customFormat="1" x14ac:dyDescent="0.15"/>
    <row r="48040" s="69" customFormat="1" x14ac:dyDescent="0.15"/>
    <row r="48041" s="69" customFormat="1" x14ac:dyDescent="0.15"/>
    <row r="48042" s="69" customFormat="1" x14ac:dyDescent="0.15"/>
    <row r="48043" s="69" customFormat="1" x14ac:dyDescent="0.15"/>
    <row r="48044" s="69" customFormat="1" x14ac:dyDescent="0.15"/>
    <row r="48045" s="69" customFormat="1" x14ac:dyDescent="0.15"/>
    <row r="48046" s="69" customFormat="1" x14ac:dyDescent="0.15"/>
    <row r="48047" s="69" customFormat="1" x14ac:dyDescent="0.15"/>
    <row r="48048" s="69" customFormat="1" x14ac:dyDescent="0.15"/>
    <row r="48049" s="69" customFormat="1" x14ac:dyDescent="0.15"/>
    <row r="48050" s="69" customFormat="1" x14ac:dyDescent="0.15"/>
    <row r="48051" s="69" customFormat="1" x14ac:dyDescent="0.15"/>
    <row r="48052" s="69" customFormat="1" x14ac:dyDescent="0.15"/>
    <row r="48053" s="69" customFormat="1" x14ac:dyDescent="0.15"/>
    <row r="48054" s="69" customFormat="1" x14ac:dyDescent="0.15"/>
    <row r="48055" s="69" customFormat="1" x14ac:dyDescent="0.15"/>
    <row r="48056" s="69" customFormat="1" x14ac:dyDescent="0.15"/>
    <row r="48057" s="69" customFormat="1" x14ac:dyDescent="0.15"/>
    <row r="48058" s="69" customFormat="1" x14ac:dyDescent="0.15"/>
    <row r="48059" s="69" customFormat="1" x14ac:dyDescent="0.15"/>
    <row r="48060" s="69" customFormat="1" x14ac:dyDescent="0.15"/>
    <row r="48061" s="69" customFormat="1" x14ac:dyDescent="0.15"/>
    <row r="48062" s="69" customFormat="1" x14ac:dyDescent="0.15"/>
    <row r="48063" s="69" customFormat="1" x14ac:dyDescent="0.15"/>
    <row r="48064" s="69" customFormat="1" x14ac:dyDescent="0.15"/>
    <row r="48065" s="69" customFormat="1" x14ac:dyDescent="0.15"/>
    <row r="48066" s="69" customFormat="1" x14ac:dyDescent="0.15"/>
    <row r="48067" s="69" customFormat="1" x14ac:dyDescent="0.15"/>
    <row r="48068" s="69" customFormat="1" x14ac:dyDescent="0.15"/>
    <row r="48069" s="69" customFormat="1" x14ac:dyDescent="0.15"/>
    <row r="48070" s="69" customFormat="1" x14ac:dyDescent="0.15"/>
    <row r="48071" s="69" customFormat="1" x14ac:dyDescent="0.15"/>
    <row r="48072" s="69" customFormat="1" x14ac:dyDescent="0.15"/>
    <row r="48073" s="69" customFormat="1" x14ac:dyDescent="0.15"/>
    <row r="48074" s="69" customFormat="1" x14ac:dyDescent="0.15"/>
    <row r="48075" s="69" customFormat="1" x14ac:dyDescent="0.15"/>
    <row r="48076" s="69" customFormat="1" x14ac:dyDescent="0.15"/>
    <row r="48077" s="69" customFormat="1" x14ac:dyDescent="0.15"/>
    <row r="48078" s="69" customFormat="1" x14ac:dyDescent="0.15"/>
    <row r="48079" s="69" customFormat="1" x14ac:dyDescent="0.15"/>
    <row r="48080" s="69" customFormat="1" x14ac:dyDescent="0.15"/>
    <row r="48081" s="69" customFormat="1" x14ac:dyDescent="0.15"/>
    <row r="48082" s="69" customFormat="1" x14ac:dyDescent="0.15"/>
    <row r="48083" s="69" customFormat="1" x14ac:dyDescent="0.15"/>
    <row r="48084" s="69" customFormat="1" x14ac:dyDescent="0.15"/>
    <row r="48085" s="69" customFormat="1" x14ac:dyDescent="0.15"/>
    <row r="48086" s="69" customFormat="1" x14ac:dyDescent="0.15"/>
    <row r="48087" s="69" customFormat="1" x14ac:dyDescent="0.15"/>
    <row r="48088" s="69" customFormat="1" x14ac:dyDescent="0.15"/>
    <row r="48089" s="69" customFormat="1" x14ac:dyDescent="0.15"/>
    <row r="48090" s="69" customFormat="1" x14ac:dyDescent="0.15"/>
    <row r="48091" s="69" customFormat="1" x14ac:dyDescent="0.15"/>
    <row r="48092" s="69" customFormat="1" x14ac:dyDescent="0.15"/>
    <row r="48093" s="69" customFormat="1" x14ac:dyDescent="0.15"/>
    <row r="48094" s="69" customFormat="1" x14ac:dyDescent="0.15"/>
    <row r="48095" s="69" customFormat="1" x14ac:dyDescent="0.15"/>
    <row r="48096" s="69" customFormat="1" x14ac:dyDescent="0.15"/>
    <row r="48097" s="69" customFormat="1" x14ac:dyDescent="0.15"/>
    <row r="48098" s="69" customFormat="1" x14ac:dyDescent="0.15"/>
    <row r="48099" s="69" customFormat="1" x14ac:dyDescent="0.15"/>
    <row r="48100" s="69" customFormat="1" x14ac:dyDescent="0.15"/>
    <row r="48101" s="69" customFormat="1" x14ac:dyDescent="0.15"/>
    <row r="48102" s="69" customFormat="1" x14ac:dyDescent="0.15"/>
    <row r="48103" s="69" customFormat="1" x14ac:dyDescent="0.15"/>
    <row r="48104" s="69" customFormat="1" x14ac:dyDescent="0.15"/>
    <row r="48105" s="69" customFormat="1" x14ac:dyDescent="0.15"/>
    <row r="48106" s="69" customFormat="1" x14ac:dyDescent="0.15"/>
    <row r="48107" s="69" customFormat="1" x14ac:dyDescent="0.15"/>
    <row r="48108" s="69" customFormat="1" x14ac:dyDescent="0.15"/>
    <row r="48109" s="69" customFormat="1" x14ac:dyDescent="0.15"/>
    <row r="48110" s="69" customFormat="1" x14ac:dyDescent="0.15"/>
    <row r="48111" s="69" customFormat="1" x14ac:dyDescent="0.15"/>
    <row r="48112" s="69" customFormat="1" x14ac:dyDescent="0.15"/>
    <row r="48113" s="69" customFormat="1" x14ac:dyDescent="0.15"/>
    <row r="48114" s="69" customFormat="1" x14ac:dyDescent="0.15"/>
    <row r="48115" s="69" customFormat="1" x14ac:dyDescent="0.15"/>
    <row r="48116" s="69" customFormat="1" x14ac:dyDescent="0.15"/>
    <row r="48117" s="69" customFormat="1" x14ac:dyDescent="0.15"/>
    <row r="48118" s="69" customFormat="1" x14ac:dyDescent="0.15"/>
    <row r="48119" s="69" customFormat="1" x14ac:dyDescent="0.15"/>
    <row r="48120" s="69" customFormat="1" x14ac:dyDescent="0.15"/>
    <row r="48121" s="69" customFormat="1" x14ac:dyDescent="0.15"/>
    <row r="48122" s="69" customFormat="1" x14ac:dyDescent="0.15"/>
    <row r="48123" s="69" customFormat="1" x14ac:dyDescent="0.15"/>
    <row r="48124" s="69" customFormat="1" x14ac:dyDescent="0.15"/>
    <row r="48125" s="69" customFormat="1" x14ac:dyDescent="0.15"/>
    <row r="48126" s="69" customFormat="1" x14ac:dyDescent="0.15"/>
    <row r="48127" s="69" customFormat="1" x14ac:dyDescent="0.15"/>
    <row r="48128" s="69" customFormat="1" x14ac:dyDescent="0.15"/>
    <row r="48129" s="69" customFormat="1" x14ac:dyDescent="0.15"/>
    <row r="48130" s="69" customFormat="1" x14ac:dyDescent="0.15"/>
    <row r="48131" s="69" customFormat="1" x14ac:dyDescent="0.15"/>
    <row r="48132" s="69" customFormat="1" x14ac:dyDescent="0.15"/>
    <row r="48133" s="69" customFormat="1" x14ac:dyDescent="0.15"/>
    <row r="48134" s="69" customFormat="1" x14ac:dyDescent="0.15"/>
    <row r="48135" s="69" customFormat="1" x14ac:dyDescent="0.15"/>
    <row r="48136" s="69" customFormat="1" x14ac:dyDescent="0.15"/>
    <row r="48137" s="69" customFormat="1" x14ac:dyDescent="0.15"/>
    <row r="48138" s="69" customFormat="1" x14ac:dyDescent="0.15"/>
    <row r="48139" s="69" customFormat="1" x14ac:dyDescent="0.15"/>
    <row r="48140" s="69" customFormat="1" x14ac:dyDescent="0.15"/>
    <row r="48141" s="69" customFormat="1" x14ac:dyDescent="0.15"/>
    <row r="48142" s="69" customFormat="1" x14ac:dyDescent="0.15"/>
    <row r="48143" s="69" customFormat="1" x14ac:dyDescent="0.15"/>
    <row r="48144" s="69" customFormat="1" x14ac:dyDescent="0.15"/>
    <row r="48145" s="69" customFormat="1" x14ac:dyDescent="0.15"/>
    <row r="48146" s="69" customFormat="1" x14ac:dyDescent="0.15"/>
    <row r="48147" s="69" customFormat="1" x14ac:dyDescent="0.15"/>
    <row r="48148" s="69" customFormat="1" x14ac:dyDescent="0.15"/>
    <row r="48149" s="69" customFormat="1" x14ac:dyDescent="0.15"/>
    <row r="48150" s="69" customFormat="1" x14ac:dyDescent="0.15"/>
    <row r="48151" s="69" customFormat="1" x14ac:dyDescent="0.15"/>
    <row r="48152" s="69" customFormat="1" x14ac:dyDescent="0.15"/>
    <row r="48153" s="69" customFormat="1" x14ac:dyDescent="0.15"/>
    <row r="48154" s="69" customFormat="1" x14ac:dyDescent="0.15"/>
    <row r="48155" s="69" customFormat="1" x14ac:dyDescent="0.15"/>
    <row r="48156" s="69" customFormat="1" x14ac:dyDescent="0.15"/>
    <row r="48157" s="69" customFormat="1" x14ac:dyDescent="0.15"/>
    <row r="48158" s="69" customFormat="1" x14ac:dyDescent="0.15"/>
    <row r="48159" s="69" customFormat="1" x14ac:dyDescent="0.15"/>
    <row r="48160" s="69" customFormat="1" x14ac:dyDescent="0.15"/>
    <row r="48161" s="69" customFormat="1" x14ac:dyDescent="0.15"/>
    <row r="48162" s="69" customFormat="1" x14ac:dyDescent="0.15"/>
    <row r="48163" s="69" customFormat="1" x14ac:dyDescent="0.15"/>
    <row r="48164" s="69" customFormat="1" x14ac:dyDescent="0.15"/>
    <row r="48165" s="69" customFormat="1" x14ac:dyDescent="0.15"/>
    <row r="48166" s="69" customFormat="1" x14ac:dyDescent="0.15"/>
    <row r="48167" s="69" customFormat="1" x14ac:dyDescent="0.15"/>
    <row r="48168" s="69" customFormat="1" x14ac:dyDescent="0.15"/>
    <row r="48169" s="69" customFormat="1" x14ac:dyDescent="0.15"/>
    <row r="48170" s="69" customFormat="1" x14ac:dyDescent="0.15"/>
    <row r="48171" s="69" customFormat="1" x14ac:dyDescent="0.15"/>
    <row r="48172" s="69" customFormat="1" x14ac:dyDescent="0.15"/>
    <row r="48173" s="69" customFormat="1" x14ac:dyDescent="0.15"/>
    <row r="48174" s="69" customFormat="1" x14ac:dyDescent="0.15"/>
    <row r="48175" s="69" customFormat="1" x14ac:dyDescent="0.15"/>
    <row r="48176" s="69" customFormat="1" x14ac:dyDescent="0.15"/>
    <row r="48177" s="69" customFormat="1" x14ac:dyDescent="0.15"/>
    <row r="48178" s="69" customFormat="1" x14ac:dyDescent="0.15"/>
    <row r="48179" s="69" customFormat="1" x14ac:dyDescent="0.15"/>
    <row r="48180" s="69" customFormat="1" x14ac:dyDescent="0.15"/>
    <row r="48181" s="69" customFormat="1" x14ac:dyDescent="0.15"/>
    <row r="48182" s="69" customFormat="1" x14ac:dyDescent="0.15"/>
    <row r="48183" s="69" customFormat="1" x14ac:dyDescent="0.15"/>
    <row r="48184" s="69" customFormat="1" x14ac:dyDescent="0.15"/>
    <row r="48185" s="69" customFormat="1" x14ac:dyDescent="0.15"/>
    <row r="48186" s="69" customFormat="1" x14ac:dyDescent="0.15"/>
    <row r="48187" s="69" customFormat="1" x14ac:dyDescent="0.15"/>
    <row r="48188" s="69" customFormat="1" x14ac:dyDescent="0.15"/>
    <row r="48189" s="69" customFormat="1" x14ac:dyDescent="0.15"/>
    <row r="48190" s="69" customFormat="1" x14ac:dyDescent="0.15"/>
    <row r="48191" s="69" customFormat="1" x14ac:dyDescent="0.15"/>
    <row r="48192" s="69" customFormat="1" x14ac:dyDescent="0.15"/>
    <row r="48193" s="69" customFormat="1" x14ac:dyDescent="0.15"/>
    <row r="48194" s="69" customFormat="1" x14ac:dyDescent="0.15"/>
    <row r="48195" s="69" customFormat="1" x14ac:dyDescent="0.15"/>
    <row r="48196" s="69" customFormat="1" x14ac:dyDescent="0.15"/>
    <row r="48197" s="69" customFormat="1" x14ac:dyDescent="0.15"/>
    <row r="48198" s="69" customFormat="1" x14ac:dyDescent="0.15"/>
    <row r="48199" s="69" customFormat="1" x14ac:dyDescent="0.15"/>
    <row r="48200" s="69" customFormat="1" x14ac:dyDescent="0.15"/>
    <row r="48201" s="69" customFormat="1" x14ac:dyDescent="0.15"/>
    <row r="48202" s="69" customFormat="1" x14ac:dyDescent="0.15"/>
    <row r="48203" s="69" customFormat="1" x14ac:dyDescent="0.15"/>
    <row r="48204" s="69" customFormat="1" x14ac:dyDescent="0.15"/>
    <row r="48205" s="69" customFormat="1" x14ac:dyDescent="0.15"/>
    <row r="48206" s="69" customFormat="1" x14ac:dyDescent="0.15"/>
    <row r="48207" s="69" customFormat="1" x14ac:dyDescent="0.15"/>
    <row r="48208" s="69" customFormat="1" x14ac:dyDescent="0.15"/>
    <row r="48209" s="69" customFormat="1" x14ac:dyDescent="0.15"/>
    <row r="48210" s="69" customFormat="1" x14ac:dyDescent="0.15"/>
    <row r="48211" s="69" customFormat="1" x14ac:dyDescent="0.15"/>
    <row r="48212" s="69" customFormat="1" x14ac:dyDescent="0.15"/>
    <row r="48213" s="69" customFormat="1" x14ac:dyDescent="0.15"/>
    <row r="48214" s="69" customFormat="1" x14ac:dyDescent="0.15"/>
    <row r="48215" s="69" customFormat="1" x14ac:dyDescent="0.15"/>
    <row r="48216" s="69" customFormat="1" x14ac:dyDescent="0.15"/>
    <row r="48217" s="69" customFormat="1" x14ac:dyDescent="0.15"/>
    <row r="48218" s="69" customFormat="1" x14ac:dyDescent="0.15"/>
    <row r="48219" s="69" customFormat="1" x14ac:dyDescent="0.15"/>
    <row r="48220" s="69" customFormat="1" x14ac:dyDescent="0.15"/>
    <row r="48221" s="69" customFormat="1" x14ac:dyDescent="0.15"/>
    <row r="48222" s="69" customFormat="1" x14ac:dyDescent="0.15"/>
    <row r="48223" s="69" customFormat="1" x14ac:dyDescent="0.15"/>
    <row r="48224" s="69" customFormat="1" x14ac:dyDescent="0.15"/>
    <row r="48225" s="69" customFormat="1" x14ac:dyDescent="0.15"/>
    <row r="48226" s="69" customFormat="1" x14ac:dyDescent="0.15"/>
    <row r="48227" s="69" customFormat="1" x14ac:dyDescent="0.15"/>
    <row r="48228" s="69" customFormat="1" x14ac:dyDescent="0.15"/>
    <row r="48229" s="69" customFormat="1" x14ac:dyDescent="0.15"/>
    <row r="48230" s="69" customFormat="1" x14ac:dyDescent="0.15"/>
    <row r="48231" s="69" customFormat="1" x14ac:dyDescent="0.15"/>
    <row r="48232" s="69" customFormat="1" x14ac:dyDescent="0.15"/>
    <row r="48233" s="69" customFormat="1" x14ac:dyDescent="0.15"/>
    <row r="48234" s="69" customFormat="1" x14ac:dyDescent="0.15"/>
    <row r="48235" s="69" customFormat="1" x14ac:dyDescent="0.15"/>
    <row r="48236" s="69" customFormat="1" x14ac:dyDescent="0.15"/>
    <row r="48237" s="69" customFormat="1" x14ac:dyDescent="0.15"/>
    <row r="48238" s="69" customFormat="1" x14ac:dyDescent="0.15"/>
    <row r="48239" s="69" customFormat="1" x14ac:dyDescent="0.15"/>
    <row r="48240" s="69" customFormat="1" x14ac:dyDescent="0.15"/>
    <row r="48241" s="69" customFormat="1" x14ac:dyDescent="0.15"/>
    <row r="48242" s="69" customFormat="1" x14ac:dyDescent="0.15"/>
    <row r="48243" s="69" customFormat="1" x14ac:dyDescent="0.15"/>
    <row r="48244" s="69" customFormat="1" x14ac:dyDescent="0.15"/>
    <row r="48245" s="69" customFormat="1" x14ac:dyDescent="0.15"/>
    <row r="48246" s="69" customFormat="1" x14ac:dyDescent="0.15"/>
    <row r="48247" s="69" customFormat="1" x14ac:dyDescent="0.15"/>
    <row r="48248" s="69" customFormat="1" x14ac:dyDescent="0.15"/>
    <row r="48249" s="69" customFormat="1" x14ac:dyDescent="0.15"/>
    <row r="48250" s="69" customFormat="1" x14ac:dyDescent="0.15"/>
    <row r="48251" s="69" customFormat="1" x14ac:dyDescent="0.15"/>
    <row r="48252" s="69" customFormat="1" x14ac:dyDescent="0.15"/>
    <row r="48253" s="69" customFormat="1" x14ac:dyDescent="0.15"/>
    <row r="48254" s="69" customFormat="1" x14ac:dyDescent="0.15"/>
    <row r="48255" s="69" customFormat="1" x14ac:dyDescent="0.15"/>
    <row r="48256" s="69" customFormat="1" x14ac:dyDescent="0.15"/>
    <row r="48257" s="69" customFormat="1" x14ac:dyDescent="0.15"/>
    <row r="48258" s="69" customFormat="1" x14ac:dyDescent="0.15"/>
    <row r="48259" s="69" customFormat="1" x14ac:dyDescent="0.15"/>
    <row r="48260" s="69" customFormat="1" x14ac:dyDescent="0.15"/>
    <row r="48261" s="69" customFormat="1" x14ac:dyDescent="0.15"/>
    <row r="48262" s="69" customFormat="1" x14ac:dyDescent="0.15"/>
    <row r="48263" s="69" customFormat="1" x14ac:dyDescent="0.15"/>
    <row r="48264" s="69" customFormat="1" x14ac:dyDescent="0.15"/>
    <row r="48265" s="69" customFormat="1" x14ac:dyDescent="0.15"/>
    <row r="48266" s="69" customFormat="1" x14ac:dyDescent="0.15"/>
    <row r="48267" s="69" customFormat="1" x14ac:dyDescent="0.15"/>
    <row r="48268" s="69" customFormat="1" x14ac:dyDescent="0.15"/>
    <row r="48269" s="69" customFormat="1" x14ac:dyDescent="0.15"/>
    <row r="48270" s="69" customFormat="1" x14ac:dyDescent="0.15"/>
    <row r="48271" s="69" customFormat="1" x14ac:dyDescent="0.15"/>
    <row r="48272" s="69" customFormat="1" x14ac:dyDescent="0.15"/>
    <row r="48273" s="69" customFormat="1" x14ac:dyDescent="0.15"/>
    <row r="48274" s="69" customFormat="1" x14ac:dyDescent="0.15"/>
    <row r="48275" s="69" customFormat="1" x14ac:dyDescent="0.15"/>
    <row r="48276" s="69" customFormat="1" x14ac:dyDescent="0.15"/>
    <row r="48277" s="69" customFormat="1" x14ac:dyDescent="0.15"/>
    <row r="48278" s="69" customFormat="1" x14ac:dyDescent="0.15"/>
    <row r="48279" s="69" customFormat="1" x14ac:dyDescent="0.15"/>
    <row r="48280" s="69" customFormat="1" x14ac:dyDescent="0.15"/>
    <row r="48281" s="69" customFormat="1" x14ac:dyDescent="0.15"/>
    <row r="48282" s="69" customFormat="1" x14ac:dyDescent="0.15"/>
    <row r="48283" s="69" customFormat="1" x14ac:dyDescent="0.15"/>
    <row r="48284" s="69" customFormat="1" x14ac:dyDescent="0.15"/>
    <row r="48285" s="69" customFormat="1" x14ac:dyDescent="0.15"/>
    <row r="48286" s="69" customFormat="1" x14ac:dyDescent="0.15"/>
    <row r="48287" s="69" customFormat="1" x14ac:dyDescent="0.15"/>
    <row r="48288" s="69" customFormat="1" x14ac:dyDescent="0.15"/>
    <row r="48289" s="69" customFormat="1" x14ac:dyDescent="0.15"/>
    <row r="48290" s="69" customFormat="1" x14ac:dyDescent="0.15"/>
    <row r="48291" s="69" customFormat="1" x14ac:dyDescent="0.15"/>
    <row r="48292" s="69" customFormat="1" x14ac:dyDescent="0.15"/>
    <row r="48293" s="69" customFormat="1" x14ac:dyDescent="0.15"/>
    <row r="48294" s="69" customFormat="1" x14ac:dyDescent="0.15"/>
    <row r="48295" s="69" customFormat="1" x14ac:dyDescent="0.15"/>
    <row r="48296" s="69" customFormat="1" x14ac:dyDescent="0.15"/>
    <row r="48297" s="69" customFormat="1" x14ac:dyDescent="0.15"/>
    <row r="48298" s="69" customFormat="1" x14ac:dyDescent="0.15"/>
    <row r="48299" s="69" customFormat="1" x14ac:dyDescent="0.15"/>
    <row r="48300" s="69" customFormat="1" x14ac:dyDescent="0.15"/>
    <row r="48301" s="69" customFormat="1" x14ac:dyDescent="0.15"/>
    <row r="48302" s="69" customFormat="1" x14ac:dyDescent="0.15"/>
    <row r="48303" s="69" customFormat="1" x14ac:dyDescent="0.15"/>
    <row r="48304" s="69" customFormat="1" x14ac:dyDescent="0.15"/>
    <row r="48305" s="69" customFormat="1" x14ac:dyDescent="0.15"/>
    <row r="48306" s="69" customFormat="1" x14ac:dyDescent="0.15"/>
    <row r="48307" s="69" customFormat="1" x14ac:dyDescent="0.15"/>
    <row r="48308" s="69" customFormat="1" x14ac:dyDescent="0.15"/>
    <row r="48309" s="69" customFormat="1" x14ac:dyDescent="0.15"/>
    <row r="48310" s="69" customFormat="1" x14ac:dyDescent="0.15"/>
    <row r="48311" s="69" customFormat="1" x14ac:dyDescent="0.15"/>
    <row r="48312" s="69" customFormat="1" x14ac:dyDescent="0.15"/>
    <row r="48313" s="69" customFormat="1" x14ac:dyDescent="0.15"/>
    <row r="48314" s="69" customFormat="1" x14ac:dyDescent="0.15"/>
    <row r="48315" s="69" customFormat="1" x14ac:dyDescent="0.15"/>
    <row r="48316" s="69" customFormat="1" x14ac:dyDescent="0.15"/>
    <row r="48317" s="69" customFormat="1" x14ac:dyDescent="0.15"/>
    <row r="48318" s="69" customFormat="1" x14ac:dyDescent="0.15"/>
    <row r="48319" s="69" customFormat="1" x14ac:dyDescent="0.15"/>
    <row r="48320" s="69" customFormat="1" x14ac:dyDescent="0.15"/>
    <row r="48321" s="69" customFormat="1" x14ac:dyDescent="0.15"/>
    <row r="48322" s="69" customFormat="1" x14ac:dyDescent="0.15"/>
    <row r="48323" s="69" customFormat="1" x14ac:dyDescent="0.15"/>
    <row r="48324" s="69" customFormat="1" x14ac:dyDescent="0.15"/>
    <row r="48325" s="69" customFormat="1" x14ac:dyDescent="0.15"/>
    <row r="48326" s="69" customFormat="1" x14ac:dyDescent="0.15"/>
    <row r="48327" s="69" customFormat="1" x14ac:dyDescent="0.15"/>
    <row r="48328" s="69" customFormat="1" x14ac:dyDescent="0.15"/>
    <row r="48329" s="69" customFormat="1" x14ac:dyDescent="0.15"/>
    <row r="48330" s="69" customFormat="1" x14ac:dyDescent="0.15"/>
    <row r="48331" s="69" customFormat="1" x14ac:dyDescent="0.15"/>
    <row r="48332" s="69" customFormat="1" x14ac:dyDescent="0.15"/>
    <row r="48333" s="69" customFormat="1" x14ac:dyDescent="0.15"/>
    <row r="48334" s="69" customFormat="1" x14ac:dyDescent="0.15"/>
    <row r="48335" s="69" customFormat="1" x14ac:dyDescent="0.15"/>
    <row r="48336" s="69" customFormat="1" x14ac:dyDescent="0.15"/>
    <row r="48337" s="69" customFormat="1" x14ac:dyDescent="0.15"/>
    <row r="48338" s="69" customFormat="1" x14ac:dyDescent="0.15"/>
    <row r="48339" s="69" customFormat="1" x14ac:dyDescent="0.15"/>
    <row r="48340" s="69" customFormat="1" x14ac:dyDescent="0.15"/>
    <row r="48341" s="69" customFormat="1" x14ac:dyDescent="0.15"/>
    <row r="48342" s="69" customFormat="1" x14ac:dyDescent="0.15"/>
    <row r="48343" s="69" customFormat="1" x14ac:dyDescent="0.15"/>
    <row r="48344" s="69" customFormat="1" x14ac:dyDescent="0.15"/>
    <row r="48345" s="69" customFormat="1" x14ac:dyDescent="0.15"/>
    <row r="48346" s="69" customFormat="1" x14ac:dyDescent="0.15"/>
    <row r="48347" s="69" customFormat="1" x14ac:dyDescent="0.15"/>
    <row r="48348" s="69" customFormat="1" x14ac:dyDescent="0.15"/>
    <row r="48349" s="69" customFormat="1" x14ac:dyDescent="0.15"/>
    <row r="48350" s="69" customFormat="1" x14ac:dyDescent="0.15"/>
    <row r="48351" s="69" customFormat="1" x14ac:dyDescent="0.15"/>
    <row r="48352" s="69" customFormat="1" x14ac:dyDescent="0.15"/>
    <row r="48353" s="69" customFormat="1" x14ac:dyDescent="0.15"/>
    <row r="48354" s="69" customFormat="1" x14ac:dyDescent="0.15"/>
    <row r="48355" s="69" customFormat="1" x14ac:dyDescent="0.15"/>
    <row r="48356" s="69" customFormat="1" x14ac:dyDescent="0.15"/>
    <row r="48357" s="69" customFormat="1" x14ac:dyDescent="0.15"/>
    <row r="48358" s="69" customFormat="1" x14ac:dyDescent="0.15"/>
    <row r="48359" s="69" customFormat="1" x14ac:dyDescent="0.15"/>
    <row r="48360" s="69" customFormat="1" x14ac:dyDescent="0.15"/>
    <row r="48361" s="69" customFormat="1" x14ac:dyDescent="0.15"/>
    <row r="48362" s="69" customFormat="1" x14ac:dyDescent="0.15"/>
    <row r="48363" s="69" customFormat="1" x14ac:dyDescent="0.15"/>
    <row r="48364" s="69" customFormat="1" x14ac:dyDescent="0.15"/>
    <row r="48365" s="69" customFormat="1" x14ac:dyDescent="0.15"/>
    <row r="48366" s="69" customFormat="1" x14ac:dyDescent="0.15"/>
    <row r="48367" s="69" customFormat="1" x14ac:dyDescent="0.15"/>
    <row r="48368" s="69" customFormat="1" x14ac:dyDescent="0.15"/>
    <row r="48369" s="69" customFormat="1" x14ac:dyDescent="0.15"/>
    <row r="48370" s="69" customFormat="1" x14ac:dyDescent="0.15"/>
    <row r="48371" s="69" customFormat="1" x14ac:dyDescent="0.15"/>
    <row r="48372" s="69" customFormat="1" x14ac:dyDescent="0.15"/>
    <row r="48373" s="69" customFormat="1" x14ac:dyDescent="0.15"/>
    <row r="48374" s="69" customFormat="1" x14ac:dyDescent="0.15"/>
    <row r="48375" s="69" customFormat="1" x14ac:dyDescent="0.15"/>
    <row r="48376" s="69" customFormat="1" x14ac:dyDescent="0.15"/>
    <row r="48377" s="69" customFormat="1" x14ac:dyDescent="0.15"/>
    <row r="48378" s="69" customFormat="1" x14ac:dyDescent="0.15"/>
    <row r="48379" s="69" customFormat="1" x14ac:dyDescent="0.15"/>
    <row r="48380" s="69" customFormat="1" x14ac:dyDescent="0.15"/>
    <row r="48381" s="69" customFormat="1" x14ac:dyDescent="0.15"/>
    <row r="48382" s="69" customFormat="1" x14ac:dyDescent="0.15"/>
    <row r="48383" s="69" customFormat="1" x14ac:dyDescent="0.15"/>
    <row r="48384" s="69" customFormat="1" x14ac:dyDescent="0.15"/>
    <row r="48385" s="69" customFormat="1" x14ac:dyDescent="0.15"/>
    <row r="48386" s="69" customFormat="1" x14ac:dyDescent="0.15"/>
    <row r="48387" s="69" customFormat="1" x14ac:dyDescent="0.15"/>
    <row r="48388" s="69" customFormat="1" x14ac:dyDescent="0.15"/>
    <row r="48389" s="69" customFormat="1" x14ac:dyDescent="0.15"/>
    <row r="48390" s="69" customFormat="1" x14ac:dyDescent="0.15"/>
    <row r="48391" s="69" customFormat="1" x14ac:dyDescent="0.15"/>
    <row r="48392" s="69" customFormat="1" x14ac:dyDescent="0.15"/>
    <row r="48393" s="69" customFormat="1" x14ac:dyDescent="0.15"/>
    <row r="48394" s="69" customFormat="1" x14ac:dyDescent="0.15"/>
    <row r="48395" s="69" customFormat="1" x14ac:dyDescent="0.15"/>
    <row r="48396" s="69" customFormat="1" x14ac:dyDescent="0.15"/>
    <row r="48397" s="69" customFormat="1" x14ac:dyDescent="0.15"/>
    <row r="48398" s="69" customFormat="1" x14ac:dyDescent="0.15"/>
    <row r="48399" s="69" customFormat="1" x14ac:dyDescent="0.15"/>
    <row r="48400" s="69" customFormat="1" x14ac:dyDescent="0.15"/>
    <row r="48401" s="69" customFormat="1" x14ac:dyDescent="0.15"/>
    <row r="48402" s="69" customFormat="1" x14ac:dyDescent="0.15"/>
    <row r="48403" s="69" customFormat="1" x14ac:dyDescent="0.15"/>
    <row r="48404" s="69" customFormat="1" x14ac:dyDescent="0.15"/>
    <row r="48405" s="69" customFormat="1" x14ac:dyDescent="0.15"/>
    <row r="48406" s="69" customFormat="1" x14ac:dyDescent="0.15"/>
    <row r="48407" s="69" customFormat="1" x14ac:dyDescent="0.15"/>
    <row r="48408" s="69" customFormat="1" x14ac:dyDescent="0.15"/>
    <row r="48409" s="69" customFormat="1" x14ac:dyDescent="0.15"/>
    <row r="48410" s="69" customFormat="1" x14ac:dyDescent="0.15"/>
    <row r="48411" s="69" customFormat="1" x14ac:dyDescent="0.15"/>
    <row r="48412" s="69" customFormat="1" x14ac:dyDescent="0.15"/>
    <row r="48413" s="69" customFormat="1" x14ac:dyDescent="0.15"/>
    <row r="48414" s="69" customFormat="1" x14ac:dyDescent="0.15"/>
    <row r="48415" s="69" customFormat="1" x14ac:dyDescent="0.15"/>
    <row r="48416" s="69" customFormat="1" x14ac:dyDescent="0.15"/>
    <row r="48417" s="69" customFormat="1" x14ac:dyDescent="0.15"/>
    <row r="48418" s="69" customFormat="1" x14ac:dyDescent="0.15"/>
    <row r="48419" s="69" customFormat="1" x14ac:dyDescent="0.15"/>
    <row r="48420" s="69" customFormat="1" x14ac:dyDescent="0.15"/>
    <row r="48421" s="69" customFormat="1" x14ac:dyDescent="0.15"/>
    <row r="48422" s="69" customFormat="1" x14ac:dyDescent="0.15"/>
    <row r="48423" s="69" customFormat="1" x14ac:dyDescent="0.15"/>
    <row r="48424" s="69" customFormat="1" x14ac:dyDescent="0.15"/>
    <row r="48425" s="69" customFormat="1" x14ac:dyDescent="0.15"/>
    <row r="48426" s="69" customFormat="1" x14ac:dyDescent="0.15"/>
    <row r="48427" s="69" customFormat="1" x14ac:dyDescent="0.15"/>
    <row r="48428" s="69" customFormat="1" x14ac:dyDescent="0.15"/>
    <row r="48429" s="69" customFormat="1" x14ac:dyDescent="0.15"/>
    <row r="48430" s="69" customFormat="1" x14ac:dyDescent="0.15"/>
    <row r="48431" s="69" customFormat="1" x14ac:dyDescent="0.15"/>
    <row r="48432" s="69" customFormat="1" x14ac:dyDescent="0.15"/>
    <row r="48433" s="69" customFormat="1" x14ac:dyDescent="0.15"/>
    <row r="48434" s="69" customFormat="1" x14ac:dyDescent="0.15"/>
    <row r="48435" s="69" customFormat="1" x14ac:dyDescent="0.15"/>
    <row r="48436" s="69" customFormat="1" x14ac:dyDescent="0.15"/>
    <row r="48437" s="69" customFormat="1" x14ac:dyDescent="0.15"/>
    <row r="48438" s="69" customFormat="1" x14ac:dyDescent="0.15"/>
    <row r="48439" s="69" customFormat="1" x14ac:dyDescent="0.15"/>
    <row r="48440" s="69" customFormat="1" x14ac:dyDescent="0.15"/>
    <row r="48441" s="69" customFormat="1" x14ac:dyDescent="0.15"/>
    <row r="48442" s="69" customFormat="1" x14ac:dyDescent="0.15"/>
    <row r="48443" s="69" customFormat="1" x14ac:dyDescent="0.15"/>
    <row r="48444" s="69" customFormat="1" x14ac:dyDescent="0.15"/>
    <row r="48445" s="69" customFormat="1" x14ac:dyDescent="0.15"/>
    <row r="48446" s="69" customFormat="1" x14ac:dyDescent="0.15"/>
    <row r="48447" s="69" customFormat="1" x14ac:dyDescent="0.15"/>
    <row r="48448" s="69" customFormat="1" x14ac:dyDescent="0.15"/>
    <row r="48449" s="69" customFormat="1" x14ac:dyDescent="0.15"/>
    <row r="48450" s="69" customFormat="1" x14ac:dyDescent="0.15"/>
    <row r="48451" s="69" customFormat="1" x14ac:dyDescent="0.15"/>
    <row r="48452" s="69" customFormat="1" x14ac:dyDescent="0.15"/>
    <row r="48453" s="69" customFormat="1" x14ac:dyDescent="0.15"/>
    <row r="48454" s="69" customFormat="1" x14ac:dyDescent="0.15"/>
    <row r="48455" s="69" customFormat="1" x14ac:dyDescent="0.15"/>
    <row r="48456" s="69" customFormat="1" x14ac:dyDescent="0.15"/>
    <row r="48457" s="69" customFormat="1" x14ac:dyDescent="0.15"/>
    <row r="48458" s="69" customFormat="1" x14ac:dyDescent="0.15"/>
    <row r="48459" s="69" customFormat="1" x14ac:dyDescent="0.15"/>
    <row r="48460" s="69" customFormat="1" x14ac:dyDescent="0.15"/>
    <row r="48461" s="69" customFormat="1" x14ac:dyDescent="0.15"/>
    <row r="48462" s="69" customFormat="1" x14ac:dyDescent="0.15"/>
    <row r="48463" s="69" customFormat="1" x14ac:dyDescent="0.15"/>
    <row r="48464" s="69" customFormat="1" x14ac:dyDescent="0.15"/>
    <row r="48465" s="69" customFormat="1" x14ac:dyDescent="0.15"/>
    <row r="48466" s="69" customFormat="1" x14ac:dyDescent="0.15"/>
    <row r="48467" s="69" customFormat="1" x14ac:dyDescent="0.15"/>
    <row r="48468" s="69" customFormat="1" x14ac:dyDescent="0.15"/>
    <row r="48469" s="69" customFormat="1" x14ac:dyDescent="0.15"/>
    <row r="48470" s="69" customFormat="1" x14ac:dyDescent="0.15"/>
    <row r="48471" s="69" customFormat="1" x14ac:dyDescent="0.15"/>
    <row r="48472" s="69" customFormat="1" x14ac:dyDescent="0.15"/>
    <row r="48473" s="69" customFormat="1" x14ac:dyDescent="0.15"/>
    <row r="48474" s="69" customFormat="1" x14ac:dyDescent="0.15"/>
    <row r="48475" s="69" customFormat="1" x14ac:dyDescent="0.15"/>
    <row r="48476" s="69" customFormat="1" x14ac:dyDescent="0.15"/>
    <row r="48477" s="69" customFormat="1" x14ac:dyDescent="0.15"/>
    <row r="48478" s="69" customFormat="1" x14ac:dyDescent="0.15"/>
    <row r="48479" s="69" customFormat="1" x14ac:dyDescent="0.15"/>
    <row r="48480" s="69" customFormat="1" x14ac:dyDescent="0.15"/>
    <row r="48481" s="69" customFormat="1" x14ac:dyDescent="0.15"/>
    <row r="48482" s="69" customFormat="1" x14ac:dyDescent="0.15"/>
    <row r="48483" s="69" customFormat="1" x14ac:dyDescent="0.15"/>
    <row r="48484" s="69" customFormat="1" x14ac:dyDescent="0.15"/>
    <row r="48485" s="69" customFormat="1" x14ac:dyDescent="0.15"/>
    <row r="48486" s="69" customFormat="1" x14ac:dyDescent="0.15"/>
    <row r="48487" s="69" customFormat="1" x14ac:dyDescent="0.15"/>
    <row r="48488" s="69" customFormat="1" x14ac:dyDescent="0.15"/>
    <row r="48489" s="69" customFormat="1" x14ac:dyDescent="0.15"/>
    <row r="48490" s="69" customFormat="1" x14ac:dyDescent="0.15"/>
    <row r="48491" s="69" customFormat="1" x14ac:dyDescent="0.15"/>
    <row r="48492" s="69" customFormat="1" x14ac:dyDescent="0.15"/>
    <row r="48493" s="69" customFormat="1" x14ac:dyDescent="0.15"/>
    <row r="48494" s="69" customFormat="1" x14ac:dyDescent="0.15"/>
    <row r="48495" s="69" customFormat="1" x14ac:dyDescent="0.15"/>
    <row r="48496" s="69" customFormat="1" x14ac:dyDescent="0.15"/>
    <row r="48497" s="69" customFormat="1" x14ac:dyDescent="0.15"/>
    <row r="48498" s="69" customFormat="1" x14ac:dyDescent="0.15"/>
    <row r="48499" s="69" customFormat="1" x14ac:dyDescent="0.15"/>
    <row r="48500" s="69" customFormat="1" x14ac:dyDescent="0.15"/>
    <row r="48501" s="69" customFormat="1" x14ac:dyDescent="0.15"/>
    <row r="48502" s="69" customFormat="1" x14ac:dyDescent="0.15"/>
    <row r="48503" s="69" customFormat="1" x14ac:dyDescent="0.15"/>
    <row r="48504" s="69" customFormat="1" x14ac:dyDescent="0.15"/>
    <row r="48505" s="69" customFormat="1" x14ac:dyDescent="0.15"/>
    <row r="48506" s="69" customFormat="1" x14ac:dyDescent="0.15"/>
    <row r="48507" s="69" customFormat="1" x14ac:dyDescent="0.15"/>
    <row r="48508" s="69" customFormat="1" x14ac:dyDescent="0.15"/>
    <row r="48509" s="69" customFormat="1" x14ac:dyDescent="0.15"/>
    <row r="48510" s="69" customFormat="1" x14ac:dyDescent="0.15"/>
    <row r="48511" s="69" customFormat="1" x14ac:dyDescent="0.15"/>
    <row r="48512" s="69" customFormat="1" x14ac:dyDescent="0.15"/>
    <row r="48513" s="69" customFormat="1" x14ac:dyDescent="0.15"/>
    <row r="48514" s="69" customFormat="1" x14ac:dyDescent="0.15"/>
    <row r="48515" s="69" customFormat="1" x14ac:dyDescent="0.15"/>
    <row r="48516" s="69" customFormat="1" x14ac:dyDescent="0.15"/>
    <row r="48517" s="69" customFormat="1" x14ac:dyDescent="0.15"/>
    <row r="48518" s="69" customFormat="1" x14ac:dyDescent="0.15"/>
    <row r="48519" s="69" customFormat="1" x14ac:dyDescent="0.15"/>
    <row r="48520" s="69" customFormat="1" x14ac:dyDescent="0.15"/>
    <row r="48521" s="69" customFormat="1" x14ac:dyDescent="0.15"/>
    <row r="48522" s="69" customFormat="1" x14ac:dyDescent="0.15"/>
    <row r="48523" s="69" customFormat="1" x14ac:dyDescent="0.15"/>
    <row r="48524" s="69" customFormat="1" x14ac:dyDescent="0.15"/>
    <row r="48525" s="69" customFormat="1" x14ac:dyDescent="0.15"/>
    <row r="48526" s="69" customFormat="1" x14ac:dyDescent="0.15"/>
    <row r="48527" s="69" customFormat="1" x14ac:dyDescent="0.15"/>
    <row r="48528" s="69" customFormat="1" x14ac:dyDescent="0.15"/>
    <row r="48529" s="69" customFormat="1" x14ac:dyDescent="0.15"/>
    <row r="48530" s="69" customFormat="1" x14ac:dyDescent="0.15"/>
    <row r="48531" s="69" customFormat="1" x14ac:dyDescent="0.15"/>
    <row r="48532" s="69" customFormat="1" x14ac:dyDescent="0.15"/>
    <row r="48533" s="69" customFormat="1" x14ac:dyDescent="0.15"/>
    <row r="48534" s="69" customFormat="1" x14ac:dyDescent="0.15"/>
    <row r="48535" s="69" customFormat="1" x14ac:dyDescent="0.15"/>
    <row r="48536" s="69" customFormat="1" x14ac:dyDescent="0.15"/>
    <row r="48537" s="69" customFormat="1" x14ac:dyDescent="0.15"/>
    <row r="48538" s="69" customFormat="1" x14ac:dyDescent="0.15"/>
    <row r="48539" s="69" customFormat="1" x14ac:dyDescent="0.15"/>
    <row r="48540" s="69" customFormat="1" x14ac:dyDescent="0.15"/>
    <row r="48541" s="69" customFormat="1" x14ac:dyDescent="0.15"/>
    <row r="48542" s="69" customFormat="1" x14ac:dyDescent="0.15"/>
    <row r="48543" s="69" customFormat="1" x14ac:dyDescent="0.15"/>
    <row r="48544" s="69" customFormat="1" x14ac:dyDescent="0.15"/>
    <row r="48545" s="69" customFormat="1" x14ac:dyDescent="0.15"/>
    <row r="48546" s="69" customFormat="1" x14ac:dyDescent="0.15"/>
    <row r="48547" s="69" customFormat="1" x14ac:dyDescent="0.15"/>
    <row r="48548" s="69" customFormat="1" x14ac:dyDescent="0.15"/>
    <row r="48549" s="69" customFormat="1" x14ac:dyDescent="0.15"/>
    <row r="48550" s="69" customFormat="1" x14ac:dyDescent="0.15"/>
    <row r="48551" s="69" customFormat="1" x14ac:dyDescent="0.15"/>
    <row r="48552" s="69" customFormat="1" x14ac:dyDescent="0.15"/>
    <row r="48553" s="69" customFormat="1" x14ac:dyDescent="0.15"/>
    <row r="48554" s="69" customFormat="1" x14ac:dyDescent="0.15"/>
    <row r="48555" s="69" customFormat="1" x14ac:dyDescent="0.15"/>
    <row r="48556" s="69" customFormat="1" x14ac:dyDescent="0.15"/>
    <row r="48557" s="69" customFormat="1" x14ac:dyDescent="0.15"/>
    <row r="48558" s="69" customFormat="1" x14ac:dyDescent="0.15"/>
    <row r="48559" s="69" customFormat="1" x14ac:dyDescent="0.15"/>
    <row r="48560" s="69" customFormat="1" x14ac:dyDescent="0.15"/>
    <row r="48561" s="69" customFormat="1" x14ac:dyDescent="0.15"/>
    <row r="48562" s="69" customFormat="1" x14ac:dyDescent="0.15"/>
    <row r="48563" s="69" customFormat="1" x14ac:dyDescent="0.15"/>
    <row r="48564" s="69" customFormat="1" x14ac:dyDescent="0.15"/>
    <row r="48565" s="69" customFormat="1" x14ac:dyDescent="0.15"/>
    <row r="48566" s="69" customFormat="1" x14ac:dyDescent="0.15"/>
    <row r="48567" s="69" customFormat="1" x14ac:dyDescent="0.15"/>
    <row r="48568" s="69" customFormat="1" x14ac:dyDescent="0.15"/>
    <row r="48569" s="69" customFormat="1" x14ac:dyDescent="0.15"/>
    <row r="48570" s="69" customFormat="1" x14ac:dyDescent="0.15"/>
    <row r="48571" s="69" customFormat="1" x14ac:dyDescent="0.15"/>
    <row r="48572" s="69" customFormat="1" x14ac:dyDescent="0.15"/>
    <row r="48573" s="69" customFormat="1" x14ac:dyDescent="0.15"/>
    <row r="48574" s="69" customFormat="1" x14ac:dyDescent="0.15"/>
    <row r="48575" s="69" customFormat="1" x14ac:dyDescent="0.15"/>
    <row r="48576" s="69" customFormat="1" x14ac:dyDescent="0.15"/>
    <row r="48577" s="69" customFormat="1" x14ac:dyDescent="0.15"/>
    <row r="48578" s="69" customFormat="1" x14ac:dyDescent="0.15"/>
    <row r="48579" s="69" customFormat="1" x14ac:dyDescent="0.15"/>
    <row r="48580" s="69" customFormat="1" x14ac:dyDescent="0.15"/>
    <row r="48581" s="69" customFormat="1" x14ac:dyDescent="0.15"/>
    <row r="48582" s="69" customFormat="1" x14ac:dyDescent="0.15"/>
    <row r="48583" s="69" customFormat="1" x14ac:dyDescent="0.15"/>
    <row r="48584" s="69" customFormat="1" x14ac:dyDescent="0.15"/>
    <row r="48585" s="69" customFormat="1" x14ac:dyDescent="0.15"/>
    <row r="48586" s="69" customFormat="1" x14ac:dyDescent="0.15"/>
    <row r="48587" s="69" customFormat="1" x14ac:dyDescent="0.15"/>
    <row r="48588" s="69" customFormat="1" x14ac:dyDescent="0.15"/>
    <row r="48589" s="69" customFormat="1" x14ac:dyDescent="0.15"/>
    <row r="48590" s="69" customFormat="1" x14ac:dyDescent="0.15"/>
    <row r="48591" s="69" customFormat="1" x14ac:dyDescent="0.15"/>
    <row r="48592" s="69" customFormat="1" x14ac:dyDescent="0.15"/>
    <row r="48593" s="69" customFormat="1" x14ac:dyDescent="0.15"/>
    <row r="48594" s="69" customFormat="1" x14ac:dyDescent="0.15"/>
    <row r="48595" s="69" customFormat="1" x14ac:dyDescent="0.15"/>
    <row r="48596" s="69" customFormat="1" x14ac:dyDescent="0.15"/>
    <row r="48597" s="69" customFormat="1" x14ac:dyDescent="0.15"/>
    <row r="48598" s="69" customFormat="1" x14ac:dyDescent="0.15"/>
    <row r="48599" s="69" customFormat="1" x14ac:dyDescent="0.15"/>
    <row r="48600" s="69" customFormat="1" x14ac:dyDescent="0.15"/>
    <row r="48601" s="69" customFormat="1" x14ac:dyDescent="0.15"/>
    <row r="48602" s="69" customFormat="1" x14ac:dyDescent="0.15"/>
    <row r="48603" s="69" customFormat="1" x14ac:dyDescent="0.15"/>
    <row r="48604" s="69" customFormat="1" x14ac:dyDescent="0.15"/>
    <row r="48605" s="69" customFormat="1" x14ac:dyDescent="0.15"/>
    <row r="48606" s="69" customFormat="1" x14ac:dyDescent="0.15"/>
    <row r="48607" s="69" customFormat="1" x14ac:dyDescent="0.15"/>
    <row r="48608" s="69" customFormat="1" x14ac:dyDescent="0.15"/>
    <row r="48609" s="69" customFormat="1" x14ac:dyDescent="0.15"/>
    <row r="48610" s="69" customFormat="1" x14ac:dyDescent="0.15"/>
    <row r="48611" s="69" customFormat="1" x14ac:dyDescent="0.15"/>
    <row r="48612" s="69" customFormat="1" x14ac:dyDescent="0.15"/>
    <row r="48613" s="69" customFormat="1" x14ac:dyDescent="0.15"/>
    <row r="48614" s="69" customFormat="1" x14ac:dyDescent="0.15"/>
    <row r="48615" s="69" customFormat="1" x14ac:dyDescent="0.15"/>
    <row r="48616" s="69" customFormat="1" x14ac:dyDescent="0.15"/>
    <row r="48617" s="69" customFormat="1" x14ac:dyDescent="0.15"/>
    <row r="48618" s="69" customFormat="1" x14ac:dyDescent="0.15"/>
    <row r="48619" s="69" customFormat="1" x14ac:dyDescent="0.15"/>
    <row r="48620" s="69" customFormat="1" x14ac:dyDescent="0.15"/>
    <row r="48621" s="69" customFormat="1" x14ac:dyDescent="0.15"/>
    <row r="48622" s="69" customFormat="1" x14ac:dyDescent="0.15"/>
    <row r="48623" s="69" customFormat="1" x14ac:dyDescent="0.15"/>
    <row r="48624" s="69" customFormat="1" x14ac:dyDescent="0.15"/>
    <row r="48625" s="69" customFormat="1" x14ac:dyDescent="0.15"/>
    <row r="48626" s="69" customFormat="1" x14ac:dyDescent="0.15"/>
    <row r="48627" s="69" customFormat="1" x14ac:dyDescent="0.15"/>
    <row r="48628" s="69" customFormat="1" x14ac:dyDescent="0.15"/>
    <row r="48629" s="69" customFormat="1" x14ac:dyDescent="0.15"/>
    <row r="48630" s="69" customFormat="1" x14ac:dyDescent="0.15"/>
    <row r="48631" s="69" customFormat="1" x14ac:dyDescent="0.15"/>
    <row r="48632" s="69" customFormat="1" x14ac:dyDescent="0.15"/>
    <row r="48633" s="69" customFormat="1" x14ac:dyDescent="0.15"/>
    <row r="48634" s="69" customFormat="1" x14ac:dyDescent="0.15"/>
    <row r="48635" s="69" customFormat="1" x14ac:dyDescent="0.15"/>
    <row r="48636" s="69" customFormat="1" x14ac:dyDescent="0.15"/>
    <row r="48637" s="69" customFormat="1" x14ac:dyDescent="0.15"/>
    <row r="48638" s="69" customFormat="1" x14ac:dyDescent="0.15"/>
    <row r="48639" s="69" customFormat="1" x14ac:dyDescent="0.15"/>
    <row r="48640" s="69" customFormat="1" x14ac:dyDescent="0.15"/>
    <row r="48641" s="69" customFormat="1" x14ac:dyDescent="0.15"/>
    <row r="48642" s="69" customFormat="1" x14ac:dyDescent="0.15"/>
    <row r="48643" s="69" customFormat="1" x14ac:dyDescent="0.15"/>
    <row r="48644" s="69" customFormat="1" x14ac:dyDescent="0.15"/>
    <row r="48645" s="69" customFormat="1" x14ac:dyDescent="0.15"/>
    <row r="48646" s="69" customFormat="1" x14ac:dyDescent="0.15"/>
    <row r="48647" s="69" customFormat="1" x14ac:dyDescent="0.15"/>
    <row r="48648" s="69" customFormat="1" x14ac:dyDescent="0.15"/>
    <row r="48649" s="69" customFormat="1" x14ac:dyDescent="0.15"/>
    <row r="48650" s="69" customFormat="1" x14ac:dyDescent="0.15"/>
    <row r="48651" s="69" customFormat="1" x14ac:dyDescent="0.15"/>
    <row r="48652" s="69" customFormat="1" x14ac:dyDescent="0.15"/>
    <row r="48653" s="69" customFormat="1" x14ac:dyDescent="0.15"/>
    <row r="48654" s="69" customFormat="1" x14ac:dyDescent="0.15"/>
    <row r="48655" s="69" customFormat="1" x14ac:dyDescent="0.15"/>
    <row r="48656" s="69" customFormat="1" x14ac:dyDescent="0.15"/>
    <row r="48657" s="69" customFormat="1" x14ac:dyDescent="0.15"/>
    <row r="48658" s="69" customFormat="1" x14ac:dyDescent="0.15"/>
    <row r="48659" s="69" customFormat="1" x14ac:dyDescent="0.15"/>
    <row r="48660" s="69" customFormat="1" x14ac:dyDescent="0.15"/>
    <row r="48661" s="69" customFormat="1" x14ac:dyDescent="0.15"/>
    <row r="48662" s="69" customFormat="1" x14ac:dyDescent="0.15"/>
    <row r="48663" s="69" customFormat="1" x14ac:dyDescent="0.15"/>
    <row r="48664" s="69" customFormat="1" x14ac:dyDescent="0.15"/>
    <row r="48665" s="69" customFormat="1" x14ac:dyDescent="0.15"/>
    <row r="48666" s="69" customFormat="1" x14ac:dyDescent="0.15"/>
    <row r="48667" s="69" customFormat="1" x14ac:dyDescent="0.15"/>
    <row r="48668" s="69" customFormat="1" x14ac:dyDescent="0.15"/>
    <row r="48669" s="69" customFormat="1" x14ac:dyDescent="0.15"/>
    <row r="48670" s="69" customFormat="1" x14ac:dyDescent="0.15"/>
    <row r="48671" s="69" customFormat="1" x14ac:dyDescent="0.15"/>
    <row r="48672" s="69" customFormat="1" x14ac:dyDescent="0.15"/>
    <row r="48673" s="69" customFormat="1" x14ac:dyDescent="0.15"/>
    <row r="48674" s="69" customFormat="1" x14ac:dyDescent="0.15"/>
    <row r="48675" s="69" customFormat="1" x14ac:dyDescent="0.15"/>
    <row r="48676" s="69" customFormat="1" x14ac:dyDescent="0.15"/>
    <row r="48677" s="69" customFormat="1" x14ac:dyDescent="0.15"/>
    <row r="48678" s="69" customFormat="1" x14ac:dyDescent="0.15"/>
    <row r="48679" s="69" customFormat="1" x14ac:dyDescent="0.15"/>
    <row r="48680" s="69" customFormat="1" x14ac:dyDescent="0.15"/>
    <row r="48681" s="69" customFormat="1" x14ac:dyDescent="0.15"/>
    <row r="48682" s="69" customFormat="1" x14ac:dyDescent="0.15"/>
    <row r="48683" s="69" customFormat="1" x14ac:dyDescent="0.15"/>
    <row r="48684" s="69" customFormat="1" x14ac:dyDescent="0.15"/>
    <row r="48685" s="69" customFormat="1" x14ac:dyDescent="0.15"/>
    <row r="48686" s="69" customFormat="1" x14ac:dyDescent="0.15"/>
    <row r="48687" s="69" customFormat="1" x14ac:dyDescent="0.15"/>
    <row r="48688" s="69" customFormat="1" x14ac:dyDescent="0.15"/>
    <row r="48689" s="69" customFormat="1" x14ac:dyDescent="0.15"/>
    <row r="48690" s="69" customFormat="1" x14ac:dyDescent="0.15"/>
    <row r="48691" s="69" customFormat="1" x14ac:dyDescent="0.15"/>
    <row r="48692" s="69" customFormat="1" x14ac:dyDescent="0.15"/>
    <row r="48693" s="69" customFormat="1" x14ac:dyDescent="0.15"/>
    <row r="48694" s="69" customFormat="1" x14ac:dyDescent="0.15"/>
    <row r="48695" s="69" customFormat="1" x14ac:dyDescent="0.15"/>
    <row r="48696" s="69" customFormat="1" x14ac:dyDescent="0.15"/>
    <row r="48697" s="69" customFormat="1" x14ac:dyDescent="0.15"/>
    <row r="48698" s="69" customFormat="1" x14ac:dyDescent="0.15"/>
    <row r="48699" s="69" customFormat="1" x14ac:dyDescent="0.15"/>
    <row r="48700" s="69" customFormat="1" x14ac:dyDescent="0.15"/>
    <row r="48701" s="69" customFormat="1" x14ac:dyDescent="0.15"/>
    <row r="48702" s="69" customFormat="1" x14ac:dyDescent="0.15"/>
    <row r="48703" s="69" customFormat="1" x14ac:dyDescent="0.15"/>
    <row r="48704" s="69" customFormat="1" x14ac:dyDescent="0.15"/>
    <row r="48705" s="69" customFormat="1" x14ac:dyDescent="0.15"/>
    <row r="48706" s="69" customFormat="1" x14ac:dyDescent="0.15"/>
    <row r="48707" s="69" customFormat="1" x14ac:dyDescent="0.15"/>
    <row r="48708" s="69" customFormat="1" x14ac:dyDescent="0.15"/>
    <row r="48709" s="69" customFormat="1" x14ac:dyDescent="0.15"/>
    <row r="48710" s="69" customFormat="1" x14ac:dyDescent="0.15"/>
    <row r="48711" s="69" customFormat="1" x14ac:dyDescent="0.15"/>
    <row r="48712" s="69" customFormat="1" x14ac:dyDescent="0.15"/>
    <row r="48713" s="69" customFormat="1" x14ac:dyDescent="0.15"/>
    <row r="48714" s="69" customFormat="1" x14ac:dyDescent="0.15"/>
    <row r="48715" s="69" customFormat="1" x14ac:dyDescent="0.15"/>
    <row r="48716" s="69" customFormat="1" x14ac:dyDescent="0.15"/>
    <row r="48717" s="69" customFormat="1" x14ac:dyDescent="0.15"/>
    <row r="48718" s="69" customFormat="1" x14ac:dyDescent="0.15"/>
    <row r="48719" s="69" customFormat="1" x14ac:dyDescent="0.15"/>
    <row r="48720" s="69" customFormat="1" x14ac:dyDescent="0.15"/>
    <row r="48721" s="69" customFormat="1" x14ac:dyDescent="0.15"/>
    <row r="48722" s="69" customFormat="1" x14ac:dyDescent="0.15"/>
    <row r="48723" s="69" customFormat="1" x14ac:dyDescent="0.15"/>
    <row r="48724" s="69" customFormat="1" x14ac:dyDescent="0.15"/>
    <row r="48725" s="69" customFormat="1" x14ac:dyDescent="0.15"/>
    <row r="48726" s="69" customFormat="1" x14ac:dyDescent="0.15"/>
    <row r="48727" s="69" customFormat="1" x14ac:dyDescent="0.15"/>
    <row r="48728" s="69" customFormat="1" x14ac:dyDescent="0.15"/>
    <row r="48729" s="69" customFormat="1" x14ac:dyDescent="0.15"/>
    <row r="48730" s="69" customFormat="1" x14ac:dyDescent="0.15"/>
    <row r="48731" s="69" customFormat="1" x14ac:dyDescent="0.15"/>
    <row r="48732" s="69" customFormat="1" x14ac:dyDescent="0.15"/>
    <row r="48733" s="69" customFormat="1" x14ac:dyDescent="0.15"/>
    <row r="48734" s="69" customFormat="1" x14ac:dyDescent="0.15"/>
    <row r="48735" s="69" customFormat="1" x14ac:dyDescent="0.15"/>
    <row r="48736" s="69" customFormat="1" x14ac:dyDescent="0.15"/>
    <row r="48737" s="69" customFormat="1" x14ac:dyDescent="0.15"/>
    <row r="48738" s="69" customFormat="1" x14ac:dyDescent="0.15"/>
    <row r="48739" s="69" customFormat="1" x14ac:dyDescent="0.15"/>
    <row r="48740" s="69" customFormat="1" x14ac:dyDescent="0.15"/>
    <row r="48741" s="69" customFormat="1" x14ac:dyDescent="0.15"/>
    <row r="48742" s="69" customFormat="1" x14ac:dyDescent="0.15"/>
    <row r="48743" s="69" customFormat="1" x14ac:dyDescent="0.15"/>
    <row r="48744" s="69" customFormat="1" x14ac:dyDescent="0.15"/>
    <row r="48745" s="69" customFormat="1" x14ac:dyDescent="0.15"/>
    <row r="48746" s="69" customFormat="1" x14ac:dyDescent="0.15"/>
    <row r="48747" s="69" customFormat="1" x14ac:dyDescent="0.15"/>
    <row r="48748" s="69" customFormat="1" x14ac:dyDescent="0.15"/>
    <row r="48749" s="69" customFormat="1" x14ac:dyDescent="0.15"/>
    <row r="48750" s="69" customFormat="1" x14ac:dyDescent="0.15"/>
    <row r="48751" s="69" customFormat="1" x14ac:dyDescent="0.15"/>
    <row r="48752" s="69" customFormat="1" x14ac:dyDescent="0.15"/>
    <row r="48753" s="69" customFormat="1" x14ac:dyDescent="0.15"/>
    <row r="48754" s="69" customFormat="1" x14ac:dyDescent="0.15"/>
    <row r="48755" s="69" customFormat="1" x14ac:dyDescent="0.15"/>
    <row r="48756" s="69" customFormat="1" x14ac:dyDescent="0.15"/>
    <row r="48757" s="69" customFormat="1" x14ac:dyDescent="0.15"/>
    <row r="48758" s="69" customFormat="1" x14ac:dyDescent="0.15"/>
    <row r="48759" s="69" customFormat="1" x14ac:dyDescent="0.15"/>
    <row r="48760" s="69" customFormat="1" x14ac:dyDescent="0.15"/>
    <row r="48761" s="69" customFormat="1" x14ac:dyDescent="0.15"/>
    <row r="48762" s="69" customFormat="1" x14ac:dyDescent="0.15"/>
    <row r="48763" s="69" customFormat="1" x14ac:dyDescent="0.15"/>
    <row r="48764" s="69" customFormat="1" x14ac:dyDescent="0.15"/>
    <row r="48765" s="69" customFormat="1" x14ac:dyDescent="0.15"/>
    <row r="48766" s="69" customFormat="1" x14ac:dyDescent="0.15"/>
    <row r="48767" s="69" customFormat="1" x14ac:dyDescent="0.15"/>
    <row r="48768" s="69" customFormat="1" x14ac:dyDescent="0.15"/>
    <row r="48769" s="69" customFormat="1" x14ac:dyDescent="0.15"/>
    <row r="48770" s="69" customFormat="1" x14ac:dyDescent="0.15"/>
    <row r="48771" s="69" customFormat="1" x14ac:dyDescent="0.15"/>
    <row r="48772" s="69" customFormat="1" x14ac:dyDescent="0.15"/>
    <row r="48773" s="69" customFormat="1" x14ac:dyDescent="0.15"/>
    <row r="48774" s="69" customFormat="1" x14ac:dyDescent="0.15"/>
    <row r="48775" s="69" customFormat="1" x14ac:dyDescent="0.15"/>
    <row r="48776" s="69" customFormat="1" x14ac:dyDescent="0.15"/>
    <row r="48777" s="69" customFormat="1" x14ac:dyDescent="0.15"/>
    <row r="48778" s="69" customFormat="1" x14ac:dyDescent="0.15"/>
    <row r="48779" s="69" customFormat="1" x14ac:dyDescent="0.15"/>
    <row r="48780" s="69" customFormat="1" x14ac:dyDescent="0.15"/>
    <row r="48781" s="69" customFormat="1" x14ac:dyDescent="0.15"/>
    <row r="48782" s="69" customFormat="1" x14ac:dyDescent="0.15"/>
    <row r="48783" s="69" customFormat="1" x14ac:dyDescent="0.15"/>
    <row r="48784" s="69" customFormat="1" x14ac:dyDescent="0.15"/>
    <row r="48785" s="69" customFormat="1" x14ac:dyDescent="0.15"/>
    <row r="48786" s="69" customFormat="1" x14ac:dyDescent="0.15"/>
    <row r="48787" s="69" customFormat="1" x14ac:dyDescent="0.15"/>
    <row r="48788" s="69" customFormat="1" x14ac:dyDescent="0.15"/>
    <row r="48789" s="69" customFormat="1" x14ac:dyDescent="0.15"/>
    <row r="48790" s="69" customFormat="1" x14ac:dyDescent="0.15"/>
    <row r="48791" s="69" customFormat="1" x14ac:dyDescent="0.15"/>
    <row r="48792" s="69" customFormat="1" x14ac:dyDescent="0.15"/>
    <row r="48793" s="69" customFormat="1" x14ac:dyDescent="0.15"/>
    <row r="48794" s="69" customFormat="1" x14ac:dyDescent="0.15"/>
    <row r="48795" s="69" customFormat="1" x14ac:dyDescent="0.15"/>
    <row r="48796" s="69" customFormat="1" x14ac:dyDescent="0.15"/>
    <row r="48797" s="69" customFormat="1" x14ac:dyDescent="0.15"/>
    <row r="48798" s="69" customFormat="1" x14ac:dyDescent="0.15"/>
    <row r="48799" s="69" customFormat="1" x14ac:dyDescent="0.15"/>
    <row r="48800" s="69" customFormat="1" x14ac:dyDescent="0.15"/>
    <row r="48801" s="69" customFormat="1" x14ac:dyDescent="0.15"/>
    <row r="48802" s="69" customFormat="1" x14ac:dyDescent="0.15"/>
    <row r="48803" s="69" customFormat="1" x14ac:dyDescent="0.15"/>
    <row r="48804" s="69" customFormat="1" x14ac:dyDescent="0.15"/>
    <row r="48805" s="69" customFormat="1" x14ac:dyDescent="0.15"/>
    <row r="48806" s="69" customFormat="1" x14ac:dyDescent="0.15"/>
    <row r="48807" s="69" customFormat="1" x14ac:dyDescent="0.15"/>
    <row r="48808" s="69" customFormat="1" x14ac:dyDescent="0.15"/>
    <row r="48809" s="69" customFormat="1" x14ac:dyDescent="0.15"/>
    <row r="48810" s="69" customFormat="1" x14ac:dyDescent="0.15"/>
    <row r="48811" s="69" customFormat="1" x14ac:dyDescent="0.15"/>
    <row r="48812" s="69" customFormat="1" x14ac:dyDescent="0.15"/>
    <row r="48813" s="69" customFormat="1" x14ac:dyDescent="0.15"/>
    <row r="48814" s="69" customFormat="1" x14ac:dyDescent="0.15"/>
    <row r="48815" s="69" customFormat="1" x14ac:dyDescent="0.15"/>
    <row r="48816" s="69" customFormat="1" x14ac:dyDescent="0.15"/>
    <row r="48817" s="69" customFormat="1" x14ac:dyDescent="0.15"/>
    <row r="48818" s="69" customFormat="1" x14ac:dyDescent="0.15"/>
    <row r="48819" s="69" customFormat="1" x14ac:dyDescent="0.15"/>
    <row r="48820" s="69" customFormat="1" x14ac:dyDescent="0.15"/>
    <row r="48821" s="69" customFormat="1" x14ac:dyDescent="0.15"/>
    <row r="48822" s="69" customFormat="1" x14ac:dyDescent="0.15"/>
    <row r="48823" s="69" customFormat="1" x14ac:dyDescent="0.15"/>
    <row r="48824" s="69" customFormat="1" x14ac:dyDescent="0.15"/>
    <row r="48825" s="69" customFormat="1" x14ac:dyDescent="0.15"/>
    <row r="48826" s="69" customFormat="1" x14ac:dyDescent="0.15"/>
    <row r="48827" s="69" customFormat="1" x14ac:dyDescent="0.15"/>
    <row r="48828" s="69" customFormat="1" x14ac:dyDescent="0.15"/>
    <row r="48829" s="69" customFormat="1" x14ac:dyDescent="0.15"/>
    <row r="48830" s="69" customFormat="1" x14ac:dyDescent="0.15"/>
    <row r="48831" s="69" customFormat="1" x14ac:dyDescent="0.15"/>
    <row r="48832" s="69" customFormat="1" x14ac:dyDescent="0.15"/>
    <row r="48833" s="69" customFormat="1" x14ac:dyDescent="0.15"/>
    <row r="48834" s="69" customFormat="1" x14ac:dyDescent="0.15"/>
    <row r="48835" s="69" customFormat="1" x14ac:dyDescent="0.15"/>
    <row r="48836" s="69" customFormat="1" x14ac:dyDescent="0.15"/>
    <row r="48837" s="69" customFormat="1" x14ac:dyDescent="0.15"/>
    <row r="48838" s="69" customFormat="1" x14ac:dyDescent="0.15"/>
    <row r="48839" s="69" customFormat="1" x14ac:dyDescent="0.15"/>
    <row r="48840" s="69" customFormat="1" x14ac:dyDescent="0.15"/>
    <row r="48841" s="69" customFormat="1" x14ac:dyDescent="0.15"/>
    <row r="48842" s="69" customFormat="1" x14ac:dyDescent="0.15"/>
    <row r="48843" s="69" customFormat="1" x14ac:dyDescent="0.15"/>
    <row r="48844" s="69" customFormat="1" x14ac:dyDescent="0.15"/>
    <row r="48845" s="69" customFormat="1" x14ac:dyDescent="0.15"/>
    <row r="48846" s="69" customFormat="1" x14ac:dyDescent="0.15"/>
    <row r="48847" s="69" customFormat="1" x14ac:dyDescent="0.15"/>
    <row r="48848" s="69" customFormat="1" x14ac:dyDescent="0.15"/>
    <row r="48849" s="69" customFormat="1" x14ac:dyDescent="0.15"/>
    <row r="48850" s="69" customFormat="1" x14ac:dyDescent="0.15"/>
    <row r="48851" s="69" customFormat="1" x14ac:dyDescent="0.15"/>
    <row r="48852" s="69" customFormat="1" x14ac:dyDescent="0.15"/>
    <row r="48853" s="69" customFormat="1" x14ac:dyDescent="0.15"/>
    <row r="48854" s="69" customFormat="1" x14ac:dyDescent="0.15"/>
    <row r="48855" s="69" customFormat="1" x14ac:dyDescent="0.15"/>
    <row r="48856" s="69" customFormat="1" x14ac:dyDescent="0.15"/>
    <row r="48857" s="69" customFormat="1" x14ac:dyDescent="0.15"/>
    <row r="48858" s="69" customFormat="1" x14ac:dyDescent="0.15"/>
    <row r="48859" s="69" customFormat="1" x14ac:dyDescent="0.15"/>
    <row r="48860" s="69" customFormat="1" x14ac:dyDescent="0.15"/>
    <row r="48861" s="69" customFormat="1" x14ac:dyDescent="0.15"/>
    <row r="48862" s="69" customFormat="1" x14ac:dyDescent="0.15"/>
    <row r="48863" s="69" customFormat="1" x14ac:dyDescent="0.15"/>
    <row r="48864" s="69" customFormat="1" x14ac:dyDescent="0.15"/>
    <row r="48865" s="69" customFormat="1" x14ac:dyDescent="0.15"/>
    <row r="48866" s="69" customFormat="1" x14ac:dyDescent="0.15"/>
    <row r="48867" s="69" customFormat="1" x14ac:dyDescent="0.15"/>
    <row r="48868" s="69" customFormat="1" x14ac:dyDescent="0.15"/>
    <row r="48869" s="69" customFormat="1" x14ac:dyDescent="0.15"/>
    <row r="48870" s="69" customFormat="1" x14ac:dyDescent="0.15"/>
    <row r="48871" s="69" customFormat="1" x14ac:dyDescent="0.15"/>
    <row r="48872" s="69" customFormat="1" x14ac:dyDescent="0.15"/>
    <row r="48873" s="69" customFormat="1" x14ac:dyDescent="0.15"/>
    <row r="48874" s="69" customFormat="1" x14ac:dyDescent="0.15"/>
    <row r="48875" s="69" customFormat="1" x14ac:dyDescent="0.15"/>
    <row r="48876" s="69" customFormat="1" x14ac:dyDescent="0.15"/>
    <row r="48877" s="69" customFormat="1" x14ac:dyDescent="0.15"/>
    <row r="48878" s="69" customFormat="1" x14ac:dyDescent="0.15"/>
    <row r="48879" s="69" customFormat="1" x14ac:dyDescent="0.15"/>
    <row r="48880" s="69" customFormat="1" x14ac:dyDescent="0.15"/>
    <row r="48881" s="69" customFormat="1" x14ac:dyDescent="0.15"/>
    <row r="48882" s="69" customFormat="1" x14ac:dyDescent="0.15"/>
    <row r="48883" s="69" customFormat="1" x14ac:dyDescent="0.15"/>
    <row r="48884" s="69" customFormat="1" x14ac:dyDescent="0.15"/>
    <row r="48885" s="69" customFormat="1" x14ac:dyDescent="0.15"/>
    <row r="48886" s="69" customFormat="1" x14ac:dyDescent="0.15"/>
    <row r="48887" s="69" customFormat="1" x14ac:dyDescent="0.15"/>
    <row r="48888" s="69" customFormat="1" x14ac:dyDescent="0.15"/>
    <row r="48889" s="69" customFormat="1" x14ac:dyDescent="0.15"/>
    <row r="48890" s="69" customFormat="1" x14ac:dyDescent="0.15"/>
    <row r="48891" s="69" customFormat="1" x14ac:dyDescent="0.15"/>
    <row r="48892" s="69" customFormat="1" x14ac:dyDescent="0.15"/>
    <row r="48893" s="69" customFormat="1" x14ac:dyDescent="0.15"/>
    <row r="48894" s="69" customFormat="1" x14ac:dyDescent="0.15"/>
    <row r="48895" s="69" customFormat="1" x14ac:dyDescent="0.15"/>
    <row r="48896" s="69" customFormat="1" x14ac:dyDescent="0.15"/>
    <row r="48897" s="69" customFormat="1" x14ac:dyDescent="0.15"/>
    <row r="48898" s="69" customFormat="1" x14ac:dyDescent="0.15"/>
    <row r="48899" s="69" customFormat="1" x14ac:dyDescent="0.15"/>
    <row r="48900" s="69" customFormat="1" x14ac:dyDescent="0.15"/>
    <row r="48901" s="69" customFormat="1" x14ac:dyDescent="0.15"/>
    <row r="48902" s="69" customFormat="1" x14ac:dyDescent="0.15"/>
    <row r="48903" s="69" customFormat="1" x14ac:dyDescent="0.15"/>
    <row r="48904" s="69" customFormat="1" x14ac:dyDescent="0.15"/>
    <row r="48905" s="69" customFormat="1" x14ac:dyDescent="0.15"/>
    <row r="48906" s="69" customFormat="1" x14ac:dyDescent="0.15"/>
    <row r="48907" s="69" customFormat="1" x14ac:dyDescent="0.15"/>
    <row r="48908" s="69" customFormat="1" x14ac:dyDescent="0.15"/>
    <row r="48909" s="69" customFormat="1" x14ac:dyDescent="0.15"/>
    <row r="48910" s="69" customFormat="1" x14ac:dyDescent="0.15"/>
    <row r="48911" s="69" customFormat="1" x14ac:dyDescent="0.15"/>
    <row r="48912" s="69" customFormat="1" x14ac:dyDescent="0.15"/>
    <row r="48913" s="69" customFormat="1" x14ac:dyDescent="0.15"/>
    <row r="48914" s="69" customFormat="1" x14ac:dyDescent="0.15"/>
    <row r="48915" s="69" customFormat="1" x14ac:dyDescent="0.15"/>
    <row r="48916" s="69" customFormat="1" x14ac:dyDescent="0.15"/>
    <row r="48917" s="69" customFormat="1" x14ac:dyDescent="0.15"/>
    <row r="48918" s="69" customFormat="1" x14ac:dyDescent="0.15"/>
    <row r="48919" s="69" customFormat="1" x14ac:dyDescent="0.15"/>
    <row r="48920" s="69" customFormat="1" x14ac:dyDescent="0.15"/>
    <row r="48921" s="69" customFormat="1" x14ac:dyDescent="0.15"/>
    <row r="48922" s="69" customFormat="1" x14ac:dyDescent="0.15"/>
    <row r="48923" s="69" customFormat="1" x14ac:dyDescent="0.15"/>
    <row r="48924" s="69" customFormat="1" x14ac:dyDescent="0.15"/>
    <row r="48925" s="69" customFormat="1" x14ac:dyDescent="0.15"/>
    <row r="48926" s="69" customFormat="1" x14ac:dyDescent="0.15"/>
    <row r="48927" s="69" customFormat="1" x14ac:dyDescent="0.15"/>
    <row r="48928" s="69" customFormat="1" x14ac:dyDescent="0.15"/>
    <row r="48929" s="69" customFormat="1" x14ac:dyDescent="0.15"/>
    <row r="48930" s="69" customFormat="1" x14ac:dyDescent="0.15"/>
    <row r="48931" s="69" customFormat="1" x14ac:dyDescent="0.15"/>
    <row r="48932" s="69" customFormat="1" x14ac:dyDescent="0.15"/>
    <row r="48933" s="69" customFormat="1" x14ac:dyDescent="0.15"/>
    <row r="48934" s="69" customFormat="1" x14ac:dyDescent="0.15"/>
    <row r="48935" s="69" customFormat="1" x14ac:dyDescent="0.15"/>
    <row r="48936" s="69" customFormat="1" x14ac:dyDescent="0.15"/>
    <row r="48937" s="69" customFormat="1" x14ac:dyDescent="0.15"/>
    <row r="48938" s="69" customFormat="1" x14ac:dyDescent="0.15"/>
    <row r="48939" s="69" customFormat="1" x14ac:dyDescent="0.15"/>
    <row r="48940" s="69" customFormat="1" x14ac:dyDescent="0.15"/>
    <row r="48941" s="69" customFormat="1" x14ac:dyDescent="0.15"/>
    <row r="48942" s="69" customFormat="1" x14ac:dyDescent="0.15"/>
    <row r="48943" s="69" customFormat="1" x14ac:dyDescent="0.15"/>
    <row r="48944" s="69" customFormat="1" x14ac:dyDescent="0.15"/>
    <row r="48945" s="69" customFormat="1" x14ac:dyDescent="0.15"/>
    <row r="48946" s="69" customFormat="1" x14ac:dyDescent="0.15"/>
    <row r="48947" s="69" customFormat="1" x14ac:dyDescent="0.15"/>
    <row r="48948" s="69" customFormat="1" x14ac:dyDescent="0.15"/>
    <row r="48949" s="69" customFormat="1" x14ac:dyDescent="0.15"/>
    <row r="48950" s="69" customFormat="1" x14ac:dyDescent="0.15"/>
    <row r="48951" s="69" customFormat="1" x14ac:dyDescent="0.15"/>
    <row r="48952" s="69" customFormat="1" x14ac:dyDescent="0.15"/>
    <row r="48953" s="69" customFormat="1" x14ac:dyDescent="0.15"/>
    <row r="48954" s="69" customFormat="1" x14ac:dyDescent="0.15"/>
    <row r="48955" s="69" customFormat="1" x14ac:dyDescent="0.15"/>
    <row r="48956" s="69" customFormat="1" x14ac:dyDescent="0.15"/>
    <row r="48957" s="69" customFormat="1" x14ac:dyDescent="0.15"/>
    <row r="48958" s="69" customFormat="1" x14ac:dyDescent="0.15"/>
    <row r="48959" s="69" customFormat="1" x14ac:dyDescent="0.15"/>
    <row r="48960" s="69" customFormat="1" x14ac:dyDescent="0.15"/>
    <row r="48961" s="69" customFormat="1" x14ac:dyDescent="0.15"/>
    <row r="48962" s="69" customFormat="1" x14ac:dyDescent="0.15"/>
    <row r="48963" s="69" customFormat="1" x14ac:dyDescent="0.15"/>
    <row r="48964" s="69" customFormat="1" x14ac:dyDescent="0.15"/>
    <row r="48965" s="69" customFormat="1" x14ac:dyDescent="0.15"/>
    <row r="48966" s="69" customFormat="1" x14ac:dyDescent="0.15"/>
    <row r="48967" s="69" customFormat="1" x14ac:dyDescent="0.15"/>
    <row r="48968" s="69" customFormat="1" x14ac:dyDescent="0.15"/>
    <row r="48969" s="69" customFormat="1" x14ac:dyDescent="0.15"/>
    <row r="48970" s="69" customFormat="1" x14ac:dyDescent="0.15"/>
    <row r="48971" s="69" customFormat="1" x14ac:dyDescent="0.15"/>
    <row r="48972" s="69" customFormat="1" x14ac:dyDescent="0.15"/>
    <row r="48973" s="69" customFormat="1" x14ac:dyDescent="0.15"/>
    <row r="48974" s="69" customFormat="1" x14ac:dyDescent="0.15"/>
    <row r="48975" s="69" customFormat="1" x14ac:dyDescent="0.15"/>
    <row r="48976" s="69" customFormat="1" x14ac:dyDescent="0.15"/>
    <row r="48977" s="69" customFormat="1" x14ac:dyDescent="0.15"/>
    <row r="48978" s="69" customFormat="1" x14ac:dyDescent="0.15"/>
    <row r="48979" s="69" customFormat="1" x14ac:dyDescent="0.15"/>
    <row r="48980" s="69" customFormat="1" x14ac:dyDescent="0.15"/>
    <row r="48981" s="69" customFormat="1" x14ac:dyDescent="0.15"/>
    <row r="48982" s="69" customFormat="1" x14ac:dyDescent="0.15"/>
    <row r="48983" s="69" customFormat="1" x14ac:dyDescent="0.15"/>
    <row r="48984" s="69" customFormat="1" x14ac:dyDescent="0.15"/>
    <row r="48985" s="69" customFormat="1" x14ac:dyDescent="0.15"/>
    <row r="48986" s="69" customFormat="1" x14ac:dyDescent="0.15"/>
    <row r="48987" s="69" customFormat="1" x14ac:dyDescent="0.15"/>
    <row r="48988" s="69" customFormat="1" x14ac:dyDescent="0.15"/>
    <row r="48989" s="69" customFormat="1" x14ac:dyDescent="0.15"/>
    <row r="48990" s="69" customFormat="1" x14ac:dyDescent="0.15"/>
    <row r="48991" s="69" customFormat="1" x14ac:dyDescent="0.15"/>
    <row r="48992" s="69" customFormat="1" x14ac:dyDescent="0.15"/>
    <row r="48993" s="69" customFormat="1" x14ac:dyDescent="0.15"/>
    <row r="48994" s="69" customFormat="1" x14ac:dyDescent="0.15"/>
    <row r="48995" s="69" customFormat="1" x14ac:dyDescent="0.15"/>
    <row r="48996" s="69" customFormat="1" x14ac:dyDescent="0.15"/>
    <row r="48997" s="69" customFormat="1" x14ac:dyDescent="0.15"/>
    <row r="48998" s="69" customFormat="1" x14ac:dyDescent="0.15"/>
    <row r="48999" s="69" customFormat="1" x14ac:dyDescent="0.15"/>
    <row r="49000" s="69" customFormat="1" x14ac:dyDescent="0.15"/>
    <row r="49001" s="69" customFormat="1" x14ac:dyDescent="0.15"/>
    <row r="49002" s="69" customFormat="1" x14ac:dyDescent="0.15"/>
    <row r="49003" s="69" customFormat="1" x14ac:dyDescent="0.15"/>
    <row r="49004" s="69" customFormat="1" x14ac:dyDescent="0.15"/>
    <row r="49005" s="69" customFormat="1" x14ac:dyDescent="0.15"/>
    <row r="49006" s="69" customFormat="1" x14ac:dyDescent="0.15"/>
    <row r="49007" s="69" customFormat="1" x14ac:dyDescent="0.15"/>
    <row r="49008" s="69" customFormat="1" x14ac:dyDescent="0.15"/>
    <row r="49009" s="69" customFormat="1" x14ac:dyDescent="0.15"/>
    <row r="49010" s="69" customFormat="1" x14ac:dyDescent="0.15"/>
    <row r="49011" s="69" customFormat="1" x14ac:dyDescent="0.15"/>
    <row r="49012" s="69" customFormat="1" x14ac:dyDescent="0.15"/>
    <row r="49013" s="69" customFormat="1" x14ac:dyDescent="0.15"/>
    <row r="49014" s="69" customFormat="1" x14ac:dyDescent="0.15"/>
    <row r="49015" s="69" customFormat="1" x14ac:dyDescent="0.15"/>
    <row r="49016" s="69" customFormat="1" x14ac:dyDescent="0.15"/>
    <row r="49017" s="69" customFormat="1" x14ac:dyDescent="0.15"/>
    <row r="49018" s="69" customFormat="1" x14ac:dyDescent="0.15"/>
    <row r="49019" s="69" customFormat="1" x14ac:dyDescent="0.15"/>
    <row r="49020" s="69" customFormat="1" x14ac:dyDescent="0.15"/>
    <row r="49021" s="69" customFormat="1" x14ac:dyDescent="0.15"/>
    <row r="49022" s="69" customFormat="1" x14ac:dyDescent="0.15"/>
    <row r="49023" s="69" customFormat="1" x14ac:dyDescent="0.15"/>
    <row r="49024" s="69" customFormat="1" x14ac:dyDescent="0.15"/>
    <row r="49025" s="69" customFormat="1" x14ac:dyDescent="0.15"/>
    <row r="49026" s="69" customFormat="1" x14ac:dyDescent="0.15"/>
    <row r="49027" s="69" customFormat="1" x14ac:dyDescent="0.15"/>
    <row r="49028" s="69" customFormat="1" x14ac:dyDescent="0.15"/>
    <row r="49029" s="69" customFormat="1" x14ac:dyDescent="0.15"/>
    <row r="49030" s="69" customFormat="1" x14ac:dyDescent="0.15"/>
    <row r="49031" s="69" customFormat="1" x14ac:dyDescent="0.15"/>
    <row r="49032" s="69" customFormat="1" x14ac:dyDescent="0.15"/>
    <row r="49033" s="69" customFormat="1" x14ac:dyDescent="0.15"/>
    <row r="49034" s="69" customFormat="1" x14ac:dyDescent="0.15"/>
    <row r="49035" s="69" customFormat="1" x14ac:dyDescent="0.15"/>
    <row r="49036" s="69" customFormat="1" x14ac:dyDescent="0.15"/>
    <row r="49037" s="69" customFormat="1" x14ac:dyDescent="0.15"/>
    <row r="49038" s="69" customFormat="1" x14ac:dyDescent="0.15"/>
    <row r="49039" s="69" customFormat="1" x14ac:dyDescent="0.15"/>
    <row r="49040" s="69" customFormat="1" x14ac:dyDescent="0.15"/>
    <row r="49041" s="69" customFormat="1" x14ac:dyDescent="0.15"/>
    <row r="49042" s="69" customFormat="1" x14ac:dyDescent="0.15"/>
    <row r="49043" s="69" customFormat="1" x14ac:dyDescent="0.15"/>
    <row r="49044" s="69" customFormat="1" x14ac:dyDescent="0.15"/>
    <row r="49045" s="69" customFormat="1" x14ac:dyDescent="0.15"/>
    <row r="49046" s="69" customFormat="1" x14ac:dyDescent="0.15"/>
    <row r="49047" s="69" customFormat="1" x14ac:dyDescent="0.15"/>
    <row r="49048" s="69" customFormat="1" x14ac:dyDescent="0.15"/>
    <row r="49049" s="69" customFormat="1" x14ac:dyDescent="0.15"/>
    <row r="49050" s="69" customFormat="1" x14ac:dyDescent="0.15"/>
    <row r="49051" s="69" customFormat="1" x14ac:dyDescent="0.15"/>
    <row r="49052" s="69" customFormat="1" x14ac:dyDescent="0.15"/>
    <row r="49053" s="69" customFormat="1" x14ac:dyDescent="0.15"/>
    <row r="49054" s="69" customFormat="1" x14ac:dyDescent="0.15"/>
    <row r="49055" s="69" customFormat="1" x14ac:dyDescent="0.15"/>
    <row r="49056" s="69" customFormat="1" x14ac:dyDescent="0.15"/>
    <row r="49057" s="69" customFormat="1" x14ac:dyDescent="0.15"/>
    <row r="49058" s="69" customFormat="1" x14ac:dyDescent="0.15"/>
    <row r="49059" s="69" customFormat="1" x14ac:dyDescent="0.15"/>
    <row r="49060" s="69" customFormat="1" x14ac:dyDescent="0.15"/>
    <row r="49061" s="69" customFormat="1" x14ac:dyDescent="0.15"/>
    <row r="49062" s="69" customFormat="1" x14ac:dyDescent="0.15"/>
    <row r="49063" s="69" customFormat="1" x14ac:dyDescent="0.15"/>
    <row r="49064" s="69" customFormat="1" x14ac:dyDescent="0.15"/>
    <row r="49065" s="69" customFormat="1" x14ac:dyDescent="0.15"/>
    <row r="49066" s="69" customFormat="1" x14ac:dyDescent="0.15"/>
    <row r="49067" s="69" customFormat="1" x14ac:dyDescent="0.15"/>
    <row r="49068" s="69" customFormat="1" x14ac:dyDescent="0.15"/>
    <row r="49069" s="69" customFormat="1" x14ac:dyDescent="0.15"/>
    <row r="49070" s="69" customFormat="1" x14ac:dyDescent="0.15"/>
    <row r="49071" s="69" customFormat="1" x14ac:dyDescent="0.15"/>
    <row r="49072" s="69" customFormat="1" x14ac:dyDescent="0.15"/>
    <row r="49073" s="69" customFormat="1" x14ac:dyDescent="0.15"/>
    <row r="49074" s="69" customFormat="1" x14ac:dyDescent="0.15"/>
    <row r="49075" s="69" customFormat="1" x14ac:dyDescent="0.15"/>
    <row r="49076" s="69" customFormat="1" x14ac:dyDescent="0.15"/>
    <row r="49077" s="69" customFormat="1" x14ac:dyDescent="0.15"/>
    <row r="49078" s="69" customFormat="1" x14ac:dyDescent="0.15"/>
    <row r="49079" s="69" customFormat="1" x14ac:dyDescent="0.15"/>
    <row r="49080" s="69" customFormat="1" x14ac:dyDescent="0.15"/>
    <row r="49081" s="69" customFormat="1" x14ac:dyDescent="0.15"/>
    <row r="49082" s="69" customFormat="1" x14ac:dyDescent="0.15"/>
    <row r="49083" s="69" customFormat="1" x14ac:dyDescent="0.15"/>
    <row r="49084" s="69" customFormat="1" x14ac:dyDescent="0.15"/>
    <row r="49085" s="69" customFormat="1" x14ac:dyDescent="0.15"/>
    <row r="49086" s="69" customFormat="1" x14ac:dyDescent="0.15"/>
    <row r="49087" s="69" customFormat="1" x14ac:dyDescent="0.15"/>
    <row r="49088" s="69" customFormat="1" x14ac:dyDescent="0.15"/>
    <row r="49089" s="69" customFormat="1" x14ac:dyDescent="0.15"/>
    <row r="49090" s="69" customFormat="1" x14ac:dyDescent="0.15"/>
    <row r="49091" s="69" customFormat="1" x14ac:dyDescent="0.15"/>
    <row r="49092" s="69" customFormat="1" x14ac:dyDescent="0.15"/>
    <row r="49093" s="69" customFormat="1" x14ac:dyDescent="0.15"/>
    <row r="49094" s="69" customFormat="1" x14ac:dyDescent="0.15"/>
    <row r="49095" s="69" customFormat="1" x14ac:dyDescent="0.15"/>
    <row r="49096" s="69" customFormat="1" x14ac:dyDescent="0.15"/>
    <row r="49097" s="69" customFormat="1" x14ac:dyDescent="0.15"/>
    <row r="49098" s="69" customFormat="1" x14ac:dyDescent="0.15"/>
    <row r="49099" s="69" customFormat="1" x14ac:dyDescent="0.15"/>
    <row r="49100" s="69" customFormat="1" x14ac:dyDescent="0.15"/>
    <row r="49101" s="69" customFormat="1" x14ac:dyDescent="0.15"/>
    <row r="49102" s="69" customFormat="1" x14ac:dyDescent="0.15"/>
    <row r="49103" s="69" customFormat="1" x14ac:dyDescent="0.15"/>
    <row r="49104" s="69" customFormat="1" x14ac:dyDescent="0.15"/>
    <row r="49105" s="69" customFormat="1" x14ac:dyDescent="0.15"/>
    <row r="49106" s="69" customFormat="1" x14ac:dyDescent="0.15"/>
    <row r="49107" s="69" customFormat="1" x14ac:dyDescent="0.15"/>
    <row r="49108" s="69" customFormat="1" x14ac:dyDescent="0.15"/>
    <row r="49109" s="69" customFormat="1" x14ac:dyDescent="0.15"/>
    <row r="49110" s="69" customFormat="1" x14ac:dyDescent="0.15"/>
    <row r="49111" s="69" customFormat="1" x14ac:dyDescent="0.15"/>
    <row r="49112" s="69" customFormat="1" x14ac:dyDescent="0.15"/>
    <row r="49113" s="69" customFormat="1" x14ac:dyDescent="0.15"/>
    <row r="49114" s="69" customFormat="1" x14ac:dyDescent="0.15"/>
    <row r="49115" s="69" customFormat="1" x14ac:dyDescent="0.15"/>
    <row r="49116" s="69" customFormat="1" x14ac:dyDescent="0.15"/>
    <row r="49117" s="69" customFormat="1" x14ac:dyDescent="0.15"/>
    <row r="49118" s="69" customFormat="1" x14ac:dyDescent="0.15"/>
    <row r="49119" s="69" customFormat="1" x14ac:dyDescent="0.15"/>
    <row r="49120" s="69" customFormat="1" x14ac:dyDescent="0.15"/>
    <row r="49121" s="69" customFormat="1" x14ac:dyDescent="0.15"/>
    <row r="49122" s="69" customFormat="1" x14ac:dyDescent="0.15"/>
    <row r="49123" s="69" customFormat="1" x14ac:dyDescent="0.15"/>
    <row r="49124" s="69" customFormat="1" x14ac:dyDescent="0.15"/>
    <row r="49125" s="69" customFormat="1" x14ac:dyDescent="0.15"/>
    <row r="49126" s="69" customFormat="1" x14ac:dyDescent="0.15"/>
    <row r="49127" s="69" customFormat="1" x14ac:dyDescent="0.15"/>
    <row r="49128" s="69" customFormat="1" x14ac:dyDescent="0.15"/>
    <row r="49129" s="69" customFormat="1" x14ac:dyDescent="0.15"/>
    <row r="49130" s="69" customFormat="1" x14ac:dyDescent="0.15"/>
    <row r="49131" s="69" customFormat="1" x14ac:dyDescent="0.15"/>
    <row r="49132" s="69" customFormat="1" x14ac:dyDescent="0.15"/>
    <row r="49133" s="69" customFormat="1" x14ac:dyDescent="0.15"/>
    <row r="49134" s="69" customFormat="1" x14ac:dyDescent="0.15"/>
    <row r="49135" s="69" customFormat="1" x14ac:dyDescent="0.15"/>
    <row r="49136" s="69" customFormat="1" x14ac:dyDescent="0.15"/>
    <row r="49137" s="69" customFormat="1" x14ac:dyDescent="0.15"/>
    <row r="49138" s="69" customFormat="1" x14ac:dyDescent="0.15"/>
    <row r="49139" s="69" customFormat="1" x14ac:dyDescent="0.15"/>
    <row r="49140" s="69" customFormat="1" x14ac:dyDescent="0.15"/>
    <row r="49141" s="69" customFormat="1" x14ac:dyDescent="0.15"/>
    <row r="49142" s="69" customFormat="1" x14ac:dyDescent="0.15"/>
    <row r="49143" s="69" customFormat="1" x14ac:dyDescent="0.15"/>
    <row r="49144" s="69" customFormat="1" x14ac:dyDescent="0.15"/>
    <row r="49145" s="69" customFormat="1" x14ac:dyDescent="0.15"/>
    <row r="49146" s="69" customFormat="1" x14ac:dyDescent="0.15"/>
    <row r="49147" s="69" customFormat="1" x14ac:dyDescent="0.15"/>
    <row r="49148" s="69" customFormat="1" x14ac:dyDescent="0.15"/>
    <row r="49149" s="69" customFormat="1" x14ac:dyDescent="0.15"/>
    <row r="49150" s="69" customFormat="1" x14ac:dyDescent="0.15"/>
    <row r="49151" s="69" customFormat="1" x14ac:dyDescent="0.15"/>
    <row r="49152" s="69" customFormat="1" x14ac:dyDescent="0.15"/>
    <row r="49153" s="69" customFormat="1" x14ac:dyDescent="0.15"/>
    <row r="49154" s="69" customFormat="1" x14ac:dyDescent="0.15"/>
    <row r="49155" s="69" customFormat="1" x14ac:dyDescent="0.15"/>
    <row r="49156" s="69" customFormat="1" x14ac:dyDescent="0.15"/>
    <row r="49157" s="69" customFormat="1" x14ac:dyDescent="0.15"/>
    <row r="49158" s="69" customFormat="1" x14ac:dyDescent="0.15"/>
    <row r="49159" s="69" customFormat="1" x14ac:dyDescent="0.15"/>
    <row r="49160" s="69" customFormat="1" x14ac:dyDescent="0.15"/>
    <row r="49161" s="69" customFormat="1" x14ac:dyDescent="0.15"/>
    <row r="49162" s="69" customFormat="1" x14ac:dyDescent="0.15"/>
    <row r="49163" s="69" customFormat="1" x14ac:dyDescent="0.15"/>
    <row r="49164" s="69" customFormat="1" x14ac:dyDescent="0.15"/>
    <row r="49165" s="69" customFormat="1" x14ac:dyDescent="0.15"/>
    <row r="49166" s="69" customFormat="1" x14ac:dyDescent="0.15"/>
    <row r="49167" s="69" customFormat="1" x14ac:dyDescent="0.15"/>
    <row r="49168" s="69" customFormat="1" x14ac:dyDescent="0.15"/>
    <row r="49169" s="69" customFormat="1" x14ac:dyDescent="0.15"/>
    <row r="49170" s="69" customFormat="1" x14ac:dyDescent="0.15"/>
    <row r="49171" s="69" customFormat="1" x14ac:dyDescent="0.15"/>
    <row r="49172" s="69" customFormat="1" x14ac:dyDescent="0.15"/>
    <row r="49173" s="69" customFormat="1" x14ac:dyDescent="0.15"/>
    <row r="49174" s="69" customFormat="1" x14ac:dyDescent="0.15"/>
    <row r="49175" s="69" customFormat="1" x14ac:dyDescent="0.15"/>
    <row r="49176" s="69" customFormat="1" x14ac:dyDescent="0.15"/>
    <row r="49177" s="69" customFormat="1" x14ac:dyDescent="0.15"/>
    <row r="49178" s="69" customFormat="1" x14ac:dyDescent="0.15"/>
    <row r="49179" s="69" customFormat="1" x14ac:dyDescent="0.15"/>
    <row r="49180" s="69" customFormat="1" x14ac:dyDescent="0.15"/>
    <row r="49181" s="69" customFormat="1" x14ac:dyDescent="0.15"/>
    <row r="49182" s="69" customFormat="1" x14ac:dyDescent="0.15"/>
    <row r="49183" s="69" customFormat="1" x14ac:dyDescent="0.15"/>
    <row r="49184" s="69" customFormat="1" x14ac:dyDescent="0.15"/>
    <row r="49185" s="69" customFormat="1" x14ac:dyDescent="0.15"/>
    <row r="49186" s="69" customFormat="1" x14ac:dyDescent="0.15"/>
    <row r="49187" s="69" customFormat="1" x14ac:dyDescent="0.15"/>
    <row r="49188" s="69" customFormat="1" x14ac:dyDescent="0.15"/>
    <row r="49189" s="69" customFormat="1" x14ac:dyDescent="0.15"/>
    <row r="49190" s="69" customFormat="1" x14ac:dyDescent="0.15"/>
    <row r="49191" s="69" customFormat="1" x14ac:dyDescent="0.15"/>
    <row r="49192" s="69" customFormat="1" x14ac:dyDescent="0.15"/>
    <row r="49193" s="69" customFormat="1" x14ac:dyDescent="0.15"/>
    <row r="49194" s="69" customFormat="1" x14ac:dyDescent="0.15"/>
    <row r="49195" s="69" customFormat="1" x14ac:dyDescent="0.15"/>
    <row r="49196" s="69" customFormat="1" x14ac:dyDescent="0.15"/>
    <row r="49197" s="69" customFormat="1" x14ac:dyDescent="0.15"/>
    <row r="49198" s="69" customFormat="1" x14ac:dyDescent="0.15"/>
    <row r="49199" s="69" customFormat="1" x14ac:dyDescent="0.15"/>
    <row r="49200" s="69" customFormat="1" x14ac:dyDescent="0.15"/>
    <row r="49201" s="69" customFormat="1" x14ac:dyDescent="0.15"/>
    <row r="49202" s="69" customFormat="1" x14ac:dyDescent="0.15"/>
    <row r="49203" s="69" customFormat="1" x14ac:dyDescent="0.15"/>
    <row r="49204" s="69" customFormat="1" x14ac:dyDescent="0.15"/>
    <row r="49205" s="69" customFormat="1" x14ac:dyDescent="0.15"/>
    <row r="49206" s="69" customFormat="1" x14ac:dyDescent="0.15"/>
    <row r="49207" s="69" customFormat="1" x14ac:dyDescent="0.15"/>
    <row r="49208" s="69" customFormat="1" x14ac:dyDescent="0.15"/>
    <row r="49209" s="69" customFormat="1" x14ac:dyDescent="0.15"/>
    <row r="49210" s="69" customFormat="1" x14ac:dyDescent="0.15"/>
    <row r="49211" s="69" customFormat="1" x14ac:dyDescent="0.15"/>
    <row r="49212" s="69" customFormat="1" x14ac:dyDescent="0.15"/>
    <row r="49213" s="69" customFormat="1" x14ac:dyDescent="0.15"/>
    <row r="49214" s="69" customFormat="1" x14ac:dyDescent="0.15"/>
    <row r="49215" s="69" customFormat="1" x14ac:dyDescent="0.15"/>
    <row r="49216" s="69" customFormat="1" x14ac:dyDescent="0.15"/>
    <row r="49217" s="69" customFormat="1" x14ac:dyDescent="0.15"/>
    <row r="49218" s="69" customFormat="1" x14ac:dyDescent="0.15"/>
    <row r="49219" s="69" customFormat="1" x14ac:dyDescent="0.15"/>
    <row r="49220" s="69" customFormat="1" x14ac:dyDescent="0.15"/>
    <row r="49221" s="69" customFormat="1" x14ac:dyDescent="0.15"/>
    <row r="49222" s="69" customFormat="1" x14ac:dyDescent="0.15"/>
    <row r="49223" s="69" customFormat="1" x14ac:dyDescent="0.15"/>
    <row r="49224" s="69" customFormat="1" x14ac:dyDescent="0.15"/>
    <row r="49225" s="69" customFormat="1" x14ac:dyDescent="0.15"/>
    <row r="49226" s="69" customFormat="1" x14ac:dyDescent="0.15"/>
    <row r="49227" s="69" customFormat="1" x14ac:dyDescent="0.15"/>
    <row r="49228" s="69" customFormat="1" x14ac:dyDescent="0.15"/>
    <row r="49229" s="69" customFormat="1" x14ac:dyDescent="0.15"/>
    <row r="49230" s="69" customFormat="1" x14ac:dyDescent="0.15"/>
    <row r="49231" s="69" customFormat="1" x14ac:dyDescent="0.15"/>
    <row r="49232" s="69" customFormat="1" x14ac:dyDescent="0.15"/>
    <row r="49233" s="69" customFormat="1" x14ac:dyDescent="0.15"/>
    <row r="49234" s="69" customFormat="1" x14ac:dyDescent="0.15"/>
    <row r="49235" s="69" customFormat="1" x14ac:dyDescent="0.15"/>
    <row r="49236" s="69" customFormat="1" x14ac:dyDescent="0.15"/>
    <row r="49237" s="69" customFormat="1" x14ac:dyDescent="0.15"/>
    <row r="49238" s="69" customFormat="1" x14ac:dyDescent="0.15"/>
    <row r="49239" s="69" customFormat="1" x14ac:dyDescent="0.15"/>
    <row r="49240" s="69" customFormat="1" x14ac:dyDescent="0.15"/>
    <row r="49241" s="69" customFormat="1" x14ac:dyDescent="0.15"/>
    <row r="49242" s="69" customFormat="1" x14ac:dyDescent="0.15"/>
    <row r="49243" s="69" customFormat="1" x14ac:dyDescent="0.15"/>
    <row r="49244" s="69" customFormat="1" x14ac:dyDescent="0.15"/>
    <row r="49245" s="69" customFormat="1" x14ac:dyDescent="0.15"/>
    <row r="49246" s="69" customFormat="1" x14ac:dyDescent="0.15"/>
    <row r="49247" s="69" customFormat="1" x14ac:dyDescent="0.15"/>
    <row r="49248" s="69" customFormat="1" x14ac:dyDescent="0.15"/>
    <row r="49249" s="69" customFormat="1" x14ac:dyDescent="0.15"/>
    <row r="49250" s="69" customFormat="1" x14ac:dyDescent="0.15"/>
    <row r="49251" s="69" customFormat="1" x14ac:dyDescent="0.15"/>
    <row r="49252" s="69" customFormat="1" x14ac:dyDescent="0.15"/>
    <row r="49253" s="69" customFormat="1" x14ac:dyDescent="0.15"/>
    <row r="49254" s="69" customFormat="1" x14ac:dyDescent="0.15"/>
    <row r="49255" s="69" customFormat="1" x14ac:dyDescent="0.15"/>
    <row r="49256" s="69" customFormat="1" x14ac:dyDescent="0.15"/>
    <row r="49257" s="69" customFormat="1" x14ac:dyDescent="0.15"/>
    <row r="49258" s="69" customFormat="1" x14ac:dyDescent="0.15"/>
    <row r="49259" s="69" customFormat="1" x14ac:dyDescent="0.15"/>
    <row r="49260" s="69" customFormat="1" x14ac:dyDescent="0.15"/>
    <row r="49261" s="69" customFormat="1" x14ac:dyDescent="0.15"/>
    <row r="49262" s="69" customFormat="1" x14ac:dyDescent="0.15"/>
    <row r="49263" s="69" customFormat="1" x14ac:dyDescent="0.15"/>
    <row r="49264" s="69" customFormat="1" x14ac:dyDescent="0.15"/>
    <row r="49265" s="69" customFormat="1" x14ac:dyDescent="0.15"/>
    <row r="49266" s="69" customFormat="1" x14ac:dyDescent="0.15"/>
    <row r="49267" s="69" customFormat="1" x14ac:dyDescent="0.15"/>
    <row r="49268" s="69" customFormat="1" x14ac:dyDescent="0.15"/>
    <row r="49269" s="69" customFormat="1" x14ac:dyDescent="0.15"/>
    <row r="49270" s="69" customFormat="1" x14ac:dyDescent="0.15"/>
    <row r="49271" s="69" customFormat="1" x14ac:dyDescent="0.15"/>
    <row r="49272" s="69" customFormat="1" x14ac:dyDescent="0.15"/>
    <row r="49273" s="69" customFormat="1" x14ac:dyDescent="0.15"/>
    <row r="49274" s="69" customFormat="1" x14ac:dyDescent="0.15"/>
    <row r="49275" s="69" customFormat="1" x14ac:dyDescent="0.15"/>
    <row r="49276" s="69" customFormat="1" x14ac:dyDescent="0.15"/>
    <row r="49277" s="69" customFormat="1" x14ac:dyDescent="0.15"/>
    <row r="49278" s="69" customFormat="1" x14ac:dyDescent="0.15"/>
    <row r="49279" s="69" customFormat="1" x14ac:dyDescent="0.15"/>
    <row r="49280" s="69" customFormat="1" x14ac:dyDescent="0.15"/>
    <row r="49281" s="69" customFormat="1" x14ac:dyDescent="0.15"/>
    <row r="49282" s="69" customFormat="1" x14ac:dyDescent="0.15"/>
    <row r="49283" s="69" customFormat="1" x14ac:dyDescent="0.15"/>
    <row r="49284" s="69" customFormat="1" x14ac:dyDescent="0.15"/>
    <row r="49285" s="69" customFormat="1" x14ac:dyDescent="0.15"/>
    <row r="49286" s="69" customFormat="1" x14ac:dyDescent="0.15"/>
    <row r="49287" s="69" customFormat="1" x14ac:dyDescent="0.15"/>
    <row r="49288" s="69" customFormat="1" x14ac:dyDescent="0.15"/>
    <row r="49289" s="69" customFormat="1" x14ac:dyDescent="0.15"/>
    <row r="49290" s="69" customFormat="1" x14ac:dyDescent="0.15"/>
    <row r="49291" s="69" customFormat="1" x14ac:dyDescent="0.15"/>
    <row r="49292" s="69" customFormat="1" x14ac:dyDescent="0.15"/>
    <row r="49293" s="69" customFormat="1" x14ac:dyDescent="0.15"/>
    <row r="49294" s="69" customFormat="1" x14ac:dyDescent="0.15"/>
    <row r="49295" s="69" customFormat="1" x14ac:dyDescent="0.15"/>
    <row r="49296" s="69" customFormat="1" x14ac:dyDescent="0.15"/>
    <row r="49297" s="69" customFormat="1" x14ac:dyDescent="0.15"/>
    <row r="49298" s="69" customFormat="1" x14ac:dyDescent="0.15"/>
    <row r="49299" s="69" customFormat="1" x14ac:dyDescent="0.15"/>
    <row r="49300" s="69" customFormat="1" x14ac:dyDescent="0.15"/>
    <row r="49301" s="69" customFormat="1" x14ac:dyDescent="0.15"/>
    <row r="49302" s="69" customFormat="1" x14ac:dyDescent="0.15"/>
    <row r="49303" s="69" customFormat="1" x14ac:dyDescent="0.15"/>
    <row r="49304" s="69" customFormat="1" x14ac:dyDescent="0.15"/>
    <row r="49305" s="69" customFormat="1" x14ac:dyDescent="0.15"/>
    <row r="49306" s="69" customFormat="1" x14ac:dyDescent="0.15"/>
    <row r="49307" s="69" customFormat="1" x14ac:dyDescent="0.15"/>
    <row r="49308" s="69" customFormat="1" x14ac:dyDescent="0.15"/>
    <row r="49309" s="69" customFormat="1" x14ac:dyDescent="0.15"/>
    <row r="49310" s="69" customFormat="1" x14ac:dyDescent="0.15"/>
    <row r="49311" s="69" customFormat="1" x14ac:dyDescent="0.15"/>
    <row r="49312" s="69" customFormat="1" x14ac:dyDescent="0.15"/>
    <row r="49313" s="69" customFormat="1" x14ac:dyDescent="0.15"/>
    <row r="49314" s="69" customFormat="1" x14ac:dyDescent="0.15"/>
    <row r="49315" s="69" customFormat="1" x14ac:dyDescent="0.15"/>
    <row r="49316" s="69" customFormat="1" x14ac:dyDescent="0.15"/>
    <row r="49317" s="69" customFormat="1" x14ac:dyDescent="0.15"/>
    <row r="49318" s="69" customFormat="1" x14ac:dyDescent="0.15"/>
    <row r="49319" s="69" customFormat="1" x14ac:dyDescent="0.15"/>
    <row r="49320" s="69" customFormat="1" x14ac:dyDescent="0.15"/>
    <row r="49321" s="69" customFormat="1" x14ac:dyDescent="0.15"/>
    <row r="49322" s="69" customFormat="1" x14ac:dyDescent="0.15"/>
    <row r="49323" s="69" customFormat="1" x14ac:dyDescent="0.15"/>
    <row r="49324" s="69" customFormat="1" x14ac:dyDescent="0.15"/>
    <row r="49325" s="69" customFormat="1" x14ac:dyDescent="0.15"/>
    <row r="49326" s="69" customFormat="1" x14ac:dyDescent="0.15"/>
    <row r="49327" s="69" customFormat="1" x14ac:dyDescent="0.15"/>
    <row r="49328" s="69" customFormat="1" x14ac:dyDescent="0.15"/>
    <row r="49329" s="69" customFormat="1" x14ac:dyDescent="0.15"/>
    <row r="49330" s="69" customFormat="1" x14ac:dyDescent="0.15"/>
    <row r="49331" s="69" customFormat="1" x14ac:dyDescent="0.15"/>
    <row r="49332" s="69" customFormat="1" x14ac:dyDescent="0.15"/>
    <row r="49333" s="69" customFormat="1" x14ac:dyDescent="0.15"/>
    <row r="49334" s="69" customFormat="1" x14ac:dyDescent="0.15"/>
    <row r="49335" s="69" customFormat="1" x14ac:dyDescent="0.15"/>
    <row r="49336" s="69" customFormat="1" x14ac:dyDescent="0.15"/>
    <row r="49337" s="69" customFormat="1" x14ac:dyDescent="0.15"/>
    <row r="49338" s="69" customFormat="1" x14ac:dyDescent="0.15"/>
    <row r="49339" s="69" customFormat="1" x14ac:dyDescent="0.15"/>
    <row r="49340" s="69" customFormat="1" x14ac:dyDescent="0.15"/>
    <row r="49341" s="69" customFormat="1" x14ac:dyDescent="0.15"/>
    <row r="49342" s="69" customFormat="1" x14ac:dyDescent="0.15"/>
    <row r="49343" s="69" customFormat="1" x14ac:dyDescent="0.15"/>
    <row r="49344" s="69" customFormat="1" x14ac:dyDescent="0.15"/>
    <row r="49345" s="69" customFormat="1" x14ac:dyDescent="0.15"/>
    <row r="49346" s="69" customFormat="1" x14ac:dyDescent="0.15"/>
    <row r="49347" s="69" customFormat="1" x14ac:dyDescent="0.15"/>
    <row r="49348" s="69" customFormat="1" x14ac:dyDescent="0.15"/>
    <row r="49349" s="69" customFormat="1" x14ac:dyDescent="0.15"/>
    <row r="49350" s="69" customFormat="1" x14ac:dyDescent="0.15"/>
    <row r="49351" s="69" customFormat="1" x14ac:dyDescent="0.15"/>
    <row r="49352" s="69" customFormat="1" x14ac:dyDescent="0.15"/>
    <row r="49353" s="69" customFormat="1" x14ac:dyDescent="0.15"/>
    <row r="49354" s="69" customFormat="1" x14ac:dyDescent="0.15"/>
    <row r="49355" s="69" customFormat="1" x14ac:dyDescent="0.15"/>
    <row r="49356" s="69" customFormat="1" x14ac:dyDescent="0.15"/>
    <row r="49357" s="69" customFormat="1" x14ac:dyDescent="0.15"/>
    <row r="49358" s="69" customFormat="1" x14ac:dyDescent="0.15"/>
    <row r="49359" s="69" customFormat="1" x14ac:dyDescent="0.15"/>
    <row r="49360" s="69" customFormat="1" x14ac:dyDescent="0.15"/>
    <row r="49361" s="69" customFormat="1" x14ac:dyDescent="0.15"/>
    <row r="49362" s="69" customFormat="1" x14ac:dyDescent="0.15"/>
    <row r="49363" s="69" customFormat="1" x14ac:dyDescent="0.15"/>
    <row r="49364" s="69" customFormat="1" x14ac:dyDescent="0.15"/>
    <row r="49365" s="69" customFormat="1" x14ac:dyDescent="0.15"/>
    <row r="49366" s="69" customFormat="1" x14ac:dyDescent="0.15"/>
    <row r="49367" s="69" customFormat="1" x14ac:dyDescent="0.15"/>
    <row r="49368" s="69" customFormat="1" x14ac:dyDescent="0.15"/>
    <row r="49369" s="69" customFormat="1" x14ac:dyDescent="0.15"/>
    <row r="49370" s="69" customFormat="1" x14ac:dyDescent="0.15"/>
    <row r="49371" s="69" customFormat="1" x14ac:dyDescent="0.15"/>
    <row r="49372" s="69" customFormat="1" x14ac:dyDescent="0.15"/>
    <row r="49373" s="69" customFormat="1" x14ac:dyDescent="0.15"/>
    <row r="49374" s="69" customFormat="1" x14ac:dyDescent="0.15"/>
    <row r="49375" s="69" customFormat="1" x14ac:dyDescent="0.15"/>
    <row r="49376" s="69" customFormat="1" x14ac:dyDescent="0.15"/>
    <row r="49377" s="69" customFormat="1" x14ac:dyDescent="0.15"/>
    <row r="49378" s="69" customFormat="1" x14ac:dyDescent="0.15"/>
    <row r="49379" s="69" customFormat="1" x14ac:dyDescent="0.15"/>
    <row r="49380" s="69" customFormat="1" x14ac:dyDescent="0.15"/>
    <row r="49381" s="69" customFormat="1" x14ac:dyDescent="0.15"/>
    <row r="49382" s="69" customFormat="1" x14ac:dyDescent="0.15"/>
    <row r="49383" s="69" customFormat="1" x14ac:dyDescent="0.15"/>
    <row r="49384" s="69" customFormat="1" x14ac:dyDescent="0.15"/>
    <row r="49385" s="69" customFormat="1" x14ac:dyDescent="0.15"/>
    <row r="49386" s="69" customFormat="1" x14ac:dyDescent="0.15"/>
    <row r="49387" s="69" customFormat="1" x14ac:dyDescent="0.15"/>
    <row r="49388" s="69" customFormat="1" x14ac:dyDescent="0.15"/>
    <row r="49389" s="69" customFormat="1" x14ac:dyDescent="0.15"/>
    <row r="49390" s="69" customFormat="1" x14ac:dyDescent="0.15"/>
    <row r="49391" s="69" customFormat="1" x14ac:dyDescent="0.15"/>
    <row r="49392" s="69" customFormat="1" x14ac:dyDescent="0.15"/>
    <row r="49393" s="69" customFormat="1" x14ac:dyDescent="0.15"/>
    <row r="49394" s="69" customFormat="1" x14ac:dyDescent="0.15"/>
    <row r="49395" s="69" customFormat="1" x14ac:dyDescent="0.15"/>
    <row r="49396" s="69" customFormat="1" x14ac:dyDescent="0.15"/>
    <row r="49397" s="69" customFormat="1" x14ac:dyDescent="0.15"/>
    <row r="49398" s="69" customFormat="1" x14ac:dyDescent="0.15"/>
    <row r="49399" s="69" customFormat="1" x14ac:dyDescent="0.15"/>
    <row r="49400" s="69" customFormat="1" x14ac:dyDescent="0.15"/>
    <row r="49401" s="69" customFormat="1" x14ac:dyDescent="0.15"/>
    <row r="49402" s="69" customFormat="1" x14ac:dyDescent="0.15"/>
    <row r="49403" s="69" customFormat="1" x14ac:dyDescent="0.15"/>
    <row r="49404" s="69" customFormat="1" x14ac:dyDescent="0.15"/>
    <row r="49405" s="69" customFormat="1" x14ac:dyDescent="0.15"/>
    <row r="49406" s="69" customFormat="1" x14ac:dyDescent="0.15"/>
    <row r="49407" s="69" customFormat="1" x14ac:dyDescent="0.15"/>
    <row r="49408" s="69" customFormat="1" x14ac:dyDescent="0.15"/>
    <row r="49409" s="69" customFormat="1" x14ac:dyDescent="0.15"/>
    <row r="49410" s="69" customFormat="1" x14ac:dyDescent="0.15"/>
    <row r="49411" s="69" customFormat="1" x14ac:dyDescent="0.15"/>
    <row r="49412" s="69" customFormat="1" x14ac:dyDescent="0.15"/>
    <row r="49413" s="69" customFormat="1" x14ac:dyDescent="0.15"/>
    <row r="49414" s="69" customFormat="1" x14ac:dyDescent="0.15"/>
    <row r="49415" s="69" customFormat="1" x14ac:dyDescent="0.15"/>
    <row r="49416" s="69" customFormat="1" x14ac:dyDescent="0.15"/>
    <row r="49417" s="69" customFormat="1" x14ac:dyDescent="0.15"/>
    <row r="49418" s="69" customFormat="1" x14ac:dyDescent="0.15"/>
    <row r="49419" s="69" customFormat="1" x14ac:dyDescent="0.15"/>
    <row r="49420" s="69" customFormat="1" x14ac:dyDescent="0.15"/>
    <row r="49421" s="69" customFormat="1" x14ac:dyDescent="0.15"/>
    <row r="49422" s="69" customFormat="1" x14ac:dyDescent="0.15"/>
    <row r="49423" s="69" customFormat="1" x14ac:dyDescent="0.15"/>
    <row r="49424" s="69" customFormat="1" x14ac:dyDescent="0.15"/>
    <row r="49425" s="69" customFormat="1" x14ac:dyDescent="0.15"/>
    <row r="49426" s="69" customFormat="1" x14ac:dyDescent="0.15"/>
    <row r="49427" s="69" customFormat="1" x14ac:dyDescent="0.15"/>
    <row r="49428" s="69" customFormat="1" x14ac:dyDescent="0.15"/>
    <row r="49429" s="69" customFormat="1" x14ac:dyDescent="0.15"/>
    <row r="49430" s="69" customFormat="1" x14ac:dyDescent="0.15"/>
    <row r="49431" s="69" customFormat="1" x14ac:dyDescent="0.15"/>
    <row r="49432" s="69" customFormat="1" x14ac:dyDescent="0.15"/>
    <row r="49433" s="69" customFormat="1" x14ac:dyDescent="0.15"/>
    <row r="49434" s="69" customFormat="1" x14ac:dyDescent="0.15"/>
    <row r="49435" s="69" customFormat="1" x14ac:dyDescent="0.15"/>
    <row r="49436" s="69" customFormat="1" x14ac:dyDescent="0.15"/>
    <row r="49437" s="69" customFormat="1" x14ac:dyDescent="0.15"/>
    <row r="49438" s="69" customFormat="1" x14ac:dyDescent="0.15"/>
    <row r="49439" s="69" customFormat="1" x14ac:dyDescent="0.15"/>
    <row r="49440" s="69" customFormat="1" x14ac:dyDescent="0.15"/>
    <row r="49441" s="69" customFormat="1" x14ac:dyDescent="0.15"/>
    <row r="49442" s="69" customFormat="1" x14ac:dyDescent="0.15"/>
    <row r="49443" s="69" customFormat="1" x14ac:dyDescent="0.15"/>
    <row r="49444" s="69" customFormat="1" x14ac:dyDescent="0.15"/>
    <row r="49445" s="69" customFormat="1" x14ac:dyDescent="0.15"/>
    <row r="49446" s="69" customFormat="1" x14ac:dyDescent="0.15"/>
    <row r="49447" s="69" customFormat="1" x14ac:dyDescent="0.15"/>
    <row r="49448" s="69" customFormat="1" x14ac:dyDescent="0.15"/>
    <row r="49449" s="69" customFormat="1" x14ac:dyDescent="0.15"/>
    <row r="49450" s="69" customFormat="1" x14ac:dyDescent="0.15"/>
    <row r="49451" s="69" customFormat="1" x14ac:dyDescent="0.15"/>
    <row r="49452" s="69" customFormat="1" x14ac:dyDescent="0.15"/>
    <row r="49453" s="69" customFormat="1" x14ac:dyDescent="0.15"/>
    <row r="49454" s="69" customFormat="1" x14ac:dyDescent="0.15"/>
    <row r="49455" s="69" customFormat="1" x14ac:dyDescent="0.15"/>
    <row r="49456" s="69" customFormat="1" x14ac:dyDescent="0.15"/>
    <row r="49457" s="69" customFormat="1" x14ac:dyDescent="0.15"/>
    <row r="49458" s="69" customFormat="1" x14ac:dyDescent="0.15"/>
    <row r="49459" s="69" customFormat="1" x14ac:dyDescent="0.15"/>
    <row r="49460" s="69" customFormat="1" x14ac:dyDescent="0.15"/>
    <row r="49461" s="69" customFormat="1" x14ac:dyDescent="0.15"/>
    <row r="49462" s="69" customFormat="1" x14ac:dyDescent="0.15"/>
    <row r="49463" s="69" customFormat="1" x14ac:dyDescent="0.15"/>
    <row r="49464" s="69" customFormat="1" x14ac:dyDescent="0.15"/>
    <row r="49465" s="69" customFormat="1" x14ac:dyDescent="0.15"/>
    <row r="49466" s="69" customFormat="1" x14ac:dyDescent="0.15"/>
    <row r="49467" s="69" customFormat="1" x14ac:dyDescent="0.15"/>
    <row r="49468" s="69" customFormat="1" x14ac:dyDescent="0.15"/>
    <row r="49469" s="69" customFormat="1" x14ac:dyDescent="0.15"/>
    <row r="49470" s="69" customFormat="1" x14ac:dyDescent="0.15"/>
    <row r="49471" s="69" customFormat="1" x14ac:dyDescent="0.15"/>
    <row r="49472" s="69" customFormat="1" x14ac:dyDescent="0.15"/>
    <row r="49473" s="69" customFormat="1" x14ac:dyDescent="0.15"/>
    <row r="49474" s="69" customFormat="1" x14ac:dyDescent="0.15"/>
    <row r="49475" s="69" customFormat="1" x14ac:dyDescent="0.15"/>
    <row r="49476" s="69" customFormat="1" x14ac:dyDescent="0.15"/>
    <row r="49477" s="69" customFormat="1" x14ac:dyDescent="0.15"/>
    <row r="49478" s="69" customFormat="1" x14ac:dyDescent="0.15"/>
    <row r="49479" s="69" customFormat="1" x14ac:dyDescent="0.15"/>
    <row r="49480" s="69" customFormat="1" x14ac:dyDescent="0.15"/>
    <row r="49481" s="69" customFormat="1" x14ac:dyDescent="0.15"/>
    <row r="49482" s="69" customFormat="1" x14ac:dyDescent="0.15"/>
    <row r="49483" s="69" customFormat="1" x14ac:dyDescent="0.15"/>
    <row r="49484" s="69" customFormat="1" x14ac:dyDescent="0.15"/>
    <row r="49485" s="69" customFormat="1" x14ac:dyDescent="0.15"/>
    <row r="49486" s="69" customFormat="1" x14ac:dyDescent="0.15"/>
    <row r="49487" s="69" customFormat="1" x14ac:dyDescent="0.15"/>
    <row r="49488" s="69" customFormat="1" x14ac:dyDescent="0.15"/>
    <row r="49489" s="69" customFormat="1" x14ac:dyDescent="0.15"/>
    <row r="49490" s="69" customFormat="1" x14ac:dyDescent="0.15"/>
    <row r="49491" s="69" customFormat="1" x14ac:dyDescent="0.15"/>
    <row r="49492" s="69" customFormat="1" x14ac:dyDescent="0.15"/>
    <row r="49493" s="69" customFormat="1" x14ac:dyDescent="0.15"/>
    <row r="49494" s="69" customFormat="1" x14ac:dyDescent="0.15"/>
    <row r="49495" s="69" customFormat="1" x14ac:dyDescent="0.15"/>
    <row r="49496" s="69" customFormat="1" x14ac:dyDescent="0.15"/>
    <row r="49497" s="69" customFormat="1" x14ac:dyDescent="0.15"/>
    <row r="49498" s="69" customFormat="1" x14ac:dyDescent="0.15"/>
    <row r="49499" s="69" customFormat="1" x14ac:dyDescent="0.15"/>
    <row r="49500" s="69" customFormat="1" x14ac:dyDescent="0.15"/>
    <row r="49501" s="69" customFormat="1" x14ac:dyDescent="0.15"/>
    <row r="49502" s="69" customFormat="1" x14ac:dyDescent="0.15"/>
    <row r="49503" s="69" customFormat="1" x14ac:dyDescent="0.15"/>
    <row r="49504" s="69" customFormat="1" x14ac:dyDescent="0.15"/>
    <row r="49505" s="69" customFormat="1" x14ac:dyDescent="0.15"/>
    <row r="49506" s="69" customFormat="1" x14ac:dyDescent="0.15"/>
    <row r="49507" s="69" customFormat="1" x14ac:dyDescent="0.15"/>
    <row r="49508" s="69" customFormat="1" x14ac:dyDescent="0.15"/>
    <row r="49509" s="69" customFormat="1" x14ac:dyDescent="0.15"/>
    <row r="49510" s="69" customFormat="1" x14ac:dyDescent="0.15"/>
    <row r="49511" s="69" customFormat="1" x14ac:dyDescent="0.15"/>
    <row r="49512" s="69" customFormat="1" x14ac:dyDescent="0.15"/>
    <row r="49513" s="69" customFormat="1" x14ac:dyDescent="0.15"/>
    <row r="49514" s="69" customFormat="1" x14ac:dyDescent="0.15"/>
    <row r="49515" s="69" customFormat="1" x14ac:dyDescent="0.15"/>
    <row r="49516" s="69" customFormat="1" x14ac:dyDescent="0.15"/>
    <row r="49517" s="69" customFormat="1" x14ac:dyDescent="0.15"/>
    <row r="49518" s="69" customFormat="1" x14ac:dyDescent="0.15"/>
    <row r="49519" s="69" customFormat="1" x14ac:dyDescent="0.15"/>
    <row r="49520" s="69" customFormat="1" x14ac:dyDescent="0.15"/>
    <row r="49521" s="69" customFormat="1" x14ac:dyDescent="0.15"/>
    <row r="49522" s="69" customFormat="1" x14ac:dyDescent="0.15"/>
    <row r="49523" s="69" customFormat="1" x14ac:dyDescent="0.15"/>
    <row r="49524" s="69" customFormat="1" x14ac:dyDescent="0.15"/>
    <row r="49525" s="69" customFormat="1" x14ac:dyDescent="0.15"/>
    <row r="49526" s="69" customFormat="1" x14ac:dyDescent="0.15"/>
    <row r="49527" s="69" customFormat="1" x14ac:dyDescent="0.15"/>
    <row r="49528" s="69" customFormat="1" x14ac:dyDescent="0.15"/>
    <row r="49529" s="69" customFormat="1" x14ac:dyDescent="0.15"/>
    <row r="49530" s="69" customFormat="1" x14ac:dyDescent="0.15"/>
    <row r="49531" s="69" customFormat="1" x14ac:dyDescent="0.15"/>
    <row r="49532" s="69" customFormat="1" x14ac:dyDescent="0.15"/>
    <row r="49533" s="69" customFormat="1" x14ac:dyDescent="0.15"/>
    <row r="49534" s="69" customFormat="1" x14ac:dyDescent="0.15"/>
    <row r="49535" s="69" customFormat="1" x14ac:dyDescent="0.15"/>
    <row r="49536" s="69" customFormat="1" x14ac:dyDescent="0.15"/>
    <row r="49537" s="69" customFormat="1" x14ac:dyDescent="0.15"/>
    <row r="49538" s="69" customFormat="1" x14ac:dyDescent="0.15"/>
    <row r="49539" s="69" customFormat="1" x14ac:dyDescent="0.15"/>
    <row r="49540" s="69" customFormat="1" x14ac:dyDescent="0.15"/>
    <row r="49541" s="69" customFormat="1" x14ac:dyDescent="0.15"/>
    <row r="49542" s="69" customFormat="1" x14ac:dyDescent="0.15"/>
    <row r="49543" s="69" customFormat="1" x14ac:dyDescent="0.15"/>
    <row r="49544" s="69" customFormat="1" x14ac:dyDescent="0.15"/>
    <row r="49545" s="69" customFormat="1" x14ac:dyDescent="0.15"/>
    <row r="49546" s="69" customFormat="1" x14ac:dyDescent="0.15"/>
    <row r="49547" s="69" customFormat="1" x14ac:dyDescent="0.15"/>
    <row r="49548" s="69" customFormat="1" x14ac:dyDescent="0.15"/>
    <row r="49549" s="69" customFormat="1" x14ac:dyDescent="0.15"/>
    <row r="49550" s="69" customFormat="1" x14ac:dyDescent="0.15"/>
    <row r="49551" s="69" customFormat="1" x14ac:dyDescent="0.15"/>
    <row r="49552" s="69" customFormat="1" x14ac:dyDescent="0.15"/>
    <row r="49553" s="69" customFormat="1" x14ac:dyDescent="0.15"/>
    <row r="49554" s="69" customFormat="1" x14ac:dyDescent="0.15"/>
    <row r="49555" s="69" customFormat="1" x14ac:dyDescent="0.15"/>
    <row r="49556" s="69" customFormat="1" x14ac:dyDescent="0.15"/>
    <row r="49557" s="69" customFormat="1" x14ac:dyDescent="0.15"/>
    <row r="49558" s="69" customFormat="1" x14ac:dyDescent="0.15"/>
    <row r="49559" s="69" customFormat="1" x14ac:dyDescent="0.15"/>
    <row r="49560" s="69" customFormat="1" x14ac:dyDescent="0.15"/>
    <row r="49561" s="69" customFormat="1" x14ac:dyDescent="0.15"/>
    <row r="49562" s="69" customFormat="1" x14ac:dyDescent="0.15"/>
    <row r="49563" s="69" customFormat="1" x14ac:dyDescent="0.15"/>
    <row r="49564" s="69" customFormat="1" x14ac:dyDescent="0.15"/>
    <row r="49565" s="69" customFormat="1" x14ac:dyDescent="0.15"/>
    <row r="49566" s="69" customFormat="1" x14ac:dyDescent="0.15"/>
    <row r="49567" s="69" customFormat="1" x14ac:dyDescent="0.15"/>
    <row r="49568" s="69" customFormat="1" x14ac:dyDescent="0.15"/>
    <row r="49569" s="69" customFormat="1" x14ac:dyDescent="0.15"/>
    <row r="49570" s="69" customFormat="1" x14ac:dyDescent="0.15"/>
    <row r="49571" s="69" customFormat="1" x14ac:dyDescent="0.15"/>
    <row r="49572" s="69" customFormat="1" x14ac:dyDescent="0.15"/>
    <row r="49573" s="69" customFormat="1" x14ac:dyDescent="0.15"/>
    <row r="49574" s="69" customFormat="1" x14ac:dyDescent="0.15"/>
    <row r="49575" s="69" customFormat="1" x14ac:dyDescent="0.15"/>
    <row r="49576" s="69" customFormat="1" x14ac:dyDescent="0.15"/>
    <row r="49577" s="69" customFormat="1" x14ac:dyDescent="0.15"/>
    <row r="49578" s="69" customFormat="1" x14ac:dyDescent="0.15"/>
    <row r="49579" s="69" customFormat="1" x14ac:dyDescent="0.15"/>
    <row r="49580" s="69" customFormat="1" x14ac:dyDescent="0.15"/>
    <row r="49581" s="69" customFormat="1" x14ac:dyDescent="0.15"/>
    <row r="49582" s="69" customFormat="1" x14ac:dyDescent="0.15"/>
    <row r="49583" s="69" customFormat="1" x14ac:dyDescent="0.15"/>
    <row r="49584" s="69" customFormat="1" x14ac:dyDescent="0.15"/>
    <row r="49585" s="69" customFormat="1" x14ac:dyDescent="0.15"/>
    <row r="49586" s="69" customFormat="1" x14ac:dyDescent="0.15"/>
    <row r="49587" s="69" customFormat="1" x14ac:dyDescent="0.15"/>
    <row r="49588" s="69" customFormat="1" x14ac:dyDescent="0.15"/>
    <row r="49589" s="69" customFormat="1" x14ac:dyDescent="0.15"/>
    <row r="49590" s="69" customFormat="1" x14ac:dyDescent="0.15"/>
    <row r="49591" s="69" customFormat="1" x14ac:dyDescent="0.15"/>
    <row r="49592" s="69" customFormat="1" x14ac:dyDescent="0.15"/>
    <row r="49593" s="69" customFormat="1" x14ac:dyDescent="0.15"/>
    <row r="49594" s="69" customFormat="1" x14ac:dyDescent="0.15"/>
    <row r="49595" s="69" customFormat="1" x14ac:dyDescent="0.15"/>
    <row r="49596" s="69" customFormat="1" x14ac:dyDescent="0.15"/>
    <row r="49597" s="69" customFormat="1" x14ac:dyDescent="0.15"/>
    <row r="49598" s="69" customFormat="1" x14ac:dyDescent="0.15"/>
    <row r="49599" s="69" customFormat="1" x14ac:dyDescent="0.15"/>
    <row r="49600" s="69" customFormat="1" x14ac:dyDescent="0.15"/>
    <row r="49601" s="69" customFormat="1" x14ac:dyDescent="0.15"/>
    <row r="49602" s="69" customFormat="1" x14ac:dyDescent="0.15"/>
    <row r="49603" s="69" customFormat="1" x14ac:dyDescent="0.15"/>
    <row r="49604" s="69" customFormat="1" x14ac:dyDescent="0.15"/>
    <row r="49605" s="69" customFormat="1" x14ac:dyDescent="0.15"/>
    <row r="49606" s="69" customFormat="1" x14ac:dyDescent="0.15"/>
    <row r="49607" s="69" customFormat="1" x14ac:dyDescent="0.15"/>
    <row r="49608" s="69" customFormat="1" x14ac:dyDescent="0.15"/>
    <row r="49609" s="69" customFormat="1" x14ac:dyDescent="0.15"/>
    <row r="49610" s="69" customFormat="1" x14ac:dyDescent="0.15"/>
    <row r="49611" s="69" customFormat="1" x14ac:dyDescent="0.15"/>
    <row r="49612" s="69" customFormat="1" x14ac:dyDescent="0.15"/>
    <row r="49613" s="69" customFormat="1" x14ac:dyDescent="0.15"/>
    <row r="49614" s="69" customFormat="1" x14ac:dyDescent="0.15"/>
    <row r="49615" s="69" customFormat="1" x14ac:dyDescent="0.15"/>
    <row r="49616" s="69" customFormat="1" x14ac:dyDescent="0.15"/>
    <row r="49617" s="69" customFormat="1" x14ac:dyDescent="0.15"/>
    <row r="49618" s="69" customFormat="1" x14ac:dyDescent="0.15"/>
    <row r="49619" s="69" customFormat="1" x14ac:dyDescent="0.15"/>
    <row r="49620" s="69" customFormat="1" x14ac:dyDescent="0.15"/>
    <row r="49621" s="69" customFormat="1" x14ac:dyDescent="0.15"/>
    <row r="49622" s="69" customFormat="1" x14ac:dyDescent="0.15"/>
    <row r="49623" s="69" customFormat="1" x14ac:dyDescent="0.15"/>
    <row r="49624" s="69" customFormat="1" x14ac:dyDescent="0.15"/>
    <row r="49625" s="69" customFormat="1" x14ac:dyDescent="0.15"/>
    <row r="49626" s="69" customFormat="1" x14ac:dyDescent="0.15"/>
    <row r="49627" s="69" customFormat="1" x14ac:dyDescent="0.15"/>
    <row r="49628" s="69" customFormat="1" x14ac:dyDescent="0.15"/>
    <row r="49629" s="69" customFormat="1" x14ac:dyDescent="0.15"/>
    <row r="49630" s="69" customFormat="1" x14ac:dyDescent="0.15"/>
    <row r="49631" s="69" customFormat="1" x14ac:dyDescent="0.15"/>
    <row r="49632" s="69" customFormat="1" x14ac:dyDescent="0.15"/>
    <row r="49633" s="69" customFormat="1" x14ac:dyDescent="0.15"/>
    <row r="49634" s="69" customFormat="1" x14ac:dyDescent="0.15"/>
    <row r="49635" s="69" customFormat="1" x14ac:dyDescent="0.15"/>
    <row r="49636" s="69" customFormat="1" x14ac:dyDescent="0.15"/>
    <row r="49637" s="69" customFormat="1" x14ac:dyDescent="0.15"/>
    <row r="49638" s="69" customFormat="1" x14ac:dyDescent="0.15"/>
    <row r="49639" s="69" customFormat="1" x14ac:dyDescent="0.15"/>
    <row r="49640" s="69" customFormat="1" x14ac:dyDescent="0.15"/>
    <row r="49641" s="69" customFormat="1" x14ac:dyDescent="0.15"/>
    <row r="49642" s="69" customFormat="1" x14ac:dyDescent="0.15"/>
    <row r="49643" s="69" customFormat="1" x14ac:dyDescent="0.15"/>
    <row r="49644" s="69" customFormat="1" x14ac:dyDescent="0.15"/>
    <row r="49645" s="69" customFormat="1" x14ac:dyDescent="0.15"/>
    <row r="49646" s="69" customFormat="1" x14ac:dyDescent="0.15"/>
    <row r="49647" s="69" customFormat="1" x14ac:dyDescent="0.15"/>
    <row r="49648" s="69" customFormat="1" x14ac:dyDescent="0.15"/>
    <row r="49649" s="69" customFormat="1" x14ac:dyDescent="0.15"/>
    <row r="49650" s="69" customFormat="1" x14ac:dyDescent="0.15"/>
    <row r="49651" s="69" customFormat="1" x14ac:dyDescent="0.15"/>
    <row r="49652" s="69" customFormat="1" x14ac:dyDescent="0.15"/>
    <row r="49653" s="69" customFormat="1" x14ac:dyDescent="0.15"/>
    <row r="49654" s="69" customFormat="1" x14ac:dyDescent="0.15"/>
    <row r="49655" s="69" customFormat="1" x14ac:dyDescent="0.15"/>
    <row r="49656" s="69" customFormat="1" x14ac:dyDescent="0.15"/>
    <row r="49657" s="69" customFormat="1" x14ac:dyDescent="0.15"/>
    <row r="49658" s="69" customFormat="1" x14ac:dyDescent="0.15"/>
    <row r="49659" s="69" customFormat="1" x14ac:dyDescent="0.15"/>
    <row r="49660" s="69" customFormat="1" x14ac:dyDescent="0.15"/>
    <row r="49661" s="69" customFormat="1" x14ac:dyDescent="0.15"/>
    <row r="49662" s="69" customFormat="1" x14ac:dyDescent="0.15"/>
    <row r="49663" s="69" customFormat="1" x14ac:dyDescent="0.15"/>
    <row r="49664" s="69" customFormat="1" x14ac:dyDescent="0.15"/>
    <row r="49665" s="69" customFormat="1" x14ac:dyDescent="0.15"/>
    <row r="49666" s="69" customFormat="1" x14ac:dyDescent="0.15"/>
    <row r="49667" s="69" customFormat="1" x14ac:dyDescent="0.15"/>
    <row r="49668" s="69" customFormat="1" x14ac:dyDescent="0.15"/>
    <row r="49669" s="69" customFormat="1" x14ac:dyDescent="0.15"/>
    <row r="49670" s="69" customFormat="1" x14ac:dyDescent="0.15"/>
    <row r="49671" s="69" customFormat="1" x14ac:dyDescent="0.15"/>
    <row r="49672" s="69" customFormat="1" x14ac:dyDescent="0.15"/>
    <row r="49673" s="69" customFormat="1" x14ac:dyDescent="0.15"/>
    <row r="49674" s="69" customFormat="1" x14ac:dyDescent="0.15"/>
    <row r="49675" s="69" customFormat="1" x14ac:dyDescent="0.15"/>
    <row r="49676" s="69" customFormat="1" x14ac:dyDescent="0.15"/>
    <row r="49677" s="69" customFormat="1" x14ac:dyDescent="0.15"/>
    <row r="49678" s="69" customFormat="1" x14ac:dyDescent="0.15"/>
    <row r="49679" s="69" customFormat="1" x14ac:dyDescent="0.15"/>
    <row r="49680" s="69" customFormat="1" x14ac:dyDescent="0.15"/>
    <row r="49681" s="69" customFormat="1" x14ac:dyDescent="0.15"/>
    <row r="49682" s="69" customFormat="1" x14ac:dyDescent="0.15"/>
    <row r="49683" s="69" customFormat="1" x14ac:dyDescent="0.15"/>
    <row r="49684" s="69" customFormat="1" x14ac:dyDescent="0.15"/>
    <row r="49685" s="69" customFormat="1" x14ac:dyDescent="0.15"/>
    <row r="49686" s="69" customFormat="1" x14ac:dyDescent="0.15"/>
    <row r="49687" s="69" customFormat="1" x14ac:dyDescent="0.15"/>
    <row r="49688" s="69" customFormat="1" x14ac:dyDescent="0.15"/>
    <row r="49689" s="69" customFormat="1" x14ac:dyDescent="0.15"/>
    <row r="49690" s="69" customFormat="1" x14ac:dyDescent="0.15"/>
    <row r="49691" s="69" customFormat="1" x14ac:dyDescent="0.15"/>
    <row r="49692" s="69" customFormat="1" x14ac:dyDescent="0.15"/>
    <row r="49693" s="69" customFormat="1" x14ac:dyDescent="0.15"/>
    <row r="49694" s="69" customFormat="1" x14ac:dyDescent="0.15"/>
    <row r="49695" s="69" customFormat="1" x14ac:dyDescent="0.15"/>
    <row r="49696" s="69" customFormat="1" x14ac:dyDescent="0.15"/>
    <row r="49697" s="69" customFormat="1" x14ac:dyDescent="0.15"/>
    <row r="49698" s="69" customFormat="1" x14ac:dyDescent="0.15"/>
    <row r="49699" s="69" customFormat="1" x14ac:dyDescent="0.15"/>
    <row r="49700" s="69" customFormat="1" x14ac:dyDescent="0.15"/>
    <row r="49701" s="69" customFormat="1" x14ac:dyDescent="0.15"/>
    <row r="49702" s="69" customFormat="1" x14ac:dyDescent="0.15"/>
    <row r="49703" s="69" customFormat="1" x14ac:dyDescent="0.15"/>
    <row r="49704" s="69" customFormat="1" x14ac:dyDescent="0.15"/>
    <row r="49705" s="69" customFormat="1" x14ac:dyDescent="0.15"/>
    <row r="49706" s="69" customFormat="1" x14ac:dyDescent="0.15"/>
    <row r="49707" s="69" customFormat="1" x14ac:dyDescent="0.15"/>
    <row r="49708" s="69" customFormat="1" x14ac:dyDescent="0.15"/>
    <row r="49709" s="69" customFormat="1" x14ac:dyDescent="0.15"/>
    <row r="49710" s="69" customFormat="1" x14ac:dyDescent="0.15"/>
    <row r="49711" s="69" customFormat="1" x14ac:dyDescent="0.15"/>
    <row r="49712" s="69" customFormat="1" x14ac:dyDescent="0.15"/>
    <row r="49713" s="69" customFormat="1" x14ac:dyDescent="0.15"/>
    <row r="49714" s="69" customFormat="1" x14ac:dyDescent="0.15"/>
    <row r="49715" s="69" customFormat="1" x14ac:dyDescent="0.15"/>
    <row r="49716" s="69" customFormat="1" x14ac:dyDescent="0.15"/>
    <row r="49717" s="69" customFormat="1" x14ac:dyDescent="0.15"/>
    <row r="49718" s="69" customFormat="1" x14ac:dyDescent="0.15"/>
    <row r="49719" s="69" customFormat="1" x14ac:dyDescent="0.15"/>
    <row r="49720" s="69" customFormat="1" x14ac:dyDescent="0.15"/>
    <row r="49721" s="69" customFormat="1" x14ac:dyDescent="0.15"/>
    <row r="49722" s="69" customFormat="1" x14ac:dyDescent="0.15"/>
    <row r="49723" s="69" customFormat="1" x14ac:dyDescent="0.15"/>
    <row r="49724" s="69" customFormat="1" x14ac:dyDescent="0.15"/>
    <row r="49725" s="69" customFormat="1" x14ac:dyDescent="0.15"/>
    <row r="49726" s="69" customFormat="1" x14ac:dyDescent="0.15"/>
    <row r="49727" s="69" customFormat="1" x14ac:dyDescent="0.15"/>
    <row r="49728" s="69" customFormat="1" x14ac:dyDescent="0.15"/>
    <row r="49729" s="69" customFormat="1" x14ac:dyDescent="0.15"/>
    <row r="49730" s="69" customFormat="1" x14ac:dyDescent="0.15"/>
    <row r="49731" s="69" customFormat="1" x14ac:dyDescent="0.15"/>
    <row r="49732" s="69" customFormat="1" x14ac:dyDescent="0.15"/>
    <row r="49733" s="69" customFormat="1" x14ac:dyDescent="0.15"/>
    <row r="49734" s="69" customFormat="1" x14ac:dyDescent="0.15"/>
    <row r="49735" s="69" customFormat="1" x14ac:dyDescent="0.15"/>
    <row r="49736" s="69" customFormat="1" x14ac:dyDescent="0.15"/>
    <row r="49737" s="69" customFormat="1" x14ac:dyDescent="0.15"/>
    <row r="49738" s="69" customFormat="1" x14ac:dyDescent="0.15"/>
    <row r="49739" s="69" customFormat="1" x14ac:dyDescent="0.15"/>
    <row r="49740" s="69" customFormat="1" x14ac:dyDescent="0.15"/>
    <row r="49741" s="69" customFormat="1" x14ac:dyDescent="0.15"/>
    <row r="49742" s="69" customFormat="1" x14ac:dyDescent="0.15"/>
    <row r="49743" s="69" customFormat="1" x14ac:dyDescent="0.15"/>
    <row r="49744" s="69" customFormat="1" x14ac:dyDescent="0.15"/>
    <row r="49745" s="69" customFormat="1" x14ac:dyDescent="0.15"/>
    <row r="49746" s="69" customFormat="1" x14ac:dyDescent="0.15"/>
    <row r="49747" s="69" customFormat="1" x14ac:dyDescent="0.15"/>
    <row r="49748" s="69" customFormat="1" x14ac:dyDescent="0.15"/>
    <row r="49749" s="69" customFormat="1" x14ac:dyDescent="0.15"/>
    <row r="49750" s="69" customFormat="1" x14ac:dyDescent="0.15"/>
    <row r="49751" s="69" customFormat="1" x14ac:dyDescent="0.15"/>
    <row r="49752" s="69" customFormat="1" x14ac:dyDescent="0.15"/>
    <row r="49753" s="69" customFormat="1" x14ac:dyDescent="0.15"/>
    <row r="49754" s="69" customFormat="1" x14ac:dyDescent="0.15"/>
    <row r="49755" s="69" customFormat="1" x14ac:dyDescent="0.15"/>
    <row r="49756" s="69" customFormat="1" x14ac:dyDescent="0.15"/>
    <row r="49757" s="69" customFormat="1" x14ac:dyDescent="0.15"/>
    <row r="49758" s="69" customFormat="1" x14ac:dyDescent="0.15"/>
    <row r="49759" s="69" customFormat="1" x14ac:dyDescent="0.15"/>
    <row r="49760" s="69" customFormat="1" x14ac:dyDescent="0.15"/>
    <row r="49761" s="69" customFormat="1" x14ac:dyDescent="0.15"/>
    <row r="49762" s="69" customFormat="1" x14ac:dyDescent="0.15"/>
    <row r="49763" s="69" customFormat="1" x14ac:dyDescent="0.15"/>
    <row r="49764" s="69" customFormat="1" x14ac:dyDescent="0.15"/>
    <row r="49765" s="69" customFormat="1" x14ac:dyDescent="0.15"/>
    <row r="49766" s="69" customFormat="1" x14ac:dyDescent="0.15"/>
    <row r="49767" s="69" customFormat="1" x14ac:dyDescent="0.15"/>
    <row r="49768" s="69" customFormat="1" x14ac:dyDescent="0.15"/>
    <row r="49769" s="69" customFormat="1" x14ac:dyDescent="0.15"/>
    <row r="49770" s="69" customFormat="1" x14ac:dyDescent="0.15"/>
    <row r="49771" s="69" customFormat="1" x14ac:dyDescent="0.15"/>
    <row r="49772" s="69" customFormat="1" x14ac:dyDescent="0.15"/>
    <row r="49773" s="69" customFormat="1" x14ac:dyDescent="0.15"/>
    <row r="49774" s="69" customFormat="1" x14ac:dyDescent="0.15"/>
    <row r="49775" s="69" customFormat="1" x14ac:dyDescent="0.15"/>
    <row r="49776" s="69" customFormat="1" x14ac:dyDescent="0.15"/>
    <row r="49777" s="69" customFormat="1" x14ac:dyDescent="0.15"/>
    <row r="49778" s="69" customFormat="1" x14ac:dyDescent="0.15"/>
    <row r="49779" s="69" customFormat="1" x14ac:dyDescent="0.15"/>
    <row r="49780" s="69" customFormat="1" x14ac:dyDescent="0.15"/>
    <row r="49781" s="69" customFormat="1" x14ac:dyDescent="0.15"/>
    <row r="49782" s="69" customFormat="1" x14ac:dyDescent="0.15"/>
    <row r="49783" s="69" customFormat="1" x14ac:dyDescent="0.15"/>
    <row r="49784" s="69" customFormat="1" x14ac:dyDescent="0.15"/>
    <row r="49785" s="69" customFormat="1" x14ac:dyDescent="0.15"/>
    <row r="49786" s="69" customFormat="1" x14ac:dyDescent="0.15"/>
    <row r="49787" s="69" customFormat="1" x14ac:dyDescent="0.15"/>
    <row r="49788" s="69" customFormat="1" x14ac:dyDescent="0.15"/>
    <row r="49789" s="69" customFormat="1" x14ac:dyDescent="0.15"/>
    <row r="49790" s="69" customFormat="1" x14ac:dyDescent="0.15"/>
    <row r="49791" s="69" customFormat="1" x14ac:dyDescent="0.15"/>
    <row r="49792" s="69" customFormat="1" x14ac:dyDescent="0.15"/>
    <row r="49793" s="69" customFormat="1" x14ac:dyDescent="0.15"/>
    <row r="49794" s="69" customFormat="1" x14ac:dyDescent="0.15"/>
    <row r="49795" s="69" customFormat="1" x14ac:dyDescent="0.15"/>
    <row r="49796" s="69" customFormat="1" x14ac:dyDescent="0.15"/>
    <row r="49797" s="69" customFormat="1" x14ac:dyDescent="0.15"/>
    <row r="49798" s="69" customFormat="1" x14ac:dyDescent="0.15"/>
    <row r="49799" s="69" customFormat="1" x14ac:dyDescent="0.15"/>
    <row r="49800" s="69" customFormat="1" x14ac:dyDescent="0.15"/>
    <row r="49801" s="69" customFormat="1" x14ac:dyDescent="0.15"/>
    <row r="49802" s="69" customFormat="1" x14ac:dyDescent="0.15"/>
    <row r="49803" s="69" customFormat="1" x14ac:dyDescent="0.15"/>
    <row r="49804" s="69" customFormat="1" x14ac:dyDescent="0.15"/>
    <row r="49805" s="69" customFormat="1" x14ac:dyDescent="0.15"/>
    <row r="49806" s="69" customFormat="1" x14ac:dyDescent="0.15"/>
    <row r="49807" s="69" customFormat="1" x14ac:dyDescent="0.15"/>
    <row r="49808" s="69" customFormat="1" x14ac:dyDescent="0.15"/>
    <row r="49809" s="69" customFormat="1" x14ac:dyDescent="0.15"/>
    <row r="49810" s="69" customFormat="1" x14ac:dyDescent="0.15"/>
    <row r="49811" s="69" customFormat="1" x14ac:dyDescent="0.15"/>
    <row r="49812" s="69" customFormat="1" x14ac:dyDescent="0.15"/>
    <row r="49813" s="69" customFormat="1" x14ac:dyDescent="0.15"/>
    <row r="49814" s="69" customFormat="1" x14ac:dyDescent="0.15"/>
    <row r="49815" s="69" customFormat="1" x14ac:dyDescent="0.15"/>
    <row r="49816" s="69" customFormat="1" x14ac:dyDescent="0.15"/>
    <row r="49817" s="69" customFormat="1" x14ac:dyDescent="0.15"/>
    <row r="49818" s="69" customFormat="1" x14ac:dyDescent="0.15"/>
    <row r="49819" s="69" customFormat="1" x14ac:dyDescent="0.15"/>
    <row r="49820" s="69" customFormat="1" x14ac:dyDescent="0.15"/>
    <row r="49821" s="69" customFormat="1" x14ac:dyDescent="0.15"/>
    <row r="49822" s="69" customFormat="1" x14ac:dyDescent="0.15"/>
    <row r="49823" s="69" customFormat="1" x14ac:dyDescent="0.15"/>
    <row r="49824" s="69" customFormat="1" x14ac:dyDescent="0.15"/>
    <row r="49825" s="69" customFormat="1" x14ac:dyDescent="0.15"/>
    <row r="49826" s="69" customFormat="1" x14ac:dyDescent="0.15"/>
    <row r="49827" s="69" customFormat="1" x14ac:dyDescent="0.15"/>
    <row r="49828" s="69" customFormat="1" x14ac:dyDescent="0.15"/>
    <row r="49829" s="69" customFormat="1" x14ac:dyDescent="0.15"/>
    <row r="49830" s="69" customFormat="1" x14ac:dyDescent="0.15"/>
    <row r="49831" s="69" customFormat="1" x14ac:dyDescent="0.15"/>
    <row r="49832" s="69" customFormat="1" x14ac:dyDescent="0.15"/>
    <row r="49833" s="69" customFormat="1" x14ac:dyDescent="0.15"/>
    <row r="49834" s="69" customFormat="1" x14ac:dyDescent="0.15"/>
    <row r="49835" s="69" customFormat="1" x14ac:dyDescent="0.15"/>
    <row r="49836" s="69" customFormat="1" x14ac:dyDescent="0.15"/>
    <row r="49837" s="69" customFormat="1" x14ac:dyDescent="0.15"/>
    <row r="49838" s="69" customFormat="1" x14ac:dyDescent="0.15"/>
    <row r="49839" s="69" customFormat="1" x14ac:dyDescent="0.15"/>
    <row r="49840" s="69" customFormat="1" x14ac:dyDescent="0.15"/>
    <row r="49841" s="69" customFormat="1" x14ac:dyDescent="0.15"/>
    <row r="49842" s="69" customFormat="1" x14ac:dyDescent="0.15"/>
    <row r="49843" s="69" customFormat="1" x14ac:dyDescent="0.15"/>
    <row r="49844" s="69" customFormat="1" x14ac:dyDescent="0.15"/>
    <row r="49845" s="69" customFormat="1" x14ac:dyDescent="0.15"/>
    <row r="49846" s="69" customFormat="1" x14ac:dyDescent="0.15"/>
    <row r="49847" s="69" customFormat="1" x14ac:dyDescent="0.15"/>
    <row r="49848" s="69" customFormat="1" x14ac:dyDescent="0.15"/>
    <row r="49849" s="69" customFormat="1" x14ac:dyDescent="0.15"/>
    <row r="49850" s="69" customFormat="1" x14ac:dyDescent="0.15"/>
    <row r="49851" s="69" customFormat="1" x14ac:dyDescent="0.15"/>
    <row r="49852" s="69" customFormat="1" x14ac:dyDescent="0.15"/>
    <row r="49853" s="69" customFormat="1" x14ac:dyDescent="0.15"/>
    <row r="49854" s="69" customFormat="1" x14ac:dyDescent="0.15"/>
    <row r="49855" s="69" customFormat="1" x14ac:dyDescent="0.15"/>
    <row r="49856" s="69" customFormat="1" x14ac:dyDescent="0.15"/>
    <row r="49857" s="69" customFormat="1" x14ac:dyDescent="0.15"/>
    <row r="49858" s="69" customFormat="1" x14ac:dyDescent="0.15"/>
    <row r="49859" s="69" customFormat="1" x14ac:dyDescent="0.15"/>
    <row r="49860" s="69" customFormat="1" x14ac:dyDescent="0.15"/>
    <row r="49861" s="69" customFormat="1" x14ac:dyDescent="0.15"/>
    <row r="49862" s="69" customFormat="1" x14ac:dyDescent="0.15"/>
    <row r="49863" s="69" customFormat="1" x14ac:dyDescent="0.15"/>
    <row r="49864" s="69" customFormat="1" x14ac:dyDescent="0.15"/>
    <row r="49865" s="69" customFormat="1" x14ac:dyDescent="0.15"/>
    <row r="49866" s="69" customFormat="1" x14ac:dyDescent="0.15"/>
    <row r="49867" s="69" customFormat="1" x14ac:dyDescent="0.15"/>
    <row r="49868" s="69" customFormat="1" x14ac:dyDescent="0.15"/>
    <row r="49869" s="69" customFormat="1" x14ac:dyDescent="0.15"/>
    <row r="49870" s="69" customFormat="1" x14ac:dyDescent="0.15"/>
    <row r="49871" s="69" customFormat="1" x14ac:dyDescent="0.15"/>
    <row r="49872" s="69" customFormat="1" x14ac:dyDescent="0.15"/>
    <row r="49873" s="69" customFormat="1" x14ac:dyDescent="0.15"/>
    <row r="49874" s="69" customFormat="1" x14ac:dyDescent="0.15"/>
    <row r="49875" s="69" customFormat="1" x14ac:dyDescent="0.15"/>
    <row r="49876" s="69" customFormat="1" x14ac:dyDescent="0.15"/>
    <row r="49877" s="69" customFormat="1" x14ac:dyDescent="0.15"/>
    <row r="49878" s="69" customFormat="1" x14ac:dyDescent="0.15"/>
    <row r="49879" s="69" customFormat="1" x14ac:dyDescent="0.15"/>
    <row r="49880" s="69" customFormat="1" x14ac:dyDescent="0.15"/>
    <row r="49881" s="69" customFormat="1" x14ac:dyDescent="0.15"/>
    <row r="49882" s="69" customFormat="1" x14ac:dyDescent="0.15"/>
    <row r="49883" s="69" customFormat="1" x14ac:dyDescent="0.15"/>
    <row r="49884" s="69" customFormat="1" x14ac:dyDescent="0.15"/>
    <row r="49885" s="69" customFormat="1" x14ac:dyDescent="0.15"/>
    <row r="49886" s="69" customFormat="1" x14ac:dyDescent="0.15"/>
    <row r="49887" s="69" customFormat="1" x14ac:dyDescent="0.15"/>
    <row r="49888" s="69" customFormat="1" x14ac:dyDescent="0.15"/>
    <row r="49889" s="69" customFormat="1" x14ac:dyDescent="0.15"/>
    <row r="49890" s="69" customFormat="1" x14ac:dyDescent="0.15"/>
    <row r="49891" s="69" customFormat="1" x14ac:dyDescent="0.15"/>
    <row r="49892" s="69" customFormat="1" x14ac:dyDescent="0.15"/>
    <row r="49893" s="69" customFormat="1" x14ac:dyDescent="0.15"/>
    <row r="49894" s="69" customFormat="1" x14ac:dyDescent="0.15"/>
    <row r="49895" s="69" customFormat="1" x14ac:dyDescent="0.15"/>
    <row r="49896" s="69" customFormat="1" x14ac:dyDescent="0.15"/>
    <row r="49897" s="69" customFormat="1" x14ac:dyDescent="0.15"/>
    <row r="49898" s="69" customFormat="1" x14ac:dyDescent="0.15"/>
    <row r="49899" s="69" customFormat="1" x14ac:dyDescent="0.15"/>
    <row r="49900" s="69" customFormat="1" x14ac:dyDescent="0.15"/>
    <row r="49901" s="69" customFormat="1" x14ac:dyDescent="0.15"/>
    <row r="49902" s="69" customFormat="1" x14ac:dyDescent="0.15"/>
    <row r="49903" s="69" customFormat="1" x14ac:dyDescent="0.15"/>
    <row r="49904" s="69" customFormat="1" x14ac:dyDescent="0.15"/>
    <row r="49905" s="69" customFormat="1" x14ac:dyDescent="0.15"/>
    <row r="49906" s="69" customFormat="1" x14ac:dyDescent="0.15"/>
    <row r="49907" s="69" customFormat="1" x14ac:dyDescent="0.15"/>
    <row r="49908" s="69" customFormat="1" x14ac:dyDescent="0.15"/>
    <row r="49909" s="69" customFormat="1" x14ac:dyDescent="0.15"/>
    <row r="49910" s="69" customFormat="1" x14ac:dyDescent="0.15"/>
    <row r="49911" s="69" customFormat="1" x14ac:dyDescent="0.15"/>
    <row r="49912" s="69" customFormat="1" x14ac:dyDescent="0.15"/>
    <row r="49913" s="69" customFormat="1" x14ac:dyDescent="0.15"/>
    <row r="49914" s="69" customFormat="1" x14ac:dyDescent="0.15"/>
    <row r="49915" s="69" customFormat="1" x14ac:dyDescent="0.15"/>
    <row r="49916" s="69" customFormat="1" x14ac:dyDescent="0.15"/>
    <row r="49917" s="69" customFormat="1" x14ac:dyDescent="0.15"/>
    <row r="49918" s="69" customFormat="1" x14ac:dyDescent="0.15"/>
    <row r="49919" s="69" customFormat="1" x14ac:dyDescent="0.15"/>
    <row r="49920" s="69" customFormat="1" x14ac:dyDescent="0.15"/>
    <row r="49921" s="69" customFormat="1" x14ac:dyDescent="0.15"/>
    <row r="49922" s="69" customFormat="1" x14ac:dyDescent="0.15"/>
    <row r="49923" s="69" customFormat="1" x14ac:dyDescent="0.15"/>
    <row r="49924" s="69" customFormat="1" x14ac:dyDescent="0.15"/>
    <row r="49925" s="69" customFormat="1" x14ac:dyDescent="0.15"/>
    <row r="49926" s="69" customFormat="1" x14ac:dyDescent="0.15"/>
    <row r="49927" s="69" customFormat="1" x14ac:dyDescent="0.15"/>
    <row r="49928" s="69" customFormat="1" x14ac:dyDescent="0.15"/>
    <row r="49929" s="69" customFormat="1" x14ac:dyDescent="0.15"/>
    <row r="49930" s="69" customFormat="1" x14ac:dyDescent="0.15"/>
    <row r="49931" s="69" customFormat="1" x14ac:dyDescent="0.15"/>
    <row r="49932" s="69" customFormat="1" x14ac:dyDescent="0.15"/>
    <row r="49933" s="69" customFormat="1" x14ac:dyDescent="0.15"/>
    <row r="49934" s="69" customFormat="1" x14ac:dyDescent="0.15"/>
    <row r="49935" s="69" customFormat="1" x14ac:dyDescent="0.15"/>
    <row r="49936" s="69" customFormat="1" x14ac:dyDescent="0.15"/>
    <row r="49937" s="69" customFormat="1" x14ac:dyDescent="0.15"/>
    <row r="49938" s="69" customFormat="1" x14ac:dyDescent="0.15"/>
    <row r="49939" s="69" customFormat="1" x14ac:dyDescent="0.15"/>
    <row r="49940" s="69" customFormat="1" x14ac:dyDescent="0.15"/>
    <row r="49941" s="69" customFormat="1" x14ac:dyDescent="0.15"/>
    <row r="49942" s="69" customFormat="1" x14ac:dyDescent="0.15"/>
    <row r="49943" s="69" customFormat="1" x14ac:dyDescent="0.15"/>
    <row r="49944" s="69" customFormat="1" x14ac:dyDescent="0.15"/>
    <row r="49945" s="69" customFormat="1" x14ac:dyDescent="0.15"/>
    <row r="49946" s="69" customFormat="1" x14ac:dyDescent="0.15"/>
    <row r="49947" s="69" customFormat="1" x14ac:dyDescent="0.15"/>
    <row r="49948" s="69" customFormat="1" x14ac:dyDescent="0.15"/>
    <row r="49949" s="69" customFormat="1" x14ac:dyDescent="0.15"/>
    <row r="49950" s="69" customFormat="1" x14ac:dyDescent="0.15"/>
    <row r="49951" s="69" customFormat="1" x14ac:dyDescent="0.15"/>
    <row r="49952" s="69" customFormat="1" x14ac:dyDescent="0.15"/>
    <row r="49953" s="69" customFormat="1" x14ac:dyDescent="0.15"/>
    <row r="49954" s="69" customFormat="1" x14ac:dyDescent="0.15"/>
    <row r="49955" s="69" customFormat="1" x14ac:dyDescent="0.15"/>
    <row r="49956" s="69" customFormat="1" x14ac:dyDescent="0.15"/>
    <row r="49957" s="69" customFormat="1" x14ac:dyDescent="0.15"/>
    <row r="49958" s="69" customFormat="1" x14ac:dyDescent="0.15"/>
    <row r="49959" s="69" customFormat="1" x14ac:dyDescent="0.15"/>
    <row r="49960" s="69" customFormat="1" x14ac:dyDescent="0.15"/>
    <row r="49961" s="69" customFormat="1" x14ac:dyDescent="0.15"/>
    <row r="49962" s="69" customFormat="1" x14ac:dyDescent="0.15"/>
    <row r="49963" s="69" customFormat="1" x14ac:dyDescent="0.15"/>
    <row r="49964" s="69" customFormat="1" x14ac:dyDescent="0.15"/>
    <row r="49965" s="69" customFormat="1" x14ac:dyDescent="0.15"/>
    <row r="49966" s="69" customFormat="1" x14ac:dyDescent="0.15"/>
    <row r="49967" s="69" customFormat="1" x14ac:dyDescent="0.15"/>
    <row r="49968" s="69" customFormat="1" x14ac:dyDescent="0.15"/>
    <row r="49969" s="69" customFormat="1" x14ac:dyDescent="0.15"/>
    <row r="49970" s="69" customFormat="1" x14ac:dyDescent="0.15"/>
    <row r="49971" s="69" customFormat="1" x14ac:dyDescent="0.15"/>
    <row r="49972" s="69" customFormat="1" x14ac:dyDescent="0.15"/>
    <row r="49973" s="69" customFormat="1" x14ac:dyDescent="0.15"/>
    <row r="49974" s="69" customFormat="1" x14ac:dyDescent="0.15"/>
    <row r="49975" s="69" customFormat="1" x14ac:dyDescent="0.15"/>
    <row r="49976" s="69" customFormat="1" x14ac:dyDescent="0.15"/>
    <row r="49977" s="69" customFormat="1" x14ac:dyDescent="0.15"/>
    <row r="49978" s="69" customFormat="1" x14ac:dyDescent="0.15"/>
    <row r="49979" s="69" customFormat="1" x14ac:dyDescent="0.15"/>
    <row r="49980" s="69" customFormat="1" x14ac:dyDescent="0.15"/>
    <row r="49981" s="69" customFormat="1" x14ac:dyDescent="0.15"/>
    <row r="49982" s="69" customFormat="1" x14ac:dyDescent="0.15"/>
    <row r="49983" s="69" customFormat="1" x14ac:dyDescent="0.15"/>
    <row r="49984" s="69" customFormat="1" x14ac:dyDescent="0.15"/>
    <row r="49985" s="69" customFormat="1" x14ac:dyDescent="0.15"/>
    <row r="49986" s="69" customFormat="1" x14ac:dyDescent="0.15"/>
    <row r="49987" s="69" customFormat="1" x14ac:dyDescent="0.15"/>
    <row r="49988" s="69" customFormat="1" x14ac:dyDescent="0.15"/>
    <row r="49989" s="69" customFormat="1" x14ac:dyDescent="0.15"/>
    <row r="49990" s="69" customFormat="1" x14ac:dyDescent="0.15"/>
    <row r="49991" s="69" customFormat="1" x14ac:dyDescent="0.15"/>
    <row r="49992" s="69" customFormat="1" x14ac:dyDescent="0.15"/>
    <row r="49993" s="69" customFormat="1" x14ac:dyDescent="0.15"/>
    <row r="49994" s="69" customFormat="1" x14ac:dyDescent="0.15"/>
    <row r="49995" s="69" customFormat="1" x14ac:dyDescent="0.15"/>
    <row r="49996" s="69" customFormat="1" x14ac:dyDescent="0.15"/>
    <row r="49997" s="69" customFormat="1" x14ac:dyDescent="0.15"/>
    <row r="49998" s="69" customFormat="1" x14ac:dyDescent="0.15"/>
    <row r="49999" s="69" customFormat="1" x14ac:dyDescent="0.15"/>
    <row r="50000" s="69" customFormat="1" x14ac:dyDescent="0.15"/>
    <row r="50001" s="69" customFormat="1" x14ac:dyDescent="0.15"/>
    <row r="50002" s="69" customFormat="1" x14ac:dyDescent="0.15"/>
    <row r="50003" s="69" customFormat="1" x14ac:dyDescent="0.15"/>
    <row r="50004" s="69" customFormat="1" x14ac:dyDescent="0.15"/>
    <row r="50005" s="69" customFormat="1" x14ac:dyDescent="0.15"/>
    <row r="50006" s="69" customFormat="1" x14ac:dyDescent="0.15"/>
    <row r="50007" s="69" customFormat="1" x14ac:dyDescent="0.15"/>
    <row r="50008" s="69" customFormat="1" x14ac:dyDescent="0.15"/>
    <row r="50009" s="69" customFormat="1" x14ac:dyDescent="0.15"/>
    <row r="50010" s="69" customFormat="1" x14ac:dyDescent="0.15"/>
    <row r="50011" s="69" customFormat="1" x14ac:dyDescent="0.15"/>
    <row r="50012" s="69" customFormat="1" x14ac:dyDescent="0.15"/>
    <row r="50013" s="69" customFormat="1" x14ac:dyDescent="0.15"/>
    <row r="50014" s="69" customFormat="1" x14ac:dyDescent="0.15"/>
    <row r="50015" s="69" customFormat="1" x14ac:dyDescent="0.15"/>
    <row r="50016" s="69" customFormat="1" x14ac:dyDescent="0.15"/>
    <row r="50017" s="69" customFormat="1" x14ac:dyDescent="0.15"/>
    <row r="50018" s="69" customFormat="1" x14ac:dyDescent="0.15"/>
    <row r="50019" s="69" customFormat="1" x14ac:dyDescent="0.15"/>
    <row r="50020" s="69" customFormat="1" x14ac:dyDescent="0.15"/>
    <row r="50021" s="69" customFormat="1" x14ac:dyDescent="0.15"/>
    <row r="50022" s="69" customFormat="1" x14ac:dyDescent="0.15"/>
    <row r="50023" s="69" customFormat="1" x14ac:dyDescent="0.15"/>
    <row r="50024" s="69" customFormat="1" x14ac:dyDescent="0.15"/>
    <row r="50025" s="69" customFormat="1" x14ac:dyDescent="0.15"/>
    <row r="50026" s="69" customFormat="1" x14ac:dyDescent="0.15"/>
    <row r="50027" s="69" customFormat="1" x14ac:dyDescent="0.15"/>
    <row r="50028" s="69" customFormat="1" x14ac:dyDescent="0.15"/>
    <row r="50029" s="69" customFormat="1" x14ac:dyDescent="0.15"/>
    <row r="50030" s="69" customFormat="1" x14ac:dyDescent="0.15"/>
    <row r="50031" s="69" customFormat="1" x14ac:dyDescent="0.15"/>
    <row r="50032" s="69" customFormat="1" x14ac:dyDescent="0.15"/>
    <row r="50033" s="69" customFormat="1" x14ac:dyDescent="0.15"/>
    <row r="50034" s="69" customFormat="1" x14ac:dyDescent="0.15"/>
    <row r="50035" s="69" customFormat="1" x14ac:dyDescent="0.15"/>
    <row r="50036" s="69" customFormat="1" x14ac:dyDescent="0.15"/>
    <row r="50037" s="69" customFormat="1" x14ac:dyDescent="0.15"/>
    <row r="50038" s="69" customFormat="1" x14ac:dyDescent="0.15"/>
    <row r="50039" s="69" customFormat="1" x14ac:dyDescent="0.15"/>
    <row r="50040" s="69" customFormat="1" x14ac:dyDescent="0.15"/>
    <row r="50041" s="69" customFormat="1" x14ac:dyDescent="0.15"/>
    <row r="50042" s="69" customFormat="1" x14ac:dyDescent="0.15"/>
    <row r="50043" s="69" customFormat="1" x14ac:dyDescent="0.15"/>
    <row r="50044" s="69" customFormat="1" x14ac:dyDescent="0.15"/>
    <row r="50045" s="69" customFormat="1" x14ac:dyDescent="0.15"/>
    <row r="50046" s="69" customFormat="1" x14ac:dyDescent="0.15"/>
    <row r="50047" s="69" customFormat="1" x14ac:dyDescent="0.15"/>
    <row r="50048" s="69" customFormat="1" x14ac:dyDescent="0.15"/>
    <row r="50049" s="69" customFormat="1" x14ac:dyDescent="0.15"/>
    <row r="50050" s="69" customFormat="1" x14ac:dyDescent="0.15"/>
    <row r="50051" s="69" customFormat="1" x14ac:dyDescent="0.15"/>
    <row r="50052" s="69" customFormat="1" x14ac:dyDescent="0.15"/>
    <row r="50053" s="69" customFormat="1" x14ac:dyDescent="0.15"/>
    <row r="50054" s="69" customFormat="1" x14ac:dyDescent="0.15"/>
    <row r="50055" s="69" customFormat="1" x14ac:dyDescent="0.15"/>
    <row r="50056" s="69" customFormat="1" x14ac:dyDescent="0.15"/>
    <row r="50057" s="69" customFormat="1" x14ac:dyDescent="0.15"/>
    <row r="50058" s="69" customFormat="1" x14ac:dyDescent="0.15"/>
    <row r="50059" s="69" customFormat="1" x14ac:dyDescent="0.15"/>
    <row r="50060" s="69" customFormat="1" x14ac:dyDescent="0.15"/>
    <row r="50061" s="69" customFormat="1" x14ac:dyDescent="0.15"/>
    <row r="50062" s="69" customFormat="1" x14ac:dyDescent="0.15"/>
    <row r="50063" s="69" customFormat="1" x14ac:dyDescent="0.15"/>
    <row r="50064" s="69" customFormat="1" x14ac:dyDescent="0.15"/>
    <row r="50065" s="69" customFormat="1" x14ac:dyDescent="0.15"/>
    <row r="50066" s="69" customFormat="1" x14ac:dyDescent="0.15"/>
    <row r="50067" s="69" customFormat="1" x14ac:dyDescent="0.15"/>
    <row r="50068" s="69" customFormat="1" x14ac:dyDescent="0.15"/>
    <row r="50069" s="69" customFormat="1" x14ac:dyDescent="0.15"/>
    <row r="50070" s="69" customFormat="1" x14ac:dyDescent="0.15"/>
    <row r="50071" s="69" customFormat="1" x14ac:dyDescent="0.15"/>
    <row r="50072" s="69" customFormat="1" x14ac:dyDescent="0.15"/>
    <row r="50073" s="69" customFormat="1" x14ac:dyDescent="0.15"/>
    <row r="50074" s="69" customFormat="1" x14ac:dyDescent="0.15"/>
    <row r="50075" s="69" customFormat="1" x14ac:dyDescent="0.15"/>
    <row r="50076" s="69" customFormat="1" x14ac:dyDescent="0.15"/>
    <row r="50077" s="69" customFormat="1" x14ac:dyDescent="0.15"/>
    <row r="50078" s="69" customFormat="1" x14ac:dyDescent="0.15"/>
    <row r="50079" s="69" customFormat="1" x14ac:dyDescent="0.15"/>
    <row r="50080" s="69" customFormat="1" x14ac:dyDescent="0.15"/>
    <row r="50081" s="69" customFormat="1" x14ac:dyDescent="0.15"/>
    <row r="50082" s="69" customFormat="1" x14ac:dyDescent="0.15"/>
    <row r="50083" s="69" customFormat="1" x14ac:dyDescent="0.15"/>
    <row r="50084" s="69" customFormat="1" x14ac:dyDescent="0.15"/>
    <row r="50085" s="69" customFormat="1" x14ac:dyDescent="0.15"/>
    <row r="50086" s="69" customFormat="1" x14ac:dyDescent="0.15"/>
    <row r="50087" s="69" customFormat="1" x14ac:dyDescent="0.15"/>
    <row r="50088" s="69" customFormat="1" x14ac:dyDescent="0.15"/>
    <row r="50089" s="69" customFormat="1" x14ac:dyDescent="0.15"/>
    <row r="50090" s="69" customFormat="1" x14ac:dyDescent="0.15"/>
    <row r="50091" s="69" customFormat="1" x14ac:dyDescent="0.15"/>
    <row r="50092" s="69" customFormat="1" x14ac:dyDescent="0.15"/>
    <row r="50093" s="69" customFormat="1" x14ac:dyDescent="0.15"/>
    <row r="50094" s="69" customFormat="1" x14ac:dyDescent="0.15"/>
    <row r="50095" s="69" customFormat="1" x14ac:dyDescent="0.15"/>
    <row r="50096" s="69" customFormat="1" x14ac:dyDescent="0.15"/>
    <row r="50097" s="69" customFormat="1" x14ac:dyDescent="0.15"/>
    <row r="50098" s="69" customFormat="1" x14ac:dyDescent="0.15"/>
    <row r="50099" s="69" customFormat="1" x14ac:dyDescent="0.15"/>
    <row r="50100" s="69" customFormat="1" x14ac:dyDescent="0.15"/>
    <row r="50101" s="69" customFormat="1" x14ac:dyDescent="0.15"/>
    <row r="50102" s="69" customFormat="1" x14ac:dyDescent="0.15"/>
    <row r="50103" s="69" customFormat="1" x14ac:dyDescent="0.15"/>
    <row r="50104" s="69" customFormat="1" x14ac:dyDescent="0.15"/>
    <row r="50105" s="69" customFormat="1" x14ac:dyDescent="0.15"/>
    <row r="50106" s="69" customFormat="1" x14ac:dyDescent="0.15"/>
    <row r="50107" s="69" customFormat="1" x14ac:dyDescent="0.15"/>
    <row r="50108" s="69" customFormat="1" x14ac:dyDescent="0.15"/>
    <row r="50109" s="69" customFormat="1" x14ac:dyDescent="0.15"/>
    <row r="50110" s="69" customFormat="1" x14ac:dyDescent="0.15"/>
    <row r="50111" s="69" customFormat="1" x14ac:dyDescent="0.15"/>
    <row r="50112" s="69" customFormat="1" x14ac:dyDescent="0.15"/>
    <row r="50113" s="69" customFormat="1" x14ac:dyDescent="0.15"/>
    <row r="50114" s="69" customFormat="1" x14ac:dyDescent="0.15"/>
    <row r="50115" s="69" customFormat="1" x14ac:dyDescent="0.15"/>
    <row r="50116" s="69" customFormat="1" x14ac:dyDescent="0.15"/>
    <row r="50117" s="69" customFormat="1" x14ac:dyDescent="0.15"/>
    <row r="50118" s="69" customFormat="1" x14ac:dyDescent="0.15"/>
    <row r="50119" s="69" customFormat="1" x14ac:dyDescent="0.15"/>
    <row r="50120" s="69" customFormat="1" x14ac:dyDescent="0.15"/>
    <row r="50121" s="69" customFormat="1" x14ac:dyDescent="0.15"/>
    <row r="50122" s="69" customFormat="1" x14ac:dyDescent="0.15"/>
    <row r="50123" s="69" customFormat="1" x14ac:dyDescent="0.15"/>
    <row r="50124" s="69" customFormat="1" x14ac:dyDescent="0.15"/>
    <row r="50125" s="69" customFormat="1" x14ac:dyDescent="0.15"/>
    <row r="50126" s="69" customFormat="1" x14ac:dyDescent="0.15"/>
    <row r="50127" s="69" customFormat="1" x14ac:dyDescent="0.15"/>
    <row r="50128" s="69" customFormat="1" x14ac:dyDescent="0.15"/>
    <row r="50129" s="69" customFormat="1" x14ac:dyDescent="0.15"/>
    <row r="50130" s="69" customFormat="1" x14ac:dyDescent="0.15"/>
    <row r="50131" s="69" customFormat="1" x14ac:dyDescent="0.15"/>
    <row r="50132" s="69" customFormat="1" x14ac:dyDescent="0.15"/>
    <row r="50133" s="69" customFormat="1" x14ac:dyDescent="0.15"/>
    <row r="50134" s="69" customFormat="1" x14ac:dyDescent="0.15"/>
    <row r="50135" s="69" customFormat="1" x14ac:dyDescent="0.15"/>
    <row r="50136" s="69" customFormat="1" x14ac:dyDescent="0.15"/>
    <row r="50137" s="69" customFormat="1" x14ac:dyDescent="0.15"/>
    <row r="50138" s="69" customFormat="1" x14ac:dyDescent="0.15"/>
    <row r="50139" s="69" customFormat="1" x14ac:dyDescent="0.15"/>
    <row r="50140" s="69" customFormat="1" x14ac:dyDescent="0.15"/>
    <row r="50141" s="69" customFormat="1" x14ac:dyDescent="0.15"/>
    <row r="50142" s="69" customFormat="1" x14ac:dyDescent="0.15"/>
    <row r="50143" s="69" customFormat="1" x14ac:dyDescent="0.15"/>
    <row r="50144" s="69" customFormat="1" x14ac:dyDescent="0.15"/>
    <row r="50145" s="69" customFormat="1" x14ac:dyDescent="0.15"/>
    <row r="50146" s="69" customFormat="1" x14ac:dyDescent="0.15"/>
    <row r="50147" s="69" customFormat="1" x14ac:dyDescent="0.15"/>
    <row r="50148" s="69" customFormat="1" x14ac:dyDescent="0.15"/>
    <row r="50149" s="69" customFormat="1" x14ac:dyDescent="0.15"/>
    <row r="50150" s="69" customFormat="1" x14ac:dyDescent="0.15"/>
    <row r="50151" s="69" customFormat="1" x14ac:dyDescent="0.15"/>
    <row r="50152" s="69" customFormat="1" x14ac:dyDescent="0.15"/>
    <row r="50153" s="69" customFormat="1" x14ac:dyDescent="0.15"/>
    <row r="50154" s="69" customFormat="1" x14ac:dyDescent="0.15"/>
    <row r="50155" s="69" customFormat="1" x14ac:dyDescent="0.15"/>
    <row r="50156" s="69" customFormat="1" x14ac:dyDescent="0.15"/>
    <row r="50157" s="69" customFormat="1" x14ac:dyDescent="0.15"/>
    <row r="50158" s="69" customFormat="1" x14ac:dyDescent="0.15"/>
    <row r="50159" s="69" customFormat="1" x14ac:dyDescent="0.15"/>
    <row r="50160" s="69" customFormat="1" x14ac:dyDescent="0.15"/>
    <row r="50161" s="69" customFormat="1" x14ac:dyDescent="0.15"/>
    <row r="50162" s="69" customFormat="1" x14ac:dyDescent="0.15"/>
    <row r="50163" s="69" customFormat="1" x14ac:dyDescent="0.15"/>
    <row r="50164" s="69" customFormat="1" x14ac:dyDescent="0.15"/>
    <row r="50165" s="69" customFormat="1" x14ac:dyDescent="0.15"/>
    <row r="50166" s="69" customFormat="1" x14ac:dyDescent="0.15"/>
    <row r="50167" s="69" customFormat="1" x14ac:dyDescent="0.15"/>
    <row r="50168" s="69" customFormat="1" x14ac:dyDescent="0.15"/>
    <row r="50169" s="69" customFormat="1" x14ac:dyDescent="0.15"/>
    <row r="50170" s="69" customFormat="1" x14ac:dyDescent="0.15"/>
    <row r="50171" s="69" customFormat="1" x14ac:dyDescent="0.15"/>
    <row r="50172" s="69" customFormat="1" x14ac:dyDescent="0.15"/>
    <row r="50173" s="69" customFormat="1" x14ac:dyDescent="0.15"/>
    <row r="50174" s="69" customFormat="1" x14ac:dyDescent="0.15"/>
    <row r="50175" s="69" customFormat="1" x14ac:dyDescent="0.15"/>
    <row r="50176" s="69" customFormat="1" x14ac:dyDescent="0.15"/>
    <row r="50177" s="69" customFormat="1" x14ac:dyDescent="0.15"/>
    <row r="50178" s="69" customFormat="1" x14ac:dyDescent="0.15"/>
    <row r="50179" s="69" customFormat="1" x14ac:dyDescent="0.15"/>
    <row r="50180" s="69" customFormat="1" x14ac:dyDescent="0.15"/>
    <row r="50181" s="69" customFormat="1" x14ac:dyDescent="0.15"/>
    <row r="50182" s="69" customFormat="1" x14ac:dyDescent="0.15"/>
    <row r="50183" s="69" customFormat="1" x14ac:dyDescent="0.15"/>
    <row r="50184" s="69" customFormat="1" x14ac:dyDescent="0.15"/>
    <row r="50185" s="69" customFormat="1" x14ac:dyDescent="0.15"/>
    <row r="50186" s="69" customFormat="1" x14ac:dyDescent="0.15"/>
    <row r="50187" s="69" customFormat="1" x14ac:dyDescent="0.15"/>
    <row r="50188" s="69" customFormat="1" x14ac:dyDescent="0.15"/>
    <row r="50189" s="69" customFormat="1" x14ac:dyDescent="0.15"/>
    <row r="50190" s="69" customFormat="1" x14ac:dyDescent="0.15"/>
    <row r="50191" s="69" customFormat="1" x14ac:dyDescent="0.15"/>
    <row r="50192" s="69" customFormat="1" x14ac:dyDescent="0.15"/>
    <row r="50193" s="69" customFormat="1" x14ac:dyDescent="0.15"/>
    <row r="50194" s="69" customFormat="1" x14ac:dyDescent="0.15"/>
    <row r="50195" s="69" customFormat="1" x14ac:dyDescent="0.15"/>
    <row r="50196" s="69" customFormat="1" x14ac:dyDescent="0.15"/>
    <row r="50197" s="69" customFormat="1" x14ac:dyDescent="0.15"/>
    <row r="50198" s="69" customFormat="1" x14ac:dyDescent="0.15"/>
    <row r="50199" s="69" customFormat="1" x14ac:dyDescent="0.15"/>
    <row r="50200" s="69" customFormat="1" x14ac:dyDescent="0.15"/>
    <row r="50201" s="69" customFormat="1" x14ac:dyDescent="0.15"/>
    <row r="50202" s="69" customFormat="1" x14ac:dyDescent="0.15"/>
    <row r="50203" s="69" customFormat="1" x14ac:dyDescent="0.15"/>
    <row r="50204" s="69" customFormat="1" x14ac:dyDescent="0.15"/>
    <row r="50205" s="69" customFormat="1" x14ac:dyDescent="0.15"/>
    <row r="50206" s="69" customFormat="1" x14ac:dyDescent="0.15"/>
    <row r="50207" s="69" customFormat="1" x14ac:dyDescent="0.15"/>
    <row r="50208" s="69" customFormat="1" x14ac:dyDescent="0.15"/>
    <row r="50209" s="69" customFormat="1" x14ac:dyDescent="0.15"/>
    <row r="50210" s="69" customFormat="1" x14ac:dyDescent="0.15"/>
    <row r="50211" s="69" customFormat="1" x14ac:dyDescent="0.15"/>
    <row r="50212" s="69" customFormat="1" x14ac:dyDescent="0.15"/>
    <row r="50213" s="69" customFormat="1" x14ac:dyDescent="0.15"/>
    <row r="50214" s="69" customFormat="1" x14ac:dyDescent="0.15"/>
    <row r="50215" s="69" customFormat="1" x14ac:dyDescent="0.15"/>
    <row r="50216" s="69" customFormat="1" x14ac:dyDescent="0.15"/>
    <row r="50217" s="69" customFormat="1" x14ac:dyDescent="0.15"/>
    <row r="50218" s="69" customFormat="1" x14ac:dyDescent="0.15"/>
    <row r="50219" s="69" customFormat="1" x14ac:dyDescent="0.15"/>
    <row r="50220" s="69" customFormat="1" x14ac:dyDescent="0.15"/>
    <row r="50221" s="69" customFormat="1" x14ac:dyDescent="0.15"/>
    <row r="50222" s="69" customFormat="1" x14ac:dyDescent="0.15"/>
    <row r="50223" s="69" customFormat="1" x14ac:dyDescent="0.15"/>
    <row r="50224" s="69" customFormat="1" x14ac:dyDescent="0.15"/>
    <row r="50225" s="69" customFormat="1" x14ac:dyDescent="0.15"/>
    <row r="50226" s="69" customFormat="1" x14ac:dyDescent="0.15"/>
    <row r="50227" s="69" customFormat="1" x14ac:dyDescent="0.15"/>
    <row r="50228" s="69" customFormat="1" x14ac:dyDescent="0.15"/>
    <row r="50229" s="69" customFormat="1" x14ac:dyDescent="0.15"/>
    <row r="50230" s="69" customFormat="1" x14ac:dyDescent="0.15"/>
    <row r="50231" s="69" customFormat="1" x14ac:dyDescent="0.15"/>
    <row r="50232" s="69" customFormat="1" x14ac:dyDescent="0.15"/>
    <row r="50233" s="69" customFormat="1" x14ac:dyDescent="0.15"/>
    <row r="50234" s="69" customFormat="1" x14ac:dyDescent="0.15"/>
    <row r="50235" s="69" customFormat="1" x14ac:dyDescent="0.15"/>
    <row r="50236" s="69" customFormat="1" x14ac:dyDescent="0.15"/>
    <row r="50237" s="69" customFormat="1" x14ac:dyDescent="0.15"/>
    <row r="50238" s="69" customFormat="1" x14ac:dyDescent="0.15"/>
    <row r="50239" s="69" customFormat="1" x14ac:dyDescent="0.15"/>
    <row r="50240" s="69" customFormat="1" x14ac:dyDescent="0.15"/>
    <row r="50241" s="69" customFormat="1" x14ac:dyDescent="0.15"/>
    <row r="50242" s="69" customFormat="1" x14ac:dyDescent="0.15"/>
    <row r="50243" s="69" customFormat="1" x14ac:dyDescent="0.15"/>
    <row r="50244" s="69" customFormat="1" x14ac:dyDescent="0.15"/>
    <row r="50245" s="69" customFormat="1" x14ac:dyDescent="0.15"/>
    <row r="50246" s="69" customFormat="1" x14ac:dyDescent="0.15"/>
    <row r="50247" s="69" customFormat="1" x14ac:dyDescent="0.15"/>
    <row r="50248" s="69" customFormat="1" x14ac:dyDescent="0.15"/>
    <row r="50249" s="69" customFormat="1" x14ac:dyDescent="0.15"/>
    <row r="50250" s="69" customFormat="1" x14ac:dyDescent="0.15"/>
    <row r="50251" s="69" customFormat="1" x14ac:dyDescent="0.15"/>
    <row r="50252" s="69" customFormat="1" x14ac:dyDescent="0.15"/>
    <row r="50253" s="69" customFormat="1" x14ac:dyDescent="0.15"/>
    <row r="50254" s="69" customFormat="1" x14ac:dyDescent="0.15"/>
    <row r="50255" s="69" customFormat="1" x14ac:dyDescent="0.15"/>
    <row r="50256" s="69" customFormat="1" x14ac:dyDescent="0.15"/>
    <row r="50257" s="69" customFormat="1" x14ac:dyDescent="0.15"/>
    <row r="50258" s="69" customFormat="1" x14ac:dyDescent="0.15"/>
    <row r="50259" s="69" customFormat="1" x14ac:dyDescent="0.15"/>
    <row r="50260" s="69" customFormat="1" x14ac:dyDescent="0.15"/>
    <row r="50261" s="69" customFormat="1" x14ac:dyDescent="0.15"/>
    <row r="50262" s="69" customFormat="1" x14ac:dyDescent="0.15"/>
    <row r="50263" s="69" customFormat="1" x14ac:dyDescent="0.15"/>
    <row r="50264" s="69" customFormat="1" x14ac:dyDescent="0.15"/>
    <row r="50265" s="69" customFormat="1" x14ac:dyDescent="0.15"/>
    <row r="50266" s="69" customFormat="1" x14ac:dyDescent="0.15"/>
    <row r="50267" s="69" customFormat="1" x14ac:dyDescent="0.15"/>
    <row r="50268" s="69" customFormat="1" x14ac:dyDescent="0.15"/>
    <row r="50269" s="69" customFormat="1" x14ac:dyDescent="0.15"/>
    <row r="50270" s="69" customFormat="1" x14ac:dyDescent="0.15"/>
    <row r="50271" s="69" customFormat="1" x14ac:dyDescent="0.15"/>
    <row r="50272" s="69" customFormat="1" x14ac:dyDescent="0.15"/>
    <row r="50273" s="69" customFormat="1" x14ac:dyDescent="0.15"/>
    <row r="50274" s="69" customFormat="1" x14ac:dyDescent="0.15"/>
    <row r="50275" s="69" customFormat="1" x14ac:dyDescent="0.15"/>
    <row r="50276" s="69" customFormat="1" x14ac:dyDescent="0.15"/>
    <row r="50277" s="69" customFormat="1" x14ac:dyDescent="0.15"/>
    <row r="50278" s="69" customFormat="1" x14ac:dyDescent="0.15"/>
    <row r="50279" s="69" customFormat="1" x14ac:dyDescent="0.15"/>
    <row r="50280" s="69" customFormat="1" x14ac:dyDescent="0.15"/>
    <row r="50281" s="69" customFormat="1" x14ac:dyDescent="0.15"/>
    <row r="50282" s="69" customFormat="1" x14ac:dyDescent="0.15"/>
    <row r="50283" s="69" customFormat="1" x14ac:dyDescent="0.15"/>
    <row r="50284" s="69" customFormat="1" x14ac:dyDescent="0.15"/>
    <row r="50285" s="69" customFormat="1" x14ac:dyDescent="0.15"/>
    <row r="50286" s="69" customFormat="1" x14ac:dyDescent="0.15"/>
    <row r="50287" s="69" customFormat="1" x14ac:dyDescent="0.15"/>
    <row r="50288" s="69" customFormat="1" x14ac:dyDescent="0.15"/>
    <row r="50289" s="69" customFormat="1" x14ac:dyDescent="0.15"/>
    <row r="50290" s="69" customFormat="1" x14ac:dyDescent="0.15"/>
    <row r="50291" s="69" customFormat="1" x14ac:dyDescent="0.15"/>
    <row r="50292" s="69" customFormat="1" x14ac:dyDescent="0.15"/>
    <row r="50293" s="69" customFormat="1" x14ac:dyDescent="0.15"/>
    <row r="50294" s="69" customFormat="1" x14ac:dyDescent="0.15"/>
    <row r="50295" s="69" customFormat="1" x14ac:dyDescent="0.15"/>
    <row r="50296" s="69" customFormat="1" x14ac:dyDescent="0.15"/>
    <row r="50297" s="69" customFormat="1" x14ac:dyDescent="0.15"/>
    <row r="50298" s="69" customFormat="1" x14ac:dyDescent="0.15"/>
    <row r="50299" s="69" customFormat="1" x14ac:dyDescent="0.15"/>
    <row r="50300" s="69" customFormat="1" x14ac:dyDescent="0.15"/>
    <row r="50301" s="69" customFormat="1" x14ac:dyDescent="0.15"/>
    <row r="50302" s="69" customFormat="1" x14ac:dyDescent="0.15"/>
    <row r="50303" s="69" customFormat="1" x14ac:dyDescent="0.15"/>
    <row r="50304" s="69" customFormat="1" x14ac:dyDescent="0.15"/>
    <row r="50305" s="69" customFormat="1" x14ac:dyDescent="0.15"/>
    <row r="50306" s="69" customFormat="1" x14ac:dyDescent="0.15"/>
    <row r="50307" s="69" customFormat="1" x14ac:dyDescent="0.15"/>
    <row r="50308" s="69" customFormat="1" x14ac:dyDescent="0.15"/>
    <row r="50309" s="69" customFormat="1" x14ac:dyDescent="0.15"/>
    <row r="50310" s="69" customFormat="1" x14ac:dyDescent="0.15"/>
    <row r="50311" s="69" customFormat="1" x14ac:dyDescent="0.15"/>
    <row r="50312" s="69" customFormat="1" x14ac:dyDescent="0.15"/>
    <row r="50313" s="69" customFormat="1" x14ac:dyDescent="0.15"/>
    <row r="50314" s="69" customFormat="1" x14ac:dyDescent="0.15"/>
    <row r="50315" s="69" customFormat="1" x14ac:dyDescent="0.15"/>
    <row r="50316" s="69" customFormat="1" x14ac:dyDescent="0.15"/>
    <row r="50317" s="69" customFormat="1" x14ac:dyDescent="0.15"/>
    <row r="50318" s="69" customFormat="1" x14ac:dyDescent="0.15"/>
    <row r="50319" s="69" customFormat="1" x14ac:dyDescent="0.15"/>
    <row r="50320" s="69" customFormat="1" x14ac:dyDescent="0.15"/>
    <row r="50321" s="69" customFormat="1" x14ac:dyDescent="0.15"/>
    <row r="50322" s="69" customFormat="1" x14ac:dyDescent="0.15"/>
    <row r="50323" s="69" customFormat="1" x14ac:dyDescent="0.15"/>
    <row r="50324" s="69" customFormat="1" x14ac:dyDescent="0.15"/>
    <row r="50325" s="69" customFormat="1" x14ac:dyDescent="0.15"/>
    <row r="50326" s="69" customFormat="1" x14ac:dyDescent="0.15"/>
    <row r="50327" s="69" customFormat="1" x14ac:dyDescent="0.15"/>
    <row r="50328" s="69" customFormat="1" x14ac:dyDescent="0.15"/>
    <row r="50329" s="69" customFormat="1" x14ac:dyDescent="0.15"/>
    <row r="50330" s="69" customFormat="1" x14ac:dyDescent="0.15"/>
    <row r="50331" s="69" customFormat="1" x14ac:dyDescent="0.15"/>
    <row r="50332" s="69" customFormat="1" x14ac:dyDescent="0.15"/>
    <row r="50333" s="69" customFormat="1" x14ac:dyDescent="0.15"/>
    <row r="50334" s="69" customFormat="1" x14ac:dyDescent="0.15"/>
    <row r="50335" s="69" customFormat="1" x14ac:dyDescent="0.15"/>
    <row r="50336" s="69" customFormat="1" x14ac:dyDescent="0.15"/>
    <row r="50337" s="69" customFormat="1" x14ac:dyDescent="0.15"/>
    <row r="50338" s="69" customFormat="1" x14ac:dyDescent="0.15"/>
    <row r="50339" s="69" customFormat="1" x14ac:dyDescent="0.15"/>
    <row r="50340" s="69" customFormat="1" x14ac:dyDescent="0.15"/>
    <row r="50341" s="69" customFormat="1" x14ac:dyDescent="0.15"/>
    <row r="50342" s="69" customFormat="1" x14ac:dyDescent="0.15"/>
    <row r="50343" s="69" customFormat="1" x14ac:dyDescent="0.15"/>
    <row r="50344" s="69" customFormat="1" x14ac:dyDescent="0.15"/>
    <row r="50345" s="69" customFormat="1" x14ac:dyDescent="0.15"/>
    <row r="50346" s="69" customFormat="1" x14ac:dyDescent="0.15"/>
    <row r="50347" s="69" customFormat="1" x14ac:dyDescent="0.15"/>
    <row r="50348" s="69" customFormat="1" x14ac:dyDescent="0.15"/>
    <row r="50349" s="69" customFormat="1" x14ac:dyDescent="0.15"/>
    <row r="50350" s="69" customFormat="1" x14ac:dyDescent="0.15"/>
    <row r="50351" s="69" customFormat="1" x14ac:dyDescent="0.15"/>
    <row r="50352" s="69" customFormat="1" x14ac:dyDescent="0.15"/>
    <row r="50353" s="69" customFormat="1" x14ac:dyDescent="0.15"/>
    <row r="50354" s="69" customFormat="1" x14ac:dyDescent="0.15"/>
    <row r="50355" s="69" customFormat="1" x14ac:dyDescent="0.15"/>
    <row r="50356" s="69" customFormat="1" x14ac:dyDescent="0.15"/>
    <row r="50357" s="69" customFormat="1" x14ac:dyDescent="0.15"/>
    <row r="50358" s="69" customFormat="1" x14ac:dyDescent="0.15"/>
    <row r="50359" s="69" customFormat="1" x14ac:dyDescent="0.15"/>
    <row r="50360" s="69" customFormat="1" x14ac:dyDescent="0.15"/>
    <row r="50361" s="69" customFormat="1" x14ac:dyDescent="0.15"/>
    <row r="50362" s="69" customFormat="1" x14ac:dyDescent="0.15"/>
    <row r="50363" s="69" customFormat="1" x14ac:dyDescent="0.15"/>
    <row r="50364" s="69" customFormat="1" x14ac:dyDescent="0.15"/>
    <row r="50365" s="69" customFormat="1" x14ac:dyDescent="0.15"/>
    <row r="50366" s="69" customFormat="1" x14ac:dyDescent="0.15"/>
    <row r="50367" s="69" customFormat="1" x14ac:dyDescent="0.15"/>
    <row r="50368" s="69" customFormat="1" x14ac:dyDescent="0.15"/>
    <row r="50369" s="69" customFormat="1" x14ac:dyDescent="0.15"/>
    <row r="50370" s="69" customFormat="1" x14ac:dyDescent="0.15"/>
    <row r="50371" s="69" customFormat="1" x14ac:dyDescent="0.15"/>
    <row r="50372" s="69" customFormat="1" x14ac:dyDescent="0.15"/>
    <row r="50373" s="69" customFormat="1" x14ac:dyDescent="0.15"/>
    <row r="50374" s="69" customFormat="1" x14ac:dyDescent="0.15"/>
    <row r="50375" s="69" customFormat="1" x14ac:dyDescent="0.15"/>
    <row r="50376" s="69" customFormat="1" x14ac:dyDescent="0.15"/>
    <row r="50377" s="69" customFormat="1" x14ac:dyDescent="0.15"/>
    <row r="50378" s="69" customFormat="1" x14ac:dyDescent="0.15"/>
    <row r="50379" s="69" customFormat="1" x14ac:dyDescent="0.15"/>
    <row r="50380" s="69" customFormat="1" x14ac:dyDescent="0.15"/>
    <row r="50381" s="69" customFormat="1" x14ac:dyDescent="0.15"/>
    <row r="50382" s="69" customFormat="1" x14ac:dyDescent="0.15"/>
    <row r="50383" s="69" customFormat="1" x14ac:dyDescent="0.15"/>
    <row r="50384" s="69" customFormat="1" x14ac:dyDescent="0.15"/>
    <row r="50385" s="69" customFormat="1" x14ac:dyDescent="0.15"/>
    <row r="50386" s="69" customFormat="1" x14ac:dyDescent="0.15"/>
    <row r="50387" s="69" customFormat="1" x14ac:dyDescent="0.15"/>
    <row r="50388" s="69" customFormat="1" x14ac:dyDescent="0.15"/>
    <row r="50389" s="69" customFormat="1" x14ac:dyDescent="0.15"/>
    <row r="50390" s="69" customFormat="1" x14ac:dyDescent="0.15"/>
    <row r="50391" s="69" customFormat="1" x14ac:dyDescent="0.15"/>
    <row r="50392" s="69" customFormat="1" x14ac:dyDescent="0.15"/>
    <row r="50393" s="69" customFormat="1" x14ac:dyDescent="0.15"/>
    <row r="50394" s="69" customFormat="1" x14ac:dyDescent="0.15"/>
    <row r="50395" s="69" customFormat="1" x14ac:dyDescent="0.15"/>
    <row r="50396" s="69" customFormat="1" x14ac:dyDescent="0.15"/>
    <row r="50397" s="69" customFormat="1" x14ac:dyDescent="0.15"/>
    <row r="50398" s="69" customFormat="1" x14ac:dyDescent="0.15"/>
    <row r="50399" s="69" customFormat="1" x14ac:dyDescent="0.15"/>
    <row r="50400" s="69" customFormat="1" x14ac:dyDescent="0.15"/>
    <row r="50401" s="69" customFormat="1" x14ac:dyDescent="0.15"/>
    <row r="50402" s="69" customFormat="1" x14ac:dyDescent="0.15"/>
    <row r="50403" s="69" customFormat="1" x14ac:dyDescent="0.15"/>
    <row r="50404" s="69" customFormat="1" x14ac:dyDescent="0.15"/>
    <row r="50405" s="69" customFormat="1" x14ac:dyDescent="0.15"/>
    <row r="50406" s="69" customFormat="1" x14ac:dyDescent="0.15"/>
    <row r="50407" s="69" customFormat="1" x14ac:dyDescent="0.15"/>
    <row r="50408" s="69" customFormat="1" x14ac:dyDescent="0.15"/>
    <row r="50409" s="69" customFormat="1" x14ac:dyDescent="0.15"/>
    <row r="50410" s="69" customFormat="1" x14ac:dyDescent="0.15"/>
    <row r="50411" s="69" customFormat="1" x14ac:dyDescent="0.15"/>
    <row r="50412" s="69" customFormat="1" x14ac:dyDescent="0.15"/>
    <row r="50413" s="69" customFormat="1" x14ac:dyDescent="0.15"/>
    <row r="50414" s="69" customFormat="1" x14ac:dyDescent="0.15"/>
    <row r="50415" s="69" customFormat="1" x14ac:dyDescent="0.15"/>
    <row r="50416" s="69" customFormat="1" x14ac:dyDescent="0.15"/>
    <row r="50417" s="69" customFormat="1" x14ac:dyDescent="0.15"/>
    <row r="50418" s="69" customFormat="1" x14ac:dyDescent="0.15"/>
    <row r="50419" s="69" customFormat="1" x14ac:dyDescent="0.15"/>
    <row r="50420" s="69" customFormat="1" x14ac:dyDescent="0.15"/>
    <row r="50421" s="69" customFormat="1" x14ac:dyDescent="0.15"/>
    <row r="50422" s="69" customFormat="1" x14ac:dyDescent="0.15"/>
    <row r="50423" s="69" customFormat="1" x14ac:dyDescent="0.15"/>
    <row r="50424" s="69" customFormat="1" x14ac:dyDescent="0.15"/>
    <row r="50425" s="69" customFormat="1" x14ac:dyDescent="0.15"/>
    <row r="50426" s="69" customFormat="1" x14ac:dyDescent="0.15"/>
    <row r="50427" s="69" customFormat="1" x14ac:dyDescent="0.15"/>
    <row r="50428" s="69" customFormat="1" x14ac:dyDescent="0.15"/>
    <row r="50429" s="69" customFormat="1" x14ac:dyDescent="0.15"/>
    <row r="50430" s="69" customFormat="1" x14ac:dyDescent="0.15"/>
    <row r="50431" s="69" customFormat="1" x14ac:dyDescent="0.15"/>
    <row r="50432" s="69" customFormat="1" x14ac:dyDescent="0.15"/>
    <row r="50433" s="69" customFormat="1" x14ac:dyDescent="0.15"/>
    <row r="50434" s="69" customFormat="1" x14ac:dyDescent="0.15"/>
    <row r="50435" s="69" customFormat="1" x14ac:dyDescent="0.15"/>
    <row r="50436" s="69" customFormat="1" x14ac:dyDescent="0.15"/>
    <row r="50437" s="69" customFormat="1" x14ac:dyDescent="0.15"/>
    <row r="50438" s="69" customFormat="1" x14ac:dyDescent="0.15"/>
    <row r="50439" s="69" customFormat="1" x14ac:dyDescent="0.15"/>
    <row r="50440" s="69" customFormat="1" x14ac:dyDescent="0.15"/>
    <row r="50441" s="69" customFormat="1" x14ac:dyDescent="0.15"/>
    <row r="50442" s="69" customFormat="1" x14ac:dyDescent="0.15"/>
    <row r="50443" s="69" customFormat="1" x14ac:dyDescent="0.15"/>
    <row r="50444" s="69" customFormat="1" x14ac:dyDescent="0.15"/>
    <row r="50445" s="69" customFormat="1" x14ac:dyDescent="0.15"/>
    <row r="50446" s="69" customFormat="1" x14ac:dyDescent="0.15"/>
    <row r="50447" s="69" customFormat="1" x14ac:dyDescent="0.15"/>
    <row r="50448" s="69" customFormat="1" x14ac:dyDescent="0.15"/>
    <row r="50449" s="69" customFormat="1" x14ac:dyDescent="0.15"/>
    <row r="50450" s="69" customFormat="1" x14ac:dyDescent="0.15"/>
    <row r="50451" s="69" customFormat="1" x14ac:dyDescent="0.15"/>
    <row r="50452" s="69" customFormat="1" x14ac:dyDescent="0.15"/>
    <row r="50453" s="69" customFormat="1" x14ac:dyDescent="0.15"/>
    <row r="50454" s="69" customFormat="1" x14ac:dyDescent="0.15"/>
    <row r="50455" s="69" customFormat="1" x14ac:dyDescent="0.15"/>
    <row r="50456" s="69" customFormat="1" x14ac:dyDescent="0.15"/>
    <row r="50457" s="69" customFormat="1" x14ac:dyDescent="0.15"/>
    <row r="50458" s="69" customFormat="1" x14ac:dyDescent="0.15"/>
    <row r="50459" s="69" customFormat="1" x14ac:dyDescent="0.15"/>
    <row r="50460" s="69" customFormat="1" x14ac:dyDescent="0.15"/>
    <row r="50461" s="69" customFormat="1" x14ac:dyDescent="0.15"/>
    <row r="50462" s="69" customFormat="1" x14ac:dyDescent="0.15"/>
    <row r="50463" s="69" customFormat="1" x14ac:dyDescent="0.15"/>
    <row r="50464" s="69" customFormat="1" x14ac:dyDescent="0.15"/>
    <row r="50465" s="69" customFormat="1" x14ac:dyDescent="0.15"/>
    <row r="50466" s="69" customFormat="1" x14ac:dyDescent="0.15"/>
    <row r="50467" s="69" customFormat="1" x14ac:dyDescent="0.15"/>
    <row r="50468" s="69" customFormat="1" x14ac:dyDescent="0.15"/>
    <row r="50469" s="69" customFormat="1" x14ac:dyDescent="0.15"/>
    <row r="50470" s="69" customFormat="1" x14ac:dyDescent="0.15"/>
    <row r="50471" s="69" customFormat="1" x14ac:dyDescent="0.15"/>
    <row r="50472" s="69" customFormat="1" x14ac:dyDescent="0.15"/>
    <row r="50473" s="69" customFormat="1" x14ac:dyDescent="0.15"/>
    <row r="50474" s="69" customFormat="1" x14ac:dyDescent="0.15"/>
    <row r="50475" s="69" customFormat="1" x14ac:dyDescent="0.15"/>
    <row r="50476" s="69" customFormat="1" x14ac:dyDescent="0.15"/>
    <row r="50477" s="69" customFormat="1" x14ac:dyDescent="0.15"/>
    <row r="50478" s="69" customFormat="1" x14ac:dyDescent="0.15"/>
    <row r="50479" s="69" customFormat="1" x14ac:dyDescent="0.15"/>
    <row r="50480" s="69" customFormat="1" x14ac:dyDescent="0.15"/>
    <row r="50481" s="69" customFormat="1" x14ac:dyDescent="0.15"/>
    <row r="50482" s="69" customFormat="1" x14ac:dyDescent="0.15"/>
    <row r="50483" s="69" customFormat="1" x14ac:dyDescent="0.15"/>
    <row r="50484" s="69" customFormat="1" x14ac:dyDescent="0.15"/>
    <row r="50485" s="69" customFormat="1" x14ac:dyDescent="0.15"/>
    <row r="50486" s="69" customFormat="1" x14ac:dyDescent="0.15"/>
    <row r="50487" s="69" customFormat="1" x14ac:dyDescent="0.15"/>
    <row r="50488" s="69" customFormat="1" x14ac:dyDescent="0.15"/>
    <row r="50489" s="69" customFormat="1" x14ac:dyDescent="0.15"/>
    <row r="50490" s="69" customFormat="1" x14ac:dyDescent="0.15"/>
    <row r="50491" s="69" customFormat="1" x14ac:dyDescent="0.15"/>
    <row r="50492" s="69" customFormat="1" x14ac:dyDescent="0.15"/>
    <row r="50493" s="69" customFormat="1" x14ac:dyDescent="0.15"/>
    <row r="50494" s="69" customFormat="1" x14ac:dyDescent="0.15"/>
    <row r="50495" s="69" customFormat="1" x14ac:dyDescent="0.15"/>
    <row r="50496" s="69" customFormat="1" x14ac:dyDescent="0.15"/>
    <row r="50497" s="69" customFormat="1" x14ac:dyDescent="0.15"/>
    <row r="50498" s="69" customFormat="1" x14ac:dyDescent="0.15"/>
    <row r="50499" s="69" customFormat="1" x14ac:dyDescent="0.15"/>
    <row r="50500" s="69" customFormat="1" x14ac:dyDescent="0.15"/>
    <row r="50501" s="69" customFormat="1" x14ac:dyDescent="0.15"/>
    <row r="50502" s="69" customFormat="1" x14ac:dyDescent="0.15"/>
    <row r="50503" s="69" customFormat="1" x14ac:dyDescent="0.15"/>
    <row r="50504" s="69" customFormat="1" x14ac:dyDescent="0.15"/>
    <row r="50505" s="69" customFormat="1" x14ac:dyDescent="0.15"/>
    <row r="50506" s="69" customFormat="1" x14ac:dyDescent="0.15"/>
    <row r="50507" s="69" customFormat="1" x14ac:dyDescent="0.15"/>
    <row r="50508" s="69" customFormat="1" x14ac:dyDescent="0.15"/>
    <row r="50509" s="69" customFormat="1" x14ac:dyDescent="0.15"/>
    <row r="50510" s="69" customFormat="1" x14ac:dyDescent="0.15"/>
    <row r="50511" s="69" customFormat="1" x14ac:dyDescent="0.15"/>
    <row r="50512" s="69" customFormat="1" x14ac:dyDescent="0.15"/>
    <row r="50513" s="69" customFormat="1" x14ac:dyDescent="0.15"/>
    <row r="50514" s="69" customFormat="1" x14ac:dyDescent="0.15"/>
    <row r="50515" s="69" customFormat="1" x14ac:dyDescent="0.15"/>
    <row r="50516" s="69" customFormat="1" x14ac:dyDescent="0.15"/>
    <row r="50517" s="69" customFormat="1" x14ac:dyDescent="0.15"/>
    <row r="50518" s="69" customFormat="1" x14ac:dyDescent="0.15"/>
    <row r="50519" s="69" customFormat="1" x14ac:dyDescent="0.15"/>
    <row r="50520" s="69" customFormat="1" x14ac:dyDescent="0.15"/>
    <row r="50521" s="69" customFormat="1" x14ac:dyDescent="0.15"/>
    <row r="50522" s="69" customFormat="1" x14ac:dyDescent="0.15"/>
    <row r="50523" s="69" customFormat="1" x14ac:dyDescent="0.15"/>
    <row r="50524" s="69" customFormat="1" x14ac:dyDescent="0.15"/>
    <row r="50525" s="69" customFormat="1" x14ac:dyDescent="0.15"/>
    <row r="50526" s="69" customFormat="1" x14ac:dyDescent="0.15"/>
    <row r="50527" s="69" customFormat="1" x14ac:dyDescent="0.15"/>
    <row r="50528" s="69" customFormat="1" x14ac:dyDescent="0.15"/>
    <row r="50529" s="69" customFormat="1" x14ac:dyDescent="0.15"/>
    <row r="50530" s="69" customFormat="1" x14ac:dyDescent="0.15"/>
    <row r="50531" s="69" customFormat="1" x14ac:dyDescent="0.15"/>
    <row r="50532" s="69" customFormat="1" x14ac:dyDescent="0.15"/>
    <row r="50533" s="69" customFormat="1" x14ac:dyDescent="0.15"/>
    <row r="50534" s="69" customFormat="1" x14ac:dyDescent="0.15"/>
    <row r="50535" s="69" customFormat="1" x14ac:dyDescent="0.15"/>
    <row r="50536" s="69" customFormat="1" x14ac:dyDescent="0.15"/>
    <row r="50537" s="69" customFormat="1" x14ac:dyDescent="0.15"/>
    <row r="50538" s="69" customFormat="1" x14ac:dyDescent="0.15"/>
    <row r="50539" s="69" customFormat="1" x14ac:dyDescent="0.15"/>
    <row r="50540" s="69" customFormat="1" x14ac:dyDescent="0.15"/>
    <row r="50541" s="69" customFormat="1" x14ac:dyDescent="0.15"/>
    <row r="50542" s="69" customFormat="1" x14ac:dyDescent="0.15"/>
    <row r="50543" s="69" customFormat="1" x14ac:dyDescent="0.15"/>
    <row r="50544" s="69" customFormat="1" x14ac:dyDescent="0.15"/>
    <row r="50545" s="69" customFormat="1" x14ac:dyDescent="0.15"/>
    <row r="50546" s="69" customFormat="1" x14ac:dyDescent="0.15"/>
    <row r="50547" s="69" customFormat="1" x14ac:dyDescent="0.15"/>
    <row r="50548" s="69" customFormat="1" x14ac:dyDescent="0.15"/>
    <row r="50549" s="69" customFormat="1" x14ac:dyDescent="0.15"/>
    <row r="50550" s="69" customFormat="1" x14ac:dyDescent="0.15"/>
    <row r="50551" s="69" customFormat="1" x14ac:dyDescent="0.15"/>
    <row r="50552" s="69" customFormat="1" x14ac:dyDescent="0.15"/>
    <row r="50553" s="69" customFormat="1" x14ac:dyDescent="0.15"/>
    <row r="50554" s="69" customFormat="1" x14ac:dyDescent="0.15"/>
    <row r="50555" s="69" customFormat="1" x14ac:dyDescent="0.15"/>
    <row r="50556" s="69" customFormat="1" x14ac:dyDescent="0.15"/>
    <row r="50557" s="69" customFormat="1" x14ac:dyDescent="0.15"/>
    <row r="50558" s="69" customFormat="1" x14ac:dyDescent="0.15"/>
    <row r="50559" s="69" customFormat="1" x14ac:dyDescent="0.15"/>
    <row r="50560" s="69" customFormat="1" x14ac:dyDescent="0.15"/>
    <row r="50561" s="69" customFormat="1" x14ac:dyDescent="0.15"/>
    <row r="50562" s="69" customFormat="1" x14ac:dyDescent="0.15"/>
    <row r="50563" s="69" customFormat="1" x14ac:dyDescent="0.15"/>
    <row r="50564" s="69" customFormat="1" x14ac:dyDescent="0.15"/>
    <row r="50565" s="69" customFormat="1" x14ac:dyDescent="0.15"/>
    <row r="50566" s="69" customFormat="1" x14ac:dyDescent="0.15"/>
    <row r="50567" s="69" customFormat="1" x14ac:dyDescent="0.15"/>
    <row r="50568" s="69" customFormat="1" x14ac:dyDescent="0.15"/>
    <row r="50569" s="69" customFormat="1" x14ac:dyDescent="0.15"/>
    <row r="50570" s="69" customFormat="1" x14ac:dyDescent="0.15"/>
    <row r="50571" s="69" customFormat="1" x14ac:dyDescent="0.15"/>
    <row r="50572" s="69" customFormat="1" x14ac:dyDescent="0.15"/>
    <row r="50573" s="69" customFormat="1" x14ac:dyDescent="0.15"/>
    <row r="50574" s="69" customFormat="1" x14ac:dyDescent="0.15"/>
    <row r="50575" s="69" customFormat="1" x14ac:dyDescent="0.15"/>
    <row r="50576" s="69" customFormat="1" x14ac:dyDescent="0.15"/>
    <row r="50577" s="69" customFormat="1" x14ac:dyDescent="0.15"/>
    <row r="50578" s="69" customFormat="1" x14ac:dyDescent="0.15"/>
    <row r="50579" s="69" customFormat="1" x14ac:dyDescent="0.15"/>
    <row r="50580" s="69" customFormat="1" x14ac:dyDescent="0.15"/>
    <row r="50581" s="69" customFormat="1" x14ac:dyDescent="0.15"/>
    <row r="50582" s="69" customFormat="1" x14ac:dyDescent="0.15"/>
    <row r="50583" s="69" customFormat="1" x14ac:dyDescent="0.15"/>
    <row r="50584" s="69" customFormat="1" x14ac:dyDescent="0.15"/>
    <row r="50585" s="69" customFormat="1" x14ac:dyDescent="0.15"/>
    <row r="50586" s="69" customFormat="1" x14ac:dyDescent="0.15"/>
    <row r="50587" s="69" customFormat="1" x14ac:dyDescent="0.15"/>
    <row r="50588" s="69" customFormat="1" x14ac:dyDescent="0.15"/>
    <row r="50589" s="69" customFormat="1" x14ac:dyDescent="0.15"/>
    <row r="50590" s="69" customFormat="1" x14ac:dyDescent="0.15"/>
    <row r="50591" s="69" customFormat="1" x14ac:dyDescent="0.15"/>
    <row r="50592" s="69" customFormat="1" x14ac:dyDescent="0.15"/>
    <row r="50593" s="69" customFormat="1" x14ac:dyDescent="0.15"/>
    <row r="50594" s="69" customFormat="1" x14ac:dyDescent="0.15"/>
    <row r="50595" s="69" customFormat="1" x14ac:dyDescent="0.15"/>
    <row r="50596" s="69" customFormat="1" x14ac:dyDescent="0.15"/>
    <row r="50597" s="69" customFormat="1" x14ac:dyDescent="0.15"/>
    <row r="50598" s="69" customFormat="1" x14ac:dyDescent="0.15"/>
    <row r="50599" s="69" customFormat="1" x14ac:dyDescent="0.15"/>
    <row r="50600" s="69" customFormat="1" x14ac:dyDescent="0.15"/>
    <row r="50601" s="69" customFormat="1" x14ac:dyDescent="0.15"/>
    <row r="50602" s="69" customFormat="1" x14ac:dyDescent="0.15"/>
    <row r="50603" s="69" customFormat="1" x14ac:dyDescent="0.15"/>
    <row r="50604" s="69" customFormat="1" x14ac:dyDescent="0.15"/>
    <row r="50605" s="69" customFormat="1" x14ac:dyDescent="0.15"/>
    <row r="50606" s="69" customFormat="1" x14ac:dyDescent="0.15"/>
    <row r="50607" s="69" customFormat="1" x14ac:dyDescent="0.15"/>
    <row r="50608" s="69" customFormat="1" x14ac:dyDescent="0.15"/>
    <row r="50609" s="69" customFormat="1" x14ac:dyDescent="0.15"/>
    <row r="50610" s="69" customFormat="1" x14ac:dyDescent="0.15"/>
    <row r="50611" s="69" customFormat="1" x14ac:dyDescent="0.15"/>
    <row r="50612" s="69" customFormat="1" x14ac:dyDescent="0.15"/>
    <row r="50613" s="69" customFormat="1" x14ac:dyDescent="0.15"/>
    <row r="50614" s="69" customFormat="1" x14ac:dyDescent="0.15"/>
    <row r="50615" s="69" customFormat="1" x14ac:dyDescent="0.15"/>
    <row r="50616" s="69" customFormat="1" x14ac:dyDescent="0.15"/>
    <row r="50617" s="69" customFormat="1" x14ac:dyDescent="0.15"/>
    <row r="50618" s="69" customFormat="1" x14ac:dyDescent="0.15"/>
    <row r="50619" s="69" customFormat="1" x14ac:dyDescent="0.15"/>
    <row r="50620" s="69" customFormat="1" x14ac:dyDescent="0.15"/>
    <row r="50621" s="69" customFormat="1" x14ac:dyDescent="0.15"/>
    <row r="50622" s="69" customFormat="1" x14ac:dyDescent="0.15"/>
    <row r="50623" s="69" customFormat="1" x14ac:dyDescent="0.15"/>
    <row r="50624" s="69" customFormat="1" x14ac:dyDescent="0.15"/>
    <row r="50625" s="69" customFormat="1" x14ac:dyDescent="0.15"/>
    <row r="50626" s="69" customFormat="1" x14ac:dyDescent="0.15"/>
    <row r="50627" s="69" customFormat="1" x14ac:dyDescent="0.15"/>
    <row r="50628" s="69" customFormat="1" x14ac:dyDescent="0.15"/>
    <row r="50629" s="69" customFormat="1" x14ac:dyDescent="0.15"/>
    <row r="50630" s="69" customFormat="1" x14ac:dyDescent="0.15"/>
    <row r="50631" s="69" customFormat="1" x14ac:dyDescent="0.15"/>
    <row r="50632" s="69" customFormat="1" x14ac:dyDescent="0.15"/>
    <row r="50633" s="69" customFormat="1" x14ac:dyDescent="0.15"/>
    <row r="50634" s="69" customFormat="1" x14ac:dyDescent="0.15"/>
    <row r="50635" s="69" customFormat="1" x14ac:dyDescent="0.15"/>
    <row r="50636" s="69" customFormat="1" x14ac:dyDescent="0.15"/>
    <row r="50637" s="69" customFormat="1" x14ac:dyDescent="0.15"/>
    <row r="50638" s="69" customFormat="1" x14ac:dyDescent="0.15"/>
    <row r="50639" s="69" customFormat="1" x14ac:dyDescent="0.15"/>
    <row r="50640" s="69" customFormat="1" x14ac:dyDescent="0.15"/>
    <row r="50641" s="69" customFormat="1" x14ac:dyDescent="0.15"/>
    <row r="50642" s="69" customFormat="1" x14ac:dyDescent="0.15"/>
    <row r="50643" s="69" customFormat="1" x14ac:dyDescent="0.15"/>
    <row r="50644" s="69" customFormat="1" x14ac:dyDescent="0.15"/>
    <row r="50645" s="69" customFormat="1" x14ac:dyDescent="0.15"/>
    <row r="50646" s="69" customFormat="1" x14ac:dyDescent="0.15"/>
    <row r="50647" s="69" customFormat="1" x14ac:dyDescent="0.15"/>
    <row r="50648" s="69" customFormat="1" x14ac:dyDescent="0.15"/>
    <row r="50649" s="69" customFormat="1" x14ac:dyDescent="0.15"/>
    <row r="50650" s="69" customFormat="1" x14ac:dyDescent="0.15"/>
    <row r="50651" s="69" customFormat="1" x14ac:dyDescent="0.15"/>
    <row r="50652" s="69" customFormat="1" x14ac:dyDescent="0.15"/>
    <row r="50653" s="69" customFormat="1" x14ac:dyDescent="0.15"/>
    <row r="50654" s="69" customFormat="1" x14ac:dyDescent="0.15"/>
    <row r="50655" s="69" customFormat="1" x14ac:dyDescent="0.15"/>
    <row r="50656" s="69" customFormat="1" x14ac:dyDescent="0.15"/>
    <row r="50657" s="69" customFormat="1" x14ac:dyDescent="0.15"/>
    <row r="50658" s="69" customFormat="1" x14ac:dyDescent="0.15"/>
    <row r="50659" s="69" customFormat="1" x14ac:dyDescent="0.15"/>
    <row r="50660" s="69" customFormat="1" x14ac:dyDescent="0.15"/>
    <row r="50661" s="69" customFormat="1" x14ac:dyDescent="0.15"/>
    <row r="50662" s="69" customFormat="1" x14ac:dyDescent="0.15"/>
    <row r="50663" s="69" customFormat="1" x14ac:dyDescent="0.15"/>
    <row r="50664" s="69" customFormat="1" x14ac:dyDescent="0.15"/>
    <row r="50665" s="69" customFormat="1" x14ac:dyDescent="0.15"/>
    <row r="50666" s="69" customFormat="1" x14ac:dyDescent="0.15"/>
    <row r="50667" s="69" customFormat="1" x14ac:dyDescent="0.15"/>
    <row r="50668" s="69" customFormat="1" x14ac:dyDescent="0.15"/>
    <row r="50669" s="69" customFormat="1" x14ac:dyDescent="0.15"/>
    <row r="50670" s="69" customFormat="1" x14ac:dyDescent="0.15"/>
    <row r="50671" s="69" customFormat="1" x14ac:dyDescent="0.15"/>
    <row r="50672" s="69" customFormat="1" x14ac:dyDescent="0.15"/>
    <row r="50673" s="69" customFormat="1" x14ac:dyDescent="0.15"/>
    <row r="50674" s="69" customFormat="1" x14ac:dyDescent="0.15"/>
    <row r="50675" s="69" customFormat="1" x14ac:dyDescent="0.15"/>
    <row r="50676" s="69" customFormat="1" x14ac:dyDescent="0.15"/>
    <row r="50677" s="69" customFormat="1" x14ac:dyDescent="0.15"/>
    <row r="50678" s="69" customFormat="1" x14ac:dyDescent="0.15"/>
    <row r="50679" s="69" customFormat="1" x14ac:dyDescent="0.15"/>
    <row r="50680" s="69" customFormat="1" x14ac:dyDescent="0.15"/>
    <row r="50681" s="69" customFormat="1" x14ac:dyDescent="0.15"/>
    <row r="50682" s="69" customFormat="1" x14ac:dyDescent="0.15"/>
    <row r="50683" s="69" customFormat="1" x14ac:dyDescent="0.15"/>
    <row r="50684" s="69" customFormat="1" x14ac:dyDescent="0.15"/>
    <row r="50685" s="69" customFormat="1" x14ac:dyDescent="0.15"/>
    <row r="50686" s="69" customFormat="1" x14ac:dyDescent="0.15"/>
    <row r="50687" s="69" customFormat="1" x14ac:dyDescent="0.15"/>
    <row r="50688" s="69" customFormat="1" x14ac:dyDescent="0.15"/>
    <row r="50689" s="69" customFormat="1" x14ac:dyDescent="0.15"/>
    <row r="50690" s="69" customFormat="1" x14ac:dyDescent="0.15"/>
    <row r="50691" s="69" customFormat="1" x14ac:dyDescent="0.15"/>
    <row r="50692" s="69" customFormat="1" x14ac:dyDescent="0.15"/>
    <row r="50693" s="69" customFormat="1" x14ac:dyDescent="0.15"/>
    <row r="50694" s="69" customFormat="1" x14ac:dyDescent="0.15"/>
    <row r="50695" s="69" customFormat="1" x14ac:dyDescent="0.15"/>
    <row r="50696" s="69" customFormat="1" x14ac:dyDescent="0.15"/>
    <row r="50697" s="69" customFormat="1" x14ac:dyDescent="0.15"/>
    <row r="50698" s="69" customFormat="1" x14ac:dyDescent="0.15"/>
    <row r="50699" s="69" customFormat="1" x14ac:dyDescent="0.15"/>
    <row r="50700" s="69" customFormat="1" x14ac:dyDescent="0.15"/>
    <row r="50701" s="69" customFormat="1" x14ac:dyDescent="0.15"/>
    <row r="50702" s="69" customFormat="1" x14ac:dyDescent="0.15"/>
    <row r="50703" s="69" customFormat="1" x14ac:dyDescent="0.15"/>
    <row r="50704" s="69" customFormat="1" x14ac:dyDescent="0.15"/>
    <row r="50705" s="69" customFormat="1" x14ac:dyDescent="0.15"/>
    <row r="50706" s="69" customFormat="1" x14ac:dyDescent="0.15"/>
    <row r="50707" s="69" customFormat="1" x14ac:dyDescent="0.15"/>
    <row r="50708" s="69" customFormat="1" x14ac:dyDescent="0.15"/>
    <row r="50709" s="69" customFormat="1" x14ac:dyDescent="0.15"/>
    <row r="50710" s="69" customFormat="1" x14ac:dyDescent="0.15"/>
    <row r="50711" s="69" customFormat="1" x14ac:dyDescent="0.15"/>
    <row r="50712" s="69" customFormat="1" x14ac:dyDescent="0.15"/>
    <row r="50713" s="69" customFormat="1" x14ac:dyDescent="0.15"/>
    <row r="50714" s="69" customFormat="1" x14ac:dyDescent="0.15"/>
    <row r="50715" s="69" customFormat="1" x14ac:dyDescent="0.15"/>
    <row r="50716" s="69" customFormat="1" x14ac:dyDescent="0.15"/>
    <row r="50717" s="69" customFormat="1" x14ac:dyDescent="0.15"/>
    <row r="50718" s="69" customFormat="1" x14ac:dyDescent="0.15"/>
    <row r="50719" s="69" customFormat="1" x14ac:dyDescent="0.15"/>
    <row r="50720" s="69" customFormat="1" x14ac:dyDescent="0.15"/>
    <row r="50721" s="69" customFormat="1" x14ac:dyDescent="0.15"/>
    <row r="50722" s="69" customFormat="1" x14ac:dyDescent="0.15"/>
    <row r="50723" s="69" customFormat="1" x14ac:dyDescent="0.15"/>
    <row r="50724" s="69" customFormat="1" x14ac:dyDescent="0.15"/>
    <row r="50725" s="69" customFormat="1" x14ac:dyDescent="0.15"/>
    <row r="50726" s="69" customFormat="1" x14ac:dyDescent="0.15"/>
    <row r="50727" s="69" customFormat="1" x14ac:dyDescent="0.15"/>
    <row r="50728" s="69" customFormat="1" x14ac:dyDescent="0.15"/>
    <row r="50729" s="69" customFormat="1" x14ac:dyDescent="0.15"/>
    <row r="50730" s="69" customFormat="1" x14ac:dyDescent="0.15"/>
    <row r="50731" s="69" customFormat="1" x14ac:dyDescent="0.15"/>
    <row r="50732" s="69" customFormat="1" x14ac:dyDescent="0.15"/>
    <row r="50733" s="69" customFormat="1" x14ac:dyDescent="0.15"/>
    <row r="50734" s="69" customFormat="1" x14ac:dyDescent="0.15"/>
    <row r="50735" s="69" customFormat="1" x14ac:dyDescent="0.15"/>
    <row r="50736" s="69" customFormat="1" x14ac:dyDescent="0.15"/>
    <row r="50737" s="69" customFormat="1" x14ac:dyDescent="0.15"/>
    <row r="50738" s="69" customFormat="1" x14ac:dyDescent="0.15"/>
    <row r="50739" s="69" customFormat="1" x14ac:dyDescent="0.15"/>
    <row r="50740" s="69" customFormat="1" x14ac:dyDescent="0.15"/>
    <row r="50741" s="69" customFormat="1" x14ac:dyDescent="0.15"/>
    <row r="50742" s="69" customFormat="1" x14ac:dyDescent="0.15"/>
    <row r="50743" s="69" customFormat="1" x14ac:dyDescent="0.15"/>
    <row r="50744" s="69" customFormat="1" x14ac:dyDescent="0.15"/>
    <row r="50745" s="69" customFormat="1" x14ac:dyDescent="0.15"/>
    <row r="50746" s="69" customFormat="1" x14ac:dyDescent="0.15"/>
    <row r="50747" s="69" customFormat="1" x14ac:dyDescent="0.15"/>
    <row r="50748" s="69" customFormat="1" x14ac:dyDescent="0.15"/>
    <row r="50749" s="69" customFormat="1" x14ac:dyDescent="0.15"/>
    <row r="50750" s="69" customFormat="1" x14ac:dyDescent="0.15"/>
    <row r="50751" s="69" customFormat="1" x14ac:dyDescent="0.15"/>
    <row r="50752" s="69" customFormat="1" x14ac:dyDescent="0.15"/>
    <row r="50753" s="69" customFormat="1" x14ac:dyDescent="0.15"/>
    <row r="50754" s="69" customFormat="1" x14ac:dyDescent="0.15"/>
    <row r="50755" s="69" customFormat="1" x14ac:dyDescent="0.15"/>
    <row r="50756" s="69" customFormat="1" x14ac:dyDescent="0.15"/>
    <row r="50757" s="69" customFormat="1" x14ac:dyDescent="0.15"/>
    <row r="50758" s="69" customFormat="1" x14ac:dyDescent="0.15"/>
    <row r="50759" s="69" customFormat="1" x14ac:dyDescent="0.15"/>
    <row r="50760" s="69" customFormat="1" x14ac:dyDescent="0.15"/>
    <row r="50761" s="69" customFormat="1" x14ac:dyDescent="0.15"/>
    <row r="50762" s="69" customFormat="1" x14ac:dyDescent="0.15"/>
    <row r="50763" s="69" customFormat="1" x14ac:dyDescent="0.15"/>
    <row r="50764" s="69" customFormat="1" x14ac:dyDescent="0.15"/>
    <row r="50765" s="69" customFormat="1" x14ac:dyDescent="0.15"/>
    <row r="50766" s="69" customFormat="1" x14ac:dyDescent="0.15"/>
    <row r="50767" s="69" customFormat="1" x14ac:dyDescent="0.15"/>
    <row r="50768" s="69" customFormat="1" x14ac:dyDescent="0.15"/>
    <row r="50769" s="69" customFormat="1" x14ac:dyDescent="0.15"/>
    <row r="50770" s="69" customFormat="1" x14ac:dyDescent="0.15"/>
    <row r="50771" s="69" customFormat="1" x14ac:dyDescent="0.15"/>
    <row r="50772" s="69" customFormat="1" x14ac:dyDescent="0.15"/>
    <row r="50773" s="69" customFormat="1" x14ac:dyDescent="0.15"/>
    <row r="50774" s="69" customFormat="1" x14ac:dyDescent="0.15"/>
    <row r="50775" s="69" customFormat="1" x14ac:dyDescent="0.15"/>
    <row r="50776" s="69" customFormat="1" x14ac:dyDescent="0.15"/>
    <row r="50777" s="69" customFormat="1" x14ac:dyDescent="0.15"/>
    <row r="50778" s="69" customFormat="1" x14ac:dyDescent="0.15"/>
    <row r="50779" s="69" customFormat="1" x14ac:dyDescent="0.15"/>
    <row r="50780" s="69" customFormat="1" x14ac:dyDescent="0.15"/>
    <row r="50781" s="69" customFormat="1" x14ac:dyDescent="0.15"/>
    <row r="50782" s="69" customFormat="1" x14ac:dyDescent="0.15"/>
    <row r="50783" s="69" customFormat="1" x14ac:dyDescent="0.15"/>
    <row r="50784" s="69" customFormat="1" x14ac:dyDescent="0.15"/>
    <row r="50785" s="69" customFormat="1" x14ac:dyDescent="0.15"/>
    <row r="50786" s="69" customFormat="1" x14ac:dyDescent="0.15"/>
    <row r="50787" s="69" customFormat="1" x14ac:dyDescent="0.15"/>
    <row r="50788" s="69" customFormat="1" x14ac:dyDescent="0.15"/>
    <row r="50789" s="69" customFormat="1" x14ac:dyDescent="0.15"/>
    <row r="50790" s="69" customFormat="1" x14ac:dyDescent="0.15"/>
    <row r="50791" s="69" customFormat="1" x14ac:dyDescent="0.15"/>
    <row r="50792" s="69" customFormat="1" x14ac:dyDescent="0.15"/>
    <row r="50793" s="69" customFormat="1" x14ac:dyDescent="0.15"/>
    <row r="50794" s="69" customFormat="1" x14ac:dyDescent="0.15"/>
    <row r="50795" s="69" customFormat="1" x14ac:dyDescent="0.15"/>
    <row r="50796" s="69" customFormat="1" x14ac:dyDescent="0.15"/>
    <row r="50797" s="69" customFormat="1" x14ac:dyDescent="0.15"/>
    <row r="50798" s="69" customFormat="1" x14ac:dyDescent="0.15"/>
    <row r="50799" s="69" customFormat="1" x14ac:dyDescent="0.15"/>
    <row r="50800" s="69" customFormat="1" x14ac:dyDescent="0.15"/>
    <row r="50801" s="69" customFormat="1" x14ac:dyDescent="0.15"/>
    <row r="50802" s="69" customFormat="1" x14ac:dyDescent="0.15"/>
    <row r="50803" s="69" customFormat="1" x14ac:dyDescent="0.15"/>
    <row r="50804" s="69" customFormat="1" x14ac:dyDescent="0.15"/>
    <row r="50805" s="69" customFormat="1" x14ac:dyDescent="0.15"/>
    <row r="50806" s="69" customFormat="1" x14ac:dyDescent="0.15"/>
    <row r="50807" s="69" customFormat="1" x14ac:dyDescent="0.15"/>
    <row r="50808" s="69" customFormat="1" x14ac:dyDescent="0.15"/>
    <row r="50809" s="69" customFormat="1" x14ac:dyDescent="0.15"/>
    <row r="50810" s="69" customFormat="1" x14ac:dyDescent="0.15"/>
    <row r="50811" s="69" customFormat="1" x14ac:dyDescent="0.15"/>
    <row r="50812" s="69" customFormat="1" x14ac:dyDescent="0.15"/>
    <row r="50813" s="69" customFormat="1" x14ac:dyDescent="0.15"/>
    <row r="50814" s="69" customFormat="1" x14ac:dyDescent="0.15"/>
    <row r="50815" s="69" customFormat="1" x14ac:dyDescent="0.15"/>
    <row r="50816" s="69" customFormat="1" x14ac:dyDescent="0.15"/>
    <row r="50817" s="69" customFormat="1" x14ac:dyDescent="0.15"/>
    <row r="50818" s="69" customFormat="1" x14ac:dyDescent="0.15"/>
    <row r="50819" s="69" customFormat="1" x14ac:dyDescent="0.15"/>
    <row r="50820" s="69" customFormat="1" x14ac:dyDescent="0.15"/>
    <row r="50821" s="69" customFormat="1" x14ac:dyDescent="0.15"/>
    <row r="50822" s="69" customFormat="1" x14ac:dyDescent="0.15"/>
    <row r="50823" s="69" customFormat="1" x14ac:dyDescent="0.15"/>
    <row r="50824" s="69" customFormat="1" x14ac:dyDescent="0.15"/>
    <row r="50825" s="69" customFormat="1" x14ac:dyDescent="0.15"/>
    <row r="50826" s="69" customFormat="1" x14ac:dyDescent="0.15"/>
    <row r="50827" s="69" customFormat="1" x14ac:dyDescent="0.15"/>
    <row r="50828" s="69" customFormat="1" x14ac:dyDescent="0.15"/>
    <row r="50829" s="69" customFormat="1" x14ac:dyDescent="0.15"/>
    <row r="50830" s="69" customFormat="1" x14ac:dyDescent="0.15"/>
    <row r="50831" s="69" customFormat="1" x14ac:dyDescent="0.15"/>
    <row r="50832" s="69" customFormat="1" x14ac:dyDescent="0.15"/>
    <row r="50833" s="69" customFormat="1" x14ac:dyDescent="0.15"/>
    <row r="50834" s="69" customFormat="1" x14ac:dyDescent="0.15"/>
    <row r="50835" s="69" customFormat="1" x14ac:dyDescent="0.15"/>
    <row r="50836" s="69" customFormat="1" x14ac:dyDescent="0.15"/>
    <row r="50837" s="69" customFormat="1" x14ac:dyDescent="0.15"/>
    <row r="50838" s="69" customFormat="1" x14ac:dyDescent="0.15"/>
    <row r="50839" s="69" customFormat="1" x14ac:dyDescent="0.15"/>
    <row r="50840" s="69" customFormat="1" x14ac:dyDescent="0.15"/>
    <row r="50841" s="69" customFormat="1" x14ac:dyDescent="0.15"/>
    <row r="50842" s="69" customFormat="1" x14ac:dyDescent="0.15"/>
    <row r="50843" s="69" customFormat="1" x14ac:dyDescent="0.15"/>
    <row r="50844" s="69" customFormat="1" x14ac:dyDescent="0.15"/>
    <row r="50845" s="69" customFormat="1" x14ac:dyDescent="0.15"/>
    <row r="50846" s="69" customFormat="1" x14ac:dyDescent="0.15"/>
    <row r="50847" s="69" customFormat="1" x14ac:dyDescent="0.15"/>
    <row r="50848" s="69" customFormat="1" x14ac:dyDescent="0.15"/>
    <row r="50849" s="69" customFormat="1" x14ac:dyDescent="0.15"/>
    <row r="50850" s="69" customFormat="1" x14ac:dyDescent="0.15"/>
    <row r="50851" s="69" customFormat="1" x14ac:dyDescent="0.15"/>
    <row r="50852" s="69" customFormat="1" x14ac:dyDescent="0.15"/>
    <row r="50853" s="69" customFormat="1" x14ac:dyDescent="0.15"/>
    <row r="50854" s="69" customFormat="1" x14ac:dyDescent="0.15"/>
    <row r="50855" s="69" customFormat="1" x14ac:dyDescent="0.15"/>
    <row r="50856" s="69" customFormat="1" x14ac:dyDescent="0.15"/>
    <row r="50857" s="69" customFormat="1" x14ac:dyDescent="0.15"/>
    <row r="50858" s="69" customFormat="1" x14ac:dyDescent="0.15"/>
    <row r="50859" s="69" customFormat="1" x14ac:dyDescent="0.15"/>
    <row r="50860" s="69" customFormat="1" x14ac:dyDescent="0.15"/>
    <row r="50861" s="69" customFormat="1" x14ac:dyDescent="0.15"/>
    <row r="50862" s="69" customFormat="1" x14ac:dyDescent="0.15"/>
    <row r="50863" s="69" customFormat="1" x14ac:dyDescent="0.15"/>
    <row r="50864" s="69" customFormat="1" x14ac:dyDescent="0.15"/>
    <row r="50865" s="69" customFormat="1" x14ac:dyDescent="0.15"/>
    <row r="50866" s="69" customFormat="1" x14ac:dyDescent="0.15"/>
    <row r="50867" s="69" customFormat="1" x14ac:dyDescent="0.15"/>
    <row r="50868" s="69" customFormat="1" x14ac:dyDescent="0.15"/>
    <row r="50869" s="69" customFormat="1" x14ac:dyDescent="0.15"/>
    <row r="50870" s="69" customFormat="1" x14ac:dyDescent="0.15"/>
    <row r="50871" s="69" customFormat="1" x14ac:dyDescent="0.15"/>
    <row r="50872" s="69" customFormat="1" x14ac:dyDescent="0.15"/>
    <row r="50873" s="69" customFormat="1" x14ac:dyDescent="0.15"/>
    <row r="50874" s="69" customFormat="1" x14ac:dyDescent="0.15"/>
    <row r="50875" s="69" customFormat="1" x14ac:dyDescent="0.15"/>
    <row r="50876" s="69" customFormat="1" x14ac:dyDescent="0.15"/>
    <row r="50877" s="69" customFormat="1" x14ac:dyDescent="0.15"/>
    <row r="50878" s="69" customFormat="1" x14ac:dyDescent="0.15"/>
    <row r="50879" s="69" customFormat="1" x14ac:dyDescent="0.15"/>
    <row r="50880" s="69" customFormat="1" x14ac:dyDescent="0.15"/>
    <row r="50881" s="69" customFormat="1" x14ac:dyDescent="0.15"/>
    <row r="50882" s="69" customFormat="1" x14ac:dyDescent="0.15"/>
    <row r="50883" s="69" customFormat="1" x14ac:dyDescent="0.15"/>
    <row r="50884" s="69" customFormat="1" x14ac:dyDescent="0.15"/>
    <row r="50885" s="69" customFormat="1" x14ac:dyDescent="0.15"/>
    <row r="50886" s="69" customFormat="1" x14ac:dyDescent="0.15"/>
    <row r="50887" s="69" customFormat="1" x14ac:dyDescent="0.15"/>
    <row r="50888" s="69" customFormat="1" x14ac:dyDescent="0.15"/>
    <row r="50889" s="69" customFormat="1" x14ac:dyDescent="0.15"/>
    <row r="50890" s="69" customFormat="1" x14ac:dyDescent="0.15"/>
    <row r="50891" s="69" customFormat="1" x14ac:dyDescent="0.15"/>
    <row r="50892" s="69" customFormat="1" x14ac:dyDescent="0.15"/>
    <row r="50893" s="69" customFormat="1" x14ac:dyDescent="0.15"/>
    <row r="50894" s="69" customFormat="1" x14ac:dyDescent="0.15"/>
    <row r="50895" s="69" customFormat="1" x14ac:dyDescent="0.15"/>
    <row r="50896" s="69" customFormat="1" x14ac:dyDescent="0.15"/>
    <row r="50897" s="69" customFormat="1" x14ac:dyDescent="0.15"/>
    <row r="50898" s="69" customFormat="1" x14ac:dyDescent="0.15"/>
    <row r="50899" s="69" customFormat="1" x14ac:dyDescent="0.15"/>
    <row r="50900" s="69" customFormat="1" x14ac:dyDescent="0.15"/>
    <row r="50901" s="69" customFormat="1" x14ac:dyDescent="0.15"/>
    <row r="50902" s="69" customFormat="1" x14ac:dyDescent="0.15"/>
    <row r="50903" s="69" customFormat="1" x14ac:dyDescent="0.15"/>
    <row r="50904" s="69" customFormat="1" x14ac:dyDescent="0.15"/>
    <row r="50905" s="69" customFormat="1" x14ac:dyDescent="0.15"/>
    <row r="50906" s="69" customFormat="1" x14ac:dyDescent="0.15"/>
    <row r="50907" s="69" customFormat="1" x14ac:dyDescent="0.15"/>
    <row r="50908" s="69" customFormat="1" x14ac:dyDescent="0.15"/>
    <row r="50909" s="69" customFormat="1" x14ac:dyDescent="0.15"/>
    <row r="50910" s="69" customFormat="1" x14ac:dyDescent="0.15"/>
    <row r="50911" s="69" customFormat="1" x14ac:dyDescent="0.15"/>
    <row r="50912" s="69" customFormat="1" x14ac:dyDescent="0.15"/>
    <row r="50913" s="69" customFormat="1" x14ac:dyDescent="0.15"/>
    <row r="50914" s="69" customFormat="1" x14ac:dyDescent="0.15"/>
    <row r="50915" s="69" customFormat="1" x14ac:dyDescent="0.15"/>
    <row r="50916" s="69" customFormat="1" x14ac:dyDescent="0.15"/>
    <row r="50917" s="69" customFormat="1" x14ac:dyDescent="0.15"/>
    <row r="50918" s="69" customFormat="1" x14ac:dyDescent="0.15"/>
    <row r="50919" s="69" customFormat="1" x14ac:dyDescent="0.15"/>
    <row r="50920" s="69" customFormat="1" x14ac:dyDescent="0.15"/>
    <row r="50921" s="69" customFormat="1" x14ac:dyDescent="0.15"/>
    <row r="50922" s="69" customFormat="1" x14ac:dyDescent="0.15"/>
    <row r="50923" s="69" customFormat="1" x14ac:dyDescent="0.15"/>
    <row r="50924" s="69" customFormat="1" x14ac:dyDescent="0.15"/>
    <row r="50925" s="69" customFormat="1" x14ac:dyDescent="0.15"/>
    <row r="50926" s="69" customFormat="1" x14ac:dyDescent="0.15"/>
    <row r="50927" s="69" customFormat="1" x14ac:dyDescent="0.15"/>
    <row r="50928" s="69" customFormat="1" x14ac:dyDescent="0.15"/>
    <row r="50929" s="69" customFormat="1" x14ac:dyDescent="0.15"/>
    <row r="50930" s="69" customFormat="1" x14ac:dyDescent="0.15"/>
    <row r="50931" s="69" customFormat="1" x14ac:dyDescent="0.15"/>
    <row r="50932" s="69" customFormat="1" x14ac:dyDescent="0.15"/>
    <row r="50933" s="69" customFormat="1" x14ac:dyDescent="0.15"/>
    <row r="50934" s="69" customFormat="1" x14ac:dyDescent="0.15"/>
    <row r="50935" s="69" customFormat="1" x14ac:dyDescent="0.15"/>
    <row r="50936" s="69" customFormat="1" x14ac:dyDescent="0.15"/>
    <row r="50937" s="69" customFormat="1" x14ac:dyDescent="0.15"/>
    <row r="50938" s="69" customFormat="1" x14ac:dyDescent="0.15"/>
    <row r="50939" s="69" customFormat="1" x14ac:dyDescent="0.15"/>
    <row r="50940" s="69" customFormat="1" x14ac:dyDescent="0.15"/>
    <row r="50941" s="69" customFormat="1" x14ac:dyDescent="0.15"/>
    <row r="50942" s="69" customFormat="1" x14ac:dyDescent="0.15"/>
    <row r="50943" s="69" customFormat="1" x14ac:dyDescent="0.15"/>
    <row r="50944" s="69" customFormat="1" x14ac:dyDescent="0.15"/>
    <row r="50945" s="69" customFormat="1" x14ac:dyDescent="0.15"/>
    <row r="50946" s="69" customFormat="1" x14ac:dyDescent="0.15"/>
    <row r="50947" s="69" customFormat="1" x14ac:dyDescent="0.15"/>
    <row r="50948" s="69" customFormat="1" x14ac:dyDescent="0.15"/>
    <row r="50949" s="69" customFormat="1" x14ac:dyDescent="0.15"/>
    <row r="50950" s="69" customFormat="1" x14ac:dyDescent="0.15"/>
    <row r="50951" s="69" customFormat="1" x14ac:dyDescent="0.15"/>
    <row r="50952" s="69" customFormat="1" x14ac:dyDescent="0.15"/>
    <row r="50953" s="69" customFormat="1" x14ac:dyDescent="0.15"/>
    <row r="50954" s="69" customFormat="1" x14ac:dyDescent="0.15"/>
    <row r="50955" s="69" customFormat="1" x14ac:dyDescent="0.15"/>
    <row r="50956" s="69" customFormat="1" x14ac:dyDescent="0.15"/>
    <row r="50957" s="69" customFormat="1" x14ac:dyDescent="0.15"/>
    <row r="50958" s="69" customFormat="1" x14ac:dyDescent="0.15"/>
    <row r="50959" s="69" customFormat="1" x14ac:dyDescent="0.15"/>
    <row r="50960" s="69" customFormat="1" x14ac:dyDescent="0.15"/>
    <row r="50961" s="69" customFormat="1" x14ac:dyDescent="0.15"/>
    <row r="50962" s="69" customFormat="1" x14ac:dyDescent="0.15"/>
    <row r="50963" s="69" customFormat="1" x14ac:dyDescent="0.15"/>
    <row r="50964" s="69" customFormat="1" x14ac:dyDescent="0.15"/>
    <row r="50965" s="69" customFormat="1" x14ac:dyDescent="0.15"/>
    <row r="50966" s="69" customFormat="1" x14ac:dyDescent="0.15"/>
    <row r="50967" s="69" customFormat="1" x14ac:dyDescent="0.15"/>
    <row r="50968" s="69" customFormat="1" x14ac:dyDescent="0.15"/>
    <row r="50969" s="69" customFormat="1" x14ac:dyDescent="0.15"/>
    <row r="50970" s="69" customFormat="1" x14ac:dyDescent="0.15"/>
    <row r="50971" s="69" customFormat="1" x14ac:dyDescent="0.15"/>
    <row r="50972" s="69" customFormat="1" x14ac:dyDescent="0.15"/>
    <row r="50973" s="69" customFormat="1" x14ac:dyDescent="0.15"/>
    <row r="50974" s="69" customFormat="1" x14ac:dyDescent="0.15"/>
    <row r="50975" s="69" customFormat="1" x14ac:dyDescent="0.15"/>
    <row r="50976" s="69" customFormat="1" x14ac:dyDescent="0.15"/>
    <row r="50977" s="69" customFormat="1" x14ac:dyDescent="0.15"/>
    <row r="50978" s="69" customFormat="1" x14ac:dyDescent="0.15"/>
    <row r="50979" s="69" customFormat="1" x14ac:dyDescent="0.15"/>
    <row r="50980" s="69" customFormat="1" x14ac:dyDescent="0.15"/>
    <row r="50981" s="69" customFormat="1" x14ac:dyDescent="0.15"/>
    <row r="50982" s="69" customFormat="1" x14ac:dyDescent="0.15"/>
    <row r="50983" s="69" customFormat="1" x14ac:dyDescent="0.15"/>
    <row r="50984" s="69" customFormat="1" x14ac:dyDescent="0.15"/>
    <row r="50985" s="69" customFormat="1" x14ac:dyDescent="0.15"/>
    <row r="50986" s="69" customFormat="1" x14ac:dyDescent="0.15"/>
    <row r="50987" s="69" customFormat="1" x14ac:dyDescent="0.15"/>
    <row r="50988" s="69" customFormat="1" x14ac:dyDescent="0.15"/>
    <row r="50989" s="69" customFormat="1" x14ac:dyDescent="0.15"/>
    <row r="50990" s="69" customFormat="1" x14ac:dyDescent="0.15"/>
    <row r="50991" s="69" customFormat="1" x14ac:dyDescent="0.15"/>
    <row r="50992" s="69" customFormat="1" x14ac:dyDescent="0.15"/>
    <row r="50993" s="69" customFormat="1" x14ac:dyDescent="0.15"/>
    <row r="50994" s="69" customFormat="1" x14ac:dyDescent="0.15"/>
    <row r="50995" s="69" customFormat="1" x14ac:dyDescent="0.15"/>
    <row r="50996" s="69" customFormat="1" x14ac:dyDescent="0.15"/>
    <row r="50997" s="69" customFormat="1" x14ac:dyDescent="0.15"/>
    <row r="50998" s="69" customFormat="1" x14ac:dyDescent="0.15"/>
    <row r="50999" s="69" customFormat="1" x14ac:dyDescent="0.15"/>
    <row r="51000" s="69" customFormat="1" x14ac:dyDescent="0.15"/>
    <row r="51001" s="69" customFormat="1" x14ac:dyDescent="0.15"/>
    <row r="51002" s="69" customFormat="1" x14ac:dyDescent="0.15"/>
    <row r="51003" s="69" customFormat="1" x14ac:dyDescent="0.15"/>
    <row r="51004" s="69" customFormat="1" x14ac:dyDescent="0.15"/>
    <row r="51005" s="69" customFormat="1" x14ac:dyDescent="0.15"/>
    <row r="51006" s="69" customFormat="1" x14ac:dyDescent="0.15"/>
    <row r="51007" s="69" customFormat="1" x14ac:dyDescent="0.15"/>
    <row r="51008" s="69" customFormat="1" x14ac:dyDescent="0.15"/>
    <row r="51009" s="69" customFormat="1" x14ac:dyDescent="0.15"/>
    <row r="51010" s="69" customFormat="1" x14ac:dyDescent="0.15"/>
    <row r="51011" s="69" customFormat="1" x14ac:dyDescent="0.15"/>
    <row r="51012" s="69" customFormat="1" x14ac:dyDescent="0.15"/>
    <row r="51013" s="69" customFormat="1" x14ac:dyDescent="0.15"/>
    <row r="51014" s="69" customFormat="1" x14ac:dyDescent="0.15"/>
    <row r="51015" s="69" customFormat="1" x14ac:dyDescent="0.15"/>
    <row r="51016" s="69" customFormat="1" x14ac:dyDescent="0.15"/>
    <row r="51017" s="69" customFormat="1" x14ac:dyDescent="0.15"/>
    <row r="51018" s="69" customFormat="1" x14ac:dyDescent="0.15"/>
    <row r="51019" s="69" customFormat="1" x14ac:dyDescent="0.15"/>
    <row r="51020" s="69" customFormat="1" x14ac:dyDescent="0.15"/>
    <row r="51021" s="69" customFormat="1" x14ac:dyDescent="0.15"/>
    <row r="51022" s="69" customFormat="1" x14ac:dyDescent="0.15"/>
    <row r="51023" s="69" customFormat="1" x14ac:dyDescent="0.15"/>
    <row r="51024" s="69" customFormat="1" x14ac:dyDescent="0.15"/>
    <row r="51025" s="69" customFormat="1" x14ac:dyDescent="0.15"/>
    <row r="51026" s="69" customFormat="1" x14ac:dyDescent="0.15"/>
    <row r="51027" s="69" customFormat="1" x14ac:dyDescent="0.15"/>
    <row r="51028" s="69" customFormat="1" x14ac:dyDescent="0.15"/>
    <row r="51029" s="69" customFormat="1" x14ac:dyDescent="0.15"/>
    <row r="51030" s="69" customFormat="1" x14ac:dyDescent="0.15"/>
    <row r="51031" s="69" customFormat="1" x14ac:dyDescent="0.15"/>
    <row r="51032" s="69" customFormat="1" x14ac:dyDescent="0.15"/>
    <row r="51033" s="69" customFormat="1" x14ac:dyDescent="0.15"/>
    <row r="51034" s="69" customFormat="1" x14ac:dyDescent="0.15"/>
    <row r="51035" s="69" customFormat="1" x14ac:dyDescent="0.15"/>
    <row r="51036" s="69" customFormat="1" x14ac:dyDescent="0.15"/>
    <row r="51037" s="69" customFormat="1" x14ac:dyDescent="0.15"/>
    <row r="51038" s="69" customFormat="1" x14ac:dyDescent="0.15"/>
    <row r="51039" s="69" customFormat="1" x14ac:dyDescent="0.15"/>
    <row r="51040" s="69" customFormat="1" x14ac:dyDescent="0.15"/>
    <row r="51041" s="69" customFormat="1" x14ac:dyDescent="0.15"/>
    <row r="51042" s="69" customFormat="1" x14ac:dyDescent="0.15"/>
    <row r="51043" s="69" customFormat="1" x14ac:dyDescent="0.15"/>
    <row r="51044" s="69" customFormat="1" x14ac:dyDescent="0.15"/>
    <row r="51045" s="69" customFormat="1" x14ac:dyDescent="0.15"/>
    <row r="51046" s="69" customFormat="1" x14ac:dyDescent="0.15"/>
    <row r="51047" s="69" customFormat="1" x14ac:dyDescent="0.15"/>
    <row r="51048" s="69" customFormat="1" x14ac:dyDescent="0.15"/>
    <row r="51049" s="69" customFormat="1" x14ac:dyDescent="0.15"/>
    <row r="51050" s="69" customFormat="1" x14ac:dyDescent="0.15"/>
    <row r="51051" s="69" customFormat="1" x14ac:dyDescent="0.15"/>
    <row r="51052" s="69" customFormat="1" x14ac:dyDescent="0.15"/>
    <row r="51053" s="69" customFormat="1" x14ac:dyDescent="0.15"/>
    <row r="51054" s="69" customFormat="1" x14ac:dyDescent="0.15"/>
    <row r="51055" s="69" customFormat="1" x14ac:dyDescent="0.15"/>
    <row r="51056" s="69" customFormat="1" x14ac:dyDescent="0.15"/>
    <row r="51057" s="69" customFormat="1" x14ac:dyDescent="0.15"/>
    <row r="51058" s="69" customFormat="1" x14ac:dyDescent="0.15"/>
    <row r="51059" s="69" customFormat="1" x14ac:dyDescent="0.15"/>
    <row r="51060" s="69" customFormat="1" x14ac:dyDescent="0.15"/>
    <row r="51061" s="69" customFormat="1" x14ac:dyDescent="0.15"/>
    <row r="51062" s="69" customFormat="1" x14ac:dyDescent="0.15"/>
    <row r="51063" s="69" customFormat="1" x14ac:dyDescent="0.15"/>
    <row r="51064" s="69" customFormat="1" x14ac:dyDescent="0.15"/>
    <row r="51065" s="69" customFormat="1" x14ac:dyDescent="0.15"/>
    <row r="51066" s="69" customFormat="1" x14ac:dyDescent="0.15"/>
    <row r="51067" s="69" customFormat="1" x14ac:dyDescent="0.15"/>
    <row r="51068" s="69" customFormat="1" x14ac:dyDescent="0.15"/>
    <row r="51069" s="69" customFormat="1" x14ac:dyDescent="0.15"/>
    <row r="51070" s="69" customFormat="1" x14ac:dyDescent="0.15"/>
    <row r="51071" s="69" customFormat="1" x14ac:dyDescent="0.15"/>
    <row r="51072" s="69" customFormat="1" x14ac:dyDescent="0.15"/>
    <row r="51073" s="69" customFormat="1" x14ac:dyDescent="0.15"/>
    <row r="51074" s="69" customFormat="1" x14ac:dyDescent="0.15"/>
    <row r="51075" s="69" customFormat="1" x14ac:dyDescent="0.15"/>
    <row r="51076" s="69" customFormat="1" x14ac:dyDescent="0.15"/>
    <row r="51077" s="69" customFormat="1" x14ac:dyDescent="0.15"/>
    <row r="51078" s="69" customFormat="1" x14ac:dyDescent="0.15"/>
    <row r="51079" s="69" customFormat="1" x14ac:dyDescent="0.15"/>
    <row r="51080" s="69" customFormat="1" x14ac:dyDescent="0.15"/>
    <row r="51081" s="69" customFormat="1" x14ac:dyDescent="0.15"/>
    <row r="51082" s="69" customFormat="1" x14ac:dyDescent="0.15"/>
    <row r="51083" s="69" customFormat="1" x14ac:dyDescent="0.15"/>
    <row r="51084" s="69" customFormat="1" x14ac:dyDescent="0.15"/>
    <row r="51085" s="69" customFormat="1" x14ac:dyDescent="0.15"/>
    <row r="51086" s="69" customFormat="1" x14ac:dyDescent="0.15"/>
    <row r="51087" s="69" customFormat="1" x14ac:dyDescent="0.15"/>
    <row r="51088" s="69" customFormat="1" x14ac:dyDescent="0.15"/>
    <row r="51089" s="69" customFormat="1" x14ac:dyDescent="0.15"/>
    <row r="51090" s="69" customFormat="1" x14ac:dyDescent="0.15"/>
    <row r="51091" s="69" customFormat="1" x14ac:dyDescent="0.15"/>
    <row r="51092" s="69" customFormat="1" x14ac:dyDescent="0.15"/>
    <row r="51093" s="69" customFormat="1" x14ac:dyDescent="0.15"/>
    <row r="51094" s="69" customFormat="1" x14ac:dyDescent="0.15"/>
    <row r="51095" s="69" customFormat="1" x14ac:dyDescent="0.15"/>
    <row r="51096" s="69" customFormat="1" x14ac:dyDescent="0.15"/>
    <row r="51097" s="69" customFormat="1" x14ac:dyDescent="0.15"/>
    <row r="51098" s="69" customFormat="1" x14ac:dyDescent="0.15"/>
    <row r="51099" s="69" customFormat="1" x14ac:dyDescent="0.15"/>
    <row r="51100" s="69" customFormat="1" x14ac:dyDescent="0.15"/>
    <row r="51101" s="69" customFormat="1" x14ac:dyDescent="0.15"/>
    <row r="51102" s="69" customFormat="1" x14ac:dyDescent="0.15"/>
    <row r="51103" s="69" customFormat="1" x14ac:dyDescent="0.15"/>
    <row r="51104" s="69" customFormat="1" x14ac:dyDescent="0.15"/>
    <row r="51105" s="69" customFormat="1" x14ac:dyDescent="0.15"/>
    <row r="51106" s="69" customFormat="1" x14ac:dyDescent="0.15"/>
    <row r="51107" s="69" customFormat="1" x14ac:dyDescent="0.15"/>
    <row r="51108" s="69" customFormat="1" x14ac:dyDescent="0.15"/>
    <row r="51109" s="69" customFormat="1" x14ac:dyDescent="0.15"/>
    <row r="51110" s="69" customFormat="1" x14ac:dyDescent="0.15"/>
    <row r="51111" s="69" customFormat="1" x14ac:dyDescent="0.15"/>
    <row r="51112" s="69" customFormat="1" x14ac:dyDescent="0.15"/>
    <row r="51113" s="69" customFormat="1" x14ac:dyDescent="0.15"/>
    <row r="51114" s="69" customFormat="1" x14ac:dyDescent="0.15"/>
    <row r="51115" s="69" customFormat="1" x14ac:dyDescent="0.15"/>
    <row r="51116" s="69" customFormat="1" x14ac:dyDescent="0.15"/>
    <row r="51117" s="69" customFormat="1" x14ac:dyDescent="0.15"/>
    <row r="51118" s="69" customFormat="1" x14ac:dyDescent="0.15"/>
    <row r="51119" s="69" customFormat="1" x14ac:dyDescent="0.15"/>
    <row r="51120" s="69" customFormat="1" x14ac:dyDescent="0.15"/>
    <row r="51121" s="69" customFormat="1" x14ac:dyDescent="0.15"/>
    <row r="51122" s="69" customFormat="1" x14ac:dyDescent="0.15"/>
    <row r="51123" s="69" customFormat="1" x14ac:dyDescent="0.15"/>
    <row r="51124" s="69" customFormat="1" x14ac:dyDescent="0.15"/>
    <row r="51125" s="69" customFormat="1" x14ac:dyDescent="0.15"/>
    <row r="51126" s="69" customFormat="1" x14ac:dyDescent="0.15"/>
    <row r="51127" s="69" customFormat="1" x14ac:dyDescent="0.15"/>
    <row r="51128" s="69" customFormat="1" x14ac:dyDescent="0.15"/>
    <row r="51129" s="69" customFormat="1" x14ac:dyDescent="0.15"/>
    <row r="51130" s="69" customFormat="1" x14ac:dyDescent="0.15"/>
    <row r="51131" s="69" customFormat="1" x14ac:dyDescent="0.15"/>
    <row r="51132" s="69" customFormat="1" x14ac:dyDescent="0.15"/>
    <row r="51133" s="69" customFormat="1" x14ac:dyDescent="0.15"/>
    <row r="51134" s="69" customFormat="1" x14ac:dyDescent="0.15"/>
    <row r="51135" s="69" customFormat="1" x14ac:dyDescent="0.15"/>
    <row r="51136" s="69" customFormat="1" x14ac:dyDescent="0.15"/>
    <row r="51137" s="69" customFormat="1" x14ac:dyDescent="0.15"/>
    <row r="51138" s="69" customFormat="1" x14ac:dyDescent="0.15"/>
    <row r="51139" s="69" customFormat="1" x14ac:dyDescent="0.15"/>
    <row r="51140" s="69" customFormat="1" x14ac:dyDescent="0.15"/>
    <row r="51141" s="69" customFormat="1" x14ac:dyDescent="0.15"/>
    <row r="51142" s="69" customFormat="1" x14ac:dyDescent="0.15"/>
    <row r="51143" s="69" customFormat="1" x14ac:dyDescent="0.15"/>
    <row r="51144" s="69" customFormat="1" x14ac:dyDescent="0.15"/>
    <row r="51145" s="69" customFormat="1" x14ac:dyDescent="0.15"/>
    <row r="51146" s="69" customFormat="1" x14ac:dyDescent="0.15"/>
    <row r="51147" s="69" customFormat="1" x14ac:dyDescent="0.15"/>
    <row r="51148" s="69" customFormat="1" x14ac:dyDescent="0.15"/>
    <row r="51149" s="69" customFormat="1" x14ac:dyDescent="0.15"/>
    <row r="51150" s="69" customFormat="1" x14ac:dyDescent="0.15"/>
    <row r="51151" s="69" customFormat="1" x14ac:dyDescent="0.15"/>
    <row r="51152" s="69" customFormat="1" x14ac:dyDescent="0.15"/>
    <row r="51153" s="69" customFormat="1" x14ac:dyDescent="0.15"/>
    <row r="51154" s="69" customFormat="1" x14ac:dyDescent="0.15"/>
    <row r="51155" s="69" customFormat="1" x14ac:dyDescent="0.15"/>
    <row r="51156" s="69" customFormat="1" x14ac:dyDescent="0.15"/>
    <row r="51157" s="69" customFormat="1" x14ac:dyDescent="0.15"/>
    <row r="51158" s="69" customFormat="1" x14ac:dyDescent="0.15"/>
    <row r="51159" s="69" customFormat="1" x14ac:dyDescent="0.15"/>
    <row r="51160" s="69" customFormat="1" x14ac:dyDescent="0.15"/>
    <row r="51161" s="69" customFormat="1" x14ac:dyDescent="0.15"/>
    <row r="51162" s="69" customFormat="1" x14ac:dyDescent="0.15"/>
    <row r="51163" s="69" customFormat="1" x14ac:dyDescent="0.15"/>
    <row r="51164" s="69" customFormat="1" x14ac:dyDescent="0.15"/>
    <row r="51165" s="69" customFormat="1" x14ac:dyDescent="0.15"/>
    <row r="51166" s="69" customFormat="1" x14ac:dyDescent="0.15"/>
    <row r="51167" s="69" customFormat="1" x14ac:dyDescent="0.15"/>
    <row r="51168" s="69" customFormat="1" x14ac:dyDescent="0.15"/>
    <row r="51169" s="69" customFormat="1" x14ac:dyDescent="0.15"/>
    <row r="51170" s="69" customFormat="1" x14ac:dyDescent="0.15"/>
    <row r="51171" s="69" customFormat="1" x14ac:dyDescent="0.15"/>
    <row r="51172" s="69" customFormat="1" x14ac:dyDescent="0.15"/>
    <row r="51173" s="69" customFormat="1" x14ac:dyDescent="0.15"/>
    <row r="51174" s="69" customFormat="1" x14ac:dyDescent="0.15"/>
    <row r="51175" s="69" customFormat="1" x14ac:dyDescent="0.15"/>
    <row r="51176" s="69" customFormat="1" x14ac:dyDescent="0.15"/>
    <row r="51177" s="69" customFormat="1" x14ac:dyDescent="0.15"/>
    <row r="51178" s="69" customFormat="1" x14ac:dyDescent="0.15"/>
    <row r="51179" s="69" customFormat="1" x14ac:dyDescent="0.15"/>
    <row r="51180" s="69" customFormat="1" x14ac:dyDescent="0.15"/>
    <row r="51181" s="69" customFormat="1" x14ac:dyDescent="0.15"/>
    <row r="51182" s="69" customFormat="1" x14ac:dyDescent="0.15"/>
    <row r="51183" s="69" customFormat="1" x14ac:dyDescent="0.15"/>
    <row r="51184" s="69" customFormat="1" x14ac:dyDescent="0.15"/>
    <row r="51185" s="69" customFormat="1" x14ac:dyDescent="0.15"/>
    <row r="51186" s="69" customFormat="1" x14ac:dyDescent="0.15"/>
    <row r="51187" s="69" customFormat="1" x14ac:dyDescent="0.15"/>
    <row r="51188" s="69" customFormat="1" x14ac:dyDescent="0.15"/>
    <row r="51189" s="69" customFormat="1" x14ac:dyDescent="0.15"/>
    <row r="51190" s="69" customFormat="1" x14ac:dyDescent="0.15"/>
    <row r="51191" s="69" customFormat="1" x14ac:dyDescent="0.15"/>
    <row r="51192" s="69" customFormat="1" x14ac:dyDescent="0.15"/>
    <row r="51193" s="69" customFormat="1" x14ac:dyDescent="0.15"/>
    <row r="51194" s="69" customFormat="1" x14ac:dyDescent="0.15"/>
    <row r="51195" s="69" customFormat="1" x14ac:dyDescent="0.15"/>
    <row r="51196" s="69" customFormat="1" x14ac:dyDescent="0.15"/>
    <row r="51197" s="69" customFormat="1" x14ac:dyDescent="0.15"/>
    <row r="51198" s="69" customFormat="1" x14ac:dyDescent="0.15"/>
    <row r="51199" s="69" customFormat="1" x14ac:dyDescent="0.15"/>
    <row r="51200" s="69" customFormat="1" x14ac:dyDescent="0.15"/>
    <row r="51201" s="69" customFormat="1" x14ac:dyDescent="0.15"/>
    <row r="51202" s="69" customFormat="1" x14ac:dyDescent="0.15"/>
    <row r="51203" s="69" customFormat="1" x14ac:dyDescent="0.15"/>
    <row r="51204" s="69" customFormat="1" x14ac:dyDescent="0.15"/>
    <row r="51205" s="69" customFormat="1" x14ac:dyDescent="0.15"/>
    <row r="51206" s="69" customFormat="1" x14ac:dyDescent="0.15"/>
    <row r="51207" s="69" customFormat="1" x14ac:dyDescent="0.15"/>
    <row r="51208" s="69" customFormat="1" x14ac:dyDescent="0.15"/>
    <row r="51209" s="69" customFormat="1" x14ac:dyDescent="0.15"/>
    <row r="51210" s="69" customFormat="1" x14ac:dyDescent="0.15"/>
    <row r="51211" s="69" customFormat="1" x14ac:dyDescent="0.15"/>
    <row r="51212" s="69" customFormat="1" x14ac:dyDescent="0.15"/>
    <row r="51213" s="69" customFormat="1" x14ac:dyDescent="0.15"/>
    <row r="51214" s="69" customFormat="1" x14ac:dyDescent="0.15"/>
    <row r="51215" s="69" customFormat="1" x14ac:dyDescent="0.15"/>
    <row r="51216" s="69" customFormat="1" x14ac:dyDescent="0.15"/>
    <row r="51217" s="69" customFormat="1" x14ac:dyDescent="0.15"/>
    <row r="51218" s="69" customFormat="1" x14ac:dyDescent="0.15"/>
    <row r="51219" s="69" customFormat="1" x14ac:dyDescent="0.15"/>
    <row r="51220" s="69" customFormat="1" x14ac:dyDescent="0.15"/>
    <row r="51221" s="69" customFormat="1" x14ac:dyDescent="0.15"/>
    <row r="51222" s="69" customFormat="1" x14ac:dyDescent="0.15"/>
    <row r="51223" s="69" customFormat="1" x14ac:dyDescent="0.15"/>
    <row r="51224" s="69" customFormat="1" x14ac:dyDescent="0.15"/>
    <row r="51225" s="69" customFormat="1" x14ac:dyDescent="0.15"/>
    <row r="51226" s="69" customFormat="1" x14ac:dyDescent="0.15"/>
    <row r="51227" s="69" customFormat="1" x14ac:dyDescent="0.15"/>
    <row r="51228" s="69" customFormat="1" x14ac:dyDescent="0.15"/>
    <row r="51229" s="69" customFormat="1" x14ac:dyDescent="0.15"/>
    <row r="51230" s="69" customFormat="1" x14ac:dyDescent="0.15"/>
    <row r="51231" s="69" customFormat="1" x14ac:dyDescent="0.15"/>
    <row r="51232" s="69" customFormat="1" x14ac:dyDescent="0.15"/>
    <row r="51233" s="69" customFormat="1" x14ac:dyDescent="0.15"/>
    <row r="51234" s="69" customFormat="1" x14ac:dyDescent="0.15"/>
    <row r="51235" s="69" customFormat="1" x14ac:dyDescent="0.15"/>
    <row r="51236" s="69" customFormat="1" x14ac:dyDescent="0.15"/>
    <row r="51237" s="69" customFormat="1" x14ac:dyDescent="0.15"/>
    <row r="51238" s="69" customFormat="1" x14ac:dyDescent="0.15"/>
    <row r="51239" s="69" customFormat="1" x14ac:dyDescent="0.15"/>
    <row r="51240" s="69" customFormat="1" x14ac:dyDescent="0.15"/>
    <row r="51241" s="69" customFormat="1" x14ac:dyDescent="0.15"/>
    <row r="51242" s="69" customFormat="1" x14ac:dyDescent="0.15"/>
    <row r="51243" s="69" customFormat="1" x14ac:dyDescent="0.15"/>
    <row r="51244" s="69" customFormat="1" x14ac:dyDescent="0.15"/>
    <row r="51245" s="69" customFormat="1" x14ac:dyDescent="0.15"/>
    <row r="51246" s="69" customFormat="1" x14ac:dyDescent="0.15"/>
    <row r="51247" s="69" customFormat="1" x14ac:dyDescent="0.15"/>
    <row r="51248" s="69" customFormat="1" x14ac:dyDescent="0.15"/>
    <row r="51249" s="69" customFormat="1" x14ac:dyDescent="0.15"/>
    <row r="51250" s="69" customFormat="1" x14ac:dyDescent="0.15"/>
    <row r="51251" s="69" customFormat="1" x14ac:dyDescent="0.15"/>
    <row r="51252" s="69" customFormat="1" x14ac:dyDescent="0.15"/>
    <row r="51253" s="69" customFormat="1" x14ac:dyDescent="0.15"/>
    <row r="51254" s="69" customFormat="1" x14ac:dyDescent="0.15"/>
    <row r="51255" s="69" customFormat="1" x14ac:dyDescent="0.15"/>
    <row r="51256" s="69" customFormat="1" x14ac:dyDescent="0.15"/>
    <row r="51257" s="69" customFormat="1" x14ac:dyDescent="0.15"/>
    <row r="51258" s="69" customFormat="1" x14ac:dyDescent="0.15"/>
    <row r="51259" s="69" customFormat="1" x14ac:dyDescent="0.15"/>
    <row r="51260" s="69" customFormat="1" x14ac:dyDescent="0.15"/>
    <row r="51261" s="69" customFormat="1" x14ac:dyDescent="0.15"/>
    <row r="51262" s="69" customFormat="1" x14ac:dyDescent="0.15"/>
    <row r="51263" s="69" customFormat="1" x14ac:dyDescent="0.15"/>
    <row r="51264" s="69" customFormat="1" x14ac:dyDescent="0.15"/>
    <row r="51265" s="69" customFormat="1" x14ac:dyDescent="0.15"/>
    <row r="51266" s="69" customFormat="1" x14ac:dyDescent="0.15"/>
    <row r="51267" s="69" customFormat="1" x14ac:dyDescent="0.15"/>
    <row r="51268" s="69" customFormat="1" x14ac:dyDescent="0.15"/>
    <row r="51269" s="69" customFormat="1" x14ac:dyDescent="0.15"/>
    <row r="51270" s="69" customFormat="1" x14ac:dyDescent="0.15"/>
    <row r="51271" s="69" customFormat="1" x14ac:dyDescent="0.15"/>
    <row r="51272" s="69" customFormat="1" x14ac:dyDescent="0.15"/>
    <row r="51273" s="69" customFormat="1" x14ac:dyDescent="0.15"/>
    <row r="51274" s="69" customFormat="1" x14ac:dyDescent="0.15"/>
    <row r="51275" s="69" customFormat="1" x14ac:dyDescent="0.15"/>
    <row r="51276" s="69" customFormat="1" x14ac:dyDescent="0.15"/>
    <row r="51277" s="69" customFormat="1" x14ac:dyDescent="0.15"/>
    <row r="51278" s="69" customFormat="1" x14ac:dyDescent="0.15"/>
    <row r="51279" s="69" customFormat="1" x14ac:dyDescent="0.15"/>
    <row r="51280" s="69" customFormat="1" x14ac:dyDescent="0.15"/>
    <row r="51281" s="69" customFormat="1" x14ac:dyDescent="0.15"/>
    <row r="51282" s="69" customFormat="1" x14ac:dyDescent="0.15"/>
    <row r="51283" s="69" customFormat="1" x14ac:dyDescent="0.15"/>
    <row r="51284" s="69" customFormat="1" x14ac:dyDescent="0.15"/>
    <row r="51285" s="69" customFormat="1" x14ac:dyDescent="0.15"/>
    <row r="51286" s="69" customFormat="1" x14ac:dyDescent="0.15"/>
    <row r="51287" s="69" customFormat="1" x14ac:dyDescent="0.15"/>
    <row r="51288" s="69" customFormat="1" x14ac:dyDescent="0.15"/>
    <row r="51289" s="69" customFormat="1" x14ac:dyDescent="0.15"/>
    <row r="51290" s="69" customFormat="1" x14ac:dyDescent="0.15"/>
    <row r="51291" s="69" customFormat="1" x14ac:dyDescent="0.15"/>
    <row r="51292" s="69" customFormat="1" x14ac:dyDescent="0.15"/>
    <row r="51293" s="69" customFormat="1" x14ac:dyDescent="0.15"/>
    <row r="51294" s="69" customFormat="1" x14ac:dyDescent="0.15"/>
    <row r="51295" s="69" customFormat="1" x14ac:dyDescent="0.15"/>
    <row r="51296" s="69" customFormat="1" x14ac:dyDescent="0.15"/>
    <row r="51297" s="69" customFormat="1" x14ac:dyDescent="0.15"/>
    <row r="51298" s="69" customFormat="1" x14ac:dyDescent="0.15"/>
    <row r="51299" s="69" customFormat="1" x14ac:dyDescent="0.15"/>
    <row r="51300" s="69" customFormat="1" x14ac:dyDescent="0.15"/>
    <row r="51301" s="69" customFormat="1" x14ac:dyDescent="0.15"/>
    <row r="51302" s="69" customFormat="1" x14ac:dyDescent="0.15"/>
    <row r="51303" s="69" customFormat="1" x14ac:dyDescent="0.15"/>
    <row r="51304" s="69" customFormat="1" x14ac:dyDescent="0.15"/>
    <row r="51305" s="69" customFormat="1" x14ac:dyDescent="0.15"/>
    <row r="51306" s="69" customFormat="1" x14ac:dyDescent="0.15"/>
    <row r="51307" s="69" customFormat="1" x14ac:dyDescent="0.15"/>
    <row r="51308" s="69" customFormat="1" x14ac:dyDescent="0.15"/>
    <row r="51309" s="69" customFormat="1" x14ac:dyDescent="0.15"/>
    <row r="51310" s="69" customFormat="1" x14ac:dyDescent="0.15"/>
    <row r="51311" s="69" customFormat="1" x14ac:dyDescent="0.15"/>
    <row r="51312" s="69" customFormat="1" x14ac:dyDescent="0.15"/>
    <row r="51313" s="69" customFormat="1" x14ac:dyDescent="0.15"/>
    <row r="51314" s="69" customFormat="1" x14ac:dyDescent="0.15"/>
    <row r="51315" s="69" customFormat="1" x14ac:dyDescent="0.15"/>
    <row r="51316" s="69" customFormat="1" x14ac:dyDescent="0.15"/>
    <row r="51317" s="69" customFormat="1" x14ac:dyDescent="0.15"/>
    <row r="51318" s="69" customFormat="1" x14ac:dyDescent="0.15"/>
    <row r="51319" s="69" customFormat="1" x14ac:dyDescent="0.15"/>
    <row r="51320" s="69" customFormat="1" x14ac:dyDescent="0.15"/>
    <row r="51321" s="69" customFormat="1" x14ac:dyDescent="0.15"/>
    <row r="51322" s="69" customFormat="1" x14ac:dyDescent="0.15"/>
    <row r="51323" s="69" customFormat="1" x14ac:dyDescent="0.15"/>
    <row r="51324" s="69" customFormat="1" x14ac:dyDescent="0.15"/>
    <row r="51325" s="69" customFormat="1" x14ac:dyDescent="0.15"/>
    <row r="51326" s="69" customFormat="1" x14ac:dyDescent="0.15"/>
    <row r="51327" s="69" customFormat="1" x14ac:dyDescent="0.15"/>
    <row r="51328" s="69" customFormat="1" x14ac:dyDescent="0.15"/>
    <row r="51329" s="69" customFormat="1" x14ac:dyDescent="0.15"/>
    <row r="51330" s="69" customFormat="1" x14ac:dyDescent="0.15"/>
    <row r="51331" s="69" customFormat="1" x14ac:dyDescent="0.15"/>
    <row r="51332" s="69" customFormat="1" x14ac:dyDescent="0.15"/>
    <row r="51333" s="69" customFormat="1" x14ac:dyDescent="0.15"/>
    <row r="51334" s="69" customFormat="1" x14ac:dyDescent="0.15"/>
    <row r="51335" s="69" customFormat="1" x14ac:dyDescent="0.15"/>
    <row r="51336" s="69" customFormat="1" x14ac:dyDescent="0.15"/>
    <row r="51337" s="69" customFormat="1" x14ac:dyDescent="0.15"/>
    <row r="51338" s="69" customFormat="1" x14ac:dyDescent="0.15"/>
    <row r="51339" s="69" customFormat="1" x14ac:dyDescent="0.15"/>
    <row r="51340" s="69" customFormat="1" x14ac:dyDescent="0.15"/>
    <row r="51341" s="69" customFormat="1" x14ac:dyDescent="0.15"/>
    <row r="51342" s="69" customFormat="1" x14ac:dyDescent="0.15"/>
    <row r="51343" s="69" customFormat="1" x14ac:dyDescent="0.15"/>
    <row r="51344" s="69" customFormat="1" x14ac:dyDescent="0.15"/>
    <row r="51345" s="69" customFormat="1" x14ac:dyDescent="0.15"/>
    <row r="51346" s="69" customFormat="1" x14ac:dyDescent="0.15"/>
    <row r="51347" s="69" customFormat="1" x14ac:dyDescent="0.15"/>
    <row r="51348" s="69" customFormat="1" x14ac:dyDescent="0.15"/>
    <row r="51349" s="69" customFormat="1" x14ac:dyDescent="0.15"/>
    <row r="51350" s="69" customFormat="1" x14ac:dyDescent="0.15"/>
    <row r="51351" s="69" customFormat="1" x14ac:dyDescent="0.15"/>
    <row r="51352" s="69" customFormat="1" x14ac:dyDescent="0.15"/>
    <row r="51353" s="69" customFormat="1" x14ac:dyDescent="0.15"/>
    <row r="51354" s="69" customFormat="1" x14ac:dyDescent="0.15"/>
    <row r="51355" s="69" customFormat="1" x14ac:dyDescent="0.15"/>
    <row r="51356" s="69" customFormat="1" x14ac:dyDescent="0.15"/>
    <row r="51357" s="69" customFormat="1" x14ac:dyDescent="0.15"/>
    <row r="51358" s="69" customFormat="1" x14ac:dyDescent="0.15"/>
    <row r="51359" s="69" customFormat="1" x14ac:dyDescent="0.15"/>
    <row r="51360" s="69" customFormat="1" x14ac:dyDescent="0.15"/>
    <row r="51361" s="69" customFormat="1" x14ac:dyDescent="0.15"/>
    <row r="51362" s="69" customFormat="1" x14ac:dyDescent="0.15"/>
    <row r="51363" s="69" customFormat="1" x14ac:dyDescent="0.15"/>
    <row r="51364" s="69" customFormat="1" x14ac:dyDescent="0.15"/>
    <row r="51365" s="69" customFormat="1" x14ac:dyDescent="0.15"/>
    <row r="51366" s="69" customFormat="1" x14ac:dyDescent="0.15"/>
    <row r="51367" s="69" customFormat="1" x14ac:dyDescent="0.15"/>
    <row r="51368" s="69" customFormat="1" x14ac:dyDescent="0.15"/>
    <row r="51369" s="69" customFormat="1" x14ac:dyDescent="0.15"/>
    <row r="51370" s="69" customFormat="1" x14ac:dyDescent="0.15"/>
    <row r="51371" s="69" customFormat="1" x14ac:dyDescent="0.15"/>
    <row r="51372" s="69" customFormat="1" x14ac:dyDescent="0.15"/>
    <row r="51373" s="69" customFormat="1" x14ac:dyDescent="0.15"/>
    <row r="51374" s="69" customFormat="1" x14ac:dyDescent="0.15"/>
    <row r="51375" s="69" customFormat="1" x14ac:dyDescent="0.15"/>
    <row r="51376" s="69" customFormat="1" x14ac:dyDescent="0.15"/>
    <row r="51377" s="69" customFormat="1" x14ac:dyDescent="0.15"/>
    <row r="51378" s="69" customFormat="1" x14ac:dyDescent="0.15"/>
    <row r="51379" s="69" customFormat="1" x14ac:dyDescent="0.15"/>
    <row r="51380" s="69" customFormat="1" x14ac:dyDescent="0.15"/>
    <row r="51381" s="69" customFormat="1" x14ac:dyDescent="0.15"/>
    <row r="51382" s="69" customFormat="1" x14ac:dyDescent="0.15"/>
    <row r="51383" s="69" customFormat="1" x14ac:dyDescent="0.15"/>
    <row r="51384" s="69" customFormat="1" x14ac:dyDescent="0.15"/>
    <row r="51385" s="69" customFormat="1" x14ac:dyDescent="0.15"/>
    <row r="51386" s="69" customFormat="1" x14ac:dyDescent="0.15"/>
    <row r="51387" s="69" customFormat="1" x14ac:dyDescent="0.15"/>
    <row r="51388" s="69" customFormat="1" x14ac:dyDescent="0.15"/>
    <row r="51389" s="69" customFormat="1" x14ac:dyDescent="0.15"/>
    <row r="51390" s="69" customFormat="1" x14ac:dyDescent="0.15"/>
    <row r="51391" s="69" customFormat="1" x14ac:dyDescent="0.15"/>
    <row r="51392" s="69" customFormat="1" x14ac:dyDescent="0.15"/>
    <row r="51393" s="69" customFormat="1" x14ac:dyDescent="0.15"/>
    <row r="51394" s="69" customFormat="1" x14ac:dyDescent="0.15"/>
    <row r="51395" s="69" customFormat="1" x14ac:dyDescent="0.15"/>
    <row r="51396" s="69" customFormat="1" x14ac:dyDescent="0.15"/>
    <row r="51397" s="69" customFormat="1" x14ac:dyDescent="0.15"/>
    <row r="51398" s="69" customFormat="1" x14ac:dyDescent="0.15"/>
    <row r="51399" s="69" customFormat="1" x14ac:dyDescent="0.15"/>
    <row r="51400" s="69" customFormat="1" x14ac:dyDescent="0.15"/>
    <row r="51401" s="69" customFormat="1" x14ac:dyDescent="0.15"/>
    <row r="51402" s="69" customFormat="1" x14ac:dyDescent="0.15"/>
    <row r="51403" s="69" customFormat="1" x14ac:dyDescent="0.15"/>
    <row r="51404" s="69" customFormat="1" x14ac:dyDescent="0.15"/>
    <row r="51405" s="69" customFormat="1" x14ac:dyDescent="0.15"/>
    <row r="51406" s="69" customFormat="1" x14ac:dyDescent="0.15"/>
    <row r="51407" s="69" customFormat="1" x14ac:dyDescent="0.15"/>
    <row r="51408" s="69" customFormat="1" x14ac:dyDescent="0.15"/>
    <row r="51409" s="69" customFormat="1" x14ac:dyDescent="0.15"/>
    <row r="51410" s="69" customFormat="1" x14ac:dyDescent="0.15"/>
    <row r="51411" s="69" customFormat="1" x14ac:dyDescent="0.15"/>
    <row r="51412" s="69" customFormat="1" x14ac:dyDescent="0.15"/>
    <row r="51413" s="69" customFormat="1" x14ac:dyDescent="0.15"/>
    <row r="51414" s="69" customFormat="1" x14ac:dyDescent="0.15"/>
    <row r="51415" s="69" customFormat="1" x14ac:dyDescent="0.15"/>
    <row r="51416" s="69" customFormat="1" x14ac:dyDescent="0.15"/>
    <row r="51417" s="69" customFormat="1" x14ac:dyDescent="0.15"/>
    <row r="51418" s="69" customFormat="1" x14ac:dyDescent="0.15"/>
    <row r="51419" s="69" customFormat="1" x14ac:dyDescent="0.15"/>
    <row r="51420" s="69" customFormat="1" x14ac:dyDescent="0.15"/>
    <row r="51421" s="69" customFormat="1" x14ac:dyDescent="0.15"/>
    <row r="51422" s="69" customFormat="1" x14ac:dyDescent="0.15"/>
    <row r="51423" s="69" customFormat="1" x14ac:dyDescent="0.15"/>
    <row r="51424" s="69" customFormat="1" x14ac:dyDescent="0.15"/>
    <row r="51425" s="69" customFormat="1" x14ac:dyDescent="0.15"/>
    <row r="51426" s="69" customFormat="1" x14ac:dyDescent="0.15"/>
    <row r="51427" s="69" customFormat="1" x14ac:dyDescent="0.15"/>
    <row r="51428" s="69" customFormat="1" x14ac:dyDescent="0.15"/>
    <row r="51429" s="69" customFormat="1" x14ac:dyDescent="0.15"/>
    <row r="51430" s="69" customFormat="1" x14ac:dyDescent="0.15"/>
    <row r="51431" s="69" customFormat="1" x14ac:dyDescent="0.15"/>
    <row r="51432" s="69" customFormat="1" x14ac:dyDescent="0.15"/>
    <row r="51433" s="69" customFormat="1" x14ac:dyDescent="0.15"/>
    <row r="51434" s="69" customFormat="1" x14ac:dyDescent="0.15"/>
    <row r="51435" s="69" customFormat="1" x14ac:dyDescent="0.15"/>
    <row r="51436" s="69" customFormat="1" x14ac:dyDescent="0.15"/>
    <row r="51437" s="69" customFormat="1" x14ac:dyDescent="0.15"/>
    <row r="51438" s="69" customFormat="1" x14ac:dyDescent="0.15"/>
    <row r="51439" s="69" customFormat="1" x14ac:dyDescent="0.15"/>
    <row r="51440" s="69" customFormat="1" x14ac:dyDescent="0.15"/>
    <row r="51441" s="69" customFormat="1" x14ac:dyDescent="0.15"/>
    <row r="51442" s="69" customFormat="1" x14ac:dyDescent="0.15"/>
    <row r="51443" s="69" customFormat="1" x14ac:dyDescent="0.15"/>
    <row r="51444" s="69" customFormat="1" x14ac:dyDescent="0.15"/>
    <row r="51445" s="69" customFormat="1" x14ac:dyDescent="0.15"/>
    <row r="51446" s="69" customFormat="1" x14ac:dyDescent="0.15"/>
    <row r="51447" s="69" customFormat="1" x14ac:dyDescent="0.15"/>
    <row r="51448" s="69" customFormat="1" x14ac:dyDescent="0.15"/>
    <row r="51449" s="69" customFormat="1" x14ac:dyDescent="0.15"/>
    <row r="51450" s="69" customFormat="1" x14ac:dyDescent="0.15"/>
    <row r="51451" s="69" customFormat="1" x14ac:dyDescent="0.15"/>
    <row r="51452" s="69" customFormat="1" x14ac:dyDescent="0.15"/>
    <row r="51453" s="69" customFormat="1" x14ac:dyDescent="0.15"/>
    <row r="51454" s="69" customFormat="1" x14ac:dyDescent="0.15"/>
    <row r="51455" s="69" customFormat="1" x14ac:dyDescent="0.15"/>
    <row r="51456" s="69" customFormat="1" x14ac:dyDescent="0.15"/>
    <row r="51457" s="69" customFormat="1" x14ac:dyDescent="0.15"/>
    <row r="51458" s="69" customFormat="1" x14ac:dyDescent="0.15"/>
    <row r="51459" s="69" customFormat="1" x14ac:dyDescent="0.15"/>
    <row r="51460" s="69" customFormat="1" x14ac:dyDescent="0.15"/>
    <row r="51461" s="69" customFormat="1" x14ac:dyDescent="0.15"/>
    <row r="51462" s="69" customFormat="1" x14ac:dyDescent="0.15"/>
    <row r="51463" s="69" customFormat="1" x14ac:dyDescent="0.15"/>
    <row r="51464" s="69" customFormat="1" x14ac:dyDescent="0.15"/>
    <row r="51465" s="69" customFormat="1" x14ac:dyDescent="0.15"/>
    <row r="51466" s="69" customFormat="1" x14ac:dyDescent="0.15"/>
    <row r="51467" s="69" customFormat="1" x14ac:dyDescent="0.15"/>
    <row r="51468" s="69" customFormat="1" x14ac:dyDescent="0.15"/>
    <row r="51469" s="69" customFormat="1" x14ac:dyDescent="0.15"/>
    <row r="51470" s="69" customFormat="1" x14ac:dyDescent="0.15"/>
    <row r="51471" s="69" customFormat="1" x14ac:dyDescent="0.15"/>
    <row r="51472" s="69" customFormat="1" x14ac:dyDescent="0.15"/>
    <row r="51473" s="69" customFormat="1" x14ac:dyDescent="0.15"/>
    <row r="51474" s="69" customFormat="1" x14ac:dyDescent="0.15"/>
    <row r="51475" s="69" customFormat="1" x14ac:dyDescent="0.15"/>
    <row r="51476" s="69" customFormat="1" x14ac:dyDescent="0.15"/>
    <row r="51477" s="69" customFormat="1" x14ac:dyDescent="0.15"/>
    <row r="51478" s="69" customFormat="1" x14ac:dyDescent="0.15"/>
    <row r="51479" s="69" customFormat="1" x14ac:dyDescent="0.15"/>
    <row r="51480" s="69" customFormat="1" x14ac:dyDescent="0.15"/>
    <row r="51481" s="69" customFormat="1" x14ac:dyDescent="0.15"/>
    <row r="51482" s="69" customFormat="1" x14ac:dyDescent="0.15"/>
    <row r="51483" s="69" customFormat="1" x14ac:dyDescent="0.15"/>
    <row r="51484" s="69" customFormat="1" x14ac:dyDescent="0.15"/>
    <row r="51485" s="69" customFormat="1" x14ac:dyDescent="0.15"/>
    <row r="51486" s="69" customFormat="1" x14ac:dyDescent="0.15"/>
    <row r="51487" s="69" customFormat="1" x14ac:dyDescent="0.15"/>
    <row r="51488" s="69" customFormat="1" x14ac:dyDescent="0.15"/>
    <row r="51489" s="69" customFormat="1" x14ac:dyDescent="0.15"/>
    <row r="51490" s="69" customFormat="1" x14ac:dyDescent="0.15"/>
    <row r="51491" s="69" customFormat="1" x14ac:dyDescent="0.15"/>
    <row r="51492" s="69" customFormat="1" x14ac:dyDescent="0.15"/>
    <row r="51493" s="69" customFormat="1" x14ac:dyDescent="0.15"/>
    <row r="51494" s="69" customFormat="1" x14ac:dyDescent="0.15"/>
    <row r="51495" s="69" customFormat="1" x14ac:dyDescent="0.15"/>
    <row r="51496" s="69" customFormat="1" x14ac:dyDescent="0.15"/>
    <row r="51497" s="69" customFormat="1" x14ac:dyDescent="0.15"/>
    <row r="51498" s="69" customFormat="1" x14ac:dyDescent="0.15"/>
    <row r="51499" s="69" customFormat="1" x14ac:dyDescent="0.15"/>
    <row r="51500" s="69" customFormat="1" x14ac:dyDescent="0.15"/>
    <row r="51501" s="69" customFormat="1" x14ac:dyDescent="0.15"/>
    <row r="51502" s="69" customFormat="1" x14ac:dyDescent="0.15"/>
    <row r="51503" s="69" customFormat="1" x14ac:dyDescent="0.15"/>
    <row r="51504" s="69" customFormat="1" x14ac:dyDescent="0.15"/>
    <row r="51505" s="69" customFormat="1" x14ac:dyDescent="0.15"/>
    <row r="51506" s="69" customFormat="1" x14ac:dyDescent="0.15"/>
    <row r="51507" s="69" customFormat="1" x14ac:dyDescent="0.15"/>
    <row r="51508" s="69" customFormat="1" x14ac:dyDescent="0.15"/>
    <row r="51509" s="69" customFormat="1" x14ac:dyDescent="0.15"/>
    <row r="51510" s="69" customFormat="1" x14ac:dyDescent="0.15"/>
    <row r="51511" s="69" customFormat="1" x14ac:dyDescent="0.15"/>
    <row r="51512" s="69" customFormat="1" x14ac:dyDescent="0.15"/>
    <row r="51513" s="69" customFormat="1" x14ac:dyDescent="0.15"/>
    <row r="51514" s="69" customFormat="1" x14ac:dyDescent="0.15"/>
    <row r="51515" s="69" customFormat="1" x14ac:dyDescent="0.15"/>
    <row r="51516" s="69" customFormat="1" x14ac:dyDescent="0.15"/>
    <row r="51517" s="69" customFormat="1" x14ac:dyDescent="0.15"/>
    <row r="51518" s="69" customFormat="1" x14ac:dyDescent="0.15"/>
    <row r="51519" s="69" customFormat="1" x14ac:dyDescent="0.15"/>
    <row r="51520" s="69" customFormat="1" x14ac:dyDescent="0.15"/>
    <row r="51521" s="69" customFormat="1" x14ac:dyDescent="0.15"/>
    <row r="51522" s="69" customFormat="1" x14ac:dyDescent="0.15"/>
    <row r="51523" s="69" customFormat="1" x14ac:dyDescent="0.15"/>
    <row r="51524" s="69" customFormat="1" x14ac:dyDescent="0.15"/>
    <row r="51525" s="69" customFormat="1" x14ac:dyDescent="0.15"/>
    <row r="51526" s="69" customFormat="1" x14ac:dyDescent="0.15"/>
    <row r="51527" s="69" customFormat="1" x14ac:dyDescent="0.15"/>
    <row r="51528" s="69" customFormat="1" x14ac:dyDescent="0.15"/>
    <row r="51529" s="69" customFormat="1" x14ac:dyDescent="0.15"/>
    <row r="51530" s="69" customFormat="1" x14ac:dyDescent="0.15"/>
    <row r="51531" s="69" customFormat="1" x14ac:dyDescent="0.15"/>
    <row r="51532" s="69" customFormat="1" x14ac:dyDescent="0.15"/>
    <row r="51533" s="69" customFormat="1" x14ac:dyDescent="0.15"/>
    <row r="51534" s="69" customFormat="1" x14ac:dyDescent="0.15"/>
    <row r="51535" s="69" customFormat="1" x14ac:dyDescent="0.15"/>
    <row r="51536" s="69" customFormat="1" x14ac:dyDescent="0.15"/>
    <row r="51537" s="69" customFormat="1" x14ac:dyDescent="0.15"/>
    <row r="51538" s="69" customFormat="1" x14ac:dyDescent="0.15"/>
    <row r="51539" s="69" customFormat="1" x14ac:dyDescent="0.15"/>
    <row r="51540" s="69" customFormat="1" x14ac:dyDescent="0.15"/>
    <row r="51541" s="69" customFormat="1" x14ac:dyDescent="0.15"/>
    <row r="51542" s="69" customFormat="1" x14ac:dyDescent="0.15"/>
    <row r="51543" s="69" customFormat="1" x14ac:dyDescent="0.15"/>
    <row r="51544" s="69" customFormat="1" x14ac:dyDescent="0.15"/>
    <row r="51545" s="69" customFormat="1" x14ac:dyDescent="0.15"/>
    <row r="51546" s="69" customFormat="1" x14ac:dyDescent="0.15"/>
    <row r="51547" s="69" customFormat="1" x14ac:dyDescent="0.15"/>
    <row r="51548" s="69" customFormat="1" x14ac:dyDescent="0.15"/>
    <row r="51549" s="69" customFormat="1" x14ac:dyDescent="0.15"/>
    <row r="51550" s="69" customFormat="1" x14ac:dyDescent="0.15"/>
    <row r="51551" s="69" customFormat="1" x14ac:dyDescent="0.15"/>
    <row r="51552" s="69" customFormat="1" x14ac:dyDescent="0.15"/>
    <row r="51553" s="69" customFormat="1" x14ac:dyDescent="0.15"/>
    <row r="51554" s="69" customFormat="1" x14ac:dyDescent="0.15"/>
    <row r="51555" s="69" customFormat="1" x14ac:dyDescent="0.15"/>
    <row r="51556" s="69" customFormat="1" x14ac:dyDescent="0.15"/>
    <row r="51557" s="69" customFormat="1" x14ac:dyDescent="0.15"/>
    <row r="51558" s="69" customFormat="1" x14ac:dyDescent="0.15"/>
    <row r="51559" s="69" customFormat="1" x14ac:dyDescent="0.15"/>
    <row r="51560" s="69" customFormat="1" x14ac:dyDescent="0.15"/>
    <row r="51561" s="69" customFormat="1" x14ac:dyDescent="0.15"/>
    <row r="51562" s="69" customFormat="1" x14ac:dyDescent="0.15"/>
    <row r="51563" s="69" customFormat="1" x14ac:dyDescent="0.15"/>
    <row r="51564" s="69" customFormat="1" x14ac:dyDescent="0.15"/>
    <row r="51565" s="69" customFormat="1" x14ac:dyDescent="0.15"/>
    <row r="51566" s="69" customFormat="1" x14ac:dyDescent="0.15"/>
    <row r="51567" s="69" customFormat="1" x14ac:dyDescent="0.15"/>
    <row r="51568" s="69" customFormat="1" x14ac:dyDescent="0.15"/>
    <row r="51569" s="69" customFormat="1" x14ac:dyDescent="0.15"/>
    <row r="51570" s="69" customFormat="1" x14ac:dyDescent="0.15"/>
    <row r="51571" s="69" customFormat="1" x14ac:dyDescent="0.15"/>
    <row r="51572" s="69" customFormat="1" x14ac:dyDescent="0.15"/>
    <row r="51573" s="69" customFormat="1" x14ac:dyDescent="0.15"/>
    <row r="51574" s="69" customFormat="1" x14ac:dyDescent="0.15"/>
    <row r="51575" s="69" customFormat="1" x14ac:dyDescent="0.15"/>
    <row r="51576" s="69" customFormat="1" x14ac:dyDescent="0.15"/>
    <row r="51577" s="69" customFormat="1" x14ac:dyDescent="0.15"/>
    <row r="51578" s="69" customFormat="1" x14ac:dyDescent="0.15"/>
    <row r="51579" s="69" customFormat="1" x14ac:dyDescent="0.15"/>
    <row r="51580" s="69" customFormat="1" x14ac:dyDescent="0.15"/>
    <row r="51581" s="69" customFormat="1" x14ac:dyDescent="0.15"/>
    <row r="51582" s="69" customFormat="1" x14ac:dyDescent="0.15"/>
    <row r="51583" s="69" customFormat="1" x14ac:dyDescent="0.15"/>
    <row r="51584" s="69" customFormat="1" x14ac:dyDescent="0.15"/>
    <row r="51585" s="69" customFormat="1" x14ac:dyDescent="0.15"/>
    <row r="51586" s="69" customFormat="1" x14ac:dyDescent="0.15"/>
    <row r="51587" s="69" customFormat="1" x14ac:dyDescent="0.15"/>
    <row r="51588" s="69" customFormat="1" x14ac:dyDescent="0.15"/>
    <row r="51589" s="69" customFormat="1" x14ac:dyDescent="0.15"/>
    <row r="51590" s="69" customFormat="1" x14ac:dyDescent="0.15"/>
    <row r="51591" s="69" customFormat="1" x14ac:dyDescent="0.15"/>
    <row r="51592" s="69" customFormat="1" x14ac:dyDescent="0.15"/>
    <row r="51593" s="69" customFormat="1" x14ac:dyDescent="0.15"/>
    <row r="51594" s="69" customFormat="1" x14ac:dyDescent="0.15"/>
    <row r="51595" s="69" customFormat="1" x14ac:dyDescent="0.15"/>
    <row r="51596" s="69" customFormat="1" x14ac:dyDescent="0.15"/>
    <row r="51597" s="69" customFormat="1" x14ac:dyDescent="0.15"/>
    <row r="51598" s="69" customFormat="1" x14ac:dyDescent="0.15"/>
    <row r="51599" s="69" customFormat="1" x14ac:dyDescent="0.15"/>
    <row r="51600" s="69" customFormat="1" x14ac:dyDescent="0.15"/>
    <row r="51601" s="69" customFormat="1" x14ac:dyDescent="0.15"/>
    <row r="51602" s="69" customFormat="1" x14ac:dyDescent="0.15"/>
    <row r="51603" s="69" customFormat="1" x14ac:dyDescent="0.15"/>
    <row r="51604" s="69" customFormat="1" x14ac:dyDescent="0.15"/>
    <row r="51605" s="69" customFormat="1" x14ac:dyDescent="0.15"/>
    <row r="51606" s="69" customFormat="1" x14ac:dyDescent="0.15"/>
    <row r="51607" s="69" customFormat="1" x14ac:dyDescent="0.15"/>
    <row r="51608" s="69" customFormat="1" x14ac:dyDescent="0.15"/>
    <row r="51609" s="69" customFormat="1" x14ac:dyDescent="0.15"/>
    <row r="51610" s="69" customFormat="1" x14ac:dyDescent="0.15"/>
    <row r="51611" s="69" customFormat="1" x14ac:dyDescent="0.15"/>
    <row r="51612" s="69" customFormat="1" x14ac:dyDescent="0.15"/>
    <row r="51613" s="69" customFormat="1" x14ac:dyDescent="0.15"/>
    <row r="51614" s="69" customFormat="1" x14ac:dyDescent="0.15"/>
    <row r="51615" s="69" customFormat="1" x14ac:dyDescent="0.15"/>
    <row r="51616" s="69" customFormat="1" x14ac:dyDescent="0.15"/>
    <row r="51617" s="69" customFormat="1" x14ac:dyDescent="0.15"/>
    <row r="51618" s="69" customFormat="1" x14ac:dyDescent="0.15"/>
    <row r="51619" s="69" customFormat="1" x14ac:dyDescent="0.15"/>
    <row r="51620" s="69" customFormat="1" x14ac:dyDescent="0.15"/>
    <row r="51621" s="69" customFormat="1" x14ac:dyDescent="0.15"/>
    <row r="51622" s="69" customFormat="1" x14ac:dyDescent="0.15"/>
    <row r="51623" s="69" customFormat="1" x14ac:dyDescent="0.15"/>
    <row r="51624" s="69" customFormat="1" x14ac:dyDescent="0.15"/>
    <row r="51625" s="69" customFormat="1" x14ac:dyDescent="0.15"/>
    <row r="51626" s="69" customFormat="1" x14ac:dyDescent="0.15"/>
    <row r="51627" s="69" customFormat="1" x14ac:dyDescent="0.15"/>
    <row r="51628" s="69" customFormat="1" x14ac:dyDescent="0.15"/>
    <row r="51629" s="69" customFormat="1" x14ac:dyDescent="0.15"/>
    <row r="51630" s="69" customFormat="1" x14ac:dyDescent="0.15"/>
    <row r="51631" s="69" customFormat="1" x14ac:dyDescent="0.15"/>
    <row r="51632" s="69" customFormat="1" x14ac:dyDescent="0.15"/>
    <row r="51633" s="69" customFormat="1" x14ac:dyDescent="0.15"/>
    <row r="51634" s="69" customFormat="1" x14ac:dyDescent="0.15"/>
    <row r="51635" s="69" customFormat="1" x14ac:dyDescent="0.15"/>
    <row r="51636" s="69" customFormat="1" x14ac:dyDescent="0.15"/>
    <row r="51637" s="69" customFormat="1" x14ac:dyDescent="0.15"/>
    <row r="51638" s="69" customFormat="1" x14ac:dyDescent="0.15"/>
    <row r="51639" s="69" customFormat="1" x14ac:dyDescent="0.15"/>
    <row r="51640" s="69" customFormat="1" x14ac:dyDescent="0.15"/>
    <row r="51641" s="69" customFormat="1" x14ac:dyDescent="0.15"/>
    <row r="51642" s="69" customFormat="1" x14ac:dyDescent="0.15"/>
    <row r="51643" s="69" customFormat="1" x14ac:dyDescent="0.15"/>
    <row r="51644" s="69" customFormat="1" x14ac:dyDescent="0.15"/>
    <row r="51645" s="69" customFormat="1" x14ac:dyDescent="0.15"/>
    <row r="51646" s="69" customFormat="1" x14ac:dyDescent="0.15"/>
    <row r="51647" s="69" customFormat="1" x14ac:dyDescent="0.15"/>
    <row r="51648" s="69" customFormat="1" x14ac:dyDescent="0.15"/>
    <row r="51649" s="69" customFormat="1" x14ac:dyDescent="0.15"/>
    <row r="51650" s="69" customFormat="1" x14ac:dyDescent="0.15"/>
    <row r="51651" s="69" customFormat="1" x14ac:dyDescent="0.15"/>
    <row r="51652" s="69" customFormat="1" x14ac:dyDescent="0.15"/>
    <row r="51653" s="69" customFormat="1" x14ac:dyDescent="0.15"/>
    <row r="51654" s="69" customFormat="1" x14ac:dyDescent="0.15"/>
    <row r="51655" s="69" customFormat="1" x14ac:dyDescent="0.15"/>
    <row r="51656" s="69" customFormat="1" x14ac:dyDescent="0.15"/>
    <row r="51657" s="69" customFormat="1" x14ac:dyDescent="0.15"/>
    <row r="51658" s="69" customFormat="1" x14ac:dyDescent="0.15"/>
    <row r="51659" s="69" customFormat="1" x14ac:dyDescent="0.15"/>
    <row r="51660" s="69" customFormat="1" x14ac:dyDescent="0.15"/>
    <row r="51661" s="69" customFormat="1" x14ac:dyDescent="0.15"/>
    <row r="51662" s="69" customFormat="1" x14ac:dyDescent="0.15"/>
    <row r="51663" s="69" customFormat="1" x14ac:dyDescent="0.15"/>
    <row r="51664" s="69" customFormat="1" x14ac:dyDescent="0.15"/>
    <row r="51665" s="69" customFormat="1" x14ac:dyDescent="0.15"/>
    <row r="51666" s="69" customFormat="1" x14ac:dyDescent="0.15"/>
    <row r="51667" s="69" customFormat="1" x14ac:dyDescent="0.15"/>
    <row r="51668" s="69" customFormat="1" x14ac:dyDescent="0.15"/>
    <row r="51669" s="69" customFormat="1" x14ac:dyDescent="0.15"/>
    <row r="51670" s="69" customFormat="1" x14ac:dyDescent="0.15"/>
    <row r="51671" s="69" customFormat="1" x14ac:dyDescent="0.15"/>
    <row r="51672" s="69" customFormat="1" x14ac:dyDescent="0.15"/>
    <row r="51673" s="69" customFormat="1" x14ac:dyDescent="0.15"/>
    <row r="51674" s="69" customFormat="1" x14ac:dyDescent="0.15"/>
    <row r="51675" s="69" customFormat="1" x14ac:dyDescent="0.15"/>
    <row r="51676" s="69" customFormat="1" x14ac:dyDescent="0.15"/>
    <row r="51677" s="69" customFormat="1" x14ac:dyDescent="0.15"/>
    <row r="51678" s="69" customFormat="1" x14ac:dyDescent="0.15"/>
    <row r="51679" s="69" customFormat="1" x14ac:dyDescent="0.15"/>
    <row r="51680" s="69" customFormat="1" x14ac:dyDescent="0.15"/>
    <row r="51681" s="69" customFormat="1" x14ac:dyDescent="0.15"/>
    <row r="51682" s="69" customFormat="1" x14ac:dyDescent="0.15"/>
    <row r="51683" s="69" customFormat="1" x14ac:dyDescent="0.15"/>
    <row r="51684" s="69" customFormat="1" x14ac:dyDescent="0.15"/>
    <row r="51685" s="69" customFormat="1" x14ac:dyDescent="0.15"/>
    <row r="51686" s="69" customFormat="1" x14ac:dyDescent="0.15"/>
    <row r="51687" s="69" customFormat="1" x14ac:dyDescent="0.15"/>
    <row r="51688" s="69" customFormat="1" x14ac:dyDescent="0.15"/>
    <row r="51689" s="69" customFormat="1" x14ac:dyDescent="0.15"/>
    <row r="51690" s="69" customFormat="1" x14ac:dyDescent="0.15"/>
    <row r="51691" s="69" customFormat="1" x14ac:dyDescent="0.15"/>
    <row r="51692" s="69" customFormat="1" x14ac:dyDescent="0.15"/>
    <row r="51693" s="69" customFormat="1" x14ac:dyDescent="0.15"/>
    <row r="51694" s="69" customFormat="1" x14ac:dyDescent="0.15"/>
    <row r="51695" s="69" customFormat="1" x14ac:dyDescent="0.15"/>
    <row r="51696" s="69" customFormat="1" x14ac:dyDescent="0.15"/>
    <row r="51697" s="69" customFormat="1" x14ac:dyDescent="0.15"/>
    <row r="51698" s="69" customFormat="1" x14ac:dyDescent="0.15"/>
    <row r="51699" s="69" customFormat="1" x14ac:dyDescent="0.15"/>
    <row r="51700" s="69" customFormat="1" x14ac:dyDescent="0.15"/>
    <row r="51701" s="69" customFormat="1" x14ac:dyDescent="0.15"/>
    <row r="51702" s="69" customFormat="1" x14ac:dyDescent="0.15"/>
    <row r="51703" s="69" customFormat="1" x14ac:dyDescent="0.15"/>
    <row r="51704" s="69" customFormat="1" x14ac:dyDescent="0.15"/>
    <row r="51705" s="69" customFormat="1" x14ac:dyDescent="0.15"/>
    <row r="51706" s="69" customFormat="1" x14ac:dyDescent="0.15"/>
    <row r="51707" s="69" customFormat="1" x14ac:dyDescent="0.15"/>
    <row r="51708" s="69" customFormat="1" x14ac:dyDescent="0.15"/>
    <row r="51709" s="69" customFormat="1" x14ac:dyDescent="0.15"/>
    <row r="51710" s="69" customFormat="1" x14ac:dyDescent="0.15"/>
    <row r="51711" s="69" customFormat="1" x14ac:dyDescent="0.15"/>
    <row r="51712" s="69" customFormat="1" x14ac:dyDescent="0.15"/>
    <row r="51713" s="69" customFormat="1" x14ac:dyDescent="0.15"/>
    <row r="51714" s="69" customFormat="1" x14ac:dyDescent="0.15"/>
    <row r="51715" s="69" customFormat="1" x14ac:dyDescent="0.15"/>
    <row r="51716" s="69" customFormat="1" x14ac:dyDescent="0.15"/>
    <row r="51717" s="69" customFormat="1" x14ac:dyDescent="0.15"/>
    <row r="51718" s="69" customFormat="1" x14ac:dyDescent="0.15"/>
    <row r="51719" s="69" customFormat="1" x14ac:dyDescent="0.15"/>
    <row r="51720" s="69" customFormat="1" x14ac:dyDescent="0.15"/>
    <row r="51721" s="69" customFormat="1" x14ac:dyDescent="0.15"/>
    <row r="51722" s="69" customFormat="1" x14ac:dyDescent="0.15"/>
    <row r="51723" s="69" customFormat="1" x14ac:dyDescent="0.15"/>
    <row r="51724" s="69" customFormat="1" x14ac:dyDescent="0.15"/>
    <row r="51725" s="69" customFormat="1" x14ac:dyDescent="0.15"/>
    <row r="51726" s="69" customFormat="1" x14ac:dyDescent="0.15"/>
    <row r="51727" s="69" customFormat="1" x14ac:dyDescent="0.15"/>
    <row r="51728" s="69" customFormat="1" x14ac:dyDescent="0.15"/>
    <row r="51729" s="69" customFormat="1" x14ac:dyDescent="0.15"/>
    <row r="51730" s="69" customFormat="1" x14ac:dyDescent="0.15"/>
    <row r="51731" s="69" customFormat="1" x14ac:dyDescent="0.15"/>
    <row r="51732" s="69" customFormat="1" x14ac:dyDescent="0.15"/>
    <row r="51733" s="69" customFormat="1" x14ac:dyDescent="0.15"/>
    <row r="51734" s="69" customFormat="1" x14ac:dyDescent="0.15"/>
    <row r="51735" s="69" customFormat="1" x14ac:dyDescent="0.15"/>
    <row r="51736" s="69" customFormat="1" x14ac:dyDescent="0.15"/>
    <row r="51737" s="69" customFormat="1" x14ac:dyDescent="0.15"/>
    <row r="51738" s="69" customFormat="1" x14ac:dyDescent="0.15"/>
    <row r="51739" s="69" customFormat="1" x14ac:dyDescent="0.15"/>
    <row r="51740" s="69" customFormat="1" x14ac:dyDescent="0.15"/>
    <row r="51741" s="69" customFormat="1" x14ac:dyDescent="0.15"/>
    <row r="51742" s="69" customFormat="1" x14ac:dyDescent="0.15"/>
    <row r="51743" s="69" customFormat="1" x14ac:dyDescent="0.15"/>
    <row r="51744" s="69" customFormat="1" x14ac:dyDescent="0.15"/>
    <row r="51745" s="69" customFormat="1" x14ac:dyDescent="0.15"/>
    <row r="51746" s="69" customFormat="1" x14ac:dyDescent="0.15"/>
    <row r="51747" s="69" customFormat="1" x14ac:dyDescent="0.15"/>
    <row r="51748" s="69" customFormat="1" x14ac:dyDescent="0.15"/>
    <row r="51749" s="69" customFormat="1" x14ac:dyDescent="0.15"/>
    <row r="51750" s="69" customFormat="1" x14ac:dyDescent="0.15"/>
    <row r="51751" s="69" customFormat="1" x14ac:dyDescent="0.15"/>
    <row r="51752" s="69" customFormat="1" x14ac:dyDescent="0.15"/>
    <row r="51753" s="69" customFormat="1" x14ac:dyDescent="0.15"/>
    <row r="51754" s="69" customFormat="1" x14ac:dyDescent="0.15"/>
    <row r="51755" s="69" customFormat="1" x14ac:dyDescent="0.15"/>
    <row r="51756" s="69" customFormat="1" x14ac:dyDescent="0.15"/>
    <row r="51757" s="69" customFormat="1" x14ac:dyDescent="0.15"/>
    <row r="51758" s="69" customFormat="1" x14ac:dyDescent="0.15"/>
    <row r="51759" s="69" customFormat="1" x14ac:dyDescent="0.15"/>
    <row r="51760" s="69" customFormat="1" x14ac:dyDescent="0.15"/>
    <row r="51761" s="69" customFormat="1" x14ac:dyDescent="0.15"/>
    <row r="51762" s="69" customFormat="1" x14ac:dyDescent="0.15"/>
    <row r="51763" s="69" customFormat="1" x14ac:dyDescent="0.15"/>
    <row r="51764" s="69" customFormat="1" x14ac:dyDescent="0.15"/>
    <row r="51765" s="69" customFormat="1" x14ac:dyDescent="0.15"/>
    <row r="51766" s="69" customFormat="1" x14ac:dyDescent="0.15"/>
    <row r="51767" s="69" customFormat="1" x14ac:dyDescent="0.15"/>
    <row r="51768" s="69" customFormat="1" x14ac:dyDescent="0.15"/>
    <row r="51769" s="69" customFormat="1" x14ac:dyDescent="0.15"/>
    <row r="51770" s="69" customFormat="1" x14ac:dyDescent="0.15"/>
    <row r="51771" s="69" customFormat="1" x14ac:dyDescent="0.15"/>
    <row r="51772" s="69" customFormat="1" x14ac:dyDescent="0.15"/>
    <row r="51773" s="69" customFormat="1" x14ac:dyDescent="0.15"/>
    <row r="51774" s="69" customFormat="1" x14ac:dyDescent="0.15"/>
    <row r="51775" s="69" customFormat="1" x14ac:dyDescent="0.15"/>
    <row r="51776" s="69" customFormat="1" x14ac:dyDescent="0.15"/>
    <row r="51777" s="69" customFormat="1" x14ac:dyDescent="0.15"/>
    <row r="51778" s="69" customFormat="1" x14ac:dyDescent="0.15"/>
    <row r="51779" s="69" customFormat="1" x14ac:dyDescent="0.15"/>
    <row r="51780" s="69" customFormat="1" x14ac:dyDescent="0.15"/>
    <row r="51781" s="69" customFormat="1" x14ac:dyDescent="0.15"/>
    <row r="51782" s="69" customFormat="1" x14ac:dyDescent="0.15"/>
    <row r="51783" s="69" customFormat="1" x14ac:dyDescent="0.15"/>
    <row r="51784" s="69" customFormat="1" x14ac:dyDescent="0.15"/>
    <row r="51785" s="69" customFormat="1" x14ac:dyDescent="0.15"/>
    <row r="51786" s="69" customFormat="1" x14ac:dyDescent="0.15"/>
    <row r="51787" s="69" customFormat="1" x14ac:dyDescent="0.15"/>
    <row r="51788" s="69" customFormat="1" x14ac:dyDescent="0.15"/>
    <row r="51789" s="69" customFormat="1" x14ac:dyDescent="0.15"/>
    <row r="51790" s="69" customFormat="1" x14ac:dyDescent="0.15"/>
    <row r="51791" s="69" customFormat="1" x14ac:dyDescent="0.15"/>
    <row r="51792" s="69" customFormat="1" x14ac:dyDescent="0.15"/>
    <row r="51793" s="69" customFormat="1" x14ac:dyDescent="0.15"/>
    <row r="51794" s="69" customFormat="1" x14ac:dyDescent="0.15"/>
    <row r="51795" s="69" customFormat="1" x14ac:dyDescent="0.15"/>
    <row r="51796" s="69" customFormat="1" x14ac:dyDescent="0.15"/>
    <row r="51797" s="69" customFormat="1" x14ac:dyDescent="0.15"/>
    <row r="51798" s="69" customFormat="1" x14ac:dyDescent="0.15"/>
    <row r="51799" s="69" customFormat="1" x14ac:dyDescent="0.15"/>
    <row r="51800" s="69" customFormat="1" x14ac:dyDescent="0.15"/>
    <row r="51801" s="69" customFormat="1" x14ac:dyDescent="0.15"/>
    <row r="51802" s="69" customFormat="1" x14ac:dyDescent="0.15"/>
    <row r="51803" s="69" customFormat="1" x14ac:dyDescent="0.15"/>
    <row r="51804" s="69" customFormat="1" x14ac:dyDescent="0.15"/>
    <row r="51805" s="69" customFormat="1" x14ac:dyDescent="0.15"/>
    <row r="51806" s="69" customFormat="1" x14ac:dyDescent="0.15"/>
    <row r="51807" s="69" customFormat="1" x14ac:dyDescent="0.15"/>
    <row r="51808" s="69" customFormat="1" x14ac:dyDescent="0.15"/>
    <row r="51809" s="69" customFormat="1" x14ac:dyDescent="0.15"/>
    <row r="51810" s="69" customFormat="1" x14ac:dyDescent="0.15"/>
    <row r="51811" s="69" customFormat="1" x14ac:dyDescent="0.15"/>
    <row r="51812" s="69" customFormat="1" x14ac:dyDescent="0.15"/>
    <row r="51813" s="69" customFormat="1" x14ac:dyDescent="0.15"/>
    <row r="51814" s="69" customFormat="1" x14ac:dyDescent="0.15"/>
    <row r="51815" s="69" customFormat="1" x14ac:dyDescent="0.15"/>
    <row r="51816" s="69" customFormat="1" x14ac:dyDescent="0.15"/>
    <row r="51817" s="69" customFormat="1" x14ac:dyDescent="0.15"/>
    <row r="51818" s="69" customFormat="1" x14ac:dyDescent="0.15"/>
    <row r="51819" s="69" customFormat="1" x14ac:dyDescent="0.15"/>
    <row r="51820" s="69" customFormat="1" x14ac:dyDescent="0.15"/>
    <row r="51821" s="69" customFormat="1" x14ac:dyDescent="0.15"/>
    <row r="51822" s="69" customFormat="1" x14ac:dyDescent="0.15"/>
    <row r="51823" s="69" customFormat="1" x14ac:dyDescent="0.15"/>
    <row r="51824" s="69" customFormat="1" x14ac:dyDescent="0.15"/>
    <row r="51825" s="69" customFormat="1" x14ac:dyDescent="0.15"/>
    <row r="51826" s="69" customFormat="1" x14ac:dyDescent="0.15"/>
    <row r="51827" s="69" customFormat="1" x14ac:dyDescent="0.15"/>
    <row r="51828" s="69" customFormat="1" x14ac:dyDescent="0.15"/>
    <row r="51829" s="69" customFormat="1" x14ac:dyDescent="0.15"/>
    <row r="51830" s="69" customFormat="1" x14ac:dyDescent="0.15"/>
    <row r="51831" s="69" customFormat="1" x14ac:dyDescent="0.15"/>
    <row r="51832" s="69" customFormat="1" x14ac:dyDescent="0.15"/>
    <row r="51833" s="69" customFormat="1" x14ac:dyDescent="0.15"/>
    <row r="51834" s="69" customFormat="1" x14ac:dyDescent="0.15"/>
    <row r="51835" s="69" customFormat="1" x14ac:dyDescent="0.15"/>
    <row r="51836" s="69" customFormat="1" x14ac:dyDescent="0.15"/>
    <row r="51837" s="69" customFormat="1" x14ac:dyDescent="0.15"/>
    <row r="51838" s="69" customFormat="1" x14ac:dyDescent="0.15"/>
    <row r="51839" s="69" customFormat="1" x14ac:dyDescent="0.15"/>
    <row r="51840" s="69" customFormat="1" x14ac:dyDescent="0.15"/>
    <row r="51841" s="69" customFormat="1" x14ac:dyDescent="0.15"/>
    <row r="51842" s="69" customFormat="1" x14ac:dyDescent="0.15"/>
    <row r="51843" s="69" customFormat="1" x14ac:dyDescent="0.15"/>
    <row r="51844" s="69" customFormat="1" x14ac:dyDescent="0.15"/>
    <row r="51845" s="69" customFormat="1" x14ac:dyDescent="0.15"/>
    <row r="51846" s="69" customFormat="1" x14ac:dyDescent="0.15"/>
    <row r="51847" s="69" customFormat="1" x14ac:dyDescent="0.15"/>
    <row r="51848" s="69" customFormat="1" x14ac:dyDescent="0.15"/>
    <row r="51849" s="69" customFormat="1" x14ac:dyDescent="0.15"/>
    <row r="51850" s="69" customFormat="1" x14ac:dyDescent="0.15"/>
    <row r="51851" s="69" customFormat="1" x14ac:dyDescent="0.15"/>
    <row r="51852" s="69" customFormat="1" x14ac:dyDescent="0.15"/>
    <row r="51853" s="69" customFormat="1" x14ac:dyDescent="0.15"/>
    <row r="51854" s="69" customFormat="1" x14ac:dyDescent="0.15"/>
    <row r="51855" s="69" customFormat="1" x14ac:dyDescent="0.15"/>
    <row r="51856" s="69" customFormat="1" x14ac:dyDescent="0.15"/>
    <row r="51857" s="69" customFormat="1" x14ac:dyDescent="0.15"/>
    <row r="51858" s="69" customFormat="1" x14ac:dyDescent="0.15"/>
    <row r="51859" s="69" customFormat="1" x14ac:dyDescent="0.15"/>
    <row r="51860" s="69" customFormat="1" x14ac:dyDescent="0.15"/>
    <row r="51861" s="69" customFormat="1" x14ac:dyDescent="0.15"/>
    <row r="51862" s="69" customFormat="1" x14ac:dyDescent="0.15"/>
    <row r="51863" s="69" customFormat="1" x14ac:dyDescent="0.15"/>
    <row r="51864" s="69" customFormat="1" x14ac:dyDescent="0.15"/>
    <row r="51865" s="69" customFormat="1" x14ac:dyDescent="0.15"/>
    <row r="51866" s="69" customFormat="1" x14ac:dyDescent="0.15"/>
    <row r="51867" s="69" customFormat="1" x14ac:dyDescent="0.15"/>
    <row r="51868" s="69" customFormat="1" x14ac:dyDescent="0.15"/>
    <row r="51869" s="69" customFormat="1" x14ac:dyDescent="0.15"/>
    <row r="51870" s="69" customFormat="1" x14ac:dyDescent="0.15"/>
    <row r="51871" s="69" customFormat="1" x14ac:dyDescent="0.15"/>
    <row r="51872" s="69" customFormat="1" x14ac:dyDescent="0.15"/>
    <row r="51873" s="69" customFormat="1" x14ac:dyDescent="0.15"/>
    <row r="51874" s="69" customFormat="1" x14ac:dyDescent="0.15"/>
    <row r="51875" s="69" customFormat="1" x14ac:dyDescent="0.15"/>
    <row r="51876" s="69" customFormat="1" x14ac:dyDescent="0.15"/>
    <row r="51877" s="69" customFormat="1" x14ac:dyDescent="0.15"/>
    <row r="51878" s="69" customFormat="1" x14ac:dyDescent="0.15"/>
    <row r="51879" s="69" customFormat="1" x14ac:dyDescent="0.15"/>
    <row r="51880" s="69" customFormat="1" x14ac:dyDescent="0.15"/>
    <row r="51881" s="69" customFormat="1" x14ac:dyDescent="0.15"/>
    <row r="51882" s="69" customFormat="1" x14ac:dyDescent="0.15"/>
    <row r="51883" s="69" customFormat="1" x14ac:dyDescent="0.15"/>
    <row r="51884" s="69" customFormat="1" x14ac:dyDescent="0.15"/>
    <row r="51885" s="69" customFormat="1" x14ac:dyDescent="0.15"/>
    <row r="51886" s="69" customFormat="1" x14ac:dyDescent="0.15"/>
    <row r="51887" s="69" customFormat="1" x14ac:dyDescent="0.15"/>
    <row r="51888" s="69" customFormat="1" x14ac:dyDescent="0.15"/>
    <row r="51889" s="69" customFormat="1" x14ac:dyDescent="0.15"/>
    <row r="51890" s="69" customFormat="1" x14ac:dyDescent="0.15"/>
    <row r="51891" s="69" customFormat="1" x14ac:dyDescent="0.15"/>
    <row r="51892" s="69" customFormat="1" x14ac:dyDescent="0.15"/>
    <row r="51893" s="69" customFormat="1" x14ac:dyDescent="0.15"/>
    <row r="51894" s="69" customFormat="1" x14ac:dyDescent="0.15"/>
    <row r="51895" s="69" customFormat="1" x14ac:dyDescent="0.15"/>
    <row r="51896" s="69" customFormat="1" x14ac:dyDescent="0.15"/>
    <row r="51897" s="69" customFormat="1" x14ac:dyDescent="0.15"/>
    <row r="51898" s="69" customFormat="1" x14ac:dyDescent="0.15"/>
    <row r="51899" s="69" customFormat="1" x14ac:dyDescent="0.15"/>
    <row r="51900" s="69" customFormat="1" x14ac:dyDescent="0.15"/>
    <row r="51901" s="69" customFormat="1" x14ac:dyDescent="0.15"/>
    <row r="51902" s="69" customFormat="1" x14ac:dyDescent="0.15"/>
    <row r="51903" s="69" customFormat="1" x14ac:dyDescent="0.15"/>
    <row r="51904" s="69" customFormat="1" x14ac:dyDescent="0.15"/>
    <row r="51905" s="69" customFormat="1" x14ac:dyDescent="0.15"/>
    <row r="51906" s="69" customFormat="1" x14ac:dyDescent="0.15"/>
    <row r="51907" s="69" customFormat="1" x14ac:dyDescent="0.15"/>
    <row r="51908" s="69" customFormat="1" x14ac:dyDescent="0.15"/>
    <row r="51909" s="69" customFormat="1" x14ac:dyDescent="0.15"/>
    <row r="51910" s="69" customFormat="1" x14ac:dyDescent="0.15"/>
    <row r="51911" s="69" customFormat="1" x14ac:dyDescent="0.15"/>
    <row r="51912" s="69" customFormat="1" x14ac:dyDescent="0.15"/>
    <row r="51913" s="69" customFormat="1" x14ac:dyDescent="0.15"/>
    <row r="51914" s="69" customFormat="1" x14ac:dyDescent="0.15"/>
    <row r="51915" s="69" customFormat="1" x14ac:dyDescent="0.15"/>
    <row r="51916" s="69" customFormat="1" x14ac:dyDescent="0.15"/>
    <row r="51917" s="69" customFormat="1" x14ac:dyDescent="0.15"/>
    <row r="51918" s="69" customFormat="1" x14ac:dyDescent="0.15"/>
    <row r="51919" s="69" customFormat="1" x14ac:dyDescent="0.15"/>
    <row r="51920" s="69" customFormat="1" x14ac:dyDescent="0.15"/>
    <row r="51921" s="69" customFormat="1" x14ac:dyDescent="0.15"/>
    <row r="51922" s="69" customFormat="1" x14ac:dyDescent="0.15"/>
    <row r="51923" s="69" customFormat="1" x14ac:dyDescent="0.15"/>
    <row r="51924" s="69" customFormat="1" x14ac:dyDescent="0.15"/>
    <row r="51925" s="69" customFormat="1" x14ac:dyDescent="0.15"/>
    <row r="51926" s="69" customFormat="1" x14ac:dyDescent="0.15"/>
    <row r="51927" s="69" customFormat="1" x14ac:dyDescent="0.15"/>
    <row r="51928" s="69" customFormat="1" x14ac:dyDescent="0.15"/>
    <row r="51929" s="69" customFormat="1" x14ac:dyDescent="0.15"/>
    <row r="51930" s="69" customFormat="1" x14ac:dyDescent="0.15"/>
    <row r="51931" s="69" customFormat="1" x14ac:dyDescent="0.15"/>
    <row r="51932" s="69" customFormat="1" x14ac:dyDescent="0.15"/>
    <row r="51933" s="69" customFormat="1" x14ac:dyDescent="0.15"/>
    <row r="51934" s="69" customFormat="1" x14ac:dyDescent="0.15"/>
    <row r="51935" s="69" customFormat="1" x14ac:dyDescent="0.15"/>
    <row r="51936" s="69" customFormat="1" x14ac:dyDescent="0.15"/>
    <row r="51937" s="69" customFormat="1" x14ac:dyDescent="0.15"/>
    <row r="51938" s="69" customFormat="1" x14ac:dyDescent="0.15"/>
    <row r="51939" s="69" customFormat="1" x14ac:dyDescent="0.15"/>
    <row r="51940" s="69" customFormat="1" x14ac:dyDescent="0.15"/>
    <row r="51941" s="69" customFormat="1" x14ac:dyDescent="0.15"/>
    <row r="51942" s="69" customFormat="1" x14ac:dyDescent="0.15"/>
    <row r="51943" s="69" customFormat="1" x14ac:dyDescent="0.15"/>
    <row r="51944" s="69" customFormat="1" x14ac:dyDescent="0.15"/>
    <row r="51945" s="69" customFormat="1" x14ac:dyDescent="0.15"/>
    <row r="51946" s="69" customFormat="1" x14ac:dyDescent="0.15"/>
    <row r="51947" s="69" customFormat="1" x14ac:dyDescent="0.15"/>
    <row r="51948" s="69" customFormat="1" x14ac:dyDescent="0.15"/>
    <row r="51949" s="69" customFormat="1" x14ac:dyDescent="0.15"/>
    <row r="51950" s="69" customFormat="1" x14ac:dyDescent="0.15"/>
    <row r="51951" s="69" customFormat="1" x14ac:dyDescent="0.15"/>
    <row r="51952" s="69" customFormat="1" x14ac:dyDescent="0.15"/>
    <row r="51953" s="69" customFormat="1" x14ac:dyDescent="0.15"/>
    <row r="51954" s="69" customFormat="1" x14ac:dyDescent="0.15"/>
    <row r="51955" s="69" customFormat="1" x14ac:dyDescent="0.15"/>
    <row r="51956" s="69" customFormat="1" x14ac:dyDescent="0.15"/>
    <row r="51957" s="69" customFormat="1" x14ac:dyDescent="0.15"/>
    <row r="51958" s="69" customFormat="1" x14ac:dyDescent="0.15"/>
    <row r="51959" s="69" customFormat="1" x14ac:dyDescent="0.15"/>
    <row r="51960" s="69" customFormat="1" x14ac:dyDescent="0.15"/>
    <row r="51961" s="69" customFormat="1" x14ac:dyDescent="0.15"/>
    <row r="51962" s="69" customFormat="1" x14ac:dyDescent="0.15"/>
    <row r="51963" s="69" customFormat="1" x14ac:dyDescent="0.15"/>
    <row r="51964" s="69" customFormat="1" x14ac:dyDescent="0.15"/>
    <row r="51965" s="69" customFormat="1" x14ac:dyDescent="0.15"/>
    <row r="51966" s="69" customFormat="1" x14ac:dyDescent="0.15"/>
    <row r="51967" s="69" customFormat="1" x14ac:dyDescent="0.15"/>
    <row r="51968" s="69" customFormat="1" x14ac:dyDescent="0.15"/>
    <row r="51969" s="69" customFormat="1" x14ac:dyDescent="0.15"/>
    <row r="51970" s="69" customFormat="1" x14ac:dyDescent="0.15"/>
    <row r="51971" s="69" customFormat="1" x14ac:dyDescent="0.15"/>
    <row r="51972" s="69" customFormat="1" x14ac:dyDescent="0.15"/>
    <row r="51973" s="69" customFormat="1" x14ac:dyDescent="0.15"/>
    <row r="51974" s="69" customFormat="1" x14ac:dyDescent="0.15"/>
    <row r="51975" s="69" customFormat="1" x14ac:dyDescent="0.15"/>
    <row r="51976" s="69" customFormat="1" x14ac:dyDescent="0.15"/>
    <row r="51977" s="69" customFormat="1" x14ac:dyDescent="0.15"/>
    <row r="51978" s="69" customFormat="1" x14ac:dyDescent="0.15"/>
    <row r="51979" s="69" customFormat="1" x14ac:dyDescent="0.15"/>
    <row r="51980" s="69" customFormat="1" x14ac:dyDescent="0.15"/>
    <row r="51981" s="69" customFormat="1" x14ac:dyDescent="0.15"/>
    <row r="51982" s="69" customFormat="1" x14ac:dyDescent="0.15"/>
    <row r="51983" s="69" customFormat="1" x14ac:dyDescent="0.15"/>
    <row r="51984" s="69" customFormat="1" x14ac:dyDescent="0.15"/>
    <row r="51985" s="69" customFormat="1" x14ac:dyDescent="0.15"/>
    <row r="51986" s="69" customFormat="1" x14ac:dyDescent="0.15"/>
    <row r="51987" s="69" customFormat="1" x14ac:dyDescent="0.15"/>
    <row r="51988" s="69" customFormat="1" x14ac:dyDescent="0.15"/>
    <row r="51989" s="69" customFormat="1" x14ac:dyDescent="0.15"/>
    <row r="51990" s="69" customFormat="1" x14ac:dyDescent="0.15"/>
    <row r="51991" s="69" customFormat="1" x14ac:dyDescent="0.15"/>
    <row r="51992" s="69" customFormat="1" x14ac:dyDescent="0.15"/>
    <row r="51993" s="69" customFormat="1" x14ac:dyDescent="0.15"/>
    <row r="51994" s="69" customFormat="1" x14ac:dyDescent="0.15"/>
    <row r="51995" s="69" customFormat="1" x14ac:dyDescent="0.15"/>
    <row r="51996" s="69" customFormat="1" x14ac:dyDescent="0.15"/>
    <row r="51997" s="69" customFormat="1" x14ac:dyDescent="0.15"/>
    <row r="51998" s="69" customFormat="1" x14ac:dyDescent="0.15"/>
    <row r="51999" s="69" customFormat="1" x14ac:dyDescent="0.15"/>
    <row r="52000" s="69" customFormat="1" x14ac:dyDescent="0.15"/>
    <row r="52001" s="69" customFormat="1" x14ac:dyDescent="0.15"/>
    <row r="52002" s="69" customFormat="1" x14ac:dyDescent="0.15"/>
    <row r="52003" s="69" customFormat="1" x14ac:dyDescent="0.15"/>
    <row r="52004" s="69" customFormat="1" x14ac:dyDescent="0.15"/>
    <row r="52005" s="69" customFormat="1" x14ac:dyDescent="0.15"/>
    <row r="52006" s="69" customFormat="1" x14ac:dyDescent="0.15"/>
    <row r="52007" s="69" customFormat="1" x14ac:dyDescent="0.15"/>
    <row r="52008" s="69" customFormat="1" x14ac:dyDescent="0.15"/>
    <row r="52009" s="69" customFormat="1" x14ac:dyDescent="0.15"/>
    <row r="52010" s="69" customFormat="1" x14ac:dyDescent="0.15"/>
    <row r="52011" s="69" customFormat="1" x14ac:dyDescent="0.15"/>
    <row r="52012" s="69" customFormat="1" x14ac:dyDescent="0.15"/>
    <row r="52013" s="69" customFormat="1" x14ac:dyDescent="0.15"/>
    <row r="52014" s="69" customFormat="1" x14ac:dyDescent="0.15"/>
    <row r="52015" s="69" customFormat="1" x14ac:dyDescent="0.15"/>
    <row r="52016" s="69" customFormat="1" x14ac:dyDescent="0.15"/>
    <row r="52017" s="69" customFormat="1" x14ac:dyDescent="0.15"/>
    <row r="52018" s="69" customFormat="1" x14ac:dyDescent="0.15"/>
    <row r="52019" s="69" customFormat="1" x14ac:dyDescent="0.15"/>
    <row r="52020" s="69" customFormat="1" x14ac:dyDescent="0.15"/>
    <row r="52021" s="69" customFormat="1" x14ac:dyDescent="0.15"/>
    <row r="52022" s="69" customFormat="1" x14ac:dyDescent="0.15"/>
    <row r="52023" s="69" customFormat="1" x14ac:dyDescent="0.15"/>
    <row r="52024" s="69" customFormat="1" x14ac:dyDescent="0.15"/>
    <row r="52025" s="69" customFormat="1" x14ac:dyDescent="0.15"/>
    <row r="52026" s="69" customFormat="1" x14ac:dyDescent="0.15"/>
    <row r="52027" s="69" customFormat="1" x14ac:dyDescent="0.15"/>
    <row r="52028" s="69" customFormat="1" x14ac:dyDescent="0.15"/>
    <row r="52029" s="69" customFormat="1" x14ac:dyDescent="0.15"/>
    <row r="52030" s="69" customFormat="1" x14ac:dyDescent="0.15"/>
    <row r="52031" s="69" customFormat="1" x14ac:dyDescent="0.15"/>
    <row r="52032" s="69" customFormat="1" x14ac:dyDescent="0.15"/>
    <row r="52033" s="69" customFormat="1" x14ac:dyDescent="0.15"/>
    <row r="52034" s="69" customFormat="1" x14ac:dyDescent="0.15"/>
    <row r="52035" s="69" customFormat="1" x14ac:dyDescent="0.15"/>
    <row r="52036" s="69" customFormat="1" x14ac:dyDescent="0.15"/>
    <row r="52037" s="69" customFormat="1" x14ac:dyDescent="0.15"/>
    <row r="52038" s="69" customFormat="1" x14ac:dyDescent="0.15"/>
    <row r="52039" s="69" customFormat="1" x14ac:dyDescent="0.15"/>
    <row r="52040" s="69" customFormat="1" x14ac:dyDescent="0.15"/>
    <row r="52041" s="69" customFormat="1" x14ac:dyDescent="0.15"/>
    <row r="52042" s="69" customFormat="1" x14ac:dyDescent="0.15"/>
    <row r="52043" s="69" customFormat="1" x14ac:dyDescent="0.15"/>
    <row r="52044" s="69" customFormat="1" x14ac:dyDescent="0.15"/>
    <row r="52045" s="69" customFormat="1" x14ac:dyDescent="0.15"/>
    <row r="52046" s="69" customFormat="1" x14ac:dyDescent="0.15"/>
    <row r="52047" s="69" customFormat="1" x14ac:dyDescent="0.15"/>
    <row r="52048" s="69" customFormat="1" x14ac:dyDescent="0.15"/>
    <row r="52049" s="69" customFormat="1" x14ac:dyDescent="0.15"/>
    <row r="52050" s="69" customFormat="1" x14ac:dyDescent="0.15"/>
    <row r="52051" s="69" customFormat="1" x14ac:dyDescent="0.15"/>
    <row r="52052" s="69" customFormat="1" x14ac:dyDescent="0.15"/>
    <row r="52053" s="69" customFormat="1" x14ac:dyDescent="0.15"/>
    <row r="52054" s="69" customFormat="1" x14ac:dyDescent="0.15"/>
    <row r="52055" s="69" customFormat="1" x14ac:dyDescent="0.15"/>
    <row r="52056" s="69" customFormat="1" x14ac:dyDescent="0.15"/>
    <row r="52057" s="69" customFormat="1" x14ac:dyDescent="0.15"/>
    <row r="52058" s="69" customFormat="1" x14ac:dyDescent="0.15"/>
    <row r="52059" s="69" customFormat="1" x14ac:dyDescent="0.15"/>
    <row r="52060" s="69" customFormat="1" x14ac:dyDescent="0.15"/>
    <row r="52061" s="69" customFormat="1" x14ac:dyDescent="0.15"/>
    <row r="52062" s="69" customFormat="1" x14ac:dyDescent="0.15"/>
    <row r="52063" s="69" customFormat="1" x14ac:dyDescent="0.15"/>
    <row r="52064" s="69" customFormat="1" x14ac:dyDescent="0.15"/>
    <row r="52065" s="69" customFormat="1" x14ac:dyDescent="0.15"/>
    <row r="52066" s="69" customFormat="1" x14ac:dyDescent="0.15"/>
    <row r="52067" s="69" customFormat="1" x14ac:dyDescent="0.15"/>
    <row r="52068" s="69" customFormat="1" x14ac:dyDescent="0.15"/>
    <row r="52069" s="69" customFormat="1" x14ac:dyDescent="0.15"/>
    <row r="52070" s="69" customFormat="1" x14ac:dyDescent="0.15"/>
    <row r="52071" s="69" customFormat="1" x14ac:dyDescent="0.15"/>
    <row r="52072" s="69" customFormat="1" x14ac:dyDescent="0.15"/>
    <row r="52073" s="69" customFormat="1" x14ac:dyDescent="0.15"/>
    <row r="52074" s="69" customFormat="1" x14ac:dyDescent="0.15"/>
    <row r="52075" s="69" customFormat="1" x14ac:dyDescent="0.15"/>
    <row r="52076" s="69" customFormat="1" x14ac:dyDescent="0.15"/>
    <row r="52077" s="69" customFormat="1" x14ac:dyDescent="0.15"/>
    <row r="52078" s="69" customFormat="1" x14ac:dyDescent="0.15"/>
    <row r="52079" s="69" customFormat="1" x14ac:dyDescent="0.15"/>
    <row r="52080" s="69" customFormat="1" x14ac:dyDescent="0.15"/>
    <row r="52081" s="69" customFormat="1" x14ac:dyDescent="0.15"/>
    <row r="52082" s="69" customFormat="1" x14ac:dyDescent="0.15"/>
    <row r="52083" s="69" customFormat="1" x14ac:dyDescent="0.15"/>
    <row r="52084" s="69" customFormat="1" x14ac:dyDescent="0.15"/>
    <row r="52085" s="69" customFormat="1" x14ac:dyDescent="0.15"/>
    <row r="52086" s="69" customFormat="1" x14ac:dyDescent="0.15"/>
    <row r="52087" s="69" customFormat="1" x14ac:dyDescent="0.15"/>
    <row r="52088" s="69" customFormat="1" x14ac:dyDescent="0.15"/>
    <row r="52089" s="69" customFormat="1" x14ac:dyDescent="0.15"/>
    <row r="52090" s="69" customFormat="1" x14ac:dyDescent="0.15"/>
    <row r="52091" s="69" customFormat="1" x14ac:dyDescent="0.15"/>
    <row r="52092" s="69" customFormat="1" x14ac:dyDescent="0.15"/>
    <row r="52093" s="69" customFormat="1" x14ac:dyDescent="0.15"/>
    <row r="52094" s="69" customFormat="1" x14ac:dyDescent="0.15"/>
    <row r="52095" s="69" customFormat="1" x14ac:dyDescent="0.15"/>
    <row r="52096" s="69" customFormat="1" x14ac:dyDescent="0.15"/>
    <row r="52097" s="69" customFormat="1" x14ac:dyDescent="0.15"/>
    <row r="52098" s="69" customFormat="1" x14ac:dyDescent="0.15"/>
    <row r="52099" s="69" customFormat="1" x14ac:dyDescent="0.15"/>
    <row r="52100" s="69" customFormat="1" x14ac:dyDescent="0.15"/>
    <row r="52101" s="69" customFormat="1" x14ac:dyDescent="0.15"/>
    <row r="52102" s="69" customFormat="1" x14ac:dyDescent="0.15"/>
    <row r="52103" s="69" customFormat="1" x14ac:dyDescent="0.15"/>
    <row r="52104" s="69" customFormat="1" x14ac:dyDescent="0.15"/>
    <row r="52105" s="69" customFormat="1" x14ac:dyDescent="0.15"/>
    <row r="52106" s="69" customFormat="1" x14ac:dyDescent="0.15"/>
    <row r="52107" s="69" customFormat="1" x14ac:dyDescent="0.15"/>
    <row r="52108" s="69" customFormat="1" x14ac:dyDescent="0.15"/>
    <row r="52109" s="69" customFormat="1" x14ac:dyDescent="0.15"/>
    <row r="52110" s="69" customFormat="1" x14ac:dyDescent="0.15"/>
    <row r="52111" s="69" customFormat="1" x14ac:dyDescent="0.15"/>
    <row r="52112" s="69" customFormat="1" x14ac:dyDescent="0.15"/>
    <row r="52113" s="69" customFormat="1" x14ac:dyDescent="0.15"/>
    <row r="52114" s="69" customFormat="1" x14ac:dyDescent="0.15"/>
    <row r="52115" s="69" customFormat="1" x14ac:dyDescent="0.15"/>
    <row r="52116" s="69" customFormat="1" x14ac:dyDescent="0.15"/>
    <row r="52117" s="69" customFormat="1" x14ac:dyDescent="0.15"/>
    <row r="52118" s="69" customFormat="1" x14ac:dyDescent="0.15"/>
    <row r="52119" s="69" customFormat="1" x14ac:dyDescent="0.15"/>
    <row r="52120" s="69" customFormat="1" x14ac:dyDescent="0.15"/>
    <row r="52121" s="69" customFormat="1" x14ac:dyDescent="0.15"/>
    <row r="52122" s="69" customFormat="1" x14ac:dyDescent="0.15"/>
    <row r="52123" s="69" customFormat="1" x14ac:dyDescent="0.15"/>
    <row r="52124" s="69" customFormat="1" x14ac:dyDescent="0.15"/>
    <row r="52125" s="69" customFormat="1" x14ac:dyDescent="0.15"/>
    <row r="52126" s="69" customFormat="1" x14ac:dyDescent="0.15"/>
    <row r="52127" s="69" customFormat="1" x14ac:dyDescent="0.15"/>
    <row r="52128" s="69" customFormat="1" x14ac:dyDescent="0.15"/>
    <row r="52129" s="69" customFormat="1" x14ac:dyDescent="0.15"/>
    <row r="52130" s="69" customFormat="1" x14ac:dyDescent="0.15"/>
    <row r="52131" s="69" customFormat="1" x14ac:dyDescent="0.15"/>
    <row r="52132" s="69" customFormat="1" x14ac:dyDescent="0.15"/>
    <row r="52133" s="69" customFormat="1" x14ac:dyDescent="0.15"/>
    <row r="52134" s="69" customFormat="1" x14ac:dyDescent="0.15"/>
    <row r="52135" s="69" customFormat="1" x14ac:dyDescent="0.15"/>
    <row r="52136" s="69" customFormat="1" x14ac:dyDescent="0.15"/>
    <row r="52137" s="69" customFormat="1" x14ac:dyDescent="0.15"/>
    <row r="52138" s="69" customFormat="1" x14ac:dyDescent="0.15"/>
    <row r="52139" s="69" customFormat="1" x14ac:dyDescent="0.15"/>
    <row r="52140" s="69" customFormat="1" x14ac:dyDescent="0.15"/>
    <row r="52141" s="69" customFormat="1" x14ac:dyDescent="0.15"/>
    <row r="52142" s="69" customFormat="1" x14ac:dyDescent="0.15"/>
    <row r="52143" s="69" customFormat="1" x14ac:dyDescent="0.15"/>
    <row r="52144" s="69" customFormat="1" x14ac:dyDescent="0.15"/>
    <row r="52145" s="69" customFormat="1" x14ac:dyDescent="0.15"/>
    <row r="52146" s="69" customFormat="1" x14ac:dyDescent="0.15"/>
    <row r="52147" s="69" customFormat="1" x14ac:dyDescent="0.15"/>
    <row r="52148" s="69" customFormat="1" x14ac:dyDescent="0.15"/>
    <row r="52149" s="69" customFormat="1" x14ac:dyDescent="0.15"/>
    <row r="52150" s="69" customFormat="1" x14ac:dyDescent="0.15"/>
    <row r="52151" s="69" customFormat="1" x14ac:dyDescent="0.15"/>
    <row r="52152" s="69" customFormat="1" x14ac:dyDescent="0.15"/>
    <row r="52153" s="69" customFormat="1" x14ac:dyDescent="0.15"/>
    <row r="52154" s="69" customFormat="1" x14ac:dyDescent="0.15"/>
    <row r="52155" s="69" customFormat="1" x14ac:dyDescent="0.15"/>
    <row r="52156" s="69" customFormat="1" x14ac:dyDescent="0.15"/>
    <row r="52157" s="69" customFormat="1" x14ac:dyDescent="0.15"/>
    <row r="52158" s="69" customFormat="1" x14ac:dyDescent="0.15"/>
    <row r="52159" s="69" customFormat="1" x14ac:dyDescent="0.15"/>
    <row r="52160" s="69" customFormat="1" x14ac:dyDescent="0.15"/>
    <row r="52161" s="69" customFormat="1" x14ac:dyDescent="0.15"/>
    <row r="52162" s="69" customFormat="1" x14ac:dyDescent="0.15"/>
    <row r="52163" s="69" customFormat="1" x14ac:dyDescent="0.15"/>
    <row r="52164" s="69" customFormat="1" x14ac:dyDescent="0.15"/>
    <row r="52165" s="69" customFormat="1" x14ac:dyDescent="0.15"/>
    <row r="52166" s="69" customFormat="1" x14ac:dyDescent="0.15"/>
    <row r="52167" s="69" customFormat="1" x14ac:dyDescent="0.15"/>
    <row r="52168" s="69" customFormat="1" x14ac:dyDescent="0.15"/>
    <row r="52169" s="69" customFormat="1" x14ac:dyDescent="0.15"/>
    <row r="52170" s="69" customFormat="1" x14ac:dyDescent="0.15"/>
    <row r="52171" s="69" customFormat="1" x14ac:dyDescent="0.15"/>
    <row r="52172" s="69" customFormat="1" x14ac:dyDescent="0.15"/>
    <row r="52173" s="69" customFormat="1" x14ac:dyDescent="0.15"/>
    <row r="52174" s="69" customFormat="1" x14ac:dyDescent="0.15"/>
    <row r="52175" s="69" customFormat="1" x14ac:dyDescent="0.15"/>
    <row r="52176" s="69" customFormat="1" x14ac:dyDescent="0.15"/>
    <row r="52177" s="69" customFormat="1" x14ac:dyDescent="0.15"/>
    <row r="52178" s="69" customFormat="1" x14ac:dyDescent="0.15"/>
    <row r="52179" s="69" customFormat="1" x14ac:dyDescent="0.15"/>
    <row r="52180" s="69" customFormat="1" x14ac:dyDescent="0.15"/>
    <row r="52181" s="69" customFormat="1" x14ac:dyDescent="0.15"/>
    <row r="52182" s="69" customFormat="1" x14ac:dyDescent="0.15"/>
    <row r="52183" s="69" customFormat="1" x14ac:dyDescent="0.15"/>
    <row r="52184" s="69" customFormat="1" x14ac:dyDescent="0.15"/>
    <row r="52185" s="69" customFormat="1" x14ac:dyDescent="0.15"/>
    <row r="52186" s="69" customFormat="1" x14ac:dyDescent="0.15"/>
    <row r="52187" s="69" customFormat="1" x14ac:dyDescent="0.15"/>
    <row r="52188" s="69" customFormat="1" x14ac:dyDescent="0.15"/>
    <row r="52189" s="69" customFormat="1" x14ac:dyDescent="0.15"/>
    <row r="52190" s="69" customFormat="1" x14ac:dyDescent="0.15"/>
    <row r="52191" s="69" customFormat="1" x14ac:dyDescent="0.15"/>
    <row r="52192" s="69" customFormat="1" x14ac:dyDescent="0.15"/>
    <row r="52193" s="69" customFormat="1" x14ac:dyDescent="0.15"/>
    <row r="52194" s="69" customFormat="1" x14ac:dyDescent="0.15"/>
    <row r="52195" s="69" customFormat="1" x14ac:dyDescent="0.15"/>
    <row r="52196" s="69" customFormat="1" x14ac:dyDescent="0.15"/>
    <row r="52197" s="69" customFormat="1" x14ac:dyDescent="0.15"/>
    <row r="52198" s="69" customFormat="1" x14ac:dyDescent="0.15"/>
    <row r="52199" s="69" customFormat="1" x14ac:dyDescent="0.15"/>
    <row r="52200" s="69" customFormat="1" x14ac:dyDescent="0.15"/>
    <row r="52201" s="69" customFormat="1" x14ac:dyDescent="0.15"/>
    <row r="52202" s="69" customFormat="1" x14ac:dyDescent="0.15"/>
    <row r="52203" s="69" customFormat="1" x14ac:dyDescent="0.15"/>
    <row r="52204" s="69" customFormat="1" x14ac:dyDescent="0.15"/>
    <row r="52205" s="69" customFormat="1" x14ac:dyDescent="0.15"/>
    <row r="52206" s="69" customFormat="1" x14ac:dyDescent="0.15"/>
    <row r="52207" s="69" customFormat="1" x14ac:dyDescent="0.15"/>
    <row r="52208" s="69" customFormat="1" x14ac:dyDescent="0.15"/>
    <row r="52209" s="69" customFormat="1" x14ac:dyDescent="0.15"/>
    <row r="52210" s="69" customFormat="1" x14ac:dyDescent="0.15"/>
    <row r="52211" s="69" customFormat="1" x14ac:dyDescent="0.15"/>
    <row r="52212" s="69" customFormat="1" x14ac:dyDescent="0.15"/>
    <row r="52213" s="69" customFormat="1" x14ac:dyDescent="0.15"/>
    <row r="52214" s="69" customFormat="1" x14ac:dyDescent="0.15"/>
    <row r="52215" s="69" customFormat="1" x14ac:dyDescent="0.15"/>
    <row r="52216" s="69" customFormat="1" x14ac:dyDescent="0.15"/>
    <row r="52217" s="69" customFormat="1" x14ac:dyDescent="0.15"/>
    <row r="52218" s="69" customFormat="1" x14ac:dyDescent="0.15"/>
    <row r="52219" s="69" customFormat="1" x14ac:dyDescent="0.15"/>
    <row r="52220" s="69" customFormat="1" x14ac:dyDescent="0.15"/>
    <row r="52221" s="69" customFormat="1" x14ac:dyDescent="0.15"/>
    <row r="52222" s="69" customFormat="1" x14ac:dyDescent="0.15"/>
    <row r="52223" s="69" customFormat="1" x14ac:dyDescent="0.15"/>
    <row r="52224" s="69" customFormat="1" x14ac:dyDescent="0.15"/>
    <row r="52225" s="69" customFormat="1" x14ac:dyDescent="0.15"/>
    <row r="52226" s="69" customFormat="1" x14ac:dyDescent="0.15"/>
    <row r="52227" s="69" customFormat="1" x14ac:dyDescent="0.15"/>
    <row r="52228" s="69" customFormat="1" x14ac:dyDescent="0.15"/>
    <row r="52229" s="69" customFormat="1" x14ac:dyDescent="0.15"/>
    <row r="52230" s="69" customFormat="1" x14ac:dyDescent="0.15"/>
    <row r="52231" s="69" customFormat="1" x14ac:dyDescent="0.15"/>
    <row r="52232" s="69" customFormat="1" x14ac:dyDescent="0.15"/>
    <row r="52233" s="69" customFormat="1" x14ac:dyDescent="0.15"/>
    <row r="52234" s="69" customFormat="1" x14ac:dyDescent="0.15"/>
    <row r="52235" s="69" customFormat="1" x14ac:dyDescent="0.15"/>
    <row r="52236" s="69" customFormat="1" x14ac:dyDescent="0.15"/>
    <row r="52237" s="69" customFormat="1" x14ac:dyDescent="0.15"/>
    <row r="52238" s="69" customFormat="1" x14ac:dyDescent="0.15"/>
    <row r="52239" s="69" customFormat="1" x14ac:dyDescent="0.15"/>
    <row r="52240" s="69" customFormat="1" x14ac:dyDescent="0.15"/>
    <row r="52241" s="69" customFormat="1" x14ac:dyDescent="0.15"/>
    <row r="52242" s="69" customFormat="1" x14ac:dyDescent="0.15"/>
    <row r="52243" s="69" customFormat="1" x14ac:dyDescent="0.15"/>
    <row r="52244" s="69" customFormat="1" x14ac:dyDescent="0.15"/>
    <row r="52245" s="69" customFormat="1" x14ac:dyDescent="0.15"/>
    <row r="52246" s="69" customFormat="1" x14ac:dyDescent="0.15"/>
    <row r="52247" s="69" customFormat="1" x14ac:dyDescent="0.15"/>
    <row r="52248" s="69" customFormat="1" x14ac:dyDescent="0.15"/>
    <row r="52249" s="69" customFormat="1" x14ac:dyDescent="0.15"/>
    <row r="52250" s="69" customFormat="1" x14ac:dyDescent="0.15"/>
    <row r="52251" s="69" customFormat="1" x14ac:dyDescent="0.15"/>
    <row r="52252" s="69" customFormat="1" x14ac:dyDescent="0.15"/>
    <row r="52253" s="69" customFormat="1" x14ac:dyDescent="0.15"/>
    <row r="52254" s="69" customFormat="1" x14ac:dyDescent="0.15"/>
    <row r="52255" s="69" customFormat="1" x14ac:dyDescent="0.15"/>
    <row r="52256" s="69" customFormat="1" x14ac:dyDescent="0.15"/>
    <row r="52257" s="69" customFormat="1" x14ac:dyDescent="0.15"/>
    <row r="52258" s="69" customFormat="1" x14ac:dyDescent="0.15"/>
    <row r="52259" s="69" customFormat="1" x14ac:dyDescent="0.15"/>
    <row r="52260" s="69" customFormat="1" x14ac:dyDescent="0.15"/>
    <row r="52261" s="69" customFormat="1" x14ac:dyDescent="0.15"/>
    <row r="52262" s="69" customFormat="1" x14ac:dyDescent="0.15"/>
    <row r="52263" s="69" customFormat="1" x14ac:dyDescent="0.15"/>
    <row r="52264" s="69" customFormat="1" x14ac:dyDescent="0.15"/>
    <row r="52265" s="69" customFormat="1" x14ac:dyDescent="0.15"/>
    <row r="52266" s="69" customFormat="1" x14ac:dyDescent="0.15"/>
    <row r="52267" s="69" customFormat="1" x14ac:dyDescent="0.15"/>
    <row r="52268" s="69" customFormat="1" x14ac:dyDescent="0.15"/>
    <row r="52269" s="69" customFormat="1" x14ac:dyDescent="0.15"/>
    <row r="52270" s="69" customFormat="1" x14ac:dyDescent="0.15"/>
    <row r="52271" s="69" customFormat="1" x14ac:dyDescent="0.15"/>
    <row r="52272" s="69" customFormat="1" x14ac:dyDescent="0.15"/>
    <row r="52273" s="69" customFormat="1" x14ac:dyDescent="0.15"/>
    <row r="52274" s="69" customFormat="1" x14ac:dyDescent="0.15"/>
    <row r="52275" s="69" customFormat="1" x14ac:dyDescent="0.15"/>
    <row r="52276" s="69" customFormat="1" x14ac:dyDescent="0.15"/>
    <row r="52277" s="69" customFormat="1" x14ac:dyDescent="0.15"/>
    <row r="52278" s="69" customFormat="1" x14ac:dyDescent="0.15"/>
    <row r="52279" s="69" customFormat="1" x14ac:dyDescent="0.15"/>
    <row r="52280" s="69" customFormat="1" x14ac:dyDescent="0.15"/>
    <row r="52281" s="69" customFormat="1" x14ac:dyDescent="0.15"/>
    <row r="52282" s="69" customFormat="1" x14ac:dyDescent="0.15"/>
    <row r="52283" s="69" customFormat="1" x14ac:dyDescent="0.15"/>
    <row r="52284" s="69" customFormat="1" x14ac:dyDescent="0.15"/>
    <row r="52285" s="69" customFormat="1" x14ac:dyDescent="0.15"/>
    <row r="52286" s="69" customFormat="1" x14ac:dyDescent="0.15"/>
    <row r="52287" s="69" customFormat="1" x14ac:dyDescent="0.15"/>
    <row r="52288" s="69" customFormat="1" x14ac:dyDescent="0.15"/>
    <row r="52289" s="69" customFormat="1" x14ac:dyDescent="0.15"/>
    <row r="52290" s="69" customFormat="1" x14ac:dyDescent="0.15"/>
    <row r="52291" s="69" customFormat="1" x14ac:dyDescent="0.15"/>
    <row r="52292" s="69" customFormat="1" x14ac:dyDescent="0.15"/>
    <row r="52293" s="69" customFormat="1" x14ac:dyDescent="0.15"/>
    <row r="52294" s="69" customFormat="1" x14ac:dyDescent="0.15"/>
    <row r="52295" s="69" customFormat="1" x14ac:dyDescent="0.15"/>
    <row r="52296" s="69" customFormat="1" x14ac:dyDescent="0.15"/>
    <row r="52297" s="69" customFormat="1" x14ac:dyDescent="0.15"/>
    <row r="52298" s="69" customFormat="1" x14ac:dyDescent="0.15"/>
    <row r="52299" s="69" customFormat="1" x14ac:dyDescent="0.15"/>
    <row r="52300" s="69" customFormat="1" x14ac:dyDescent="0.15"/>
    <row r="52301" s="69" customFormat="1" x14ac:dyDescent="0.15"/>
    <row r="52302" s="69" customFormat="1" x14ac:dyDescent="0.15"/>
    <row r="52303" s="69" customFormat="1" x14ac:dyDescent="0.15"/>
    <row r="52304" s="69" customFormat="1" x14ac:dyDescent="0.15"/>
    <row r="52305" s="69" customFormat="1" x14ac:dyDescent="0.15"/>
    <row r="52306" s="69" customFormat="1" x14ac:dyDescent="0.15"/>
    <row r="52307" s="69" customFormat="1" x14ac:dyDescent="0.15"/>
    <row r="52308" s="69" customFormat="1" x14ac:dyDescent="0.15"/>
    <row r="52309" s="69" customFormat="1" x14ac:dyDescent="0.15"/>
    <row r="52310" s="69" customFormat="1" x14ac:dyDescent="0.15"/>
    <row r="52311" s="69" customFormat="1" x14ac:dyDescent="0.15"/>
    <row r="52312" s="69" customFormat="1" x14ac:dyDescent="0.15"/>
    <row r="52313" s="69" customFormat="1" x14ac:dyDescent="0.15"/>
    <row r="52314" s="69" customFormat="1" x14ac:dyDescent="0.15"/>
    <row r="52315" s="69" customFormat="1" x14ac:dyDescent="0.15"/>
    <row r="52316" s="69" customFormat="1" x14ac:dyDescent="0.15"/>
    <row r="52317" s="69" customFormat="1" x14ac:dyDescent="0.15"/>
    <row r="52318" s="69" customFormat="1" x14ac:dyDescent="0.15"/>
    <row r="52319" s="69" customFormat="1" x14ac:dyDescent="0.15"/>
    <row r="52320" s="69" customFormat="1" x14ac:dyDescent="0.15"/>
    <row r="52321" s="69" customFormat="1" x14ac:dyDescent="0.15"/>
    <row r="52322" s="69" customFormat="1" x14ac:dyDescent="0.15"/>
    <row r="52323" s="69" customFormat="1" x14ac:dyDescent="0.15"/>
    <row r="52324" s="69" customFormat="1" x14ac:dyDescent="0.15"/>
    <row r="52325" s="69" customFormat="1" x14ac:dyDescent="0.15"/>
    <row r="52326" s="69" customFormat="1" x14ac:dyDescent="0.15"/>
    <row r="52327" s="69" customFormat="1" x14ac:dyDescent="0.15"/>
    <row r="52328" s="69" customFormat="1" x14ac:dyDescent="0.15"/>
    <row r="52329" s="69" customFormat="1" x14ac:dyDescent="0.15"/>
    <row r="52330" s="69" customFormat="1" x14ac:dyDescent="0.15"/>
    <row r="52331" s="69" customFormat="1" x14ac:dyDescent="0.15"/>
    <row r="52332" s="69" customFormat="1" x14ac:dyDescent="0.15"/>
    <row r="52333" s="69" customFormat="1" x14ac:dyDescent="0.15"/>
    <row r="52334" s="69" customFormat="1" x14ac:dyDescent="0.15"/>
    <row r="52335" s="69" customFormat="1" x14ac:dyDescent="0.15"/>
    <row r="52336" s="69" customFormat="1" x14ac:dyDescent="0.15"/>
    <row r="52337" s="69" customFormat="1" x14ac:dyDescent="0.15"/>
    <row r="52338" s="69" customFormat="1" x14ac:dyDescent="0.15"/>
    <row r="52339" s="69" customFormat="1" x14ac:dyDescent="0.15"/>
    <row r="52340" s="69" customFormat="1" x14ac:dyDescent="0.15"/>
    <row r="52341" s="69" customFormat="1" x14ac:dyDescent="0.15"/>
    <row r="52342" s="69" customFormat="1" x14ac:dyDescent="0.15"/>
    <row r="52343" s="69" customFormat="1" x14ac:dyDescent="0.15"/>
    <row r="52344" s="69" customFormat="1" x14ac:dyDescent="0.15"/>
    <row r="52345" s="69" customFormat="1" x14ac:dyDescent="0.15"/>
    <row r="52346" s="69" customFormat="1" x14ac:dyDescent="0.15"/>
    <row r="52347" s="69" customFormat="1" x14ac:dyDescent="0.15"/>
    <row r="52348" s="69" customFormat="1" x14ac:dyDescent="0.15"/>
    <row r="52349" s="69" customFormat="1" x14ac:dyDescent="0.15"/>
    <row r="52350" s="69" customFormat="1" x14ac:dyDescent="0.15"/>
    <row r="52351" s="69" customFormat="1" x14ac:dyDescent="0.15"/>
    <row r="52352" s="69" customFormat="1" x14ac:dyDescent="0.15"/>
    <row r="52353" s="69" customFormat="1" x14ac:dyDescent="0.15"/>
    <row r="52354" s="69" customFormat="1" x14ac:dyDescent="0.15"/>
    <row r="52355" s="69" customFormat="1" x14ac:dyDescent="0.15"/>
    <row r="52356" s="69" customFormat="1" x14ac:dyDescent="0.15"/>
    <row r="52357" s="69" customFormat="1" x14ac:dyDescent="0.15"/>
    <row r="52358" s="69" customFormat="1" x14ac:dyDescent="0.15"/>
    <row r="52359" s="69" customFormat="1" x14ac:dyDescent="0.15"/>
    <row r="52360" s="69" customFormat="1" x14ac:dyDescent="0.15"/>
    <row r="52361" s="69" customFormat="1" x14ac:dyDescent="0.15"/>
    <row r="52362" s="69" customFormat="1" x14ac:dyDescent="0.15"/>
    <row r="52363" s="69" customFormat="1" x14ac:dyDescent="0.15"/>
    <row r="52364" s="69" customFormat="1" x14ac:dyDescent="0.15"/>
    <row r="52365" s="69" customFormat="1" x14ac:dyDescent="0.15"/>
    <row r="52366" s="69" customFormat="1" x14ac:dyDescent="0.15"/>
    <row r="52367" s="69" customFormat="1" x14ac:dyDescent="0.15"/>
    <row r="52368" s="69" customFormat="1" x14ac:dyDescent="0.15"/>
    <row r="52369" s="69" customFormat="1" x14ac:dyDescent="0.15"/>
    <row r="52370" s="69" customFormat="1" x14ac:dyDescent="0.15"/>
    <row r="52371" s="69" customFormat="1" x14ac:dyDescent="0.15"/>
    <row r="52372" s="69" customFormat="1" x14ac:dyDescent="0.15"/>
    <row r="52373" s="69" customFormat="1" x14ac:dyDescent="0.15"/>
    <row r="52374" s="69" customFormat="1" x14ac:dyDescent="0.15"/>
    <row r="52375" s="69" customFormat="1" x14ac:dyDescent="0.15"/>
    <row r="52376" s="69" customFormat="1" x14ac:dyDescent="0.15"/>
    <row r="52377" s="69" customFormat="1" x14ac:dyDescent="0.15"/>
    <row r="52378" s="69" customFormat="1" x14ac:dyDescent="0.15"/>
    <row r="52379" s="69" customFormat="1" x14ac:dyDescent="0.15"/>
    <row r="52380" s="69" customFormat="1" x14ac:dyDescent="0.15"/>
    <row r="52381" s="69" customFormat="1" x14ac:dyDescent="0.15"/>
    <row r="52382" s="69" customFormat="1" x14ac:dyDescent="0.15"/>
    <row r="52383" s="69" customFormat="1" x14ac:dyDescent="0.15"/>
    <row r="52384" s="69" customFormat="1" x14ac:dyDescent="0.15"/>
    <row r="52385" s="69" customFormat="1" x14ac:dyDescent="0.15"/>
    <row r="52386" s="69" customFormat="1" x14ac:dyDescent="0.15"/>
    <row r="52387" s="69" customFormat="1" x14ac:dyDescent="0.15"/>
    <row r="52388" s="69" customFormat="1" x14ac:dyDescent="0.15"/>
    <row r="52389" s="69" customFormat="1" x14ac:dyDescent="0.15"/>
    <row r="52390" s="69" customFormat="1" x14ac:dyDescent="0.15"/>
    <row r="52391" s="69" customFormat="1" x14ac:dyDescent="0.15"/>
    <row r="52392" s="69" customFormat="1" x14ac:dyDescent="0.15"/>
    <row r="52393" s="69" customFormat="1" x14ac:dyDescent="0.15"/>
    <row r="52394" s="69" customFormat="1" x14ac:dyDescent="0.15"/>
    <row r="52395" s="69" customFormat="1" x14ac:dyDescent="0.15"/>
    <row r="52396" s="69" customFormat="1" x14ac:dyDescent="0.15"/>
    <row r="52397" s="69" customFormat="1" x14ac:dyDescent="0.15"/>
    <row r="52398" s="69" customFormat="1" x14ac:dyDescent="0.15"/>
    <row r="52399" s="69" customFormat="1" x14ac:dyDescent="0.15"/>
    <row r="52400" s="69" customFormat="1" x14ac:dyDescent="0.15"/>
    <row r="52401" s="69" customFormat="1" x14ac:dyDescent="0.15"/>
    <row r="52402" s="69" customFormat="1" x14ac:dyDescent="0.15"/>
    <row r="52403" s="69" customFormat="1" x14ac:dyDescent="0.15"/>
    <row r="52404" s="69" customFormat="1" x14ac:dyDescent="0.15"/>
    <row r="52405" s="69" customFormat="1" x14ac:dyDescent="0.15"/>
    <row r="52406" s="69" customFormat="1" x14ac:dyDescent="0.15"/>
    <row r="52407" s="69" customFormat="1" x14ac:dyDescent="0.15"/>
    <row r="52408" s="69" customFormat="1" x14ac:dyDescent="0.15"/>
    <row r="52409" s="69" customFormat="1" x14ac:dyDescent="0.15"/>
    <row r="52410" s="69" customFormat="1" x14ac:dyDescent="0.15"/>
    <row r="52411" s="69" customFormat="1" x14ac:dyDescent="0.15"/>
    <row r="52412" s="69" customFormat="1" x14ac:dyDescent="0.15"/>
    <row r="52413" s="69" customFormat="1" x14ac:dyDescent="0.15"/>
    <row r="52414" s="69" customFormat="1" x14ac:dyDescent="0.15"/>
    <row r="52415" s="69" customFormat="1" x14ac:dyDescent="0.15"/>
    <row r="52416" s="69" customFormat="1" x14ac:dyDescent="0.15"/>
    <row r="52417" s="69" customFormat="1" x14ac:dyDescent="0.15"/>
    <row r="52418" s="69" customFormat="1" x14ac:dyDescent="0.15"/>
    <row r="52419" s="69" customFormat="1" x14ac:dyDescent="0.15"/>
    <row r="52420" s="69" customFormat="1" x14ac:dyDescent="0.15"/>
    <row r="52421" s="69" customFormat="1" x14ac:dyDescent="0.15"/>
    <row r="52422" s="69" customFormat="1" x14ac:dyDescent="0.15"/>
    <row r="52423" s="69" customFormat="1" x14ac:dyDescent="0.15"/>
    <row r="52424" s="69" customFormat="1" x14ac:dyDescent="0.15"/>
    <row r="52425" s="69" customFormat="1" x14ac:dyDescent="0.15"/>
    <row r="52426" s="69" customFormat="1" x14ac:dyDescent="0.15"/>
    <row r="52427" s="69" customFormat="1" x14ac:dyDescent="0.15"/>
    <row r="52428" s="69" customFormat="1" x14ac:dyDescent="0.15"/>
    <row r="52429" s="69" customFormat="1" x14ac:dyDescent="0.15"/>
    <row r="52430" s="69" customFormat="1" x14ac:dyDescent="0.15"/>
    <row r="52431" s="69" customFormat="1" x14ac:dyDescent="0.15"/>
    <row r="52432" s="69" customFormat="1" x14ac:dyDescent="0.15"/>
    <row r="52433" s="69" customFormat="1" x14ac:dyDescent="0.15"/>
    <row r="52434" s="69" customFormat="1" x14ac:dyDescent="0.15"/>
    <row r="52435" s="69" customFormat="1" x14ac:dyDescent="0.15"/>
    <row r="52436" s="69" customFormat="1" x14ac:dyDescent="0.15"/>
    <row r="52437" s="69" customFormat="1" x14ac:dyDescent="0.15"/>
    <row r="52438" s="69" customFormat="1" x14ac:dyDescent="0.15"/>
    <row r="52439" s="69" customFormat="1" x14ac:dyDescent="0.15"/>
    <row r="52440" s="69" customFormat="1" x14ac:dyDescent="0.15"/>
    <row r="52441" s="69" customFormat="1" x14ac:dyDescent="0.15"/>
    <row r="52442" s="69" customFormat="1" x14ac:dyDescent="0.15"/>
    <row r="52443" s="69" customFormat="1" x14ac:dyDescent="0.15"/>
    <row r="52444" s="69" customFormat="1" x14ac:dyDescent="0.15"/>
    <row r="52445" s="69" customFormat="1" x14ac:dyDescent="0.15"/>
    <row r="52446" s="69" customFormat="1" x14ac:dyDescent="0.15"/>
    <row r="52447" s="69" customFormat="1" x14ac:dyDescent="0.15"/>
    <row r="52448" s="69" customFormat="1" x14ac:dyDescent="0.15"/>
    <row r="52449" s="69" customFormat="1" x14ac:dyDescent="0.15"/>
    <row r="52450" s="69" customFormat="1" x14ac:dyDescent="0.15"/>
    <row r="52451" s="69" customFormat="1" x14ac:dyDescent="0.15"/>
    <row r="52452" s="69" customFormat="1" x14ac:dyDescent="0.15"/>
    <row r="52453" s="69" customFormat="1" x14ac:dyDescent="0.15"/>
    <row r="52454" s="69" customFormat="1" x14ac:dyDescent="0.15"/>
    <row r="52455" s="69" customFormat="1" x14ac:dyDescent="0.15"/>
    <row r="52456" s="69" customFormat="1" x14ac:dyDescent="0.15"/>
    <row r="52457" s="69" customFormat="1" x14ac:dyDescent="0.15"/>
    <row r="52458" s="69" customFormat="1" x14ac:dyDescent="0.15"/>
    <row r="52459" s="69" customFormat="1" x14ac:dyDescent="0.15"/>
    <row r="52460" s="69" customFormat="1" x14ac:dyDescent="0.15"/>
    <row r="52461" s="69" customFormat="1" x14ac:dyDescent="0.15"/>
    <row r="52462" s="69" customFormat="1" x14ac:dyDescent="0.15"/>
    <row r="52463" s="69" customFormat="1" x14ac:dyDescent="0.15"/>
    <row r="52464" s="69" customFormat="1" x14ac:dyDescent="0.15"/>
    <row r="52465" s="69" customFormat="1" x14ac:dyDescent="0.15"/>
    <row r="52466" s="69" customFormat="1" x14ac:dyDescent="0.15"/>
    <row r="52467" s="69" customFormat="1" x14ac:dyDescent="0.15"/>
    <row r="52468" s="69" customFormat="1" x14ac:dyDescent="0.15"/>
    <row r="52469" s="69" customFormat="1" x14ac:dyDescent="0.15"/>
    <row r="52470" s="69" customFormat="1" x14ac:dyDescent="0.15"/>
    <row r="52471" s="69" customFormat="1" x14ac:dyDescent="0.15"/>
    <row r="52472" s="69" customFormat="1" x14ac:dyDescent="0.15"/>
    <row r="52473" s="69" customFormat="1" x14ac:dyDescent="0.15"/>
    <row r="52474" s="69" customFormat="1" x14ac:dyDescent="0.15"/>
    <row r="52475" s="69" customFormat="1" x14ac:dyDescent="0.15"/>
    <row r="52476" s="69" customFormat="1" x14ac:dyDescent="0.15"/>
    <row r="52477" s="69" customFormat="1" x14ac:dyDescent="0.15"/>
    <row r="52478" s="69" customFormat="1" x14ac:dyDescent="0.15"/>
    <row r="52479" s="69" customFormat="1" x14ac:dyDescent="0.15"/>
    <row r="52480" s="69" customFormat="1" x14ac:dyDescent="0.15"/>
    <row r="52481" s="69" customFormat="1" x14ac:dyDescent="0.15"/>
    <row r="52482" s="69" customFormat="1" x14ac:dyDescent="0.15"/>
    <row r="52483" s="69" customFormat="1" x14ac:dyDescent="0.15"/>
    <row r="52484" s="69" customFormat="1" x14ac:dyDescent="0.15"/>
    <row r="52485" s="69" customFormat="1" x14ac:dyDescent="0.15"/>
    <row r="52486" s="69" customFormat="1" x14ac:dyDescent="0.15"/>
    <row r="52487" s="69" customFormat="1" x14ac:dyDescent="0.15"/>
    <row r="52488" s="69" customFormat="1" x14ac:dyDescent="0.15"/>
    <row r="52489" s="69" customFormat="1" x14ac:dyDescent="0.15"/>
    <row r="52490" s="69" customFormat="1" x14ac:dyDescent="0.15"/>
    <row r="52491" s="69" customFormat="1" x14ac:dyDescent="0.15"/>
    <row r="52492" s="69" customFormat="1" x14ac:dyDescent="0.15"/>
    <row r="52493" s="69" customFormat="1" x14ac:dyDescent="0.15"/>
    <row r="52494" s="69" customFormat="1" x14ac:dyDescent="0.15"/>
    <row r="52495" s="69" customFormat="1" x14ac:dyDescent="0.15"/>
    <row r="52496" s="69" customFormat="1" x14ac:dyDescent="0.15"/>
    <row r="52497" s="69" customFormat="1" x14ac:dyDescent="0.15"/>
    <row r="52498" s="69" customFormat="1" x14ac:dyDescent="0.15"/>
    <row r="52499" s="69" customFormat="1" x14ac:dyDescent="0.15"/>
    <row r="52500" s="69" customFormat="1" x14ac:dyDescent="0.15"/>
    <row r="52501" s="69" customFormat="1" x14ac:dyDescent="0.15"/>
    <row r="52502" s="69" customFormat="1" x14ac:dyDescent="0.15"/>
    <row r="52503" s="69" customFormat="1" x14ac:dyDescent="0.15"/>
    <row r="52504" s="69" customFormat="1" x14ac:dyDescent="0.15"/>
    <row r="52505" s="69" customFormat="1" x14ac:dyDescent="0.15"/>
    <row r="52506" s="69" customFormat="1" x14ac:dyDescent="0.15"/>
    <row r="52507" s="69" customFormat="1" x14ac:dyDescent="0.15"/>
    <row r="52508" s="69" customFormat="1" x14ac:dyDescent="0.15"/>
    <row r="52509" s="69" customFormat="1" x14ac:dyDescent="0.15"/>
    <row r="52510" s="69" customFormat="1" x14ac:dyDescent="0.15"/>
    <row r="52511" s="69" customFormat="1" x14ac:dyDescent="0.15"/>
    <row r="52512" s="69" customFormat="1" x14ac:dyDescent="0.15"/>
    <row r="52513" s="69" customFormat="1" x14ac:dyDescent="0.15"/>
    <row r="52514" s="69" customFormat="1" x14ac:dyDescent="0.15"/>
    <row r="52515" s="69" customFormat="1" x14ac:dyDescent="0.15"/>
    <row r="52516" s="69" customFormat="1" x14ac:dyDescent="0.15"/>
    <row r="52517" s="69" customFormat="1" x14ac:dyDescent="0.15"/>
    <row r="52518" s="69" customFormat="1" x14ac:dyDescent="0.15"/>
    <row r="52519" s="69" customFormat="1" x14ac:dyDescent="0.15"/>
    <row r="52520" s="69" customFormat="1" x14ac:dyDescent="0.15"/>
    <row r="52521" s="69" customFormat="1" x14ac:dyDescent="0.15"/>
    <row r="52522" s="69" customFormat="1" x14ac:dyDescent="0.15"/>
    <row r="52523" s="69" customFormat="1" x14ac:dyDescent="0.15"/>
    <row r="52524" s="69" customFormat="1" x14ac:dyDescent="0.15"/>
    <row r="52525" s="69" customFormat="1" x14ac:dyDescent="0.15"/>
    <row r="52526" s="69" customFormat="1" x14ac:dyDescent="0.15"/>
    <row r="52527" s="69" customFormat="1" x14ac:dyDescent="0.15"/>
    <row r="52528" s="69" customFormat="1" x14ac:dyDescent="0.15"/>
    <row r="52529" s="69" customFormat="1" x14ac:dyDescent="0.15"/>
    <row r="52530" s="69" customFormat="1" x14ac:dyDescent="0.15"/>
    <row r="52531" s="69" customFormat="1" x14ac:dyDescent="0.15"/>
    <row r="52532" s="69" customFormat="1" x14ac:dyDescent="0.15"/>
    <row r="52533" s="69" customFormat="1" x14ac:dyDescent="0.15"/>
    <row r="52534" s="69" customFormat="1" x14ac:dyDescent="0.15"/>
    <row r="52535" s="69" customFormat="1" x14ac:dyDescent="0.15"/>
    <row r="52536" s="69" customFormat="1" x14ac:dyDescent="0.15"/>
    <row r="52537" s="69" customFormat="1" x14ac:dyDescent="0.15"/>
    <row r="52538" s="69" customFormat="1" x14ac:dyDescent="0.15"/>
    <row r="52539" s="69" customFormat="1" x14ac:dyDescent="0.15"/>
    <row r="52540" s="69" customFormat="1" x14ac:dyDescent="0.15"/>
    <row r="52541" s="69" customFormat="1" x14ac:dyDescent="0.15"/>
    <row r="52542" s="69" customFormat="1" x14ac:dyDescent="0.15"/>
    <row r="52543" s="69" customFormat="1" x14ac:dyDescent="0.15"/>
    <row r="52544" s="69" customFormat="1" x14ac:dyDescent="0.15"/>
    <row r="52545" s="69" customFormat="1" x14ac:dyDescent="0.15"/>
    <row r="52546" s="69" customFormat="1" x14ac:dyDescent="0.15"/>
    <row r="52547" s="69" customFormat="1" x14ac:dyDescent="0.15"/>
    <row r="52548" s="69" customFormat="1" x14ac:dyDescent="0.15"/>
    <row r="52549" s="69" customFormat="1" x14ac:dyDescent="0.15"/>
    <row r="52550" s="69" customFormat="1" x14ac:dyDescent="0.15"/>
    <row r="52551" s="69" customFormat="1" x14ac:dyDescent="0.15"/>
    <row r="52552" s="69" customFormat="1" x14ac:dyDescent="0.15"/>
    <row r="52553" s="69" customFormat="1" x14ac:dyDescent="0.15"/>
    <row r="52554" s="69" customFormat="1" x14ac:dyDescent="0.15"/>
    <row r="52555" s="69" customFormat="1" x14ac:dyDescent="0.15"/>
    <row r="52556" s="69" customFormat="1" x14ac:dyDescent="0.15"/>
    <row r="52557" s="69" customFormat="1" x14ac:dyDescent="0.15"/>
    <row r="52558" s="69" customFormat="1" x14ac:dyDescent="0.15"/>
    <row r="52559" s="69" customFormat="1" x14ac:dyDescent="0.15"/>
    <row r="52560" s="69" customFormat="1" x14ac:dyDescent="0.15"/>
    <row r="52561" s="69" customFormat="1" x14ac:dyDescent="0.15"/>
    <row r="52562" s="69" customFormat="1" x14ac:dyDescent="0.15"/>
    <row r="52563" s="69" customFormat="1" x14ac:dyDescent="0.15"/>
    <row r="52564" s="69" customFormat="1" x14ac:dyDescent="0.15"/>
    <row r="52565" s="69" customFormat="1" x14ac:dyDescent="0.15"/>
    <row r="52566" s="69" customFormat="1" x14ac:dyDescent="0.15"/>
    <row r="52567" s="69" customFormat="1" x14ac:dyDescent="0.15"/>
    <row r="52568" s="69" customFormat="1" x14ac:dyDescent="0.15"/>
    <row r="52569" s="69" customFormat="1" x14ac:dyDescent="0.15"/>
    <row r="52570" s="69" customFormat="1" x14ac:dyDescent="0.15"/>
    <row r="52571" s="69" customFormat="1" x14ac:dyDescent="0.15"/>
    <row r="52572" s="69" customFormat="1" x14ac:dyDescent="0.15"/>
    <row r="52573" s="69" customFormat="1" x14ac:dyDescent="0.15"/>
    <row r="52574" s="69" customFormat="1" x14ac:dyDescent="0.15"/>
    <row r="52575" s="69" customFormat="1" x14ac:dyDescent="0.15"/>
    <row r="52576" s="69" customFormat="1" x14ac:dyDescent="0.15"/>
    <row r="52577" s="69" customFormat="1" x14ac:dyDescent="0.15"/>
    <row r="52578" s="69" customFormat="1" x14ac:dyDescent="0.15"/>
    <row r="52579" s="69" customFormat="1" x14ac:dyDescent="0.15"/>
    <row r="52580" s="69" customFormat="1" x14ac:dyDescent="0.15"/>
    <row r="52581" s="69" customFormat="1" x14ac:dyDescent="0.15"/>
    <row r="52582" s="69" customFormat="1" x14ac:dyDescent="0.15"/>
    <row r="52583" s="69" customFormat="1" x14ac:dyDescent="0.15"/>
    <row r="52584" s="69" customFormat="1" x14ac:dyDescent="0.15"/>
    <row r="52585" s="69" customFormat="1" x14ac:dyDescent="0.15"/>
    <row r="52586" s="69" customFormat="1" x14ac:dyDescent="0.15"/>
    <row r="52587" s="69" customFormat="1" x14ac:dyDescent="0.15"/>
    <row r="52588" s="69" customFormat="1" x14ac:dyDescent="0.15"/>
    <row r="52589" s="69" customFormat="1" x14ac:dyDescent="0.15"/>
    <row r="52590" s="69" customFormat="1" x14ac:dyDescent="0.15"/>
    <row r="52591" s="69" customFormat="1" x14ac:dyDescent="0.15"/>
    <row r="52592" s="69" customFormat="1" x14ac:dyDescent="0.15"/>
    <row r="52593" s="69" customFormat="1" x14ac:dyDescent="0.15"/>
    <row r="52594" s="69" customFormat="1" x14ac:dyDescent="0.15"/>
    <row r="52595" s="69" customFormat="1" x14ac:dyDescent="0.15"/>
    <row r="52596" s="69" customFormat="1" x14ac:dyDescent="0.15"/>
    <row r="52597" s="69" customFormat="1" x14ac:dyDescent="0.15"/>
    <row r="52598" s="69" customFormat="1" x14ac:dyDescent="0.15"/>
    <row r="52599" s="69" customFormat="1" x14ac:dyDescent="0.15"/>
    <row r="52600" s="69" customFormat="1" x14ac:dyDescent="0.15"/>
    <row r="52601" s="69" customFormat="1" x14ac:dyDescent="0.15"/>
    <row r="52602" s="69" customFormat="1" x14ac:dyDescent="0.15"/>
    <row r="52603" s="69" customFormat="1" x14ac:dyDescent="0.15"/>
    <row r="52604" s="69" customFormat="1" x14ac:dyDescent="0.15"/>
    <row r="52605" s="69" customFormat="1" x14ac:dyDescent="0.15"/>
    <row r="52606" s="69" customFormat="1" x14ac:dyDescent="0.15"/>
    <row r="52607" s="69" customFormat="1" x14ac:dyDescent="0.15"/>
    <row r="52608" s="69" customFormat="1" x14ac:dyDescent="0.15"/>
    <row r="52609" s="69" customFormat="1" x14ac:dyDescent="0.15"/>
    <row r="52610" s="69" customFormat="1" x14ac:dyDescent="0.15"/>
    <row r="52611" s="69" customFormat="1" x14ac:dyDescent="0.15"/>
    <row r="52612" s="69" customFormat="1" x14ac:dyDescent="0.15"/>
    <row r="52613" s="69" customFormat="1" x14ac:dyDescent="0.15"/>
    <row r="52614" s="69" customFormat="1" x14ac:dyDescent="0.15"/>
    <row r="52615" s="69" customFormat="1" x14ac:dyDescent="0.15"/>
    <row r="52616" s="69" customFormat="1" x14ac:dyDescent="0.15"/>
    <row r="52617" s="69" customFormat="1" x14ac:dyDescent="0.15"/>
    <row r="52618" s="69" customFormat="1" x14ac:dyDescent="0.15"/>
    <row r="52619" s="69" customFormat="1" x14ac:dyDescent="0.15"/>
    <row r="52620" s="69" customFormat="1" x14ac:dyDescent="0.15"/>
    <row r="52621" s="69" customFormat="1" x14ac:dyDescent="0.15"/>
    <row r="52622" s="69" customFormat="1" x14ac:dyDescent="0.15"/>
    <row r="52623" s="69" customFormat="1" x14ac:dyDescent="0.15"/>
    <row r="52624" s="69" customFormat="1" x14ac:dyDescent="0.15"/>
    <row r="52625" s="69" customFormat="1" x14ac:dyDescent="0.15"/>
    <row r="52626" s="69" customFormat="1" x14ac:dyDescent="0.15"/>
    <row r="52627" s="69" customFormat="1" x14ac:dyDescent="0.15"/>
    <row r="52628" s="69" customFormat="1" x14ac:dyDescent="0.15"/>
    <row r="52629" s="69" customFormat="1" x14ac:dyDescent="0.15"/>
    <row r="52630" s="69" customFormat="1" x14ac:dyDescent="0.15"/>
    <row r="52631" s="69" customFormat="1" x14ac:dyDescent="0.15"/>
    <row r="52632" s="69" customFormat="1" x14ac:dyDescent="0.15"/>
    <row r="52633" s="69" customFormat="1" x14ac:dyDescent="0.15"/>
    <row r="52634" s="69" customFormat="1" x14ac:dyDescent="0.15"/>
    <row r="52635" s="69" customFormat="1" x14ac:dyDescent="0.15"/>
    <row r="52636" s="69" customFormat="1" x14ac:dyDescent="0.15"/>
    <row r="52637" s="69" customFormat="1" x14ac:dyDescent="0.15"/>
    <row r="52638" s="69" customFormat="1" x14ac:dyDescent="0.15"/>
    <row r="52639" s="69" customFormat="1" x14ac:dyDescent="0.15"/>
    <row r="52640" s="69" customFormat="1" x14ac:dyDescent="0.15"/>
    <row r="52641" s="69" customFormat="1" x14ac:dyDescent="0.15"/>
    <row r="52642" s="69" customFormat="1" x14ac:dyDescent="0.15"/>
    <row r="52643" s="69" customFormat="1" x14ac:dyDescent="0.15"/>
    <row r="52644" s="69" customFormat="1" x14ac:dyDescent="0.15"/>
    <row r="52645" s="69" customFormat="1" x14ac:dyDescent="0.15"/>
    <row r="52646" s="69" customFormat="1" x14ac:dyDescent="0.15"/>
    <row r="52647" s="69" customFormat="1" x14ac:dyDescent="0.15"/>
    <row r="52648" s="69" customFormat="1" x14ac:dyDescent="0.15"/>
    <row r="52649" s="69" customFormat="1" x14ac:dyDescent="0.15"/>
    <row r="52650" s="69" customFormat="1" x14ac:dyDescent="0.15"/>
    <row r="52651" s="69" customFormat="1" x14ac:dyDescent="0.15"/>
    <row r="52652" s="69" customFormat="1" x14ac:dyDescent="0.15"/>
    <row r="52653" s="69" customFormat="1" x14ac:dyDescent="0.15"/>
    <row r="52654" s="69" customFormat="1" x14ac:dyDescent="0.15"/>
    <row r="52655" s="69" customFormat="1" x14ac:dyDescent="0.15"/>
    <row r="52656" s="69" customFormat="1" x14ac:dyDescent="0.15"/>
    <row r="52657" s="69" customFormat="1" x14ac:dyDescent="0.15"/>
    <row r="52658" s="69" customFormat="1" x14ac:dyDescent="0.15"/>
    <row r="52659" s="69" customFormat="1" x14ac:dyDescent="0.15"/>
    <row r="52660" s="69" customFormat="1" x14ac:dyDescent="0.15"/>
    <row r="52661" s="69" customFormat="1" x14ac:dyDescent="0.15"/>
    <row r="52662" s="69" customFormat="1" x14ac:dyDescent="0.15"/>
    <row r="52663" s="69" customFormat="1" x14ac:dyDescent="0.15"/>
    <row r="52664" s="69" customFormat="1" x14ac:dyDescent="0.15"/>
    <row r="52665" s="69" customFormat="1" x14ac:dyDescent="0.15"/>
    <row r="52666" s="69" customFormat="1" x14ac:dyDescent="0.15"/>
    <row r="52667" s="69" customFormat="1" x14ac:dyDescent="0.15"/>
    <row r="52668" s="69" customFormat="1" x14ac:dyDescent="0.15"/>
    <row r="52669" s="69" customFormat="1" x14ac:dyDescent="0.15"/>
    <row r="52670" s="69" customFormat="1" x14ac:dyDescent="0.15"/>
    <row r="52671" s="69" customFormat="1" x14ac:dyDescent="0.15"/>
    <row r="52672" s="69" customFormat="1" x14ac:dyDescent="0.15"/>
    <row r="52673" s="69" customFormat="1" x14ac:dyDescent="0.15"/>
    <row r="52674" s="69" customFormat="1" x14ac:dyDescent="0.15"/>
    <row r="52675" s="69" customFormat="1" x14ac:dyDescent="0.15"/>
    <row r="52676" s="69" customFormat="1" x14ac:dyDescent="0.15"/>
    <row r="52677" s="69" customFormat="1" x14ac:dyDescent="0.15"/>
    <row r="52678" s="69" customFormat="1" x14ac:dyDescent="0.15"/>
    <row r="52679" s="69" customFormat="1" x14ac:dyDescent="0.15"/>
    <row r="52680" s="69" customFormat="1" x14ac:dyDescent="0.15"/>
    <row r="52681" s="69" customFormat="1" x14ac:dyDescent="0.15"/>
    <row r="52682" s="69" customFormat="1" x14ac:dyDescent="0.15"/>
    <row r="52683" s="69" customFormat="1" x14ac:dyDescent="0.15"/>
    <row r="52684" s="69" customFormat="1" x14ac:dyDescent="0.15"/>
    <row r="52685" s="69" customFormat="1" x14ac:dyDescent="0.15"/>
    <row r="52686" s="69" customFormat="1" x14ac:dyDescent="0.15"/>
    <row r="52687" s="69" customFormat="1" x14ac:dyDescent="0.15"/>
    <row r="52688" s="69" customFormat="1" x14ac:dyDescent="0.15"/>
    <row r="52689" s="69" customFormat="1" x14ac:dyDescent="0.15"/>
    <row r="52690" s="69" customFormat="1" x14ac:dyDescent="0.15"/>
    <row r="52691" s="69" customFormat="1" x14ac:dyDescent="0.15"/>
    <row r="52692" s="69" customFormat="1" x14ac:dyDescent="0.15"/>
    <row r="52693" s="69" customFormat="1" x14ac:dyDescent="0.15"/>
    <row r="52694" s="69" customFormat="1" x14ac:dyDescent="0.15"/>
    <row r="52695" s="69" customFormat="1" x14ac:dyDescent="0.15"/>
    <row r="52696" s="69" customFormat="1" x14ac:dyDescent="0.15"/>
    <row r="52697" s="69" customFormat="1" x14ac:dyDescent="0.15"/>
    <row r="52698" s="69" customFormat="1" x14ac:dyDescent="0.15"/>
    <row r="52699" s="69" customFormat="1" x14ac:dyDescent="0.15"/>
    <row r="52700" s="69" customFormat="1" x14ac:dyDescent="0.15"/>
    <row r="52701" s="69" customFormat="1" x14ac:dyDescent="0.15"/>
    <row r="52702" s="69" customFormat="1" x14ac:dyDescent="0.15"/>
    <row r="52703" s="69" customFormat="1" x14ac:dyDescent="0.15"/>
    <row r="52704" s="69" customFormat="1" x14ac:dyDescent="0.15"/>
    <row r="52705" s="69" customFormat="1" x14ac:dyDescent="0.15"/>
    <row r="52706" s="69" customFormat="1" x14ac:dyDescent="0.15"/>
    <row r="52707" s="69" customFormat="1" x14ac:dyDescent="0.15"/>
    <row r="52708" s="69" customFormat="1" x14ac:dyDescent="0.15"/>
    <row r="52709" s="69" customFormat="1" x14ac:dyDescent="0.15"/>
    <row r="52710" s="69" customFormat="1" x14ac:dyDescent="0.15"/>
    <row r="52711" s="69" customFormat="1" x14ac:dyDescent="0.15"/>
    <row r="52712" s="69" customFormat="1" x14ac:dyDescent="0.15"/>
    <row r="52713" s="69" customFormat="1" x14ac:dyDescent="0.15"/>
    <row r="52714" s="69" customFormat="1" x14ac:dyDescent="0.15"/>
    <row r="52715" s="69" customFormat="1" x14ac:dyDescent="0.15"/>
    <row r="52716" s="69" customFormat="1" x14ac:dyDescent="0.15"/>
    <row r="52717" s="69" customFormat="1" x14ac:dyDescent="0.15"/>
    <row r="52718" s="69" customFormat="1" x14ac:dyDescent="0.15"/>
    <row r="52719" s="69" customFormat="1" x14ac:dyDescent="0.15"/>
    <row r="52720" s="69" customFormat="1" x14ac:dyDescent="0.15"/>
    <row r="52721" s="69" customFormat="1" x14ac:dyDescent="0.15"/>
    <row r="52722" s="69" customFormat="1" x14ac:dyDescent="0.15"/>
    <row r="52723" s="69" customFormat="1" x14ac:dyDescent="0.15"/>
    <row r="52724" s="69" customFormat="1" x14ac:dyDescent="0.15"/>
    <row r="52725" s="69" customFormat="1" x14ac:dyDescent="0.15"/>
    <row r="52726" s="69" customFormat="1" x14ac:dyDescent="0.15"/>
    <row r="52727" s="69" customFormat="1" x14ac:dyDescent="0.15"/>
    <row r="52728" s="69" customFormat="1" x14ac:dyDescent="0.15"/>
    <row r="52729" s="69" customFormat="1" x14ac:dyDescent="0.15"/>
    <row r="52730" s="69" customFormat="1" x14ac:dyDescent="0.15"/>
    <row r="52731" s="69" customFormat="1" x14ac:dyDescent="0.15"/>
    <row r="52732" s="69" customFormat="1" x14ac:dyDescent="0.15"/>
    <row r="52733" s="69" customFormat="1" x14ac:dyDescent="0.15"/>
    <row r="52734" s="69" customFormat="1" x14ac:dyDescent="0.15"/>
    <row r="52735" s="69" customFormat="1" x14ac:dyDescent="0.15"/>
    <row r="52736" s="69" customFormat="1" x14ac:dyDescent="0.15"/>
    <row r="52737" s="69" customFormat="1" x14ac:dyDescent="0.15"/>
    <row r="52738" s="69" customFormat="1" x14ac:dyDescent="0.15"/>
    <row r="52739" s="69" customFormat="1" x14ac:dyDescent="0.15"/>
    <row r="52740" s="69" customFormat="1" x14ac:dyDescent="0.15"/>
    <row r="52741" s="69" customFormat="1" x14ac:dyDescent="0.15"/>
    <row r="52742" s="69" customFormat="1" x14ac:dyDescent="0.15"/>
    <row r="52743" s="69" customFormat="1" x14ac:dyDescent="0.15"/>
    <row r="52744" s="69" customFormat="1" x14ac:dyDescent="0.15"/>
    <row r="52745" s="69" customFormat="1" x14ac:dyDescent="0.15"/>
    <row r="52746" s="69" customFormat="1" x14ac:dyDescent="0.15"/>
    <row r="52747" s="69" customFormat="1" x14ac:dyDescent="0.15"/>
    <row r="52748" s="69" customFormat="1" x14ac:dyDescent="0.15"/>
    <row r="52749" s="69" customFormat="1" x14ac:dyDescent="0.15"/>
    <row r="52750" s="69" customFormat="1" x14ac:dyDescent="0.15"/>
    <row r="52751" s="69" customFormat="1" x14ac:dyDescent="0.15"/>
    <row r="52752" s="69" customFormat="1" x14ac:dyDescent="0.15"/>
    <row r="52753" s="69" customFormat="1" x14ac:dyDescent="0.15"/>
    <row r="52754" s="69" customFormat="1" x14ac:dyDescent="0.15"/>
    <row r="52755" s="69" customFormat="1" x14ac:dyDescent="0.15"/>
    <row r="52756" s="69" customFormat="1" x14ac:dyDescent="0.15"/>
    <row r="52757" s="69" customFormat="1" x14ac:dyDescent="0.15"/>
    <row r="52758" s="69" customFormat="1" x14ac:dyDescent="0.15"/>
    <row r="52759" s="69" customFormat="1" x14ac:dyDescent="0.15"/>
    <row r="52760" s="69" customFormat="1" x14ac:dyDescent="0.15"/>
    <row r="52761" s="69" customFormat="1" x14ac:dyDescent="0.15"/>
    <row r="52762" s="69" customFormat="1" x14ac:dyDescent="0.15"/>
    <row r="52763" s="69" customFormat="1" x14ac:dyDescent="0.15"/>
    <row r="52764" s="69" customFormat="1" x14ac:dyDescent="0.15"/>
    <row r="52765" s="69" customFormat="1" x14ac:dyDescent="0.15"/>
    <row r="52766" s="69" customFormat="1" x14ac:dyDescent="0.15"/>
    <row r="52767" s="69" customFormat="1" x14ac:dyDescent="0.15"/>
    <row r="52768" s="69" customFormat="1" x14ac:dyDescent="0.15"/>
    <row r="52769" s="69" customFormat="1" x14ac:dyDescent="0.15"/>
    <row r="52770" s="69" customFormat="1" x14ac:dyDescent="0.15"/>
    <row r="52771" s="69" customFormat="1" x14ac:dyDescent="0.15"/>
    <row r="52772" s="69" customFormat="1" x14ac:dyDescent="0.15"/>
    <row r="52773" s="69" customFormat="1" x14ac:dyDescent="0.15"/>
    <row r="52774" s="69" customFormat="1" x14ac:dyDescent="0.15"/>
    <row r="52775" s="69" customFormat="1" x14ac:dyDescent="0.15"/>
    <row r="52776" s="69" customFormat="1" x14ac:dyDescent="0.15"/>
    <row r="52777" s="69" customFormat="1" x14ac:dyDescent="0.15"/>
    <row r="52778" s="69" customFormat="1" x14ac:dyDescent="0.15"/>
    <row r="52779" s="69" customFormat="1" x14ac:dyDescent="0.15"/>
  </sheetData>
  <sheetProtection algorithmName="SHA-512" hashValue="FMFGcr7TeNN//wxjIPzfwzdMvfwiwudfR+yzDE+OsWu+O8aKu9BNLfe2DCv0sQxK75sxsRau6Dee22ev2ZftaQ==" saltValue="7D6uaQC1WwPtmu0WiyYjEA==" spinCount="100000" sheet="1" objects="1" scenarios="1"/>
  <autoFilter ref="A1:B52779" xr:uid="{00000000-0009-0000-0000-000003000000}">
    <sortState xmlns:xlrd2="http://schemas.microsoft.com/office/spreadsheetml/2017/richdata2" ref="A2:B52779">
      <sortCondition ref="A1:A5277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2026-03-03T00:15:43Z</dcterms:modified>
</cp:coreProperties>
</file>